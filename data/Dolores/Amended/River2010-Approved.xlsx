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8.xml" ContentType="application/vnd.openxmlformats-officedocument.spreadsheetml.comments+xml"/>
  <Override PartName="/xl/comments7.xml" ContentType="application/vnd.openxmlformats-officedocument.spreadsheetml.comments+xml"/>
  <Override PartName="/xl/drawings/vmlDrawing8.vml" ContentType="application/vnd.openxmlformats-officedocument.vmlDrawing"/>
  <Override PartName="/xl/drawings/vmlDrawing12.vml" ContentType="application/vnd.openxmlformats-officedocument.vmlDrawing"/>
  <Override PartName="/xl/drawings/vmlDrawing7.vml" ContentType="application/vnd.openxmlformats-officedocument.vmlDrawing"/>
  <Override PartName="/xl/drawings/vmlDrawing11.vml" ContentType="application/vnd.openxmlformats-officedocument.vmlDrawing"/>
  <Override PartName="/xl/drawings/vmlDrawing6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9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APR!$A$1:$AY$56</definedName>
    <definedName function="false" hidden="false" localSheetId="9" name="_xlnm.Print_Area" vbProcedure="false">AUG!$A$1:$AY$60</definedName>
    <definedName function="false" hidden="false" localSheetId="1" name="_xlnm.Print_Area" vbProcedure="false">DEC!$A$1:$AY$60</definedName>
    <definedName function="false" hidden="false" localSheetId="3" name="_xlnm.Print_Area" vbProcedure="false">FEB!$A$1:$AY$60</definedName>
    <definedName function="false" hidden="false" localSheetId="2" name="_xlnm.Print_Area" vbProcedure="false">JAN!$A$1:$AY$60</definedName>
    <definedName function="false" hidden="false" localSheetId="8" name="_xlnm.Print_Area" vbProcedure="false">JUL!$A$1:$AY$59</definedName>
    <definedName function="false" hidden="false" localSheetId="7" name="_xlnm.Print_Area" vbProcedure="false">JUN!$A$1:$AY$56</definedName>
    <definedName function="false" hidden="false" localSheetId="4" name="_xlnm.Print_Area" vbProcedure="false">MAR!$A$1:$AY$60</definedName>
    <definedName function="false" hidden="false" localSheetId="6" name="_xlnm.Print_Area" vbProcedure="false">MAY!$A$1:$AY$60</definedName>
    <definedName function="false" hidden="false" localSheetId="11" name="_xlnm.Print_Area" vbProcedure="false">OCT!$A$1:$AZ$60</definedName>
    <definedName function="false" hidden="false" localSheetId="10" name="_xlnm.Print_Area" vbProcedure="false">SEP!$A$1:$AY$60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15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Filling Narr. Res</t>
        </r>
      </text>
    </comment>
    <comment ref="V15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Stock Water</t>
        </r>
      </text>
    </comment>
    <comment ref="AH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  <comment ref="AT18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  <comment ref="AT19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  <comment ref="AT20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  <comment ref="AT21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  <comment ref="AT23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the Towaoc Canal, not diverted drom the reservoir this water year.
</t>
        </r>
      </text>
    </comment>
    <comment ref="AT24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the Towaoc Canal, not diverted from the reservoir this water year.</t>
        </r>
      </text>
    </comment>
    <comment ref="AT25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the Towaoc Casnal, not diverted from the reservoir this water year</t>
        </r>
      </text>
    </comment>
    <comment ref="AT26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the Towaoc Canal, not diverted from the reservoir this water year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H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H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H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M38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Began filling Towaoc Canal</t>
        </r>
      </text>
    </comment>
    <comment ref="U45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Brad Reed (MVIC) asked us to shut the Lone Pine off until the surrounding snow melts. (12:15PM)</t>
        </r>
      </text>
    </comment>
    <comment ref="W38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Began filling Towaoc Canal
</t>
        </r>
      </text>
    </comment>
    <comment ref="X38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Began filling Towaoc Canal</t>
        </r>
      </text>
    </comment>
    <comment ref="AH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15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is divided between the BOR wetlands and Totten Res.
</t>
        </r>
      </text>
    </comment>
    <comment ref="U3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Brad Reed called and wanted to start filling Narr on up. This does not count against the 72,000 Ac. Ft. in Apr thru June.</t>
        </r>
      </text>
    </comment>
    <comment ref="U3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Brad Reed shut off the Lone Pine Canal that was topping off Narr. Res. He says that it was within a tenth fo being full.</t>
        </r>
      </text>
    </comment>
    <comment ref="U4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Began filling canals</t>
        </r>
      </text>
    </comment>
    <comment ref="Y2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Started storing call water for MVIC.</t>
        </r>
      </text>
    </comment>
    <comment ref="AA3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amount going into Narr. for filling is substracted out of this column as the 72,000 Ac. ft. is over and above the amount needed to fill Narr.</t>
        </r>
      </text>
    </comment>
    <comment ref="AB15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Started storing the 3400 Ac.Ft. of Totten Exchange Water(1714.14Cfs)</t>
        </r>
      </text>
    </comment>
    <comment ref="AB2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Finished storing the 3400 Ac. Ft. for the Totten Exchange for MVIC.</t>
        </r>
      </text>
    </comment>
    <comment ref="AH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U4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128 cfs of this 261 cfs is irrig. The other is beginning their second fill right of 1653 Ac. Ft. of Narr.  133 cfs toward the 2nd fill</t>
        </r>
      </text>
    </comment>
    <comment ref="U4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206 cfs of this goes toward Narr second Fill.</t>
        </r>
      </text>
    </comment>
    <comment ref="U4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214 cfs of this goes toward Narr second Fill.</t>
        </r>
      </text>
    </comment>
    <comment ref="U4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216 cfs of this goes toward Narr second Fill.</t>
        </r>
      </text>
    </comment>
    <comment ref="U4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64.3 cfs of this goes toward Narr second Fill.</t>
        </r>
      </text>
    </comment>
    <comment ref="Y3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earned 368 cfs of call water, but 161 cfs was spilled
</t>
        </r>
      </text>
    </comment>
    <comment ref="Z3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has begun so the amount of the spill is substracted from the call water stored,</t>
        </r>
      </text>
    </comment>
    <comment ref="AI3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began</t>
        </r>
      </text>
    </comment>
    <comment ref="AM4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Began Narr. second fill right of 1653 Ac. Ft.</t>
        </r>
      </text>
    </comment>
    <comment ref="AM4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Ended MVIC seconded fill right in Narr.</t>
        </r>
      </text>
    </comment>
    <comment ref="AO4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McPhee Reservoir Full no room to store</t>
        </r>
      </text>
    </comment>
    <comment ref="AQ1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Some water is beginning to be use in the class B area.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Z2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Last day of spill.</t>
        </r>
      </text>
    </comment>
    <comment ref="Z3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use exceeds recorded inflow, so started using call water to make up the different.</t>
        </r>
      </text>
    </comment>
    <comment ref="AI2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over</t>
        </r>
      </text>
    </comment>
    <comment ref="AO3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reservoir dropped below 6924.0, so MVIC stored some call water.
</t>
        </r>
      </text>
    </comment>
    <comment ref="AO3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use exceeded the recored inflow.</t>
        </r>
      </text>
    </comment>
    <comment ref="AR4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Started releasing water out of Groundhog for the U/S exchange @ 11:00 AM.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Z4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reduction.</t>
        </r>
      </text>
    </comment>
    <comment ref="AR3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Finished the u/s exchange of of Groundhog Reservoir, the release now so in the river with the 5% transist loss.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Y1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</t>
        </r>
      </text>
    </comment>
    <comment ref="Y1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</t>
        </r>
      </text>
    </comment>
    <comment ref="Y1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</t>
        </r>
      </text>
    </comment>
    <comment ref="Y1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</t>
        </r>
      </text>
    </comment>
    <comment ref="Y1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</t>
        </r>
      </text>
    </comment>
    <comment ref="Y2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</t>
        </r>
      </text>
    </comment>
    <comment ref="Y2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</t>
        </r>
      </text>
    </comment>
    <comment ref="Y3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was used, so no reduction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3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Vern Harrell (BOR) called and told me that he was done with pulling water into the wetland this year due to MVIC water situation.</t>
        </r>
      </text>
    </comment>
    <comment ref="O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Ute Farm &amp; Ranch leased 4000 Ac. Ft. from the District.</t>
        </r>
      </text>
    </comment>
    <comment ref="O2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Farm &amp; Ranch started using water leased from DWCD 23.6 cfs of leased water today.</t>
        </r>
      </text>
    </comment>
    <comment ref="AB1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has used all of their call water and started using Totten Exchange &amp; U/S Exchange Water</t>
        </r>
      </text>
    </comment>
    <comment ref="AC1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Oct. MVIC Project water Determination until Oct 31 th was 7162 Ac. Ft. or 3610.8
 cfs.</t>
        </r>
      </text>
    </comment>
    <comment ref="AC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has used all of the Totten &amp; U/S Exchange water and started using Project water</t>
        </r>
      </text>
    </comment>
    <comment ref="AQ2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Class B water from MVIC is completed.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2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Vern Harrell started topping off the ponds.</t>
        </r>
      </text>
    </comment>
    <comment ref="O5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64.3 Ac. Ft. added to O54 was the water in Towaoc Canal left above the EDS that was drained into Reach 3</t>
        </r>
      </text>
    </comment>
    <comment ref="U3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Res. With river flow.
</t>
        </r>
      </text>
    </comment>
    <comment ref="W3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Note: Since this water was irrigation, 30% of this will be carried over to next year.</t>
        </r>
      </text>
    </comment>
    <comment ref="W3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Note: Since this water was irrigation, 30% of this will be carried over to next year.</t>
        </r>
      </text>
    </comment>
    <comment ref="W3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18.6 cfs of this was for irrigation, thus 30% of the 18.6 cfs will be carried over to next year.</t>
        </r>
      </text>
    </comment>
    <comment ref="W3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Brad Reed said that they got all of the turnouts on Towaoc Canal Reaches 1 &amp; 2 plus all of the Rocky Fords turnouts shut off on Oct 18th.
</t>
        </r>
      </text>
    </comment>
    <comment ref="W5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64.3 Ac. Ft. substracted from W54 is the water in Towaoc Canal the EDS that was drained into Reach 3 fro the Ute F&amp;R</t>
        </r>
      </text>
    </comment>
    <comment ref="X5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64.3 Ac. Ft was water left in the Towaoc Canal above the EDS that was drained into Reach 3 for the Ute F&amp;R.</t>
        </r>
      </text>
    </comment>
    <comment ref="AD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Full service pumping @ Great Cut is done for the year, just using what is left in canal.</t>
        </r>
      </text>
    </comment>
    <comment ref="AM3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3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3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3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3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3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3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3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4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  <comment ref="AM4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filling Narr. Res with river flow.</t>
        </r>
      </text>
    </comment>
  </commentList>
</comments>
</file>

<file path=xl/sharedStrings.xml><?xml version="1.0" encoding="utf-8"?>
<sst xmlns="http://schemas.openxmlformats.org/spreadsheetml/2006/main" count="2125" uniqueCount="142">
  <si>
    <t xml:space="preserve">MCPHEE  RESERVOIR  INFLOW/OUTFLOW  TABULATION</t>
  </si>
  <si>
    <t xml:space="preserve">AF/cfs  CONVERT FACTOR</t>
  </si>
  <si>
    <t xml:space="preserve">                     NOVEMBER  "2009"</t>
  </si>
  <si>
    <t xml:space="preserve">RESERVOIR</t>
  </si>
  <si>
    <t xml:space="preserve">INFLOW/OUTFLOW (CFS)</t>
  </si>
  <si>
    <t xml:space="preserve">ADJUSTMENTS</t>
  </si>
  <si>
    <t xml:space="preserve">WEATHER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</si>
  <si>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</si>
  <si>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</si>
  <si>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</si>
  <si>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</si>
  <si>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</si>
  <si>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</si>
  <si>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</si>
  <si>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</si>
  <si>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</si>
  <si>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</si>
  <si>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</si>
  <si>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</si>
  <si>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</si>
  <si>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</si>
  <si>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TO EX &amp;</t>
  </si>
  <si>
    <t xml:space="preserve">DV  CR</t>
  </si>
  <si>
    <t xml:space="preserve">       D/S SENIOR </t>
  </si>
  <si>
    <t xml:space="preserve">BELOW</t>
  </si>
  <si>
    <t xml:space="preserve">FISH</t>
  </si>
  <si>
    <t xml:space="preserve">SPILL</t>
  </si>
  <si>
    <t xml:space="preserve">NAR</t>
  </si>
  <si>
    <t xml:space="preserve">MVI </t>
  </si>
  <si>
    <t xml:space="preserve">DIST.</t>
  </si>
  <si>
    <t xml:space="preserve">U/S</t>
  </si>
  <si>
    <t xml:space="preserve">TOTTEN</t>
  </si>
  <si>
    <t xml:space="preserve">UTES</t>
  </si>
  <si>
    <t xml:space="preserve">RAIN</t>
  </si>
  <si>
    <t xml:space="preserve">MAX</t>
  </si>
  <si>
    <t xml:space="preserve">MIN</t>
  </si>
  <si>
    <t xml:space="preserve">NOV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</si>
  <si>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</si>
  <si>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</si>
  <si>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</si>
  <si>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</si>
  <si>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</si>
  <si>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</t>
  </si>
  <si>
    <t xml:space="preserve">INFLOW</t>
  </si>
  <si>
    <t xml:space="preserve">INF/OTF</t>
  </si>
  <si>
    <t xml:space="preserve">TOT DIV</t>
  </si>
  <si>
    <t xml:space="preserve">WET</t>
  </si>
  <si>
    <t xml:space="preserve">UTE</t>
  </si>
  <si>
    <t xml:space="preserve">QUEST</t>
  </si>
  <si>
    <t xml:space="preserve">MWC</t>
  </si>
  <si>
    <t xml:space="preserve">CTZ</t>
  </si>
  <si>
    <t xml:space="preserve">CTZ &amp;</t>
  </si>
  <si>
    <t xml:space="preserve">F-BAY</t>
  </si>
  <si>
    <t xml:space="preserve">PINE</t>
  </si>
  <si>
    <t xml:space="preserve">LAT</t>
  </si>
  <si>
    <t xml:space="preserve">CALL</t>
  </si>
  <si>
    <t xml:space="preserve">APR-</t>
  </si>
  <si>
    <t xml:space="preserve">U/S EX</t>
  </si>
  <si>
    <t xml:space="preserve">PROJ </t>
  </si>
  <si>
    <t xml:space="preserve">CANAL</t>
  </si>
  <si>
    <t xml:space="preserve">MVIC</t>
  </si>
  <si>
    <t xml:space="preserve">PROJ</t>
  </si>
  <si>
    <t xml:space="preserve">MCP</t>
  </si>
  <si>
    <t xml:space="preserve">LEFT</t>
  </si>
  <si>
    <t xml:space="preserve">OTF</t>
  </si>
  <si>
    <t xml:space="preserve">FILL</t>
  </si>
  <si>
    <t xml:space="preserve">STOCK</t>
  </si>
  <si>
    <t xml:space="preserve">STORED</t>
  </si>
  <si>
    <t xml:space="preserve">CLASS</t>
  </si>
  <si>
    <t xml:space="preserve">USERS</t>
  </si>
  <si>
    <t xml:space="preserve">(FRESH</t>
  </si>
  <si>
    <t xml:space="preserve">FROM</t>
  </si>
  <si>
    <t xml:space="preserve">TMP</t>
  </si>
  <si>
    <t xml:space="preserve">TUNNEL</t>
  </si>
  <si>
    <t xml:space="preserve">LAND</t>
  </si>
  <si>
    <t xml:space="preserve">F&amp;R</t>
  </si>
  <si>
    <t xml:space="preserve">WATER</t>
  </si>
  <si>
    <t xml:space="preserve">IRRIG.</t>
  </si>
  <si>
    <t xml:space="preserve">STOR</t>
  </si>
  <si>
    <t xml:space="preserve">SPILLED</t>
  </si>
  <si>
    <t xml:space="preserve">JUNE</t>
  </si>
  <si>
    <t xml:space="preserve">Apr - Jun</t>
  </si>
  <si>
    <t xml:space="preserve">EVAP</t>
  </si>
  <si>
    <t xml:space="preserve">"B"</t>
  </si>
  <si>
    <t xml:space="preserve">EXCH</t>
  </si>
  <si>
    <t xml:space="preserve">WATER)</t>
  </si>
  <si>
    <t xml:space="preserve">DWCD</t>
  </si>
  <si>
    <t xml:space="preserve">Misc.</t>
  </si>
  <si>
    <t xml:space="preserve">USED</t>
  </si>
  <si>
    <t xml:space="preserve">OR </t>
  </si>
  <si>
    <t xml:space="preserve">(DIV+</t>
  </si>
  <si>
    <t xml:space="preserve">CALL)</t>
  </si>
  <si>
    <t xml:space="preserve">AC. Ft.</t>
  </si>
  <si>
    <t xml:space="preserve">AC FT</t>
  </si>
  <si>
    <t xml:space="preserve">AC.FT.</t>
  </si>
  <si>
    <t xml:space="preserve">Outflow </t>
  </si>
  <si>
    <t xml:space="preserve">Ac. Ft.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</si>
  <si>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</si>
  <si>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</si>
  <si>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</si>
  <si>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</si>
  <si>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</si>
  <si>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</si>
  <si>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</si>
  <si>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</si>
  <si>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</si>
  <si>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</si>
  <si>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</si>
  <si>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"2009"</t>
  </si>
  <si>
    <t xml:space="preserve">DEC</t>
  </si>
  <si>
    <t xml:space="preserve">FILLL</t>
  </si>
  <si>
    <t xml:space="preserve"> </t>
  </si>
  <si>
    <t xml:space="preserve">JANUARY  "2010"</t>
  </si>
  <si>
    <t xml:space="preserve">FEBRUARY  "2010"</t>
  </si>
  <si>
    <t xml:space="preserve">FEB</t>
  </si>
  <si>
    <t xml:space="preserve">AVE</t>
  </si>
  <si>
    <t xml:space="preserve">MARCH  "2010"</t>
  </si>
  <si>
    <t xml:space="preserve">MAR</t>
  </si>
  <si>
    <t xml:space="preserve">                                    Apr  "2010"</t>
  </si>
  <si>
    <t xml:space="preserve">APR</t>
  </si>
  <si>
    <t xml:space="preserve">AVG</t>
  </si>
  <si>
    <t xml:space="preserve">                                  MAY  "2010"</t>
  </si>
  <si>
    <t xml:space="preserve">       D/S SENIOR</t>
  </si>
  <si>
    <t xml:space="preserve">FISH </t>
  </si>
  <si>
    <t xml:space="preserve">MAY</t>
  </si>
  <si>
    <t xml:space="preserve">                                    JUNE  "2010"</t>
  </si>
  <si>
    <t xml:space="preserve">JUN</t>
  </si>
  <si>
    <r>
      <rPr>
        <b val="true"/>
        <sz val="8"/>
        <rFont val="Arial Narrow"/>
        <family val="2"/>
      </rPr>
      <t xml:space="preserve">Note:</t>
    </r>
    <r>
      <rPr>
        <sz val="8"/>
        <rFont val="Arial Narrow"/>
        <family val="2"/>
      </rPr>
      <t xml:space="preserve"> Total Season MVI Irrig water used 50116.6 (Col X Cell 50) minus 636.5 topping off Narr (4/19-4/23) minus 1652 (Narr second Fill) = 47828+23659 (Col Y Cell 50) =71487 (Col AA Cell 44)</t>
    </r>
  </si>
  <si>
    <t xml:space="preserve">                                            JULY  "2010"</t>
  </si>
  <si>
    <t xml:space="preserve">JUL</t>
  </si>
  <si>
    <t xml:space="preserve">AUGUST  "2010"</t>
  </si>
  <si>
    <t xml:space="preserve">AUG</t>
  </si>
  <si>
    <t xml:space="preserve">SEPTEMBER  "2010"</t>
  </si>
  <si>
    <t xml:space="preserve">SEPT</t>
  </si>
  <si>
    <t xml:space="preserve">c</t>
  </si>
  <si>
    <t xml:space="preserve">OCTOBER  "2010"</t>
  </si>
  <si>
    <t xml:space="preserve">OCT</t>
  </si>
  <si>
    <t xml:space="preserve">Carry-</t>
  </si>
  <si>
    <t xml:space="preserve">over</t>
  </si>
  <si>
    <t xml:space="preserve">Total Ute F &amp; R </t>
  </si>
  <si>
    <t xml:space="preserve">Total MVIC water</t>
  </si>
  <si>
    <t xml:space="preserve">Total water leased to UTE F&amp;R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</si>
</sst>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0.00_);\(0.00\)"/>
    <numFmt numFmtId="167" formatCode="0.0"/>
    <numFmt numFmtId="168" formatCode="0.00"/>
    <numFmt numFmtId="169" formatCode="0"/>
    <numFmt numFmtId="170" formatCode="#,##0.0"/>
    <numFmt numFmtId="171" formatCode="##0.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0_);\(0\)"/>
    <numFmt numFmtId="179" formatCode="[$-409]mmm\-yy"/>
    <numFmt numFmtId="180" formatCode="#,##0.0000"/>
    <numFmt numFmtId="181" formatCode="0.00_);[RED]\(0.00\)"/>
    <numFmt numFmtId="182" formatCode="0_);[RED]\(0\)"/>
  </numFmts>
  <fonts count="14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2"/>
    </font>
    <font>
      <b val="true"/>
      <i val="true"/>
      <sz val="12"/>
      <name val="Arial Narrow"/>
      <family val="2"/>
    </font>
    <font>
      <sz val="6"/>
      <name val="Arial Narrow"/>
      <family val="2"/>
    </font>
    <font>
      <b val="true"/>
      <sz val="8"/>
      <name val="Arial Narrow"/>
      <family val="2"/>
    </font>
    <font>
      <b val="true"/>
      <sz val="6"/>
      <name val="Arial Narrow"/>
      <family val="2"/>
    </font>
    <font>
      <b val="true"/>
      <sz val="9"/>
      <name val="Arial Narrow"/>
      <family val="2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6"/>
      <name val="LinePrinter"/>
      <family val="0"/>
    </font>
    <font>
      <b val="true"/>
      <sz val="1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A6CAF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31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EEEEEC"/>
      </bottom>
      <diagonal/>
    </border>
    <border diagonalUp="false" diagonalDown="false">
      <left/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 style="thick">
        <color rgb="FFEEEEEC"/>
      </top>
      <bottom/>
      <diagonal/>
    </border>
    <border diagonalUp="false" diagonalDown="false">
      <left/>
      <right/>
      <top style="thick">
        <color rgb="FFEEEEEC"/>
      </top>
      <bottom/>
      <diagonal/>
    </border>
    <border diagonalUp="false" diagonalDown="false">
      <left style="thick">
        <color rgb="FFEEEEEC"/>
      </left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/>
      <bottom/>
      <diagonal/>
    </border>
    <border diagonalUp="false" diagonalDown="false">
      <left/>
      <right style="thick">
        <color rgb="FFEEEEEC"/>
      </right>
      <top/>
      <bottom/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/>
      <diagonal/>
    </border>
    <border diagonalUp="false" diagonalDown="false">
      <left style="thick">
        <color rgb="FFEEEEEC"/>
      </left>
      <right style="thick">
        <color rgb="FFEEEEEC"/>
      </right>
      <top/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ck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/>
      <bottom style="thin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 style="thick">
        <color rgb="FFEEEEEC"/>
      </left>
      <right style="thick">
        <color rgb="FFEEEEEC"/>
      </right>
      <top/>
      <bottom style="thin">
        <color rgb="FFEEEEEC"/>
      </bottom>
      <diagonal/>
    </border>
    <border diagonalUp="false" diagonalDown="false">
      <left style="thick">
        <color rgb="FFEEEEEC"/>
      </left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/>
      <bottom style="thin">
        <color rgb="FFEEEEEC"/>
      </bottom>
      <diagonal/>
    </border>
    <border diagonalUp="false" diagonalDown="false">
      <left style="medium">
        <color rgb="FFEEEEEC"/>
      </left>
      <right/>
      <top/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/>
      <diagonal/>
    </border>
    <border diagonalUp="false" diagonalDown="false">
      <left/>
      <right style="medium">
        <color rgb="FFEEEEEC"/>
      </right>
      <top style="thin">
        <color rgb="FFEEEEEC"/>
      </top>
      <bottom/>
      <diagonal/>
    </border>
    <border diagonalUp="false" diagonalDown="false">
      <left/>
      <right style="thick">
        <color rgb="FFEEEEEC"/>
      </right>
      <top style="thin">
        <color rgb="FFEEEEEC"/>
      </top>
      <bottom/>
      <diagonal/>
    </border>
    <border diagonalUp="false" diagonalDown="false">
      <left/>
      <right style="thick">
        <color rgb="FFEEEEEC"/>
      </right>
      <top/>
      <bottom style="thin">
        <color rgb="FFEEEEEC"/>
      </bottom>
      <diagonal/>
    </border>
    <border diagonalUp="false" diagonalDown="false">
      <left/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hair">
        <color rgb="FFEEEEEC"/>
      </top>
      <bottom style="hair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5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8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5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2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4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3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4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2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33</xdr:row>
      <xdr:rowOff>0</xdr:rowOff>
    </xdr:from>
    <xdr:to>
      <xdr:col>7</xdr:col>
      <xdr:colOff>21600</xdr:colOff>
      <xdr:row>34</xdr:row>
      <xdr:rowOff>28800</xdr:rowOff>
    </xdr:to>
    <xdr:sp>
      <xdr:nvSpPr>
        <xdr:cNvPr id="0" name="Text 1"/>
        <xdr:cNvSpPr/>
      </xdr:nvSpPr>
      <xdr:spPr>
        <a:xfrm>
          <a:off x="2543760" y="5359320"/>
          <a:ext cx="463680" cy="193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1" name="Rectangle 1"/>
        <xdr:cNvSpPr/>
      </xdr:nvSpPr>
      <xdr:spPr>
        <a:xfrm>
          <a:off x="59068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2" name="Rectangle 2"/>
        <xdr:cNvSpPr/>
      </xdr:nvSpPr>
      <xdr:spPr>
        <a:xfrm>
          <a:off x="59068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3" name="Rectangle 3"/>
        <xdr:cNvSpPr/>
      </xdr:nvSpPr>
      <xdr:spPr>
        <a:xfrm>
          <a:off x="59068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4" name="Rectangle 4"/>
        <xdr:cNvSpPr/>
      </xdr:nvSpPr>
      <xdr:spPr>
        <a:xfrm>
          <a:off x="59068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5" name="Rectangle 5"/>
        <xdr:cNvSpPr/>
      </xdr:nvSpPr>
      <xdr:spPr>
        <a:xfrm>
          <a:off x="59068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124200</xdr:rowOff>
    </xdr:from>
    <xdr:to>
      <xdr:col>14</xdr:col>
      <xdr:colOff>11160</xdr:colOff>
      <xdr:row>39</xdr:row>
      <xdr:rowOff>164520</xdr:rowOff>
    </xdr:to>
    <xdr:sp>
      <xdr:nvSpPr>
        <xdr:cNvPr id="6" name="Rectangle 6"/>
        <xdr:cNvSpPr/>
      </xdr:nvSpPr>
      <xdr:spPr>
        <a:xfrm>
          <a:off x="5906880" y="6470280"/>
          <a:ext cx="11160" cy="403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7" name="Rectangle 7"/>
        <xdr:cNvSpPr/>
      </xdr:nvSpPr>
      <xdr:spPr>
        <a:xfrm>
          <a:off x="5906880" y="6346080"/>
          <a:ext cx="355680" cy="16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355680</xdr:colOff>
      <xdr:row>33</xdr:row>
      <xdr:rowOff>164520</xdr:rowOff>
    </xdr:to>
    <xdr:sp>
      <xdr:nvSpPr>
        <xdr:cNvPr id="8" name="Rectangle 8"/>
        <xdr:cNvSpPr/>
      </xdr:nvSpPr>
      <xdr:spPr>
        <a:xfrm>
          <a:off x="5906880" y="535932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355680</xdr:colOff>
      <xdr:row>33</xdr:row>
      <xdr:rowOff>164520</xdr:rowOff>
    </xdr:to>
    <xdr:sp>
      <xdr:nvSpPr>
        <xdr:cNvPr id="9" name="Rectangle 9"/>
        <xdr:cNvSpPr/>
      </xdr:nvSpPr>
      <xdr:spPr>
        <a:xfrm>
          <a:off x="5906880" y="535932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10" name="Rectangle 1"/>
        <xdr:cNvSpPr/>
      </xdr:nvSpPr>
      <xdr:spPr>
        <a:xfrm>
          <a:off x="58636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11" name="Rectangle 3"/>
        <xdr:cNvSpPr/>
      </xdr:nvSpPr>
      <xdr:spPr>
        <a:xfrm>
          <a:off x="58636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12" name="Rectangle 4"/>
        <xdr:cNvSpPr/>
      </xdr:nvSpPr>
      <xdr:spPr>
        <a:xfrm>
          <a:off x="58636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13" name="Rectangle 6"/>
        <xdr:cNvSpPr/>
      </xdr:nvSpPr>
      <xdr:spPr>
        <a:xfrm>
          <a:off x="58636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14" name="Rectangle 8"/>
        <xdr:cNvSpPr/>
      </xdr:nvSpPr>
      <xdr:spPr>
        <a:xfrm>
          <a:off x="5863680" y="634608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124200</xdr:rowOff>
    </xdr:from>
    <xdr:to>
      <xdr:col>14</xdr:col>
      <xdr:colOff>11160</xdr:colOff>
      <xdr:row>39</xdr:row>
      <xdr:rowOff>164520</xdr:rowOff>
    </xdr:to>
    <xdr:sp>
      <xdr:nvSpPr>
        <xdr:cNvPr id="15" name="Rectangle 10"/>
        <xdr:cNvSpPr/>
      </xdr:nvSpPr>
      <xdr:spPr>
        <a:xfrm>
          <a:off x="5863680" y="6470280"/>
          <a:ext cx="11160" cy="403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355680</xdr:colOff>
      <xdr:row>39</xdr:row>
      <xdr:rowOff>164520</xdr:rowOff>
    </xdr:to>
    <xdr:sp>
      <xdr:nvSpPr>
        <xdr:cNvPr id="16" name="Rectangle 11"/>
        <xdr:cNvSpPr/>
      </xdr:nvSpPr>
      <xdr:spPr>
        <a:xfrm>
          <a:off x="5863680" y="6346080"/>
          <a:ext cx="355680" cy="16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355680</xdr:colOff>
      <xdr:row>33</xdr:row>
      <xdr:rowOff>164520</xdr:rowOff>
    </xdr:to>
    <xdr:sp>
      <xdr:nvSpPr>
        <xdr:cNvPr id="17" name="Rectangle 12"/>
        <xdr:cNvSpPr/>
      </xdr:nvSpPr>
      <xdr:spPr>
        <a:xfrm>
          <a:off x="5863680" y="535932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355680</xdr:colOff>
      <xdr:row>33</xdr:row>
      <xdr:rowOff>164520</xdr:rowOff>
    </xdr:to>
    <xdr:sp>
      <xdr:nvSpPr>
        <xdr:cNvPr id="18" name="Rectangle 13"/>
        <xdr:cNvSpPr/>
      </xdr:nvSpPr>
      <xdr:spPr>
        <a:xfrm>
          <a:off x="5863680" y="5359320"/>
          <a:ext cx="35568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D28" activePane="bottomRight" state="frozen"/>
      <selection pane="topLeft" activeCell="A1" activeCellId="0" sqref="A1"/>
      <selection pane="topRight" activeCell="D1" activeCellId="0" sqref="D1"/>
      <selection pane="bottomLeft" activeCell="A28" activeCellId="0" sqref="A28"/>
      <selection pane="bottomRight" activeCell="AT18" activeCellId="0" sqref="AT18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99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3" width="5.66"/>
    <col collapsed="false" customWidth="true" hidden="false" outlineLevel="0" max="11" min="9" style="1" width="6.32"/>
    <col collapsed="false" customWidth="true" hidden="false" outlineLevel="0" max="12" min="12" style="1" width="7.16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19" min="19" style="1" width="4.32"/>
    <col collapsed="false" customWidth="true" hidden="false" outlineLevel="0" max="20" min="20" style="6" width="5.49"/>
    <col collapsed="false" customWidth="true" hidden="false" outlineLevel="0" max="22" min="21" style="1" width="5.49"/>
    <col collapsed="false" customWidth="true" hidden="false" outlineLevel="0" max="23" min="23" style="2" width="6.32"/>
    <col collapsed="false" customWidth="true" hidden="false" outlineLevel="0" max="24" min="24" style="4" width="6.32"/>
    <col collapsed="false" customWidth="true" hidden="false" outlineLevel="0" max="25" min="25" style="1" width="5.49"/>
    <col collapsed="false" customWidth="true" hidden="false" outlineLevel="0" max="26" min="26" style="4" width="6.32"/>
    <col collapsed="false" customWidth="true" hidden="false" outlineLevel="0" max="27" min="27" style="1" width="5.49"/>
    <col collapsed="false" customWidth="true" hidden="false" outlineLevel="0" max="28" min="28" style="1" width="5.82"/>
    <col collapsed="false" customWidth="true" hidden="false" outlineLevel="0" max="30" min="29" style="1" width="5.49"/>
    <col collapsed="false" customWidth="true" hidden="false" outlineLevel="0" max="32" min="31" style="2" width="5.49"/>
    <col collapsed="false" customWidth="true" hidden="false" outlineLevel="0" max="33" min="33" style="2" width="6.49"/>
    <col collapsed="false" customWidth="true" hidden="false" outlineLevel="0" max="34" min="34" style="1" width="5.49"/>
    <col collapsed="false" customWidth="true" hidden="false" outlineLevel="0" max="36" min="35" style="1" width="6.32"/>
    <col collapsed="false" customWidth="true" hidden="false" outlineLevel="0" max="37" min="37" style="1" width="6.99"/>
    <col collapsed="false" customWidth="true" hidden="false" outlineLevel="0" max="38" min="38" style="3" width="6.99"/>
    <col collapsed="false" customWidth="true" hidden="false" outlineLevel="0" max="40" min="39" style="4" width="5.49"/>
    <col collapsed="false" customWidth="true" hidden="false" outlineLevel="0" max="41" min="41" style="1" width="6.32"/>
    <col collapsed="false" customWidth="true" hidden="false" outlineLevel="0" max="43" min="42" style="7" width="6.32"/>
    <col collapsed="false" customWidth="true" hidden="false" outlineLevel="0" max="44" min="44" style="1" width="6.32"/>
    <col collapsed="false" customWidth="true" hidden="false" outlineLevel="0" max="45" min="45" style="1" width="5.82"/>
    <col collapsed="false" customWidth="true" hidden="false" outlineLevel="0" max="46" min="46" style="8" width="4.99"/>
    <col collapsed="false" customWidth="true" hidden="false" outlineLevel="0" max="47" min="47" style="3" width="5.32"/>
    <col collapsed="false" customWidth="true" hidden="false" outlineLevel="0" max="48" min="48" style="9" width="3.82"/>
    <col collapsed="false" customWidth="true" hidden="false" outlineLevel="0" max="49" min="49" style="10" width="3.82"/>
    <col collapsed="false" customWidth="true" hidden="false" outlineLevel="0" max="50" min="50" style="10" width="4.32"/>
    <col collapsed="false" customWidth="true" hidden="false" outlineLevel="0" max="51" min="51" style="4" width="6.49"/>
  </cols>
  <sheetData>
    <row r="1" customFormat="false" ht="14.1" hidden="false" customHeight="true" outlineLevel="0" collapsed="false">
      <c r="A1" s="11"/>
      <c r="B1" s="11"/>
      <c r="D1" s="11"/>
      <c r="F1" s="11"/>
      <c r="G1" s="11"/>
      <c r="H1" s="12"/>
      <c r="I1" s="11"/>
      <c r="J1" s="11"/>
      <c r="K1" s="13" t="s">
        <v>0</v>
      </c>
      <c r="L1" s="11"/>
      <c r="M1" s="11"/>
      <c r="N1" s="11"/>
      <c r="O1" s="11"/>
      <c r="Q1" s="11"/>
      <c r="R1" s="11"/>
      <c r="S1" s="11"/>
      <c r="U1" s="11"/>
      <c r="V1" s="11"/>
      <c r="Y1" s="11"/>
      <c r="AA1" s="11"/>
      <c r="AB1" s="11"/>
      <c r="AC1" s="11"/>
      <c r="AD1" s="11"/>
      <c r="AH1" s="11"/>
      <c r="AI1" s="11"/>
      <c r="AJ1" s="11"/>
      <c r="AK1" s="11"/>
      <c r="AL1" s="5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H2" s="12"/>
      <c r="I2" s="11"/>
      <c r="J2" s="11"/>
      <c r="K2" s="11"/>
      <c r="L2" s="13" t="s">
        <v>2</v>
      </c>
      <c r="M2" s="11"/>
      <c r="N2" s="11"/>
      <c r="O2" s="11"/>
      <c r="Q2" s="11"/>
      <c r="R2" s="11"/>
      <c r="S2" s="11"/>
      <c r="U2" s="11"/>
      <c r="V2" s="11"/>
      <c r="Y2" s="11"/>
      <c r="AA2" s="11"/>
      <c r="AB2" s="11"/>
      <c r="AC2" s="11"/>
      <c r="AD2" s="11"/>
      <c r="AH2" s="11"/>
      <c r="AI2" s="11"/>
      <c r="AJ2" s="11"/>
      <c r="AK2" s="11"/>
      <c r="AL2" s="5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19"/>
      <c r="I3" s="16"/>
      <c r="J3" s="16"/>
      <c r="K3" s="16"/>
      <c r="L3" s="16"/>
      <c r="M3" s="16"/>
      <c r="N3" s="16"/>
      <c r="O3" s="16"/>
      <c r="P3" s="20"/>
      <c r="Q3" s="16"/>
      <c r="R3" s="16"/>
      <c r="S3" s="16"/>
      <c r="T3" s="21"/>
      <c r="U3" s="16"/>
      <c r="V3" s="16"/>
      <c r="W3" s="17"/>
      <c r="X3" s="22"/>
      <c r="Y3" s="16"/>
      <c r="Z3" s="22"/>
      <c r="AA3" s="16"/>
      <c r="AB3" s="16"/>
      <c r="AC3" s="16"/>
      <c r="AD3" s="16"/>
      <c r="AE3" s="17"/>
      <c r="AF3" s="17"/>
      <c r="AG3" s="17"/>
      <c r="AH3" s="16"/>
      <c r="AI3" s="16"/>
      <c r="AJ3" s="16"/>
      <c r="AK3" s="16"/>
      <c r="AL3" s="20"/>
      <c r="AM3" s="22"/>
      <c r="AN3" s="22"/>
      <c r="AO3" s="23"/>
      <c r="AP3" s="24"/>
      <c r="AQ3" s="25"/>
      <c r="AR3" s="26"/>
      <c r="AU3" s="27"/>
      <c r="AV3" s="28"/>
      <c r="AW3" s="29"/>
      <c r="AX3" s="30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5"/>
      <c r="J4" s="35"/>
      <c r="K4" s="35"/>
      <c r="L4" s="35"/>
      <c r="M4" s="35"/>
      <c r="N4" s="35"/>
      <c r="O4" s="35"/>
      <c r="P4" s="36"/>
      <c r="Q4" s="35"/>
      <c r="R4" s="35"/>
      <c r="S4" s="35"/>
      <c r="T4" s="36"/>
      <c r="U4" s="35"/>
      <c r="V4" s="35"/>
      <c r="W4" s="37" t="s">
        <v>4</v>
      </c>
      <c r="X4" s="37"/>
      <c r="Y4" s="38"/>
      <c r="Z4" s="37"/>
      <c r="AA4" s="38"/>
      <c r="AB4" s="38"/>
      <c r="AC4" s="39"/>
      <c r="AD4" s="35"/>
      <c r="AE4" s="35"/>
      <c r="AF4" s="35"/>
      <c r="AG4" s="33"/>
      <c r="AH4" s="35"/>
      <c r="AI4" s="40"/>
      <c r="AJ4" s="35"/>
      <c r="AK4" s="35"/>
      <c r="AL4" s="36"/>
      <c r="AM4" s="41"/>
      <c r="AN4" s="42"/>
      <c r="AO4" s="43" t="s">
        <v>5</v>
      </c>
      <c r="AP4" s="44"/>
      <c r="AQ4" s="45"/>
      <c r="AR4" s="46"/>
      <c r="AS4" s="47"/>
      <c r="AT4" s="48"/>
      <c r="AU4" s="49"/>
      <c r="AV4" s="50" t="s">
        <v>6</v>
      </c>
      <c r="AW4" s="51"/>
      <c r="AX4" s="51"/>
      <c r="AY4" s="52"/>
    </row>
    <row r="5" customFormat="false" ht="12.95" hidden="false" customHeight="true" outlineLevel="0" collapsed="false">
      <c r="A5" s="53" t="s">
        <v>7</v>
      </c>
      <c r="B5" s="54" t="s">
        <v>8</v>
      </c>
      <c r="C5" s="55" t="s">
        <v>8</v>
      </c>
      <c r="D5" s="56" t="s">
        <v>9</v>
      </c>
      <c r="E5" s="55" t="s">
        <v>10</v>
      </c>
      <c r="F5" s="57" t="s">
        <v>11</v>
      </c>
      <c r="G5" s="53" t="s">
        <v>12</v>
      </c>
      <c r="H5" s="53" t="s">
        <v>13</v>
      </c>
      <c r="I5" s="53" t="s">
        <v>14</v>
      </c>
      <c r="J5" s="53" t="s">
        <v>15</v>
      </c>
      <c r="K5" s="53" t="s">
        <v>16</v>
      </c>
      <c r="L5" s="53" t="s">
        <v>15</v>
      </c>
      <c r="M5" s="58" t="s">
        <v>17</v>
      </c>
      <c r="N5" s="58"/>
      <c r="O5" s="58"/>
      <c r="P5" s="58"/>
      <c r="Q5" s="58"/>
      <c r="R5" s="58"/>
      <c r="S5" s="58"/>
      <c r="T5" s="58"/>
      <c r="U5" s="53" t="s">
        <v>18</v>
      </c>
      <c r="V5" s="53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59" t="s">
        <v>21</v>
      </c>
      <c r="AC5" s="60" t="s">
        <v>20</v>
      </c>
      <c r="AD5" s="53" t="s">
        <v>22</v>
      </c>
      <c r="AE5" s="61" t="s">
        <v>23</v>
      </c>
      <c r="AF5" s="62"/>
      <c r="AG5" s="53" t="s">
        <v>24</v>
      </c>
      <c r="AH5" s="63" t="s">
        <v>25</v>
      </c>
      <c r="AI5" s="63" t="s">
        <v>26</v>
      </c>
      <c r="AJ5" s="53" t="s">
        <v>14</v>
      </c>
      <c r="AK5" s="53" t="s">
        <v>15</v>
      </c>
      <c r="AL5" s="56" t="s">
        <v>16</v>
      </c>
      <c r="AM5" s="64" t="s">
        <v>27</v>
      </c>
      <c r="AN5" s="60" t="s">
        <v>20</v>
      </c>
      <c r="AO5" s="59" t="s">
        <v>28</v>
      </c>
      <c r="AP5" s="65" t="s">
        <v>28</v>
      </c>
      <c r="AQ5" s="60" t="s">
        <v>29</v>
      </c>
      <c r="AR5" s="66" t="s">
        <v>30</v>
      </c>
      <c r="AS5" s="66" t="s">
        <v>31</v>
      </c>
      <c r="AT5" s="67" t="s">
        <v>32</v>
      </c>
      <c r="AU5" s="68" t="s">
        <v>33</v>
      </c>
      <c r="AV5" s="69" t="s">
        <v>34</v>
      </c>
      <c r="AW5" s="69" t="s">
        <v>35</v>
      </c>
      <c r="AX5" s="69"/>
      <c r="AY5" s="70" t="s">
        <v>16</v>
      </c>
    </row>
    <row r="6" customFormat="false" ht="12.95" hidden="false" customHeight="true" outlineLevel="0" collapsed="false">
      <c r="A6" s="71" t="s">
        <v>36</v>
      </c>
      <c r="B6" s="54" t="s">
        <v>37</v>
      </c>
      <c r="C6" s="55"/>
      <c r="D6" s="56" t="s">
        <v>38</v>
      </c>
      <c r="E6" s="55" t="s">
        <v>39</v>
      </c>
      <c r="F6" s="57" t="s">
        <v>40</v>
      </c>
      <c r="G6" s="53" t="s">
        <v>41</v>
      </c>
      <c r="H6" s="53" t="s">
        <v>42</v>
      </c>
      <c r="I6" s="53" t="s">
        <v>43</v>
      </c>
      <c r="J6" s="53" t="s">
        <v>43</v>
      </c>
      <c r="K6" s="53" t="s">
        <v>43</v>
      </c>
      <c r="L6" s="53" t="s">
        <v>44</v>
      </c>
      <c r="M6" s="72" t="s">
        <v>45</v>
      </c>
      <c r="N6" s="56" t="s">
        <v>46</v>
      </c>
      <c r="O6" s="56" t="s">
        <v>47</v>
      </c>
      <c r="P6" s="73" t="s">
        <v>48</v>
      </c>
      <c r="Q6" s="56" t="s">
        <v>49</v>
      </c>
      <c r="R6" s="56" t="s">
        <v>50</v>
      </c>
      <c r="S6" s="56" t="s">
        <v>51</v>
      </c>
      <c r="T6" s="74" t="s">
        <v>52</v>
      </c>
      <c r="U6" s="53" t="s">
        <v>53</v>
      </c>
      <c r="V6" s="53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59" t="s">
        <v>57</v>
      </c>
      <c r="AC6" s="60" t="s">
        <v>58</v>
      </c>
      <c r="AD6" s="53" t="s">
        <v>59</v>
      </c>
      <c r="AE6" s="72" t="s">
        <v>60</v>
      </c>
      <c r="AF6" s="75" t="s">
        <v>61</v>
      </c>
      <c r="AG6" s="53" t="s">
        <v>62</v>
      </c>
      <c r="AH6" s="63" t="s">
        <v>63</v>
      </c>
      <c r="AI6" s="63"/>
      <c r="AJ6" s="53" t="s">
        <v>64</v>
      </c>
      <c r="AK6" s="53" t="s">
        <v>64</v>
      </c>
      <c r="AL6" s="56" t="s">
        <v>64</v>
      </c>
      <c r="AM6" s="64" t="s">
        <v>65</v>
      </c>
      <c r="AN6" s="60" t="s">
        <v>66</v>
      </c>
      <c r="AO6" s="59" t="s">
        <v>67</v>
      </c>
      <c r="AP6" s="65" t="s">
        <v>67</v>
      </c>
      <c r="AQ6" s="60" t="s">
        <v>68</v>
      </c>
      <c r="AR6" s="66" t="s">
        <v>69</v>
      </c>
      <c r="AS6" s="66" t="s">
        <v>70</v>
      </c>
      <c r="AT6" s="67" t="s">
        <v>71</v>
      </c>
      <c r="AU6" s="76"/>
      <c r="AV6" s="69" t="s">
        <v>72</v>
      </c>
      <c r="AW6" s="69" t="s">
        <v>72</v>
      </c>
      <c r="AX6" s="69"/>
      <c r="AY6" s="70" t="s">
        <v>73</v>
      </c>
    </row>
    <row r="7" customFormat="false" ht="12.95" hidden="false" customHeight="true" outlineLevel="0" collapsed="false">
      <c r="A7" s="53"/>
      <c r="B7" s="54"/>
      <c r="C7" s="55"/>
      <c r="D7" s="56"/>
      <c r="E7" s="55"/>
      <c r="F7" s="57"/>
      <c r="G7" s="53"/>
      <c r="H7" s="53"/>
      <c r="I7" s="53"/>
      <c r="J7" s="53"/>
      <c r="K7" s="53"/>
      <c r="L7" s="53"/>
      <c r="M7" s="72"/>
      <c r="N7" s="56" t="s">
        <v>74</v>
      </c>
      <c r="O7" s="56" t="s">
        <v>75</v>
      </c>
      <c r="P7" s="73"/>
      <c r="Q7" s="56"/>
      <c r="R7" s="56"/>
      <c r="S7" s="56" t="s">
        <v>47</v>
      </c>
      <c r="T7" s="74" t="s">
        <v>26</v>
      </c>
      <c r="U7" s="53"/>
      <c r="V7" s="53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59"/>
      <c r="AC7" s="60"/>
      <c r="AD7" s="75"/>
      <c r="AE7" s="77" t="n">
        <v>1.7</v>
      </c>
      <c r="AF7" s="77" t="n">
        <v>1.3</v>
      </c>
      <c r="AG7" s="72"/>
      <c r="AH7" s="78" t="n">
        <v>31798</v>
      </c>
      <c r="AI7" s="63"/>
      <c r="AJ7" s="53"/>
      <c r="AK7" s="53"/>
      <c r="AL7" s="56"/>
      <c r="AM7" s="64"/>
      <c r="AN7" s="60"/>
      <c r="AO7" s="59" t="s">
        <v>81</v>
      </c>
      <c r="AP7" s="65" t="s">
        <v>82</v>
      </c>
      <c r="AQ7" s="60" t="s">
        <v>83</v>
      </c>
      <c r="AR7" s="66" t="s">
        <v>84</v>
      </c>
      <c r="AS7" s="66" t="s">
        <v>85</v>
      </c>
      <c r="AT7" s="67" t="s">
        <v>86</v>
      </c>
      <c r="AU7" s="76"/>
      <c r="AV7" s="69"/>
      <c r="AW7" s="69"/>
      <c r="AX7" s="69"/>
      <c r="AY7" s="70" t="s">
        <v>87</v>
      </c>
    </row>
    <row r="8" customFormat="false" ht="12.95" hidden="false" customHeight="true" outlineLevel="0" collapsed="false">
      <c r="A8" s="53"/>
      <c r="B8" s="54"/>
      <c r="C8" s="55"/>
      <c r="D8" s="56"/>
      <c r="E8" s="55"/>
      <c r="F8" s="57"/>
      <c r="G8" s="53"/>
      <c r="H8" s="53"/>
      <c r="I8" s="53"/>
      <c r="J8" s="53"/>
      <c r="K8" s="53"/>
      <c r="L8" s="53"/>
      <c r="M8" s="56"/>
      <c r="N8" s="56"/>
      <c r="O8" s="56"/>
      <c r="P8" s="73"/>
      <c r="Q8" s="56"/>
      <c r="R8" s="56"/>
      <c r="S8" s="56"/>
      <c r="T8" s="74"/>
      <c r="U8" s="53"/>
      <c r="V8" s="53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59"/>
      <c r="AC8" s="60"/>
      <c r="AD8" s="75"/>
      <c r="AE8" s="77"/>
      <c r="AF8" s="77"/>
      <c r="AG8" s="72"/>
      <c r="AH8" s="78"/>
      <c r="AI8" s="63"/>
      <c r="AJ8" s="53"/>
      <c r="AK8" s="53"/>
      <c r="AL8" s="56"/>
      <c r="AM8" s="64"/>
      <c r="AN8" s="60"/>
      <c r="AO8" s="59"/>
      <c r="AP8" s="65"/>
      <c r="AQ8" s="60"/>
      <c r="AR8" s="66"/>
      <c r="AS8" s="66"/>
      <c r="AT8" s="67"/>
      <c r="AU8" s="76"/>
      <c r="AV8" s="69"/>
      <c r="AW8" s="69"/>
      <c r="AX8" s="69"/>
      <c r="AY8" s="70"/>
    </row>
    <row r="9" customFormat="false" ht="12.95" hidden="false" customHeight="true" outlineLevel="0" collapsed="false">
      <c r="A9" s="53"/>
      <c r="B9" s="54"/>
      <c r="C9" s="55"/>
      <c r="D9" s="56"/>
      <c r="E9" s="55"/>
      <c r="F9" s="57"/>
      <c r="G9" s="53"/>
      <c r="H9" s="53"/>
      <c r="I9" s="53"/>
      <c r="J9" s="53"/>
      <c r="K9" s="53"/>
      <c r="L9" s="53"/>
      <c r="M9" s="56"/>
      <c r="N9" s="56"/>
      <c r="O9" s="56"/>
      <c r="P9" s="73"/>
      <c r="Q9" s="56"/>
      <c r="R9" s="56"/>
      <c r="S9" s="56"/>
      <c r="T9" s="74"/>
      <c r="U9" s="53"/>
      <c r="V9" s="53"/>
      <c r="W9" s="63"/>
      <c r="X9" s="55" t="s">
        <v>88</v>
      </c>
      <c r="Y9" s="59"/>
      <c r="Z9" s="55" t="s">
        <v>88</v>
      </c>
      <c r="AA9" s="59" t="s">
        <v>91</v>
      </c>
      <c r="AB9" s="59"/>
      <c r="AC9" s="60"/>
      <c r="AD9" s="75"/>
      <c r="AE9" s="77"/>
      <c r="AF9" s="77"/>
      <c r="AG9" s="72"/>
      <c r="AH9" s="78"/>
      <c r="AI9" s="63"/>
      <c r="AJ9" s="53"/>
      <c r="AK9" s="53"/>
      <c r="AL9" s="56"/>
      <c r="AM9" s="64"/>
      <c r="AN9" s="60"/>
      <c r="AO9" s="59"/>
      <c r="AP9" s="65"/>
      <c r="AQ9" s="60"/>
      <c r="AR9" s="66"/>
      <c r="AS9" s="66"/>
      <c r="AT9" s="67"/>
      <c r="AU9" s="76"/>
      <c r="AV9" s="69"/>
      <c r="AW9" s="69"/>
      <c r="AX9" s="69"/>
      <c r="AY9" s="70"/>
    </row>
    <row r="10" customFormat="false" ht="12.95" hidden="false" customHeight="true" outlineLevel="0" collapsed="false">
      <c r="A10" s="53"/>
      <c r="B10" s="54"/>
      <c r="C10" s="55" t="s">
        <v>92</v>
      </c>
      <c r="D10" s="56"/>
      <c r="E10" s="55" t="s">
        <v>93</v>
      </c>
      <c r="F10" s="57"/>
      <c r="G10" s="56" t="s">
        <v>40</v>
      </c>
      <c r="H10" s="56" t="s">
        <v>40</v>
      </c>
      <c r="I10" s="56" t="s">
        <v>40</v>
      </c>
      <c r="J10" s="56" t="s">
        <v>40</v>
      </c>
      <c r="K10" s="56" t="s">
        <v>40</v>
      </c>
      <c r="L10" s="75" t="s">
        <v>40</v>
      </c>
      <c r="M10" s="56" t="s">
        <v>40</v>
      </c>
      <c r="N10" s="56" t="s">
        <v>40</v>
      </c>
      <c r="O10" s="56" t="s">
        <v>40</v>
      </c>
      <c r="P10" s="56" t="s">
        <v>40</v>
      </c>
      <c r="Q10" s="56" t="s">
        <v>40</v>
      </c>
      <c r="R10" s="56" t="s">
        <v>40</v>
      </c>
      <c r="S10" s="56" t="s">
        <v>61</v>
      </c>
      <c r="T10" s="75" t="s">
        <v>40</v>
      </c>
      <c r="U10" s="56" t="s">
        <v>40</v>
      </c>
      <c r="V10" s="56" t="s">
        <v>40</v>
      </c>
      <c r="W10" s="55" t="n">
        <v>153400</v>
      </c>
      <c r="X10" s="55" t="n">
        <v>150400</v>
      </c>
      <c r="Y10" s="56"/>
      <c r="Z10" s="55"/>
      <c r="AA10" s="55" t="n">
        <v>72000</v>
      </c>
      <c r="AB10" s="56" t="s">
        <v>40</v>
      </c>
      <c r="AC10" s="56" t="s">
        <v>40</v>
      </c>
      <c r="AD10" s="75" t="s">
        <v>40</v>
      </c>
      <c r="AE10" s="56" t="s">
        <v>40</v>
      </c>
      <c r="AF10" s="56" t="s">
        <v>40</v>
      </c>
      <c r="AG10" s="72" t="s">
        <v>40</v>
      </c>
      <c r="AH10" s="56" t="s">
        <v>40</v>
      </c>
      <c r="AI10" s="56" t="s">
        <v>40</v>
      </c>
      <c r="AJ10" s="56" t="s">
        <v>40</v>
      </c>
      <c r="AK10" s="56" t="s">
        <v>40</v>
      </c>
      <c r="AL10" s="56" t="s">
        <v>40</v>
      </c>
      <c r="AM10" s="64" t="s">
        <v>93</v>
      </c>
      <c r="AN10" s="60" t="s">
        <v>40</v>
      </c>
      <c r="AO10" s="60" t="s">
        <v>40</v>
      </c>
      <c r="AP10" s="65" t="s">
        <v>94</v>
      </c>
      <c r="AQ10" s="60" t="s">
        <v>40</v>
      </c>
      <c r="AR10" s="60" t="s">
        <v>40</v>
      </c>
      <c r="AS10" s="60" t="s">
        <v>40</v>
      </c>
      <c r="AT10" s="65" t="s">
        <v>40</v>
      </c>
      <c r="AU10" s="76"/>
      <c r="AV10" s="69"/>
      <c r="AW10" s="69"/>
      <c r="AX10" s="69"/>
      <c r="AY10" s="70" t="s">
        <v>95</v>
      </c>
    </row>
    <row r="11" customFormat="false" ht="12.95" hidden="false" customHeight="true" outlineLevel="0" collapsed="false">
      <c r="A11" s="53"/>
      <c r="B11" s="54"/>
      <c r="C11" s="55"/>
      <c r="D11" s="56"/>
      <c r="E11" s="55"/>
      <c r="F11" s="57"/>
      <c r="G11" s="53"/>
      <c r="H11" s="53"/>
      <c r="I11" s="53"/>
      <c r="J11" s="53"/>
      <c r="K11" s="53"/>
      <c r="L11" s="75"/>
      <c r="M11" s="56"/>
      <c r="N11" s="44" t="n">
        <v>1.03</v>
      </c>
      <c r="O11" s="44" t="n">
        <v>1.05</v>
      </c>
      <c r="P11" s="44" t="n">
        <v>1.02</v>
      </c>
      <c r="Q11" s="79" t="n">
        <v>1.02</v>
      </c>
      <c r="R11" s="44" t="n">
        <v>1.04</v>
      </c>
      <c r="S11" s="56" t="s">
        <v>40</v>
      </c>
      <c r="T11" s="74"/>
      <c r="U11" s="53"/>
      <c r="V11" s="53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59"/>
      <c r="AC11" s="59"/>
      <c r="AD11" s="81"/>
      <c r="AE11" s="77"/>
      <c r="AF11" s="77"/>
      <c r="AG11" s="72"/>
      <c r="AH11" s="78"/>
      <c r="AI11" s="82"/>
      <c r="AJ11" s="53"/>
      <c r="AK11" s="53"/>
      <c r="AL11" s="56"/>
      <c r="AM11" s="64"/>
      <c r="AN11" s="60"/>
      <c r="AO11" s="59"/>
      <c r="AP11" s="65"/>
      <c r="AQ11" s="65"/>
      <c r="AR11" s="83"/>
      <c r="AS11" s="83"/>
      <c r="AT11" s="84"/>
      <c r="AU11" s="76"/>
      <c r="AV11" s="69"/>
      <c r="AW11" s="69"/>
      <c r="AX11" s="69"/>
      <c r="AY11" s="70" t="s">
        <v>40</v>
      </c>
    </row>
    <row r="12" customFormat="false" ht="12.95" hidden="false" customHeight="true" outlineLevel="0" collapsed="false">
      <c r="A12" s="14" t="s">
        <v>97</v>
      </c>
      <c r="B12" s="85"/>
      <c r="C12" s="86"/>
      <c r="D12" s="86"/>
      <c r="E12" s="86"/>
      <c r="F12" s="87"/>
      <c r="G12" s="2"/>
      <c r="H12" s="9"/>
      <c r="I12" s="2"/>
      <c r="J12" s="2"/>
      <c r="K12" s="2"/>
      <c r="L12" s="2"/>
      <c r="M12" s="88"/>
      <c r="N12" s="86"/>
      <c r="O12" s="86"/>
      <c r="P12" s="89"/>
      <c r="Q12" s="90"/>
      <c r="R12" s="90"/>
      <c r="S12" s="90"/>
      <c r="T12" s="91"/>
      <c r="U12" s="78"/>
      <c r="V12" s="78"/>
      <c r="W12" s="78"/>
      <c r="X12" s="92"/>
      <c r="Y12" s="78"/>
      <c r="Z12" s="92"/>
      <c r="AA12" s="78"/>
      <c r="AB12" s="78"/>
      <c r="AC12" s="78"/>
      <c r="AD12" s="78"/>
      <c r="AE12" s="93"/>
      <c r="AF12" s="94"/>
      <c r="AG12" s="78"/>
      <c r="AH12" s="82"/>
      <c r="AI12" s="82"/>
      <c r="AJ12" s="78"/>
      <c r="AK12" s="78"/>
      <c r="AL12" s="78"/>
      <c r="AM12" s="95"/>
      <c r="AN12" s="92"/>
      <c r="AO12" s="96"/>
      <c r="AP12" s="96"/>
      <c r="AQ12" s="96"/>
      <c r="AR12" s="96"/>
      <c r="AU12" s="97"/>
      <c r="AV12" s="98"/>
      <c r="AW12" s="98"/>
      <c r="AX12" s="98"/>
      <c r="AY12" s="99"/>
    </row>
    <row r="13" s="103" customFormat="true" ht="12.95" hidden="false" customHeight="true" outlineLevel="0" collapsed="false">
      <c r="A13" s="100" t="s">
        <v>98</v>
      </c>
      <c r="B13" s="101" t="n">
        <v>6893.25</v>
      </c>
      <c r="C13" s="102" t="n">
        <v>259343</v>
      </c>
      <c r="D13" s="86"/>
      <c r="E13" s="86"/>
      <c r="F13" s="87"/>
      <c r="G13" s="2"/>
      <c r="H13" s="9"/>
      <c r="I13" s="2"/>
      <c r="J13" s="2"/>
      <c r="K13" s="2"/>
      <c r="L13" s="2"/>
      <c r="M13" s="88"/>
      <c r="N13" s="86"/>
      <c r="O13" s="86"/>
      <c r="P13" s="89"/>
      <c r="Q13" s="90"/>
      <c r="R13" s="90"/>
      <c r="S13" s="90"/>
      <c r="T13" s="91"/>
      <c r="U13" s="78"/>
      <c r="V13" s="78"/>
      <c r="W13" s="78"/>
      <c r="X13" s="92"/>
      <c r="Y13" s="78"/>
      <c r="Z13" s="92"/>
      <c r="AA13" s="78"/>
      <c r="AB13" s="78"/>
      <c r="AC13" s="78"/>
      <c r="AD13" s="78"/>
      <c r="AE13" s="93"/>
      <c r="AF13" s="94"/>
      <c r="AG13" s="102"/>
      <c r="AH13" s="102" t="n">
        <v>4595</v>
      </c>
      <c r="AI13" s="102"/>
      <c r="AJ13" s="78"/>
      <c r="AK13" s="78"/>
      <c r="AL13" s="78"/>
      <c r="AM13" s="95"/>
      <c r="AN13" s="92" t="n">
        <v>0</v>
      </c>
      <c r="AO13" s="78"/>
      <c r="AP13" s="78"/>
      <c r="AQ13" s="78"/>
      <c r="AR13" s="78"/>
      <c r="AS13" s="2"/>
      <c r="AT13" s="8"/>
      <c r="AU13" s="97"/>
      <c r="AV13" s="98"/>
      <c r="AW13" s="98"/>
      <c r="AX13" s="98"/>
      <c r="AY13" s="99"/>
    </row>
    <row r="14" customFormat="false" ht="3" hidden="false" customHeight="true" outlineLevel="0" collapsed="false">
      <c r="A14" s="104"/>
      <c r="B14" s="105"/>
      <c r="C14" s="106"/>
      <c r="D14" s="104"/>
      <c r="E14" s="106"/>
      <c r="F14" s="107"/>
      <c r="G14" s="104"/>
      <c r="H14" s="108"/>
      <c r="I14" s="104"/>
      <c r="J14" s="104"/>
      <c r="K14" s="104"/>
      <c r="L14" s="104"/>
      <c r="M14" s="109"/>
      <c r="N14" s="104"/>
      <c r="O14" s="104"/>
      <c r="P14" s="110"/>
      <c r="Q14" s="111"/>
      <c r="R14" s="111"/>
      <c r="S14" s="111"/>
      <c r="T14" s="112"/>
      <c r="U14" s="111"/>
      <c r="V14" s="111"/>
      <c r="W14" s="111"/>
      <c r="X14" s="113"/>
      <c r="Y14" s="114"/>
      <c r="Z14" s="113"/>
      <c r="AA14" s="114"/>
      <c r="AB14" s="114"/>
      <c r="AC14" s="114"/>
      <c r="AD14" s="111"/>
      <c r="AE14" s="115"/>
      <c r="AF14" s="116"/>
      <c r="AG14" s="111"/>
      <c r="AH14" s="114"/>
      <c r="AI14" s="114"/>
      <c r="AJ14" s="111"/>
      <c r="AK14" s="111"/>
      <c r="AL14" s="111"/>
      <c r="AM14" s="117"/>
      <c r="AN14" s="113"/>
      <c r="AO14" s="118"/>
      <c r="AP14" s="118"/>
      <c r="AQ14" s="118"/>
      <c r="AR14" s="118"/>
      <c r="AS14" s="118"/>
      <c r="AT14" s="119"/>
      <c r="AU14" s="120"/>
      <c r="AV14" s="118"/>
      <c r="AW14" s="118"/>
      <c r="AX14" s="118"/>
      <c r="AY14" s="113"/>
    </row>
    <row r="15" customFormat="false" ht="12.95" hidden="false" customHeight="true" outlineLevel="0" collapsed="false">
      <c r="A15" s="10" t="n">
        <v>1</v>
      </c>
      <c r="B15" s="121" t="n">
        <v>6893.22</v>
      </c>
      <c r="C15" s="86" t="n">
        <v>259239</v>
      </c>
      <c r="D15" s="122" t="n">
        <f aca="false">C15-C13</f>
        <v>-104</v>
      </c>
      <c r="E15" s="86" t="n">
        <f aca="false">C15-152000</f>
        <v>107239</v>
      </c>
      <c r="F15" s="123" t="n">
        <f aca="false">D15/$D$2</f>
        <v>-52.4325686917066</v>
      </c>
      <c r="G15" s="1" t="n">
        <v>55</v>
      </c>
      <c r="H15" s="12" t="n">
        <v>0</v>
      </c>
      <c r="I15" s="11" t="n">
        <f aca="false">G15+H15</f>
        <v>55</v>
      </c>
      <c r="J15" s="4" t="n">
        <f aca="false">IF(L15&gt;0,L15,0)</f>
        <v>0</v>
      </c>
      <c r="K15" s="11" t="n">
        <f aca="false">I15+J15</f>
        <v>55</v>
      </c>
      <c r="L15" s="11" t="n">
        <f aca="false">F15-(I15-AJ15)</f>
        <v>-17.2325686917066</v>
      </c>
      <c r="M15" s="124" t="n">
        <v>5.2</v>
      </c>
      <c r="N15" s="125" t="n">
        <v>0</v>
      </c>
      <c r="O15" s="125" t="n">
        <v>0</v>
      </c>
      <c r="P15" s="89" t="n">
        <v>0</v>
      </c>
      <c r="Q15" s="126" t="n">
        <f aca="false">1.842*1.02</f>
        <v>1.87884</v>
      </c>
      <c r="R15" s="126" t="n">
        <v>2.55</v>
      </c>
      <c r="S15" s="127"/>
      <c r="T15" s="91" t="n">
        <f aca="false">M15-(Q15+R15+S15)</f>
        <v>0.77116</v>
      </c>
      <c r="U15" s="128" t="n">
        <v>46</v>
      </c>
      <c r="V15" s="128" t="n">
        <v>11</v>
      </c>
      <c r="W15" s="129" t="n">
        <f aca="false">M15-N15-P15-O15-Q15-R15-S15-T15+U15+V15</f>
        <v>57</v>
      </c>
      <c r="X15" s="130" t="n">
        <f aca="false">W15-AN15</f>
        <v>46</v>
      </c>
      <c r="Y15" s="78"/>
      <c r="Z15" s="130"/>
      <c r="AA15" s="78"/>
      <c r="AB15" s="78"/>
      <c r="AC15" s="78"/>
      <c r="AD15" s="128" t="n">
        <v>0</v>
      </c>
      <c r="AE15" s="131"/>
      <c r="AF15" s="132"/>
      <c r="AG15" s="128" t="n">
        <v>28</v>
      </c>
      <c r="AH15" s="78" t="n">
        <f aca="false">AH13-AG15</f>
        <v>4567</v>
      </c>
      <c r="AI15" s="78"/>
      <c r="AJ15" s="128" t="n">
        <f aca="false">N15+O15+P15+Q15+R15+S15+T15+W15+AD15+AG15</f>
        <v>90.2</v>
      </c>
      <c r="AK15" s="128" t="n">
        <f aca="false">IF(L15&lt;0,L15*-1,0)</f>
        <v>17.2325686917066</v>
      </c>
      <c r="AL15" s="128" t="n">
        <f aca="false">AJ15+AK15</f>
        <v>107.432568691707</v>
      </c>
      <c r="AM15" s="95" t="n">
        <f aca="false">U15*1.9835</f>
        <v>91.241</v>
      </c>
      <c r="AN15" s="92" t="n">
        <f aca="false">V15</f>
        <v>11</v>
      </c>
      <c r="AO15" s="96"/>
      <c r="AP15" s="96"/>
      <c r="AQ15" s="96"/>
      <c r="AR15" s="96"/>
      <c r="AT15" s="5" t="n">
        <v>0</v>
      </c>
      <c r="AU15" s="133" t="n">
        <v>0</v>
      </c>
      <c r="AV15" s="98" t="n">
        <v>61</v>
      </c>
      <c r="AW15" s="98" t="n">
        <v>28</v>
      </c>
      <c r="AX15" s="98"/>
      <c r="AY15" s="99" t="n">
        <f aca="false">SUM(N15,P15:T15)</f>
        <v>5.2</v>
      </c>
    </row>
    <row r="16" customFormat="false" ht="12.95" hidden="false" customHeight="true" outlineLevel="0" collapsed="false">
      <c r="A16" s="10" t="n">
        <f aca="false">A15+1</f>
        <v>2</v>
      </c>
      <c r="B16" s="134" t="n">
        <v>6893.19</v>
      </c>
      <c r="C16" s="86" t="n">
        <v>259134</v>
      </c>
      <c r="D16" s="122" t="n">
        <f aca="false">C16-C15</f>
        <v>-105</v>
      </c>
      <c r="E16" s="86" t="n">
        <f aca="false">C16-152000</f>
        <v>107134</v>
      </c>
      <c r="F16" s="123" t="n">
        <f aca="false">D16/$D$2</f>
        <v>-52.9367280060499</v>
      </c>
      <c r="G16" s="1" t="n">
        <v>57</v>
      </c>
      <c r="H16" s="12" t="n">
        <v>0</v>
      </c>
      <c r="I16" s="11" t="n">
        <f aca="false">G16+H16</f>
        <v>57</v>
      </c>
      <c r="J16" s="4" t="n">
        <f aca="false">IF(L16&gt;0,L16,0)</f>
        <v>0</v>
      </c>
      <c r="K16" s="11" t="n">
        <f aca="false">I16+J16</f>
        <v>57</v>
      </c>
      <c r="L16" s="11" t="n">
        <f aca="false">F16-(I16-AJ16)</f>
        <v>-27.2367280060499</v>
      </c>
      <c r="M16" s="124" t="n">
        <v>4.7</v>
      </c>
      <c r="N16" s="125" t="n">
        <v>0</v>
      </c>
      <c r="O16" s="125" t="n">
        <v>0</v>
      </c>
      <c r="P16" s="89" t="n">
        <v>0</v>
      </c>
      <c r="Q16" s="126" t="n">
        <f aca="false">1.842*1.02</f>
        <v>1.87884</v>
      </c>
      <c r="R16" s="126" t="n">
        <v>2.06</v>
      </c>
      <c r="S16" s="135"/>
      <c r="T16" s="91" t="n">
        <f aca="false">M16-(Q16+R16+S16)</f>
        <v>0.76116</v>
      </c>
      <c r="U16" s="128" t="n">
        <v>38</v>
      </c>
      <c r="V16" s="128" t="n">
        <v>12</v>
      </c>
      <c r="W16" s="129" t="n">
        <f aca="false">M16-N16-P16-O16-Q16-R16-S16-T16+U16+V16</f>
        <v>50</v>
      </c>
      <c r="X16" s="130" t="n">
        <f aca="false">W16-AN16</f>
        <v>38</v>
      </c>
      <c r="Y16" s="78"/>
      <c r="Z16" s="130"/>
      <c r="AA16" s="78"/>
      <c r="AB16" s="78"/>
      <c r="AC16" s="78"/>
      <c r="AD16" s="128" t="n">
        <v>0</v>
      </c>
      <c r="AE16" s="131"/>
      <c r="AF16" s="132"/>
      <c r="AG16" s="128" t="n">
        <v>28</v>
      </c>
      <c r="AH16" s="78" t="n">
        <f aca="false">AH15-AG16</f>
        <v>4539</v>
      </c>
      <c r="AI16" s="78"/>
      <c r="AJ16" s="128" t="n">
        <f aca="false">N16+O16+P16+Q16+R16+S16+T16+W16+AD16+AG16</f>
        <v>82.7</v>
      </c>
      <c r="AK16" s="128" t="n">
        <f aca="false">IF(L16&lt;0,L16*-1,0)</f>
        <v>27.2367280060499</v>
      </c>
      <c r="AL16" s="128" t="n">
        <f aca="false">AJ16+AK16</f>
        <v>109.93672800605</v>
      </c>
      <c r="AM16" s="95" t="n">
        <f aca="false">AM15+(U16*1.9835)</f>
        <v>166.614</v>
      </c>
      <c r="AN16" s="92" t="n">
        <f aca="false">V16</f>
        <v>12</v>
      </c>
      <c r="AO16" s="96"/>
      <c r="AP16" s="96"/>
      <c r="AQ16" s="96"/>
      <c r="AR16" s="96"/>
      <c r="AT16" s="5" t="n">
        <v>0</v>
      </c>
      <c r="AU16" s="97" t="n">
        <v>0</v>
      </c>
      <c r="AV16" s="98" t="n">
        <v>64</v>
      </c>
      <c r="AW16" s="98" t="n">
        <v>34</v>
      </c>
      <c r="AX16" s="98"/>
      <c r="AY16" s="99" t="n">
        <f aca="false">SUM(N16,P16:T16)</f>
        <v>4.7</v>
      </c>
    </row>
    <row r="17" customFormat="false" ht="12.95" hidden="false" customHeight="true" outlineLevel="0" collapsed="false">
      <c r="A17" s="10" t="n">
        <f aca="false">A16+1</f>
        <v>3</v>
      </c>
      <c r="B17" s="121" t="n">
        <v>6893.15</v>
      </c>
      <c r="C17" s="86" t="n">
        <v>258994</v>
      </c>
      <c r="D17" s="122" t="n">
        <f aca="false">C17-C16</f>
        <v>-140</v>
      </c>
      <c r="E17" s="86" t="n">
        <f aca="false">C17-152000</f>
        <v>106994</v>
      </c>
      <c r="F17" s="123" t="n">
        <f aca="false">D17/$D$2</f>
        <v>-70.5823040080665</v>
      </c>
      <c r="G17" s="1" t="n">
        <v>52</v>
      </c>
      <c r="H17" s="12" t="n">
        <v>0</v>
      </c>
      <c r="I17" s="11" t="n">
        <f aca="false">G17+H17</f>
        <v>52</v>
      </c>
      <c r="J17" s="4" t="n">
        <f aca="false">IF(L17&gt;0,L17,0)</f>
        <v>0</v>
      </c>
      <c r="K17" s="11" t="n">
        <f aca="false">I17+J17</f>
        <v>52</v>
      </c>
      <c r="L17" s="11" t="n">
        <f aca="false">F17-(I17-AJ17)</f>
        <v>-43.3823040080665</v>
      </c>
      <c r="M17" s="124" t="n">
        <v>4.2</v>
      </c>
      <c r="N17" s="125" t="n">
        <v>0</v>
      </c>
      <c r="O17" s="125" t="n">
        <v>0</v>
      </c>
      <c r="P17" s="89" t="n">
        <v>0</v>
      </c>
      <c r="Q17" s="126" t="n">
        <f aca="false">1.842*1.02</f>
        <v>1.87884</v>
      </c>
      <c r="R17" s="126" t="n">
        <v>2.2</v>
      </c>
      <c r="S17" s="135"/>
      <c r="T17" s="91" t="n">
        <f aca="false">M17-(Q17+R17+S17)</f>
        <v>0.12116</v>
      </c>
      <c r="U17" s="128" t="n">
        <v>36</v>
      </c>
      <c r="V17" s="128" t="n">
        <v>12</v>
      </c>
      <c r="W17" s="129" t="n">
        <f aca="false">M17-N17-P17-O17-Q17-R17-S17-T17+U17+V17</f>
        <v>48</v>
      </c>
      <c r="X17" s="130" t="n">
        <f aca="false">W17-AN17</f>
        <v>36</v>
      </c>
      <c r="Y17" s="78"/>
      <c r="Z17" s="130"/>
      <c r="AA17" s="78"/>
      <c r="AB17" s="78"/>
      <c r="AC17" s="78"/>
      <c r="AD17" s="128" t="n">
        <v>0</v>
      </c>
      <c r="AE17" s="131"/>
      <c r="AF17" s="132"/>
      <c r="AG17" s="128" t="n">
        <v>27</v>
      </c>
      <c r="AH17" s="78" t="n">
        <f aca="false">AH16-AG17</f>
        <v>4512</v>
      </c>
      <c r="AI17" s="78"/>
      <c r="AJ17" s="128" t="n">
        <f aca="false">N17+O17+P17+Q17+R17+S17+T17+W17+AD17+AG17</f>
        <v>79.2</v>
      </c>
      <c r="AK17" s="128" t="n">
        <f aca="false">IF(L17&lt;0,L17*-1,0)</f>
        <v>43.3823040080665</v>
      </c>
      <c r="AL17" s="128" t="n">
        <f aca="false">AJ17+AK17</f>
        <v>122.582304008067</v>
      </c>
      <c r="AM17" s="95" t="n">
        <f aca="false">AM16+(U17*1.9835)</f>
        <v>238.02</v>
      </c>
      <c r="AN17" s="92" t="n">
        <f aca="false">V17</f>
        <v>12</v>
      </c>
      <c r="AO17" s="96"/>
      <c r="AP17" s="96"/>
      <c r="AQ17" s="96"/>
      <c r="AR17" s="96"/>
      <c r="AT17" s="5" t="n">
        <v>0</v>
      </c>
      <c r="AU17" s="97" t="n">
        <v>0</v>
      </c>
      <c r="AV17" s="98" t="n">
        <v>64</v>
      </c>
      <c r="AW17" s="98" t="n">
        <v>32</v>
      </c>
      <c r="AX17" s="98"/>
      <c r="AY17" s="99" t="n">
        <f aca="false">SUM(N17,P17:T17)</f>
        <v>4.2</v>
      </c>
    </row>
    <row r="18" customFormat="false" ht="12.95" hidden="false" customHeight="true" outlineLevel="0" collapsed="false">
      <c r="A18" s="10" t="n">
        <f aca="false">A17+1</f>
        <v>4</v>
      </c>
      <c r="B18" s="121" t="n">
        <v>6893.11</v>
      </c>
      <c r="C18" s="86" t="n">
        <v>258854</v>
      </c>
      <c r="D18" s="122" t="n">
        <f aca="false">C18-C17</f>
        <v>-140</v>
      </c>
      <c r="E18" s="86" t="n">
        <f aca="false">C18-152000</f>
        <v>106854</v>
      </c>
      <c r="F18" s="123" t="n">
        <f aca="false">D18/$D$2</f>
        <v>-70.5823040080665</v>
      </c>
      <c r="G18" s="1" t="n">
        <v>50</v>
      </c>
      <c r="H18" s="12" t="n">
        <v>0</v>
      </c>
      <c r="I18" s="11" t="n">
        <f aca="false">G18+H18</f>
        <v>50</v>
      </c>
      <c r="J18" s="4" t="n">
        <f aca="false">IF(L18&gt;0,L18,0)</f>
        <v>0</v>
      </c>
      <c r="K18" s="11" t="n">
        <f aca="false">I18+J18</f>
        <v>50</v>
      </c>
      <c r="L18" s="11" t="n">
        <f aca="false">F18-(I18-AJ18)</f>
        <v>-43.7823040080666</v>
      </c>
      <c r="M18" s="124" t="n">
        <v>3.3</v>
      </c>
      <c r="N18" s="125" t="n">
        <v>0</v>
      </c>
      <c r="O18" s="125" t="n">
        <v>0</v>
      </c>
      <c r="P18" s="89" t="n">
        <v>0</v>
      </c>
      <c r="Q18" s="126" t="n">
        <f aca="false">1.842*1.02</f>
        <v>1.87884</v>
      </c>
      <c r="R18" s="126" t="n">
        <v>3.09</v>
      </c>
      <c r="S18" s="135"/>
      <c r="T18" s="91" t="n">
        <f aca="false">M18-(Q18+R18+S18)</f>
        <v>-1.66884</v>
      </c>
      <c r="U18" s="128" t="n">
        <v>40</v>
      </c>
      <c r="V18" s="128" t="n">
        <v>5.5</v>
      </c>
      <c r="W18" s="129" t="n">
        <f aca="false">M18-N18-P18-O18-Q18-R18-S18-T18+U18+V18</f>
        <v>45.5</v>
      </c>
      <c r="X18" s="130" t="n">
        <f aca="false">W18-AN18</f>
        <v>40</v>
      </c>
      <c r="Y18" s="78"/>
      <c r="Z18" s="130"/>
      <c r="AA18" s="78"/>
      <c r="AB18" s="78"/>
      <c r="AC18" s="78"/>
      <c r="AD18" s="128" t="n">
        <v>0</v>
      </c>
      <c r="AE18" s="131"/>
      <c r="AF18" s="132"/>
      <c r="AG18" s="128" t="n">
        <v>28</v>
      </c>
      <c r="AH18" s="78" t="n">
        <f aca="false">AH17-AG18</f>
        <v>4484</v>
      </c>
      <c r="AI18" s="78"/>
      <c r="AJ18" s="128" t="n">
        <f aca="false">N18+O18+P18+Q18+R18+S18+T18+W18+AD18+AG18</f>
        <v>76.8</v>
      </c>
      <c r="AK18" s="128" t="n">
        <f aca="false">IF(L18&lt;0,L18*-1,0)</f>
        <v>43.7823040080666</v>
      </c>
      <c r="AL18" s="128" t="n">
        <f aca="false">AJ18+AK18</f>
        <v>120.582304008067</v>
      </c>
      <c r="AM18" s="95" t="n">
        <f aca="false">AM17+(U18*1.9835)</f>
        <v>317.36</v>
      </c>
      <c r="AN18" s="92" t="n">
        <f aca="false">V18</f>
        <v>5.5</v>
      </c>
      <c r="AO18" s="96"/>
      <c r="AP18" s="96"/>
      <c r="AQ18" s="96"/>
      <c r="AR18" s="96"/>
      <c r="AT18" s="5" t="n">
        <f aca="false">6.16*1.05</f>
        <v>6.468</v>
      </c>
      <c r="AU18" s="97" t="n">
        <v>0</v>
      </c>
      <c r="AV18" s="98" t="n">
        <v>69</v>
      </c>
      <c r="AW18" s="98" t="n">
        <v>34</v>
      </c>
      <c r="AX18" s="98"/>
      <c r="AY18" s="99" t="n">
        <f aca="false">SUM(N18,P18:T18)</f>
        <v>3.3</v>
      </c>
    </row>
    <row r="19" customFormat="false" ht="12.95" hidden="false" customHeight="true" outlineLevel="0" collapsed="false">
      <c r="A19" s="10" t="n">
        <f aca="false">A18+1</f>
        <v>5</v>
      </c>
      <c r="B19" s="121" t="n">
        <v>6893.07</v>
      </c>
      <c r="C19" s="86" t="n">
        <v>258714</v>
      </c>
      <c r="D19" s="122" t="n">
        <f aca="false">C19-C18</f>
        <v>-140</v>
      </c>
      <c r="E19" s="86" t="n">
        <f aca="false">C19-152000</f>
        <v>106714</v>
      </c>
      <c r="F19" s="123" t="n">
        <f aca="false">D19/$D$2</f>
        <v>-70.5823040080665</v>
      </c>
      <c r="G19" s="1" t="n">
        <v>50</v>
      </c>
      <c r="H19" s="12" t="n">
        <v>0</v>
      </c>
      <c r="I19" s="11" t="n">
        <f aca="false">G19+H19</f>
        <v>50</v>
      </c>
      <c r="J19" s="4" t="n">
        <f aca="false">IF(L19&gt;0,L19,0)</f>
        <v>0</v>
      </c>
      <c r="K19" s="11" t="n">
        <f aca="false">I19+J19</f>
        <v>50</v>
      </c>
      <c r="L19" s="11" t="n">
        <f aca="false">F19-(I19-AJ19)</f>
        <v>-48.7823040080666</v>
      </c>
      <c r="M19" s="124" t="n">
        <v>2.8</v>
      </c>
      <c r="N19" s="125" t="n">
        <v>0</v>
      </c>
      <c r="O19" s="125" t="n">
        <v>0</v>
      </c>
      <c r="P19" s="89" t="n">
        <v>0</v>
      </c>
      <c r="Q19" s="126" t="n">
        <f aca="false">1.842*1.02</f>
        <v>1.87884</v>
      </c>
      <c r="R19" s="126" t="n">
        <v>3.52</v>
      </c>
      <c r="S19" s="135"/>
      <c r="T19" s="91" t="n">
        <f aca="false">M19-(Q19+R19+S19)</f>
        <v>-2.59884</v>
      </c>
      <c r="U19" s="128" t="n">
        <v>41</v>
      </c>
      <c r="V19" s="128" t="n">
        <v>0</v>
      </c>
      <c r="W19" s="129" t="n">
        <f aca="false">M19-N19-P19-O19-Q19-R19-S19-T19+U19+V19</f>
        <v>41</v>
      </c>
      <c r="X19" s="130" t="n">
        <f aca="false">W19-AN19</f>
        <v>41</v>
      </c>
      <c r="Y19" s="78"/>
      <c r="Z19" s="130"/>
      <c r="AA19" s="78"/>
      <c r="AB19" s="78"/>
      <c r="AC19" s="78"/>
      <c r="AD19" s="128" t="n">
        <v>0</v>
      </c>
      <c r="AE19" s="131"/>
      <c r="AF19" s="132"/>
      <c r="AG19" s="128" t="n">
        <v>28</v>
      </c>
      <c r="AH19" s="78" t="n">
        <f aca="false">AH18-AG19</f>
        <v>4456</v>
      </c>
      <c r="AI19" s="78"/>
      <c r="AJ19" s="128" t="n">
        <f aca="false">N19+O19+P19+Q19+R19+S19+T19+W19+AD19+AG19</f>
        <v>71.8</v>
      </c>
      <c r="AK19" s="128" t="n">
        <f aca="false">IF(L19&lt;0,L19*-1,0)</f>
        <v>48.7823040080666</v>
      </c>
      <c r="AL19" s="128" t="n">
        <f aca="false">AJ19+AK19</f>
        <v>120.582304008067</v>
      </c>
      <c r="AM19" s="95" t="n">
        <f aca="false">AM18+(U19*1.9835)</f>
        <v>398.6835</v>
      </c>
      <c r="AN19" s="92" t="n">
        <f aca="false">V19</f>
        <v>0</v>
      </c>
      <c r="AO19" s="96"/>
      <c r="AP19" s="96"/>
      <c r="AQ19" s="96"/>
      <c r="AR19" s="96"/>
      <c r="AT19" s="5" t="n">
        <f aca="false">4.87*1.05</f>
        <v>5.1135</v>
      </c>
      <c r="AU19" s="97" t="n">
        <v>0</v>
      </c>
      <c r="AV19" s="98" t="n">
        <v>67</v>
      </c>
      <c r="AW19" s="98" t="n">
        <v>37</v>
      </c>
      <c r="AX19" s="98"/>
      <c r="AY19" s="99" t="n">
        <f aca="false">SUM(N19,P19:T19)</f>
        <v>2.8</v>
      </c>
    </row>
    <row r="20" customFormat="false" ht="12.95" hidden="false" customHeight="true" outlineLevel="0" collapsed="false">
      <c r="A20" s="10" t="n">
        <f aca="false">A19+1</f>
        <v>6</v>
      </c>
      <c r="B20" s="121" t="n">
        <v>6893.04</v>
      </c>
      <c r="C20" s="86" t="n">
        <v>258609</v>
      </c>
      <c r="D20" s="122" t="n">
        <f aca="false">C20-C19</f>
        <v>-105</v>
      </c>
      <c r="E20" s="86" t="n">
        <f aca="false">C20-152000</f>
        <v>106609</v>
      </c>
      <c r="F20" s="123" t="n">
        <f aca="false">D20/$D$2</f>
        <v>-52.9367280060499</v>
      </c>
      <c r="G20" s="1" t="n">
        <v>49</v>
      </c>
      <c r="H20" s="12" t="n">
        <v>0</v>
      </c>
      <c r="I20" s="11" t="n">
        <f aca="false">G20+H20</f>
        <v>49</v>
      </c>
      <c r="J20" s="4" t="n">
        <f aca="false">IF(L20&gt;0,L20,0)</f>
        <v>0</v>
      </c>
      <c r="K20" s="11" t="n">
        <f aca="false">I20+J20</f>
        <v>49</v>
      </c>
      <c r="L20" s="11" t="n">
        <f aca="false">F20-(I20-AJ20)</f>
        <v>-29.9367280060499</v>
      </c>
      <c r="M20" s="124" t="n">
        <v>3</v>
      </c>
      <c r="N20" s="125" t="n">
        <v>0</v>
      </c>
      <c r="O20" s="125" t="n">
        <v>0</v>
      </c>
      <c r="P20" s="89" t="n">
        <v>0</v>
      </c>
      <c r="Q20" s="126" t="n">
        <f aca="false">1.842*1.02</f>
        <v>1.87884</v>
      </c>
      <c r="R20" s="126" t="n">
        <v>3.37</v>
      </c>
      <c r="S20" s="135"/>
      <c r="T20" s="91" t="n">
        <f aca="false">M20-(Q20+R20+S20)</f>
        <v>-2.24884</v>
      </c>
      <c r="U20" s="128" t="n">
        <v>40</v>
      </c>
      <c r="V20" s="128" t="n">
        <v>0</v>
      </c>
      <c r="W20" s="129" t="n">
        <f aca="false">M20-N20-P20-O20-Q20-R20-S20-T20+U20+V20</f>
        <v>40</v>
      </c>
      <c r="X20" s="130" t="n">
        <f aca="false">W20-AN20</f>
        <v>40</v>
      </c>
      <c r="Y20" s="78"/>
      <c r="Z20" s="130"/>
      <c r="AA20" s="78"/>
      <c r="AB20" s="78"/>
      <c r="AC20" s="78"/>
      <c r="AD20" s="128" t="n">
        <v>0</v>
      </c>
      <c r="AE20" s="131"/>
      <c r="AF20" s="132"/>
      <c r="AG20" s="128" t="n">
        <v>29</v>
      </c>
      <c r="AH20" s="78" t="n">
        <f aca="false">AH19-AG20</f>
        <v>4427</v>
      </c>
      <c r="AI20" s="78"/>
      <c r="AJ20" s="128" t="n">
        <f aca="false">N20+O20+P20+Q20+R20+S20+T20+W20+AD20+AG20</f>
        <v>72</v>
      </c>
      <c r="AK20" s="128" t="n">
        <f aca="false">IF(L20&lt;0,L20*-1,0)</f>
        <v>29.9367280060499</v>
      </c>
      <c r="AL20" s="128" t="n">
        <f aca="false">AJ20+AK20</f>
        <v>101.93672800605</v>
      </c>
      <c r="AM20" s="95" t="n">
        <f aca="false">AM19+(U20*1.9835)</f>
        <v>478.0235</v>
      </c>
      <c r="AN20" s="92"/>
      <c r="AO20" s="96"/>
      <c r="AP20" s="96"/>
      <c r="AQ20" s="96"/>
      <c r="AR20" s="96"/>
      <c r="AT20" s="5" t="n">
        <f aca="false">2.44*1.05</f>
        <v>2.562</v>
      </c>
      <c r="AU20" s="97" t="n">
        <v>0</v>
      </c>
      <c r="AV20" s="98" t="n">
        <v>65</v>
      </c>
      <c r="AW20" s="98" t="n">
        <v>38</v>
      </c>
      <c r="AX20" s="98"/>
      <c r="AY20" s="99" t="n">
        <f aca="false">SUM(N20,P20:T20)</f>
        <v>3</v>
      </c>
    </row>
    <row r="21" customFormat="false" ht="12.95" hidden="false" customHeight="true" outlineLevel="0" collapsed="false">
      <c r="A21" s="10" t="n">
        <f aca="false">A20+1</f>
        <v>7</v>
      </c>
      <c r="B21" s="121" t="n">
        <v>6893</v>
      </c>
      <c r="C21" s="86" t="n">
        <v>258469</v>
      </c>
      <c r="D21" s="122" t="n">
        <f aca="false">C21-C20</f>
        <v>-140</v>
      </c>
      <c r="E21" s="86" t="n">
        <f aca="false">C21-152000</f>
        <v>106469</v>
      </c>
      <c r="F21" s="123" t="n">
        <f aca="false">D21/$D$2</f>
        <v>-70.5823040080665</v>
      </c>
      <c r="G21" s="1" t="n">
        <v>50</v>
      </c>
      <c r="H21" s="12" t="n">
        <v>0</v>
      </c>
      <c r="I21" s="11" t="n">
        <f aca="false">G21+H21</f>
        <v>50</v>
      </c>
      <c r="J21" s="4" t="n">
        <f aca="false">IF(L21&gt;0,L21,0)</f>
        <v>0</v>
      </c>
      <c r="K21" s="11" t="n">
        <f aca="false">I21+J21</f>
        <v>50</v>
      </c>
      <c r="L21" s="11" t="n">
        <f aca="false">F21-(I21-AJ21)</f>
        <v>-48.6823040080665</v>
      </c>
      <c r="M21" s="124" t="n">
        <v>2.9</v>
      </c>
      <c r="N21" s="125" t="n">
        <v>0</v>
      </c>
      <c r="O21" s="125" t="n">
        <v>0</v>
      </c>
      <c r="P21" s="89" t="n">
        <v>0</v>
      </c>
      <c r="Q21" s="126" t="n">
        <f aca="false">1.842*1.02</f>
        <v>1.87884</v>
      </c>
      <c r="R21" s="126" t="n">
        <v>2.17</v>
      </c>
      <c r="S21" s="135"/>
      <c r="T21" s="91" t="n">
        <f aca="false">M21-(Q21+R21+S21)</f>
        <v>-1.14884</v>
      </c>
      <c r="U21" s="128" t="n">
        <v>40</v>
      </c>
      <c r="V21" s="128" t="n">
        <v>0</v>
      </c>
      <c r="W21" s="129" t="n">
        <f aca="false">M21-N21-P21-O21-Q21-R21-S21-T21+U21+V21</f>
        <v>40</v>
      </c>
      <c r="X21" s="130" t="n">
        <f aca="false">W21-AN21</f>
        <v>40</v>
      </c>
      <c r="Y21" s="78"/>
      <c r="Z21" s="130"/>
      <c r="AA21" s="78"/>
      <c r="AB21" s="78"/>
      <c r="AC21" s="78"/>
      <c r="AD21" s="128" t="n">
        <v>0</v>
      </c>
      <c r="AE21" s="131"/>
      <c r="AF21" s="132"/>
      <c r="AG21" s="128" t="n">
        <v>29</v>
      </c>
      <c r="AH21" s="78" t="n">
        <f aca="false">AH20-AG21</f>
        <v>4398</v>
      </c>
      <c r="AI21" s="78"/>
      <c r="AJ21" s="128" t="n">
        <f aca="false">N21+O21+P21+Q21+R21+S21+T21+W21+AD21+AG21</f>
        <v>71.9</v>
      </c>
      <c r="AK21" s="128" t="n">
        <f aca="false">IF(L21&lt;0,L21*-1,0)</f>
        <v>48.6823040080665</v>
      </c>
      <c r="AL21" s="128" t="n">
        <f aca="false">AJ21+AK21</f>
        <v>120.582304008067</v>
      </c>
      <c r="AM21" s="95" t="n">
        <f aca="false">AM20+(U21*1.9835)</f>
        <v>557.3635</v>
      </c>
      <c r="AN21" s="92"/>
      <c r="AO21" s="96"/>
      <c r="AP21" s="96"/>
      <c r="AQ21" s="96"/>
      <c r="AR21" s="96"/>
      <c r="AT21" s="5" t="n">
        <f aca="false">0.34*1.05</f>
        <v>0.357</v>
      </c>
      <c r="AU21" s="97" t="n">
        <v>0</v>
      </c>
      <c r="AV21" s="98" t="n">
        <v>66</v>
      </c>
      <c r="AW21" s="98" t="n">
        <v>38</v>
      </c>
      <c r="AX21" s="98"/>
      <c r="AY21" s="99" t="n">
        <f aca="false">SUM(N21,P21:T21)</f>
        <v>2.9</v>
      </c>
    </row>
    <row r="22" customFormat="false" ht="12.95" hidden="false" customHeight="true" outlineLevel="0" collapsed="false">
      <c r="A22" s="10" t="n">
        <f aca="false">A21+1</f>
        <v>8</v>
      </c>
      <c r="B22" s="121" t="n">
        <v>6892.96</v>
      </c>
      <c r="C22" s="86" t="n">
        <v>258330</v>
      </c>
      <c r="D22" s="122" t="n">
        <f aca="false">C22-C21</f>
        <v>-139</v>
      </c>
      <c r="E22" s="86" t="n">
        <f aca="false">C22-152000</f>
        <v>106330</v>
      </c>
      <c r="F22" s="123" t="n">
        <f aca="false">D22/$D$2</f>
        <v>-70.0781446937232</v>
      </c>
      <c r="G22" s="1" t="n">
        <v>50</v>
      </c>
      <c r="H22" s="12" t="n">
        <v>0</v>
      </c>
      <c r="I22" s="11" t="n">
        <f aca="false">G22+H22</f>
        <v>50</v>
      </c>
      <c r="J22" s="4" t="n">
        <f aca="false">IF(L22&gt;0,L22,0)</f>
        <v>0</v>
      </c>
      <c r="K22" s="11" t="n">
        <f aca="false">I22+J22</f>
        <v>50</v>
      </c>
      <c r="L22" s="11" t="n">
        <f aca="false">F22-(I22-AJ22)</f>
        <v>-48.0781446937232</v>
      </c>
      <c r="M22" s="124" t="n">
        <v>3</v>
      </c>
      <c r="N22" s="125" t="n">
        <v>0</v>
      </c>
      <c r="O22" s="125" t="n">
        <v>0</v>
      </c>
      <c r="P22" s="89" t="n">
        <v>0</v>
      </c>
      <c r="Q22" s="126" t="n">
        <f aca="false">1.842*1.02</f>
        <v>1.87884</v>
      </c>
      <c r="R22" s="126" t="n">
        <v>2.17</v>
      </c>
      <c r="S22" s="135"/>
      <c r="T22" s="91" t="n">
        <f aca="false">M22-(Q22+R22+S22)</f>
        <v>-1.04884</v>
      </c>
      <c r="U22" s="128" t="n">
        <v>40</v>
      </c>
      <c r="V22" s="128" t="n">
        <v>0</v>
      </c>
      <c r="W22" s="129" t="n">
        <f aca="false">M22-N22-P22-O22-Q22-R22-S22-T22+U22+V22</f>
        <v>40</v>
      </c>
      <c r="X22" s="130" t="n">
        <f aca="false">W22-AN22</f>
        <v>40</v>
      </c>
      <c r="Y22" s="78"/>
      <c r="Z22" s="130"/>
      <c r="AA22" s="78"/>
      <c r="AB22" s="78"/>
      <c r="AC22" s="78"/>
      <c r="AD22" s="128" t="n">
        <v>0</v>
      </c>
      <c r="AE22" s="131"/>
      <c r="AF22" s="132"/>
      <c r="AG22" s="128" t="n">
        <v>29</v>
      </c>
      <c r="AH22" s="78" t="n">
        <f aca="false">AH21-AG22</f>
        <v>4369</v>
      </c>
      <c r="AI22" s="78"/>
      <c r="AJ22" s="128" t="n">
        <f aca="false">N22+O22+P22+Q22+R22+S22+T22+W22+AD22+AG22</f>
        <v>72</v>
      </c>
      <c r="AK22" s="128" t="n">
        <f aca="false">IF(L22&lt;0,L22*-1,0)</f>
        <v>48.0781446937232</v>
      </c>
      <c r="AL22" s="128" t="n">
        <f aca="false">AJ22+AK22</f>
        <v>120.078144693723</v>
      </c>
      <c r="AM22" s="95" t="n">
        <f aca="false">AM21+(U22*1.9835)</f>
        <v>636.7035</v>
      </c>
      <c r="AN22" s="92"/>
      <c r="AO22" s="96"/>
      <c r="AP22" s="96"/>
      <c r="AQ22" s="96"/>
      <c r="AR22" s="96"/>
      <c r="AT22" s="5" t="n">
        <v>0</v>
      </c>
      <c r="AU22" s="97" t="n">
        <v>0</v>
      </c>
      <c r="AV22" s="98" t="n">
        <v>59</v>
      </c>
      <c r="AW22" s="98" t="n">
        <v>33</v>
      </c>
      <c r="AX22" s="98"/>
      <c r="AY22" s="99" t="n">
        <f aca="false">SUM(N22,P22:T22)</f>
        <v>3</v>
      </c>
    </row>
    <row r="23" customFormat="false" ht="12.95" hidden="false" customHeight="true" outlineLevel="0" collapsed="false">
      <c r="A23" s="10" t="n">
        <f aca="false">A22+1</f>
        <v>9</v>
      </c>
      <c r="B23" s="121" t="n">
        <v>6892.93</v>
      </c>
      <c r="C23" s="86" t="n">
        <v>258226</v>
      </c>
      <c r="D23" s="122" t="n">
        <f aca="false">C23-C22</f>
        <v>-104</v>
      </c>
      <c r="E23" s="86" t="n">
        <f aca="false">C23-152000</f>
        <v>106226</v>
      </c>
      <c r="F23" s="123" t="n">
        <f aca="false">D23/$D$2</f>
        <v>-52.4325686917066</v>
      </c>
      <c r="G23" s="1" t="n">
        <v>48</v>
      </c>
      <c r="H23" s="12" t="n">
        <v>0</v>
      </c>
      <c r="I23" s="11" t="n">
        <f aca="false">G23+H23</f>
        <v>48</v>
      </c>
      <c r="J23" s="4" t="n">
        <f aca="false">IF(L23&gt;0,L23,0)</f>
        <v>0</v>
      </c>
      <c r="K23" s="11" t="n">
        <f aca="false">I23+J23</f>
        <v>48</v>
      </c>
      <c r="L23" s="11" t="n">
        <f aca="false">F23-(I23-AJ23)</f>
        <v>-24.4325686917066</v>
      </c>
      <c r="M23" s="124" t="n">
        <v>4</v>
      </c>
      <c r="N23" s="125" t="n">
        <v>0</v>
      </c>
      <c r="O23" s="125" t="n">
        <v>0</v>
      </c>
      <c r="P23" s="89" t="n">
        <v>0</v>
      </c>
      <c r="Q23" s="126" t="n">
        <f aca="false">1.842*1.02</f>
        <v>1.87884</v>
      </c>
      <c r="R23" s="126" t="n">
        <v>1.73</v>
      </c>
      <c r="S23" s="135"/>
      <c r="T23" s="136" t="n">
        <v>0</v>
      </c>
      <c r="U23" s="128" t="n">
        <v>44</v>
      </c>
      <c r="V23" s="128" t="n">
        <v>0</v>
      </c>
      <c r="W23" s="129" t="n">
        <f aca="false">M23-N23-P23-O23-Q23-R23-S23-T23+U23+V23</f>
        <v>44.39116</v>
      </c>
      <c r="X23" s="130" t="n">
        <f aca="false">W23-AN23</f>
        <v>44.39116</v>
      </c>
      <c r="Y23" s="78"/>
      <c r="Z23" s="130"/>
      <c r="AA23" s="78"/>
      <c r="AB23" s="78"/>
      <c r="AC23" s="78"/>
      <c r="AD23" s="128" t="n">
        <v>0</v>
      </c>
      <c r="AE23" s="131"/>
      <c r="AF23" s="132"/>
      <c r="AG23" s="128" t="n">
        <v>28</v>
      </c>
      <c r="AH23" s="78" t="n">
        <f aca="false">AH22-AG23</f>
        <v>4341</v>
      </c>
      <c r="AI23" s="78"/>
      <c r="AJ23" s="128" t="n">
        <f aca="false">N23+O23+P23+Q23+R23+S23+T23+W23+AD23+AG23</f>
        <v>76</v>
      </c>
      <c r="AK23" s="128" t="n">
        <f aca="false">IF(L23&lt;0,L23*-1,0)</f>
        <v>24.4325686917066</v>
      </c>
      <c r="AL23" s="128" t="n">
        <f aca="false">AJ23+AK23</f>
        <v>100.432568691707</v>
      </c>
      <c r="AM23" s="95" t="n">
        <f aca="false">AM22+(U23*1.9835)</f>
        <v>723.9775</v>
      </c>
      <c r="AN23" s="92"/>
      <c r="AO23" s="96"/>
      <c r="AP23" s="96"/>
      <c r="AQ23" s="96"/>
      <c r="AR23" s="96"/>
      <c r="AT23" s="5" t="n">
        <f aca="false">6.45*1.05</f>
        <v>6.7725</v>
      </c>
      <c r="AU23" s="97" t="n">
        <v>0</v>
      </c>
      <c r="AV23" s="98" t="n">
        <v>61</v>
      </c>
      <c r="AW23" s="137" t="n">
        <v>33</v>
      </c>
      <c r="AX23" s="137"/>
      <c r="AY23" s="99" t="n">
        <f aca="false">SUM(N23,P23:T23)</f>
        <v>3.60884</v>
      </c>
    </row>
    <row r="24" customFormat="false" ht="12.95" hidden="false" customHeight="true" outlineLevel="0" collapsed="false">
      <c r="A24" s="10" t="n">
        <f aca="false">A23+1</f>
        <v>10</v>
      </c>
      <c r="B24" s="121" t="n">
        <v>6892.9</v>
      </c>
      <c r="C24" s="86" t="n">
        <v>258122</v>
      </c>
      <c r="D24" s="122" t="n">
        <f aca="false">C24-C23</f>
        <v>-104</v>
      </c>
      <c r="E24" s="86" t="n">
        <f aca="false">C24-152000</f>
        <v>106122</v>
      </c>
      <c r="F24" s="123" t="n">
        <f aca="false">D24/$D$2</f>
        <v>-52.4325686917066</v>
      </c>
      <c r="G24" s="1" t="n">
        <v>47</v>
      </c>
      <c r="H24" s="12" t="n">
        <v>0</v>
      </c>
      <c r="I24" s="11" t="n">
        <f aca="false">G24+H24</f>
        <v>47</v>
      </c>
      <c r="J24" s="4" t="n">
        <f aca="false">IF(L24&gt;0,L24,0)</f>
        <v>0</v>
      </c>
      <c r="K24" s="11" t="n">
        <f aca="false">I24+J24</f>
        <v>47</v>
      </c>
      <c r="L24" s="11" t="n">
        <f aca="false">F24-(I24-AJ24)</f>
        <v>-21.9325686917066</v>
      </c>
      <c r="M24" s="124" t="n">
        <v>3.5</v>
      </c>
      <c r="N24" s="125" t="n">
        <v>0</v>
      </c>
      <c r="O24" s="125" t="n">
        <v>0</v>
      </c>
      <c r="P24" s="89" t="n">
        <v>0</v>
      </c>
      <c r="Q24" s="126" t="n">
        <f aca="false">1.842*1.02</f>
        <v>1.87884</v>
      </c>
      <c r="R24" s="126" t="n">
        <v>2.43</v>
      </c>
      <c r="S24" s="135"/>
      <c r="T24" s="136" t="n">
        <v>0</v>
      </c>
      <c r="U24" s="128" t="n">
        <v>46</v>
      </c>
      <c r="V24" s="128" t="n">
        <v>0</v>
      </c>
      <c r="W24" s="129" t="n">
        <f aca="false">M24-N24-P24-O24-Q24-R24-S24-T24+U24+V24</f>
        <v>45.19116</v>
      </c>
      <c r="X24" s="130" t="n">
        <f aca="false">W24-AN24</f>
        <v>45.19116</v>
      </c>
      <c r="Y24" s="78"/>
      <c r="Z24" s="130"/>
      <c r="AA24" s="78"/>
      <c r="AB24" s="78"/>
      <c r="AC24" s="78"/>
      <c r="AD24" s="128" t="n">
        <v>0</v>
      </c>
      <c r="AE24" s="131"/>
      <c r="AF24" s="132"/>
      <c r="AG24" s="128" t="n">
        <v>28</v>
      </c>
      <c r="AH24" s="78" t="n">
        <f aca="false">AH23-AG24</f>
        <v>4313</v>
      </c>
      <c r="AI24" s="78"/>
      <c r="AJ24" s="128" t="n">
        <f aca="false">N24+O24+P24+Q24+R24+S24+T24+W24+AD24+AG24</f>
        <v>77.5</v>
      </c>
      <c r="AK24" s="128" t="n">
        <f aca="false">IF(L24&lt;0,L24*-1,0)</f>
        <v>21.9325686917066</v>
      </c>
      <c r="AL24" s="128" t="n">
        <f aca="false">AJ24+AK24</f>
        <v>99.4325686917066</v>
      </c>
      <c r="AM24" s="95" t="n">
        <f aca="false">AM23+(U24*1.9835)</f>
        <v>815.2185</v>
      </c>
      <c r="AN24" s="92"/>
      <c r="AO24" s="96"/>
      <c r="AP24" s="96"/>
      <c r="AQ24" s="96"/>
      <c r="AR24" s="96"/>
      <c r="AT24" s="5" t="n">
        <f aca="false">11.4*1.05</f>
        <v>11.97</v>
      </c>
      <c r="AU24" s="97" t="n">
        <v>0</v>
      </c>
      <c r="AV24" s="98" t="n">
        <v>63</v>
      </c>
      <c r="AW24" s="98" t="n">
        <v>34</v>
      </c>
      <c r="AX24" s="98"/>
      <c r="AY24" s="99" t="n">
        <f aca="false">SUM(N24,P24:T24)</f>
        <v>4.30884</v>
      </c>
    </row>
    <row r="25" customFormat="false" ht="12.95" hidden="false" customHeight="true" outlineLevel="0" collapsed="false">
      <c r="A25" s="10" t="n">
        <f aca="false">A24+1</f>
        <v>11</v>
      </c>
      <c r="B25" s="121" t="n">
        <v>6892.87</v>
      </c>
      <c r="C25" s="86" t="n">
        <v>258018</v>
      </c>
      <c r="D25" s="122" t="n">
        <f aca="false">C25-C24</f>
        <v>-104</v>
      </c>
      <c r="E25" s="86" t="n">
        <f aca="false">C25-152000</f>
        <v>106018</v>
      </c>
      <c r="F25" s="123" t="n">
        <f aca="false">D25/$D$2</f>
        <v>-52.4325686917066</v>
      </c>
      <c r="G25" s="1" t="n">
        <v>46</v>
      </c>
      <c r="H25" s="12" t="n">
        <v>0</v>
      </c>
      <c r="I25" s="11" t="n">
        <f aca="false">G25+H25</f>
        <v>46</v>
      </c>
      <c r="J25" s="4" t="n">
        <f aca="false">IF(L25&gt;0,L25,0)</f>
        <v>0</v>
      </c>
      <c r="K25" s="11" t="n">
        <f aca="false">I25+J25</f>
        <v>46</v>
      </c>
      <c r="L25" s="11" t="n">
        <f aca="false">F25-(I25-AJ25)</f>
        <v>-21.9325686917066</v>
      </c>
      <c r="M25" s="124" t="n">
        <v>3.5</v>
      </c>
      <c r="N25" s="125" t="n">
        <v>0</v>
      </c>
      <c r="O25" s="125" t="n">
        <v>0</v>
      </c>
      <c r="P25" s="89" t="n">
        <v>0</v>
      </c>
      <c r="Q25" s="126" t="n">
        <f aca="false">1.842*1.02</f>
        <v>1.87884</v>
      </c>
      <c r="R25" s="126" t="n">
        <v>2.4</v>
      </c>
      <c r="S25" s="135"/>
      <c r="T25" s="91" t="n">
        <f aca="false">M25-(Q25+R25+S25)</f>
        <v>-0.77884</v>
      </c>
      <c r="U25" s="128" t="n">
        <v>45</v>
      </c>
      <c r="V25" s="128" t="n">
        <v>0</v>
      </c>
      <c r="W25" s="129" t="n">
        <f aca="false">M25-N25-P25-O25-Q25-R25-S25-T25+U25+V25</f>
        <v>45</v>
      </c>
      <c r="X25" s="130" t="n">
        <f aca="false">W25-AN25</f>
        <v>45</v>
      </c>
      <c r="Y25" s="78"/>
      <c r="Z25" s="130"/>
      <c r="AA25" s="78"/>
      <c r="AB25" s="78"/>
      <c r="AC25" s="78"/>
      <c r="AD25" s="128" t="n">
        <v>0</v>
      </c>
      <c r="AE25" s="131"/>
      <c r="AF25" s="132"/>
      <c r="AG25" s="128" t="n">
        <v>28</v>
      </c>
      <c r="AH25" s="78" t="n">
        <f aca="false">AH24-AG25</f>
        <v>4285</v>
      </c>
      <c r="AI25" s="78"/>
      <c r="AJ25" s="128" t="n">
        <f aca="false">N25+O25+P25+Q25+R25+S25+T25+W25+AD25+AG25</f>
        <v>76.5</v>
      </c>
      <c r="AK25" s="128" t="n">
        <f aca="false">IF(L25&lt;0,L25*-1,0)</f>
        <v>21.9325686917066</v>
      </c>
      <c r="AL25" s="128" t="n">
        <f aca="false">AJ25+AK25</f>
        <v>98.4325686917066</v>
      </c>
      <c r="AM25" s="95" t="n">
        <f aca="false">AM24+(U25*1.9835)</f>
        <v>904.476</v>
      </c>
      <c r="AN25" s="92"/>
      <c r="AO25" s="96"/>
      <c r="AP25" s="96"/>
      <c r="AQ25" s="96"/>
      <c r="AR25" s="96"/>
      <c r="AT25" s="5" t="n">
        <f aca="false">16.8*1.05</f>
        <v>17.64</v>
      </c>
      <c r="AU25" s="97" t="n">
        <v>0</v>
      </c>
      <c r="AV25" s="98" t="n">
        <v>61</v>
      </c>
      <c r="AW25" s="98" t="n">
        <v>39</v>
      </c>
      <c r="AX25" s="98"/>
      <c r="AY25" s="99" t="n">
        <f aca="false">SUM(N25,P25:T25)</f>
        <v>3.5</v>
      </c>
    </row>
    <row r="26" customFormat="false" ht="12.95" hidden="false" customHeight="true" outlineLevel="0" collapsed="false">
      <c r="A26" s="10" t="n">
        <f aca="false">A25+1</f>
        <v>12</v>
      </c>
      <c r="B26" s="121" t="n">
        <v>6892.84</v>
      </c>
      <c r="C26" s="86" t="n">
        <v>257914</v>
      </c>
      <c r="D26" s="122" t="n">
        <f aca="false">C26-C25</f>
        <v>-104</v>
      </c>
      <c r="E26" s="86" t="n">
        <f aca="false">C26-152000</f>
        <v>105914</v>
      </c>
      <c r="F26" s="123" t="n">
        <f aca="false">D26/$D$2</f>
        <v>-52.4325686917066</v>
      </c>
      <c r="G26" s="1" t="n">
        <v>47</v>
      </c>
      <c r="H26" s="12" t="n">
        <v>0</v>
      </c>
      <c r="I26" s="11" t="n">
        <f aca="false">G26+H26</f>
        <v>47</v>
      </c>
      <c r="J26" s="4" t="n">
        <f aca="false">IF(L26&gt;0,L26,0)</f>
        <v>0</v>
      </c>
      <c r="K26" s="11" t="n">
        <f aca="false">I26+J26</f>
        <v>47</v>
      </c>
      <c r="L26" s="11" t="n">
        <f aca="false">F26-(I26-AJ26)</f>
        <v>-22.7325686917066</v>
      </c>
      <c r="M26" s="124" t="n">
        <v>3.7</v>
      </c>
      <c r="N26" s="125" t="n">
        <v>0</v>
      </c>
      <c r="O26" s="125" t="n">
        <v>0</v>
      </c>
      <c r="P26" s="89" t="n">
        <v>0</v>
      </c>
      <c r="Q26" s="126" t="n">
        <f aca="false">1.842*1.02</f>
        <v>1.87884</v>
      </c>
      <c r="R26" s="126" t="n">
        <v>2.13</v>
      </c>
      <c r="S26" s="135"/>
      <c r="T26" s="91" t="n">
        <f aca="false">M26-(Q26+R26+S26)</f>
        <v>-0.30884</v>
      </c>
      <c r="U26" s="128" t="n">
        <v>45</v>
      </c>
      <c r="V26" s="128" t="n">
        <v>0</v>
      </c>
      <c r="W26" s="129" t="n">
        <f aca="false">M26-N26-P26-O26-Q26-R26-S26-T26+U26+V26</f>
        <v>45</v>
      </c>
      <c r="X26" s="130" t="n">
        <f aca="false">W26-AN26</f>
        <v>45</v>
      </c>
      <c r="Y26" s="78"/>
      <c r="Z26" s="130"/>
      <c r="AA26" s="78"/>
      <c r="AB26" s="78"/>
      <c r="AC26" s="78"/>
      <c r="AD26" s="128" t="n">
        <v>0</v>
      </c>
      <c r="AE26" s="131"/>
      <c r="AF26" s="132"/>
      <c r="AG26" s="128" t="n">
        <v>28</v>
      </c>
      <c r="AH26" s="78" t="n">
        <f aca="false">AH25-AG26</f>
        <v>4257</v>
      </c>
      <c r="AI26" s="78"/>
      <c r="AJ26" s="128" t="n">
        <f aca="false">N26+O26+P26+Q26+R26+S26+T26+W26+AD26+AG26</f>
        <v>76.7</v>
      </c>
      <c r="AK26" s="128" t="n">
        <f aca="false">IF(L26&lt;0,L26*-1,0)</f>
        <v>22.7325686917066</v>
      </c>
      <c r="AL26" s="128" t="n">
        <f aca="false">AJ26+AK26</f>
        <v>99.4325686917066</v>
      </c>
      <c r="AM26" s="95" t="n">
        <f aca="false">AM25+(U26*1.9835)</f>
        <v>993.7335</v>
      </c>
      <c r="AN26" s="92"/>
      <c r="AO26" s="96"/>
      <c r="AP26" s="96"/>
      <c r="AQ26" s="96"/>
      <c r="AR26" s="96"/>
      <c r="AT26" s="5" t="n">
        <f aca="false">7.18*1.05</f>
        <v>7.539</v>
      </c>
      <c r="AU26" s="97" t="n">
        <v>0</v>
      </c>
      <c r="AV26" s="98" t="n">
        <v>56</v>
      </c>
      <c r="AW26" s="98" t="n">
        <v>47</v>
      </c>
      <c r="AX26" s="98"/>
      <c r="AY26" s="99" t="n">
        <f aca="false">SUM(N26,P26:T26)</f>
        <v>3.7</v>
      </c>
    </row>
    <row r="27" customFormat="false" ht="12.95" hidden="false" customHeight="true" outlineLevel="0" collapsed="false">
      <c r="A27" s="10" t="n">
        <f aca="false">A26+1</f>
        <v>13</v>
      </c>
      <c r="B27" s="121" t="n">
        <v>6892.83</v>
      </c>
      <c r="C27" s="86" t="n">
        <v>257880</v>
      </c>
      <c r="D27" s="122" t="n">
        <f aca="false">C27-C26</f>
        <v>-34</v>
      </c>
      <c r="E27" s="86" t="n">
        <f aca="false">C27-152000</f>
        <v>105880</v>
      </c>
      <c r="F27" s="123" t="n">
        <f aca="false">D27/$D$2</f>
        <v>-17.1414166876733</v>
      </c>
      <c r="G27" s="1" t="n">
        <v>56</v>
      </c>
      <c r="H27" s="12" t="n">
        <v>0</v>
      </c>
      <c r="I27" s="11" t="n">
        <f aca="false">G27+H27</f>
        <v>56</v>
      </c>
      <c r="J27" s="4" t="n">
        <f aca="false">IF(L27&gt;0,L27,0)</f>
        <v>2.95858331232669</v>
      </c>
      <c r="K27" s="11" t="n">
        <f aca="false">I27+J27</f>
        <v>58.9585833123267</v>
      </c>
      <c r="L27" s="11" t="n">
        <f aca="false">F27-(I27-AJ27)</f>
        <v>2.95858331232669</v>
      </c>
      <c r="M27" s="124" t="n">
        <v>3.1</v>
      </c>
      <c r="N27" s="125" t="n">
        <v>0</v>
      </c>
      <c r="O27" s="125" t="n">
        <v>0</v>
      </c>
      <c r="P27" s="89" t="n">
        <v>0</v>
      </c>
      <c r="Q27" s="126" t="n">
        <f aca="false">1.842*1.02</f>
        <v>1.87884</v>
      </c>
      <c r="R27" s="126" t="n">
        <v>2.06</v>
      </c>
      <c r="S27" s="135"/>
      <c r="T27" s="91" t="n">
        <f aca="false">M27-(Q27+R27+S27)</f>
        <v>-0.83884</v>
      </c>
      <c r="U27" s="128" t="n">
        <v>45</v>
      </c>
      <c r="V27" s="128" t="n">
        <v>0</v>
      </c>
      <c r="W27" s="129" t="n">
        <f aca="false">M27-N27-P27-O27-Q27-R27-S27-T27+U27+V27</f>
        <v>45</v>
      </c>
      <c r="X27" s="130" t="n">
        <f aca="false">W27-AN27</f>
        <v>45</v>
      </c>
      <c r="Y27" s="78"/>
      <c r="Z27" s="130"/>
      <c r="AA27" s="78"/>
      <c r="AB27" s="78"/>
      <c r="AC27" s="78"/>
      <c r="AD27" s="128" t="n">
        <v>0</v>
      </c>
      <c r="AE27" s="131"/>
      <c r="AF27" s="132"/>
      <c r="AG27" s="128" t="n">
        <v>28</v>
      </c>
      <c r="AH27" s="78" t="n">
        <f aca="false">AH26-AG27</f>
        <v>4229</v>
      </c>
      <c r="AI27" s="78"/>
      <c r="AJ27" s="128" t="n">
        <f aca="false">N27+O27+P27+Q27+R27+S27+T27+W27+AD27+AG27</f>
        <v>76.1</v>
      </c>
      <c r="AK27" s="128" t="n">
        <f aca="false">IF(L27&lt;0,L27*-1,0)</f>
        <v>0</v>
      </c>
      <c r="AL27" s="128" t="n">
        <f aca="false">AJ27+AK27</f>
        <v>76.1</v>
      </c>
      <c r="AM27" s="95" t="n">
        <f aca="false">AM26+(U27*1.9835)</f>
        <v>1082.991</v>
      </c>
      <c r="AN27" s="92"/>
      <c r="AO27" s="96"/>
      <c r="AP27" s="96"/>
      <c r="AQ27" s="96"/>
      <c r="AR27" s="96"/>
      <c r="AT27" s="5" t="n">
        <v>0</v>
      </c>
      <c r="AU27" s="97" t="n">
        <v>0.21</v>
      </c>
      <c r="AV27" s="98" t="n">
        <v>49</v>
      </c>
      <c r="AW27" s="98" t="n">
        <v>35</v>
      </c>
      <c r="AX27" s="98"/>
      <c r="AY27" s="99" t="n">
        <f aca="false">SUM(N27,P27:T27)</f>
        <v>3.1</v>
      </c>
    </row>
    <row r="28" customFormat="false" ht="12.95" hidden="false" customHeight="true" outlineLevel="0" collapsed="false">
      <c r="A28" s="10" t="n">
        <f aca="false">A27+1</f>
        <v>14</v>
      </c>
      <c r="B28" s="121" t="n">
        <v>6892.82</v>
      </c>
      <c r="C28" s="86" t="n">
        <v>257845</v>
      </c>
      <c r="D28" s="122" t="n">
        <f aca="false">C28-C27</f>
        <v>-35</v>
      </c>
      <c r="E28" s="86" t="n">
        <f aca="false">C28-152000</f>
        <v>105845</v>
      </c>
      <c r="F28" s="123" t="n">
        <f aca="false">D28/$D$2</f>
        <v>-17.6455760020166</v>
      </c>
      <c r="G28" s="1" t="n">
        <v>67</v>
      </c>
      <c r="H28" s="12" t="n">
        <v>0</v>
      </c>
      <c r="I28" s="11" t="n">
        <f aca="false">G28+H28</f>
        <v>67</v>
      </c>
      <c r="J28" s="4" t="n">
        <f aca="false">IF(L28&gt;0,L28,0)</f>
        <v>0</v>
      </c>
      <c r="K28" s="11" t="n">
        <f aca="false">I28+J28</f>
        <v>67</v>
      </c>
      <c r="L28" s="11" t="n">
        <f aca="false">F28-(I28-AJ28)</f>
        <v>-7.94557600201663</v>
      </c>
      <c r="M28" s="124" t="n">
        <v>2.7</v>
      </c>
      <c r="N28" s="125" t="n">
        <v>0</v>
      </c>
      <c r="O28" s="125" t="n">
        <v>0</v>
      </c>
      <c r="P28" s="89" t="n">
        <v>0</v>
      </c>
      <c r="Q28" s="126" t="n">
        <f aca="false">1.842*1.02</f>
        <v>1.87884</v>
      </c>
      <c r="R28" s="126" t="n">
        <v>2.23</v>
      </c>
      <c r="S28" s="135"/>
      <c r="T28" s="91" t="n">
        <f aca="false">M28-(Q28+R28+S28)</f>
        <v>-1.40884</v>
      </c>
      <c r="U28" s="128" t="n">
        <v>45</v>
      </c>
      <c r="V28" s="128" t="n">
        <v>0</v>
      </c>
      <c r="W28" s="129" t="n">
        <f aca="false">M28-N28-P28-O28-Q28-R28-S28-T28+U28+V28</f>
        <v>45</v>
      </c>
      <c r="X28" s="130" t="n">
        <f aca="false">W28-AN28</f>
        <v>45</v>
      </c>
      <c r="Y28" s="78"/>
      <c r="Z28" s="130"/>
      <c r="AA28" s="78"/>
      <c r="AB28" s="78"/>
      <c r="AC28" s="78"/>
      <c r="AD28" s="128" t="n">
        <v>0</v>
      </c>
      <c r="AE28" s="131"/>
      <c r="AF28" s="132"/>
      <c r="AG28" s="128" t="n">
        <v>29</v>
      </c>
      <c r="AH28" s="78" t="n">
        <f aca="false">AH27-AG28</f>
        <v>4200</v>
      </c>
      <c r="AI28" s="78"/>
      <c r="AJ28" s="128" t="n">
        <f aca="false">N28+O28+P28+Q28+R28+S28+T28+W28+AD28+AG28</f>
        <v>76.7</v>
      </c>
      <c r="AK28" s="128" t="n">
        <f aca="false">IF(L28&lt;0,L28*-1,0)</f>
        <v>7.94557600201663</v>
      </c>
      <c r="AL28" s="128" t="n">
        <f aca="false">AJ28+AK28</f>
        <v>84.6455760020166</v>
      </c>
      <c r="AM28" s="95" t="n">
        <f aca="false">AM27+(U28*1.9835)</f>
        <v>1172.2485</v>
      </c>
      <c r="AN28" s="92"/>
      <c r="AO28" s="96"/>
      <c r="AP28" s="96"/>
      <c r="AQ28" s="96"/>
      <c r="AR28" s="96"/>
      <c r="AT28" s="5" t="n">
        <v>0</v>
      </c>
      <c r="AU28" s="97" t="n">
        <v>0.05</v>
      </c>
      <c r="AV28" s="98" t="n">
        <v>38</v>
      </c>
      <c r="AW28" s="98" t="n">
        <v>25</v>
      </c>
      <c r="AX28" s="98"/>
      <c r="AY28" s="99" t="n">
        <f aca="false">SUM(N28,P28:T28)</f>
        <v>2.7</v>
      </c>
    </row>
    <row r="29" customFormat="false" ht="12.95" hidden="false" customHeight="true" outlineLevel="0" collapsed="false">
      <c r="A29" s="10" t="n">
        <f aca="false">A28+1</f>
        <v>15</v>
      </c>
      <c r="B29" s="121" t="n">
        <v>6892.81</v>
      </c>
      <c r="C29" s="86" t="n">
        <v>257810</v>
      </c>
      <c r="D29" s="122" t="n">
        <f aca="false">C29-C28</f>
        <v>-35</v>
      </c>
      <c r="E29" s="86" t="n">
        <f aca="false">C29-152000</f>
        <v>105810</v>
      </c>
      <c r="F29" s="123" t="n">
        <f aca="false">D29/$D$2</f>
        <v>-17.6455760020166</v>
      </c>
      <c r="G29" s="1" t="n">
        <v>57</v>
      </c>
      <c r="H29" s="12" t="n">
        <v>0</v>
      </c>
      <c r="I29" s="11" t="n">
        <f aca="false">G29+H29</f>
        <v>57</v>
      </c>
      <c r="J29" s="4" t="n">
        <f aca="false">IF(L29&gt;0,L29,0)</f>
        <v>2.95442399798336</v>
      </c>
      <c r="K29" s="11" t="n">
        <f aca="false">I29+J29</f>
        <v>59.9544239979834</v>
      </c>
      <c r="L29" s="11" t="n">
        <f aca="false">F29-(I29-AJ29)</f>
        <v>2.95442399798336</v>
      </c>
      <c r="M29" s="124" t="n">
        <v>3.6</v>
      </c>
      <c r="N29" s="125" t="n">
        <v>0</v>
      </c>
      <c r="O29" s="125" t="n">
        <v>0</v>
      </c>
      <c r="P29" s="89" t="n">
        <v>0</v>
      </c>
      <c r="Q29" s="126" t="n">
        <f aca="false">1.842*1.02</f>
        <v>1.87884</v>
      </c>
      <c r="R29" s="126" t="n">
        <v>2.13</v>
      </c>
      <c r="S29" s="135"/>
      <c r="T29" s="91" t="n">
        <f aca="false">M29-(Q29+R29+S29)</f>
        <v>-0.40884</v>
      </c>
      <c r="U29" s="128" t="n">
        <v>45</v>
      </c>
      <c r="V29" s="128" t="n">
        <v>0</v>
      </c>
      <c r="W29" s="129" t="n">
        <f aca="false">M29-N29-P29-O29-Q29-R29-S29-T29+U29+V29</f>
        <v>45</v>
      </c>
      <c r="X29" s="130" t="n">
        <f aca="false">W29-AN29</f>
        <v>45</v>
      </c>
      <c r="Y29" s="78"/>
      <c r="Z29" s="130"/>
      <c r="AA29" s="78"/>
      <c r="AB29" s="78"/>
      <c r="AC29" s="78"/>
      <c r="AD29" s="128" t="n">
        <v>0</v>
      </c>
      <c r="AE29" s="131"/>
      <c r="AF29" s="132"/>
      <c r="AG29" s="128" t="n">
        <v>29</v>
      </c>
      <c r="AH29" s="78" t="n">
        <f aca="false">AH28-AG29</f>
        <v>4171</v>
      </c>
      <c r="AI29" s="78"/>
      <c r="AJ29" s="128" t="n">
        <f aca="false">N29+O29+P29+Q29+R29+S29+T29+W29+AD29+AG29</f>
        <v>77.6</v>
      </c>
      <c r="AK29" s="128" t="n">
        <f aca="false">IF(L29&lt;0,L29*-1,0)</f>
        <v>0</v>
      </c>
      <c r="AL29" s="128" t="n">
        <f aca="false">AJ29+AK29</f>
        <v>77.6</v>
      </c>
      <c r="AM29" s="95" t="n">
        <f aca="false">AM28+(U29*1.9835)</f>
        <v>1261.506</v>
      </c>
      <c r="AN29" s="92"/>
      <c r="AO29" s="96"/>
      <c r="AP29" s="96"/>
      <c r="AQ29" s="96"/>
      <c r="AR29" s="96"/>
      <c r="AT29" s="5" t="n">
        <v>0</v>
      </c>
      <c r="AU29" s="97" t="n">
        <v>0.03</v>
      </c>
      <c r="AV29" s="98" t="n">
        <v>33</v>
      </c>
      <c r="AW29" s="98" t="n">
        <v>14</v>
      </c>
      <c r="AX29" s="98"/>
      <c r="AY29" s="99" t="n">
        <f aca="false">SUM(N29,P29:T29)</f>
        <v>3.6</v>
      </c>
    </row>
    <row r="30" customFormat="false" ht="12.95" hidden="false" customHeight="true" outlineLevel="0" collapsed="false">
      <c r="A30" s="10" t="n">
        <f aca="false">A29+1</f>
        <v>16</v>
      </c>
      <c r="B30" s="121" t="n">
        <v>6892.79</v>
      </c>
      <c r="C30" s="86" t="n">
        <v>257741</v>
      </c>
      <c r="D30" s="122" t="n">
        <f aca="false">C30-C29</f>
        <v>-69</v>
      </c>
      <c r="E30" s="86" t="n">
        <f aca="false">C30-152000</f>
        <v>105741</v>
      </c>
      <c r="F30" s="123" t="n">
        <f aca="false">D30/$D$2</f>
        <v>-34.7869926896899</v>
      </c>
      <c r="G30" s="1" t="n">
        <v>51</v>
      </c>
      <c r="H30" s="12" t="n">
        <v>0</v>
      </c>
      <c r="I30" s="11" t="n">
        <f aca="false">G30+H30</f>
        <v>51</v>
      </c>
      <c r="J30" s="4" t="n">
        <f aca="false">IF(L30&gt;0,L30,0)</f>
        <v>0</v>
      </c>
      <c r="K30" s="11" t="n">
        <f aca="false">I30+J30</f>
        <v>51</v>
      </c>
      <c r="L30" s="11" t="n">
        <f aca="false">F30-(I30-AJ30)</f>
        <v>-9.18699268968994</v>
      </c>
      <c r="M30" s="124" t="n">
        <v>3.6</v>
      </c>
      <c r="N30" s="125" t="n">
        <v>0</v>
      </c>
      <c r="O30" s="125" t="n">
        <v>0</v>
      </c>
      <c r="P30" s="89" t="n">
        <v>0</v>
      </c>
      <c r="Q30" s="126" t="n">
        <f aca="false">1.842*1.02</f>
        <v>1.87884</v>
      </c>
      <c r="R30" s="126" t="n">
        <v>2.3</v>
      </c>
      <c r="S30" s="135"/>
      <c r="T30" s="91" t="n">
        <f aca="false">M30-(Q30+R30+S30)</f>
        <v>-0.57884</v>
      </c>
      <c r="U30" s="128" t="n">
        <v>45</v>
      </c>
      <c r="V30" s="128" t="n">
        <v>0</v>
      </c>
      <c r="W30" s="129" t="n">
        <f aca="false">M30-N30-P30-O30-Q30-R30-S30-T30+U30+V30</f>
        <v>45</v>
      </c>
      <c r="X30" s="130" t="n">
        <f aca="false">W30-AN30</f>
        <v>45</v>
      </c>
      <c r="Y30" s="78"/>
      <c r="Z30" s="130"/>
      <c r="AA30" s="78"/>
      <c r="AB30" s="78"/>
      <c r="AC30" s="78"/>
      <c r="AD30" s="128" t="n">
        <v>0</v>
      </c>
      <c r="AE30" s="131"/>
      <c r="AF30" s="132"/>
      <c r="AG30" s="128" t="n">
        <v>28</v>
      </c>
      <c r="AH30" s="78" t="n">
        <f aca="false">AH29-AG30</f>
        <v>4143</v>
      </c>
      <c r="AI30" s="78"/>
      <c r="AJ30" s="128" t="n">
        <f aca="false">N30+O30+P30+Q30+R30+S30+T30+W30+AD30+AG30</f>
        <v>76.6</v>
      </c>
      <c r="AK30" s="128" t="n">
        <f aca="false">IF(L30&lt;0,L30*-1,0)</f>
        <v>9.18699268968994</v>
      </c>
      <c r="AL30" s="128" t="n">
        <f aca="false">AJ30+AK30</f>
        <v>85.7869926896899</v>
      </c>
      <c r="AM30" s="95" t="n">
        <f aca="false">AM29+(U30*1.9835)</f>
        <v>1350.7635</v>
      </c>
      <c r="AN30" s="92"/>
      <c r="AO30" s="96"/>
      <c r="AP30" s="96"/>
      <c r="AQ30" s="96"/>
      <c r="AR30" s="96"/>
      <c r="AT30" s="5"/>
      <c r="AU30" s="97" t="n">
        <v>0.05</v>
      </c>
      <c r="AV30" s="98" t="n">
        <v>39</v>
      </c>
      <c r="AW30" s="98" t="n">
        <v>13</v>
      </c>
      <c r="AX30" s="98"/>
      <c r="AY30" s="99" t="n">
        <f aca="false">SUM(N30,P30:T30)</f>
        <v>3.6</v>
      </c>
    </row>
    <row r="31" customFormat="false" ht="12.95" hidden="false" customHeight="true" outlineLevel="0" collapsed="false">
      <c r="A31" s="10" t="n">
        <f aca="false">A30+1</f>
        <v>17</v>
      </c>
      <c r="B31" s="121" t="n">
        <v>6892.78</v>
      </c>
      <c r="C31" s="86" t="n">
        <v>257706</v>
      </c>
      <c r="D31" s="122" t="n">
        <f aca="false">C31-C30</f>
        <v>-35</v>
      </c>
      <c r="E31" s="86" t="n">
        <f aca="false">C31-152000</f>
        <v>105706</v>
      </c>
      <c r="F31" s="123" t="n">
        <f aca="false">D31/$D$2</f>
        <v>-17.6455760020166</v>
      </c>
      <c r="G31" s="1" t="n">
        <v>46</v>
      </c>
      <c r="H31" s="12" t="n">
        <v>0</v>
      </c>
      <c r="I31" s="11" t="n">
        <f aca="false">G31+H31</f>
        <v>46</v>
      </c>
      <c r="J31" s="4" t="n">
        <f aca="false">IF(L31&gt;0,L31,0)</f>
        <v>12.3544239979834</v>
      </c>
      <c r="K31" s="11" t="n">
        <f aca="false">I31+J31</f>
        <v>58.3544239979834</v>
      </c>
      <c r="L31" s="11" t="n">
        <f aca="false">F31-(I31-AJ31)</f>
        <v>12.3544239979834</v>
      </c>
      <c r="M31" s="124" t="n">
        <v>3</v>
      </c>
      <c r="N31" s="125" t="n">
        <v>0</v>
      </c>
      <c r="O31" s="125" t="n">
        <v>0</v>
      </c>
      <c r="P31" s="89" t="n">
        <v>0</v>
      </c>
      <c r="Q31" s="126" t="n">
        <f aca="false">1.842*1.02</f>
        <v>1.87884</v>
      </c>
      <c r="R31" s="126" t="n">
        <v>2.2</v>
      </c>
      <c r="S31" s="135"/>
      <c r="T31" s="91" t="n">
        <f aca="false">M31-(Q31+R31+S31)</f>
        <v>-1.07884</v>
      </c>
      <c r="U31" s="128" t="n">
        <v>45</v>
      </c>
      <c r="V31" s="128" t="n">
        <v>0</v>
      </c>
      <c r="W31" s="129" t="n">
        <f aca="false">M31-N31-P31-O31-Q31-R31-S31-T31+U31+V31</f>
        <v>45</v>
      </c>
      <c r="X31" s="130" t="n">
        <f aca="false">W31-AN31</f>
        <v>45</v>
      </c>
      <c r="Y31" s="78"/>
      <c r="Z31" s="130"/>
      <c r="AA31" s="78"/>
      <c r="AB31" s="78"/>
      <c r="AC31" s="78"/>
      <c r="AD31" s="128" t="n">
        <v>0</v>
      </c>
      <c r="AE31" s="131"/>
      <c r="AF31" s="132"/>
      <c r="AG31" s="128" t="n">
        <v>28</v>
      </c>
      <c r="AH31" s="78" t="n">
        <f aca="false">AH30-AG31</f>
        <v>4115</v>
      </c>
      <c r="AI31" s="78"/>
      <c r="AJ31" s="128" t="n">
        <f aca="false">N31+O31+P31+Q31+R31+S31+T31+W31+AD31+AG31</f>
        <v>76</v>
      </c>
      <c r="AK31" s="128" t="n">
        <f aca="false">IF(L31&lt;0,L31*-1,0)</f>
        <v>0</v>
      </c>
      <c r="AL31" s="128" t="n">
        <f aca="false">AJ31+AK31</f>
        <v>76</v>
      </c>
      <c r="AM31" s="95" t="n">
        <f aca="false">AM30+(U31*1.9835)</f>
        <v>1440.021</v>
      </c>
      <c r="AN31" s="92"/>
      <c r="AO31" s="96"/>
      <c r="AP31" s="96"/>
      <c r="AQ31" s="96"/>
      <c r="AR31" s="96"/>
      <c r="AT31" s="5"/>
      <c r="AU31" s="97" t="n">
        <v>0</v>
      </c>
      <c r="AV31" s="98" t="n">
        <v>46</v>
      </c>
      <c r="AW31" s="98" t="n">
        <v>20</v>
      </c>
      <c r="AX31" s="98"/>
      <c r="AY31" s="99" t="n">
        <f aca="false">SUM(N31,P31:T31)</f>
        <v>3</v>
      </c>
    </row>
    <row r="32" customFormat="false" ht="12.95" hidden="false" customHeight="true" outlineLevel="0" collapsed="false">
      <c r="A32" s="10" t="n">
        <f aca="false">A31+1</f>
        <v>18</v>
      </c>
      <c r="B32" s="121" t="n">
        <v>6892.76</v>
      </c>
      <c r="C32" s="86" t="n">
        <v>257637</v>
      </c>
      <c r="D32" s="122" t="n">
        <f aca="false">C32-C31</f>
        <v>-69</v>
      </c>
      <c r="E32" s="86" t="n">
        <f aca="false">C32-152000</f>
        <v>105637</v>
      </c>
      <c r="F32" s="123" t="n">
        <f aca="false">D32/$D$2</f>
        <v>-34.7869926896899</v>
      </c>
      <c r="G32" s="1" t="n">
        <v>42</v>
      </c>
      <c r="H32" s="12" t="n">
        <v>0</v>
      </c>
      <c r="I32" s="11" t="n">
        <f aca="false">G32+H32</f>
        <v>42</v>
      </c>
      <c r="J32" s="4" t="n">
        <f aca="false">IF(L32&gt;0,L32,0)</f>
        <v>3.81300731031006</v>
      </c>
      <c r="K32" s="11" t="n">
        <f aca="false">I32+J32</f>
        <v>45.8130073103101</v>
      </c>
      <c r="L32" s="11" t="n">
        <f aca="false">F32-(I32-AJ32)</f>
        <v>3.81300731031006</v>
      </c>
      <c r="M32" s="124" t="n">
        <v>2.6</v>
      </c>
      <c r="N32" s="125" t="n">
        <v>0</v>
      </c>
      <c r="O32" s="125" t="n">
        <v>0</v>
      </c>
      <c r="P32" s="89" t="n">
        <v>0</v>
      </c>
      <c r="Q32" s="126" t="n">
        <f aca="false">1.842*1.02</f>
        <v>1.87884</v>
      </c>
      <c r="R32" s="126" t="n">
        <v>2.03</v>
      </c>
      <c r="S32" s="135"/>
      <c r="T32" s="91" t="n">
        <f aca="false">M32-(Q32+R32+S32)</f>
        <v>-1.30884</v>
      </c>
      <c r="U32" s="128" t="n">
        <v>45</v>
      </c>
      <c r="V32" s="128" t="n">
        <v>0</v>
      </c>
      <c r="W32" s="129" t="n">
        <f aca="false">M32-N32-P32-O32-Q32-R32-S32-T32+U32+V32</f>
        <v>45</v>
      </c>
      <c r="X32" s="130" t="n">
        <f aca="false">W32-AN32</f>
        <v>45</v>
      </c>
      <c r="Y32" s="78"/>
      <c r="Z32" s="130"/>
      <c r="AA32" s="78"/>
      <c r="AB32" s="78"/>
      <c r="AC32" s="78"/>
      <c r="AD32" s="128" t="n">
        <v>0</v>
      </c>
      <c r="AE32" s="131"/>
      <c r="AF32" s="132"/>
      <c r="AG32" s="128" t="n">
        <v>33</v>
      </c>
      <c r="AH32" s="78" t="n">
        <f aca="false">AH31-AG32</f>
        <v>4082</v>
      </c>
      <c r="AI32" s="78"/>
      <c r="AJ32" s="128" t="n">
        <f aca="false">N32+O32+P32+Q32+R32+S32+T32+W32+AD32+AG32</f>
        <v>80.6</v>
      </c>
      <c r="AK32" s="128" t="n">
        <f aca="false">IF(L32&lt;0,L32*-1,0)</f>
        <v>0</v>
      </c>
      <c r="AL32" s="128" t="n">
        <f aca="false">AJ32+AK32</f>
        <v>80.6</v>
      </c>
      <c r="AM32" s="95" t="n">
        <f aca="false">AM31+(U32*1.9835)</f>
        <v>1529.2785</v>
      </c>
      <c r="AN32" s="92"/>
      <c r="AO32" s="96"/>
      <c r="AP32" s="96"/>
      <c r="AQ32" s="96"/>
      <c r="AR32" s="96"/>
      <c r="AT32" s="5"/>
      <c r="AU32" s="97" t="n">
        <v>0</v>
      </c>
      <c r="AV32" s="98" t="n">
        <v>50</v>
      </c>
      <c r="AW32" s="98" t="n">
        <v>25</v>
      </c>
      <c r="AX32" s="98"/>
      <c r="AY32" s="99" t="n">
        <f aca="false">SUM(N32,P32:T32)</f>
        <v>2.6</v>
      </c>
    </row>
    <row r="33" customFormat="false" ht="12.95" hidden="false" customHeight="true" outlineLevel="0" collapsed="false">
      <c r="A33" s="10" t="n">
        <f aca="false">A32+1</f>
        <v>19</v>
      </c>
      <c r="B33" s="121" t="n">
        <v>6892.74</v>
      </c>
      <c r="C33" s="86" t="n">
        <v>257568</v>
      </c>
      <c r="D33" s="122" t="n">
        <f aca="false">C33-C32</f>
        <v>-69</v>
      </c>
      <c r="E33" s="86" t="n">
        <f aca="false">C33-152000</f>
        <v>105568</v>
      </c>
      <c r="F33" s="123" t="n">
        <f aca="false">D33/$D$2</f>
        <v>-34.7869926896899</v>
      </c>
      <c r="G33" s="1" t="n">
        <v>38</v>
      </c>
      <c r="H33" s="12" t="n">
        <v>0</v>
      </c>
      <c r="I33" s="11" t="n">
        <f aca="false">G33+H33</f>
        <v>38</v>
      </c>
      <c r="J33" s="4" t="n">
        <f aca="false">IF(L33&gt;0,L33,0)</f>
        <v>4.11300731031007</v>
      </c>
      <c r="K33" s="11" t="n">
        <f aca="false">I33+J33</f>
        <v>42.1130073103101</v>
      </c>
      <c r="L33" s="11" t="n">
        <f aca="false">F33-(I33-AJ33)</f>
        <v>4.11300731031007</v>
      </c>
      <c r="M33" s="124" t="n">
        <v>3.9</v>
      </c>
      <c r="N33" s="125" t="n">
        <v>0</v>
      </c>
      <c r="O33" s="125" t="n">
        <v>0</v>
      </c>
      <c r="P33" s="89" t="n">
        <v>0</v>
      </c>
      <c r="Q33" s="126" t="n">
        <f aca="false">1.842*1.02</f>
        <v>1.87884</v>
      </c>
      <c r="R33" s="126" t="n">
        <v>1.88</v>
      </c>
      <c r="S33" s="135"/>
      <c r="T33" s="91" t="n">
        <f aca="false">M33-(Q33+R33+S33)</f>
        <v>0.14116</v>
      </c>
      <c r="U33" s="128" t="n">
        <v>45</v>
      </c>
      <c r="V33" s="128" t="n">
        <v>0</v>
      </c>
      <c r="W33" s="129" t="n">
        <f aca="false">M33-N33-P33-O33-Q33-R33-S33-T33+U33+V33</f>
        <v>45</v>
      </c>
      <c r="X33" s="130" t="n">
        <f aca="false">W33-AN33</f>
        <v>45</v>
      </c>
      <c r="Y33" s="78"/>
      <c r="Z33" s="130"/>
      <c r="AA33" s="78"/>
      <c r="AB33" s="78"/>
      <c r="AC33" s="78"/>
      <c r="AD33" s="128" t="n">
        <v>0</v>
      </c>
      <c r="AE33" s="131"/>
      <c r="AF33" s="132"/>
      <c r="AG33" s="128" t="n">
        <v>28</v>
      </c>
      <c r="AH33" s="78" t="n">
        <f aca="false">AH32-AG33</f>
        <v>4054</v>
      </c>
      <c r="AI33" s="78"/>
      <c r="AJ33" s="128" t="n">
        <f aca="false">N33+O33+P33+Q33+R33+S33+T33+W33+AD33+AG33</f>
        <v>76.9</v>
      </c>
      <c r="AK33" s="128" t="n">
        <f aca="false">IF(L33&lt;0,L33*-1,0)</f>
        <v>0</v>
      </c>
      <c r="AL33" s="128" t="n">
        <f aca="false">AJ33+AK33</f>
        <v>76.9</v>
      </c>
      <c r="AM33" s="95" t="n">
        <f aca="false">AM32+(U33*1.9835)</f>
        <v>1618.536</v>
      </c>
      <c r="AN33" s="92"/>
      <c r="AO33" s="96"/>
      <c r="AP33" s="96"/>
      <c r="AQ33" s="96"/>
      <c r="AR33" s="96"/>
      <c r="AT33" s="5"/>
      <c r="AU33" s="97" t="n">
        <v>0</v>
      </c>
      <c r="AV33" s="98" t="n">
        <v>52</v>
      </c>
      <c r="AW33" s="98" t="n">
        <v>25</v>
      </c>
      <c r="AX33" s="98"/>
      <c r="AY33" s="99" t="n">
        <f aca="false">SUM(N33,P33:T33)</f>
        <v>3.9</v>
      </c>
    </row>
    <row r="34" customFormat="false" ht="12.95" hidden="false" customHeight="true" outlineLevel="0" collapsed="false">
      <c r="A34" s="10" t="n">
        <f aca="false">A33+1</f>
        <v>20</v>
      </c>
      <c r="B34" s="121" t="n">
        <v>6892.72</v>
      </c>
      <c r="C34" s="86" t="n">
        <v>257498</v>
      </c>
      <c r="D34" s="122" t="n">
        <f aca="false">C34-C33</f>
        <v>-70</v>
      </c>
      <c r="E34" s="86" t="n">
        <f aca="false">C34-152000</f>
        <v>105498</v>
      </c>
      <c r="F34" s="123" t="n">
        <f aca="false">D34/$D$2</f>
        <v>-35.2911520040333</v>
      </c>
      <c r="G34" s="1" t="n">
        <v>34</v>
      </c>
      <c r="H34" s="12" t="n">
        <v>0</v>
      </c>
      <c r="I34" s="11" t="n">
        <f aca="false">G34+H34</f>
        <v>34</v>
      </c>
      <c r="J34" s="4" t="n">
        <f aca="false">IF(L34&gt;0,L34,0)</f>
        <v>8.90884799596673</v>
      </c>
      <c r="K34" s="11" t="n">
        <f aca="false">I34+J34</f>
        <v>42.9088479959667</v>
      </c>
      <c r="L34" s="11" t="n">
        <f aca="false">F34-(I34-AJ34)</f>
        <v>8.90884799596673</v>
      </c>
      <c r="M34" s="124" t="n">
        <v>5.2</v>
      </c>
      <c r="N34" s="125" t="n">
        <v>0</v>
      </c>
      <c r="O34" s="125" t="n">
        <v>0</v>
      </c>
      <c r="P34" s="89" t="n">
        <v>0</v>
      </c>
      <c r="Q34" s="126" t="n">
        <f aca="false">1.842*1.02</f>
        <v>1.87884</v>
      </c>
      <c r="R34" s="126" t="n">
        <v>2.24</v>
      </c>
      <c r="S34" s="135"/>
      <c r="T34" s="91" t="n">
        <f aca="false">M34-(Q34+R34+S34)</f>
        <v>1.08116</v>
      </c>
      <c r="U34" s="128" t="n">
        <v>45</v>
      </c>
      <c r="V34" s="128" t="n">
        <v>0</v>
      </c>
      <c r="W34" s="129" t="n">
        <f aca="false">M34-N34-P34-O34-Q34-R34-S34-T34+U34+V34</f>
        <v>45</v>
      </c>
      <c r="X34" s="130" t="n">
        <f aca="false">W34-AN34</f>
        <v>45</v>
      </c>
      <c r="Y34" s="78"/>
      <c r="Z34" s="130"/>
      <c r="AA34" s="78"/>
      <c r="AB34" s="78"/>
      <c r="AC34" s="78"/>
      <c r="AD34" s="128" t="n">
        <v>0</v>
      </c>
      <c r="AE34" s="131"/>
      <c r="AF34" s="132"/>
      <c r="AG34" s="128" t="n">
        <v>28</v>
      </c>
      <c r="AH34" s="78" t="n">
        <f aca="false">AH33-AG34</f>
        <v>4026</v>
      </c>
      <c r="AI34" s="78"/>
      <c r="AJ34" s="128" t="n">
        <f aca="false">N34+O34+P34+Q34+R34+S34+T34+W34+AD34+AG34</f>
        <v>78.2</v>
      </c>
      <c r="AK34" s="128" t="n">
        <f aca="false">IF(L34&lt;0,L34*-1,0)</f>
        <v>0</v>
      </c>
      <c r="AL34" s="128" t="n">
        <f aca="false">AJ34+AK34</f>
        <v>78.2</v>
      </c>
      <c r="AM34" s="95" t="n">
        <f aca="false">AM33+(U34*1.9835)</f>
        <v>1707.7935</v>
      </c>
      <c r="AN34" s="92"/>
      <c r="AO34" s="96"/>
      <c r="AP34" s="96"/>
      <c r="AQ34" s="96"/>
      <c r="AR34" s="96"/>
      <c r="AT34" s="5"/>
      <c r="AU34" s="97" t="n">
        <v>0</v>
      </c>
      <c r="AV34" s="98" t="n">
        <v>52</v>
      </c>
      <c r="AW34" s="98" t="n">
        <v>25</v>
      </c>
      <c r="AX34" s="98"/>
      <c r="AY34" s="99" t="n">
        <f aca="false">SUM(N34,P34:T34)</f>
        <v>5.2</v>
      </c>
    </row>
    <row r="35" customFormat="false" ht="12.95" hidden="false" customHeight="true" outlineLevel="0" collapsed="false">
      <c r="A35" s="10" t="n">
        <f aca="false">A34+1</f>
        <v>21</v>
      </c>
      <c r="B35" s="121" t="n">
        <v>6892.7</v>
      </c>
      <c r="C35" s="86" t="n">
        <v>257429</v>
      </c>
      <c r="D35" s="122" t="n">
        <f aca="false">C35-C34</f>
        <v>-69</v>
      </c>
      <c r="E35" s="86" t="n">
        <f aca="false">C35-152000</f>
        <v>105429</v>
      </c>
      <c r="F35" s="123" t="n">
        <f aca="false">D35/$D$2</f>
        <v>-34.7869926896899</v>
      </c>
      <c r="G35" s="1" t="n">
        <v>32</v>
      </c>
      <c r="H35" s="12" t="n">
        <v>0</v>
      </c>
      <c r="I35" s="11" t="n">
        <f aca="false">G35+H35</f>
        <v>32</v>
      </c>
      <c r="J35" s="4" t="n">
        <f aca="false">IF(L35&gt;0,L35,0)</f>
        <v>10.5130073103101</v>
      </c>
      <c r="K35" s="11" t="n">
        <f aca="false">I35+J35</f>
        <v>42.5130073103101</v>
      </c>
      <c r="L35" s="11" t="n">
        <f aca="false">F35-(I35-AJ35)</f>
        <v>10.5130073103101</v>
      </c>
      <c r="M35" s="124" t="n">
        <v>4.3</v>
      </c>
      <c r="N35" s="125" t="n">
        <v>0</v>
      </c>
      <c r="O35" s="125" t="n">
        <v>0</v>
      </c>
      <c r="P35" s="89" t="n">
        <v>0</v>
      </c>
      <c r="Q35" s="126" t="n">
        <f aca="false">1.842*1.02</f>
        <v>1.87884</v>
      </c>
      <c r="R35" s="126" t="n">
        <v>2.2</v>
      </c>
      <c r="S35" s="135"/>
      <c r="T35" s="91" t="n">
        <f aca="false">M35-(Q35+R35+S35)</f>
        <v>0.221159999999999</v>
      </c>
      <c r="U35" s="128" t="n">
        <v>45</v>
      </c>
      <c r="V35" s="128" t="n">
        <v>0</v>
      </c>
      <c r="W35" s="129" t="n">
        <f aca="false">M35-N35-P35-O35-Q35-R35-S35-T35+U35+V35</f>
        <v>45</v>
      </c>
      <c r="X35" s="130" t="n">
        <f aca="false">W35-AN35</f>
        <v>45</v>
      </c>
      <c r="Y35" s="78"/>
      <c r="Z35" s="130"/>
      <c r="AA35" s="78"/>
      <c r="AB35" s="78"/>
      <c r="AC35" s="78"/>
      <c r="AD35" s="128" t="n">
        <v>0</v>
      </c>
      <c r="AE35" s="131"/>
      <c r="AF35" s="132"/>
      <c r="AG35" s="128" t="n">
        <v>28</v>
      </c>
      <c r="AH35" s="78" t="n">
        <f aca="false">AH34-AG35</f>
        <v>3998</v>
      </c>
      <c r="AI35" s="78"/>
      <c r="AJ35" s="128" t="n">
        <f aca="false">N35+O35+P35+Q35+R35+S35+T35+W35+AD35+AG35</f>
        <v>77.3</v>
      </c>
      <c r="AK35" s="128" t="n">
        <f aca="false">IF(L35&lt;0,L35*-1,0)</f>
        <v>0</v>
      </c>
      <c r="AL35" s="128" t="n">
        <f aca="false">AJ35+AK35</f>
        <v>77.3</v>
      </c>
      <c r="AM35" s="95" t="n">
        <f aca="false">AM34+(U35*1.9835)</f>
        <v>1797.051</v>
      </c>
      <c r="AN35" s="92"/>
      <c r="AO35" s="96"/>
      <c r="AP35" s="96"/>
      <c r="AQ35" s="96"/>
      <c r="AR35" s="96"/>
      <c r="AT35" s="5"/>
      <c r="AU35" s="97" t="n">
        <v>0</v>
      </c>
      <c r="AV35" s="98" t="n">
        <v>52</v>
      </c>
      <c r="AW35" s="98" t="n">
        <v>28</v>
      </c>
      <c r="AX35" s="98"/>
      <c r="AY35" s="99" t="n">
        <f aca="false">SUM(N35,P35:T35)</f>
        <v>4.3</v>
      </c>
    </row>
    <row r="36" customFormat="false" ht="12.95" hidden="false" customHeight="true" outlineLevel="0" collapsed="false">
      <c r="A36" s="10" t="n">
        <f aca="false">A35+1</f>
        <v>22</v>
      </c>
      <c r="B36" s="121" t="n">
        <v>6892.68</v>
      </c>
      <c r="C36" s="86" t="n">
        <v>257360</v>
      </c>
      <c r="D36" s="122" t="n">
        <f aca="false">C36-C35</f>
        <v>-69</v>
      </c>
      <c r="E36" s="86" t="n">
        <f aca="false">C36-152000</f>
        <v>105360</v>
      </c>
      <c r="F36" s="123" t="n">
        <f aca="false">D36/$D$2</f>
        <v>-34.7869926896899</v>
      </c>
      <c r="G36" s="1" t="n">
        <v>29</v>
      </c>
      <c r="H36" s="12" t="n">
        <v>0</v>
      </c>
      <c r="I36" s="11" t="n">
        <f aca="false">G36+H36</f>
        <v>29</v>
      </c>
      <c r="J36" s="4" t="n">
        <f aca="false">IF(L36&gt;0,L36,0)</f>
        <v>12.7130073103101</v>
      </c>
      <c r="K36" s="11" t="n">
        <f aca="false">I36+J36</f>
        <v>41.7130073103101</v>
      </c>
      <c r="L36" s="11" t="n">
        <f aca="false">F36-(I36-AJ36)</f>
        <v>12.7130073103101</v>
      </c>
      <c r="M36" s="124" t="n">
        <v>3.5</v>
      </c>
      <c r="N36" s="125" t="n">
        <v>0</v>
      </c>
      <c r="O36" s="125" t="n">
        <v>0</v>
      </c>
      <c r="P36" s="89" t="n">
        <v>0</v>
      </c>
      <c r="Q36" s="126" t="n">
        <f aca="false">1.842*1.02</f>
        <v>1.87884</v>
      </c>
      <c r="R36" s="126" t="n">
        <v>2.21</v>
      </c>
      <c r="S36" s="135"/>
      <c r="T36" s="91" t="n">
        <f aca="false">M36-(Q36+R36+S36)</f>
        <v>-0.58884</v>
      </c>
      <c r="U36" s="128" t="n">
        <v>45</v>
      </c>
      <c r="V36" s="128" t="n">
        <v>0</v>
      </c>
      <c r="W36" s="129" t="n">
        <f aca="false">M36-N36-P36-O36-Q36-R36-S36-T36+U36+V36</f>
        <v>45</v>
      </c>
      <c r="X36" s="130" t="n">
        <f aca="false">W36-AN36</f>
        <v>45</v>
      </c>
      <c r="Y36" s="78"/>
      <c r="Z36" s="130"/>
      <c r="AA36" s="78"/>
      <c r="AB36" s="78"/>
      <c r="AC36" s="78"/>
      <c r="AD36" s="128" t="n">
        <v>0</v>
      </c>
      <c r="AE36" s="131"/>
      <c r="AF36" s="132"/>
      <c r="AG36" s="128" t="n">
        <v>28</v>
      </c>
      <c r="AH36" s="78" t="n">
        <f aca="false">AH35-AG36</f>
        <v>3970</v>
      </c>
      <c r="AI36" s="78"/>
      <c r="AJ36" s="128" t="n">
        <f aca="false">N36+O36+P36+Q36+R36+S36+T36+W36+AD36+AG36</f>
        <v>76.5</v>
      </c>
      <c r="AK36" s="128" t="n">
        <f aca="false">IF(L36&lt;0,L36*-1,0)</f>
        <v>0</v>
      </c>
      <c r="AL36" s="128" t="n">
        <f aca="false">AJ36+AK36</f>
        <v>76.5</v>
      </c>
      <c r="AM36" s="95" t="n">
        <f aca="false">AM35+(U36*1.9835)</f>
        <v>1886.3085</v>
      </c>
      <c r="AN36" s="92"/>
      <c r="AO36" s="96"/>
      <c r="AP36" s="96"/>
      <c r="AQ36" s="96"/>
      <c r="AR36" s="96"/>
      <c r="AT36" s="5"/>
      <c r="AU36" s="97" t="n">
        <v>0</v>
      </c>
      <c r="AV36" s="98" t="n">
        <v>48</v>
      </c>
      <c r="AW36" s="98" t="n">
        <v>24</v>
      </c>
      <c r="AX36" s="98"/>
      <c r="AY36" s="99" t="n">
        <f aca="false">SUM(N36,P36:T36)</f>
        <v>3.5</v>
      </c>
    </row>
    <row r="37" customFormat="false" ht="12.95" hidden="false" customHeight="true" outlineLevel="0" collapsed="false">
      <c r="A37" s="10" t="n">
        <f aca="false">A36+1</f>
        <v>23</v>
      </c>
      <c r="B37" s="121" t="n">
        <v>6892.64</v>
      </c>
      <c r="C37" s="86" t="n">
        <v>257221</v>
      </c>
      <c r="D37" s="122" t="n">
        <f aca="false">C37-C36</f>
        <v>-139</v>
      </c>
      <c r="E37" s="86" t="n">
        <f aca="false">C37-152000</f>
        <v>105221</v>
      </c>
      <c r="F37" s="123" t="n">
        <f aca="false">D37/$D$2</f>
        <v>-70.0781446937232</v>
      </c>
      <c r="G37" s="1" t="n">
        <v>28</v>
      </c>
      <c r="H37" s="12" t="n">
        <v>0</v>
      </c>
      <c r="I37" s="11" t="n">
        <f aca="false">G37+H37</f>
        <v>28</v>
      </c>
      <c r="J37" s="4" t="n">
        <f aca="false">IF(L37&gt;0,L37,0)</f>
        <v>0</v>
      </c>
      <c r="K37" s="11" t="n">
        <f aca="false">I37+J37</f>
        <v>28</v>
      </c>
      <c r="L37" s="11" t="n">
        <f aca="false">F37-(I37-AJ37)</f>
        <v>-11.7781446937232</v>
      </c>
      <c r="M37" s="124" t="n">
        <v>3.3</v>
      </c>
      <c r="N37" s="125" t="n">
        <v>0</v>
      </c>
      <c r="O37" s="125" t="n">
        <v>0</v>
      </c>
      <c r="P37" s="89" t="n">
        <v>0</v>
      </c>
      <c r="Q37" s="126" t="n">
        <f aca="false">1.842*1.02</f>
        <v>1.87884</v>
      </c>
      <c r="R37" s="126" t="n">
        <v>2.27</v>
      </c>
      <c r="S37" s="135"/>
      <c r="T37" s="91" t="n">
        <f aca="false">M37-(Q37+R37+S37)</f>
        <v>-0.84884</v>
      </c>
      <c r="U37" s="128" t="n">
        <v>55</v>
      </c>
      <c r="V37" s="128" t="n">
        <v>0</v>
      </c>
      <c r="W37" s="129" t="n">
        <f aca="false">M37-N37-P37-O37-Q37-R37-S37-T37+U37+V37</f>
        <v>55</v>
      </c>
      <c r="X37" s="130" t="n">
        <f aca="false">W37-AN37</f>
        <v>55</v>
      </c>
      <c r="Y37" s="78"/>
      <c r="Z37" s="130"/>
      <c r="AA37" s="78"/>
      <c r="AB37" s="78"/>
      <c r="AC37" s="78"/>
      <c r="AD37" s="128" t="n">
        <v>0</v>
      </c>
      <c r="AE37" s="131"/>
      <c r="AF37" s="132"/>
      <c r="AG37" s="128" t="n">
        <v>28</v>
      </c>
      <c r="AH37" s="78" t="n">
        <f aca="false">AH36-AG37</f>
        <v>3942</v>
      </c>
      <c r="AI37" s="78"/>
      <c r="AJ37" s="128" t="n">
        <f aca="false">N37+O37+P37+Q37+R37+S37+T37+W37+AD37+AG37</f>
        <v>86.3</v>
      </c>
      <c r="AK37" s="128" t="n">
        <f aca="false">IF(L37&lt;0,L37*-1,0)</f>
        <v>11.7781446937232</v>
      </c>
      <c r="AL37" s="128" t="n">
        <f aca="false">AJ37+AK37</f>
        <v>98.0781446937232</v>
      </c>
      <c r="AM37" s="95" t="n">
        <f aca="false">AM36+(U37*1.9835)</f>
        <v>1995.401</v>
      </c>
      <c r="AN37" s="92"/>
      <c r="AO37" s="96"/>
      <c r="AP37" s="96"/>
      <c r="AQ37" s="96"/>
      <c r="AR37" s="96"/>
      <c r="AT37" s="5"/>
      <c r="AU37" s="97" t="n">
        <v>0</v>
      </c>
      <c r="AV37" s="98" t="n">
        <v>38</v>
      </c>
      <c r="AW37" s="137" t="n">
        <v>22</v>
      </c>
      <c r="AX37" s="137"/>
      <c r="AY37" s="99" t="n">
        <f aca="false">SUM(N37,P37:T37)</f>
        <v>3.3</v>
      </c>
    </row>
    <row r="38" customFormat="false" ht="12.95" hidden="false" customHeight="true" outlineLevel="0" collapsed="false">
      <c r="A38" s="10" t="n">
        <f aca="false">A37+1</f>
        <v>24</v>
      </c>
      <c r="B38" s="121" t="n">
        <v>6892.6</v>
      </c>
      <c r="C38" s="86" t="n">
        <v>257083</v>
      </c>
      <c r="D38" s="122" t="n">
        <f aca="false">C38-C37</f>
        <v>-138</v>
      </c>
      <c r="E38" s="86" t="n">
        <f aca="false">C38-152000</f>
        <v>105083</v>
      </c>
      <c r="F38" s="123" t="n">
        <f aca="false">D38/$D$2</f>
        <v>-69.5739853793799</v>
      </c>
      <c r="G38" s="1" t="n">
        <v>27</v>
      </c>
      <c r="H38" s="12" t="n">
        <v>0</v>
      </c>
      <c r="I38" s="11" t="n">
        <f aca="false">G38+H38</f>
        <v>27</v>
      </c>
      <c r="J38" s="4" t="n">
        <f aca="false">IF(L38&gt;0,L38,0)</f>
        <v>0</v>
      </c>
      <c r="K38" s="11" t="n">
        <f aca="false">I38+J38</f>
        <v>27</v>
      </c>
      <c r="L38" s="11" t="n">
        <f aca="false">F38-(I38-AJ38)</f>
        <v>-4.17398537937987</v>
      </c>
      <c r="M38" s="124" t="n">
        <v>3.4</v>
      </c>
      <c r="N38" s="125" t="n">
        <v>0</v>
      </c>
      <c r="O38" s="125" t="n">
        <v>0</v>
      </c>
      <c r="P38" s="89" t="n">
        <v>0</v>
      </c>
      <c r="Q38" s="126" t="n">
        <f aca="false">1.842*1.02</f>
        <v>1.87884</v>
      </c>
      <c r="R38" s="126" t="n">
        <v>2.17</v>
      </c>
      <c r="S38" s="135"/>
      <c r="T38" s="91" t="n">
        <f aca="false">M38-(Q38+R38+S38)</f>
        <v>-0.64884</v>
      </c>
      <c r="U38" s="128" t="n">
        <v>61</v>
      </c>
      <c r="V38" s="128" t="n">
        <v>0</v>
      </c>
      <c r="W38" s="129" t="n">
        <f aca="false">M38-N38-P38-O38-Q38-R38-S38-T38+U38+V38</f>
        <v>61</v>
      </c>
      <c r="X38" s="130" t="n">
        <f aca="false">W38-AN38</f>
        <v>61</v>
      </c>
      <c r="Y38" s="78"/>
      <c r="Z38" s="130"/>
      <c r="AA38" s="78"/>
      <c r="AB38" s="78"/>
      <c r="AC38" s="78"/>
      <c r="AD38" s="128" t="n">
        <v>0</v>
      </c>
      <c r="AE38" s="131"/>
      <c r="AF38" s="132"/>
      <c r="AG38" s="128" t="n">
        <v>28</v>
      </c>
      <c r="AH38" s="78" t="n">
        <f aca="false">AH37-AG38</f>
        <v>3914</v>
      </c>
      <c r="AI38" s="78"/>
      <c r="AJ38" s="128" t="n">
        <f aca="false">N38+O38+P38+Q38+R38+S38+T38+W38+AD38+AG38</f>
        <v>92.4</v>
      </c>
      <c r="AK38" s="128" t="n">
        <f aca="false">IF(L38&lt;0,L38*-1,0)</f>
        <v>4.17398537937987</v>
      </c>
      <c r="AL38" s="128" t="n">
        <f aca="false">AJ38+AK38</f>
        <v>96.5739853793799</v>
      </c>
      <c r="AM38" s="95" t="n">
        <f aca="false">AM37+(U38*1.9835)</f>
        <v>2116.3945</v>
      </c>
      <c r="AN38" s="92"/>
      <c r="AO38" s="96"/>
      <c r="AP38" s="96"/>
      <c r="AQ38" s="96"/>
      <c r="AR38" s="96"/>
      <c r="AT38" s="5"/>
      <c r="AU38" s="97" t="n">
        <v>0</v>
      </c>
      <c r="AV38" s="98" t="n">
        <v>44</v>
      </c>
      <c r="AW38" s="137" t="n">
        <v>18</v>
      </c>
      <c r="AX38" s="137"/>
      <c r="AY38" s="99" t="n">
        <f aca="false">SUM(N38,P38:T38)</f>
        <v>3.4</v>
      </c>
    </row>
    <row r="39" customFormat="false" ht="12.95" hidden="false" customHeight="true" outlineLevel="0" collapsed="false">
      <c r="A39" s="10" t="n">
        <f aca="false">A38+1</f>
        <v>25</v>
      </c>
      <c r="B39" s="121" t="n">
        <v>6892.56</v>
      </c>
      <c r="C39" s="86" t="n">
        <v>256944</v>
      </c>
      <c r="D39" s="122" t="n">
        <f aca="false">C39-C38</f>
        <v>-139</v>
      </c>
      <c r="E39" s="86" t="n">
        <f aca="false">C39-152000</f>
        <v>104944</v>
      </c>
      <c r="F39" s="123" t="n">
        <f aca="false">D39/$D$2</f>
        <v>-70.0781446937232</v>
      </c>
      <c r="G39" s="1" t="n">
        <v>24</v>
      </c>
      <c r="H39" s="12" t="n">
        <v>0</v>
      </c>
      <c r="I39" s="11" t="n">
        <f aca="false">G39+H39</f>
        <v>24</v>
      </c>
      <c r="J39" s="4" t="n">
        <f aca="false">IF(L39&gt;0,L39,0)</f>
        <v>0</v>
      </c>
      <c r="K39" s="11" t="n">
        <f aca="false">I39+J39</f>
        <v>24</v>
      </c>
      <c r="L39" s="11" t="n">
        <f aca="false">F39-(I39-AJ39)</f>
        <v>-1.57814469372322</v>
      </c>
      <c r="M39" s="124" t="n">
        <v>3.5</v>
      </c>
      <c r="N39" s="125" t="n">
        <v>0</v>
      </c>
      <c r="O39" s="125" t="n">
        <v>0</v>
      </c>
      <c r="P39" s="89" t="n">
        <v>0</v>
      </c>
      <c r="Q39" s="126" t="n">
        <f aca="false">1.842*1.02</f>
        <v>1.87884</v>
      </c>
      <c r="R39" s="126" t="n">
        <v>2.21</v>
      </c>
      <c r="S39" s="135"/>
      <c r="T39" s="91" t="n">
        <f aca="false">M39-(Q39+R39+S39)</f>
        <v>-0.58884</v>
      </c>
      <c r="U39" s="128" t="n">
        <v>61</v>
      </c>
      <c r="V39" s="128" t="n">
        <v>0</v>
      </c>
      <c r="W39" s="129" t="n">
        <f aca="false">M39-N39-P39-O39-Q39-R39-S39-T39+U39+V39</f>
        <v>61</v>
      </c>
      <c r="X39" s="130" t="n">
        <f aca="false">W39-AN39</f>
        <v>61</v>
      </c>
      <c r="Y39" s="78"/>
      <c r="Z39" s="130"/>
      <c r="AA39" s="78"/>
      <c r="AB39" s="78"/>
      <c r="AC39" s="78"/>
      <c r="AD39" s="128" t="n">
        <v>0</v>
      </c>
      <c r="AE39" s="131"/>
      <c r="AF39" s="132"/>
      <c r="AG39" s="128" t="n">
        <v>28</v>
      </c>
      <c r="AH39" s="78" t="n">
        <f aca="false">AH38-AG39</f>
        <v>3886</v>
      </c>
      <c r="AI39" s="78"/>
      <c r="AJ39" s="128" t="n">
        <f aca="false">N39+O39+P39+Q39+R39+S39+T39+W39+AD39+AG39</f>
        <v>92.5</v>
      </c>
      <c r="AK39" s="128" t="n">
        <f aca="false">IF(L39&lt;0,L39*-1,0)</f>
        <v>1.57814469372322</v>
      </c>
      <c r="AL39" s="128" t="n">
        <f aca="false">AJ39+AK39</f>
        <v>94.0781446937232</v>
      </c>
      <c r="AM39" s="95" t="n">
        <f aca="false">AM38+(U39*1.9835)</f>
        <v>2237.388</v>
      </c>
      <c r="AN39" s="92"/>
      <c r="AO39" s="96"/>
      <c r="AP39" s="96"/>
      <c r="AQ39" s="96"/>
      <c r="AR39" s="96"/>
      <c r="AT39" s="5"/>
      <c r="AU39" s="97" t="n">
        <v>0</v>
      </c>
      <c r="AV39" s="98" t="n">
        <v>49</v>
      </c>
      <c r="AW39" s="137" t="n">
        <v>19</v>
      </c>
      <c r="AX39" s="137"/>
      <c r="AY39" s="99" t="n">
        <f aca="false">SUM(N39,P39:T39)</f>
        <v>3.5</v>
      </c>
    </row>
    <row r="40" customFormat="false" ht="12.95" hidden="false" customHeight="true" outlineLevel="0" collapsed="false">
      <c r="A40" s="10" t="n">
        <f aca="false">A39+1</f>
        <v>26</v>
      </c>
      <c r="B40" s="121" t="n">
        <v>6892.52</v>
      </c>
      <c r="C40" s="86" t="n">
        <v>256805</v>
      </c>
      <c r="D40" s="122" t="n">
        <f aca="false">C40-C39</f>
        <v>-139</v>
      </c>
      <c r="E40" s="86" t="n">
        <f aca="false">C40-152000</f>
        <v>104805</v>
      </c>
      <c r="F40" s="123" t="n">
        <f aca="false">D40/$D$2</f>
        <v>-70.0781446937232</v>
      </c>
      <c r="G40" s="1" t="n">
        <v>23</v>
      </c>
      <c r="H40" s="12" t="n">
        <v>0</v>
      </c>
      <c r="I40" s="11" t="n">
        <f aca="false">G40+H40</f>
        <v>23</v>
      </c>
      <c r="J40" s="4" t="n">
        <f aca="false">IF(L40&gt;0,L40,0)</f>
        <v>0</v>
      </c>
      <c r="K40" s="11" t="n">
        <f aca="false">I40+J40</f>
        <v>23</v>
      </c>
      <c r="L40" s="11" t="n">
        <f aca="false">F40-(I40-AJ40)</f>
        <v>-0.878144693723215</v>
      </c>
      <c r="M40" s="124" t="n">
        <v>4.2</v>
      </c>
      <c r="N40" s="125" t="n">
        <v>0</v>
      </c>
      <c r="O40" s="125" t="n">
        <v>0</v>
      </c>
      <c r="P40" s="89" t="n">
        <v>0</v>
      </c>
      <c r="Q40" s="126" t="n">
        <f aca="false">1.842*1.02</f>
        <v>1.87884</v>
      </c>
      <c r="R40" s="126" t="n">
        <v>2.05</v>
      </c>
      <c r="S40" s="135"/>
      <c r="T40" s="91" t="n">
        <f aca="false">M40-(Q40+R40+S40)</f>
        <v>0.27116</v>
      </c>
      <c r="U40" s="128" t="n">
        <v>60</v>
      </c>
      <c r="V40" s="128" t="n">
        <v>0</v>
      </c>
      <c r="W40" s="129" t="n">
        <f aca="false">M40-N40-P40-O40-Q40-R40-S40-T40+U40+V40</f>
        <v>60</v>
      </c>
      <c r="X40" s="130" t="n">
        <f aca="false">W40-AN40</f>
        <v>60</v>
      </c>
      <c r="Y40" s="78"/>
      <c r="Z40" s="130"/>
      <c r="AA40" s="78"/>
      <c r="AB40" s="78"/>
      <c r="AC40" s="78"/>
      <c r="AD40" s="128" t="n">
        <v>0</v>
      </c>
      <c r="AE40" s="131"/>
      <c r="AF40" s="132"/>
      <c r="AG40" s="128" t="n">
        <v>28</v>
      </c>
      <c r="AH40" s="78" t="n">
        <f aca="false">AH39-AG40</f>
        <v>3858</v>
      </c>
      <c r="AI40" s="78"/>
      <c r="AJ40" s="128" t="n">
        <f aca="false">N40+O40+P40+Q40+R40+S40+T40+W40+AD40+AG40</f>
        <v>92.2</v>
      </c>
      <c r="AK40" s="128" t="n">
        <f aca="false">IF(L40&lt;0,L40*-1,0)</f>
        <v>0.878144693723215</v>
      </c>
      <c r="AL40" s="128" t="n">
        <f aca="false">AJ40+AK40</f>
        <v>93.0781446937232</v>
      </c>
      <c r="AM40" s="95" t="n">
        <f aca="false">AM39+(U40*1.9835)</f>
        <v>2356.398</v>
      </c>
      <c r="AN40" s="92"/>
      <c r="AO40" s="96"/>
      <c r="AP40" s="96"/>
      <c r="AQ40" s="96"/>
      <c r="AR40" s="96"/>
      <c r="AT40" s="5"/>
      <c r="AU40" s="97" t="n">
        <v>0</v>
      </c>
      <c r="AV40" s="98" t="n">
        <v>55</v>
      </c>
      <c r="AW40" s="98" t="n">
        <v>25</v>
      </c>
      <c r="AX40" s="98"/>
      <c r="AY40" s="99" t="n">
        <f aca="false">SUM(N40,P40:T40)</f>
        <v>4.2</v>
      </c>
    </row>
    <row r="41" customFormat="false" ht="12.95" hidden="false" customHeight="true" outlineLevel="0" collapsed="false">
      <c r="A41" s="10" t="n">
        <f aca="false">A40+1</f>
        <v>27</v>
      </c>
      <c r="B41" s="121" t="n">
        <v>6892.48</v>
      </c>
      <c r="C41" s="86" t="n">
        <v>256667</v>
      </c>
      <c r="D41" s="122" t="n">
        <f aca="false">C41-C40</f>
        <v>-138</v>
      </c>
      <c r="E41" s="86" t="n">
        <f aca="false">C41-152000</f>
        <v>104667</v>
      </c>
      <c r="F41" s="123" t="n">
        <f aca="false">D41/$D$2</f>
        <v>-69.5739853793799</v>
      </c>
      <c r="G41" s="1" t="n">
        <v>23</v>
      </c>
      <c r="H41" s="12" t="n">
        <v>0</v>
      </c>
      <c r="I41" s="11" t="n">
        <f aca="false">G41+H41</f>
        <v>23</v>
      </c>
      <c r="J41" s="4" t="n">
        <f aca="false">IF(L41&gt;0,L41,0)</f>
        <v>0</v>
      </c>
      <c r="K41" s="11" t="n">
        <f aca="false">I41+J41</f>
        <v>23</v>
      </c>
      <c r="L41" s="11" t="n">
        <f aca="false">F41-(I41-AJ41)</f>
        <v>-0.973985379379883</v>
      </c>
      <c r="M41" s="124" t="n">
        <v>3.6</v>
      </c>
      <c r="N41" s="125" t="n">
        <v>0</v>
      </c>
      <c r="O41" s="125" t="n">
        <v>0</v>
      </c>
      <c r="P41" s="89" t="n">
        <v>0</v>
      </c>
      <c r="Q41" s="126" t="n">
        <f aca="false">1.842*1.02</f>
        <v>1.87884</v>
      </c>
      <c r="R41" s="126" t="n">
        <v>1.88</v>
      </c>
      <c r="S41" s="135"/>
      <c r="T41" s="91" t="n">
        <f aca="false">M41-(Q41+R41+S41)</f>
        <v>-0.15884</v>
      </c>
      <c r="U41" s="128" t="n">
        <v>60</v>
      </c>
      <c r="V41" s="128" t="n">
        <v>0</v>
      </c>
      <c r="W41" s="129" t="n">
        <f aca="false">M41-N41-P41-O41-Q41-R41-S41-T41+U41+V41</f>
        <v>60</v>
      </c>
      <c r="X41" s="130" t="n">
        <f aca="false">W41-AN41</f>
        <v>60</v>
      </c>
      <c r="Y41" s="78"/>
      <c r="Z41" s="130"/>
      <c r="AA41" s="78"/>
      <c r="AB41" s="78"/>
      <c r="AC41" s="78"/>
      <c r="AD41" s="128" t="n">
        <v>0</v>
      </c>
      <c r="AE41" s="131"/>
      <c r="AF41" s="132"/>
      <c r="AG41" s="128" t="n">
        <v>28</v>
      </c>
      <c r="AH41" s="78" t="n">
        <f aca="false">AH40-AG41</f>
        <v>3830</v>
      </c>
      <c r="AI41" s="78"/>
      <c r="AJ41" s="128" t="n">
        <f aca="false">N41+O41+P41+Q41+R41+S41+T41+W41+AD41+AG41</f>
        <v>91.6</v>
      </c>
      <c r="AK41" s="128" t="n">
        <f aca="false">IF(L41&lt;0,L41*-1,0)</f>
        <v>0.973985379379883</v>
      </c>
      <c r="AL41" s="128" t="n">
        <f aca="false">AJ41+AK41</f>
        <v>92.5739853793799</v>
      </c>
      <c r="AM41" s="95" t="n">
        <f aca="false">AM40+(U41*1.9835)</f>
        <v>2475.408</v>
      </c>
      <c r="AN41" s="92"/>
      <c r="AO41" s="96"/>
      <c r="AP41" s="96"/>
      <c r="AQ41" s="96"/>
      <c r="AR41" s="96"/>
      <c r="AT41" s="5"/>
      <c r="AU41" s="97" t="n">
        <v>0</v>
      </c>
      <c r="AV41" s="98" t="n">
        <v>54</v>
      </c>
      <c r="AW41" s="98" t="n">
        <v>26</v>
      </c>
      <c r="AX41" s="98"/>
      <c r="AY41" s="99" t="n">
        <f aca="false">SUM(N41,P41:T41)</f>
        <v>3.6</v>
      </c>
    </row>
    <row r="42" customFormat="false" ht="12.95" hidden="false" customHeight="true" outlineLevel="0" collapsed="false">
      <c r="A42" s="10" t="n">
        <f aca="false">A41+1</f>
        <v>28</v>
      </c>
      <c r="B42" s="121" t="n">
        <v>6892.44</v>
      </c>
      <c r="C42" s="86" t="n">
        <v>256528</v>
      </c>
      <c r="D42" s="122" t="n">
        <f aca="false">C42-C41</f>
        <v>-139</v>
      </c>
      <c r="E42" s="86" t="n">
        <f aca="false">C42-152000</f>
        <v>104528</v>
      </c>
      <c r="F42" s="123" t="n">
        <f aca="false">D42/$D$2</f>
        <v>-70.0781446937232</v>
      </c>
      <c r="G42" s="1" t="n">
        <v>23</v>
      </c>
      <c r="H42" s="12" t="n">
        <v>0</v>
      </c>
      <c r="I42" s="11" t="n">
        <f aca="false">G42+H42</f>
        <v>23</v>
      </c>
      <c r="J42" s="4" t="n">
        <f aca="false">IF(L42&gt;0,L42,0)</f>
        <v>0</v>
      </c>
      <c r="K42" s="11" t="n">
        <f aca="false">I42+J42</f>
        <v>23</v>
      </c>
      <c r="L42" s="11" t="n">
        <f aca="false">F42-(I42-AJ42)</f>
        <v>-2.27814469372322</v>
      </c>
      <c r="M42" s="124" t="n">
        <v>2.8</v>
      </c>
      <c r="N42" s="125" t="n">
        <v>0</v>
      </c>
      <c r="O42" s="125" t="n">
        <v>0</v>
      </c>
      <c r="P42" s="89" t="n">
        <v>0</v>
      </c>
      <c r="Q42" s="126" t="n">
        <f aca="false">1.842*1.02</f>
        <v>1.87884</v>
      </c>
      <c r="R42" s="126" t="n">
        <v>1.94</v>
      </c>
      <c r="S42" s="135"/>
      <c r="T42" s="91" t="n">
        <f aca="false">M42-(Q42+R42+S42)</f>
        <v>-1.01884</v>
      </c>
      <c r="U42" s="128" t="n">
        <v>60</v>
      </c>
      <c r="V42" s="128" t="n">
        <v>0</v>
      </c>
      <c r="W42" s="129" t="n">
        <f aca="false">M42-N42-P42-O42-Q42-R42-S42-T42+U42+V42</f>
        <v>60</v>
      </c>
      <c r="X42" s="130" t="n">
        <f aca="false">W42-AN42</f>
        <v>60</v>
      </c>
      <c r="Y42" s="78"/>
      <c r="Z42" s="130"/>
      <c r="AA42" s="78"/>
      <c r="AB42" s="78"/>
      <c r="AC42" s="78"/>
      <c r="AD42" s="128" t="n">
        <v>0</v>
      </c>
      <c r="AE42" s="131"/>
      <c r="AF42" s="132"/>
      <c r="AG42" s="128" t="n">
        <v>28</v>
      </c>
      <c r="AH42" s="78" t="n">
        <f aca="false">AH41-AG42</f>
        <v>3802</v>
      </c>
      <c r="AI42" s="78"/>
      <c r="AJ42" s="128" t="n">
        <f aca="false">N42+O42+P42+Q42+R42+S42+T42+W42+AD42+AG42</f>
        <v>90.8</v>
      </c>
      <c r="AK42" s="128" t="n">
        <f aca="false">IF(L42&lt;0,L42*-1,0)</f>
        <v>2.27814469372322</v>
      </c>
      <c r="AL42" s="128" t="n">
        <f aca="false">AJ42+AK42</f>
        <v>93.0781446937232</v>
      </c>
      <c r="AM42" s="95" t="n">
        <f aca="false">AM41+(U42*1.9835)</f>
        <v>2594.418</v>
      </c>
      <c r="AN42" s="92"/>
      <c r="AO42" s="96"/>
      <c r="AP42" s="96"/>
      <c r="AQ42" s="96"/>
      <c r="AR42" s="96"/>
      <c r="AT42" s="5"/>
      <c r="AU42" s="97" t="n">
        <v>0.01</v>
      </c>
      <c r="AV42" s="98" t="n">
        <v>50</v>
      </c>
      <c r="AW42" s="98" t="n">
        <v>30</v>
      </c>
      <c r="AX42" s="98"/>
      <c r="AY42" s="99" t="n">
        <f aca="false">SUM(N42,P42:T42)</f>
        <v>2.8</v>
      </c>
    </row>
    <row r="43" customFormat="false" ht="12.95" hidden="false" customHeight="true" outlineLevel="0" collapsed="false">
      <c r="A43" s="10" t="n">
        <f aca="false">A42+1</f>
        <v>29</v>
      </c>
      <c r="B43" s="121" t="n">
        <v>6892.4</v>
      </c>
      <c r="C43" s="86" t="n">
        <v>256389</v>
      </c>
      <c r="D43" s="122" t="n">
        <f aca="false">C43-C42</f>
        <v>-139</v>
      </c>
      <c r="E43" s="86" t="n">
        <f aca="false">C43-152000</f>
        <v>104389</v>
      </c>
      <c r="F43" s="123" t="n">
        <f aca="false">D43/$D$2</f>
        <v>-70.0781446937232</v>
      </c>
      <c r="G43" s="1" t="n">
        <v>24</v>
      </c>
      <c r="H43" s="12" t="n">
        <v>0</v>
      </c>
      <c r="I43" s="11" t="n">
        <f aca="false">G43+H43</f>
        <v>24</v>
      </c>
      <c r="J43" s="4" t="n">
        <f aca="false">IF(L43&gt;0,L43,0)</f>
        <v>0</v>
      </c>
      <c r="K43" s="11" t="n">
        <f aca="false">I43+J43</f>
        <v>24</v>
      </c>
      <c r="L43" s="11" t="n">
        <f aca="false">F43-(I43-AJ43)</f>
        <v>-3.67814469372321</v>
      </c>
      <c r="M43" s="124" t="n">
        <v>2.4</v>
      </c>
      <c r="N43" s="125" t="n">
        <v>0</v>
      </c>
      <c r="O43" s="125" t="n">
        <v>0</v>
      </c>
      <c r="P43" s="89" t="n">
        <v>0</v>
      </c>
      <c r="Q43" s="126" t="n">
        <f aca="false">1.842*1.02</f>
        <v>1.87884</v>
      </c>
      <c r="R43" s="126" t="n">
        <v>2.24</v>
      </c>
      <c r="S43" s="135"/>
      <c r="T43" s="91" t="n">
        <f aca="false">M43-(Q43+R43+S43)</f>
        <v>-1.71884</v>
      </c>
      <c r="U43" s="128" t="n">
        <v>60</v>
      </c>
      <c r="V43" s="128" t="n">
        <v>0</v>
      </c>
      <c r="W43" s="129" t="n">
        <f aca="false">M43-N43-P43-O43-Q43-R43-S43-T43+U43+V43</f>
        <v>60</v>
      </c>
      <c r="X43" s="130" t="n">
        <f aca="false">W43-AN43</f>
        <v>60</v>
      </c>
      <c r="Y43" s="78"/>
      <c r="Z43" s="130"/>
      <c r="AA43" s="78"/>
      <c r="AB43" s="78"/>
      <c r="AC43" s="78"/>
      <c r="AD43" s="128" t="n">
        <v>0</v>
      </c>
      <c r="AE43" s="131"/>
      <c r="AF43" s="132"/>
      <c r="AG43" s="128" t="n">
        <v>28</v>
      </c>
      <c r="AH43" s="78" t="n">
        <f aca="false">AH42-AG43</f>
        <v>3774</v>
      </c>
      <c r="AI43" s="78"/>
      <c r="AJ43" s="128" t="n">
        <f aca="false">N43+O43+P43+Q43+R43+S43+T43+W43+AD43+AG43</f>
        <v>90.4</v>
      </c>
      <c r="AK43" s="128" t="n">
        <f aca="false">IF(L43&lt;0,L43*-1,0)</f>
        <v>3.67814469372321</v>
      </c>
      <c r="AL43" s="128" t="n">
        <f aca="false">AJ43+AK43</f>
        <v>94.0781446937232</v>
      </c>
      <c r="AM43" s="95" t="n">
        <f aca="false">AM42+(U43*1.9835)</f>
        <v>2713.428</v>
      </c>
      <c r="AN43" s="92"/>
      <c r="AO43" s="96"/>
      <c r="AP43" s="96"/>
      <c r="AQ43" s="96"/>
      <c r="AR43" s="96"/>
      <c r="AT43" s="5"/>
      <c r="AU43" s="97" t="n">
        <v>0.1</v>
      </c>
      <c r="AV43" s="98" t="n">
        <v>45</v>
      </c>
      <c r="AW43" s="98" t="n">
        <v>24</v>
      </c>
      <c r="AX43" s="98"/>
      <c r="AY43" s="99" t="n">
        <f aca="false">SUM(N43,P43:T43)</f>
        <v>2.4</v>
      </c>
    </row>
    <row r="44" customFormat="false" ht="12.95" hidden="false" customHeight="true" outlineLevel="0" collapsed="false">
      <c r="A44" s="10" t="n">
        <v>30</v>
      </c>
      <c r="B44" s="121" t="n">
        <v>6892.38</v>
      </c>
      <c r="C44" s="86" t="n">
        <v>256320</v>
      </c>
      <c r="D44" s="122" t="n">
        <f aca="false">C44-C43</f>
        <v>-69</v>
      </c>
      <c r="E44" s="86" t="n">
        <f aca="false">C44-152000</f>
        <v>104320</v>
      </c>
      <c r="F44" s="123" t="n">
        <f aca="false">D44/$D$2</f>
        <v>-34.7869926896899</v>
      </c>
      <c r="G44" s="1" t="n">
        <v>24</v>
      </c>
      <c r="H44" s="12" t="n">
        <v>0</v>
      </c>
      <c r="I44" s="11" t="n">
        <f aca="false">G44+H44</f>
        <v>24</v>
      </c>
      <c r="J44" s="4" t="n">
        <f aca="false">IF(L44&gt;0,L44,0)</f>
        <v>5.61300731031007</v>
      </c>
      <c r="K44" s="11" t="n">
        <f aca="false">I44+J44</f>
        <v>29.6130073103101</v>
      </c>
      <c r="L44" s="11" t="n">
        <f aca="false">F44-(I44-AJ44)</f>
        <v>5.61300731031007</v>
      </c>
      <c r="M44" s="124" t="n">
        <v>3.4</v>
      </c>
      <c r="N44" s="125" t="n">
        <v>0</v>
      </c>
      <c r="O44" s="125" t="n">
        <v>0</v>
      </c>
      <c r="P44" s="89" t="n">
        <v>0</v>
      </c>
      <c r="Q44" s="126" t="n">
        <f aca="false">1.842*1.02</f>
        <v>1.87884</v>
      </c>
      <c r="R44" s="126" t="n">
        <v>1.93</v>
      </c>
      <c r="S44" s="135"/>
      <c r="T44" s="91" t="n">
        <f aca="false">M44-(Q44+R44+S44)</f>
        <v>-0.40884</v>
      </c>
      <c r="U44" s="128" t="n">
        <v>33</v>
      </c>
      <c r="V44" s="128" t="n">
        <v>0</v>
      </c>
      <c r="W44" s="129" t="n">
        <f aca="false">M44-N44-P44-O44-Q44-R44-S44-T44+U44+V44</f>
        <v>33</v>
      </c>
      <c r="X44" s="130" t="n">
        <f aca="false">W44-AN44</f>
        <v>33</v>
      </c>
      <c r="Y44" s="78"/>
      <c r="Z44" s="130"/>
      <c r="AA44" s="78"/>
      <c r="AB44" s="78"/>
      <c r="AC44" s="78"/>
      <c r="AD44" s="128" t="n">
        <v>0</v>
      </c>
      <c r="AE44" s="131"/>
      <c r="AF44" s="132"/>
      <c r="AG44" s="128" t="n">
        <v>28</v>
      </c>
      <c r="AH44" s="78" t="n">
        <f aca="false">AH43-AG44</f>
        <v>3746</v>
      </c>
      <c r="AI44" s="78"/>
      <c r="AJ44" s="128" t="n">
        <f aca="false">N44+O44+P44+Q44+R44+S44+T44+W44+AD44+AG44</f>
        <v>64.4</v>
      </c>
      <c r="AK44" s="128" t="n">
        <f aca="false">IF(L44&lt;0,L44*-1,0)</f>
        <v>0</v>
      </c>
      <c r="AL44" s="128" t="n">
        <f aca="false">AJ44+AK44</f>
        <v>64.4</v>
      </c>
      <c r="AM44" s="95" t="n">
        <f aca="false">AM43+(U44*1.9835)</f>
        <v>2778.8835</v>
      </c>
      <c r="AN44" s="92"/>
      <c r="AO44" s="96"/>
      <c r="AP44" s="96"/>
      <c r="AQ44" s="96"/>
      <c r="AR44" s="96"/>
      <c r="AT44" s="5"/>
      <c r="AU44" s="97" t="n">
        <v>0.01</v>
      </c>
      <c r="AV44" s="98" t="n">
        <v>51</v>
      </c>
      <c r="AW44" s="98" t="n">
        <v>24</v>
      </c>
      <c r="AX44" s="98"/>
      <c r="AY44" s="99" t="n">
        <f aca="false">SUM(N44,P44:T44)</f>
        <v>3.4</v>
      </c>
    </row>
    <row r="45" customFormat="false" ht="3" hidden="false" customHeight="true" outlineLevel="0" collapsed="false">
      <c r="A45" s="104"/>
      <c r="B45" s="138"/>
      <c r="C45" s="106"/>
      <c r="D45" s="104"/>
      <c r="E45" s="106"/>
      <c r="F45" s="107"/>
      <c r="G45" s="104"/>
      <c r="H45" s="108"/>
      <c r="I45" s="104"/>
      <c r="J45" s="104"/>
      <c r="K45" s="104"/>
      <c r="L45" s="104"/>
      <c r="M45" s="109"/>
      <c r="N45" s="104"/>
      <c r="O45" s="104"/>
      <c r="P45" s="110"/>
      <c r="Q45" s="111"/>
      <c r="R45" s="111"/>
      <c r="S45" s="111"/>
      <c r="T45" s="112"/>
      <c r="U45" s="111"/>
      <c r="V45" s="111" t="n">
        <v>0</v>
      </c>
      <c r="W45" s="111"/>
      <c r="X45" s="118"/>
      <c r="Y45" s="114"/>
      <c r="Z45" s="118"/>
      <c r="AA45" s="114"/>
      <c r="AB45" s="114"/>
      <c r="AC45" s="114"/>
      <c r="AD45" s="111"/>
      <c r="AE45" s="115"/>
      <c r="AF45" s="116"/>
      <c r="AG45" s="111"/>
      <c r="AH45" s="111"/>
      <c r="AI45" s="111"/>
      <c r="AJ45" s="111"/>
      <c r="AK45" s="111"/>
      <c r="AL45" s="111"/>
      <c r="AM45" s="117"/>
      <c r="AN45" s="113"/>
      <c r="AO45" s="118"/>
      <c r="AP45" s="118"/>
      <c r="AQ45" s="118"/>
      <c r="AR45" s="118"/>
      <c r="AS45" s="118"/>
      <c r="AT45" s="119"/>
      <c r="AU45" s="120"/>
      <c r="AV45" s="118"/>
      <c r="AW45" s="118"/>
      <c r="AX45" s="118"/>
      <c r="AY45" s="113"/>
    </row>
    <row r="46" customFormat="false" ht="12.95" hidden="false" customHeight="true" outlineLevel="0" collapsed="false">
      <c r="A46" s="11" t="s">
        <v>99</v>
      </c>
      <c r="B46" s="85"/>
      <c r="C46" s="86"/>
      <c r="D46" s="86"/>
      <c r="E46" s="86"/>
      <c r="F46" s="87" t="n">
        <f aca="false">SUM(F15:F44)</f>
        <v>-1524.07360725989</v>
      </c>
      <c r="G46" s="2" t="n">
        <f aca="false">SUM(G15:G44)</f>
        <v>1249</v>
      </c>
      <c r="H46" s="2" t="n">
        <f aca="false">SUM(H15:H44)</f>
        <v>0</v>
      </c>
      <c r="I46" s="2" t="n">
        <f aca="false">SUM(I15:I44)</f>
        <v>1249</v>
      </c>
      <c r="J46" s="2" t="n">
        <f aca="false">SUM(J15:J44)</f>
        <v>63.9413158558105</v>
      </c>
      <c r="K46" s="2" t="n">
        <f aca="false">SUM(K15:K44)</f>
        <v>1312.94131585581</v>
      </c>
      <c r="L46" s="2" t="n">
        <f aca="false">SUM(L15:L44)</f>
        <v>-376.673607259894</v>
      </c>
      <c r="M46" s="88" t="n">
        <f aca="false">SUM(M15:M44)</f>
        <v>105.9</v>
      </c>
      <c r="N46" s="86" t="n">
        <f aca="false">SUM(N15:N44)</f>
        <v>0</v>
      </c>
      <c r="O46" s="86" t="n">
        <f aca="false">SUM(O15:O44)</f>
        <v>0</v>
      </c>
      <c r="P46" s="89"/>
      <c r="Q46" s="90" t="n">
        <f aca="false">SUM(Q15:Q44)</f>
        <v>56.3652</v>
      </c>
      <c r="R46" s="90" t="n">
        <f aca="false">SUM(R15:R44)</f>
        <v>67.99</v>
      </c>
      <c r="S46" s="90" t="n">
        <f aca="false">SUM(S16:S44)</f>
        <v>0</v>
      </c>
      <c r="T46" s="91" t="n">
        <f aca="false">SUM(T16:T44)</f>
        <v>-18.80868</v>
      </c>
      <c r="U46" s="78" t="n">
        <f aca="false">SUM(U15:U44)</f>
        <v>1401</v>
      </c>
      <c r="V46" s="78" t="n">
        <f aca="false">SUM(V15:V44)</f>
        <v>40.5</v>
      </c>
      <c r="W46" s="78" t="n">
        <f aca="false">SUM(W15:W44)</f>
        <v>1441.08232</v>
      </c>
      <c r="X46" s="78" t="n">
        <f aca="false">SUM(X15:X44)</f>
        <v>1400.58232</v>
      </c>
      <c r="Y46" s="78"/>
      <c r="Z46" s="78"/>
      <c r="AA46" s="78"/>
      <c r="AB46" s="78"/>
      <c r="AC46" s="78"/>
      <c r="AD46" s="78"/>
      <c r="AE46" s="93"/>
      <c r="AF46" s="94"/>
      <c r="AG46" s="78" t="n">
        <f aca="false">SUM(AG15:AG44)</f>
        <v>849</v>
      </c>
      <c r="AH46" s="78"/>
      <c r="AI46" s="78" t="n">
        <f aca="false">SUM(AI15:AI44)</f>
        <v>0</v>
      </c>
      <c r="AJ46" s="78" t="n">
        <f aca="false">SUM(AJ15:AJ44)</f>
        <v>2396.4</v>
      </c>
      <c r="AK46" s="78" t="n">
        <f aca="false">SUM(AK15:AK44)</f>
        <v>440.614923115705</v>
      </c>
      <c r="AL46" s="78" t="n">
        <f aca="false">SUM(AL15:AL44)</f>
        <v>2837.0149231157</v>
      </c>
      <c r="AM46" s="95"/>
      <c r="AN46" s="92" t="n">
        <f aca="false">SUM(AN15:AN44)</f>
        <v>40.5</v>
      </c>
      <c r="AO46" s="96"/>
      <c r="AP46" s="96"/>
      <c r="AQ46" s="96"/>
      <c r="AR46" s="96"/>
      <c r="AT46" s="139" t="n">
        <f aca="false">SUM(AT15:AT44)</f>
        <v>58.422</v>
      </c>
      <c r="AU46" s="133" t="n">
        <f aca="false">SUM(AU15:AU44)</f>
        <v>0.46</v>
      </c>
      <c r="AV46" s="98" t="n">
        <f aca="false">AVERAGE(AV15:AV44)</f>
        <v>53.3666666666667</v>
      </c>
      <c r="AW46" s="98" t="n">
        <f aca="false">AVERAGE(AW15:AW45)</f>
        <v>28.3</v>
      </c>
      <c r="AX46" s="140" t="s">
        <v>100</v>
      </c>
      <c r="AY46" s="141" t="n">
        <f aca="false">SUM(AY15:AY44)</f>
        <v>106.31768</v>
      </c>
    </row>
    <row r="47" customFormat="false" ht="12.95" hidden="false" customHeight="true" outlineLevel="0" collapsed="false">
      <c r="A47" s="11" t="s">
        <v>101</v>
      </c>
      <c r="B47" s="85"/>
      <c r="C47" s="86"/>
      <c r="D47" s="86" t="n">
        <f aca="false">SUM(D15:D44)</f>
        <v>-3023</v>
      </c>
      <c r="E47" s="86"/>
      <c r="F47" s="87" t="n">
        <f aca="false">F46*$D$2</f>
        <v>-3023</v>
      </c>
      <c r="G47" s="2" t="n">
        <f aca="false">G46*$D$2</f>
        <v>2477.3915</v>
      </c>
      <c r="H47" s="2" t="n">
        <f aca="false">H46*$D$2</f>
        <v>0</v>
      </c>
      <c r="I47" s="2" t="n">
        <f aca="false">I46*$D$2</f>
        <v>2477.3915</v>
      </c>
      <c r="J47" s="2" t="n">
        <f aca="false">J46*$D$2</f>
        <v>126.8276</v>
      </c>
      <c r="K47" s="2" t="n">
        <f aca="false">K46*$D$2</f>
        <v>2604.2191</v>
      </c>
      <c r="L47" s="2" t="n">
        <f aca="false">L46*$D$2</f>
        <v>-747.1321</v>
      </c>
      <c r="M47" s="88" t="n">
        <f aca="false">M46*$D$2</f>
        <v>210.05265</v>
      </c>
      <c r="N47" s="86" t="n">
        <f aca="false">N46*$D$2</f>
        <v>0</v>
      </c>
      <c r="O47" s="86" t="n">
        <f aca="false">O46*$D$2</f>
        <v>0</v>
      </c>
      <c r="P47" s="89"/>
      <c r="Q47" s="90" t="n">
        <f aca="false">Q46*$D$2</f>
        <v>111.8003742</v>
      </c>
      <c r="R47" s="90" t="n">
        <f aca="false">R46*$D$2</f>
        <v>134.858165</v>
      </c>
      <c r="S47" s="90" t="n">
        <f aca="false">S46*$D$2</f>
        <v>0</v>
      </c>
      <c r="T47" s="91" t="n">
        <f aca="false">T46*$D$2</f>
        <v>-37.30701678</v>
      </c>
      <c r="U47" s="78" t="n">
        <f aca="false">U46*$D$2</f>
        <v>2778.8835</v>
      </c>
      <c r="V47" s="78" t="n">
        <f aca="false">V46*$D$2</f>
        <v>80.33175</v>
      </c>
      <c r="W47" s="78" t="n">
        <f aca="false">W46*$D$2</f>
        <v>2858.38678172</v>
      </c>
      <c r="X47" s="78" t="n">
        <f aca="false">X46*$D$2</f>
        <v>2778.05503172</v>
      </c>
      <c r="Y47" s="78"/>
      <c r="Z47" s="78"/>
      <c r="AA47" s="78"/>
      <c r="AB47" s="78"/>
      <c r="AC47" s="78"/>
      <c r="AD47" s="78"/>
      <c r="AE47" s="93"/>
      <c r="AF47" s="94"/>
      <c r="AG47" s="78" t="n">
        <f aca="false">AG46*$D$2</f>
        <v>1683.9915</v>
      </c>
      <c r="AH47" s="78"/>
      <c r="AI47" s="78" t="n">
        <f aca="false">AI46*$D$2</f>
        <v>0</v>
      </c>
      <c r="AJ47" s="78" t="n">
        <f aca="false">AJ46*$D$2</f>
        <v>4753.2594</v>
      </c>
      <c r="AK47" s="78" t="n">
        <f aca="false">AK46*$D$2</f>
        <v>873.9597</v>
      </c>
      <c r="AL47" s="90" t="n">
        <f aca="false">AL46*$D$2</f>
        <v>5627.2191</v>
      </c>
      <c r="AM47" s="95"/>
      <c r="AN47" s="92" t="n">
        <f aca="false">AN46*$D$2</f>
        <v>80.33175</v>
      </c>
      <c r="AO47" s="96"/>
      <c r="AP47" s="96"/>
      <c r="AQ47" s="96"/>
      <c r="AR47" s="96"/>
      <c r="AT47" s="142" t="n">
        <f aca="false">AT46*$D$2</f>
        <v>115.880037</v>
      </c>
      <c r="AU47" s="97"/>
      <c r="AV47" s="98" t="n">
        <f aca="false">MAX(AV15:AV44)</f>
        <v>69</v>
      </c>
      <c r="AW47" s="98" t="n">
        <f aca="false">MAX(AW15:AW45)</f>
        <v>47</v>
      </c>
      <c r="AX47" s="143" t="s">
        <v>102</v>
      </c>
      <c r="AY47" s="141" t="n">
        <f aca="false">AY46*$D$2</f>
        <v>210.88111828</v>
      </c>
    </row>
    <row r="48" customFormat="false" ht="3" hidden="false" customHeight="true" outlineLevel="0" collapsed="false">
      <c r="A48" s="104"/>
      <c r="B48" s="138"/>
      <c r="C48" s="106"/>
      <c r="D48" s="106"/>
      <c r="E48" s="106"/>
      <c r="F48" s="144"/>
      <c r="G48" s="106"/>
      <c r="H48" s="106"/>
      <c r="I48" s="106"/>
      <c r="J48" s="106"/>
      <c r="K48" s="106"/>
      <c r="L48" s="106"/>
      <c r="M48" s="145"/>
      <c r="N48" s="106"/>
      <c r="O48" s="106"/>
      <c r="P48" s="110"/>
      <c r="Q48" s="114"/>
      <c r="R48" s="114"/>
      <c r="S48" s="114"/>
      <c r="T48" s="112"/>
      <c r="U48" s="114"/>
      <c r="V48" s="114" t="n">
        <v>0</v>
      </c>
      <c r="W48" s="114"/>
      <c r="X48" s="114"/>
      <c r="Y48" s="114"/>
      <c r="Z48" s="114"/>
      <c r="AA48" s="114"/>
      <c r="AB48" s="114"/>
      <c r="AC48" s="114"/>
      <c r="AD48" s="114"/>
      <c r="AE48" s="146"/>
      <c r="AF48" s="147"/>
      <c r="AG48" s="114"/>
      <c r="AH48" s="111"/>
      <c r="AI48" s="114"/>
      <c r="AJ48" s="114"/>
      <c r="AK48" s="114"/>
      <c r="AL48" s="114"/>
      <c r="AM48" s="117"/>
      <c r="AN48" s="113"/>
      <c r="AO48" s="114"/>
      <c r="AP48" s="114"/>
      <c r="AQ48" s="114"/>
      <c r="AR48" s="114"/>
      <c r="AS48" s="114"/>
      <c r="AT48" s="119"/>
      <c r="AU48" s="148"/>
      <c r="AV48" s="118"/>
      <c r="AW48" s="114"/>
      <c r="AX48" s="113"/>
      <c r="AY48" s="113"/>
    </row>
    <row r="49" customFormat="false" ht="12.95" hidden="false" customHeight="true" outlineLevel="0" collapsed="false">
      <c r="A49" s="11" t="s">
        <v>103</v>
      </c>
      <c r="B49" s="85"/>
      <c r="C49" s="86"/>
      <c r="D49" s="86"/>
      <c r="E49" s="86"/>
      <c r="F49" s="87"/>
      <c r="G49" s="2"/>
      <c r="H49" s="9"/>
      <c r="I49" s="2"/>
      <c r="J49" s="2"/>
      <c r="K49" s="2"/>
      <c r="L49" s="2"/>
      <c r="M49" s="88"/>
      <c r="N49" s="86"/>
      <c r="O49" s="86"/>
      <c r="P49" s="89"/>
      <c r="Q49" s="90"/>
      <c r="R49" s="90"/>
      <c r="S49" s="90"/>
      <c r="T49" s="91"/>
      <c r="U49" s="78"/>
      <c r="V49" s="78" t="n">
        <v>0</v>
      </c>
      <c r="W49" s="78"/>
      <c r="X49" s="78"/>
      <c r="Y49" s="78"/>
      <c r="Z49" s="78"/>
      <c r="AA49" s="78"/>
      <c r="AB49" s="78"/>
      <c r="AC49" s="78"/>
      <c r="AD49" s="78"/>
      <c r="AE49" s="93"/>
      <c r="AF49" s="94"/>
      <c r="AG49" s="78"/>
      <c r="AH49" s="78"/>
      <c r="AI49" s="78"/>
      <c r="AJ49" s="78"/>
      <c r="AK49" s="78"/>
      <c r="AL49" s="90"/>
      <c r="AM49" s="95"/>
      <c r="AN49" s="92"/>
      <c r="AO49" s="96"/>
      <c r="AP49" s="96"/>
      <c r="AQ49" s="96"/>
      <c r="AR49" s="96"/>
      <c r="AT49" s="5"/>
      <c r="AU49" s="97"/>
      <c r="AV49" s="98" t="n">
        <f aca="false">MIN(AV15:AV44)</f>
        <v>33</v>
      </c>
      <c r="AW49" s="98" t="n">
        <f aca="false">MIN(AW15:AW45)</f>
        <v>13</v>
      </c>
      <c r="AX49" s="143" t="s">
        <v>104</v>
      </c>
      <c r="AY49" s="141"/>
    </row>
    <row r="50" customFormat="false" ht="12.95" hidden="false" customHeight="true" outlineLevel="0" collapsed="false">
      <c r="A50" s="11" t="s">
        <v>105</v>
      </c>
      <c r="B50" s="85"/>
      <c r="C50" s="86"/>
      <c r="D50" s="86"/>
      <c r="E50" s="86"/>
      <c r="F50" s="87"/>
      <c r="G50" s="2"/>
      <c r="H50" s="9"/>
      <c r="I50" s="2"/>
      <c r="J50" s="2"/>
      <c r="K50" s="2"/>
      <c r="L50" s="2"/>
      <c r="M50" s="88"/>
      <c r="N50" s="86"/>
      <c r="O50" s="86"/>
      <c r="P50" s="89"/>
      <c r="Q50" s="90"/>
      <c r="R50" s="90"/>
      <c r="S50" s="90"/>
      <c r="T50" s="91"/>
      <c r="U50" s="78"/>
      <c r="V50" s="78" t="n">
        <v>0</v>
      </c>
      <c r="W50" s="78"/>
      <c r="X50" s="78"/>
      <c r="Y50" s="78"/>
      <c r="Z50" s="78"/>
      <c r="AA50" s="78"/>
      <c r="AB50" s="78"/>
      <c r="AC50" s="78"/>
      <c r="AD50" s="78"/>
      <c r="AE50" s="93"/>
      <c r="AF50" s="94"/>
      <c r="AG50" s="78"/>
      <c r="AH50" s="78"/>
      <c r="AI50" s="78"/>
      <c r="AJ50" s="78"/>
      <c r="AK50" s="78"/>
      <c r="AL50" s="78"/>
      <c r="AM50" s="95"/>
      <c r="AN50" s="92"/>
      <c r="AO50" s="96"/>
      <c r="AP50" s="96"/>
      <c r="AQ50" s="96"/>
      <c r="AR50" s="96"/>
      <c r="AT50" s="149"/>
      <c r="AU50" s="150"/>
      <c r="AV50" s="98"/>
      <c r="AW50" s="98"/>
      <c r="AX50" s="98"/>
      <c r="AY50" s="141"/>
    </row>
    <row r="51" customFormat="false" ht="3" hidden="false" customHeight="true" outlineLevel="0" collapsed="false">
      <c r="A51" s="104"/>
      <c r="B51" s="138"/>
      <c r="C51" s="106"/>
      <c r="D51" s="106"/>
      <c r="E51" s="106"/>
      <c r="F51" s="144"/>
      <c r="G51" s="106"/>
      <c r="H51" s="151"/>
      <c r="I51" s="106"/>
      <c r="J51" s="106"/>
      <c r="K51" s="106"/>
      <c r="L51" s="106"/>
      <c r="M51" s="145"/>
      <c r="N51" s="106"/>
      <c r="O51" s="106"/>
      <c r="P51" s="110"/>
      <c r="Q51" s="114"/>
      <c r="R51" s="114"/>
      <c r="S51" s="114"/>
      <c r="T51" s="112"/>
      <c r="U51" s="114"/>
      <c r="V51" s="114" t="n">
        <v>0</v>
      </c>
      <c r="W51" s="114"/>
      <c r="X51" s="114"/>
      <c r="Y51" s="114"/>
      <c r="Z51" s="114"/>
      <c r="AA51" s="114"/>
      <c r="AB51" s="114"/>
      <c r="AC51" s="114"/>
      <c r="AD51" s="114"/>
      <c r="AE51" s="146"/>
      <c r="AF51" s="147"/>
      <c r="AG51" s="114"/>
      <c r="AH51" s="114"/>
      <c r="AI51" s="114"/>
      <c r="AJ51" s="114"/>
      <c r="AK51" s="114"/>
      <c r="AL51" s="114"/>
      <c r="AM51" s="117"/>
      <c r="AN51" s="113"/>
      <c r="AO51" s="114"/>
      <c r="AP51" s="114"/>
      <c r="AQ51" s="114"/>
      <c r="AR51" s="114"/>
      <c r="AS51" s="114"/>
      <c r="AT51" s="119"/>
      <c r="AU51" s="120"/>
      <c r="AV51" s="118"/>
      <c r="AW51" s="114"/>
      <c r="AX51" s="114"/>
      <c r="AY51" s="113"/>
    </row>
    <row r="52" customFormat="false" ht="12.95" hidden="false" customHeight="true" outlineLevel="0" collapsed="false">
      <c r="A52" s="11" t="s">
        <v>106</v>
      </c>
      <c r="B52" s="85"/>
      <c r="C52" s="86"/>
      <c r="D52" s="86"/>
      <c r="E52" s="86"/>
      <c r="F52" s="87" t="n">
        <f aca="false">F13+F46</f>
        <v>-1524.07360725989</v>
      </c>
      <c r="G52" s="2" t="n">
        <f aca="false">G13+G46</f>
        <v>1249</v>
      </c>
      <c r="H52" s="9" t="n">
        <f aca="false">H13+H46</f>
        <v>0</v>
      </c>
      <c r="I52" s="2" t="n">
        <f aca="false">I13+I46</f>
        <v>1249</v>
      </c>
      <c r="J52" s="2" t="n">
        <f aca="false">J13+J46</f>
        <v>63.9413158558105</v>
      </c>
      <c r="K52" s="2" t="n">
        <f aca="false">K13+K46</f>
        <v>1312.94131585581</v>
      </c>
      <c r="L52" s="2" t="n">
        <f aca="false">L13+L46</f>
        <v>-376.673607259894</v>
      </c>
      <c r="M52" s="88" t="n">
        <f aca="false">M13+M46</f>
        <v>105.9</v>
      </c>
      <c r="N52" s="86" t="n">
        <f aca="false">N13+N46</f>
        <v>0</v>
      </c>
      <c r="O52" s="86" t="n">
        <v>0</v>
      </c>
      <c r="P52" s="89"/>
      <c r="Q52" s="90" t="n">
        <f aca="false">Q13+Q46</f>
        <v>56.3652</v>
      </c>
      <c r="R52" s="90" t="n">
        <f aca="false">R13+R46</f>
        <v>67.99</v>
      </c>
      <c r="S52" s="90" t="n">
        <f aca="false">S13+S46</f>
        <v>0</v>
      </c>
      <c r="T52" s="91" t="n">
        <f aca="false">T13+T46</f>
        <v>-18.80868</v>
      </c>
      <c r="U52" s="78" t="n">
        <f aca="false">U13+U46</f>
        <v>1401</v>
      </c>
      <c r="V52" s="78" t="n">
        <f aca="false">V13+V46</f>
        <v>40.5</v>
      </c>
      <c r="W52" s="78" t="n">
        <f aca="false">W13+W46</f>
        <v>1441.08232</v>
      </c>
      <c r="X52" s="78" t="n">
        <f aca="false">X13+X46</f>
        <v>1400.58232</v>
      </c>
      <c r="Y52" s="78"/>
      <c r="Z52" s="78"/>
      <c r="AA52" s="78"/>
      <c r="AB52" s="78"/>
      <c r="AC52" s="78"/>
      <c r="AD52" s="78"/>
      <c r="AE52" s="93"/>
      <c r="AF52" s="94"/>
      <c r="AG52" s="78" t="n">
        <f aca="false">AG13+AG46</f>
        <v>849</v>
      </c>
      <c r="AH52" s="78" t="n">
        <f aca="false">AH44</f>
        <v>3746</v>
      </c>
      <c r="AI52" s="78" t="n">
        <f aca="false">AI13+AI46</f>
        <v>0</v>
      </c>
      <c r="AJ52" s="78" t="n">
        <f aca="false">AJ13+AJ46</f>
        <v>2396.4</v>
      </c>
      <c r="AK52" s="78" t="n">
        <f aca="false">AK13+AK46</f>
        <v>440.614923115705</v>
      </c>
      <c r="AL52" s="78" t="n">
        <f aca="false">AL13+AL46</f>
        <v>2837.0149231157</v>
      </c>
      <c r="AM52" s="95"/>
      <c r="AN52" s="92" t="n">
        <f aca="false">AN13+AN46</f>
        <v>40.5</v>
      </c>
      <c r="AO52" s="96"/>
      <c r="AP52" s="96"/>
      <c r="AQ52" s="96"/>
      <c r="AR52" s="96"/>
      <c r="AT52" s="5"/>
      <c r="AU52" s="97" t="n">
        <f aca="false">AU13+AU46</f>
        <v>0.46</v>
      </c>
      <c r="AV52" s="98"/>
      <c r="AW52" s="98"/>
      <c r="AX52" s="98"/>
      <c r="AY52" s="141" t="n">
        <f aca="false">AY13+AY46</f>
        <v>106.31768</v>
      </c>
    </row>
    <row r="53" customFormat="false" ht="12.95" hidden="false" customHeight="true" outlineLevel="0" collapsed="false">
      <c r="A53" s="11" t="s">
        <v>107</v>
      </c>
      <c r="B53" s="85"/>
      <c r="C53" s="86"/>
      <c r="D53" s="86" t="n">
        <f aca="false">D13+D47</f>
        <v>-3023</v>
      </c>
      <c r="E53" s="86" t="n">
        <f aca="false">E44</f>
        <v>104320</v>
      </c>
      <c r="F53" s="87" t="n">
        <f aca="false">F52*$D$2</f>
        <v>-3023</v>
      </c>
      <c r="G53" s="2" t="n">
        <f aca="false">G52*$D$2</f>
        <v>2477.3915</v>
      </c>
      <c r="H53" s="9" t="n">
        <f aca="false">H52*$D$2</f>
        <v>0</v>
      </c>
      <c r="I53" s="2" t="n">
        <f aca="false">I52*$D$2</f>
        <v>2477.3915</v>
      </c>
      <c r="J53" s="2" t="n">
        <f aca="false">J52*$D$2</f>
        <v>126.8276</v>
      </c>
      <c r="K53" s="2" t="n">
        <f aca="false">K52*$D$2</f>
        <v>2604.2191</v>
      </c>
      <c r="L53" s="2" t="n">
        <f aca="false">L52*$D$2</f>
        <v>-747.1321</v>
      </c>
      <c r="M53" s="88" t="n">
        <f aca="false">M52*$D$2</f>
        <v>210.05265</v>
      </c>
      <c r="N53" s="86" t="n">
        <f aca="false">N52*$D$2</f>
        <v>0</v>
      </c>
      <c r="O53" s="86" t="n">
        <f aca="false">O52*$D$2</f>
        <v>0</v>
      </c>
      <c r="P53" s="89"/>
      <c r="Q53" s="90" t="n">
        <f aca="false">Q52*$D$2</f>
        <v>111.8003742</v>
      </c>
      <c r="R53" s="90" t="n">
        <f aca="false">R52*$D$2</f>
        <v>134.858165</v>
      </c>
      <c r="S53" s="90" t="n">
        <f aca="false">S52*$D$2</f>
        <v>0</v>
      </c>
      <c r="T53" s="91" t="n">
        <f aca="false">T52*$D$2</f>
        <v>-37.30701678</v>
      </c>
      <c r="U53" s="78" t="n">
        <f aca="false">U52*$D$2</f>
        <v>2778.8835</v>
      </c>
      <c r="V53" s="78" t="n">
        <f aca="false">V14+V47</f>
        <v>80.33175</v>
      </c>
      <c r="W53" s="78" t="n">
        <f aca="false">W52*$D$2</f>
        <v>2858.38678172</v>
      </c>
      <c r="X53" s="78" t="n">
        <f aca="false">X52*$D$2</f>
        <v>2778.05503172</v>
      </c>
      <c r="Y53" s="78"/>
      <c r="Z53" s="78"/>
      <c r="AA53" s="78"/>
      <c r="AB53" s="78"/>
      <c r="AC53" s="78"/>
      <c r="AD53" s="78"/>
      <c r="AE53" s="93"/>
      <c r="AF53" s="94"/>
      <c r="AG53" s="78" t="n">
        <f aca="false">AG52*$D$2</f>
        <v>1683.9915</v>
      </c>
      <c r="AH53" s="78" t="n">
        <f aca="false">AH52*$D$2</f>
        <v>7430.191</v>
      </c>
      <c r="AI53" s="78" t="n">
        <f aca="false">AI52*$D$2</f>
        <v>0</v>
      </c>
      <c r="AJ53" s="78" t="n">
        <f aca="false">AJ52*$D$2</f>
        <v>4753.2594</v>
      </c>
      <c r="AK53" s="78" t="n">
        <f aca="false">AK52*$D$2</f>
        <v>873.9597</v>
      </c>
      <c r="AL53" s="78" t="n">
        <f aca="false">AL52*$D$2</f>
        <v>5627.2191</v>
      </c>
      <c r="AM53" s="95" t="n">
        <f aca="false">AM44</f>
        <v>2778.8835</v>
      </c>
      <c r="AN53" s="92" t="n">
        <f aca="false">AN52*$D$2</f>
        <v>80.33175</v>
      </c>
      <c r="AO53" s="96"/>
      <c r="AP53" s="96"/>
      <c r="AQ53" s="96"/>
      <c r="AR53" s="96"/>
      <c r="AU53" s="97"/>
      <c r="AV53" s="98"/>
      <c r="AW53" s="152"/>
      <c r="AX53" s="152"/>
      <c r="AY53" s="153" t="n">
        <f aca="false">AY52*$D$2</f>
        <v>210.88111828</v>
      </c>
    </row>
    <row r="54" customFormat="false" ht="3" hidden="false" customHeight="true" outlineLevel="0" collapsed="false">
      <c r="A54" s="104"/>
      <c r="B54" s="138"/>
      <c r="C54" s="106"/>
      <c r="D54" s="104"/>
      <c r="E54" s="106"/>
      <c r="F54" s="107"/>
      <c r="G54" s="104"/>
      <c r="H54" s="108"/>
      <c r="I54" s="104"/>
      <c r="J54" s="104"/>
      <c r="K54" s="104"/>
      <c r="L54" s="104"/>
      <c r="M54" s="109"/>
      <c r="N54" s="104"/>
      <c r="O54" s="104"/>
      <c r="P54" s="110"/>
      <c r="Q54" s="104"/>
      <c r="R54" s="104"/>
      <c r="S54" s="154"/>
      <c r="T54" s="112"/>
      <c r="U54" s="104"/>
      <c r="V54" s="104"/>
      <c r="W54" s="104"/>
      <c r="X54" s="155"/>
      <c r="Y54" s="106"/>
      <c r="Z54" s="155"/>
      <c r="AA54" s="106"/>
      <c r="AB54" s="106"/>
      <c r="AC54" s="106"/>
      <c r="AD54" s="104"/>
      <c r="AE54" s="109"/>
      <c r="AF54" s="154"/>
      <c r="AG54" s="104"/>
      <c r="AH54" s="106"/>
      <c r="AI54" s="106"/>
      <c r="AJ54" s="104"/>
      <c r="AK54" s="104"/>
      <c r="AL54" s="104"/>
      <c r="AM54" s="156"/>
      <c r="AN54" s="155"/>
      <c r="AO54" s="104"/>
      <c r="AP54" s="157"/>
      <c r="AQ54" s="157"/>
      <c r="AR54" s="158"/>
      <c r="AS54" s="158"/>
      <c r="AT54" s="119"/>
      <c r="AU54" s="104"/>
      <c r="AV54" s="151"/>
      <c r="AW54" s="104"/>
      <c r="AX54" s="104"/>
      <c r="AY54" s="159"/>
    </row>
    <row r="55" customFormat="false" ht="14.1" hidden="false" customHeight="true" outlineLevel="0" collapsed="false">
      <c r="A55" s="160"/>
      <c r="B55" s="161"/>
      <c r="D55" s="11"/>
      <c r="F55" s="11"/>
      <c r="G55" s="11"/>
      <c r="I55" s="11"/>
      <c r="J55" s="11"/>
      <c r="K55" s="11"/>
      <c r="L55" s="11"/>
      <c r="M55" s="11"/>
      <c r="N55" s="11"/>
      <c r="O55" s="11"/>
      <c r="Q55" s="11"/>
      <c r="R55" s="11"/>
      <c r="S55" s="11"/>
      <c r="U55" s="11"/>
      <c r="V55" s="11"/>
      <c r="W55" s="11"/>
      <c r="Y55" s="2"/>
      <c r="AA55" s="2"/>
      <c r="AB55" s="2"/>
      <c r="AC55" s="2"/>
      <c r="AD55" s="11"/>
      <c r="AE55" s="11"/>
      <c r="AF55" s="11"/>
      <c r="AG55" s="11"/>
      <c r="AH55" s="2"/>
      <c r="AI55" s="2"/>
      <c r="AJ55" s="11"/>
      <c r="AK55" s="11"/>
      <c r="AM55" s="162"/>
      <c r="AN55" s="162"/>
      <c r="AT55" s="6"/>
      <c r="AW55" s="9"/>
      <c r="AX55" s="9"/>
    </row>
    <row r="56" customFormat="false" ht="11.1" hidden="false" customHeight="true" outlineLevel="0" collapsed="false">
      <c r="A56" s="11"/>
      <c r="B56" s="163"/>
      <c r="F56" s="11"/>
      <c r="G56" s="11"/>
      <c r="I56" s="12"/>
      <c r="J56" s="11"/>
      <c r="K56" s="164"/>
      <c r="L56" s="11"/>
      <c r="M56" s="11"/>
      <c r="N56" s="11"/>
      <c r="O56" s="11"/>
      <c r="Q56" s="11"/>
      <c r="R56" s="11"/>
      <c r="S56" s="11"/>
      <c r="U56" s="11"/>
      <c r="V56" s="11"/>
      <c r="W56" s="11"/>
      <c r="Y56" s="2"/>
      <c r="AA56" s="2"/>
      <c r="AB56" s="2"/>
      <c r="AC56" s="2"/>
      <c r="AD56" s="11"/>
      <c r="AE56" s="11"/>
      <c r="AF56" s="11"/>
      <c r="AG56" s="11"/>
      <c r="AH56" s="2"/>
      <c r="AI56" s="2"/>
      <c r="AJ56" s="11"/>
      <c r="AK56" s="11"/>
      <c r="AM56" s="162"/>
      <c r="AN56" s="162"/>
      <c r="AT56" s="5"/>
      <c r="AW56" s="9"/>
      <c r="AX56" s="9"/>
    </row>
    <row r="57" customFormat="false" ht="11.1" hidden="false" customHeight="true" outlineLevel="0" collapsed="false">
      <c r="D57" s="2"/>
      <c r="S57" s="4"/>
      <c r="W57" s="1"/>
      <c r="Y57" s="2"/>
      <c r="AA57" s="2"/>
      <c r="AB57" s="2"/>
      <c r="AC57" s="2"/>
      <c r="AE57" s="1"/>
      <c r="AF57" s="1"/>
      <c r="AG57" s="1"/>
      <c r="AH57" s="2"/>
      <c r="AI57" s="2"/>
      <c r="AM57" s="162"/>
      <c r="AN57" s="162"/>
      <c r="AW57" s="9"/>
      <c r="AX57" s="9"/>
    </row>
    <row r="58" customFormat="false" ht="11.1" hidden="false" customHeight="true" outlineLevel="0" collapsed="false">
      <c r="B58" s="5"/>
      <c r="D58" s="2"/>
      <c r="S58" s="4"/>
      <c r="W58" s="1"/>
      <c r="Y58" s="2"/>
      <c r="AA58" s="2"/>
      <c r="AB58" s="2"/>
      <c r="AC58" s="2"/>
      <c r="AE58" s="1"/>
      <c r="AF58" s="1"/>
      <c r="AG58" s="1"/>
      <c r="AH58" s="2"/>
      <c r="AI58" s="2"/>
      <c r="AM58" s="162"/>
      <c r="AN58" s="162"/>
      <c r="AW58" s="9"/>
      <c r="AX58" s="9"/>
    </row>
    <row r="59" customFormat="false" ht="11.1" hidden="false" customHeight="true" outlineLevel="0" collapsed="false">
      <c r="G59" s="165"/>
    </row>
  </sheetData>
  <mergeCells count="1"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K24" activePane="bottomRight" state="frozen"/>
      <selection pane="topLeft" activeCell="A1" activeCellId="0" sqref="A1"/>
      <selection pane="topRight" activeCell="K1" activeCellId="0" sqref="K1"/>
      <selection pane="bottomLeft" activeCell="A24" activeCellId="0" sqref="A24"/>
      <selection pane="bottomRight" activeCell="AG15" activeCellId="0" sqref="AG15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32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7.32"/>
    <col collapsed="false" customWidth="true" hidden="false" outlineLevel="0" max="7" min="7" style="166" width="6.82"/>
    <col collapsed="false" customWidth="true" hidden="false" outlineLevel="0" max="8" min="8" style="168" width="5.66"/>
    <col collapsed="false" customWidth="true" hidden="false" outlineLevel="0" max="11" min="9" style="166" width="6.32"/>
    <col collapsed="false" customWidth="true" hidden="false" outlineLevel="0" max="12" min="12" style="166" width="7.16"/>
    <col collapsed="false" customWidth="true" hidden="false" outlineLevel="0" max="13" min="13" style="169" width="5.49"/>
    <col collapsed="false" customWidth="true" hidden="false" outlineLevel="0" max="14" min="14" style="169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9" min="17" style="166" width="4.32"/>
    <col collapsed="false" customWidth="true" hidden="false" outlineLevel="0" max="20" min="20" style="8" width="5.49"/>
    <col collapsed="false" customWidth="true" hidden="false" outlineLevel="0" max="22" min="21" style="166" width="5.49"/>
    <col collapsed="false" customWidth="true" hidden="false" outlineLevel="0" max="24" min="23" style="167" width="6.32"/>
    <col collapsed="false" customWidth="true" hidden="false" outlineLevel="0" max="25" min="25" style="169" width="5.49"/>
    <col collapsed="false" customWidth="true" hidden="false" outlineLevel="0" max="26" min="26" style="167" width="6.32"/>
    <col collapsed="false" customWidth="true" hidden="false" outlineLevel="0" max="27" min="27" style="169" width="5.49"/>
    <col collapsed="false" customWidth="true" hidden="false" outlineLevel="0" max="28" min="28" style="169" width="5.66"/>
    <col collapsed="false" customWidth="true" hidden="false" outlineLevel="0" max="32" min="29" style="166" width="5.49"/>
    <col collapsed="false" customWidth="true" hidden="false" outlineLevel="0" max="33" min="33" style="167" width="6.82"/>
    <col collapsed="false" customWidth="true" hidden="false" outlineLevel="0" max="34" min="34" style="166" width="5.49"/>
    <col collapsed="false" customWidth="true" hidden="false" outlineLevel="0" max="35" min="35" style="170" width="6.32"/>
    <col collapsed="false" customWidth="true" hidden="false" outlineLevel="0" max="36" min="36" style="166" width="6.32"/>
    <col collapsed="false" customWidth="true" hidden="false" outlineLevel="0" max="37" min="37" style="166" width="6.99"/>
    <col collapsed="false" customWidth="true" hidden="false" outlineLevel="0" max="38" min="38" style="8" width="6.99"/>
    <col collapsed="false" customWidth="true" hidden="false" outlineLevel="0" max="39" min="39" style="166" width="5.49"/>
    <col collapsed="false" customWidth="true" hidden="false" outlineLevel="0" max="40" min="40" style="169" width="5.49"/>
    <col collapsed="false" customWidth="true" hidden="false" outlineLevel="0" max="41" min="41" style="166" width="6.32"/>
    <col collapsed="false" customWidth="true" hidden="false" outlineLevel="0" max="44" min="42" style="171" width="6.32"/>
    <col collapsed="false" customWidth="true" hidden="false" outlineLevel="0" max="45" min="45" style="171" width="5.82"/>
    <col collapsed="false" customWidth="true" hidden="false" outlineLevel="0" max="46" min="46" style="166" width="4.99"/>
    <col collapsed="false" customWidth="true" hidden="false" outlineLevel="0" max="47" min="47" style="168" width="5.32"/>
    <col collapsed="false" customWidth="true" hidden="false" outlineLevel="0" max="48" min="48" style="172" width="3.82"/>
    <col collapsed="false" customWidth="true" hidden="false" outlineLevel="0" max="49" min="49" style="173" width="3.82"/>
    <col collapsed="false" customWidth="true" hidden="false" outlineLevel="0" max="50" min="50" style="173" width="4.32"/>
    <col collapsed="false" customWidth="true" hidden="false" outlineLevel="0" max="51" min="51" style="170" width="6.49"/>
    <col collapsed="false" customWidth="false" hidden="false" outlineLevel="0" max="257" min="52" style="174" width="9.32"/>
  </cols>
  <sheetData>
    <row r="1" customFormat="false" ht="14.1" hidden="false" customHeight="true" outlineLevel="0" collapsed="false">
      <c r="A1" s="175"/>
      <c r="B1" s="175"/>
      <c r="D1" s="175"/>
      <c r="F1" s="175"/>
      <c r="G1" s="175"/>
      <c r="H1" s="176"/>
      <c r="I1" s="175"/>
      <c r="J1" s="175"/>
      <c r="K1" s="177" t="s">
        <v>0</v>
      </c>
      <c r="L1" s="175"/>
      <c r="M1" s="175"/>
      <c r="N1" s="175"/>
      <c r="O1" s="175"/>
      <c r="Q1" s="175"/>
      <c r="R1" s="175"/>
      <c r="S1" s="175"/>
      <c r="U1" s="175"/>
      <c r="V1" s="175"/>
      <c r="AC1" s="175"/>
      <c r="AD1" s="175"/>
      <c r="AE1" s="175"/>
      <c r="AF1" s="175"/>
      <c r="AH1" s="175"/>
      <c r="AI1" s="178"/>
      <c r="AJ1" s="175"/>
      <c r="AK1" s="175"/>
    </row>
    <row r="2" customFormat="false" ht="14.1" hidden="false" customHeight="true" outlineLevel="0" collapsed="false">
      <c r="A2" s="178" t="s">
        <v>1</v>
      </c>
      <c r="B2" s="175"/>
      <c r="D2" s="179" t="n">
        <v>1.9835</v>
      </c>
      <c r="F2" s="175"/>
      <c r="G2" s="175"/>
      <c r="H2" s="176"/>
      <c r="I2" s="175"/>
      <c r="J2" s="175"/>
      <c r="K2" s="180" t="s">
        <v>108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5"/>
      <c r="AE2" s="175"/>
      <c r="AF2" s="175"/>
      <c r="AH2" s="175"/>
      <c r="AI2" s="178"/>
      <c r="AJ2" s="175"/>
      <c r="AK2" s="175"/>
    </row>
    <row r="3" customFormat="false" ht="14.1" hidden="false" customHeight="true" outlineLevel="0" collapsed="false">
      <c r="A3" s="181"/>
      <c r="B3" s="181"/>
      <c r="C3" s="182"/>
      <c r="D3" s="183"/>
      <c r="E3" s="182"/>
      <c r="F3" s="181"/>
      <c r="G3" s="181"/>
      <c r="H3" s="184"/>
      <c r="I3" s="181"/>
      <c r="J3" s="181"/>
      <c r="K3" s="181"/>
      <c r="L3" s="181"/>
      <c r="M3" s="181"/>
      <c r="N3" s="181"/>
      <c r="O3" s="181"/>
      <c r="P3" s="185"/>
      <c r="Q3" s="181"/>
      <c r="R3" s="181"/>
      <c r="S3" s="181"/>
      <c r="T3" s="185"/>
      <c r="U3" s="181"/>
      <c r="V3" s="181"/>
      <c r="W3" s="182"/>
      <c r="X3" s="182"/>
      <c r="Y3" s="186"/>
      <c r="Z3" s="182"/>
      <c r="AA3" s="186"/>
      <c r="AB3" s="186"/>
      <c r="AC3" s="181"/>
      <c r="AD3" s="181"/>
      <c r="AE3" s="181"/>
      <c r="AF3" s="181"/>
      <c r="AG3" s="182"/>
      <c r="AH3" s="181"/>
      <c r="AI3" s="187"/>
      <c r="AJ3" s="181"/>
      <c r="AK3" s="181"/>
      <c r="AL3" s="185"/>
      <c r="AM3" s="188"/>
      <c r="AN3" s="186"/>
      <c r="AO3" s="188"/>
      <c r="AP3" s="189"/>
      <c r="AU3" s="190"/>
      <c r="AV3" s="191"/>
      <c r="AW3" s="192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5"/>
      <c r="J4" s="35"/>
      <c r="K4" s="35"/>
      <c r="L4" s="35"/>
      <c r="M4" s="35"/>
      <c r="N4" s="35"/>
      <c r="O4" s="35"/>
      <c r="P4" s="36"/>
      <c r="Q4" s="35"/>
      <c r="R4" s="35"/>
      <c r="S4" s="35"/>
      <c r="T4" s="36"/>
      <c r="U4" s="35"/>
      <c r="V4" s="35"/>
      <c r="W4" s="37" t="s">
        <v>4</v>
      </c>
      <c r="X4" s="37"/>
      <c r="Y4" s="38"/>
      <c r="Z4" s="37"/>
      <c r="AA4" s="38"/>
      <c r="AB4" s="38"/>
      <c r="AC4" s="39"/>
      <c r="AD4" s="35"/>
      <c r="AE4" s="35"/>
      <c r="AF4" s="35"/>
      <c r="AG4" s="33"/>
      <c r="AH4" s="35"/>
      <c r="AI4" s="40"/>
      <c r="AJ4" s="35"/>
      <c r="AK4" s="35"/>
      <c r="AL4" s="36"/>
      <c r="AM4" s="41"/>
      <c r="AN4" s="42"/>
      <c r="AO4" s="43" t="s">
        <v>5</v>
      </c>
      <c r="AP4" s="44"/>
      <c r="AQ4" s="45"/>
      <c r="AR4" s="46"/>
      <c r="AS4" s="47"/>
      <c r="AT4" s="47"/>
      <c r="AU4" s="49"/>
      <c r="AV4" s="50" t="s">
        <v>6</v>
      </c>
      <c r="AW4" s="51"/>
      <c r="AX4" s="193"/>
      <c r="AY4" s="194"/>
    </row>
    <row r="5" customFormat="false" ht="12.95" hidden="false" customHeight="true" outlineLevel="0" collapsed="false">
      <c r="A5" s="53" t="s">
        <v>7</v>
      </c>
      <c r="B5" s="54" t="s">
        <v>8</v>
      </c>
      <c r="C5" s="55" t="s">
        <v>8</v>
      </c>
      <c r="D5" s="56" t="s">
        <v>9</v>
      </c>
      <c r="E5" s="55" t="s">
        <v>10</v>
      </c>
      <c r="F5" s="57" t="s">
        <v>11</v>
      </c>
      <c r="G5" s="53" t="s">
        <v>12</v>
      </c>
      <c r="H5" s="53" t="s">
        <v>13</v>
      </c>
      <c r="I5" s="53" t="s">
        <v>14</v>
      </c>
      <c r="J5" s="53" t="s">
        <v>15</v>
      </c>
      <c r="K5" s="53" t="s">
        <v>16</v>
      </c>
      <c r="L5" s="53" t="s">
        <v>15</v>
      </c>
      <c r="M5" s="58" t="s">
        <v>17</v>
      </c>
      <c r="N5" s="58"/>
      <c r="O5" s="58"/>
      <c r="P5" s="58"/>
      <c r="Q5" s="58"/>
      <c r="R5" s="58"/>
      <c r="S5" s="58"/>
      <c r="T5" s="58"/>
      <c r="U5" s="53" t="s">
        <v>18</v>
      </c>
      <c r="V5" s="53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59" t="s">
        <v>21</v>
      </c>
      <c r="AC5" s="60" t="s">
        <v>20</v>
      </c>
      <c r="AD5" s="53" t="s">
        <v>22</v>
      </c>
      <c r="AE5" s="61" t="s">
        <v>23</v>
      </c>
      <c r="AF5" s="62"/>
      <c r="AG5" s="53" t="s">
        <v>24</v>
      </c>
      <c r="AH5" s="63" t="s">
        <v>25</v>
      </c>
      <c r="AI5" s="63" t="s">
        <v>26</v>
      </c>
      <c r="AJ5" s="53" t="s">
        <v>14</v>
      </c>
      <c r="AK5" s="53" t="s">
        <v>15</v>
      </c>
      <c r="AL5" s="56" t="s">
        <v>16</v>
      </c>
      <c r="AM5" s="64" t="s">
        <v>27</v>
      </c>
      <c r="AN5" s="60" t="s">
        <v>20</v>
      </c>
      <c r="AO5" s="59" t="s">
        <v>28</v>
      </c>
      <c r="AP5" s="65" t="s">
        <v>28</v>
      </c>
      <c r="AQ5" s="60" t="s">
        <v>29</v>
      </c>
      <c r="AR5" s="66" t="s">
        <v>30</v>
      </c>
      <c r="AS5" s="66" t="s">
        <v>31</v>
      </c>
      <c r="AT5" s="195" t="s">
        <v>32</v>
      </c>
      <c r="AU5" s="68" t="s">
        <v>33</v>
      </c>
      <c r="AV5" s="69" t="s">
        <v>34</v>
      </c>
      <c r="AW5" s="69" t="s">
        <v>35</v>
      </c>
      <c r="AX5" s="196"/>
      <c r="AY5" s="197" t="s">
        <v>16</v>
      </c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1" t="s">
        <v>109</v>
      </c>
      <c r="B6" s="54" t="s">
        <v>37</v>
      </c>
      <c r="C6" s="55"/>
      <c r="D6" s="56" t="s">
        <v>38</v>
      </c>
      <c r="E6" s="55" t="s">
        <v>39</v>
      </c>
      <c r="F6" s="57" t="s">
        <v>40</v>
      </c>
      <c r="G6" s="53" t="s">
        <v>41</v>
      </c>
      <c r="H6" s="53" t="s">
        <v>42</v>
      </c>
      <c r="I6" s="53" t="s">
        <v>43</v>
      </c>
      <c r="J6" s="53" t="s">
        <v>43</v>
      </c>
      <c r="K6" s="53" t="s">
        <v>43</v>
      </c>
      <c r="L6" s="53" t="s">
        <v>44</v>
      </c>
      <c r="M6" s="72" t="s">
        <v>45</v>
      </c>
      <c r="N6" s="56" t="s">
        <v>46</v>
      </c>
      <c r="O6" s="56" t="s">
        <v>47</v>
      </c>
      <c r="P6" s="73" t="s">
        <v>48</v>
      </c>
      <c r="Q6" s="56" t="s">
        <v>49</v>
      </c>
      <c r="R6" s="56" t="s">
        <v>50</v>
      </c>
      <c r="S6" s="56" t="s">
        <v>51</v>
      </c>
      <c r="T6" s="74" t="s">
        <v>52</v>
      </c>
      <c r="U6" s="53" t="s">
        <v>53</v>
      </c>
      <c r="V6" s="53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59" t="s">
        <v>57</v>
      </c>
      <c r="AC6" s="60" t="s">
        <v>58</v>
      </c>
      <c r="AD6" s="53" t="s">
        <v>59</v>
      </c>
      <c r="AE6" s="72" t="s">
        <v>60</v>
      </c>
      <c r="AF6" s="75" t="s">
        <v>61</v>
      </c>
      <c r="AG6" s="53" t="s">
        <v>62</v>
      </c>
      <c r="AH6" s="63" t="s">
        <v>63</v>
      </c>
      <c r="AI6" s="63"/>
      <c r="AJ6" s="53" t="s">
        <v>64</v>
      </c>
      <c r="AK6" s="53" t="s">
        <v>64</v>
      </c>
      <c r="AL6" s="56" t="s">
        <v>64</v>
      </c>
      <c r="AM6" s="64" t="s">
        <v>110</v>
      </c>
      <c r="AN6" s="60" t="s">
        <v>66</v>
      </c>
      <c r="AO6" s="59" t="s">
        <v>67</v>
      </c>
      <c r="AP6" s="65" t="s">
        <v>67</v>
      </c>
      <c r="AQ6" s="60" t="s">
        <v>68</v>
      </c>
      <c r="AR6" s="66" t="s">
        <v>69</v>
      </c>
      <c r="AS6" s="66" t="s">
        <v>70</v>
      </c>
      <c r="AT6" s="195" t="s">
        <v>71</v>
      </c>
      <c r="AU6" s="76"/>
      <c r="AV6" s="69" t="s">
        <v>72</v>
      </c>
      <c r="AW6" s="69" t="s">
        <v>72</v>
      </c>
      <c r="AX6" s="196"/>
      <c r="AY6" s="197" t="s">
        <v>73</v>
      </c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3"/>
      <c r="B7" s="54"/>
      <c r="C7" s="55"/>
      <c r="D7" s="56"/>
      <c r="E7" s="55"/>
      <c r="F7" s="57"/>
      <c r="G7" s="53"/>
      <c r="H7" s="53"/>
      <c r="I7" s="53"/>
      <c r="J7" s="53"/>
      <c r="K7" s="53"/>
      <c r="L7" s="53"/>
      <c r="M7" s="72"/>
      <c r="N7" s="56" t="s">
        <v>74</v>
      </c>
      <c r="O7" s="56" t="s">
        <v>75</v>
      </c>
      <c r="P7" s="73"/>
      <c r="Q7" s="56"/>
      <c r="R7" s="56"/>
      <c r="S7" s="56" t="s">
        <v>47</v>
      </c>
      <c r="T7" s="74" t="s">
        <v>26</v>
      </c>
      <c r="U7" s="53"/>
      <c r="V7" s="53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59"/>
      <c r="AC7" s="60"/>
      <c r="AD7" s="75"/>
      <c r="AE7" s="77" t="n">
        <v>1.7</v>
      </c>
      <c r="AF7" s="77" t="n">
        <v>1.3</v>
      </c>
      <c r="AG7" s="72"/>
      <c r="AH7" s="78"/>
      <c r="AI7" s="63"/>
      <c r="AJ7" s="53"/>
      <c r="AK7" s="53"/>
      <c r="AL7" s="56"/>
      <c r="AM7" s="64"/>
      <c r="AN7" s="60"/>
      <c r="AO7" s="59" t="s">
        <v>81</v>
      </c>
      <c r="AP7" s="65" t="s">
        <v>82</v>
      </c>
      <c r="AQ7" s="60" t="s">
        <v>83</v>
      </c>
      <c r="AR7" s="66" t="s">
        <v>84</v>
      </c>
      <c r="AS7" s="66" t="s">
        <v>85</v>
      </c>
      <c r="AT7" s="195" t="s">
        <v>86</v>
      </c>
      <c r="AU7" s="76"/>
      <c r="AV7" s="69"/>
      <c r="AW7" s="69"/>
      <c r="AX7" s="196"/>
      <c r="AY7" s="197" t="s">
        <v>87</v>
      </c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3"/>
      <c r="B8" s="54"/>
      <c r="C8" s="55"/>
      <c r="D8" s="56"/>
      <c r="E8" s="55"/>
      <c r="F8" s="57"/>
      <c r="G8" s="53"/>
      <c r="H8" s="53"/>
      <c r="I8" s="53"/>
      <c r="J8" s="53"/>
      <c r="K8" s="53"/>
      <c r="L8" s="53"/>
      <c r="M8" s="56"/>
      <c r="N8" s="56"/>
      <c r="O8" s="56"/>
      <c r="P8" s="73"/>
      <c r="Q8" s="56"/>
      <c r="R8" s="56"/>
      <c r="S8" s="56"/>
      <c r="T8" s="74"/>
      <c r="U8" s="53"/>
      <c r="V8" s="53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59"/>
      <c r="AC8" s="60"/>
      <c r="AD8" s="75"/>
      <c r="AE8" s="77"/>
      <c r="AF8" s="77"/>
      <c r="AG8" s="72"/>
      <c r="AH8" s="78"/>
      <c r="AI8" s="63"/>
      <c r="AJ8" s="53"/>
      <c r="AK8" s="53"/>
      <c r="AL8" s="56"/>
      <c r="AM8" s="64"/>
      <c r="AN8" s="60"/>
      <c r="AO8" s="59"/>
      <c r="AP8" s="65"/>
      <c r="AQ8" s="60"/>
      <c r="AR8" s="66"/>
      <c r="AS8" s="66"/>
      <c r="AT8" s="195"/>
      <c r="AU8" s="76"/>
      <c r="AV8" s="69"/>
      <c r="AW8" s="69"/>
      <c r="AX8" s="196"/>
      <c r="AY8" s="197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3"/>
      <c r="B9" s="54"/>
      <c r="C9" s="55"/>
      <c r="D9" s="56"/>
      <c r="E9" s="55"/>
      <c r="F9" s="57"/>
      <c r="G9" s="53"/>
      <c r="H9" s="53"/>
      <c r="I9" s="53"/>
      <c r="J9" s="53"/>
      <c r="K9" s="53"/>
      <c r="L9" s="53"/>
      <c r="M9" s="56"/>
      <c r="N9" s="56"/>
      <c r="O9" s="56"/>
      <c r="P9" s="73"/>
      <c r="Q9" s="56"/>
      <c r="R9" s="56"/>
      <c r="S9" s="56"/>
      <c r="T9" s="74"/>
      <c r="U9" s="53"/>
      <c r="V9" s="53"/>
      <c r="W9" s="63"/>
      <c r="X9" s="55" t="s">
        <v>88</v>
      </c>
      <c r="Y9" s="59"/>
      <c r="Z9" s="55" t="s">
        <v>88</v>
      </c>
      <c r="AA9" s="59" t="s">
        <v>91</v>
      </c>
      <c r="AB9" s="59"/>
      <c r="AC9" s="60"/>
      <c r="AD9" s="75"/>
      <c r="AE9" s="77"/>
      <c r="AF9" s="77"/>
      <c r="AG9" s="72"/>
      <c r="AH9" s="78"/>
      <c r="AI9" s="63"/>
      <c r="AJ9" s="53"/>
      <c r="AK9" s="53"/>
      <c r="AL9" s="56"/>
      <c r="AM9" s="64"/>
      <c r="AN9" s="60"/>
      <c r="AO9" s="59"/>
      <c r="AP9" s="65"/>
      <c r="AQ9" s="60"/>
      <c r="AR9" s="66"/>
      <c r="AS9" s="66"/>
      <c r="AT9" s="195"/>
      <c r="AU9" s="76"/>
      <c r="AV9" s="69"/>
      <c r="AW9" s="69"/>
      <c r="AX9" s="196"/>
      <c r="AY9" s="197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3"/>
      <c r="B10" s="54"/>
      <c r="C10" s="55" t="s">
        <v>92</v>
      </c>
      <c r="D10" s="56"/>
      <c r="E10" s="55" t="s">
        <v>93</v>
      </c>
      <c r="F10" s="57"/>
      <c r="G10" s="56" t="s">
        <v>40</v>
      </c>
      <c r="H10" s="56" t="s">
        <v>40</v>
      </c>
      <c r="I10" s="56" t="s">
        <v>40</v>
      </c>
      <c r="J10" s="56" t="s">
        <v>40</v>
      </c>
      <c r="K10" s="56" t="s">
        <v>40</v>
      </c>
      <c r="L10" s="75" t="s">
        <v>40</v>
      </c>
      <c r="M10" s="56" t="s">
        <v>40</v>
      </c>
      <c r="N10" s="56" t="s">
        <v>40</v>
      </c>
      <c r="O10" s="56" t="s">
        <v>40</v>
      </c>
      <c r="P10" s="56" t="s">
        <v>40</v>
      </c>
      <c r="Q10" s="56" t="s">
        <v>40</v>
      </c>
      <c r="R10" s="56" t="s">
        <v>40</v>
      </c>
      <c r="S10" s="56" t="s">
        <v>61</v>
      </c>
      <c r="T10" s="75" t="s">
        <v>40</v>
      </c>
      <c r="U10" s="56" t="s">
        <v>40</v>
      </c>
      <c r="V10" s="56" t="s">
        <v>40</v>
      </c>
      <c r="W10" s="55" t="n">
        <v>153400</v>
      </c>
      <c r="X10" s="55" t="n">
        <v>150400</v>
      </c>
      <c r="Y10" s="56"/>
      <c r="Z10" s="55"/>
      <c r="AA10" s="55" t="n">
        <v>72000</v>
      </c>
      <c r="AB10" s="56" t="s">
        <v>40</v>
      </c>
      <c r="AC10" s="56" t="s">
        <v>40</v>
      </c>
      <c r="AD10" s="75" t="s">
        <v>40</v>
      </c>
      <c r="AE10" s="56" t="s">
        <v>40</v>
      </c>
      <c r="AF10" s="56" t="s">
        <v>40</v>
      </c>
      <c r="AG10" s="72" t="s">
        <v>40</v>
      </c>
      <c r="AH10" s="56" t="s">
        <v>40</v>
      </c>
      <c r="AI10" s="56" t="s">
        <v>40</v>
      </c>
      <c r="AJ10" s="56" t="s">
        <v>40</v>
      </c>
      <c r="AK10" s="56" t="s">
        <v>40</v>
      </c>
      <c r="AL10" s="56" t="s">
        <v>40</v>
      </c>
      <c r="AM10" s="64" t="s">
        <v>93</v>
      </c>
      <c r="AN10" s="60" t="s">
        <v>40</v>
      </c>
      <c r="AO10" s="60" t="s">
        <v>40</v>
      </c>
      <c r="AP10" s="65" t="s">
        <v>94</v>
      </c>
      <c r="AQ10" s="60" t="s">
        <v>40</v>
      </c>
      <c r="AR10" s="60" t="s">
        <v>40</v>
      </c>
      <c r="AS10" s="60" t="s">
        <v>40</v>
      </c>
      <c r="AT10" s="60" t="s">
        <v>40</v>
      </c>
      <c r="AU10" s="76"/>
      <c r="AV10" s="69"/>
      <c r="AW10" s="69"/>
      <c r="AX10" s="196"/>
      <c r="AY10" s="197" t="s">
        <v>95</v>
      </c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3"/>
      <c r="B11" s="54"/>
      <c r="C11" s="55"/>
      <c r="D11" s="56"/>
      <c r="E11" s="55"/>
      <c r="F11" s="57"/>
      <c r="G11" s="53"/>
      <c r="H11" s="53"/>
      <c r="I11" s="53"/>
      <c r="J11" s="53"/>
      <c r="K11" s="53"/>
      <c r="L11" s="75"/>
      <c r="M11" s="56"/>
      <c r="N11" s="44" t="n">
        <v>1.03</v>
      </c>
      <c r="O11" s="44" t="n">
        <v>1.05</v>
      </c>
      <c r="P11" s="44" t="n">
        <v>1.02</v>
      </c>
      <c r="Q11" s="79" t="n">
        <v>1.02</v>
      </c>
      <c r="R11" s="44" t="n">
        <v>1.04</v>
      </c>
      <c r="S11" s="56" t="s">
        <v>40</v>
      </c>
      <c r="T11" s="74"/>
      <c r="U11" s="53"/>
      <c r="V11" s="53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59"/>
      <c r="AC11" s="59"/>
      <c r="AD11" s="81"/>
      <c r="AE11" s="77"/>
      <c r="AF11" s="77"/>
      <c r="AG11" s="72"/>
      <c r="AH11" s="78"/>
      <c r="AI11" s="82"/>
      <c r="AJ11" s="53"/>
      <c r="AK11" s="53"/>
      <c r="AL11" s="56"/>
      <c r="AM11" s="64"/>
      <c r="AN11" s="60"/>
      <c r="AO11" s="59"/>
      <c r="AP11" s="65"/>
      <c r="AQ11" s="65"/>
      <c r="AR11" s="83"/>
      <c r="AS11" s="83"/>
      <c r="AT11" s="83"/>
      <c r="AU11" s="76"/>
      <c r="AV11" s="69"/>
      <c r="AW11" s="69"/>
      <c r="AX11" s="196"/>
      <c r="AY11" s="197" t="s">
        <v>40</v>
      </c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78" t="s">
        <v>97</v>
      </c>
      <c r="B12" s="198"/>
      <c r="C12" s="102"/>
      <c r="D12" s="102"/>
      <c r="E12" s="102"/>
      <c r="F12" s="199"/>
      <c r="G12" s="102"/>
      <c r="H12" s="200"/>
      <c r="I12" s="102"/>
      <c r="J12" s="102"/>
      <c r="K12" s="102"/>
      <c r="L12" s="102"/>
      <c r="M12" s="201"/>
      <c r="N12" s="102"/>
      <c r="O12" s="102"/>
      <c r="P12" s="149"/>
      <c r="Q12" s="102"/>
      <c r="R12" s="102"/>
      <c r="S12" s="102"/>
      <c r="T12" s="202"/>
      <c r="U12" s="102"/>
      <c r="V12" s="102"/>
      <c r="W12" s="102"/>
      <c r="X12" s="102"/>
      <c r="Y12" s="130"/>
      <c r="Z12" s="102"/>
      <c r="AA12" s="130"/>
      <c r="AB12" s="130"/>
      <c r="AC12" s="102"/>
      <c r="AD12" s="102"/>
      <c r="AE12" s="201"/>
      <c r="AF12" s="203"/>
      <c r="AG12" s="102"/>
      <c r="AH12" s="102"/>
      <c r="AI12" s="204"/>
      <c r="AJ12" s="102"/>
      <c r="AK12" s="102"/>
      <c r="AL12" s="102"/>
      <c r="AM12" s="205"/>
      <c r="AN12" s="130"/>
      <c r="AO12" s="206"/>
      <c r="AU12" s="207"/>
      <c r="AV12" s="200"/>
      <c r="AW12" s="200"/>
      <c r="AX12" s="208"/>
      <c r="AY12" s="209"/>
    </row>
    <row r="13" s="215" customFormat="true" ht="12.95" hidden="false" customHeight="true" outlineLevel="0" collapsed="false">
      <c r="A13" s="210" t="s">
        <v>98</v>
      </c>
      <c r="B13" s="101" t="n">
        <f aca="false">NOV!B44</f>
        <v>6892.38</v>
      </c>
      <c r="C13" s="102" t="n">
        <f aca="false">NOV!C44</f>
        <v>256320</v>
      </c>
      <c r="D13" s="102" t="n">
        <f aca="false">NOV!D53</f>
        <v>-3023</v>
      </c>
      <c r="E13" s="102" t="n">
        <f aca="false">NOV!E53</f>
        <v>104320</v>
      </c>
      <c r="F13" s="199" t="n">
        <f aca="false">NOV!F52</f>
        <v>-1524.07360725989</v>
      </c>
      <c r="G13" s="102" t="n">
        <f aca="false">NOV!G52</f>
        <v>1249</v>
      </c>
      <c r="H13" s="200" t="n">
        <f aca="false">NOV!H52</f>
        <v>0</v>
      </c>
      <c r="I13" s="102" t="n">
        <f aca="false">NOV!I52</f>
        <v>1249</v>
      </c>
      <c r="J13" s="102" t="n">
        <f aca="false">NOV!J52</f>
        <v>63.9413158558105</v>
      </c>
      <c r="K13" s="102" t="n">
        <f aca="false">NOV!K52</f>
        <v>1312.94131585581</v>
      </c>
      <c r="L13" s="102" t="n">
        <f aca="false">NOV!L52</f>
        <v>-376.673607259894</v>
      </c>
      <c r="M13" s="201" t="n">
        <f aca="false">NOV!M52</f>
        <v>105.9</v>
      </c>
      <c r="N13" s="102" t="n">
        <f aca="false">NOV!N52</f>
        <v>0</v>
      </c>
      <c r="O13" s="102" t="n">
        <f aca="false">NOV!O52</f>
        <v>0</v>
      </c>
      <c r="P13" s="149"/>
      <c r="Q13" s="102" t="n">
        <f aca="false">NOV!Q52</f>
        <v>56.3652</v>
      </c>
      <c r="R13" s="102" t="n">
        <f aca="false">NOV!R52</f>
        <v>67.99</v>
      </c>
      <c r="S13" s="211" t="n">
        <f aca="false">NOV!S52</f>
        <v>0</v>
      </c>
      <c r="T13" s="212" t="n">
        <f aca="false">NOV!T52</f>
        <v>-18.80868</v>
      </c>
      <c r="U13" s="102" t="n">
        <f aca="false">NOV!U52</f>
        <v>1401</v>
      </c>
      <c r="V13" s="102" t="n">
        <f aca="false">NOV!V52</f>
        <v>40.5</v>
      </c>
      <c r="W13" s="102" t="n">
        <f aca="false">NOV!W52</f>
        <v>1441.08232</v>
      </c>
      <c r="X13" s="102" t="n">
        <f aca="false">NOV!X52</f>
        <v>1400.58232</v>
      </c>
      <c r="Y13" s="130"/>
      <c r="Z13" s="102"/>
      <c r="AA13" s="130"/>
      <c r="AB13" s="130"/>
      <c r="AC13" s="102"/>
      <c r="AD13" s="102"/>
      <c r="AE13" s="201"/>
      <c r="AF13" s="203"/>
      <c r="AG13" s="102" t="n">
        <f aca="false">NOV!AG52</f>
        <v>849</v>
      </c>
      <c r="AH13" s="102" t="n">
        <f aca="false">NOV!AH52</f>
        <v>3746</v>
      </c>
      <c r="AI13" s="102"/>
      <c r="AJ13" s="102" t="n">
        <f aca="false">NOV!AJ52</f>
        <v>2396.4</v>
      </c>
      <c r="AK13" s="102" t="n">
        <f aca="false">NOV!AK52</f>
        <v>440.614923115705</v>
      </c>
      <c r="AL13" s="102" t="n">
        <f aca="false">NOV!AL52</f>
        <v>2837.0149231157</v>
      </c>
      <c r="AM13" s="205" t="n">
        <f aca="false">NOV!AM53</f>
        <v>2778.8835</v>
      </c>
      <c r="AN13" s="130" t="n">
        <f aca="false">NOV!AN52</f>
        <v>40.5</v>
      </c>
      <c r="AO13" s="102"/>
      <c r="AP13" s="213"/>
      <c r="AQ13" s="213"/>
      <c r="AR13" s="213"/>
      <c r="AS13" s="213"/>
      <c r="AT13" s="167"/>
      <c r="AU13" s="207" t="n">
        <f aca="false">NOV!AU52</f>
        <v>0.46</v>
      </c>
      <c r="AV13" s="200"/>
      <c r="AW13" s="200"/>
      <c r="AX13" s="208"/>
      <c r="AY13" s="214" t="n">
        <f aca="false">NOV!AY52</f>
        <v>106.31768</v>
      </c>
    </row>
    <row r="14" customFormat="false" ht="3" hidden="false" customHeight="true" outlineLevel="0" collapsed="false">
      <c r="A14" s="216"/>
      <c r="B14" s="217"/>
      <c r="C14" s="218"/>
      <c r="D14" s="219"/>
      <c r="E14" s="218"/>
      <c r="F14" s="220"/>
      <c r="G14" s="219"/>
      <c r="H14" s="221"/>
      <c r="I14" s="219"/>
      <c r="J14" s="219"/>
      <c r="K14" s="219"/>
      <c r="L14" s="219"/>
      <c r="M14" s="222"/>
      <c r="N14" s="219"/>
      <c r="O14" s="219"/>
      <c r="P14" s="223"/>
      <c r="Q14" s="219"/>
      <c r="R14" s="219"/>
      <c r="S14" s="219"/>
      <c r="T14" s="224"/>
      <c r="U14" s="219"/>
      <c r="V14" s="219"/>
      <c r="W14" s="219"/>
      <c r="X14" s="219"/>
      <c r="Y14" s="225"/>
      <c r="Z14" s="219"/>
      <c r="AA14" s="225"/>
      <c r="AB14" s="225"/>
      <c r="AC14" s="218"/>
      <c r="AD14" s="219"/>
      <c r="AE14" s="222"/>
      <c r="AF14" s="226"/>
      <c r="AG14" s="219"/>
      <c r="AH14" s="218"/>
      <c r="AI14" s="218"/>
      <c r="AJ14" s="219"/>
      <c r="AK14" s="219"/>
      <c r="AL14" s="219"/>
      <c r="AM14" s="227"/>
      <c r="AN14" s="225"/>
      <c r="AO14" s="228"/>
      <c r="AP14" s="229"/>
      <c r="AQ14" s="229"/>
      <c r="AR14" s="229"/>
      <c r="AS14" s="229"/>
      <c r="AT14" s="228"/>
      <c r="AU14" s="230"/>
      <c r="AV14" s="228"/>
      <c r="AW14" s="228"/>
      <c r="AX14" s="228"/>
      <c r="AY14" s="118"/>
    </row>
    <row r="15" customFormat="false" ht="12.95" hidden="false" customHeight="true" outlineLevel="0" collapsed="false">
      <c r="A15" s="173" t="n">
        <v>1</v>
      </c>
      <c r="B15" s="101" t="n">
        <v>6892.36</v>
      </c>
      <c r="C15" s="102" t="n">
        <v>256251</v>
      </c>
      <c r="D15" s="200" t="n">
        <f aca="false">C15-C13</f>
        <v>-69</v>
      </c>
      <c r="E15" s="102" t="n">
        <f aca="false">C15-152000</f>
        <v>104251</v>
      </c>
      <c r="F15" s="231" t="n">
        <f aca="false">D15/$D$2</f>
        <v>-34.7869926896899</v>
      </c>
      <c r="G15" s="1" t="n">
        <v>24</v>
      </c>
      <c r="H15" s="232" t="n">
        <v>0</v>
      </c>
      <c r="I15" s="129" t="n">
        <f aca="false">G15+H15</f>
        <v>24</v>
      </c>
      <c r="J15" s="130" t="n">
        <f aca="false">IF(L15&gt;0,L15,0)</f>
        <v>0</v>
      </c>
      <c r="K15" s="129" t="n">
        <f aca="false">I15+J15</f>
        <v>24</v>
      </c>
      <c r="L15" s="129" t="n">
        <f aca="false">F15-(I15-AJ15)</f>
        <v>-8.38699268968994</v>
      </c>
      <c r="M15" s="233" t="n">
        <v>4.4</v>
      </c>
      <c r="N15" s="129" t="n">
        <v>0</v>
      </c>
      <c r="O15" s="129" t="n">
        <v>0</v>
      </c>
      <c r="P15" s="149" t="n">
        <v>0</v>
      </c>
      <c r="Q15" s="126" t="n">
        <f aca="false">1.6*1.02</f>
        <v>1.632</v>
      </c>
      <c r="R15" s="126" t="n">
        <v>2.25</v>
      </c>
      <c r="S15" s="126" t="n">
        <v>0</v>
      </c>
      <c r="T15" s="91" t="n">
        <f aca="false">M15-(Q15+R15+S15)</f>
        <v>0.518</v>
      </c>
      <c r="U15" s="129" t="n">
        <v>18</v>
      </c>
      <c r="V15" s="129" t="n">
        <v>0</v>
      </c>
      <c r="W15" s="129" t="n">
        <f aca="false">M15-N15-O15-P15-Q15-R15-S15-T15+U15+V15</f>
        <v>18</v>
      </c>
      <c r="X15" s="129" t="n">
        <f aca="false">W15-AN15</f>
        <v>18</v>
      </c>
      <c r="Y15" s="130"/>
      <c r="Z15" s="129"/>
      <c r="AA15" s="130"/>
      <c r="AB15" s="130"/>
      <c r="AC15" s="102"/>
      <c r="AD15" s="129" t="n">
        <v>0</v>
      </c>
      <c r="AE15" s="233"/>
      <c r="AF15" s="234"/>
      <c r="AG15" s="129" t="n">
        <v>28</v>
      </c>
      <c r="AH15" s="102" t="n">
        <f aca="false">AH13-AG15</f>
        <v>3718</v>
      </c>
      <c r="AI15" s="102"/>
      <c r="AJ15" s="128" t="n">
        <f aca="false">N15+O15+P15+Q15+R15+S15+T15+W15+AD15+AG15</f>
        <v>50.4</v>
      </c>
      <c r="AK15" s="129" t="n">
        <f aca="false">IF(L15&lt;0,L15*-1,0)</f>
        <v>8.38699268968994</v>
      </c>
      <c r="AL15" s="129" t="n">
        <f aca="false">AJ15+AK15</f>
        <v>58.7869926896899</v>
      </c>
      <c r="AM15" s="205" t="n">
        <f aca="false">AM13+(W15*1.9835)</f>
        <v>2814.5865</v>
      </c>
      <c r="AN15" s="130" t="n">
        <v>0</v>
      </c>
      <c r="AO15" s="206"/>
      <c r="AU15" s="207" t="n">
        <v>0</v>
      </c>
      <c r="AV15" s="200" t="n">
        <v>47</v>
      </c>
      <c r="AW15" s="200" t="n">
        <v>23</v>
      </c>
      <c r="AX15" s="208"/>
      <c r="AY15" s="235" t="n">
        <f aca="false">SUM(N15,P15:T15)</f>
        <v>4.4</v>
      </c>
    </row>
    <row r="16" customFormat="false" ht="12.95" hidden="false" customHeight="true" outlineLevel="0" collapsed="false">
      <c r="A16" s="173" t="n">
        <f aca="false">A15+1</f>
        <v>2</v>
      </c>
      <c r="B16" s="101" t="n">
        <v>6892.34</v>
      </c>
      <c r="C16" s="102" t="n">
        <v>256181</v>
      </c>
      <c r="D16" s="200" t="n">
        <f aca="false">C16-C15</f>
        <v>-70</v>
      </c>
      <c r="E16" s="102" t="n">
        <f aca="false">C16-152000</f>
        <v>104181</v>
      </c>
      <c r="F16" s="231" t="n">
        <f aca="false">D16/$D$2</f>
        <v>-35.2911520040333</v>
      </c>
      <c r="G16" s="1" t="n">
        <v>24</v>
      </c>
      <c r="H16" s="232" t="n">
        <v>0</v>
      </c>
      <c r="I16" s="129" t="n">
        <f aca="false">G16+H16</f>
        <v>24</v>
      </c>
      <c r="J16" s="130" t="n">
        <f aca="false">IF(L16&gt;0,L16,0)</f>
        <v>0</v>
      </c>
      <c r="K16" s="129" t="n">
        <f aca="false">I16+J16</f>
        <v>24</v>
      </c>
      <c r="L16" s="129" t="n">
        <f aca="false">F16-(I16-AJ16)</f>
        <v>-8.79115200403327</v>
      </c>
      <c r="M16" s="233" t="n">
        <v>3.5</v>
      </c>
      <c r="N16" s="129" t="n">
        <v>0</v>
      </c>
      <c r="O16" s="129" t="n">
        <v>0</v>
      </c>
      <c r="P16" s="149" t="n">
        <v>0</v>
      </c>
      <c r="Q16" s="126" t="n">
        <f aca="false">1.6*1.02</f>
        <v>1.632</v>
      </c>
      <c r="R16" s="126" t="n">
        <v>2.15</v>
      </c>
      <c r="S16" s="126" t="n">
        <v>0</v>
      </c>
      <c r="T16" s="91" t="n">
        <f aca="false">M16-(Q16+R16+S16)</f>
        <v>-0.282</v>
      </c>
      <c r="U16" s="129" t="n">
        <v>19</v>
      </c>
      <c r="V16" s="129" t="n">
        <v>0</v>
      </c>
      <c r="W16" s="129" t="n">
        <f aca="false">M16-N16-O16-P16-Q16-R16-S16-T16+U16+V16</f>
        <v>19</v>
      </c>
      <c r="X16" s="129" t="n">
        <f aca="false">W16-AN16</f>
        <v>19</v>
      </c>
      <c r="Y16" s="130"/>
      <c r="Z16" s="129"/>
      <c r="AA16" s="130"/>
      <c r="AB16" s="130"/>
      <c r="AC16" s="102"/>
      <c r="AD16" s="129" t="n">
        <v>0</v>
      </c>
      <c r="AE16" s="233"/>
      <c r="AF16" s="234"/>
      <c r="AG16" s="129" t="n">
        <v>28</v>
      </c>
      <c r="AH16" s="102" t="n">
        <f aca="false">AH15-AG16</f>
        <v>3690</v>
      </c>
      <c r="AI16" s="102"/>
      <c r="AJ16" s="128" t="n">
        <f aca="false">N16+O16+P16+Q16+R16+S16+T16+W16+AD16+AG16</f>
        <v>50.5</v>
      </c>
      <c r="AK16" s="129" t="n">
        <f aca="false">IF(L16&lt;0,L16*-1,0)</f>
        <v>8.79115200403327</v>
      </c>
      <c r="AL16" s="129" t="n">
        <f aca="false">AJ16+AK16</f>
        <v>59.2911520040333</v>
      </c>
      <c r="AM16" s="205" t="n">
        <f aca="false">AM15+(W16*1.9835)</f>
        <v>2852.273</v>
      </c>
      <c r="AN16" s="130" t="n">
        <v>0</v>
      </c>
      <c r="AO16" s="206"/>
      <c r="AU16" s="207" t="n">
        <v>0</v>
      </c>
      <c r="AV16" s="200" t="n">
        <v>41</v>
      </c>
      <c r="AW16" s="200" t="n">
        <v>21</v>
      </c>
      <c r="AX16" s="208"/>
      <c r="AY16" s="235" t="n">
        <f aca="false">SUM(N16,P16:T16)</f>
        <v>3.5</v>
      </c>
    </row>
    <row r="17" customFormat="false" ht="12.95" hidden="false" customHeight="true" outlineLevel="0" collapsed="false">
      <c r="A17" s="173" t="n">
        <f aca="false">A16+1</f>
        <v>3</v>
      </c>
      <c r="B17" s="101" t="n">
        <v>6892.32</v>
      </c>
      <c r="C17" s="102" t="n">
        <v>256112</v>
      </c>
      <c r="D17" s="200" t="n">
        <f aca="false">C17-C16</f>
        <v>-69</v>
      </c>
      <c r="E17" s="102" t="n">
        <f aca="false">C17-152000</f>
        <v>104112</v>
      </c>
      <c r="F17" s="231" t="n">
        <f aca="false">D17/$D$2</f>
        <v>-34.7869926896899</v>
      </c>
      <c r="G17" s="1" t="n">
        <v>24</v>
      </c>
      <c r="H17" s="232" t="n">
        <v>0</v>
      </c>
      <c r="I17" s="129" t="n">
        <f aca="false">G17+H17</f>
        <v>24</v>
      </c>
      <c r="J17" s="130" t="n">
        <f aca="false">IF(L17&gt;0,L17,0)</f>
        <v>0</v>
      </c>
      <c r="K17" s="129" t="n">
        <f aca="false">I17+J17</f>
        <v>24</v>
      </c>
      <c r="L17" s="129" t="n">
        <f aca="false">F17-(I17-AJ17)</f>
        <v>-8.28699268968994</v>
      </c>
      <c r="M17" s="233" t="n">
        <v>3.5</v>
      </c>
      <c r="N17" s="129" t="n">
        <v>0</v>
      </c>
      <c r="O17" s="129" t="n">
        <v>0</v>
      </c>
      <c r="P17" s="149" t="n">
        <v>0</v>
      </c>
      <c r="Q17" s="126" t="n">
        <f aca="false">1.6*1.02</f>
        <v>1.632</v>
      </c>
      <c r="R17" s="126" t="n">
        <v>2.11</v>
      </c>
      <c r="S17" s="126" t="n">
        <v>0</v>
      </c>
      <c r="T17" s="91" t="n">
        <f aca="false">M17-(Q17+R17+S17)</f>
        <v>-0.242</v>
      </c>
      <c r="U17" s="129" t="n">
        <v>19</v>
      </c>
      <c r="V17" s="129" t="n">
        <v>0</v>
      </c>
      <c r="W17" s="129" t="n">
        <f aca="false">M17-N17-O17-P17-Q17-R17-S17-T17+U17+V17</f>
        <v>19</v>
      </c>
      <c r="X17" s="129" t="n">
        <f aca="false">W17-AN17</f>
        <v>19</v>
      </c>
      <c r="Y17" s="130"/>
      <c r="Z17" s="129"/>
      <c r="AA17" s="130"/>
      <c r="AB17" s="130"/>
      <c r="AC17" s="102"/>
      <c r="AD17" s="129" t="n">
        <v>0</v>
      </c>
      <c r="AE17" s="233"/>
      <c r="AF17" s="234"/>
      <c r="AG17" s="129" t="n">
        <v>28</v>
      </c>
      <c r="AH17" s="102" t="n">
        <f aca="false">AH16-AG17</f>
        <v>3662</v>
      </c>
      <c r="AI17" s="102"/>
      <c r="AJ17" s="128" t="n">
        <f aca="false">N17+O17+P17+Q17+R17+S17+T17+W17+AD17+AG17</f>
        <v>50.5</v>
      </c>
      <c r="AK17" s="129" t="n">
        <f aca="false">IF(L17&lt;0,L17*-1,0)</f>
        <v>8.28699268968994</v>
      </c>
      <c r="AL17" s="129" t="n">
        <f aca="false">AJ17+AK17</f>
        <v>58.7869926896899</v>
      </c>
      <c r="AM17" s="205" t="n">
        <f aca="false">AM16+(W17*1.9835)</f>
        <v>2889.9595</v>
      </c>
      <c r="AN17" s="130" t="n">
        <v>0</v>
      </c>
      <c r="AO17" s="206"/>
      <c r="AU17" s="207" t="n">
        <v>0</v>
      </c>
      <c r="AV17" s="200" t="n">
        <v>27</v>
      </c>
      <c r="AW17" s="200" t="n">
        <v>8</v>
      </c>
      <c r="AX17" s="208"/>
      <c r="AY17" s="235" t="n">
        <f aca="false">SUM(N17,P17:T17)</f>
        <v>3.5</v>
      </c>
    </row>
    <row r="18" customFormat="false" ht="12.95" hidden="false" customHeight="true" outlineLevel="0" collapsed="false">
      <c r="A18" s="173" t="n">
        <f aca="false">A17+1</f>
        <v>4</v>
      </c>
      <c r="B18" s="101" t="n">
        <v>6892.3</v>
      </c>
      <c r="C18" s="102" t="n">
        <v>256043</v>
      </c>
      <c r="D18" s="200" t="n">
        <f aca="false">C18-C17</f>
        <v>-69</v>
      </c>
      <c r="E18" s="102" t="n">
        <f aca="false">C18-152000</f>
        <v>104043</v>
      </c>
      <c r="F18" s="231" t="n">
        <f aca="false">D18/$D$2</f>
        <v>-34.7869926896899</v>
      </c>
      <c r="G18" s="1" t="n">
        <v>24</v>
      </c>
      <c r="H18" s="232" t="n">
        <v>0</v>
      </c>
      <c r="I18" s="129" t="n">
        <f aca="false">G18+H18</f>
        <v>24</v>
      </c>
      <c r="J18" s="130" t="n">
        <f aca="false">IF(L18&gt;0,L18,0)</f>
        <v>0</v>
      </c>
      <c r="K18" s="129" t="n">
        <f aca="false">I18+J18</f>
        <v>24</v>
      </c>
      <c r="L18" s="129" t="n">
        <f aca="false">F18-(I18-AJ18)</f>
        <v>-8.18699268968994</v>
      </c>
      <c r="M18" s="233" t="n">
        <v>3.6</v>
      </c>
      <c r="N18" s="129" t="n">
        <v>0</v>
      </c>
      <c r="O18" s="129" t="n">
        <v>0</v>
      </c>
      <c r="P18" s="149" t="n">
        <v>0</v>
      </c>
      <c r="Q18" s="126" t="n">
        <f aca="false">1.6*1.02</f>
        <v>1.632</v>
      </c>
      <c r="R18" s="126" t="n">
        <v>2.38</v>
      </c>
      <c r="S18" s="126" t="n">
        <v>0</v>
      </c>
      <c r="T18" s="91" t="n">
        <f aca="false">M18-(Q18+R18+S18)</f>
        <v>-0.412</v>
      </c>
      <c r="U18" s="129" t="n">
        <v>19</v>
      </c>
      <c r="V18" s="129" t="n">
        <v>0</v>
      </c>
      <c r="W18" s="129" t="n">
        <f aca="false">M18-N18-O18-P18-Q18-R18-S18-T18+U18+V18</f>
        <v>19</v>
      </c>
      <c r="X18" s="129" t="n">
        <f aca="false">W18-AN18</f>
        <v>19</v>
      </c>
      <c r="Y18" s="130"/>
      <c r="Z18" s="129"/>
      <c r="AA18" s="130"/>
      <c r="AB18" s="130"/>
      <c r="AC18" s="102"/>
      <c r="AD18" s="129" t="n">
        <v>0</v>
      </c>
      <c r="AE18" s="233"/>
      <c r="AF18" s="234"/>
      <c r="AG18" s="129" t="n">
        <v>28</v>
      </c>
      <c r="AH18" s="102" t="n">
        <f aca="false">AH17-AG18</f>
        <v>3634</v>
      </c>
      <c r="AI18" s="102"/>
      <c r="AJ18" s="128" t="n">
        <f aca="false">N18+O18+P18+Q18+R18+S18+T18+W18+AD18+AG18</f>
        <v>50.6</v>
      </c>
      <c r="AK18" s="129" t="n">
        <f aca="false">IF(L18&lt;0,L18*-1,0)</f>
        <v>8.18699268968994</v>
      </c>
      <c r="AL18" s="129" t="n">
        <f aca="false">AJ18+AK18</f>
        <v>58.7869926896899</v>
      </c>
      <c r="AM18" s="205" t="n">
        <f aca="false">AM17+(W18*1.9835)</f>
        <v>2927.646</v>
      </c>
      <c r="AN18" s="130" t="n">
        <v>0</v>
      </c>
      <c r="AO18" s="206"/>
      <c r="AU18" s="207" t="n">
        <v>0</v>
      </c>
      <c r="AV18" s="200" t="n">
        <v>33</v>
      </c>
      <c r="AW18" s="200" t="n">
        <v>6</v>
      </c>
      <c r="AX18" s="208"/>
      <c r="AY18" s="235" t="n">
        <f aca="false">SUM(N18,P18:T18)</f>
        <v>3.6</v>
      </c>
    </row>
    <row r="19" customFormat="false" ht="12.95" hidden="false" customHeight="true" outlineLevel="0" collapsed="false">
      <c r="A19" s="173" t="n">
        <f aca="false">A18+1</f>
        <v>5</v>
      </c>
      <c r="B19" s="101" t="n">
        <v>6892.28</v>
      </c>
      <c r="C19" s="102" t="n">
        <v>255973</v>
      </c>
      <c r="D19" s="200" t="n">
        <f aca="false">C19-C18</f>
        <v>-70</v>
      </c>
      <c r="E19" s="102" t="n">
        <f aca="false">C19-152000</f>
        <v>103973</v>
      </c>
      <c r="F19" s="231" t="n">
        <f aca="false">D19/$D$2</f>
        <v>-35.2911520040333</v>
      </c>
      <c r="G19" s="1" t="n">
        <v>24</v>
      </c>
      <c r="H19" s="232" t="n">
        <v>0</v>
      </c>
      <c r="I19" s="129" t="n">
        <f aca="false">G19+H19</f>
        <v>24</v>
      </c>
      <c r="J19" s="130" t="n">
        <f aca="false">IF(L19&gt;0,L19,0)</f>
        <v>0</v>
      </c>
      <c r="K19" s="129" t="n">
        <f aca="false">I19+J19</f>
        <v>24</v>
      </c>
      <c r="L19" s="129" t="n">
        <f aca="false">F19-(I19-AJ19)</f>
        <v>-8.69115200403327</v>
      </c>
      <c r="M19" s="233" t="n">
        <v>3.6</v>
      </c>
      <c r="N19" s="129" t="n">
        <v>0</v>
      </c>
      <c r="O19" s="129" t="n">
        <v>0</v>
      </c>
      <c r="P19" s="149" t="n">
        <v>0</v>
      </c>
      <c r="Q19" s="126" t="n">
        <f aca="false">1.6*1.02</f>
        <v>1.632</v>
      </c>
      <c r="R19" s="126" t="n">
        <v>2.04</v>
      </c>
      <c r="S19" s="126" t="n">
        <v>0</v>
      </c>
      <c r="T19" s="91" t="n">
        <f aca="false">M19-(Q19+R19+S19)</f>
        <v>-0.0720000000000001</v>
      </c>
      <c r="U19" s="129" t="n">
        <v>19</v>
      </c>
      <c r="V19" s="129" t="n">
        <v>0</v>
      </c>
      <c r="W19" s="129" t="n">
        <f aca="false">M19-N19-O19-P19-Q19-R19-S19-T19+U19+V19</f>
        <v>19</v>
      </c>
      <c r="X19" s="129" t="n">
        <f aca="false">W19-AN19</f>
        <v>19</v>
      </c>
      <c r="Y19" s="130"/>
      <c r="Z19" s="129"/>
      <c r="AA19" s="130"/>
      <c r="AB19" s="130"/>
      <c r="AC19" s="102"/>
      <c r="AD19" s="129" t="n">
        <v>0</v>
      </c>
      <c r="AE19" s="233"/>
      <c r="AF19" s="234"/>
      <c r="AG19" s="129" t="n">
        <v>28</v>
      </c>
      <c r="AH19" s="102" t="n">
        <f aca="false">AH18-AG19</f>
        <v>3606</v>
      </c>
      <c r="AI19" s="102"/>
      <c r="AJ19" s="128" t="n">
        <f aca="false">N19+O19+P19+Q19+R19+S19+T19+W19+AD19+AG19</f>
        <v>50.6</v>
      </c>
      <c r="AK19" s="129" t="n">
        <f aca="false">IF(L19&lt;0,L19*-1,0)</f>
        <v>8.69115200403327</v>
      </c>
      <c r="AL19" s="129" t="n">
        <f aca="false">AJ19+AK19</f>
        <v>59.2911520040333</v>
      </c>
      <c r="AM19" s="205" t="n">
        <f aca="false">AM18+(W19*1.9835)</f>
        <v>2965.3325</v>
      </c>
      <c r="AN19" s="130" t="n">
        <v>0</v>
      </c>
      <c r="AO19" s="206"/>
      <c r="AU19" s="207" t="n">
        <v>0</v>
      </c>
      <c r="AV19" s="200" t="n">
        <v>35</v>
      </c>
      <c r="AW19" s="200" t="n">
        <v>14</v>
      </c>
      <c r="AX19" s="208"/>
      <c r="AY19" s="235" t="n">
        <f aca="false">SUM(N19,P19:T19)</f>
        <v>3.6</v>
      </c>
    </row>
    <row r="20" customFormat="false" ht="12.95" hidden="false" customHeight="true" outlineLevel="0" collapsed="false">
      <c r="A20" s="173" t="n">
        <f aca="false">A19+1</f>
        <v>6</v>
      </c>
      <c r="B20" s="101" t="n">
        <v>6892.26</v>
      </c>
      <c r="C20" s="102" t="n">
        <v>255904</v>
      </c>
      <c r="D20" s="200" t="n">
        <f aca="false">C20-C19</f>
        <v>-69</v>
      </c>
      <c r="E20" s="102" t="n">
        <f aca="false">C20-152000</f>
        <v>103904</v>
      </c>
      <c r="F20" s="231" t="n">
        <f aca="false">D20/$D$2</f>
        <v>-34.7869926896899</v>
      </c>
      <c r="G20" s="1" t="n">
        <v>24</v>
      </c>
      <c r="H20" s="232" t="n">
        <v>0</v>
      </c>
      <c r="I20" s="129" t="n">
        <f aca="false">G20+H20</f>
        <v>24</v>
      </c>
      <c r="J20" s="130" t="n">
        <f aca="false">IF(L20&gt;0,L20,0)</f>
        <v>0</v>
      </c>
      <c r="K20" s="129" t="n">
        <f aca="false">I20+J20</f>
        <v>24</v>
      </c>
      <c r="L20" s="129" t="n">
        <f aca="false">F20-(I20-AJ20)</f>
        <v>-8.38699268968994</v>
      </c>
      <c r="M20" s="233" t="n">
        <v>3.4</v>
      </c>
      <c r="N20" s="129" t="n">
        <v>0</v>
      </c>
      <c r="O20" s="129" t="n">
        <v>0</v>
      </c>
      <c r="P20" s="149" t="n">
        <v>0</v>
      </c>
      <c r="Q20" s="126" t="n">
        <f aca="false">1.6*1.02</f>
        <v>1.632</v>
      </c>
      <c r="R20" s="126" t="n">
        <v>2.07</v>
      </c>
      <c r="S20" s="126" t="n">
        <v>0</v>
      </c>
      <c r="T20" s="91" t="n">
        <f aca="false">M20-(Q20+R20+S20)</f>
        <v>-0.302</v>
      </c>
      <c r="U20" s="129" t="n">
        <v>19</v>
      </c>
      <c r="V20" s="129" t="n">
        <v>0</v>
      </c>
      <c r="W20" s="129" t="n">
        <f aca="false">M20-N20-O20-P20-Q20-R20-S20-T20+U20+V20</f>
        <v>19</v>
      </c>
      <c r="X20" s="129" t="n">
        <f aca="false">W20-AN20</f>
        <v>19</v>
      </c>
      <c r="Y20" s="130"/>
      <c r="Z20" s="129"/>
      <c r="AA20" s="130"/>
      <c r="AB20" s="130"/>
      <c r="AC20" s="102"/>
      <c r="AD20" s="129" t="n">
        <v>0</v>
      </c>
      <c r="AE20" s="233"/>
      <c r="AF20" s="234"/>
      <c r="AG20" s="129" t="n">
        <v>28</v>
      </c>
      <c r="AH20" s="102" t="n">
        <f aca="false">AH19-AG20</f>
        <v>3578</v>
      </c>
      <c r="AI20" s="102"/>
      <c r="AJ20" s="128" t="n">
        <f aca="false">N20+O20+P20+Q20+R20+S20+T20+W20+AD20+AG20</f>
        <v>50.4</v>
      </c>
      <c r="AK20" s="129" t="n">
        <f aca="false">IF(L20&lt;0,L20*-1,0)</f>
        <v>8.38699268968994</v>
      </c>
      <c r="AL20" s="129" t="n">
        <f aca="false">AJ20+AK20</f>
        <v>58.7869926896899</v>
      </c>
      <c r="AM20" s="205" t="n">
        <f aca="false">AM19+(W20*1.9835)</f>
        <v>3003.019</v>
      </c>
      <c r="AN20" s="130" t="n">
        <v>0</v>
      </c>
      <c r="AO20" s="206"/>
      <c r="AU20" s="207" t="n">
        <v>0</v>
      </c>
      <c r="AV20" s="200" t="n">
        <v>33</v>
      </c>
      <c r="AW20" s="200" t="n">
        <v>22</v>
      </c>
      <c r="AX20" s="208"/>
      <c r="AY20" s="235" t="n">
        <f aca="false">SUM(N20,P20:T20)</f>
        <v>3.4</v>
      </c>
    </row>
    <row r="21" customFormat="false" ht="12.95" hidden="false" customHeight="true" outlineLevel="0" collapsed="false">
      <c r="A21" s="173" t="n">
        <f aca="false">A20+1</f>
        <v>7</v>
      </c>
      <c r="B21" s="101" t="n">
        <v>6892.21</v>
      </c>
      <c r="C21" s="102" t="n">
        <v>255731</v>
      </c>
      <c r="D21" s="200" t="n">
        <f aca="false">C21-C20</f>
        <v>-173</v>
      </c>
      <c r="E21" s="102" t="n">
        <f aca="false">C21-152000</f>
        <v>103731</v>
      </c>
      <c r="F21" s="231" t="n">
        <f aca="false">D21/$D$2</f>
        <v>-87.2195613813965</v>
      </c>
      <c r="G21" s="1" t="n">
        <v>24</v>
      </c>
      <c r="H21" s="232" t="n">
        <v>0</v>
      </c>
      <c r="I21" s="129" t="n">
        <f aca="false">G21+H21</f>
        <v>24</v>
      </c>
      <c r="J21" s="130" t="n">
        <f aca="false">IF(L21&gt;0,L21,0)</f>
        <v>0.480438618603486</v>
      </c>
      <c r="K21" s="129" t="n">
        <f aca="false">I21+J21</f>
        <v>24.4804386186035</v>
      </c>
      <c r="L21" s="129" t="n">
        <f aca="false">F21-(I21-AJ21)</f>
        <v>0.480438618603486</v>
      </c>
      <c r="M21" s="233" t="n">
        <v>3.7</v>
      </c>
      <c r="N21" s="129" t="n">
        <v>0</v>
      </c>
      <c r="O21" s="129" t="n">
        <v>0</v>
      </c>
      <c r="P21" s="149" t="n">
        <v>0</v>
      </c>
      <c r="Q21" s="126" t="n">
        <f aca="false">1.6*1.02</f>
        <v>1.632</v>
      </c>
      <c r="R21" s="126" t="n">
        <v>2.15</v>
      </c>
      <c r="S21" s="126" t="n">
        <v>0</v>
      </c>
      <c r="T21" s="91" t="n">
        <f aca="false">M21-(Q21+R21+S21)</f>
        <v>-0.0819999999999999</v>
      </c>
      <c r="U21" s="129" t="n">
        <v>79</v>
      </c>
      <c r="V21" s="129" t="n">
        <v>0</v>
      </c>
      <c r="W21" s="129" t="n">
        <f aca="false">M21-N21-O21-P21-Q21-R21-S21-T21+U21+V21</f>
        <v>79</v>
      </c>
      <c r="X21" s="129" t="n">
        <f aca="false">W21-AN21</f>
        <v>79</v>
      </c>
      <c r="Y21" s="130"/>
      <c r="Z21" s="129"/>
      <c r="AA21" s="130"/>
      <c r="AB21" s="130"/>
      <c r="AC21" s="102"/>
      <c r="AD21" s="129" t="n">
        <v>0</v>
      </c>
      <c r="AE21" s="233"/>
      <c r="AF21" s="234"/>
      <c r="AG21" s="129" t="n">
        <v>29</v>
      </c>
      <c r="AH21" s="102" t="n">
        <f aca="false">AH20-AG21</f>
        <v>3549</v>
      </c>
      <c r="AI21" s="102"/>
      <c r="AJ21" s="128" t="n">
        <f aca="false">N21+O21+P21+Q21+R21+S21+T21+W21+AD21+AG21</f>
        <v>111.7</v>
      </c>
      <c r="AK21" s="129" t="n">
        <f aca="false">IF(L21&lt;0,L21*-1,0)</f>
        <v>0</v>
      </c>
      <c r="AL21" s="129" t="n">
        <f aca="false">AJ21+AK21</f>
        <v>111.7</v>
      </c>
      <c r="AM21" s="205" t="n">
        <f aca="false">AM20+(W21*1.9835)</f>
        <v>3159.7155</v>
      </c>
      <c r="AN21" s="130" t="n">
        <v>0</v>
      </c>
      <c r="AO21" s="206"/>
      <c r="AU21" s="207" t="n">
        <v>0.52</v>
      </c>
      <c r="AV21" s="200" t="n">
        <v>32</v>
      </c>
      <c r="AW21" s="200" t="n">
        <v>26</v>
      </c>
      <c r="AX21" s="208"/>
      <c r="AY21" s="235" t="n">
        <f aca="false">SUM(N21,P21:T21)</f>
        <v>3.7</v>
      </c>
    </row>
    <row r="22" customFormat="false" ht="12.95" hidden="false" customHeight="true" outlineLevel="0" collapsed="false">
      <c r="A22" s="173" t="n">
        <f aca="false">A21+1</f>
        <v>8</v>
      </c>
      <c r="B22" s="101" t="n">
        <v>6892.16</v>
      </c>
      <c r="C22" s="102" t="n">
        <v>255557</v>
      </c>
      <c r="D22" s="200" t="n">
        <f aca="false">C22-C21</f>
        <v>-174</v>
      </c>
      <c r="E22" s="102" t="n">
        <f aca="false">C22-152000</f>
        <v>103557</v>
      </c>
      <c r="F22" s="231" t="n">
        <f aca="false">D22/$D$2</f>
        <v>-87.7237206957399</v>
      </c>
      <c r="G22" s="1" t="n">
        <v>24</v>
      </c>
      <c r="H22" s="232" t="n">
        <v>0</v>
      </c>
      <c r="I22" s="129" t="n">
        <f aca="false">G22+H22</f>
        <v>24</v>
      </c>
      <c r="J22" s="130" t="n">
        <f aca="false">IF(L22&gt;0,L22,0)</f>
        <v>66.4762793042601</v>
      </c>
      <c r="K22" s="129" t="n">
        <f aca="false">I22+J22</f>
        <v>90.4762793042601</v>
      </c>
      <c r="L22" s="129" t="n">
        <f aca="false">F22-(I22-AJ22)</f>
        <v>66.4762793042601</v>
      </c>
      <c r="M22" s="233" t="n">
        <v>3.2</v>
      </c>
      <c r="N22" s="129" t="n">
        <v>0</v>
      </c>
      <c r="O22" s="129" t="n">
        <v>0</v>
      </c>
      <c r="P22" s="149" t="n">
        <v>0</v>
      </c>
      <c r="Q22" s="126" t="n">
        <f aca="false">1.6*1.02</f>
        <v>1.632</v>
      </c>
      <c r="R22" s="126" t="n">
        <v>2.33</v>
      </c>
      <c r="S22" s="126" t="n">
        <v>0</v>
      </c>
      <c r="T22" s="91" t="n">
        <f aca="false">M22-(Q22+R22+S22)</f>
        <v>-0.762</v>
      </c>
      <c r="U22" s="129" t="n">
        <v>145</v>
      </c>
      <c r="V22" s="129" t="n">
        <v>0</v>
      </c>
      <c r="W22" s="129" t="n">
        <f aca="false">M22-N22-O22-P22-Q22-R22-S22-T22+U22+V22</f>
        <v>145</v>
      </c>
      <c r="X22" s="129" t="n">
        <f aca="false">W22-AN22</f>
        <v>145</v>
      </c>
      <c r="Y22" s="130"/>
      <c r="Z22" s="129"/>
      <c r="AA22" s="130"/>
      <c r="AB22" s="130"/>
      <c r="AC22" s="102"/>
      <c r="AD22" s="129" t="n">
        <v>0</v>
      </c>
      <c r="AE22" s="233"/>
      <c r="AF22" s="234"/>
      <c r="AG22" s="129" t="n">
        <v>30</v>
      </c>
      <c r="AH22" s="102" t="n">
        <f aca="false">AH21-AG22</f>
        <v>3519</v>
      </c>
      <c r="AI22" s="102"/>
      <c r="AJ22" s="128" t="n">
        <f aca="false">N22+O22+P22+Q22+R22+S22+T22+W22+AD22+AG22</f>
        <v>178.2</v>
      </c>
      <c r="AK22" s="129" t="n">
        <f aca="false">IF(L22&lt;0,L22*-1,0)</f>
        <v>0</v>
      </c>
      <c r="AL22" s="129" t="n">
        <f aca="false">AJ22+AK22</f>
        <v>178.2</v>
      </c>
      <c r="AM22" s="205" t="n">
        <f aca="false">AM21+(W22*1.9835)</f>
        <v>3447.323</v>
      </c>
      <c r="AN22" s="130" t="n">
        <v>0</v>
      </c>
      <c r="AO22" s="206"/>
      <c r="AU22" s="207" t="n">
        <v>0.32</v>
      </c>
      <c r="AV22" s="102" t="n">
        <v>33</v>
      </c>
      <c r="AW22" s="200" t="n">
        <v>4</v>
      </c>
      <c r="AX22" s="208"/>
      <c r="AY22" s="235" t="n">
        <f aca="false">SUM(N22,P22:T22)</f>
        <v>3.2</v>
      </c>
    </row>
    <row r="23" customFormat="false" ht="12.95" hidden="false" customHeight="true" outlineLevel="0" collapsed="false">
      <c r="A23" s="173" t="n">
        <f aca="false">A22+1</f>
        <v>9</v>
      </c>
      <c r="B23" s="101" t="n">
        <v>6892.08</v>
      </c>
      <c r="C23" s="102" t="n">
        <v>255280</v>
      </c>
      <c r="D23" s="200" t="n">
        <f aca="false">C23-C22</f>
        <v>-277</v>
      </c>
      <c r="E23" s="102" t="n">
        <f aca="false">C23-152000</f>
        <v>103280</v>
      </c>
      <c r="F23" s="231" t="n">
        <f aca="false">D23/$D$2</f>
        <v>-139.652130073103</v>
      </c>
      <c r="G23" s="1" t="n">
        <v>24</v>
      </c>
      <c r="H23" s="232" t="n">
        <v>0</v>
      </c>
      <c r="I23" s="129" t="n">
        <f aca="false">G23+H23</f>
        <v>24</v>
      </c>
      <c r="J23" s="130" t="n">
        <f aca="false">IF(L23&gt;0,L23,0)</f>
        <v>14.7478699268969</v>
      </c>
      <c r="K23" s="129" t="n">
        <f aca="false">I23+J23</f>
        <v>38.7478699268969</v>
      </c>
      <c r="L23" s="129" t="n">
        <f aca="false">F23-(I23-AJ23)</f>
        <v>14.7478699268969</v>
      </c>
      <c r="M23" s="233" t="n">
        <v>3.4</v>
      </c>
      <c r="N23" s="129" t="n">
        <v>0</v>
      </c>
      <c r="O23" s="129" t="n">
        <v>0</v>
      </c>
      <c r="P23" s="149" t="n">
        <v>0</v>
      </c>
      <c r="Q23" s="126" t="n">
        <f aca="false">1.6*1.02</f>
        <v>1.632</v>
      </c>
      <c r="R23" s="126" t="n">
        <v>2.27</v>
      </c>
      <c r="S23" s="126" t="n">
        <v>0</v>
      </c>
      <c r="T23" s="91" t="n">
        <f aca="false">M23-(Q23+R23+S23)</f>
        <v>-0.502</v>
      </c>
      <c r="U23" s="129" t="n">
        <v>145</v>
      </c>
      <c r="V23" s="129" t="n">
        <v>0</v>
      </c>
      <c r="W23" s="129" t="n">
        <f aca="false">M23-N23-O23-P23-Q23-R23-S23-T23+U23+V23</f>
        <v>145</v>
      </c>
      <c r="X23" s="129" t="n">
        <f aca="false">W23-AN23</f>
        <v>145</v>
      </c>
      <c r="Y23" s="130"/>
      <c r="Z23" s="129"/>
      <c r="AA23" s="130"/>
      <c r="AB23" s="130"/>
      <c r="AC23" s="102"/>
      <c r="AD23" s="129" t="n">
        <v>0</v>
      </c>
      <c r="AE23" s="233"/>
      <c r="AF23" s="234"/>
      <c r="AG23" s="129" t="n">
        <v>30</v>
      </c>
      <c r="AH23" s="102" t="n">
        <f aca="false">AH22-AG23</f>
        <v>3489</v>
      </c>
      <c r="AI23" s="102"/>
      <c r="AJ23" s="128" t="n">
        <f aca="false">N23+O23+P23+Q23+R23+S23+T23+W23+AD23+AG23</f>
        <v>178.4</v>
      </c>
      <c r="AK23" s="129" t="n">
        <f aca="false">IF(L23&lt;0,L23*-1,0)</f>
        <v>0</v>
      </c>
      <c r="AL23" s="129" t="n">
        <f aca="false">AJ23+AK23</f>
        <v>178.4</v>
      </c>
      <c r="AM23" s="205" t="n">
        <f aca="false">AM22+(W23*1.9835)</f>
        <v>3734.9305</v>
      </c>
      <c r="AN23" s="130" t="n">
        <v>0</v>
      </c>
      <c r="AO23" s="206"/>
      <c r="AU23" s="207" t="n">
        <v>0</v>
      </c>
      <c r="AV23" s="102" t="n">
        <v>25</v>
      </c>
      <c r="AW23" s="200" t="n">
        <v>-6</v>
      </c>
      <c r="AX23" s="208"/>
      <c r="AY23" s="235" t="n">
        <f aca="false">SUM(N23,P23:T23)</f>
        <v>3.4</v>
      </c>
    </row>
    <row r="24" customFormat="false" ht="12.95" hidden="false" customHeight="true" outlineLevel="0" collapsed="false">
      <c r="A24" s="173" t="n">
        <f aca="false">A23+1</f>
        <v>10</v>
      </c>
      <c r="B24" s="101" t="n">
        <v>6892</v>
      </c>
      <c r="C24" s="102" t="n">
        <v>255003</v>
      </c>
      <c r="D24" s="200" t="n">
        <f aca="false">C24-C23</f>
        <v>-277</v>
      </c>
      <c r="E24" s="102" t="n">
        <f aca="false">C24-152000</f>
        <v>103003</v>
      </c>
      <c r="F24" s="231" t="n">
        <f aca="false">D24/$D$2</f>
        <v>-139.652130073103</v>
      </c>
      <c r="G24" s="1" t="n">
        <v>24</v>
      </c>
      <c r="H24" s="232" t="n">
        <v>0</v>
      </c>
      <c r="I24" s="129" t="n">
        <f aca="false">G24+H24</f>
        <v>24</v>
      </c>
      <c r="J24" s="130" t="n">
        <f aca="false">IF(L24&gt;0,L24,0)</f>
        <v>14.8478699268969</v>
      </c>
      <c r="K24" s="129" t="n">
        <f aca="false">I24+J24</f>
        <v>38.8478699268969</v>
      </c>
      <c r="L24" s="129" t="n">
        <f aca="false">F24-(I24-AJ24)</f>
        <v>14.8478699268969</v>
      </c>
      <c r="M24" s="233" t="n">
        <v>3.5</v>
      </c>
      <c r="N24" s="129" t="n">
        <v>0</v>
      </c>
      <c r="O24" s="129" t="n">
        <v>0</v>
      </c>
      <c r="P24" s="149" t="n">
        <v>0</v>
      </c>
      <c r="Q24" s="126" t="n">
        <f aca="false">1.6*1.02</f>
        <v>1.632</v>
      </c>
      <c r="R24" s="126" t="n">
        <v>2.43</v>
      </c>
      <c r="S24" s="126" t="n">
        <v>0</v>
      </c>
      <c r="T24" s="91" t="n">
        <f aca="false">M24-(Q24+R24+S24)</f>
        <v>-0.562</v>
      </c>
      <c r="U24" s="129" t="n">
        <v>145</v>
      </c>
      <c r="V24" s="129" t="n">
        <v>0</v>
      </c>
      <c r="W24" s="129" t="n">
        <f aca="false">M24-N24-O24-P24-Q24-R24-S24-T24+U24+V24</f>
        <v>145</v>
      </c>
      <c r="X24" s="129" t="n">
        <f aca="false">W24-AN24</f>
        <v>145</v>
      </c>
      <c r="Y24" s="130"/>
      <c r="Z24" s="129"/>
      <c r="AA24" s="130"/>
      <c r="AB24" s="130"/>
      <c r="AC24" s="102"/>
      <c r="AD24" s="129" t="n">
        <v>0</v>
      </c>
      <c r="AE24" s="233"/>
      <c r="AF24" s="234"/>
      <c r="AG24" s="129" t="n">
        <v>30</v>
      </c>
      <c r="AH24" s="102" t="n">
        <f aca="false">AH23-AG24</f>
        <v>3459</v>
      </c>
      <c r="AI24" s="102"/>
      <c r="AJ24" s="128" t="n">
        <f aca="false">N24+O24+P24+Q24+R24+S24+T24+W24+AD24+AG24</f>
        <v>178.5</v>
      </c>
      <c r="AK24" s="129" t="n">
        <f aca="false">IF(L24&lt;0,L24*-1,0)</f>
        <v>0</v>
      </c>
      <c r="AL24" s="129" t="n">
        <f aca="false">AJ24+AK24</f>
        <v>178.5</v>
      </c>
      <c r="AM24" s="205" t="n">
        <f aca="false">AM23+(W24*1.9835)</f>
        <v>4022.538</v>
      </c>
      <c r="AN24" s="130" t="n">
        <v>0</v>
      </c>
      <c r="AO24" s="206"/>
      <c r="AU24" s="207" t="n">
        <v>0</v>
      </c>
      <c r="AV24" s="102" t="n">
        <v>23</v>
      </c>
      <c r="AW24" s="200" t="n">
        <v>-11</v>
      </c>
      <c r="AX24" s="208"/>
      <c r="AY24" s="235" t="n">
        <f aca="false">SUM(N24,P24:T24)</f>
        <v>3.5</v>
      </c>
    </row>
    <row r="25" customFormat="false" ht="12.95" hidden="false" customHeight="true" outlineLevel="0" collapsed="false">
      <c r="A25" s="173" t="n">
        <f aca="false">A24+1</f>
        <v>11</v>
      </c>
      <c r="B25" s="101" t="n">
        <v>6891.92</v>
      </c>
      <c r="C25" s="102" t="n">
        <v>254728</v>
      </c>
      <c r="D25" s="200" t="n">
        <f aca="false">C25-C24</f>
        <v>-275</v>
      </c>
      <c r="E25" s="102" t="n">
        <f aca="false">C25-152000</f>
        <v>102728</v>
      </c>
      <c r="F25" s="231" t="n">
        <f aca="false">D25/$D$2</f>
        <v>-138.643811444416</v>
      </c>
      <c r="G25" s="1" t="n">
        <v>24</v>
      </c>
      <c r="H25" s="232" t="n">
        <v>0</v>
      </c>
      <c r="I25" s="129" t="n">
        <f aca="false">G25+H25</f>
        <v>24</v>
      </c>
      <c r="J25" s="130" t="n">
        <f aca="false">IF(L25&gt;0,L25,0)</f>
        <v>15.8561885555836</v>
      </c>
      <c r="K25" s="129" t="n">
        <f aca="false">I25+J25</f>
        <v>39.8561885555836</v>
      </c>
      <c r="L25" s="129" t="n">
        <f aca="false">F25-(I25-AJ25)</f>
        <v>15.8561885555836</v>
      </c>
      <c r="M25" s="233" t="n">
        <v>3.5</v>
      </c>
      <c r="N25" s="129" t="n">
        <v>0</v>
      </c>
      <c r="O25" s="129" t="n">
        <v>0</v>
      </c>
      <c r="P25" s="149" t="n">
        <v>0</v>
      </c>
      <c r="Q25" s="126" t="n">
        <f aca="false">1.6*1.02</f>
        <v>1.632</v>
      </c>
      <c r="R25" s="126" t="n">
        <v>2.27</v>
      </c>
      <c r="S25" s="126" t="n">
        <v>0</v>
      </c>
      <c r="T25" s="91" t="n">
        <f aca="false">M25-(Q25+R25+S25)</f>
        <v>-0.402</v>
      </c>
      <c r="U25" s="129" t="n">
        <v>145</v>
      </c>
      <c r="V25" s="129" t="n">
        <v>0</v>
      </c>
      <c r="W25" s="129" t="n">
        <f aca="false">M25-N25-O25-P25-Q25-R25-S25-T25+U25+V25</f>
        <v>145</v>
      </c>
      <c r="X25" s="129" t="n">
        <f aca="false">W25-AN25</f>
        <v>145</v>
      </c>
      <c r="Y25" s="130"/>
      <c r="Z25" s="129"/>
      <c r="AA25" s="130"/>
      <c r="AB25" s="130"/>
      <c r="AC25" s="102"/>
      <c r="AD25" s="129" t="n">
        <v>0</v>
      </c>
      <c r="AE25" s="233"/>
      <c r="AF25" s="234"/>
      <c r="AG25" s="129" t="n">
        <v>30</v>
      </c>
      <c r="AH25" s="102" t="n">
        <f aca="false">AH24-AG25</f>
        <v>3429</v>
      </c>
      <c r="AI25" s="102"/>
      <c r="AJ25" s="128" t="n">
        <f aca="false">N25+O25+P25+Q25+R25+S25+T25+W25+AD25+AG25</f>
        <v>178.5</v>
      </c>
      <c r="AK25" s="129" t="n">
        <f aca="false">IF(L25&lt;0,L25*-1,0)</f>
        <v>0</v>
      </c>
      <c r="AL25" s="129" t="n">
        <f aca="false">AJ25+AK25</f>
        <v>178.5</v>
      </c>
      <c r="AM25" s="205" t="n">
        <f aca="false">AM24+(W25*1.9835)</f>
        <v>4310.1455</v>
      </c>
      <c r="AN25" s="130" t="n">
        <v>0</v>
      </c>
      <c r="AO25" s="206"/>
      <c r="AU25" s="207" t="n">
        <v>0</v>
      </c>
      <c r="AV25" s="102" t="n">
        <v>30</v>
      </c>
      <c r="AW25" s="200" t="n">
        <v>-10</v>
      </c>
      <c r="AX25" s="208"/>
      <c r="AY25" s="235" t="n">
        <f aca="false">SUM(N25,P25:T25)</f>
        <v>3.5</v>
      </c>
    </row>
    <row r="26" customFormat="false" ht="12.95" hidden="false" customHeight="true" outlineLevel="0" collapsed="false">
      <c r="A26" s="173" t="n">
        <f aca="false">A25+1</f>
        <v>12</v>
      </c>
      <c r="B26" s="101" t="n">
        <v>6891.84</v>
      </c>
      <c r="C26" s="102" t="n">
        <v>254453</v>
      </c>
      <c r="D26" s="200" t="n">
        <f aca="false">C26-C25</f>
        <v>-275</v>
      </c>
      <c r="E26" s="102" t="n">
        <f aca="false">C26-152000</f>
        <v>102453</v>
      </c>
      <c r="F26" s="231" t="n">
        <f aca="false">D26/$D$2</f>
        <v>-138.643811444416</v>
      </c>
      <c r="G26" s="1" t="n">
        <v>24</v>
      </c>
      <c r="H26" s="232" t="n">
        <v>0</v>
      </c>
      <c r="I26" s="129" t="n">
        <f aca="false">G26+H26</f>
        <v>24</v>
      </c>
      <c r="J26" s="130" t="n">
        <f aca="false">IF(L26&gt;0,L26,0)</f>
        <v>14.8561885555836</v>
      </c>
      <c r="K26" s="129" t="n">
        <f aca="false">I26+J26</f>
        <v>38.8561885555836</v>
      </c>
      <c r="L26" s="129" t="n">
        <f aca="false">F26-(I26-AJ26)</f>
        <v>14.8561885555836</v>
      </c>
      <c r="M26" s="233" t="n">
        <v>3.5</v>
      </c>
      <c r="N26" s="129" t="n">
        <v>0</v>
      </c>
      <c r="O26" s="129" t="n">
        <v>0</v>
      </c>
      <c r="P26" s="149" t="n">
        <v>0</v>
      </c>
      <c r="Q26" s="126" t="n">
        <f aca="false">1.6*1.02</f>
        <v>1.632</v>
      </c>
      <c r="R26" s="126" t="n">
        <v>2.19</v>
      </c>
      <c r="S26" s="126" t="n">
        <v>0</v>
      </c>
      <c r="T26" s="91" t="n">
        <f aca="false">M26-(Q26+R26+S26)</f>
        <v>-0.322</v>
      </c>
      <c r="U26" s="129" t="n">
        <v>144</v>
      </c>
      <c r="V26" s="129" t="n">
        <v>0</v>
      </c>
      <c r="W26" s="129" t="n">
        <f aca="false">M26-N26-O26-P26-Q26-R26-S26-T26+U26+V26</f>
        <v>144</v>
      </c>
      <c r="X26" s="129" t="n">
        <f aca="false">W26-AN26</f>
        <v>144</v>
      </c>
      <c r="Y26" s="130"/>
      <c r="Z26" s="129"/>
      <c r="AA26" s="130"/>
      <c r="AB26" s="130"/>
      <c r="AC26" s="102"/>
      <c r="AD26" s="129" t="n">
        <v>0</v>
      </c>
      <c r="AE26" s="233"/>
      <c r="AF26" s="234"/>
      <c r="AG26" s="129" t="n">
        <v>30</v>
      </c>
      <c r="AH26" s="102" t="n">
        <f aca="false">AH25-AG26</f>
        <v>3399</v>
      </c>
      <c r="AI26" s="102"/>
      <c r="AJ26" s="128" t="n">
        <f aca="false">N26+O26+P26+Q26+R26+S26+T26+W26+AD26+AG26</f>
        <v>177.5</v>
      </c>
      <c r="AK26" s="129" t="n">
        <f aca="false">IF(L26&lt;0,L26*-1,0)</f>
        <v>0</v>
      </c>
      <c r="AL26" s="129" t="n">
        <f aca="false">AJ26+AK26</f>
        <v>177.5</v>
      </c>
      <c r="AM26" s="205" t="n">
        <f aca="false">AM25+(W26*1.9835)</f>
        <v>4595.7695</v>
      </c>
      <c r="AN26" s="130" t="n">
        <v>0</v>
      </c>
      <c r="AO26" s="206"/>
      <c r="AU26" s="207" t="n">
        <v>0.01</v>
      </c>
      <c r="AV26" s="102" t="n">
        <v>33</v>
      </c>
      <c r="AW26" s="200" t="n">
        <v>22</v>
      </c>
      <c r="AX26" s="208"/>
      <c r="AY26" s="235" t="n">
        <f aca="false">SUM(N26,P26:T26)</f>
        <v>3.5</v>
      </c>
    </row>
    <row r="27" customFormat="false" ht="12.95" hidden="false" customHeight="true" outlineLevel="0" collapsed="false">
      <c r="A27" s="173" t="n">
        <f aca="false">A26+1</f>
        <v>13</v>
      </c>
      <c r="B27" s="101" t="n">
        <v>6891.76</v>
      </c>
      <c r="C27" s="102" t="n">
        <v>254179</v>
      </c>
      <c r="D27" s="200" t="n">
        <f aca="false">C27-C26</f>
        <v>-274</v>
      </c>
      <c r="E27" s="102" t="n">
        <f aca="false">C27-152000</f>
        <v>102179</v>
      </c>
      <c r="F27" s="231" t="n">
        <f aca="false">D27/$D$2</f>
        <v>-138.139652130073</v>
      </c>
      <c r="G27" s="1" t="n">
        <v>24</v>
      </c>
      <c r="H27" s="232" t="n">
        <v>0</v>
      </c>
      <c r="I27" s="129" t="n">
        <f aca="false">G27+H27</f>
        <v>24</v>
      </c>
      <c r="J27" s="130" t="n">
        <f aca="false">IF(L27&gt;0,L27,0)</f>
        <v>15.3603478699269</v>
      </c>
      <c r="K27" s="129" t="n">
        <f aca="false">I27+J27</f>
        <v>39.3603478699269</v>
      </c>
      <c r="L27" s="129" t="n">
        <f aca="false">F27-(I27-AJ27)</f>
        <v>15.3603478699269</v>
      </c>
      <c r="M27" s="233" t="n">
        <v>3.5</v>
      </c>
      <c r="N27" s="129" t="n">
        <v>0</v>
      </c>
      <c r="O27" s="129" t="n">
        <v>0</v>
      </c>
      <c r="P27" s="149" t="n">
        <v>0</v>
      </c>
      <c r="Q27" s="126" t="n">
        <f aca="false">1.6*1.02</f>
        <v>1.632</v>
      </c>
      <c r="R27" s="126" t="n">
        <v>2.45</v>
      </c>
      <c r="S27" s="126" t="n">
        <v>0</v>
      </c>
      <c r="T27" s="91" t="n">
        <f aca="false">M27-(Q27+R27+S27)</f>
        <v>-0.582000000000001</v>
      </c>
      <c r="U27" s="129" t="n">
        <v>144</v>
      </c>
      <c r="V27" s="129" t="n">
        <v>0</v>
      </c>
      <c r="W27" s="129" t="n">
        <f aca="false">M27-N27-O27-P27-Q27-R27-S27-T27+U27+V27</f>
        <v>144</v>
      </c>
      <c r="X27" s="129" t="n">
        <f aca="false">W27-AN27</f>
        <v>144</v>
      </c>
      <c r="Y27" s="130"/>
      <c r="Z27" s="129"/>
      <c r="AA27" s="130"/>
      <c r="AB27" s="130"/>
      <c r="AC27" s="102"/>
      <c r="AD27" s="129" t="n">
        <v>0</v>
      </c>
      <c r="AE27" s="233"/>
      <c r="AF27" s="234"/>
      <c r="AG27" s="129" t="n">
        <v>30</v>
      </c>
      <c r="AH27" s="102" t="n">
        <f aca="false">AH26-AG27</f>
        <v>3369</v>
      </c>
      <c r="AI27" s="102"/>
      <c r="AJ27" s="128" t="n">
        <f aca="false">N27+O27+P27+Q27+R27+S27+T27+W27+AD27+AG27</f>
        <v>177.5</v>
      </c>
      <c r="AK27" s="129" t="n">
        <f aca="false">IF(L27&lt;0,L27*-1,0)</f>
        <v>0</v>
      </c>
      <c r="AL27" s="129" t="n">
        <f aca="false">AJ27+AK27</f>
        <v>177.5</v>
      </c>
      <c r="AM27" s="205" t="n">
        <f aca="false">AM26+(W27*1.9835)</f>
        <v>4881.3935</v>
      </c>
      <c r="AN27" s="130" t="n">
        <v>0</v>
      </c>
      <c r="AO27" s="206"/>
      <c r="AU27" s="207" t="n">
        <v>0.03</v>
      </c>
      <c r="AV27" s="102" t="n">
        <v>36</v>
      </c>
      <c r="AW27" s="200" t="n">
        <v>21</v>
      </c>
      <c r="AX27" s="208"/>
      <c r="AY27" s="235" t="n">
        <f aca="false">SUM(N27,P27:T27)</f>
        <v>3.5</v>
      </c>
    </row>
    <row r="28" customFormat="false" ht="12.95" hidden="false" customHeight="true" outlineLevel="0" collapsed="false">
      <c r="A28" s="173" t="n">
        <f aca="false">A27+1</f>
        <v>14</v>
      </c>
      <c r="B28" s="101" t="n">
        <v>6891.68</v>
      </c>
      <c r="C28" s="102" t="n">
        <v>253904</v>
      </c>
      <c r="D28" s="200" t="n">
        <f aca="false">C28-C27</f>
        <v>-275</v>
      </c>
      <c r="E28" s="102" t="n">
        <f aca="false">C28-152000</f>
        <v>101904</v>
      </c>
      <c r="F28" s="231" t="n">
        <f aca="false">D28/$D$2</f>
        <v>-138.643811444416</v>
      </c>
      <c r="G28" s="1" t="n">
        <v>24</v>
      </c>
      <c r="H28" s="232" t="n">
        <v>0</v>
      </c>
      <c r="I28" s="129" t="n">
        <f aca="false">G28+H28</f>
        <v>24</v>
      </c>
      <c r="J28" s="130" t="n">
        <f aca="false">IF(L28&gt;0,L28,0)</f>
        <v>15.1561885555836</v>
      </c>
      <c r="K28" s="129" t="n">
        <f aca="false">I28+J28</f>
        <v>39.1561885555836</v>
      </c>
      <c r="L28" s="129" t="n">
        <f aca="false">F28-(I28-AJ28)</f>
        <v>15.1561885555836</v>
      </c>
      <c r="M28" s="233" t="n">
        <v>3.8</v>
      </c>
      <c r="N28" s="129" t="n">
        <v>0</v>
      </c>
      <c r="O28" s="129" t="n">
        <v>0</v>
      </c>
      <c r="P28" s="149" t="n">
        <v>0</v>
      </c>
      <c r="Q28" s="126" t="n">
        <f aca="false">1.6*1.02</f>
        <v>1.632</v>
      </c>
      <c r="R28" s="126" t="n">
        <v>2.12</v>
      </c>
      <c r="S28" s="126" t="n">
        <v>0</v>
      </c>
      <c r="T28" s="91" t="n">
        <f aca="false">M28-(Q28+R28+S28)</f>
        <v>0.0479999999999996</v>
      </c>
      <c r="U28" s="129" t="n">
        <v>144</v>
      </c>
      <c r="V28" s="129" t="n">
        <v>0</v>
      </c>
      <c r="W28" s="129" t="n">
        <f aca="false">M28-N28-O28-P28-Q28-R28-S28-T28+U28+V28</f>
        <v>144</v>
      </c>
      <c r="X28" s="129" t="n">
        <f aca="false">W28-AN28</f>
        <v>144</v>
      </c>
      <c r="Y28" s="130"/>
      <c r="Z28" s="129"/>
      <c r="AA28" s="130"/>
      <c r="AB28" s="130"/>
      <c r="AC28" s="102"/>
      <c r="AD28" s="129" t="n">
        <v>0</v>
      </c>
      <c r="AE28" s="233"/>
      <c r="AF28" s="234"/>
      <c r="AG28" s="129" t="n">
        <v>30</v>
      </c>
      <c r="AH28" s="102" t="n">
        <f aca="false">AH27-AG28</f>
        <v>3339</v>
      </c>
      <c r="AI28" s="102"/>
      <c r="AJ28" s="128" t="n">
        <f aca="false">N28+O28+P28+Q28+R28+S28+T28+W28+AD28+AG28</f>
        <v>177.8</v>
      </c>
      <c r="AK28" s="129" t="n">
        <f aca="false">IF(L28&lt;0,L28*-1,0)</f>
        <v>0</v>
      </c>
      <c r="AL28" s="129" t="n">
        <f aca="false">AJ28+AK28</f>
        <v>177.8</v>
      </c>
      <c r="AM28" s="205" t="n">
        <f aca="false">AM27+(W28*1.9835)</f>
        <v>5167.0175</v>
      </c>
      <c r="AN28" s="130" t="n">
        <v>0</v>
      </c>
      <c r="AO28" s="206"/>
      <c r="AU28" s="207" t="n">
        <v>0</v>
      </c>
      <c r="AV28" s="102" t="n">
        <v>37</v>
      </c>
      <c r="AW28" s="200" t="n">
        <v>6</v>
      </c>
      <c r="AX28" s="208"/>
      <c r="AY28" s="235" t="n">
        <f aca="false">SUM(N28,P28:T28)</f>
        <v>3.8</v>
      </c>
    </row>
    <row r="29" customFormat="false" ht="12.95" hidden="false" customHeight="true" outlineLevel="0" collapsed="false">
      <c r="A29" s="173" t="n">
        <f aca="false">A28+1</f>
        <v>15</v>
      </c>
      <c r="B29" s="101" t="n">
        <v>6891.6</v>
      </c>
      <c r="C29" s="102" t="n">
        <v>253629</v>
      </c>
      <c r="D29" s="200" t="n">
        <f aca="false">C29-C28</f>
        <v>-275</v>
      </c>
      <c r="E29" s="102" t="n">
        <f aca="false">C29-152000</f>
        <v>101629</v>
      </c>
      <c r="F29" s="231" t="n">
        <f aca="false">D29/$D$2</f>
        <v>-138.643811444416</v>
      </c>
      <c r="G29" s="1" t="n">
        <v>24</v>
      </c>
      <c r="H29" s="232" t="n">
        <v>0</v>
      </c>
      <c r="I29" s="129" t="n">
        <f aca="false">G29+H29</f>
        <v>24</v>
      </c>
      <c r="J29" s="130" t="n">
        <f aca="false">IF(L29&gt;0,L29,0)</f>
        <v>16.4561885555836</v>
      </c>
      <c r="K29" s="129" t="n">
        <f aca="false">I29+J29</f>
        <v>40.4561885555836</v>
      </c>
      <c r="L29" s="129" t="n">
        <f aca="false">F29-(I29-AJ29)</f>
        <v>16.4561885555836</v>
      </c>
      <c r="M29" s="233" t="n">
        <v>4.1</v>
      </c>
      <c r="N29" s="129" t="n">
        <v>0</v>
      </c>
      <c r="O29" s="129" t="n">
        <v>0</v>
      </c>
      <c r="P29" s="149" t="n">
        <v>0</v>
      </c>
      <c r="Q29" s="126" t="n">
        <f aca="false">1.6*1.02</f>
        <v>1.632</v>
      </c>
      <c r="R29" s="126" t="n">
        <v>2.26</v>
      </c>
      <c r="S29" s="126" t="n">
        <v>0</v>
      </c>
      <c r="T29" s="91" t="n">
        <f aca="false">M29-(Q29+R29+S29)</f>
        <v>0.208</v>
      </c>
      <c r="U29" s="129" t="n">
        <v>145</v>
      </c>
      <c r="V29" s="129" t="n">
        <v>0</v>
      </c>
      <c r="W29" s="129" t="n">
        <f aca="false">M29-N29-O29-P29-Q29-R29-S29-T29+U29+V29</f>
        <v>145</v>
      </c>
      <c r="X29" s="129" t="n">
        <f aca="false">W29-AN29</f>
        <v>145</v>
      </c>
      <c r="Y29" s="130"/>
      <c r="Z29" s="129"/>
      <c r="AA29" s="130"/>
      <c r="AB29" s="130"/>
      <c r="AC29" s="102"/>
      <c r="AD29" s="129" t="n">
        <v>0</v>
      </c>
      <c r="AE29" s="233"/>
      <c r="AF29" s="234"/>
      <c r="AG29" s="129" t="n">
        <v>30</v>
      </c>
      <c r="AH29" s="102" t="n">
        <f aca="false">AH28-AG29</f>
        <v>3309</v>
      </c>
      <c r="AI29" s="102"/>
      <c r="AJ29" s="128" t="n">
        <f aca="false">N29+O29+P29+Q29+R29+S29+T29+W29+AD29+AG29</f>
        <v>179.1</v>
      </c>
      <c r="AK29" s="129" t="n">
        <f aca="false">IF(L29&lt;0,L29*-1,0)</f>
        <v>0</v>
      </c>
      <c r="AL29" s="129" t="n">
        <f aca="false">AJ29+AK29</f>
        <v>179.1</v>
      </c>
      <c r="AM29" s="205" t="n">
        <f aca="false">AM28+(W29*1.9835)</f>
        <v>5454.625</v>
      </c>
      <c r="AN29" s="130" t="n">
        <v>0</v>
      </c>
      <c r="AO29" s="206"/>
      <c r="AU29" s="207" t="n">
        <v>0</v>
      </c>
      <c r="AV29" s="102" t="n">
        <v>36</v>
      </c>
      <c r="AW29" s="200" t="n">
        <v>-4</v>
      </c>
      <c r="AX29" s="208"/>
      <c r="AY29" s="235" t="n">
        <f aca="false">SUM(N29,P29:T29)</f>
        <v>4.1</v>
      </c>
    </row>
    <row r="30" customFormat="false" ht="12.95" hidden="false" customHeight="true" outlineLevel="0" collapsed="false">
      <c r="A30" s="173" t="n">
        <f aca="false">A29+1</f>
        <v>16</v>
      </c>
      <c r="B30" s="101" t="n">
        <v>6891.52</v>
      </c>
      <c r="C30" s="102" t="n">
        <v>253355</v>
      </c>
      <c r="D30" s="200" t="n">
        <f aca="false">C30-C29</f>
        <v>-274</v>
      </c>
      <c r="E30" s="102" t="n">
        <f aca="false">C30-152000</f>
        <v>101355</v>
      </c>
      <c r="F30" s="231" t="n">
        <f aca="false">D30/$D$2</f>
        <v>-138.139652130073</v>
      </c>
      <c r="G30" s="1" t="n">
        <v>24</v>
      </c>
      <c r="H30" s="232" t="n">
        <v>0</v>
      </c>
      <c r="I30" s="129" t="n">
        <f aca="false">G30+H30</f>
        <v>24</v>
      </c>
      <c r="J30" s="130" t="n">
        <f aca="false">IF(L30&gt;0,L30,0)</f>
        <v>16.3603478699269</v>
      </c>
      <c r="K30" s="129" t="n">
        <f aca="false">I30+J30</f>
        <v>40.3603478699269</v>
      </c>
      <c r="L30" s="129" t="n">
        <f aca="false">F30-(I30-AJ30)</f>
        <v>16.3603478699269</v>
      </c>
      <c r="M30" s="233" t="n">
        <v>3.5</v>
      </c>
      <c r="N30" s="129" t="n">
        <v>0</v>
      </c>
      <c r="O30" s="129" t="n">
        <v>0</v>
      </c>
      <c r="P30" s="149" t="n">
        <v>0</v>
      </c>
      <c r="Q30" s="126" t="n">
        <f aca="false">1.6*1.02</f>
        <v>1.632</v>
      </c>
      <c r="R30" s="126" t="n">
        <v>2.4</v>
      </c>
      <c r="S30" s="126" t="n">
        <v>0</v>
      </c>
      <c r="T30" s="91" t="n">
        <f aca="false">M30-(Q30+R30+S30)</f>
        <v>-0.532</v>
      </c>
      <c r="U30" s="129" t="n">
        <v>145</v>
      </c>
      <c r="V30" s="129" t="n">
        <v>0</v>
      </c>
      <c r="W30" s="129" t="n">
        <f aca="false">M30-N30-O30-P30-Q30-R30-S30-T30+U30+V30</f>
        <v>145</v>
      </c>
      <c r="X30" s="129" t="n">
        <f aca="false">W30-AN30</f>
        <v>145</v>
      </c>
      <c r="Y30" s="130"/>
      <c r="Z30" s="129"/>
      <c r="AA30" s="130"/>
      <c r="AB30" s="130"/>
      <c r="AC30" s="102"/>
      <c r="AD30" s="129" t="n">
        <v>0</v>
      </c>
      <c r="AE30" s="233"/>
      <c r="AF30" s="234"/>
      <c r="AG30" s="129" t="n">
        <v>30</v>
      </c>
      <c r="AH30" s="102" t="n">
        <f aca="false">AH29-AG30</f>
        <v>3279</v>
      </c>
      <c r="AI30" s="102"/>
      <c r="AJ30" s="128" t="n">
        <f aca="false">N30+O30+P30+Q30+R30+S30+T30+W30+AD30+AG30</f>
        <v>178.5</v>
      </c>
      <c r="AK30" s="129" t="n">
        <f aca="false">IF(L30&lt;0,L30*-1,0)</f>
        <v>0</v>
      </c>
      <c r="AL30" s="129" t="n">
        <f aca="false">AJ30+AK30</f>
        <v>178.5</v>
      </c>
      <c r="AM30" s="205" t="n">
        <f aca="false">AM29+(W30*1.9835)</f>
        <v>5742.2325</v>
      </c>
      <c r="AN30" s="130" t="n">
        <v>0</v>
      </c>
      <c r="AO30" s="206"/>
      <c r="AU30" s="207" t="n">
        <v>0</v>
      </c>
      <c r="AV30" s="102" t="n">
        <v>40</v>
      </c>
      <c r="AW30" s="200" t="n">
        <v>5</v>
      </c>
      <c r="AX30" s="208"/>
      <c r="AY30" s="235" t="n">
        <f aca="false">SUM(N30,P30:T30)</f>
        <v>3.5</v>
      </c>
    </row>
    <row r="31" customFormat="false" ht="12.95" hidden="false" customHeight="true" outlineLevel="0" collapsed="false">
      <c r="A31" s="173" t="n">
        <f aca="false">A30+1</f>
        <v>17</v>
      </c>
      <c r="B31" s="101" t="n">
        <v>6891.48</v>
      </c>
      <c r="C31" s="102" t="n">
        <v>253217</v>
      </c>
      <c r="D31" s="200" t="n">
        <f aca="false">C31-C30</f>
        <v>-138</v>
      </c>
      <c r="E31" s="102" t="n">
        <f aca="false">C31-152000</f>
        <v>101217</v>
      </c>
      <c r="F31" s="231" t="n">
        <f aca="false">D31/$D$2</f>
        <v>-69.5739853793799</v>
      </c>
      <c r="G31" s="1" t="n">
        <v>25</v>
      </c>
      <c r="H31" s="232" t="n">
        <v>0</v>
      </c>
      <c r="I31" s="129" t="n">
        <f aca="false">G31+H31</f>
        <v>25</v>
      </c>
      <c r="J31" s="130" t="n">
        <f aca="false">IF(L31&gt;0,L31,0)</f>
        <v>29.8260146206201</v>
      </c>
      <c r="K31" s="129" t="n">
        <f aca="false">I31+J31</f>
        <v>54.8260146206201</v>
      </c>
      <c r="L31" s="129" t="n">
        <f aca="false">F31-(I31-AJ31)</f>
        <v>29.8260146206201</v>
      </c>
      <c r="M31" s="233" t="n">
        <v>3.4</v>
      </c>
      <c r="N31" s="129" t="n">
        <v>0</v>
      </c>
      <c r="O31" s="129" t="n">
        <v>0</v>
      </c>
      <c r="P31" s="149" t="n">
        <v>0</v>
      </c>
      <c r="Q31" s="126" t="n">
        <f aca="false">1.6*1.02</f>
        <v>1.632</v>
      </c>
      <c r="R31" s="126" t="n">
        <v>2.15</v>
      </c>
      <c r="S31" s="126" t="n">
        <v>0</v>
      </c>
      <c r="T31" s="91" t="n">
        <f aca="false">M31-(Q31+R31+S31)</f>
        <v>-0.382</v>
      </c>
      <c r="U31" s="129" t="n">
        <v>91</v>
      </c>
      <c r="V31" s="129" t="n">
        <v>0</v>
      </c>
      <c r="W31" s="129" t="n">
        <f aca="false">M31-N31-O31-P31-Q31-R31-S31-T31+U31+V31</f>
        <v>91</v>
      </c>
      <c r="X31" s="129" t="n">
        <f aca="false">W31-AN31</f>
        <v>91</v>
      </c>
      <c r="Y31" s="130"/>
      <c r="Z31" s="129"/>
      <c r="AA31" s="130"/>
      <c r="AB31" s="130"/>
      <c r="AC31" s="102"/>
      <c r="AD31" s="129" t="n">
        <v>0</v>
      </c>
      <c r="AE31" s="233"/>
      <c r="AF31" s="234"/>
      <c r="AG31" s="129" t="n">
        <v>30</v>
      </c>
      <c r="AH31" s="102" t="n">
        <f aca="false">AH30-AG31</f>
        <v>3249</v>
      </c>
      <c r="AI31" s="102"/>
      <c r="AJ31" s="128" t="n">
        <f aca="false">N31+O31+P31+Q31+R31+S31+T31+W31+AD31+AG31</f>
        <v>124.4</v>
      </c>
      <c r="AK31" s="129" t="n">
        <f aca="false">IF(L31&lt;0,L31*-1,0)</f>
        <v>0</v>
      </c>
      <c r="AL31" s="129" t="n">
        <f aca="false">AJ31+AK31</f>
        <v>124.4</v>
      </c>
      <c r="AM31" s="205" t="n">
        <f aca="false">AM30+(W31*1.9835)</f>
        <v>5922.731</v>
      </c>
      <c r="AN31" s="130" t="n">
        <v>0</v>
      </c>
      <c r="AO31" s="206"/>
      <c r="AU31" s="207" t="n">
        <v>0</v>
      </c>
      <c r="AV31" s="102" t="n">
        <v>40</v>
      </c>
      <c r="AW31" s="200" t="n">
        <v>10</v>
      </c>
      <c r="AX31" s="208"/>
      <c r="AY31" s="235" t="n">
        <f aca="false">SUM(N31,P31:T31)</f>
        <v>3.4</v>
      </c>
    </row>
    <row r="32" customFormat="false" ht="12.95" hidden="false" customHeight="true" outlineLevel="0" collapsed="false">
      <c r="A32" s="173" t="n">
        <f aca="false">A31+1</f>
        <v>18</v>
      </c>
      <c r="B32" s="101" t="n">
        <v>6891.48</v>
      </c>
      <c r="C32" s="102" t="n">
        <v>253217</v>
      </c>
      <c r="D32" s="200" t="n">
        <f aca="false">C32-C31</f>
        <v>0</v>
      </c>
      <c r="E32" s="102" t="n">
        <f aca="false">C32-152000</f>
        <v>101217</v>
      </c>
      <c r="F32" s="231" t="n">
        <f aca="false">D32/$D$2</f>
        <v>0</v>
      </c>
      <c r="G32" s="1" t="n">
        <v>25</v>
      </c>
      <c r="H32" s="232" t="n">
        <v>0</v>
      </c>
      <c r="I32" s="129" t="n">
        <f aca="false">G32+H32</f>
        <v>25</v>
      </c>
      <c r="J32" s="130" t="n">
        <f aca="false">IF(L32&gt;0,L32,0)</f>
        <v>8.8</v>
      </c>
      <c r="K32" s="129" t="n">
        <f aca="false">I32+J32</f>
        <v>33.8</v>
      </c>
      <c r="L32" s="129" t="n">
        <f aca="false">F32-(I32-AJ32)</f>
        <v>8.8</v>
      </c>
      <c r="M32" s="233" t="n">
        <v>3.8</v>
      </c>
      <c r="N32" s="129" t="n">
        <v>0</v>
      </c>
      <c r="O32" s="129" t="n">
        <v>0</v>
      </c>
      <c r="P32" s="149" t="n">
        <v>0</v>
      </c>
      <c r="Q32" s="126" t="n">
        <f aca="false">1.6*1.02</f>
        <v>1.632</v>
      </c>
      <c r="R32" s="126" t="n">
        <v>2.27</v>
      </c>
      <c r="S32" s="126" t="n">
        <v>0</v>
      </c>
      <c r="T32" s="91" t="n">
        <f aca="false">M32-(Q32+R32+S32)</f>
        <v>-0.102</v>
      </c>
      <c r="U32" s="129" t="n">
        <v>0</v>
      </c>
      <c r="V32" s="129" t="n">
        <v>0</v>
      </c>
      <c r="W32" s="129" t="n">
        <f aca="false">M32-N32-O32-P32-Q32-R32-S32-T32+U32+V32</f>
        <v>0</v>
      </c>
      <c r="X32" s="129" t="n">
        <f aca="false">W32-AN32</f>
        <v>0</v>
      </c>
      <c r="Y32" s="130"/>
      <c r="Z32" s="129"/>
      <c r="AA32" s="130"/>
      <c r="AB32" s="130"/>
      <c r="AC32" s="102"/>
      <c r="AD32" s="129" t="n">
        <v>0</v>
      </c>
      <c r="AE32" s="233"/>
      <c r="AF32" s="234"/>
      <c r="AG32" s="129" t="n">
        <v>30</v>
      </c>
      <c r="AH32" s="102" t="n">
        <f aca="false">AH31-AG32</f>
        <v>3219</v>
      </c>
      <c r="AI32" s="102"/>
      <c r="AJ32" s="128" t="n">
        <f aca="false">N32+O32+P32+Q32+R32+S32+T32+W32+AD32+AG32</f>
        <v>33.8</v>
      </c>
      <c r="AK32" s="129" t="n">
        <f aca="false">IF(L32&lt;0,L32*-1,0)</f>
        <v>0</v>
      </c>
      <c r="AL32" s="129" t="n">
        <f aca="false">AJ32+AK32</f>
        <v>33.8</v>
      </c>
      <c r="AM32" s="205" t="n">
        <f aca="false">AM31+(W32*1.9835)</f>
        <v>5922.731</v>
      </c>
      <c r="AN32" s="130" t="n">
        <v>0</v>
      </c>
      <c r="AO32" s="206"/>
      <c r="AU32" s="207" t="n">
        <v>0</v>
      </c>
      <c r="AV32" s="102" t="n">
        <v>36</v>
      </c>
      <c r="AW32" s="200" t="n">
        <v>8</v>
      </c>
      <c r="AX32" s="208"/>
      <c r="AY32" s="235" t="n">
        <f aca="false">SUM(N32,P32:T32)</f>
        <v>3.8</v>
      </c>
    </row>
    <row r="33" customFormat="false" ht="12.95" hidden="false" customHeight="true" outlineLevel="0" collapsed="false">
      <c r="A33" s="173" t="n">
        <f aca="false">A32+1</f>
        <v>19</v>
      </c>
      <c r="B33" s="101" t="n">
        <v>6891.48</v>
      </c>
      <c r="C33" s="102" t="n">
        <v>253217</v>
      </c>
      <c r="D33" s="200" t="n">
        <f aca="false">C33-C32</f>
        <v>0</v>
      </c>
      <c r="E33" s="102" t="n">
        <f aca="false">C33-152000</f>
        <v>101217</v>
      </c>
      <c r="F33" s="231" t="n">
        <f aca="false">D33/$D$2</f>
        <v>0</v>
      </c>
      <c r="G33" s="1" t="n">
        <v>25</v>
      </c>
      <c r="H33" s="232" t="n">
        <v>0</v>
      </c>
      <c r="I33" s="129" t="n">
        <f aca="false">G33+H33</f>
        <v>25</v>
      </c>
      <c r="J33" s="130" t="n">
        <f aca="false">IF(L33&gt;0,L33,0)</f>
        <v>8.6</v>
      </c>
      <c r="K33" s="129" t="n">
        <f aca="false">I33+J33</f>
        <v>33.6</v>
      </c>
      <c r="L33" s="129" t="n">
        <f aca="false">F33-(I33-AJ33)</f>
        <v>8.6</v>
      </c>
      <c r="M33" s="233" t="n">
        <v>3.6</v>
      </c>
      <c r="N33" s="129" t="n">
        <v>0</v>
      </c>
      <c r="O33" s="129" t="n">
        <v>0</v>
      </c>
      <c r="P33" s="149" t="n">
        <v>0</v>
      </c>
      <c r="Q33" s="126" t="n">
        <f aca="false">1.6*1.02</f>
        <v>1.632</v>
      </c>
      <c r="R33" s="126" t="n">
        <v>2.44</v>
      </c>
      <c r="S33" s="126" t="n">
        <v>0</v>
      </c>
      <c r="T33" s="91" t="n">
        <f aca="false">M33-(Q33+R33+S33)</f>
        <v>-0.472</v>
      </c>
      <c r="U33" s="129" t="n">
        <v>0</v>
      </c>
      <c r="V33" s="129" t="n">
        <v>0</v>
      </c>
      <c r="W33" s="129" t="n">
        <f aca="false">M33-N33-O33-P33-Q33-R33-S33-T33+U33+V33</f>
        <v>0</v>
      </c>
      <c r="X33" s="129" t="n">
        <f aca="false">W33-AN33</f>
        <v>0</v>
      </c>
      <c r="Y33" s="130"/>
      <c r="Z33" s="129"/>
      <c r="AA33" s="130"/>
      <c r="AB33" s="130"/>
      <c r="AC33" s="102"/>
      <c r="AD33" s="129" t="n">
        <v>0</v>
      </c>
      <c r="AE33" s="233"/>
      <c r="AF33" s="234"/>
      <c r="AG33" s="129" t="n">
        <v>30</v>
      </c>
      <c r="AH33" s="102" t="n">
        <f aca="false">AH32-AG33</f>
        <v>3189</v>
      </c>
      <c r="AI33" s="102"/>
      <c r="AJ33" s="128" t="n">
        <f aca="false">N33+O33+P33+Q33+R33+S33+T33+W33+AD33+AG33</f>
        <v>33.6</v>
      </c>
      <c r="AK33" s="129" t="n">
        <f aca="false">IF(L33&lt;0,L33*-1,0)</f>
        <v>0</v>
      </c>
      <c r="AL33" s="129" t="n">
        <f aca="false">AJ33+AK33</f>
        <v>33.6</v>
      </c>
      <c r="AM33" s="205" t="n">
        <f aca="false">AM32+(W33*1.9835)</f>
        <v>5922.731</v>
      </c>
      <c r="AN33" s="130" t="n">
        <v>0</v>
      </c>
      <c r="AO33" s="206"/>
      <c r="AU33" s="207" t="n">
        <v>0</v>
      </c>
      <c r="AV33" s="102" t="n">
        <v>38</v>
      </c>
      <c r="AW33" s="200" t="n">
        <v>7</v>
      </c>
      <c r="AX33" s="208"/>
      <c r="AY33" s="235" t="n">
        <f aca="false">SUM(N33,P33:T33)</f>
        <v>3.6</v>
      </c>
    </row>
    <row r="34" customFormat="false" ht="12.95" hidden="false" customHeight="true" outlineLevel="0" collapsed="false">
      <c r="A34" s="173" t="n">
        <f aca="false">A33+1</f>
        <v>20</v>
      </c>
      <c r="B34" s="101" t="n">
        <v>6891.48</v>
      </c>
      <c r="C34" s="102" t="n">
        <v>253217</v>
      </c>
      <c r="D34" s="200" t="n">
        <f aca="false">C34-C33</f>
        <v>0</v>
      </c>
      <c r="E34" s="102" t="n">
        <f aca="false">C34-152000</f>
        <v>101217</v>
      </c>
      <c r="F34" s="231" t="n">
        <f aca="false">D34/$D$2</f>
        <v>0</v>
      </c>
      <c r="G34" s="1" t="n">
        <v>25</v>
      </c>
      <c r="H34" s="232" t="n">
        <v>0</v>
      </c>
      <c r="I34" s="129" t="n">
        <f aca="false">G34+H34</f>
        <v>25</v>
      </c>
      <c r="J34" s="130" t="n">
        <f aca="false">IF(L34&gt;0,L34,0)</f>
        <v>8.6</v>
      </c>
      <c r="K34" s="129" t="n">
        <f aca="false">I34+J34</f>
        <v>33.6</v>
      </c>
      <c r="L34" s="129" t="n">
        <f aca="false">F34-(I34-AJ34)</f>
        <v>8.6</v>
      </c>
      <c r="M34" s="233" t="n">
        <v>3.6</v>
      </c>
      <c r="N34" s="129" t="n">
        <v>0</v>
      </c>
      <c r="O34" s="129" t="n">
        <v>0</v>
      </c>
      <c r="P34" s="149" t="n">
        <v>0</v>
      </c>
      <c r="Q34" s="126" t="n">
        <f aca="false">1.6*1.02</f>
        <v>1.632</v>
      </c>
      <c r="R34" s="126" t="n">
        <v>2.22</v>
      </c>
      <c r="S34" s="126" t="n">
        <v>0</v>
      </c>
      <c r="T34" s="91" t="n">
        <f aca="false">M34-(Q34+R34+S34)</f>
        <v>-0.252</v>
      </c>
      <c r="U34" s="129" t="n">
        <v>0</v>
      </c>
      <c r="V34" s="129" t="n">
        <v>0</v>
      </c>
      <c r="W34" s="129" t="n">
        <f aca="false">M34-N34-O34-P34-Q34-R34-S34-T34+U34+V34</f>
        <v>0</v>
      </c>
      <c r="X34" s="129" t="n">
        <f aca="false">W34-AN34</f>
        <v>0</v>
      </c>
      <c r="Y34" s="130"/>
      <c r="Z34" s="129"/>
      <c r="AA34" s="130"/>
      <c r="AB34" s="130"/>
      <c r="AC34" s="102"/>
      <c r="AD34" s="129" t="n">
        <v>0</v>
      </c>
      <c r="AE34" s="233"/>
      <c r="AF34" s="234"/>
      <c r="AG34" s="129" t="n">
        <v>30</v>
      </c>
      <c r="AH34" s="102" t="n">
        <f aca="false">AH33-AG34</f>
        <v>3159</v>
      </c>
      <c r="AI34" s="102"/>
      <c r="AJ34" s="128" t="n">
        <f aca="false">N34+O34+P34+Q34+R34+S34+T34+W34+AD34+AG34</f>
        <v>33.6</v>
      </c>
      <c r="AK34" s="129" t="n">
        <f aca="false">IF(L34&lt;0,L34*-1,0)</f>
        <v>0</v>
      </c>
      <c r="AL34" s="129" t="n">
        <f aca="false">AJ34+AK34</f>
        <v>33.6</v>
      </c>
      <c r="AM34" s="205" t="n">
        <f aca="false">AM33+(W34*1.9835)</f>
        <v>5922.731</v>
      </c>
      <c r="AN34" s="130" t="n">
        <v>0</v>
      </c>
      <c r="AO34" s="206"/>
      <c r="AU34" s="207" t="n">
        <v>0</v>
      </c>
      <c r="AV34" s="102" t="n">
        <v>39</v>
      </c>
      <c r="AW34" s="200" t="n">
        <v>6</v>
      </c>
      <c r="AX34" s="208"/>
      <c r="AY34" s="235" t="n">
        <f aca="false">SUM(N34,P34:T34)</f>
        <v>3.6</v>
      </c>
    </row>
    <row r="35" customFormat="false" ht="12.95" hidden="false" customHeight="true" outlineLevel="0" collapsed="false">
      <c r="A35" s="173" t="n">
        <f aca="false">A34+1</f>
        <v>21</v>
      </c>
      <c r="B35" s="101" t="n">
        <v>6891.48</v>
      </c>
      <c r="C35" s="102" t="n">
        <v>253217</v>
      </c>
      <c r="D35" s="200" t="n">
        <f aca="false">C35-C34</f>
        <v>0</v>
      </c>
      <c r="E35" s="102" t="n">
        <f aca="false">C35-152000</f>
        <v>101217</v>
      </c>
      <c r="F35" s="231" t="n">
        <f aca="false">D35/$D$2</f>
        <v>0</v>
      </c>
      <c r="G35" s="1" t="n">
        <v>26</v>
      </c>
      <c r="H35" s="232" t="n">
        <v>0</v>
      </c>
      <c r="I35" s="129" t="n">
        <f aca="false">G35+H35</f>
        <v>26</v>
      </c>
      <c r="J35" s="130" t="n">
        <f aca="false">IF(L35&gt;0,L35,0)</f>
        <v>8</v>
      </c>
      <c r="K35" s="129" t="n">
        <f aca="false">I35+J35</f>
        <v>34</v>
      </c>
      <c r="L35" s="129" t="n">
        <f aca="false">F35-(I35-AJ35)</f>
        <v>8</v>
      </c>
      <c r="M35" s="233" t="n">
        <v>4</v>
      </c>
      <c r="N35" s="129" t="n">
        <v>0</v>
      </c>
      <c r="O35" s="129" t="n">
        <v>0</v>
      </c>
      <c r="P35" s="149" t="n">
        <v>0</v>
      </c>
      <c r="Q35" s="126" t="n">
        <f aca="false">1.6*1.02</f>
        <v>1.632</v>
      </c>
      <c r="R35" s="126" t="n">
        <v>2.31</v>
      </c>
      <c r="S35" s="126" t="n">
        <v>0</v>
      </c>
      <c r="T35" s="91" t="n">
        <f aca="false">M35-(Q35+R35+S35)</f>
        <v>0.0579999999999998</v>
      </c>
      <c r="U35" s="129" t="n">
        <v>0</v>
      </c>
      <c r="V35" s="129" t="n">
        <v>0</v>
      </c>
      <c r="W35" s="129" t="n">
        <f aca="false">M35-N35-O35-P35-Q35-R35-S35-T35+U35+V35</f>
        <v>0</v>
      </c>
      <c r="X35" s="129" t="n">
        <f aca="false">W35-AN35</f>
        <v>0</v>
      </c>
      <c r="Y35" s="130"/>
      <c r="Z35" s="129"/>
      <c r="AA35" s="130"/>
      <c r="AB35" s="130"/>
      <c r="AC35" s="102"/>
      <c r="AD35" s="129" t="n">
        <v>0</v>
      </c>
      <c r="AE35" s="233"/>
      <c r="AF35" s="234"/>
      <c r="AG35" s="129" t="n">
        <v>30</v>
      </c>
      <c r="AH35" s="102" t="n">
        <f aca="false">AH34-AG35</f>
        <v>3129</v>
      </c>
      <c r="AI35" s="102"/>
      <c r="AJ35" s="128" t="n">
        <f aca="false">N35+O35+P35+Q35+R35+S35+T35+W35+AD35+AG35</f>
        <v>34</v>
      </c>
      <c r="AK35" s="129" t="n">
        <f aca="false">IF(L35&lt;0,L35*-1,0)</f>
        <v>0</v>
      </c>
      <c r="AL35" s="129" t="n">
        <f aca="false">AJ35+AK35</f>
        <v>34</v>
      </c>
      <c r="AM35" s="205" t="n">
        <f aca="false">AM34+(W35*1.9835)</f>
        <v>5922.731</v>
      </c>
      <c r="AN35" s="130" t="n">
        <v>0</v>
      </c>
      <c r="AO35" s="206"/>
      <c r="AU35" s="207" t="n">
        <v>0</v>
      </c>
      <c r="AV35" s="102" t="n">
        <v>40</v>
      </c>
      <c r="AW35" s="200" t="n">
        <v>10</v>
      </c>
      <c r="AX35" s="208"/>
      <c r="AY35" s="235" t="n">
        <f aca="false">SUM(N35,P35:T35)</f>
        <v>4</v>
      </c>
    </row>
    <row r="36" customFormat="false" ht="12.95" hidden="false" customHeight="true" outlineLevel="0" collapsed="false">
      <c r="A36" s="173" t="n">
        <f aca="false">A35+1</f>
        <v>22</v>
      </c>
      <c r="B36" s="101" t="n">
        <v>6891.48</v>
      </c>
      <c r="C36" s="102" t="n">
        <v>253217</v>
      </c>
      <c r="D36" s="200" t="n">
        <f aca="false">C36-C35</f>
        <v>0</v>
      </c>
      <c r="E36" s="102" t="n">
        <f aca="false">C36-152000</f>
        <v>101217</v>
      </c>
      <c r="F36" s="231" t="n">
        <f aca="false">D36/$D$2</f>
        <v>0</v>
      </c>
      <c r="G36" s="1" t="n">
        <v>27</v>
      </c>
      <c r="H36" s="232" t="n">
        <v>0</v>
      </c>
      <c r="I36" s="129" t="n">
        <f aca="false">G36+H36</f>
        <v>27</v>
      </c>
      <c r="J36" s="130" t="n">
        <f aca="false">IF(L36&gt;0,L36,0)</f>
        <v>7.2</v>
      </c>
      <c r="K36" s="129" t="n">
        <f aca="false">I36+J36</f>
        <v>34.2</v>
      </c>
      <c r="L36" s="129" t="n">
        <f aca="false">F36-(I36-AJ36)</f>
        <v>7.2</v>
      </c>
      <c r="M36" s="233" t="n">
        <v>4.2</v>
      </c>
      <c r="N36" s="129" t="n">
        <v>0</v>
      </c>
      <c r="O36" s="129" t="n">
        <v>0</v>
      </c>
      <c r="P36" s="149" t="n">
        <v>0</v>
      </c>
      <c r="Q36" s="126" t="n">
        <f aca="false">1.6*1.02</f>
        <v>1.632</v>
      </c>
      <c r="R36" s="126" t="n">
        <v>2.37</v>
      </c>
      <c r="S36" s="126" t="n">
        <v>0</v>
      </c>
      <c r="T36" s="91" t="n">
        <f aca="false">M36-(Q36+R36+S36)</f>
        <v>0.198</v>
      </c>
      <c r="U36" s="129" t="n">
        <v>0</v>
      </c>
      <c r="V36" s="129" t="n">
        <v>0</v>
      </c>
      <c r="W36" s="129" t="n">
        <f aca="false">M36-N36-O36-P36-Q36-R36-S36-T36+U36+V36</f>
        <v>0</v>
      </c>
      <c r="X36" s="129" t="n">
        <f aca="false">W36-AN36</f>
        <v>0</v>
      </c>
      <c r="Y36" s="130"/>
      <c r="Z36" s="129"/>
      <c r="AA36" s="130"/>
      <c r="AB36" s="130"/>
      <c r="AC36" s="102"/>
      <c r="AD36" s="129" t="n">
        <v>0</v>
      </c>
      <c r="AE36" s="233"/>
      <c r="AF36" s="234"/>
      <c r="AG36" s="129" t="n">
        <v>30</v>
      </c>
      <c r="AH36" s="102" t="n">
        <f aca="false">AH35-AG36</f>
        <v>3099</v>
      </c>
      <c r="AI36" s="102"/>
      <c r="AJ36" s="128" t="n">
        <f aca="false">N36+O36+P36+Q36+R36+S36+T36+W36+AD36+AG36</f>
        <v>34.2</v>
      </c>
      <c r="AK36" s="129" t="n">
        <f aca="false">IF(L36&lt;0,L36*-1,0)</f>
        <v>0</v>
      </c>
      <c r="AL36" s="129" t="n">
        <f aca="false">AJ36+AK36</f>
        <v>34.2</v>
      </c>
      <c r="AM36" s="205" t="n">
        <f aca="false">AM35+(W36*1.9835)</f>
        <v>5922.731</v>
      </c>
      <c r="AN36" s="130" t="n">
        <v>0</v>
      </c>
      <c r="AO36" s="206"/>
      <c r="AU36" s="207" t="n">
        <v>0</v>
      </c>
      <c r="AV36" s="102" t="n">
        <v>33</v>
      </c>
      <c r="AW36" s="200" t="n">
        <v>10</v>
      </c>
      <c r="AX36" s="208"/>
      <c r="AY36" s="235" t="n">
        <f aca="false">SUM(N36,P36:T36)</f>
        <v>4.2</v>
      </c>
    </row>
    <row r="37" customFormat="false" ht="12.95" hidden="false" customHeight="true" outlineLevel="0" collapsed="false">
      <c r="A37" s="173" t="n">
        <f aca="false">A36+1</f>
        <v>23</v>
      </c>
      <c r="B37" s="101" t="n">
        <v>6891.48</v>
      </c>
      <c r="C37" s="102" t="n">
        <v>253217</v>
      </c>
      <c r="D37" s="200" t="n">
        <f aca="false">C37-C36</f>
        <v>0</v>
      </c>
      <c r="E37" s="102" t="n">
        <f aca="false">C37-152000</f>
        <v>101217</v>
      </c>
      <c r="F37" s="231" t="n">
        <f aca="false">D37/$D$2</f>
        <v>0</v>
      </c>
      <c r="G37" s="1" t="n">
        <v>27</v>
      </c>
      <c r="H37" s="232" t="n">
        <v>0</v>
      </c>
      <c r="I37" s="129" t="n">
        <f aca="false">G37+H37</f>
        <v>27</v>
      </c>
      <c r="J37" s="130" t="n">
        <f aca="false">IF(L37&gt;0,L37,0)</f>
        <v>6.9</v>
      </c>
      <c r="K37" s="129" t="n">
        <f aca="false">I37+J37</f>
        <v>33.9</v>
      </c>
      <c r="L37" s="129" t="n">
        <f aca="false">F37-(I37-AJ37)</f>
        <v>6.9</v>
      </c>
      <c r="M37" s="233" t="n">
        <v>3.9</v>
      </c>
      <c r="N37" s="129" t="n">
        <v>0</v>
      </c>
      <c r="O37" s="129" t="n">
        <v>0</v>
      </c>
      <c r="P37" s="149" t="n">
        <v>0</v>
      </c>
      <c r="Q37" s="126" t="n">
        <f aca="false">1.6*1.02</f>
        <v>1.632</v>
      </c>
      <c r="R37" s="126" t="n">
        <v>2.33</v>
      </c>
      <c r="S37" s="126" t="n">
        <v>0</v>
      </c>
      <c r="T37" s="91" t="n">
        <f aca="false">M37-(Q37+R37+S37)</f>
        <v>-0.0620000000000003</v>
      </c>
      <c r="U37" s="129" t="n">
        <v>0</v>
      </c>
      <c r="V37" s="129" t="n">
        <v>0</v>
      </c>
      <c r="W37" s="129" t="n">
        <f aca="false">M37-N37-O37-P37-Q37-R37-S37-T37+U37+V37</f>
        <v>0</v>
      </c>
      <c r="X37" s="129" t="n">
        <f aca="false">W37-AN37</f>
        <v>0</v>
      </c>
      <c r="Y37" s="130"/>
      <c r="Z37" s="129"/>
      <c r="AA37" s="130"/>
      <c r="AB37" s="130"/>
      <c r="AC37" s="102"/>
      <c r="AD37" s="129" t="n">
        <v>0</v>
      </c>
      <c r="AE37" s="233"/>
      <c r="AF37" s="234"/>
      <c r="AG37" s="129" t="n">
        <v>30</v>
      </c>
      <c r="AH37" s="102" t="n">
        <f aca="false">AH36-AG37</f>
        <v>3069</v>
      </c>
      <c r="AI37" s="102"/>
      <c r="AJ37" s="128" t="n">
        <f aca="false">N37+O37+P37+Q37+R37+S37+T37+W37+AD37+AG37</f>
        <v>33.9</v>
      </c>
      <c r="AK37" s="129" t="n">
        <f aca="false">IF(L37&lt;0,L37*-1,0)</f>
        <v>0</v>
      </c>
      <c r="AL37" s="129" t="n">
        <f aca="false">AJ37+AK37</f>
        <v>33.9</v>
      </c>
      <c r="AM37" s="205" t="n">
        <f aca="false">AM36+(W37*1.9835)</f>
        <v>5922.731</v>
      </c>
      <c r="AN37" s="130" t="n">
        <v>0</v>
      </c>
      <c r="AO37" s="206"/>
      <c r="AU37" s="207" t="n">
        <v>0.1</v>
      </c>
      <c r="AV37" s="102" t="n">
        <v>36</v>
      </c>
      <c r="AW37" s="206" t="n">
        <v>16</v>
      </c>
      <c r="AX37" s="236"/>
      <c r="AY37" s="235" t="n">
        <f aca="false">SUM(N37,P37:T37)</f>
        <v>3.9</v>
      </c>
    </row>
    <row r="38" customFormat="false" ht="12.95" hidden="false" customHeight="true" outlineLevel="0" collapsed="false">
      <c r="A38" s="173" t="n">
        <f aca="false">A37+1</f>
        <v>24</v>
      </c>
      <c r="B38" s="101" t="n">
        <v>6891.48</v>
      </c>
      <c r="C38" s="102" t="n">
        <v>253217</v>
      </c>
      <c r="D38" s="200" t="n">
        <f aca="false">C38-C37</f>
        <v>0</v>
      </c>
      <c r="E38" s="102" t="n">
        <f aca="false">C38-152000</f>
        <v>101217</v>
      </c>
      <c r="F38" s="231" t="n">
        <f aca="false">D38/$D$2</f>
        <v>0</v>
      </c>
      <c r="G38" s="1" t="n">
        <v>27</v>
      </c>
      <c r="H38" s="232" t="n">
        <v>0</v>
      </c>
      <c r="I38" s="129" t="n">
        <f aca="false">G38+H38</f>
        <v>27</v>
      </c>
      <c r="J38" s="130" t="n">
        <f aca="false">IF(L38&gt;0,L38,0)</f>
        <v>6.9</v>
      </c>
      <c r="K38" s="129" t="n">
        <f aca="false">I38+J38</f>
        <v>33.9</v>
      </c>
      <c r="L38" s="129" t="n">
        <f aca="false">F38-(I38-AJ38)</f>
        <v>6.9</v>
      </c>
      <c r="M38" s="233" t="n">
        <v>3.9</v>
      </c>
      <c r="N38" s="129" t="n">
        <v>0</v>
      </c>
      <c r="O38" s="129" t="n">
        <v>0</v>
      </c>
      <c r="P38" s="149" t="n">
        <v>0</v>
      </c>
      <c r="Q38" s="126" t="n">
        <f aca="false">1.6*1.02</f>
        <v>1.632</v>
      </c>
      <c r="R38" s="126" t="n">
        <v>2.11</v>
      </c>
      <c r="S38" s="126" t="n">
        <v>0</v>
      </c>
      <c r="T38" s="91" t="n">
        <f aca="false">M38-(Q38+R38+S38)</f>
        <v>0.158</v>
      </c>
      <c r="U38" s="129" t="n">
        <v>0</v>
      </c>
      <c r="V38" s="129" t="n">
        <v>0</v>
      </c>
      <c r="W38" s="129" t="n">
        <f aca="false">M38-N38-O38-P38-Q38-R38-S38-T38+U38+V38</f>
        <v>0</v>
      </c>
      <c r="X38" s="129" t="n">
        <f aca="false">W38-AN38</f>
        <v>0</v>
      </c>
      <c r="Y38" s="130"/>
      <c r="Z38" s="129"/>
      <c r="AA38" s="130"/>
      <c r="AB38" s="130"/>
      <c r="AC38" s="102"/>
      <c r="AD38" s="129" t="n">
        <v>0</v>
      </c>
      <c r="AE38" s="233"/>
      <c r="AF38" s="234"/>
      <c r="AG38" s="129" t="n">
        <v>30</v>
      </c>
      <c r="AH38" s="102" t="n">
        <f aca="false">AH37-AG38</f>
        <v>3039</v>
      </c>
      <c r="AI38" s="102"/>
      <c r="AJ38" s="128" t="n">
        <f aca="false">N38+O38+P38+Q38+R38+S38+T38+W38+AD38+AG38</f>
        <v>33.9</v>
      </c>
      <c r="AK38" s="129" t="n">
        <f aca="false">IF(L38&lt;0,L38*-1,0)</f>
        <v>0</v>
      </c>
      <c r="AL38" s="129" t="n">
        <f aca="false">AJ38+AK38</f>
        <v>33.9</v>
      </c>
      <c r="AM38" s="205" t="n">
        <f aca="false">AM37+(W38*1.9835)</f>
        <v>5922.731</v>
      </c>
      <c r="AN38" s="130" t="n">
        <v>0</v>
      </c>
      <c r="AO38" s="206"/>
      <c r="AU38" s="207" t="n">
        <v>0.01</v>
      </c>
      <c r="AV38" s="102" t="n">
        <v>30</v>
      </c>
      <c r="AW38" s="206" t="n">
        <v>4</v>
      </c>
      <c r="AX38" s="236"/>
      <c r="AY38" s="235" t="n">
        <f aca="false">SUM(N38,P38:T38)</f>
        <v>3.9</v>
      </c>
    </row>
    <row r="39" customFormat="false" ht="12.95" hidden="false" customHeight="true" outlineLevel="0" collapsed="false">
      <c r="A39" s="173" t="n">
        <f aca="false">A38+1</f>
        <v>25</v>
      </c>
      <c r="B39" s="101" t="n">
        <v>6891.48</v>
      </c>
      <c r="C39" s="102" t="n">
        <v>253217</v>
      </c>
      <c r="D39" s="200" t="n">
        <f aca="false">C39-C38</f>
        <v>0</v>
      </c>
      <c r="E39" s="102" t="n">
        <f aca="false">C39-152000</f>
        <v>101217</v>
      </c>
      <c r="F39" s="231" t="n">
        <f aca="false">D39/$D$2</f>
        <v>0</v>
      </c>
      <c r="G39" s="1" t="n">
        <v>27</v>
      </c>
      <c r="H39" s="232" t="n">
        <v>0</v>
      </c>
      <c r="I39" s="129" t="n">
        <f aca="false">G39+H39</f>
        <v>27</v>
      </c>
      <c r="J39" s="130" t="n">
        <f aca="false">IF(L39&gt;0,L39,0)</f>
        <v>6.5</v>
      </c>
      <c r="K39" s="129" t="n">
        <f aca="false">I39+J39</f>
        <v>33.5</v>
      </c>
      <c r="L39" s="129" t="n">
        <f aca="false">F39-(I39-AJ39)</f>
        <v>6.5</v>
      </c>
      <c r="M39" s="233" t="n">
        <v>3.5</v>
      </c>
      <c r="N39" s="129" t="n">
        <v>0</v>
      </c>
      <c r="O39" s="129" t="n">
        <v>0</v>
      </c>
      <c r="P39" s="149" t="n">
        <v>0</v>
      </c>
      <c r="Q39" s="126" t="n">
        <f aca="false">1.6*1.02</f>
        <v>1.632</v>
      </c>
      <c r="R39" s="126" t="n">
        <v>2.25</v>
      </c>
      <c r="S39" s="126" t="n">
        <v>0</v>
      </c>
      <c r="T39" s="91" t="n">
        <f aca="false">M39-(Q39+R39+S39)</f>
        <v>-0.382</v>
      </c>
      <c r="U39" s="129" t="n">
        <v>0</v>
      </c>
      <c r="V39" s="129" t="n">
        <v>0</v>
      </c>
      <c r="W39" s="129" t="n">
        <f aca="false">M39-N39-O39-P39-Q39-R39-S39-T39+U39+V39</f>
        <v>0</v>
      </c>
      <c r="X39" s="129" t="n">
        <f aca="false">W39-AN39</f>
        <v>0</v>
      </c>
      <c r="Y39" s="130"/>
      <c r="Z39" s="129"/>
      <c r="AA39" s="130"/>
      <c r="AB39" s="130"/>
      <c r="AC39" s="102"/>
      <c r="AD39" s="129" t="n">
        <v>0</v>
      </c>
      <c r="AE39" s="233"/>
      <c r="AF39" s="234"/>
      <c r="AG39" s="129" t="n">
        <v>30</v>
      </c>
      <c r="AH39" s="102" t="n">
        <f aca="false">AH38-AG39</f>
        <v>3009</v>
      </c>
      <c r="AI39" s="102"/>
      <c r="AJ39" s="128" t="n">
        <f aca="false">N39+O39+P39+Q39+R39+S39+T39+W39+AD39+AG39</f>
        <v>33.5</v>
      </c>
      <c r="AK39" s="129" t="n">
        <f aca="false">IF(L39&lt;0,L39*-1,0)</f>
        <v>0</v>
      </c>
      <c r="AL39" s="129" t="n">
        <f aca="false">AJ39+AK39</f>
        <v>33.5</v>
      </c>
      <c r="AM39" s="205" t="n">
        <f aca="false">AM38+(W39*1.9835)</f>
        <v>5922.731</v>
      </c>
      <c r="AN39" s="130" t="n">
        <v>0</v>
      </c>
      <c r="AO39" s="206"/>
      <c r="AU39" s="207" t="n">
        <v>0</v>
      </c>
      <c r="AV39" s="102" t="n">
        <v>31</v>
      </c>
      <c r="AW39" s="206" t="n">
        <v>2</v>
      </c>
      <c r="AX39" s="236"/>
      <c r="AY39" s="235" t="n">
        <f aca="false">SUM(N39,P39:T39)</f>
        <v>3.5</v>
      </c>
    </row>
    <row r="40" customFormat="false" ht="12.95" hidden="false" customHeight="true" outlineLevel="0" collapsed="false">
      <c r="A40" s="173" t="n">
        <f aca="false">A39+1</f>
        <v>26</v>
      </c>
      <c r="B40" s="101" t="n">
        <v>6891.47</v>
      </c>
      <c r="C40" s="102" t="n">
        <v>253183</v>
      </c>
      <c r="D40" s="200" t="n">
        <f aca="false">C40-C39</f>
        <v>-34</v>
      </c>
      <c r="E40" s="102" t="n">
        <f aca="false">C40-152000</f>
        <v>101183</v>
      </c>
      <c r="F40" s="231" t="n">
        <f aca="false">D40/$D$2</f>
        <v>-17.1414166876733</v>
      </c>
      <c r="G40" s="1" t="n">
        <v>27</v>
      </c>
      <c r="H40" s="232" t="n">
        <v>0</v>
      </c>
      <c r="I40" s="129" t="n">
        <f aca="false">G40+H40</f>
        <v>27</v>
      </c>
      <c r="J40" s="130" t="n">
        <f aca="false">IF(L40&gt;0,L40,0)</f>
        <v>0</v>
      </c>
      <c r="K40" s="129" t="n">
        <f aca="false">I40+J40</f>
        <v>27</v>
      </c>
      <c r="L40" s="129" t="n">
        <f aca="false">F40-(I40-AJ40)</f>
        <v>-10.6414166876733</v>
      </c>
      <c r="M40" s="233" t="n">
        <v>3.5</v>
      </c>
      <c r="N40" s="129" t="n">
        <v>0</v>
      </c>
      <c r="O40" s="129" t="n">
        <v>0</v>
      </c>
      <c r="P40" s="149" t="n">
        <v>0</v>
      </c>
      <c r="Q40" s="126" t="n">
        <f aca="false">1.6*1.02</f>
        <v>1.632</v>
      </c>
      <c r="R40" s="126" t="n">
        <v>2.24</v>
      </c>
      <c r="S40" s="126" t="n">
        <v>0</v>
      </c>
      <c r="T40" s="91" t="n">
        <f aca="false">M40-(Q40+R40+S40)</f>
        <v>-0.372</v>
      </c>
      <c r="U40" s="129" t="n">
        <v>0</v>
      </c>
      <c r="V40" s="129" t="n">
        <v>0</v>
      </c>
      <c r="W40" s="129" t="n">
        <f aca="false">M40-N40-O40-P40-Q40-R40-S40-T40+U40+V40</f>
        <v>0</v>
      </c>
      <c r="X40" s="129" t="n">
        <f aca="false">W40-AN40</f>
        <v>0</v>
      </c>
      <c r="Y40" s="130"/>
      <c r="Z40" s="129"/>
      <c r="AA40" s="130"/>
      <c r="AB40" s="130"/>
      <c r="AC40" s="102"/>
      <c r="AD40" s="129" t="n">
        <v>0</v>
      </c>
      <c r="AE40" s="233"/>
      <c r="AF40" s="234"/>
      <c r="AG40" s="129" t="n">
        <v>30</v>
      </c>
      <c r="AH40" s="102" t="n">
        <f aca="false">AH39-AG40</f>
        <v>2979</v>
      </c>
      <c r="AI40" s="102"/>
      <c r="AJ40" s="128" t="n">
        <f aca="false">N40+O40+P40+Q40+R40+S40+T40+W40+AD40+AG40</f>
        <v>33.5</v>
      </c>
      <c r="AK40" s="129" t="n">
        <f aca="false">IF(L40&lt;0,L40*-1,0)</f>
        <v>10.6414166876733</v>
      </c>
      <c r="AL40" s="129" t="n">
        <f aca="false">AJ40+AK40</f>
        <v>44.1414166876733</v>
      </c>
      <c r="AM40" s="205" t="n">
        <f aca="false">AM39+(W40*1.9835)</f>
        <v>5922.731</v>
      </c>
      <c r="AN40" s="130" t="n">
        <v>0</v>
      </c>
      <c r="AO40" s="206"/>
      <c r="AU40" s="207" t="n">
        <v>0</v>
      </c>
      <c r="AV40" s="102" t="n">
        <v>30</v>
      </c>
      <c r="AW40" s="200" t="n">
        <v>2</v>
      </c>
      <c r="AX40" s="208"/>
      <c r="AY40" s="235" t="n">
        <f aca="false">SUM(N40,P40:T40)</f>
        <v>3.5</v>
      </c>
    </row>
    <row r="41" customFormat="false" ht="12.95" hidden="false" customHeight="true" outlineLevel="0" collapsed="false">
      <c r="A41" s="173" t="n">
        <f aca="false">A40+1</f>
        <v>27</v>
      </c>
      <c r="B41" s="101" t="n">
        <v>6891.47</v>
      </c>
      <c r="C41" s="102" t="n">
        <v>253183</v>
      </c>
      <c r="D41" s="200" t="n">
        <f aca="false">C41-C40</f>
        <v>0</v>
      </c>
      <c r="E41" s="102" t="n">
        <f aca="false">C41-152000</f>
        <v>101183</v>
      </c>
      <c r="F41" s="231" t="n">
        <f aca="false">D41/$D$2</f>
        <v>0</v>
      </c>
      <c r="G41" s="1" t="n">
        <v>28</v>
      </c>
      <c r="H41" s="232" t="n">
        <v>0</v>
      </c>
      <c r="I41" s="129" t="n">
        <f aca="false">G41+H41</f>
        <v>28</v>
      </c>
      <c r="J41" s="130" t="n">
        <f aca="false">IF(L41&gt;0,L41,0)</f>
        <v>6.1</v>
      </c>
      <c r="K41" s="129" t="n">
        <f aca="false">I41+J41</f>
        <v>34.1</v>
      </c>
      <c r="L41" s="129" t="n">
        <f aca="false">F41-(I41-AJ41)</f>
        <v>6.1</v>
      </c>
      <c r="M41" s="233" t="n">
        <v>4.1</v>
      </c>
      <c r="N41" s="129" t="n">
        <v>0</v>
      </c>
      <c r="O41" s="129" t="n">
        <v>0</v>
      </c>
      <c r="P41" s="149" t="n">
        <v>0</v>
      </c>
      <c r="Q41" s="126" t="n">
        <f aca="false">1.6*1.02</f>
        <v>1.632</v>
      </c>
      <c r="R41" s="126" t="n">
        <v>2.09</v>
      </c>
      <c r="S41" s="126" t="n">
        <v>0</v>
      </c>
      <c r="T41" s="91" t="n">
        <f aca="false">M41-(Q41+R41+S41)</f>
        <v>0.378</v>
      </c>
      <c r="U41" s="129" t="n">
        <v>0</v>
      </c>
      <c r="V41" s="129" t="n">
        <v>0</v>
      </c>
      <c r="W41" s="129" t="n">
        <f aca="false">M41-N41-O41-P41-Q41-R41-S41-T41+U41+V41</f>
        <v>0</v>
      </c>
      <c r="X41" s="129" t="n">
        <f aca="false">W41-AN41</f>
        <v>0</v>
      </c>
      <c r="Y41" s="130"/>
      <c r="Z41" s="129"/>
      <c r="AA41" s="130"/>
      <c r="AB41" s="130"/>
      <c r="AC41" s="102"/>
      <c r="AD41" s="129" t="n">
        <v>0</v>
      </c>
      <c r="AE41" s="233"/>
      <c r="AF41" s="234"/>
      <c r="AG41" s="129" t="n">
        <v>30</v>
      </c>
      <c r="AH41" s="102" t="n">
        <f aca="false">AH40-AG41</f>
        <v>2949</v>
      </c>
      <c r="AI41" s="102"/>
      <c r="AJ41" s="128" t="n">
        <f aca="false">N41+O41+P41+Q41+R41+S41+T41+W41+AD41+AG41</f>
        <v>34.1</v>
      </c>
      <c r="AK41" s="129" t="n">
        <f aca="false">IF(L41&lt;0,L41*-1,0)</f>
        <v>0</v>
      </c>
      <c r="AL41" s="129" t="n">
        <f aca="false">AJ41+AK41</f>
        <v>34.1</v>
      </c>
      <c r="AM41" s="205" t="n">
        <f aca="false">AM40+(W41*1.9835)</f>
        <v>5922.731</v>
      </c>
      <c r="AN41" s="130" t="n">
        <v>0</v>
      </c>
      <c r="AO41" s="206"/>
      <c r="AU41" s="207" t="n">
        <v>0</v>
      </c>
      <c r="AV41" s="102" t="n">
        <v>28</v>
      </c>
      <c r="AW41" s="200" t="n">
        <v>2</v>
      </c>
      <c r="AX41" s="208"/>
      <c r="AY41" s="235" t="n">
        <f aca="false">SUM(N41,P41:T41)</f>
        <v>4.1</v>
      </c>
    </row>
    <row r="42" customFormat="false" ht="12.95" hidden="false" customHeight="true" outlineLevel="0" collapsed="false">
      <c r="A42" s="173" t="n">
        <f aca="false">A41+1</f>
        <v>28</v>
      </c>
      <c r="B42" s="101" t="n">
        <v>6891.47</v>
      </c>
      <c r="C42" s="102" t="n">
        <v>253183</v>
      </c>
      <c r="D42" s="200" t="n">
        <f aca="false">C42-C41</f>
        <v>0</v>
      </c>
      <c r="E42" s="102" t="n">
        <f aca="false">C42-152000</f>
        <v>101183</v>
      </c>
      <c r="F42" s="231" t="n">
        <f aca="false">D42/$D$2</f>
        <v>0</v>
      </c>
      <c r="G42" s="1" t="n">
        <v>29</v>
      </c>
      <c r="H42" s="232" t="n">
        <v>0</v>
      </c>
      <c r="I42" s="129" t="n">
        <f aca="false">G42+H42</f>
        <v>29</v>
      </c>
      <c r="J42" s="130" t="n">
        <f aca="false">IF(L42&gt;0,L42,0)</f>
        <v>5.1</v>
      </c>
      <c r="K42" s="129" t="n">
        <f aca="false">I42+J42</f>
        <v>34.1</v>
      </c>
      <c r="L42" s="129" t="n">
        <f aca="false">F42-(I42-AJ42)</f>
        <v>5.1</v>
      </c>
      <c r="M42" s="233" t="n">
        <v>4.1</v>
      </c>
      <c r="N42" s="129" t="n">
        <v>0</v>
      </c>
      <c r="O42" s="129" t="n">
        <v>0</v>
      </c>
      <c r="P42" s="149" t="n">
        <v>0</v>
      </c>
      <c r="Q42" s="126" t="n">
        <f aca="false">1.6*1.02</f>
        <v>1.632</v>
      </c>
      <c r="R42" s="126" t="n">
        <v>2.42</v>
      </c>
      <c r="S42" s="126" t="n">
        <v>0</v>
      </c>
      <c r="T42" s="91" t="n">
        <f aca="false">M42-(Q42+R42+S42)</f>
        <v>0.048</v>
      </c>
      <c r="U42" s="129" t="n">
        <v>0</v>
      </c>
      <c r="V42" s="129" t="n">
        <v>0</v>
      </c>
      <c r="W42" s="129" t="n">
        <f aca="false">M42-N42-O42-P42-Q42-R42-S42-T42+U42+V42</f>
        <v>-4.44089209850063E-016</v>
      </c>
      <c r="X42" s="129" t="n">
        <f aca="false">W42-AN42</f>
        <v>-4.44089209850063E-016</v>
      </c>
      <c r="Y42" s="130"/>
      <c r="Z42" s="129"/>
      <c r="AA42" s="130"/>
      <c r="AB42" s="130"/>
      <c r="AC42" s="102"/>
      <c r="AD42" s="129" t="n">
        <v>0</v>
      </c>
      <c r="AE42" s="233"/>
      <c r="AF42" s="234"/>
      <c r="AG42" s="129" t="n">
        <v>30</v>
      </c>
      <c r="AH42" s="102" t="n">
        <f aca="false">AH41-AG42</f>
        <v>2919</v>
      </c>
      <c r="AI42" s="102"/>
      <c r="AJ42" s="128" t="n">
        <f aca="false">N42+O42+P42+Q42+R42+S42+T42+W42+AD42+AG42</f>
        <v>34.1</v>
      </c>
      <c r="AK42" s="129" t="n">
        <f aca="false">IF(L42&lt;0,L42*-1,0)</f>
        <v>0</v>
      </c>
      <c r="AL42" s="129" t="n">
        <f aca="false">AJ42+AK42</f>
        <v>34.1</v>
      </c>
      <c r="AM42" s="205" t="n">
        <f aca="false">AM41+(W42*1.9835)</f>
        <v>5922.731</v>
      </c>
      <c r="AN42" s="130" t="n">
        <v>0</v>
      </c>
      <c r="AO42" s="206"/>
      <c r="AU42" s="207" t="n">
        <v>0</v>
      </c>
      <c r="AV42" s="102" t="n">
        <v>30</v>
      </c>
      <c r="AW42" s="200" t="n">
        <v>1</v>
      </c>
      <c r="AX42" s="208"/>
      <c r="AY42" s="235" t="n">
        <f aca="false">SUM(N42,P42:T42)</f>
        <v>4.1</v>
      </c>
    </row>
    <row r="43" customFormat="false" ht="12.95" hidden="false" customHeight="true" outlineLevel="0" collapsed="false">
      <c r="A43" s="173" t="n">
        <f aca="false">A42+1</f>
        <v>29</v>
      </c>
      <c r="B43" s="101" t="n">
        <v>6891.48</v>
      </c>
      <c r="C43" s="102" t="n">
        <v>253217</v>
      </c>
      <c r="D43" s="200" t="n">
        <f aca="false">C43-C42</f>
        <v>34</v>
      </c>
      <c r="E43" s="102" t="n">
        <f aca="false">C43-152000</f>
        <v>101217</v>
      </c>
      <c r="F43" s="231" t="n">
        <f aca="false">D43/$D$2</f>
        <v>17.1414166876733</v>
      </c>
      <c r="G43" s="1" t="n">
        <v>30</v>
      </c>
      <c r="H43" s="232" t="n">
        <v>0</v>
      </c>
      <c r="I43" s="129" t="n">
        <f aca="false">G43+H43</f>
        <v>30</v>
      </c>
      <c r="J43" s="130" t="n">
        <f aca="false">IF(L43&gt;0,L43,0)</f>
        <v>22.3414166876733</v>
      </c>
      <c r="K43" s="129" t="n">
        <f aca="false">I43+J43</f>
        <v>52.3414166876733</v>
      </c>
      <c r="L43" s="129" t="n">
        <f aca="false">F43-(I43-AJ43)</f>
        <v>22.3414166876733</v>
      </c>
      <c r="M43" s="233" t="n">
        <v>5.2</v>
      </c>
      <c r="N43" s="129" t="n">
        <v>0</v>
      </c>
      <c r="O43" s="129" t="n">
        <v>0</v>
      </c>
      <c r="P43" s="149" t="n">
        <v>0</v>
      </c>
      <c r="Q43" s="126" t="n">
        <f aca="false">1.6*1.02</f>
        <v>1.632</v>
      </c>
      <c r="R43" s="126" t="n">
        <v>2.18</v>
      </c>
      <c r="S43" s="126" t="n">
        <v>0</v>
      </c>
      <c r="T43" s="91" t="n">
        <f aca="false">M43-(Q43+R43+S43)</f>
        <v>1.388</v>
      </c>
      <c r="U43" s="129" t="n">
        <v>0</v>
      </c>
      <c r="V43" s="129" t="n">
        <v>0</v>
      </c>
      <c r="W43" s="129" t="n">
        <f aca="false">M43-N43-O43-P43-Q43-R43-S43-T43+U43+V43</f>
        <v>0</v>
      </c>
      <c r="X43" s="129" t="n">
        <f aca="false">W43-AN43</f>
        <v>0</v>
      </c>
      <c r="Y43" s="130"/>
      <c r="Z43" s="129"/>
      <c r="AA43" s="130"/>
      <c r="AB43" s="130"/>
      <c r="AC43" s="102"/>
      <c r="AD43" s="129" t="n">
        <v>0</v>
      </c>
      <c r="AE43" s="233"/>
      <c r="AF43" s="234"/>
      <c r="AG43" s="129" t="n">
        <v>30</v>
      </c>
      <c r="AH43" s="102" t="n">
        <f aca="false">AH42-AG43</f>
        <v>2889</v>
      </c>
      <c r="AI43" s="102"/>
      <c r="AJ43" s="128" t="n">
        <f aca="false">N43+O43+P43+Q43+R43+S43+T43+W43+AD43+AG43</f>
        <v>35.2</v>
      </c>
      <c r="AK43" s="129" t="n">
        <f aca="false">IF(L43&lt;0,L43*-1,0)</f>
        <v>0</v>
      </c>
      <c r="AL43" s="129" t="n">
        <f aca="false">AJ43+AK43</f>
        <v>35.2</v>
      </c>
      <c r="AM43" s="205" t="n">
        <f aca="false">AM42+(W43*1.9835)</f>
        <v>5922.731</v>
      </c>
      <c r="AN43" s="130" t="n">
        <v>0</v>
      </c>
      <c r="AO43" s="206"/>
      <c r="AU43" s="207" t="n">
        <v>0</v>
      </c>
      <c r="AV43" s="102" t="n">
        <v>32</v>
      </c>
      <c r="AW43" s="200" t="n">
        <v>16</v>
      </c>
      <c r="AX43" s="208"/>
      <c r="AY43" s="235" t="n">
        <f aca="false">SUM(N43,P43:T43)</f>
        <v>5.2</v>
      </c>
    </row>
    <row r="44" customFormat="false" ht="12.95" hidden="false" customHeight="true" outlineLevel="0" collapsed="false">
      <c r="A44" s="173" t="n">
        <v>30</v>
      </c>
      <c r="B44" s="101" t="n">
        <v>6891.5</v>
      </c>
      <c r="C44" s="102" t="n">
        <v>253286</v>
      </c>
      <c r="D44" s="200" t="n">
        <f aca="false">C44-C43</f>
        <v>69</v>
      </c>
      <c r="E44" s="102" t="n">
        <f aca="false">C44-152000</f>
        <v>101286</v>
      </c>
      <c r="F44" s="231" t="n">
        <f aca="false">D44/$D$2</f>
        <v>34.7869926896899</v>
      </c>
      <c r="G44" s="1" t="n">
        <v>30</v>
      </c>
      <c r="H44" s="232" t="n">
        <v>0</v>
      </c>
      <c r="I44" s="129" t="n">
        <f aca="false">G44+H44</f>
        <v>30</v>
      </c>
      <c r="J44" s="130" t="n">
        <f aca="false">IF(L44&gt;0,L44,0)</f>
        <v>40.6869926896899</v>
      </c>
      <c r="K44" s="129" t="n">
        <f aca="false">I44+J44</f>
        <v>70.6869926896899</v>
      </c>
      <c r="L44" s="129" t="n">
        <f aca="false">F44-(I44-AJ44)</f>
        <v>40.6869926896899</v>
      </c>
      <c r="M44" s="233" t="n">
        <v>5.9</v>
      </c>
      <c r="N44" s="129" t="n">
        <v>0</v>
      </c>
      <c r="O44" s="129" t="n">
        <v>0</v>
      </c>
      <c r="P44" s="149" t="n">
        <v>0</v>
      </c>
      <c r="Q44" s="126" t="n">
        <f aca="false">1.6*1.02</f>
        <v>1.632</v>
      </c>
      <c r="R44" s="126" t="n">
        <v>2.21</v>
      </c>
      <c r="S44" s="126" t="n">
        <v>0</v>
      </c>
      <c r="T44" s="91" t="n">
        <f aca="false">M44-(Q44+R44+S44)</f>
        <v>2.058</v>
      </c>
      <c r="U44" s="129" t="n">
        <v>0</v>
      </c>
      <c r="V44" s="129" t="n">
        <v>0</v>
      </c>
      <c r="W44" s="129" t="n">
        <f aca="false">M44-N44-O44-P44-Q44-R44-S44-T44+U44+V44</f>
        <v>0</v>
      </c>
      <c r="X44" s="129" t="n">
        <f aca="false">W44-AN44</f>
        <v>0</v>
      </c>
      <c r="Y44" s="130"/>
      <c r="Z44" s="129"/>
      <c r="AA44" s="130"/>
      <c r="AB44" s="130"/>
      <c r="AC44" s="102"/>
      <c r="AD44" s="129" t="n">
        <v>0</v>
      </c>
      <c r="AE44" s="233"/>
      <c r="AF44" s="234"/>
      <c r="AG44" s="129" t="n">
        <v>30</v>
      </c>
      <c r="AH44" s="102" t="n">
        <f aca="false">AH43-AG44</f>
        <v>2859</v>
      </c>
      <c r="AI44" s="102"/>
      <c r="AJ44" s="128" t="n">
        <f aca="false">N44+O44+P44+Q44+R44+S44+T44+W44+AD44+AG44</f>
        <v>35.9</v>
      </c>
      <c r="AK44" s="129" t="n">
        <f aca="false">IF(L44&lt;0,L44*-1,0)</f>
        <v>0</v>
      </c>
      <c r="AL44" s="129" t="n">
        <f aca="false">AJ44+AK44</f>
        <v>35.9</v>
      </c>
      <c r="AM44" s="205" t="n">
        <f aca="false">AM43+(W44*1.9835)</f>
        <v>5922.731</v>
      </c>
      <c r="AN44" s="130" t="n">
        <v>0</v>
      </c>
      <c r="AO44" s="206"/>
      <c r="AU44" s="207" t="n">
        <v>0.25</v>
      </c>
      <c r="AV44" s="102" t="n">
        <v>27</v>
      </c>
      <c r="AW44" s="200" t="n">
        <v>21</v>
      </c>
      <c r="AX44" s="208"/>
      <c r="AY44" s="235" t="n">
        <f aca="false">SUM(N44,P44:T44)</f>
        <v>5.9</v>
      </c>
    </row>
    <row r="45" customFormat="false" ht="12.95" hidden="false" customHeight="true" outlineLevel="0" collapsed="false">
      <c r="A45" s="173" t="n">
        <v>31</v>
      </c>
      <c r="B45" s="101" t="n">
        <v>6891.52</v>
      </c>
      <c r="C45" s="102" t="n">
        <v>253355</v>
      </c>
      <c r="D45" s="200" t="n">
        <f aca="false">C45-C44</f>
        <v>69</v>
      </c>
      <c r="E45" s="102" t="n">
        <f aca="false">C45-152000</f>
        <v>101355</v>
      </c>
      <c r="F45" s="231" t="n">
        <f aca="false">D45/$D$2</f>
        <v>34.7869926896899</v>
      </c>
      <c r="G45" s="1" t="n">
        <v>30</v>
      </c>
      <c r="H45" s="232" t="n">
        <v>0</v>
      </c>
      <c r="I45" s="129" t="n">
        <f aca="false">G45+H45</f>
        <v>30</v>
      </c>
      <c r="J45" s="130" t="n">
        <f aca="false">IF(L45&gt;0,L45,0)</f>
        <v>39.7869926896899</v>
      </c>
      <c r="K45" s="129" t="n">
        <f aca="false">I45+J45</f>
        <v>69.7869926896899</v>
      </c>
      <c r="L45" s="129" t="n">
        <f aca="false">F45-(I45-AJ45)</f>
        <v>39.7869926896899</v>
      </c>
      <c r="M45" s="233" t="n">
        <v>5</v>
      </c>
      <c r="N45" s="129" t="n">
        <v>0</v>
      </c>
      <c r="O45" s="129" t="n">
        <v>0</v>
      </c>
      <c r="P45" s="149" t="n">
        <v>0</v>
      </c>
      <c r="Q45" s="126" t="n">
        <f aca="false">1.6*1.02</f>
        <v>1.632</v>
      </c>
      <c r="R45" s="126" t="n">
        <v>2.46</v>
      </c>
      <c r="S45" s="126" t="n">
        <v>0</v>
      </c>
      <c r="T45" s="91" t="n">
        <f aca="false">M45-(Q45+R45+S45)</f>
        <v>0.908</v>
      </c>
      <c r="U45" s="129" t="n">
        <v>0</v>
      </c>
      <c r="V45" s="129" t="n">
        <v>0</v>
      </c>
      <c r="W45" s="129" t="n">
        <f aca="false">M45-N45-O45-P45-Q45-R45-S45-T45+U45+V45</f>
        <v>0</v>
      </c>
      <c r="X45" s="129" t="n">
        <f aca="false">W45-AN45</f>
        <v>0</v>
      </c>
      <c r="Y45" s="130"/>
      <c r="Z45" s="129"/>
      <c r="AA45" s="130"/>
      <c r="AB45" s="130"/>
      <c r="AC45" s="102"/>
      <c r="AD45" s="129" t="n">
        <v>0</v>
      </c>
      <c r="AE45" s="233"/>
      <c r="AF45" s="234"/>
      <c r="AG45" s="129" t="n">
        <v>30</v>
      </c>
      <c r="AH45" s="102" t="n">
        <f aca="false">AH44-AG45</f>
        <v>2829</v>
      </c>
      <c r="AI45" s="102"/>
      <c r="AJ45" s="128" t="n">
        <f aca="false">N45+O45+P45+Q45+R45+S45+T45+W45+AD45+AG45</f>
        <v>35</v>
      </c>
      <c r="AK45" s="129" t="n">
        <f aca="false">IF(L45&lt;0,L45*-1,0)</f>
        <v>0</v>
      </c>
      <c r="AL45" s="129" t="n">
        <f aca="false">AJ45+AK45</f>
        <v>35</v>
      </c>
      <c r="AM45" s="205" t="n">
        <f aca="false">AM44+(W45*1.9835)</f>
        <v>5922.731</v>
      </c>
      <c r="AN45" s="130" t="n">
        <v>0</v>
      </c>
      <c r="AO45" s="206"/>
      <c r="AU45" s="207" t="n">
        <v>0</v>
      </c>
      <c r="AV45" s="102" t="n">
        <v>31</v>
      </c>
      <c r="AW45" s="200" t="n">
        <v>3</v>
      </c>
      <c r="AX45" s="208"/>
      <c r="AY45" s="235" t="n">
        <f aca="false">SUM(N45,P45:T45)</f>
        <v>5</v>
      </c>
    </row>
    <row r="46" customFormat="false" ht="3" hidden="false" customHeight="true" outlineLevel="0" collapsed="false">
      <c r="A46" s="216"/>
      <c r="B46" s="237"/>
      <c r="C46" s="218"/>
      <c r="D46" s="219"/>
      <c r="E46" s="218"/>
      <c r="F46" s="220"/>
      <c r="G46" s="219"/>
      <c r="H46" s="221"/>
      <c r="I46" s="219"/>
      <c r="J46" s="219"/>
      <c r="K46" s="219"/>
      <c r="L46" s="219"/>
      <c r="M46" s="219"/>
      <c r="N46" s="219"/>
      <c r="O46" s="219"/>
      <c r="P46" s="223"/>
      <c r="Q46" s="219"/>
      <c r="R46" s="219"/>
      <c r="S46" s="219"/>
      <c r="T46" s="224"/>
      <c r="U46" s="219"/>
      <c r="V46" s="219"/>
      <c r="W46" s="219" t="n">
        <f aca="false">M46-N46-O46-Q46-R46-S46+U46+V46</f>
        <v>0</v>
      </c>
      <c r="X46" s="219" t="n">
        <f aca="false">N46-O46-P46-R46-S46-T46+V46+W46</f>
        <v>0</v>
      </c>
      <c r="Y46" s="225"/>
      <c r="Z46" s="219"/>
      <c r="AA46" s="225"/>
      <c r="AB46" s="225"/>
      <c r="AC46" s="218"/>
      <c r="AD46" s="219"/>
      <c r="AE46" s="222"/>
      <c r="AF46" s="226"/>
      <c r="AG46" s="238"/>
      <c r="AH46" s="219"/>
      <c r="AI46" s="219"/>
      <c r="AJ46" s="219" t="n">
        <f aca="false">N46+O46+Q46+R46+S46+W46+AD46+AG46</f>
        <v>0</v>
      </c>
      <c r="AK46" s="219"/>
      <c r="AL46" s="219"/>
      <c r="AM46" s="227"/>
      <c r="AN46" s="225"/>
      <c r="AO46" s="228"/>
      <c r="AP46" s="229"/>
      <c r="AQ46" s="229"/>
      <c r="AR46" s="229"/>
      <c r="AS46" s="229"/>
      <c r="AT46" s="228"/>
      <c r="AU46" s="230"/>
      <c r="AV46" s="228"/>
      <c r="AW46" s="228" t="s">
        <v>111</v>
      </c>
      <c r="AX46" s="239"/>
      <c r="AY46" s="240" t="s">
        <v>111</v>
      </c>
    </row>
    <row r="47" customFormat="false" ht="12.95" hidden="false" customHeight="true" outlineLevel="0" collapsed="false">
      <c r="A47" s="175" t="s">
        <v>99</v>
      </c>
      <c r="B47" s="198"/>
      <c r="C47" s="102"/>
      <c r="D47" s="102"/>
      <c r="E47" s="102"/>
      <c r="F47" s="199" t="n">
        <f aca="false">SUM(F15:F45)</f>
        <v>-1494.83236702798</v>
      </c>
      <c r="G47" s="102" t="n">
        <f aca="false">SUM(G15:G45)</f>
        <v>792</v>
      </c>
      <c r="H47" s="102" t="n">
        <f aca="false">SUM(H15:H45)</f>
        <v>0</v>
      </c>
      <c r="I47" s="102" t="n">
        <f aca="false">SUM(I15:I45)</f>
        <v>792</v>
      </c>
      <c r="J47" s="102" t="n">
        <f aca="false">SUM(J15:J45)</f>
        <v>395.939324426519</v>
      </c>
      <c r="K47" s="102" t="n">
        <f aca="false">SUM(K15:K45)</f>
        <v>1187.93932442652</v>
      </c>
      <c r="L47" s="102" t="n">
        <f aca="false">SUM(L15:L45)</f>
        <v>334.567632972019</v>
      </c>
      <c r="M47" s="201" t="n">
        <f aca="false">SUM(M15:M46)</f>
        <v>119.4</v>
      </c>
      <c r="N47" s="102" t="n">
        <f aca="false">SUM(N15:N45)</f>
        <v>0</v>
      </c>
      <c r="O47" s="102" t="n">
        <f aca="false">SUM(O15:O45)</f>
        <v>0</v>
      </c>
      <c r="P47" s="149"/>
      <c r="Q47" s="102" t="n">
        <f aca="false">SUM(Q15:Q45)</f>
        <v>50.592</v>
      </c>
      <c r="R47" s="102" t="n">
        <f aca="false">SUM(R15:R45)</f>
        <v>69.92</v>
      </c>
      <c r="S47" s="102" t="n">
        <f aca="false">SUM(S15:S45)</f>
        <v>0</v>
      </c>
      <c r="T47" s="202" t="n">
        <f aca="false">SUM(T15:T45)</f>
        <v>-1.11200000000001</v>
      </c>
      <c r="U47" s="102" t="n">
        <f aca="false">SUM(U15:U45)</f>
        <v>1585</v>
      </c>
      <c r="V47" s="102" t="n">
        <f aca="false">SUM(V15:V45)</f>
        <v>0</v>
      </c>
      <c r="W47" s="102" t="n">
        <f aca="false">SUM(W15:W45)</f>
        <v>1585</v>
      </c>
      <c r="X47" s="102" t="n">
        <f aca="false">SUM(X15:X45)</f>
        <v>1585</v>
      </c>
      <c r="Y47" s="130"/>
      <c r="Z47" s="102"/>
      <c r="AA47" s="130"/>
      <c r="AB47" s="130"/>
      <c r="AC47" s="102"/>
      <c r="AD47" s="102"/>
      <c r="AE47" s="201"/>
      <c r="AF47" s="203"/>
      <c r="AG47" s="102" t="n">
        <f aca="false">SUM(AG15:AG46)</f>
        <v>917</v>
      </c>
      <c r="AH47" s="102"/>
      <c r="AI47" s="78" t="n">
        <f aca="false">SUM(AI16:AI45)</f>
        <v>0</v>
      </c>
      <c r="AJ47" s="102" t="n">
        <f aca="false">SUM(AJ15:AJ46)</f>
        <v>2621.4</v>
      </c>
      <c r="AK47" s="102" t="n">
        <f aca="false">SUM(AK15:AK45)</f>
        <v>61.3716914544996</v>
      </c>
      <c r="AL47" s="102" t="n">
        <f aca="false">SUM(AL15:AL45)</f>
        <v>2682.7716914545</v>
      </c>
      <c r="AM47" s="205"/>
      <c r="AN47" s="130" t="n">
        <f aca="false">SUM(AN15:AN45)</f>
        <v>0</v>
      </c>
      <c r="AO47" s="206"/>
      <c r="AU47" s="207" t="n">
        <f aca="false">SUM(AU15:AU45)</f>
        <v>1.24</v>
      </c>
      <c r="AV47" s="200" t="n">
        <f aca="false">AVERAGE(AV15:AV45)</f>
        <v>33.6129032258064</v>
      </c>
      <c r="AW47" s="200" t="n">
        <f aca="false">AVERAGE(AW15:AW45)</f>
        <v>8.54838709677419</v>
      </c>
      <c r="AX47" s="208" t="s">
        <v>100</v>
      </c>
      <c r="AY47" s="241" t="n">
        <f aca="false">SUM(AY15:AY45)</f>
        <v>119.4</v>
      </c>
    </row>
    <row r="48" customFormat="false" ht="12.95" hidden="false" customHeight="true" outlineLevel="0" collapsed="false">
      <c r="A48" s="175" t="s">
        <v>101</v>
      </c>
      <c r="B48" s="198"/>
      <c r="C48" s="102"/>
      <c r="D48" s="102" t="n">
        <f aca="false">SUM(D15:D45)</f>
        <v>-2965</v>
      </c>
      <c r="E48" s="102"/>
      <c r="F48" s="199" t="n">
        <f aca="false">F47*$D$2</f>
        <v>-2965</v>
      </c>
      <c r="G48" s="102" t="n">
        <f aca="false">G47*$D$2</f>
        <v>1570.932</v>
      </c>
      <c r="H48" s="102" t="n">
        <f aca="false">H47*$D$2</f>
        <v>0</v>
      </c>
      <c r="I48" s="102" t="n">
        <f aca="false">I47*$D$2</f>
        <v>1570.932</v>
      </c>
      <c r="J48" s="102" t="n">
        <f aca="false">J47*$D$2</f>
        <v>785.34565</v>
      </c>
      <c r="K48" s="102" t="n">
        <f aca="false">K47*$D$2</f>
        <v>2356.27765</v>
      </c>
      <c r="L48" s="102" t="n">
        <f aca="false">L47*$D$2</f>
        <v>663.6149</v>
      </c>
      <c r="M48" s="201" t="n">
        <f aca="false">M47*$D$2</f>
        <v>236.8299</v>
      </c>
      <c r="N48" s="102" t="n">
        <f aca="false">N47*$D$2</f>
        <v>0</v>
      </c>
      <c r="O48" s="102" t="n">
        <f aca="false">O47*$D$2</f>
        <v>0</v>
      </c>
      <c r="P48" s="149"/>
      <c r="Q48" s="102" t="n">
        <f aca="false">Q47*$D$2</f>
        <v>100.349232</v>
      </c>
      <c r="R48" s="102" t="n">
        <f aca="false">R47*$D$2</f>
        <v>138.68632</v>
      </c>
      <c r="S48" s="102" t="n">
        <f aca="false">S47*$D$2</f>
        <v>0</v>
      </c>
      <c r="T48" s="202" t="n">
        <f aca="false">T47*$D$2</f>
        <v>-2.20565200000001</v>
      </c>
      <c r="U48" s="102" t="n">
        <f aca="false">U47*$D$2</f>
        <v>3143.8475</v>
      </c>
      <c r="V48" s="102" t="n">
        <f aca="false">V47*$D$2</f>
        <v>0</v>
      </c>
      <c r="W48" s="102" t="n">
        <f aca="false">W47*$D$2</f>
        <v>3143.8475</v>
      </c>
      <c r="X48" s="102" t="n">
        <f aca="false">X47*$D$2</f>
        <v>3143.8475</v>
      </c>
      <c r="Y48" s="130"/>
      <c r="Z48" s="102"/>
      <c r="AA48" s="130"/>
      <c r="AB48" s="130"/>
      <c r="AC48" s="102"/>
      <c r="AD48" s="102"/>
      <c r="AE48" s="201"/>
      <c r="AF48" s="203"/>
      <c r="AG48" s="102" t="n">
        <f aca="false">AG47*$D$2</f>
        <v>1818.8695</v>
      </c>
      <c r="AH48" s="102"/>
      <c r="AI48" s="78" t="n">
        <f aca="false">AI47*$D$2</f>
        <v>0</v>
      </c>
      <c r="AJ48" s="102" t="n">
        <f aca="false">AJ47*$D$2</f>
        <v>5199.5469</v>
      </c>
      <c r="AK48" s="102" t="n">
        <f aca="false">AK47*$D$2</f>
        <v>121.73075</v>
      </c>
      <c r="AL48" s="102" t="n">
        <f aca="false">AL47*$D$2</f>
        <v>5321.27765</v>
      </c>
      <c r="AM48" s="205"/>
      <c r="AN48" s="130" t="n">
        <f aca="false">AN47*$D$2</f>
        <v>0</v>
      </c>
      <c r="AO48" s="206"/>
      <c r="AU48" s="207"/>
      <c r="AV48" s="200" t="n">
        <f aca="false">MAX(AV15:AV45)</f>
        <v>47</v>
      </c>
      <c r="AW48" s="200" t="n">
        <f aca="false">MAX(AW15:AW45)</f>
        <v>26</v>
      </c>
      <c r="AX48" s="208" t="s">
        <v>102</v>
      </c>
      <c r="AY48" s="241" t="n">
        <f aca="false">AY47*$D$2</f>
        <v>236.8299</v>
      </c>
    </row>
    <row r="49" customFormat="false" ht="3" hidden="false" customHeight="true" outlineLevel="0" collapsed="false">
      <c r="A49" s="216"/>
      <c r="B49" s="237"/>
      <c r="C49" s="218"/>
      <c r="D49" s="218"/>
      <c r="E49" s="218"/>
      <c r="F49" s="242"/>
      <c r="G49" s="218"/>
      <c r="H49" s="218"/>
      <c r="I49" s="218"/>
      <c r="J49" s="218"/>
      <c r="K49" s="218"/>
      <c r="L49" s="218"/>
      <c r="M49" s="243"/>
      <c r="N49" s="218"/>
      <c r="O49" s="218"/>
      <c r="P49" s="223"/>
      <c r="Q49" s="218"/>
      <c r="R49" s="218"/>
      <c r="S49" s="218"/>
      <c r="T49" s="224"/>
      <c r="U49" s="218"/>
      <c r="V49" s="218"/>
      <c r="W49" s="218"/>
      <c r="X49" s="218"/>
      <c r="Y49" s="225"/>
      <c r="Z49" s="218"/>
      <c r="AA49" s="225"/>
      <c r="AB49" s="225"/>
      <c r="AC49" s="218"/>
      <c r="AD49" s="218"/>
      <c r="AE49" s="243"/>
      <c r="AF49" s="244"/>
      <c r="AG49" s="218"/>
      <c r="AH49" s="219"/>
      <c r="AI49" s="114"/>
      <c r="AJ49" s="218"/>
      <c r="AK49" s="218"/>
      <c r="AL49" s="218"/>
      <c r="AM49" s="245"/>
      <c r="AN49" s="225"/>
      <c r="AO49" s="218"/>
      <c r="AP49" s="246"/>
      <c r="AQ49" s="246"/>
      <c r="AR49" s="229"/>
      <c r="AS49" s="229"/>
      <c r="AT49" s="228"/>
      <c r="AU49" s="245"/>
      <c r="AV49" s="218"/>
      <c r="AW49" s="218"/>
      <c r="AX49" s="242"/>
      <c r="AY49" s="247"/>
    </row>
    <row r="50" customFormat="false" ht="12.95" hidden="false" customHeight="true" outlineLevel="0" collapsed="false">
      <c r="A50" s="175" t="s">
        <v>103</v>
      </c>
      <c r="B50" s="198"/>
      <c r="C50" s="102"/>
      <c r="D50" s="102"/>
      <c r="E50" s="102"/>
      <c r="F50" s="199"/>
      <c r="G50" s="102"/>
      <c r="H50" s="102"/>
      <c r="I50" s="102"/>
      <c r="J50" s="102"/>
      <c r="K50" s="102"/>
      <c r="L50" s="102"/>
      <c r="M50" s="201"/>
      <c r="N50" s="102"/>
      <c r="O50" s="102"/>
      <c r="P50" s="149"/>
      <c r="Q50" s="102"/>
      <c r="R50" s="102"/>
      <c r="S50" s="102"/>
      <c r="T50" s="202"/>
      <c r="U50" s="102"/>
      <c r="V50" s="102"/>
      <c r="W50" s="102"/>
      <c r="X50" s="102"/>
      <c r="Y50" s="130"/>
      <c r="Z50" s="102"/>
      <c r="AA50" s="130"/>
      <c r="AB50" s="130"/>
      <c r="AC50" s="102"/>
      <c r="AD50" s="102"/>
      <c r="AE50" s="201"/>
      <c r="AF50" s="203"/>
      <c r="AG50" s="102"/>
      <c r="AH50" s="102"/>
      <c r="AI50" s="78"/>
      <c r="AJ50" s="102"/>
      <c r="AK50" s="102"/>
      <c r="AL50" s="102"/>
      <c r="AM50" s="205"/>
      <c r="AN50" s="130"/>
      <c r="AO50" s="206"/>
      <c r="AU50" s="207"/>
      <c r="AV50" s="200" t="n">
        <f aca="false">MIN(AV15:AV45)</f>
        <v>23</v>
      </c>
      <c r="AW50" s="200" t="n">
        <f aca="false">MIN(AW15:AW45)</f>
        <v>-11</v>
      </c>
      <c r="AX50" s="208" t="s">
        <v>104</v>
      </c>
      <c r="AY50" s="241"/>
    </row>
    <row r="51" customFormat="false" ht="12.95" hidden="false" customHeight="true" outlineLevel="0" collapsed="false">
      <c r="A51" s="175" t="s">
        <v>105</v>
      </c>
      <c r="B51" s="198"/>
      <c r="C51" s="102"/>
      <c r="D51" s="102"/>
      <c r="E51" s="102"/>
      <c r="F51" s="199"/>
      <c r="G51" s="102"/>
      <c r="H51" s="102"/>
      <c r="I51" s="102"/>
      <c r="J51" s="102"/>
      <c r="K51" s="102"/>
      <c r="L51" s="102"/>
      <c r="M51" s="201"/>
      <c r="N51" s="102"/>
      <c r="O51" s="102"/>
      <c r="P51" s="149"/>
      <c r="Q51" s="102"/>
      <c r="R51" s="102"/>
      <c r="S51" s="102"/>
      <c r="T51" s="202"/>
      <c r="U51" s="102"/>
      <c r="V51" s="102"/>
      <c r="W51" s="102"/>
      <c r="X51" s="102"/>
      <c r="Y51" s="130"/>
      <c r="Z51" s="102"/>
      <c r="AA51" s="130"/>
      <c r="AB51" s="130"/>
      <c r="AC51" s="102"/>
      <c r="AD51" s="102"/>
      <c r="AE51" s="201"/>
      <c r="AF51" s="203"/>
      <c r="AG51" s="102"/>
      <c r="AH51" s="102"/>
      <c r="AI51" s="78"/>
      <c r="AJ51" s="102"/>
      <c r="AK51" s="102"/>
      <c r="AL51" s="102"/>
      <c r="AM51" s="205"/>
      <c r="AN51" s="130"/>
      <c r="AO51" s="206"/>
      <c r="AU51" s="207"/>
      <c r="AV51" s="200"/>
      <c r="AW51" s="200"/>
      <c r="AX51" s="208"/>
      <c r="AY51" s="241"/>
    </row>
    <row r="52" customFormat="false" ht="3" hidden="false" customHeight="true" outlineLevel="0" collapsed="false">
      <c r="A52" s="216"/>
      <c r="B52" s="237"/>
      <c r="C52" s="218"/>
      <c r="D52" s="218"/>
      <c r="E52" s="218"/>
      <c r="F52" s="242"/>
      <c r="G52" s="218"/>
      <c r="H52" s="228"/>
      <c r="I52" s="218"/>
      <c r="J52" s="218"/>
      <c r="K52" s="218"/>
      <c r="L52" s="218"/>
      <c r="M52" s="243"/>
      <c r="N52" s="218"/>
      <c r="O52" s="218"/>
      <c r="P52" s="223"/>
      <c r="Q52" s="218"/>
      <c r="R52" s="218"/>
      <c r="S52" s="218"/>
      <c r="T52" s="224"/>
      <c r="U52" s="218"/>
      <c r="V52" s="218"/>
      <c r="W52" s="218"/>
      <c r="X52" s="218"/>
      <c r="Y52" s="225"/>
      <c r="Z52" s="218"/>
      <c r="AA52" s="225"/>
      <c r="AB52" s="225"/>
      <c r="AC52" s="218"/>
      <c r="AD52" s="218"/>
      <c r="AE52" s="243"/>
      <c r="AF52" s="244"/>
      <c r="AG52" s="218"/>
      <c r="AH52" s="218"/>
      <c r="AI52" s="114"/>
      <c r="AJ52" s="218"/>
      <c r="AK52" s="218"/>
      <c r="AL52" s="218"/>
      <c r="AM52" s="230"/>
      <c r="AN52" s="225"/>
      <c r="AO52" s="248"/>
      <c r="AP52" s="249"/>
      <c r="AQ52" s="249"/>
      <c r="AR52" s="229"/>
      <c r="AS52" s="229"/>
      <c r="AT52" s="228"/>
      <c r="AU52" s="230"/>
      <c r="AV52" s="248"/>
      <c r="AW52" s="248"/>
      <c r="AX52" s="250"/>
      <c r="AY52" s="247"/>
    </row>
    <row r="53" customFormat="false" ht="12.95" hidden="false" customHeight="true" outlineLevel="0" collapsed="false">
      <c r="A53" s="175" t="s">
        <v>106</v>
      </c>
      <c r="B53" s="198"/>
      <c r="C53" s="102"/>
      <c r="D53" s="102"/>
      <c r="E53" s="102"/>
      <c r="F53" s="199" t="n">
        <f aca="false">F13+F47</f>
        <v>-3018.90597428787</v>
      </c>
      <c r="G53" s="102" t="n">
        <f aca="false">G13+G47</f>
        <v>2041</v>
      </c>
      <c r="H53" s="200" t="n">
        <f aca="false">H13+H47</f>
        <v>0</v>
      </c>
      <c r="I53" s="102" t="n">
        <f aca="false">I13+I47</f>
        <v>2041</v>
      </c>
      <c r="J53" s="102" t="n">
        <f aca="false">J13+J47</f>
        <v>459.880640282329</v>
      </c>
      <c r="K53" s="102" t="n">
        <f aca="false">K13+K47</f>
        <v>2500.88064028233</v>
      </c>
      <c r="L53" s="102" t="n">
        <f aca="false">L13+L47</f>
        <v>-42.1059742878749</v>
      </c>
      <c r="M53" s="201" t="n">
        <f aca="false">M13+M47</f>
        <v>225.3</v>
      </c>
      <c r="N53" s="102" t="n">
        <f aca="false">N13+N47</f>
        <v>0</v>
      </c>
      <c r="O53" s="102" t="n">
        <v>0</v>
      </c>
      <c r="P53" s="149"/>
      <c r="Q53" s="102" t="n">
        <f aca="false">Q13+Q47</f>
        <v>106.9572</v>
      </c>
      <c r="R53" s="102" t="n">
        <f aca="false">R13+R47</f>
        <v>137.91</v>
      </c>
      <c r="S53" s="102" t="n">
        <f aca="false">S13+S47</f>
        <v>0</v>
      </c>
      <c r="T53" s="202" t="n">
        <f aca="false">T13+T47</f>
        <v>-19.92068</v>
      </c>
      <c r="U53" s="102" t="n">
        <f aca="false">U13+U47</f>
        <v>2986</v>
      </c>
      <c r="V53" s="102" t="n">
        <f aca="false">V13+V47</f>
        <v>40.5</v>
      </c>
      <c r="W53" s="102" t="n">
        <f aca="false">W13+W47</f>
        <v>3026.08232</v>
      </c>
      <c r="X53" s="102" t="n">
        <f aca="false">X13+X47</f>
        <v>2985.58232</v>
      </c>
      <c r="Y53" s="130"/>
      <c r="Z53" s="102"/>
      <c r="AA53" s="130"/>
      <c r="AB53" s="130"/>
      <c r="AC53" s="102"/>
      <c r="AD53" s="102"/>
      <c r="AE53" s="201"/>
      <c r="AF53" s="203"/>
      <c r="AG53" s="102" t="n">
        <f aca="false">AG13+AG47</f>
        <v>1766</v>
      </c>
      <c r="AH53" s="102" t="n">
        <f aca="false">AH45</f>
        <v>2829</v>
      </c>
      <c r="AI53" s="78" t="n">
        <f aca="false">AI14+AI47</f>
        <v>0</v>
      </c>
      <c r="AJ53" s="102" t="n">
        <f aca="false">AJ13+AJ47</f>
        <v>5017.8</v>
      </c>
      <c r="AK53" s="102" t="n">
        <f aca="false">AK13+AK47</f>
        <v>501.986614570204</v>
      </c>
      <c r="AL53" s="102" t="n">
        <f aca="false">AL13+AL47</f>
        <v>5519.7866145702</v>
      </c>
      <c r="AM53" s="205"/>
      <c r="AN53" s="130" t="n">
        <f aca="false">AN13+AN47</f>
        <v>40.5</v>
      </c>
      <c r="AO53" s="206"/>
      <c r="AU53" s="207" t="n">
        <f aca="false">AU13+AU47</f>
        <v>1.7</v>
      </c>
      <c r="AV53" s="200"/>
      <c r="AW53" s="200"/>
      <c r="AX53" s="208"/>
      <c r="AY53" s="241" t="n">
        <f aca="false">AY13+AY47</f>
        <v>225.71768</v>
      </c>
    </row>
    <row r="54" customFormat="false" ht="12.95" hidden="false" customHeight="true" outlineLevel="0" collapsed="false">
      <c r="A54" s="175" t="s">
        <v>107</v>
      </c>
      <c r="B54" s="198"/>
      <c r="C54" s="102"/>
      <c r="D54" s="102" t="n">
        <f aca="false">D13+D48</f>
        <v>-5988</v>
      </c>
      <c r="E54" s="102" t="n">
        <f aca="false">E45</f>
        <v>101355</v>
      </c>
      <c r="F54" s="199" t="n">
        <f aca="false">F53*$D$2</f>
        <v>-5988</v>
      </c>
      <c r="G54" s="102" t="n">
        <f aca="false">G53*$D$2</f>
        <v>4048.3235</v>
      </c>
      <c r="H54" s="200" t="n">
        <f aca="false">H53*$D$2</f>
        <v>0</v>
      </c>
      <c r="I54" s="102" t="n">
        <f aca="false">I53*$D$2</f>
        <v>4048.3235</v>
      </c>
      <c r="J54" s="102" t="n">
        <f aca="false">J53*$D$2</f>
        <v>912.17325</v>
      </c>
      <c r="K54" s="102" t="n">
        <f aca="false">K53*$D$2</f>
        <v>4960.49675</v>
      </c>
      <c r="L54" s="102" t="n">
        <f aca="false">L53*$D$2</f>
        <v>-83.5171999999998</v>
      </c>
      <c r="M54" s="201" t="n">
        <f aca="false">M53*$D$2</f>
        <v>446.88255</v>
      </c>
      <c r="N54" s="102" t="n">
        <f aca="false">N53*$D$2</f>
        <v>0</v>
      </c>
      <c r="O54" s="102" t="n">
        <f aca="false">O53*$D$2</f>
        <v>0</v>
      </c>
      <c r="P54" s="149"/>
      <c r="Q54" s="102" t="n">
        <f aca="false">Q53*$D$2</f>
        <v>212.1496062</v>
      </c>
      <c r="R54" s="102" t="n">
        <f aca="false">R53*$D$2</f>
        <v>273.544485</v>
      </c>
      <c r="S54" s="211" t="n">
        <f aca="false">S53*$D$2</f>
        <v>0</v>
      </c>
      <c r="T54" s="212" t="n">
        <f aca="false">T53*$D$2</f>
        <v>-39.51266878</v>
      </c>
      <c r="U54" s="102" t="n">
        <f aca="false">U53*$D$2</f>
        <v>5922.731</v>
      </c>
      <c r="V54" s="102" t="n">
        <f aca="false">V53*$D$2</f>
        <v>80.33175</v>
      </c>
      <c r="W54" s="102" t="n">
        <f aca="false">W53*$D$2</f>
        <v>6002.23428172</v>
      </c>
      <c r="X54" s="102" t="n">
        <f aca="false">X53*$D$2</f>
        <v>5921.90253172</v>
      </c>
      <c r="Y54" s="130"/>
      <c r="Z54" s="102"/>
      <c r="AA54" s="130"/>
      <c r="AB54" s="130"/>
      <c r="AC54" s="102"/>
      <c r="AD54" s="102"/>
      <c r="AE54" s="251"/>
      <c r="AF54" s="252"/>
      <c r="AG54" s="102" t="n">
        <f aca="false">AG53*$D$2</f>
        <v>3502.861</v>
      </c>
      <c r="AH54" s="102" t="n">
        <f aca="false">AH53*$D$2</f>
        <v>5611.3215</v>
      </c>
      <c r="AI54" s="78" t="n">
        <f aca="false">AI53*$D$2</f>
        <v>0</v>
      </c>
      <c r="AJ54" s="102" t="n">
        <f aca="false">AJ53*$D$2</f>
        <v>9952.8063</v>
      </c>
      <c r="AK54" s="102" t="n">
        <f aca="false">AK53*$D$2</f>
        <v>995.69045</v>
      </c>
      <c r="AL54" s="102" t="n">
        <f aca="false">AL53*$D$2</f>
        <v>10948.49675</v>
      </c>
      <c r="AM54" s="205" t="n">
        <f aca="false">AM45</f>
        <v>5922.731</v>
      </c>
      <c r="AN54" s="130" t="n">
        <f aca="false">AN53*$D$2</f>
        <v>80.33175</v>
      </c>
      <c r="AO54" s="206"/>
      <c r="AU54" s="207"/>
      <c r="AV54" s="200"/>
      <c r="AW54" s="200"/>
      <c r="AX54" s="208"/>
      <c r="AY54" s="214" t="n">
        <f aca="false">AY53*$D$2</f>
        <v>447.71101828</v>
      </c>
    </row>
    <row r="55" customFormat="false" ht="3" hidden="false" customHeight="true" outlineLevel="0" collapsed="false">
      <c r="A55" s="216"/>
      <c r="B55" s="237"/>
      <c r="C55" s="218"/>
      <c r="D55" s="219"/>
      <c r="E55" s="218"/>
      <c r="F55" s="220"/>
      <c r="G55" s="219"/>
      <c r="H55" s="221"/>
      <c r="I55" s="219"/>
      <c r="J55" s="219"/>
      <c r="K55" s="219"/>
      <c r="L55" s="219"/>
      <c r="M55" s="222"/>
      <c r="N55" s="219"/>
      <c r="O55" s="219"/>
      <c r="P55" s="223"/>
      <c r="Q55" s="219"/>
      <c r="R55" s="219"/>
      <c r="S55" s="226"/>
      <c r="T55" s="224"/>
      <c r="U55" s="219"/>
      <c r="V55" s="219"/>
      <c r="W55" s="219"/>
      <c r="X55" s="219"/>
      <c r="Y55" s="225"/>
      <c r="Z55" s="219"/>
      <c r="AA55" s="225"/>
      <c r="AB55" s="225"/>
      <c r="AC55" s="218"/>
      <c r="AD55" s="219"/>
      <c r="AE55" s="222"/>
      <c r="AF55" s="226"/>
      <c r="AG55" s="219"/>
      <c r="AH55" s="218"/>
      <c r="AI55" s="218"/>
      <c r="AJ55" s="219"/>
      <c r="AK55" s="219"/>
      <c r="AL55" s="219"/>
      <c r="AM55" s="237"/>
      <c r="AN55" s="225"/>
      <c r="AO55" s="219"/>
      <c r="AP55" s="253"/>
      <c r="AQ55" s="253"/>
      <c r="AR55" s="229"/>
      <c r="AS55" s="229"/>
      <c r="AT55" s="228"/>
      <c r="AU55" s="237"/>
      <c r="AV55" s="219"/>
      <c r="AW55" s="219"/>
      <c r="AX55" s="219"/>
      <c r="AY55" s="254"/>
    </row>
    <row r="56" customFormat="false" ht="11.1" hidden="false" customHeight="true" outlineLevel="0" collapsed="false">
      <c r="A56" s="175"/>
      <c r="B56" s="255"/>
      <c r="D56" s="175"/>
      <c r="F56" s="175"/>
      <c r="G56" s="175"/>
      <c r="I56" s="175"/>
      <c r="J56" s="175"/>
      <c r="K56" s="175"/>
      <c r="L56" s="175"/>
      <c r="M56" s="175"/>
      <c r="N56" s="175"/>
      <c r="O56" s="175"/>
      <c r="Q56" s="175"/>
      <c r="R56" s="175"/>
      <c r="S56" s="175"/>
      <c r="U56" s="175"/>
      <c r="V56" s="175"/>
      <c r="W56" s="175"/>
      <c r="X56" s="175"/>
      <c r="Z56" s="175"/>
      <c r="AC56" s="167"/>
      <c r="AD56" s="175"/>
      <c r="AE56" s="175"/>
      <c r="AF56" s="175"/>
      <c r="AG56" s="175"/>
      <c r="AH56" s="167"/>
      <c r="AI56" s="210"/>
      <c r="AJ56" s="175"/>
      <c r="AK56" s="175"/>
      <c r="AL56" s="175"/>
      <c r="AM56" s="173"/>
      <c r="AN56" s="256"/>
      <c r="AW56" s="172"/>
      <c r="AX56" s="172"/>
    </row>
    <row r="57" customFormat="false" ht="11.1" hidden="false" customHeight="true" outlineLevel="0" collapsed="false">
      <c r="A57" s="175"/>
      <c r="B57" s="257"/>
      <c r="F57" s="175"/>
      <c r="G57" s="175"/>
      <c r="I57" s="176"/>
      <c r="J57" s="175"/>
      <c r="K57" s="164"/>
      <c r="L57" s="175"/>
      <c r="M57" s="175"/>
      <c r="N57" s="175"/>
      <c r="O57" s="175"/>
      <c r="Q57" s="175"/>
      <c r="R57" s="175"/>
      <c r="S57" s="175"/>
      <c r="U57" s="175"/>
      <c r="V57" s="175"/>
      <c r="W57" s="175"/>
      <c r="X57" s="175"/>
      <c r="Z57" s="175"/>
      <c r="AC57" s="167"/>
      <c r="AD57" s="175"/>
      <c r="AE57" s="175"/>
      <c r="AF57" s="175"/>
      <c r="AG57" s="175"/>
      <c r="AH57" s="167"/>
      <c r="AI57" s="210"/>
      <c r="AJ57" s="175"/>
      <c r="AK57" s="175"/>
      <c r="AL57" s="175"/>
      <c r="AM57" s="173"/>
      <c r="AN57" s="256"/>
      <c r="AW57" s="172"/>
      <c r="AX57" s="172"/>
    </row>
    <row r="58" customFormat="false" ht="11.1" hidden="false" customHeight="true" outlineLevel="0" collapsed="false">
      <c r="D58" s="167"/>
      <c r="Q58" s="169"/>
      <c r="R58" s="169"/>
      <c r="S58" s="169"/>
      <c r="W58" s="166"/>
      <c r="X58" s="166"/>
      <c r="Z58" s="166"/>
      <c r="AC58" s="167"/>
      <c r="AG58" s="166"/>
      <c r="AH58" s="167"/>
      <c r="AI58" s="210"/>
      <c r="AL58" s="166"/>
      <c r="AM58" s="173"/>
      <c r="AN58" s="256"/>
      <c r="AW58" s="172"/>
      <c r="AX58" s="172"/>
    </row>
    <row r="59" customFormat="false" ht="11.1" hidden="false" customHeight="true" outlineLevel="0" collapsed="false">
      <c r="B59" s="8"/>
      <c r="D59" s="167"/>
    </row>
    <row r="60" customFormat="false" ht="11.1" hidden="false" customHeight="true" outlineLevel="0" collapsed="false">
      <c r="G60" s="258"/>
    </row>
  </sheetData>
  <mergeCells count="2">
    <mergeCell ref="K2:AC2"/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J15" activePane="bottomRight" state="frozen"/>
      <selection pane="topLeft" activeCell="A1" activeCellId="0" sqref="A1"/>
      <selection pane="topRight" activeCell="J1" activeCellId="0" sqref="J1"/>
      <selection pane="bottomLeft" activeCell="A15" activeCellId="0" sqref="A15"/>
      <selection pane="bottomRight" activeCell="AG15" activeCellId="0" sqref="AG15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32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7.32"/>
    <col collapsed="false" customWidth="true" hidden="false" outlineLevel="0" max="7" min="7" style="166" width="6.82"/>
    <col collapsed="false" customWidth="true" hidden="false" outlineLevel="0" max="8" min="8" style="168" width="5.66"/>
    <col collapsed="false" customWidth="true" hidden="false" outlineLevel="0" max="11" min="9" style="166" width="6.32"/>
    <col collapsed="false" customWidth="true" hidden="false" outlineLevel="0" max="12" min="12" style="166" width="7.16"/>
    <col collapsed="false" customWidth="true" hidden="false" outlineLevel="0" max="13" min="13" style="169" width="5.49"/>
    <col collapsed="false" customWidth="true" hidden="false" outlineLevel="0" max="14" min="14" style="169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9" min="17" style="166" width="4.32"/>
    <col collapsed="false" customWidth="true" hidden="false" outlineLevel="0" max="20" min="20" style="8" width="5.49"/>
    <col collapsed="false" customWidth="true" hidden="false" outlineLevel="0" max="22" min="21" style="166" width="5.49"/>
    <col collapsed="false" customWidth="true" hidden="false" outlineLevel="0" max="26" min="23" style="167" width="6.32"/>
    <col collapsed="false" customWidth="true" hidden="false" outlineLevel="0" max="27" min="27" style="169" width="5.49"/>
    <col collapsed="false" customWidth="true" hidden="false" outlineLevel="0" max="28" min="28" style="169" width="5.66"/>
    <col collapsed="false" customWidth="true" hidden="false" outlineLevel="0" max="32" min="29" style="166" width="5.49"/>
    <col collapsed="false" customWidth="true" hidden="false" outlineLevel="0" max="33" min="33" style="167" width="6.82"/>
    <col collapsed="false" customWidth="true" hidden="false" outlineLevel="0" max="34" min="34" style="166" width="5.49"/>
    <col collapsed="false" customWidth="true" hidden="false" outlineLevel="0" max="35" min="35" style="170" width="6.32"/>
    <col collapsed="false" customWidth="true" hidden="false" outlineLevel="0" max="36" min="36" style="166" width="6.32"/>
    <col collapsed="false" customWidth="true" hidden="false" outlineLevel="0" max="37" min="37" style="166" width="6.99"/>
    <col collapsed="false" customWidth="true" hidden="false" outlineLevel="0" max="38" min="38" style="8" width="6.99"/>
    <col collapsed="false" customWidth="true" hidden="false" outlineLevel="0" max="39" min="39" style="166" width="5.49"/>
    <col collapsed="false" customWidth="true" hidden="false" outlineLevel="0" max="40" min="40" style="169" width="5.49"/>
    <col collapsed="false" customWidth="true" hidden="false" outlineLevel="0" max="41" min="41" style="166" width="6.32"/>
    <col collapsed="false" customWidth="true" hidden="false" outlineLevel="0" max="44" min="42" style="171" width="6.32"/>
    <col collapsed="false" customWidth="true" hidden="false" outlineLevel="0" max="45" min="45" style="171" width="5.82"/>
    <col collapsed="false" customWidth="true" hidden="false" outlineLevel="0" max="46" min="46" style="166" width="4.99"/>
    <col collapsed="false" customWidth="true" hidden="false" outlineLevel="0" max="47" min="47" style="168" width="5.32"/>
    <col collapsed="false" customWidth="true" hidden="false" outlineLevel="0" max="48" min="48" style="172" width="3.82"/>
    <col collapsed="false" customWidth="true" hidden="false" outlineLevel="0" max="49" min="49" style="173" width="3.82"/>
    <col collapsed="false" customWidth="true" hidden="false" outlineLevel="0" max="50" min="50" style="173" width="4.32"/>
    <col collapsed="false" customWidth="true" hidden="false" outlineLevel="0" max="51" min="51" style="170" width="6.49"/>
    <col collapsed="false" customWidth="false" hidden="false" outlineLevel="0" max="257" min="52" style="174" width="9.32"/>
  </cols>
  <sheetData>
    <row r="1" customFormat="false" ht="14.1" hidden="false" customHeight="true" outlineLevel="0" collapsed="false">
      <c r="A1" s="175"/>
      <c r="B1" s="175"/>
      <c r="D1" s="175"/>
      <c r="F1" s="175"/>
      <c r="G1" s="175"/>
      <c r="H1" s="176"/>
      <c r="I1" s="175"/>
      <c r="J1" s="175"/>
      <c r="K1" s="177" t="s">
        <v>0</v>
      </c>
      <c r="L1" s="175"/>
      <c r="M1" s="175"/>
      <c r="N1" s="175"/>
      <c r="O1" s="175"/>
      <c r="Q1" s="175"/>
      <c r="R1" s="175"/>
      <c r="S1" s="175"/>
      <c r="U1" s="175"/>
      <c r="V1" s="175"/>
      <c r="AC1" s="175"/>
      <c r="AD1" s="175"/>
      <c r="AE1" s="175"/>
      <c r="AF1" s="175"/>
      <c r="AH1" s="175"/>
      <c r="AI1" s="178"/>
      <c r="AJ1" s="175"/>
      <c r="AK1" s="175"/>
    </row>
    <row r="2" customFormat="false" ht="14.1" hidden="false" customHeight="true" outlineLevel="0" collapsed="false">
      <c r="A2" s="178" t="s">
        <v>1</v>
      </c>
      <c r="B2" s="175"/>
      <c r="D2" s="179" t="n">
        <v>1.9835</v>
      </c>
      <c r="F2" s="175"/>
      <c r="G2" s="175"/>
      <c r="H2" s="176"/>
      <c r="I2" s="175"/>
      <c r="J2" s="175"/>
      <c r="K2" s="180" t="s">
        <v>112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5"/>
      <c r="AE2" s="175"/>
      <c r="AF2" s="175"/>
      <c r="AH2" s="175"/>
      <c r="AI2" s="178"/>
      <c r="AJ2" s="175"/>
      <c r="AK2" s="175"/>
    </row>
    <row r="3" customFormat="false" ht="14.1" hidden="false" customHeight="true" outlineLevel="0" collapsed="false">
      <c r="A3" s="181"/>
      <c r="B3" s="181"/>
      <c r="C3" s="182"/>
      <c r="D3" s="183"/>
      <c r="E3" s="182"/>
      <c r="F3" s="181"/>
      <c r="G3" s="181"/>
      <c r="H3" s="184"/>
      <c r="I3" s="181"/>
      <c r="J3" s="181"/>
      <c r="K3" s="181"/>
      <c r="L3" s="181"/>
      <c r="M3" s="181"/>
      <c r="N3" s="181"/>
      <c r="O3" s="181"/>
      <c r="P3" s="185"/>
      <c r="Q3" s="181"/>
      <c r="R3" s="181"/>
      <c r="S3" s="181"/>
      <c r="T3" s="185"/>
      <c r="U3" s="181"/>
      <c r="V3" s="181"/>
      <c r="W3" s="182"/>
      <c r="X3" s="182"/>
      <c r="Y3" s="182"/>
      <c r="Z3" s="182"/>
      <c r="AA3" s="186"/>
      <c r="AB3" s="186"/>
      <c r="AC3" s="181"/>
      <c r="AD3" s="181"/>
      <c r="AE3" s="181"/>
      <c r="AF3" s="181"/>
      <c r="AG3" s="182"/>
      <c r="AH3" s="181"/>
      <c r="AI3" s="187"/>
      <c r="AJ3" s="181"/>
      <c r="AK3" s="181"/>
      <c r="AL3" s="185"/>
      <c r="AM3" s="188"/>
      <c r="AN3" s="186"/>
      <c r="AO3" s="188"/>
      <c r="AP3" s="189"/>
      <c r="AU3" s="190"/>
      <c r="AV3" s="191"/>
      <c r="AW3" s="192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5"/>
      <c r="J4" s="35"/>
      <c r="K4" s="35"/>
      <c r="L4" s="35"/>
      <c r="M4" s="35"/>
      <c r="N4" s="35"/>
      <c r="O4" s="35"/>
      <c r="P4" s="36"/>
      <c r="Q4" s="35"/>
      <c r="R4" s="35"/>
      <c r="S4" s="35"/>
      <c r="T4" s="36"/>
      <c r="U4" s="35"/>
      <c r="V4" s="35"/>
      <c r="W4" s="37" t="s">
        <v>4</v>
      </c>
      <c r="X4" s="37"/>
      <c r="Y4" s="37"/>
      <c r="Z4" s="37"/>
      <c r="AA4" s="38"/>
      <c r="AB4" s="38"/>
      <c r="AC4" s="39"/>
      <c r="AD4" s="35"/>
      <c r="AE4" s="35"/>
      <c r="AF4" s="35"/>
      <c r="AG4" s="33"/>
      <c r="AH4" s="35"/>
      <c r="AI4" s="40"/>
      <c r="AJ4" s="35"/>
      <c r="AK4" s="35"/>
      <c r="AL4" s="36"/>
      <c r="AM4" s="41"/>
      <c r="AN4" s="42"/>
      <c r="AO4" s="43" t="s">
        <v>5</v>
      </c>
      <c r="AP4" s="44"/>
      <c r="AQ4" s="45"/>
      <c r="AR4" s="46"/>
      <c r="AS4" s="47"/>
      <c r="AT4" s="47"/>
      <c r="AU4" s="49"/>
      <c r="AV4" s="50" t="s">
        <v>6</v>
      </c>
      <c r="AW4" s="51"/>
      <c r="AX4" s="193"/>
      <c r="AY4" s="194"/>
    </row>
    <row r="5" customFormat="false" ht="12.95" hidden="false" customHeight="true" outlineLevel="0" collapsed="false">
      <c r="A5" s="53" t="s">
        <v>7</v>
      </c>
      <c r="B5" s="54" t="s">
        <v>8</v>
      </c>
      <c r="C5" s="55" t="s">
        <v>8</v>
      </c>
      <c r="D5" s="56" t="s">
        <v>9</v>
      </c>
      <c r="E5" s="55" t="s">
        <v>10</v>
      </c>
      <c r="F5" s="57" t="s">
        <v>11</v>
      </c>
      <c r="G5" s="53" t="s">
        <v>12</v>
      </c>
      <c r="H5" s="53" t="s">
        <v>13</v>
      </c>
      <c r="I5" s="53" t="s">
        <v>14</v>
      </c>
      <c r="J5" s="53" t="s">
        <v>15</v>
      </c>
      <c r="K5" s="53" t="s">
        <v>16</v>
      </c>
      <c r="L5" s="53" t="s">
        <v>15</v>
      </c>
      <c r="M5" s="58" t="s">
        <v>17</v>
      </c>
      <c r="N5" s="58"/>
      <c r="O5" s="58"/>
      <c r="P5" s="58"/>
      <c r="Q5" s="58"/>
      <c r="R5" s="58"/>
      <c r="S5" s="58"/>
      <c r="T5" s="58"/>
      <c r="U5" s="53" t="s">
        <v>18</v>
      </c>
      <c r="V5" s="53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59" t="s">
        <v>21</v>
      </c>
      <c r="AC5" s="60" t="s">
        <v>20</v>
      </c>
      <c r="AD5" s="53" t="s">
        <v>22</v>
      </c>
      <c r="AE5" s="61" t="s">
        <v>23</v>
      </c>
      <c r="AF5" s="62"/>
      <c r="AG5" s="53" t="s">
        <v>24</v>
      </c>
      <c r="AH5" s="63" t="s">
        <v>25</v>
      </c>
      <c r="AI5" s="63" t="s">
        <v>26</v>
      </c>
      <c r="AJ5" s="53" t="s">
        <v>14</v>
      </c>
      <c r="AK5" s="53" t="s">
        <v>15</v>
      </c>
      <c r="AL5" s="56" t="s">
        <v>16</v>
      </c>
      <c r="AM5" s="64" t="s">
        <v>27</v>
      </c>
      <c r="AN5" s="60" t="s">
        <v>20</v>
      </c>
      <c r="AO5" s="59" t="s">
        <v>28</v>
      </c>
      <c r="AP5" s="65" t="s">
        <v>28</v>
      </c>
      <c r="AQ5" s="60" t="s">
        <v>29</v>
      </c>
      <c r="AR5" s="66" t="s">
        <v>30</v>
      </c>
      <c r="AS5" s="66" t="s">
        <v>31</v>
      </c>
      <c r="AT5" s="195" t="s">
        <v>32</v>
      </c>
      <c r="AU5" s="68" t="s">
        <v>33</v>
      </c>
      <c r="AV5" s="69" t="s">
        <v>34</v>
      </c>
      <c r="AW5" s="69" t="s">
        <v>35</v>
      </c>
      <c r="AX5" s="196"/>
      <c r="AY5" s="197" t="s">
        <v>16</v>
      </c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1" t="s">
        <v>109</v>
      </c>
      <c r="B6" s="54" t="s">
        <v>37</v>
      </c>
      <c r="C6" s="55"/>
      <c r="D6" s="56" t="s">
        <v>38</v>
      </c>
      <c r="E6" s="55" t="s">
        <v>39</v>
      </c>
      <c r="F6" s="57" t="s">
        <v>40</v>
      </c>
      <c r="G6" s="53" t="s">
        <v>41</v>
      </c>
      <c r="H6" s="53" t="s">
        <v>42</v>
      </c>
      <c r="I6" s="53" t="s">
        <v>43</v>
      </c>
      <c r="J6" s="53" t="s">
        <v>43</v>
      </c>
      <c r="K6" s="53" t="s">
        <v>43</v>
      </c>
      <c r="L6" s="53" t="s">
        <v>44</v>
      </c>
      <c r="M6" s="72" t="s">
        <v>45</v>
      </c>
      <c r="N6" s="56" t="s">
        <v>46</v>
      </c>
      <c r="O6" s="56" t="s">
        <v>47</v>
      </c>
      <c r="P6" s="73" t="s">
        <v>48</v>
      </c>
      <c r="Q6" s="56" t="s">
        <v>49</v>
      </c>
      <c r="R6" s="56" t="s">
        <v>50</v>
      </c>
      <c r="S6" s="56" t="s">
        <v>51</v>
      </c>
      <c r="T6" s="74" t="s">
        <v>52</v>
      </c>
      <c r="U6" s="53" t="s">
        <v>53</v>
      </c>
      <c r="V6" s="53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59" t="s">
        <v>57</v>
      </c>
      <c r="AC6" s="60" t="s">
        <v>58</v>
      </c>
      <c r="AD6" s="53" t="s">
        <v>59</v>
      </c>
      <c r="AE6" s="72" t="s">
        <v>60</v>
      </c>
      <c r="AF6" s="75" t="s">
        <v>61</v>
      </c>
      <c r="AG6" s="53" t="s">
        <v>62</v>
      </c>
      <c r="AH6" s="63" t="s">
        <v>63</v>
      </c>
      <c r="AI6" s="63"/>
      <c r="AJ6" s="53" t="s">
        <v>64</v>
      </c>
      <c r="AK6" s="53" t="s">
        <v>64</v>
      </c>
      <c r="AL6" s="56" t="s">
        <v>64</v>
      </c>
      <c r="AM6" s="64" t="s">
        <v>65</v>
      </c>
      <c r="AN6" s="60" t="s">
        <v>66</v>
      </c>
      <c r="AO6" s="59" t="s">
        <v>67</v>
      </c>
      <c r="AP6" s="65" t="s">
        <v>67</v>
      </c>
      <c r="AQ6" s="60" t="s">
        <v>68</v>
      </c>
      <c r="AR6" s="66" t="s">
        <v>69</v>
      </c>
      <c r="AS6" s="66" t="s">
        <v>70</v>
      </c>
      <c r="AT6" s="195" t="s">
        <v>71</v>
      </c>
      <c r="AU6" s="76"/>
      <c r="AV6" s="69" t="s">
        <v>72</v>
      </c>
      <c r="AW6" s="69" t="s">
        <v>72</v>
      </c>
      <c r="AX6" s="196"/>
      <c r="AY6" s="197" t="s">
        <v>73</v>
      </c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3"/>
      <c r="B7" s="54"/>
      <c r="C7" s="55"/>
      <c r="D7" s="56"/>
      <c r="E7" s="55"/>
      <c r="F7" s="57"/>
      <c r="G7" s="53"/>
      <c r="H7" s="53"/>
      <c r="I7" s="53"/>
      <c r="J7" s="53"/>
      <c r="K7" s="53"/>
      <c r="L7" s="53"/>
      <c r="M7" s="72"/>
      <c r="N7" s="56" t="s">
        <v>74</v>
      </c>
      <c r="O7" s="56" t="s">
        <v>75</v>
      </c>
      <c r="P7" s="73"/>
      <c r="Q7" s="56"/>
      <c r="R7" s="56"/>
      <c r="S7" s="56" t="s">
        <v>47</v>
      </c>
      <c r="T7" s="74" t="s">
        <v>26</v>
      </c>
      <c r="U7" s="53"/>
      <c r="V7" s="53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59"/>
      <c r="AC7" s="60"/>
      <c r="AD7" s="75"/>
      <c r="AE7" s="77" t="n">
        <v>1.7</v>
      </c>
      <c r="AF7" s="77" t="n">
        <v>1.3</v>
      </c>
      <c r="AG7" s="72"/>
      <c r="AH7" s="78"/>
      <c r="AI7" s="63"/>
      <c r="AJ7" s="53"/>
      <c r="AK7" s="53"/>
      <c r="AL7" s="56"/>
      <c r="AM7" s="64"/>
      <c r="AN7" s="60"/>
      <c r="AO7" s="59" t="s">
        <v>81</v>
      </c>
      <c r="AP7" s="65" t="s">
        <v>82</v>
      </c>
      <c r="AQ7" s="60" t="s">
        <v>83</v>
      </c>
      <c r="AR7" s="66" t="s">
        <v>84</v>
      </c>
      <c r="AS7" s="66" t="s">
        <v>85</v>
      </c>
      <c r="AT7" s="195" t="s">
        <v>86</v>
      </c>
      <c r="AU7" s="76"/>
      <c r="AV7" s="69"/>
      <c r="AW7" s="69"/>
      <c r="AX7" s="196"/>
      <c r="AY7" s="197" t="s">
        <v>87</v>
      </c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3"/>
      <c r="B8" s="54"/>
      <c r="C8" s="55"/>
      <c r="D8" s="56"/>
      <c r="E8" s="55"/>
      <c r="F8" s="57"/>
      <c r="G8" s="53"/>
      <c r="H8" s="53"/>
      <c r="I8" s="53"/>
      <c r="J8" s="53"/>
      <c r="K8" s="53"/>
      <c r="L8" s="53"/>
      <c r="M8" s="56"/>
      <c r="N8" s="56"/>
      <c r="O8" s="56"/>
      <c r="P8" s="73"/>
      <c r="Q8" s="56"/>
      <c r="R8" s="56"/>
      <c r="S8" s="56"/>
      <c r="T8" s="74"/>
      <c r="U8" s="53"/>
      <c r="V8" s="53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59"/>
      <c r="AC8" s="60"/>
      <c r="AD8" s="75"/>
      <c r="AE8" s="77"/>
      <c r="AF8" s="77"/>
      <c r="AG8" s="72"/>
      <c r="AH8" s="78"/>
      <c r="AI8" s="63"/>
      <c r="AJ8" s="53"/>
      <c r="AK8" s="53"/>
      <c r="AL8" s="56"/>
      <c r="AM8" s="64"/>
      <c r="AN8" s="60"/>
      <c r="AO8" s="59"/>
      <c r="AP8" s="65"/>
      <c r="AQ8" s="60"/>
      <c r="AR8" s="66"/>
      <c r="AS8" s="66"/>
      <c r="AT8" s="195"/>
      <c r="AU8" s="76"/>
      <c r="AV8" s="69"/>
      <c r="AW8" s="69"/>
      <c r="AX8" s="196"/>
      <c r="AY8" s="197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3"/>
      <c r="B9" s="54"/>
      <c r="C9" s="55"/>
      <c r="D9" s="56"/>
      <c r="E9" s="55"/>
      <c r="F9" s="57"/>
      <c r="G9" s="53"/>
      <c r="H9" s="53"/>
      <c r="I9" s="53"/>
      <c r="J9" s="53"/>
      <c r="K9" s="53"/>
      <c r="L9" s="53"/>
      <c r="M9" s="56"/>
      <c r="N9" s="56"/>
      <c r="O9" s="56"/>
      <c r="P9" s="73"/>
      <c r="Q9" s="56"/>
      <c r="R9" s="56"/>
      <c r="S9" s="56"/>
      <c r="T9" s="74"/>
      <c r="U9" s="53"/>
      <c r="V9" s="53"/>
      <c r="W9" s="63"/>
      <c r="X9" s="55" t="s">
        <v>88</v>
      </c>
      <c r="Y9" s="59"/>
      <c r="Z9" s="55" t="s">
        <v>88</v>
      </c>
      <c r="AA9" s="59" t="s">
        <v>91</v>
      </c>
      <c r="AB9" s="59"/>
      <c r="AC9" s="60"/>
      <c r="AD9" s="75"/>
      <c r="AE9" s="77"/>
      <c r="AF9" s="77"/>
      <c r="AG9" s="72"/>
      <c r="AH9" s="78"/>
      <c r="AI9" s="63"/>
      <c r="AJ9" s="53"/>
      <c r="AK9" s="53"/>
      <c r="AL9" s="56"/>
      <c r="AM9" s="64"/>
      <c r="AN9" s="60"/>
      <c r="AO9" s="59"/>
      <c r="AP9" s="65"/>
      <c r="AQ9" s="60"/>
      <c r="AR9" s="66"/>
      <c r="AS9" s="66"/>
      <c r="AT9" s="195"/>
      <c r="AU9" s="76"/>
      <c r="AV9" s="69"/>
      <c r="AW9" s="69"/>
      <c r="AX9" s="196"/>
      <c r="AY9" s="197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3"/>
      <c r="B10" s="54"/>
      <c r="C10" s="55" t="s">
        <v>92</v>
      </c>
      <c r="D10" s="56"/>
      <c r="E10" s="55" t="s">
        <v>93</v>
      </c>
      <c r="F10" s="57"/>
      <c r="G10" s="56" t="s">
        <v>40</v>
      </c>
      <c r="H10" s="56" t="s">
        <v>40</v>
      </c>
      <c r="I10" s="56" t="s">
        <v>40</v>
      </c>
      <c r="J10" s="56" t="s">
        <v>40</v>
      </c>
      <c r="K10" s="56" t="s">
        <v>40</v>
      </c>
      <c r="L10" s="75" t="s">
        <v>40</v>
      </c>
      <c r="M10" s="56" t="s">
        <v>40</v>
      </c>
      <c r="N10" s="56" t="s">
        <v>40</v>
      </c>
      <c r="O10" s="56" t="s">
        <v>40</v>
      </c>
      <c r="P10" s="56" t="s">
        <v>40</v>
      </c>
      <c r="Q10" s="56" t="s">
        <v>40</v>
      </c>
      <c r="R10" s="56" t="s">
        <v>40</v>
      </c>
      <c r="S10" s="56" t="s">
        <v>61</v>
      </c>
      <c r="T10" s="75" t="s">
        <v>40</v>
      </c>
      <c r="U10" s="56" t="s">
        <v>40</v>
      </c>
      <c r="V10" s="56" t="s">
        <v>40</v>
      </c>
      <c r="W10" s="55" t="n">
        <v>153400</v>
      </c>
      <c r="X10" s="55" t="n">
        <v>150400</v>
      </c>
      <c r="Y10" s="56"/>
      <c r="Z10" s="55"/>
      <c r="AA10" s="55" t="n">
        <v>72000</v>
      </c>
      <c r="AB10" s="56" t="s">
        <v>40</v>
      </c>
      <c r="AC10" s="56" t="s">
        <v>40</v>
      </c>
      <c r="AD10" s="75" t="s">
        <v>40</v>
      </c>
      <c r="AE10" s="56" t="s">
        <v>40</v>
      </c>
      <c r="AF10" s="56" t="s">
        <v>40</v>
      </c>
      <c r="AG10" s="72" t="s">
        <v>40</v>
      </c>
      <c r="AH10" s="56" t="s">
        <v>40</v>
      </c>
      <c r="AI10" s="56" t="s">
        <v>40</v>
      </c>
      <c r="AJ10" s="56" t="s">
        <v>40</v>
      </c>
      <c r="AK10" s="56" t="s">
        <v>40</v>
      </c>
      <c r="AL10" s="56" t="s">
        <v>40</v>
      </c>
      <c r="AM10" s="64" t="s">
        <v>93</v>
      </c>
      <c r="AN10" s="60" t="s">
        <v>40</v>
      </c>
      <c r="AO10" s="60" t="s">
        <v>40</v>
      </c>
      <c r="AP10" s="65" t="s">
        <v>94</v>
      </c>
      <c r="AQ10" s="60" t="s">
        <v>40</v>
      </c>
      <c r="AR10" s="60" t="s">
        <v>40</v>
      </c>
      <c r="AS10" s="60" t="s">
        <v>40</v>
      </c>
      <c r="AT10" s="60" t="s">
        <v>40</v>
      </c>
      <c r="AU10" s="76"/>
      <c r="AV10" s="69"/>
      <c r="AW10" s="69"/>
      <c r="AX10" s="196"/>
      <c r="AY10" s="197" t="s">
        <v>95</v>
      </c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3"/>
      <c r="B11" s="54"/>
      <c r="C11" s="55"/>
      <c r="D11" s="56"/>
      <c r="E11" s="55"/>
      <c r="F11" s="57"/>
      <c r="G11" s="53"/>
      <c r="H11" s="53"/>
      <c r="I11" s="53"/>
      <c r="J11" s="53"/>
      <c r="K11" s="53"/>
      <c r="L11" s="75"/>
      <c r="M11" s="56"/>
      <c r="N11" s="44" t="n">
        <v>1.03</v>
      </c>
      <c r="O11" s="44" t="n">
        <v>1.05</v>
      </c>
      <c r="P11" s="44" t="n">
        <v>1.02</v>
      </c>
      <c r="Q11" s="79" t="n">
        <v>1.02</v>
      </c>
      <c r="R11" s="44" t="n">
        <v>1.04</v>
      </c>
      <c r="S11" s="56" t="s">
        <v>40</v>
      </c>
      <c r="T11" s="74"/>
      <c r="U11" s="53"/>
      <c r="V11" s="53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59"/>
      <c r="AC11" s="59"/>
      <c r="AD11" s="81"/>
      <c r="AE11" s="77"/>
      <c r="AF11" s="77"/>
      <c r="AG11" s="72"/>
      <c r="AH11" s="78"/>
      <c r="AI11" s="82"/>
      <c r="AJ11" s="53"/>
      <c r="AK11" s="53"/>
      <c r="AL11" s="56"/>
      <c r="AM11" s="64"/>
      <c r="AN11" s="60"/>
      <c r="AO11" s="59"/>
      <c r="AP11" s="65"/>
      <c r="AQ11" s="65"/>
      <c r="AR11" s="83"/>
      <c r="AS11" s="83"/>
      <c r="AT11" s="83"/>
      <c r="AU11" s="76"/>
      <c r="AV11" s="69"/>
      <c r="AW11" s="69"/>
      <c r="AX11" s="196"/>
      <c r="AY11" s="197" t="s">
        <v>40</v>
      </c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78" t="s">
        <v>97</v>
      </c>
      <c r="B12" s="198"/>
      <c r="C12" s="102"/>
      <c r="D12" s="102"/>
      <c r="E12" s="102"/>
      <c r="F12" s="199"/>
      <c r="G12" s="102"/>
      <c r="H12" s="200"/>
      <c r="I12" s="102"/>
      <c r="J12" s="102"/>
      <c r="K12" s="102"/>
      <c r="L12" s="102"/>
      <c r="M12" s="201"/>
      <c r="N12" s="102"/>
      <c r="O12" s="102"/>
      <c r="P12" s="149"/>
      <c r="Q12" s="102"/>
      <c r="R12" s="102"/>
      <c r="S12" s="102"/>
      <c r="T12" s="202"/>
      <c r="U12" s="102"/>
      <c r="V12" s="102"/>
      <c r="W12" s="102"/>
      <c r="X12" s="102"/>
      <c r="Y12" s="102"/>
      <c r="Z12" s="102"/>
      <c r="AA12" s="130"/>
      <c r="AB12" s="130"/>
      <c r="AC12" s="102"/>
      <c r="AD12" s="102"/>
      <c r="AE12" s="201"/>
      <c r="AF12" s="203"/>
      <c r="AG12" s="102"/>
      <c r="AH12" s="102"/>
      <c r="AI12" s="204"/>
      <c r="AJ12" s="102"/>
      <c r="AK12" s="102"/>
      <c r="AL12" s="102"/>
      <c r="AM12" s="205"/>
      <c r="AN12" s="130"/>
      <c r="AO12" s="206"/>
      <c r="AT12" s="259"/>
      <c r="AU12" s="260"/>
      <c r="AV12" s="200"/>
      <c r="AW12" s="200"/>
      <c r="AX12" s="200"/>
      <c r="AY12" s="209"/>
    </row>
    <row r="13" s="215" customFormat="true" ht="12.95" hidden="false" customHeight="true" outlineLevel="0" collapsed="false">
      <c r="A13" s="210" t="s">
        <v>98</v>
      </c>
      <c r="B13" s="101" t="n">
        <f aca="false">DEC!B45</f>
        <v>6891.52</v>
      </c>
      <c r="C13" s="211" t="n">
        <f aca="false">DEC!C45</f>
        <v>253355</v>
      </c>
      <c r="D13" s="102" t="n">
        <f aca="false">DEC!D54</f>
        <v>-5988</v>
      </c>
      <c r="E13" s="102" t="n">
        <f aca="false">DEC!E54</f>
        <v>101355</v>
      </c>
      <c r="F13" s="199" t="n">
        <f aca="false">DEC!F53</f>
        <v>-3018.90597428787</v>
      </c>
      <c r="G13" s="102" t="n">
        <f aca="false">DEC!G53</f>
        <v>2041</v>
      </c>
      <c r="H13" s="211" t="n">
        <f aca="false">DEC!H53</f>
        <v>0</v>
      </c>
      <c r="I13" s="102" t="n">
        <f aca="false">DEC!I53</f>
        <v>2041</v>
      </c>
      <c r="J13" s="211" t="n">
        <f aca="false">DEC!J53</f>
        <v>459.880640282329</v>
      </c>
      <c r="K13" s="102" t="n">
        <f aca="false">DEC!K53</f>
        <v>2500.88064028233</v>
      </c>
      <c r="L13" s="252" t="n">
        <f aca="false">DEC!L53</f>
        <v>-42.1059742878749</v>
      </c>
      <c r="M13" s="102" t="n">
        <f aca="false">DEC!M53</f>
        <v>225.3</v>
      </c>
      <c r="N13" s="211" t="n">
        <f aca="false">DEC!N53</f>
        <v>0</v>
      </c>
      <c r="O13" s="102" t="n">
        <f aca="false">DEC!O53</f>
        <v>0</v>
      </c>
      <c r="P13" s="211" t="n">
        <f aca="false">DEC!P53</f>
        <v>0</v>
      </c>
      <c r="Q13" s="102" t="n">
        <f aca="false">DEC!Q53</f>
        <v>106.9572</v>
      </c>
      <c r="R13" s="211" t="n">
        <f aca="false">DEC!R53</f>
        <v>137.91</v>
      </c>
      <c r="S13" s="102" t="n">
        <f aca="false">DEC!S53</f>
        <v>0</v>
      </c>
      <c r="T13" s="252" t="n">
        <f aca="false">DEC!T53</f>
        <v>-19.92068</v>
      </c>
      <c r="U13" s="102" t="n">
        <f aca="false">DEC!U53</f>
        <v>2986</v>
      </c>
      <c r="V13" s="211" t="n">
        <f aca="false">DEC!V53</f>
        <v>40.5</v>
      </c>
      <c r="W13" s="102" t="n">
        <f aca="false">DEC!W53</f>
        <v>3026.08232</v>
      </c>
      <c r="X13" s="211" t="n">
        <f aca="false">DEC!X53</f>
        <v>2985.58232</v>
      </c>
      <c r="Y13" s="102"/>
      <c r="Z13" s="102"/>
      <c r="AA13" s="130"/>
      <c r="AB13" s="130"/>
      <c r="AC13" s="102"/>
      <c r="AD13" s="102"/>
      <c r="AE13" s="201"/>
      <c r="AF13" s="203"/>
      <c r="AG13" s="211" t="n">
        <f aca="false">DEC!AG53</f>
        <v>1766</v>
      </c>
      <c r="AH13" s="211" t="n">
        <f aca="false">DEC!AH53</f>
        <v>2829</v>
      </c>
      <c r="AI13" s="102"/>
      <c r="AJ13" s="211" t="n">
        <f aca="false">DEC!AJ53</f>
        <v>5017.8</v>
      </c>
      <c r="AK13" s="211" t="n">
        <f aca="false">DEC!AK53</f>
        <v>501.986614570204</v>
      </c>
      <c r="AL13" s="211" t="n">
        <f aca="false">DEC!AL53</f>
        <v>5519.7866145702</v>
      </c>
      <c r="AM13" s="205" t="n">
        <f aca="false">DEC!AM54</f>
        <v>5922.731</v>
      </c>
      <c r="AN13" s="261" t="n">
        <f aca="false">DEC!AN53</f>
        <v>40.5</v>
      </c>
      <c r="AO13" s="102"/>
      <c r="AP13" s="213"/>
      <c r="AQ13" s="213"/>
      <c r="AR13" s="213"/>
      <c r="AS13" s="213"/>
      <c r="AT13" s="262"/>
      <c r="AU13" s="263" t="n">
        <f aca="false">DEC!AU53</f>
        <v>1.7</v>
      </c>
      <c r="AV13" s="200"/>
      <c r="AW13" s="200"/>
      <c r="AX13" s="200"/>
      <c r="AY13" s="264" t="n">
        <f aca="false">DEC!AY53</f>
        <v>225.71768</v>
      </c>
    </row>
    <row r="14" customFormat="false" ht="3" hidden="false" customHeight="true" outlineLevel="0" collapsed="false">
      <c r="A14" s="216"/>
      <c r="B14" s="217"/>
      <c r="C14" s="218"/>
      <c r="D14" s="219"/>
      <c r="E14" s="218"/>
      <c r="F14" s="220"/>
      <c r="G14" s="219"/>
      <c r="H14" s="221"/>
      <c r="I14" s="219"/>
      <c r="J14" s="219"/>
      <c r="K14" s="219"/>
      <c r="L14" s="219"/>
      <c r="M14" s="222"/>
      <c r="N14" s="219"/>
      <c r="O14" s="219"/>
      <c r="P14" s="223"/>
      <c r="Q14" s="219"/>
      <c r="R14" s="219"/>
      <c r="S14" s="219"/>
      <c r="T14" s="224"/>
      <c r="U14" s="219"/>
      <c r="V14" s="219"/>
      <c r="W14" s="219"/>
      <c r="X14" s="219"/>
      <c r="Y14" s="219"/>
      <c r="Z14" s="219"/>
      <c r="AA14" s="225"/>
      <c r="AB14" s="225"/>
      <c r="AC14" s="218"/>
      <c r="AD14" s="219"/>
      <c r="AE14" s="222"/>
      <c r="AF14" s="226"/>
      <c r="AG14" s="219"/>
      <c r="AH14" s="218"/>
      <c r="AI14" s="218"/>
      <c r="AJ14" s="219"/>
      <c r="AK14" s="219"/>
      <c r="AL14" s="219"/>
      <c r="AM14" s="227"/>
      <c r="AN14" s="225"/>
      <c r="AO14" s="228"/>
      <c r="AP14" s="229"/>
      <c r="AQ14" s="229"/>
      <c r="AR14" s="229"/>
      <c r="AS14" s="229"/>
      <c r="AT14" s="239"/>
      <c r="AU14" s="248"/>
      <c r="AV14" s="228"/>
      <c r="AW14" s="228"/>
      <c r="AX14" s="228"/>
      <c r="AY14" s="265"/>
    </row>
    <row r="15" customFormat="false" ht="12.95" hidden="false" customHeight="true" outlineLevel="0" collapsed="false">
      <c r="A15" s="173" t="n">
        <v>1</v>
      </c>
      <c r="B15" s="101" t="n">
        <v>6891.52</v>
      </c>
      <c r="C15" s="102" t="n">
        <v>253355</v>
      </c>
      <c r="D15" s="200" t="n">
        <f aca="false">C15-C13</f>
        <v>0</v>
      </c>
      <c r="E15" s="102" t="n">
        <f aca="false">C15-152000</f>
        <v>101355</v>
      </c>
      <c r="F15" s="231" t="n">
        <f aca="false">D15/$D$2</f>
        <v>0</v>
      </c>
      <c r="G15" s="1" t="n">
        <v>30</v>
      </c>
      <c r="H15" s="4" t="n">
        <v>0</v>
      </c>
      <c r="I15" s="129" t="n">
        <f aca="false">G15+H15</f>
        <v>30</v>
      </c>
      <c r="J15" s="130" t="n">
        <f aca="false">IF(L15&gt;0,L15,0)</f>
        <v>2.3</v>
      </c>
      <c r="K15" s="129" t="n">
        <f aca="false">I15+J15</f>
        <v>32.3</v>
      </c>
      <c r="L15" s="129" t="n">
        <f aca="false">F15-(I15-AJ15)</f>
        <v>2.3</v>
      </c>
      <c r="M15" s="233" t="n">
        <v>2.3</v>
      </c>
      <c r="N15" s="129" t="n">
        <v>0</v>
      </c>
      <c r="O15" s="129" t="n">
        <v>0</v>
      </c>
      <c r="P15" s="149" t="n">
        <v>0</v>
      </c>
      <c r="Q15" s="126" t="n">
        <f aca="false">1.477*1.02</f>
        <v>1.50654</v>
      </c>
      <c r="R15" s="126" t="n">
        <v>2.47</v>
      </c>
      <c r="S15" s="126" t="n">
        <v>0</v>
      </c>
      <c r="T15" s="91" t="n">
        <f aca="false">M15-(Q15+R15+S15)</f>
        <v>-1.67654</v>
      </c>
      <c r="U15" s="129" t="n">
        <v>0</v>
      </c>
      <c r="V15" s="129" t="n">
        <v>0</v>
      </c>
      <c r="W15" s="129" t="n">
        <f aca="false">M15-N15-O15-P15-Q15-R15-S15-T15+U15+V15</f>
        <v>0</v>
      </c>
      <c r="X15" s="129" t="n">
        <f aca="false">W15-AN15</f>
        <v>0</v>
      </c>
      <c r="Y15" s="129"/>
      <c r="Z15" s="129"/>
      <c r="AA15" s="130"/>
      <c r="AB15" s="130"/>
      <c r="AC15" s="102"/>
      <c r="AD15" s="129" t="n">
        <v>0</v>
      </c>
      <c r="AE15" s="233"/>
      <c r="AF15" s="234"/>
      <c r="AG15" s="129" t="n">
        <v>30</v>
      </c>
      <c r="AH15" s="102" t="n">
        <f aca="false">AH13-AG15</f>
        <v>2799</v>
      </c>
      <c r="AI15" s="102"/>
      <c r="AJ15" s="128" t="n">
        <f aca="false">N15+O15+P15+Q15+R15+S15+T15+W15+AD15+AG15</f>
        <v>32.3</v>
      </c>
      <c r="AK15" s="129" t="n">
        <f aca="false">IF(L15&lt;0,L15*-1,0)</f>
        <v>0</v>
      </c>
      <c r="AL15" s="129" t="n">
        <f aca="false">AJ15+AK15</f>
        <v>32.3</v>
      </c>
      <c r="AM15" s="205" t="n">
        <f aca="false">AM13+(W15*1.9835)</f>
        <v>5922.731</v>
      </c>
      <c r="AN15" s="130" t="n">
        <v>0</v>
      </c>
      <c r="AO15" s="206"/>
      <c r="AT15" s="259"/>
      <c r="AU15" s="260" t="n">
        <v>0</v>
      </c>
      <c r="AV15" s="200" t="n">
        <v>26</v>
      </c>
      <c r="AW15" s="200" t="n">
        <v>-5</v>
      </c>
      <c r="AX15" s="200"/>
      <c r="AY15" s="235" t="n">
        <f aca="false">SUM(N15,P15:T15)</f>
        <v>2.3</v>
      </c>
    </row>
    <row r="16" customFormat="false" ht="12.95" hidden="false" customHeight="true" outlineLevel="0" collapsed="false">
      <c r="A16" s="173" t="n">
        <f aca="false">A15+1</f>
        <v>2</v>
      </c>
      <c r="B16" s="101" t="n">
        <v>6891.53</v>
      </c>
      <c r="C16" s="102" t="n">
        <v>253389</v>
      </c>
      <c r="D16" s="200" t="n">
        <f aca="false">C16-C15</f>
        <v>34</v>
      </c>
      <c r="E16" s="102" t="n">
        <f aca="false">C16-152000</f>
        <v>101389</v>
      </c>
      <c r="F16" s="231" t="n">
        <f aca="false">D16/$D$2</f>
        <v>17.1414166876733</v>
      </c>
      <c r="G16" s="1" t="n">
        <v>30</v>
      </c>
      <c r="H16" s="4" t="n">
        <v>0</v>
      </c>
      <c r="I16" s="129" t="n">
        <f aca="false">G16+H16</f>
        <v>30</v>
      </c>
      <c r="J16" s="130" t="n">
        <f aca="false">IF(L16&gt;0,L16,0)</f>
        <v>19.7414166876733</v>
      </c>
      <c r="K16" s="129" t="n">
        <f aca="false">I16+J16</f>
        <v>49.7414166876733</v>
      </c>
      <c r="L16" s="129" t="n">
        <f aca="false">F16-(I16-AJ16)</f>
        <v>19.7414166876733</v>
      </c>
      <c r="M16" s="233" t="n">
        <v>2.6</v>
      </c>
      <c r="N16" s="129" t="n">
        <v>0</v>
      </c>
      <c r="O16" s="129" t="n">
        <v>0</v>
      </c>
      <c r="P16" s="149" t="n">
        <v>0</v>
      </c>
      <c r="Q16" s="126" t="n">
        <f aca="false">1.477*1.02</f>
        <v>1.50654</v>
      </c>
      <c r="R16" s="126" t="n">
        <v>2.33</v>
      </c>
      <c r="S16" s="126" t="n">
        <v>0</v>
      </c>
      <c r="T16" s="91" t="n">
        <f aca="false">M16-(Q16+R16+S16)</f>
        <v>-1.23654</v>
      </c>
      <c r="U16" s="129" t="n">
        <v>0</v>
      </c>
      <c r="V16" s="129" t="n">
        <v>0</v>
      </c>
      <c r="W16" s="129" t="n">
        <f aca="false">M16-N16-O16-P16-Q16-R16-S16-T16+U16+V16</f>
        <v>0</v>
      </c>
      <c r="X16" s="129" t="n">
        <f aca="false">W16-AN16</f>
        <v>0</v>
      </c>
      <c r="Y16" s="129"/>
      <c r="Z16" s="129"/>
      <c r="AA16" s="130"/>
      <c r="AB16" s="130"/>
      <c r="AC16" s="102"/>
      <c r="AD16" s="129" t="n">
        <v>0</v>
      </c>
      <c r="AE16" s="233"/>
      <c r="AF16" s="234"/>
      <c r="AG16" s="129" t="n">
        <v>30</v>
      </c>
      <c r="AH16" s="102" t="n">
        <f aca="false">AH15-AG16</f>
        <v>2769</v>
      </c>
      <c r="AI16" s="102"/>
      <c r="AJ16" s="128" t="n">
        <f aca="false">N16+O16+P16+Q16+R16+S16+T16+W16+AD16+AG16</f>
        <v>32.6</v>
      </c>
      <c r="AK16" s="129" t="n">
        <f aca="false">IF(L16&lt;0,L16*-1,0)</f>
        <v>0</v>
      </c>
      <c r="AL16" s="129" t="n">
        <f aca="false">AJ16+AK16</f>
        <v>32.6</v>
      </c>
      <c r="AM16" s="205" t="n">
        <f aca="false">AM15+(W16*1.9835)</f>
        <v>5922.731</v>
      </c>
      <c r="AN16" s="130" t="n">
        <v>0</v>
      </c>
      <c r="AO16" s="206"/>
      <c r="AU16" s="207" t="n">
        <v>0</v>
      </c>
      <c r="AV16" s="200" t="n">
        <v>33</v>
      </c>
      <c r="AW16" s="200" t="n">
        <v>-3</v>
      </c>
      <c r="AX16" s="208"/>
      <c r="AY16" s="235" t="n">
        <f aca="false">SUM(N16,P16:T16)</f>
        <v>2.6</v>
      </c>
    </row>
    <row r="17" customFormat="false" ht="12.95" hidden="false" customHeight="true" outlineLevel="0" collapsed="false">
      <c r="A17" s="173" t="n">
        <f aca="false">A16+1</f>
        <v>3</v>
      </c>
      <c r="B17" s="101" t="n">
        <v>6891.53</v>
      </c>
      <c r="C17" s="102" t="n">
        <v>253389</v>
      </c>
      <c r="D17" s="200" t="n">
        <f aca="false">C17-C16</f>
        <v>0</v>
      </c>
      <c r="E17" s="102" t="n">
        <f aca="false">C17-152000</f>
        <v>101389</v>
      </c>
      <c r="F17" s="231" t="n">
        <f aca="false">D17/$D$2</f>
        <v>0</v>
      </c>
      <c r="G17" s="1" t="n">
        <v>30</v>
      </c>
      <c r="H17" s="4" t="n">
        <v>0.25</v>
      </c>
      <c r="I17" s="129" t="n">
        <f aca="false">G17+H17</f>
        <v>30.25</v>
      </c>
      <c r="J17" s="130" t="n">
        <f aca="false">IF(L17&gt;0,L17,0)</f>
        <v>2.35</v>
      </c>
      <c r="K17" s="129" t="n">
        <f aca="false">I17+J17</f>
        <v>32.6</v>
      </c>
      <c r="L17" s="129" t="n">
        <f aca="false">F17-(I17-AJ17)</f>
        <v>2.35</v>
      </c>
      <c r="M17" s="233" t="n">
        <v>2.6</v>
      </c>
      <c r="N17" s="129" t="n">
        <v>0</v>
      </c>
      <c r="O17" s="129" t="n">
        <v>0</v>
      </c>
      <c r="P17" s="149" t="n">
        <v>0</v>
      </c>
      <c r="Q17" s="126" t="n">
        <f aca="false">1.477*1.02</f>
        <v>1.50654</v>
      </c>
      <c r="R17" s="126" t="n">
        <v>2.52</v>
      </c>
      <c r="S17" s="126" t="n">
        <v>0</v>
      </c>
      <c r="T17" s="91" t="n">
        <f aca="false">M17-(Q17+R17+S17)</f>
        <v>-1.42654</v>
      </c>
      <c r="U17" s="129" t="n">
        <v>0</v>
      </c>
      <c r="V17" s="129" t="n">
        <v>0</v>
      </c>
      <c r="W17" s="129" t="n">
        <f aca="false">M17-N17-O17-P17-Q17-R17-S17-T17+U17+V17</f>
        <v>0</v>
      </c>
      <c r="X17" s="129" t="n">
        <f aca="false">W17-AN17</f>
        <v>0</v>
      </c>
      <c r="Y17" s="129"/>
      <c r="Z17" s="129"/>
      <c r="AA17" s="130"/>
      <c r="AB17" s="130"/>
      <c r="AC17" s="102"/>
      <c r="AD17" s="129" t="n">
        <v>0</v>
      </c>
      <c r="AE17" s="233"/>
      <c r="AF17" s="234"/>
      <c r="AG17" s="129" t="n">
        <v>30</v>
      </c>
      <c r="AH17" s="102" t="n">
        <f aca="false">AH16-AG17</f>
        <v>2739</v>
      </c>
      <c r="AI17" s="102"/>
      <c r="AJ17" s="128" t="n">
        <f aca="false">N17+O17+P17+Q17+R17+S17+T17+W17+AD17+AG17</f>
        <v>32.6</v>
      </c>
      <c r="AK17" s="129" t="n">
        <f aca="false">IF(L17&lt;0,L17*-1,0)</f>
        <v>0</v>
      </c>
      <c r="AL17" s="129" t="n">
        <f aca="false">AJ17+AK17</f>
        <v>32.6</v>
      </c>
      <c r="AM17" s="205" t="n">
        <f aca="false">AM16+(W17*1.9835)</f>
        <v>5922.731</v>
      </c>
      <c r="AN17" s="130" t="n">
        <v>0</v>
      </c>
      <c r="AO17" s="206"/>
      <c r="AU17" s="207" t="n">
        <v>0</v>
      </c>
      <c r="AV17" s="200" t="n">
        <v>30</v>
      </c>
      <c r="AW17" s="200" t="n">
        <v>-4</v>
      </c>
      <c r="AX17" s="208"/>
      <c r="AY17" s="235" t="n">
        <f aca="false">SUM(N17,P17:T17)</f>
        <v>2.6</v>
      </c>
    </row>
    <row r="18" customFormat="false" ht="12.95" hidden="false" customHeight="true" outlineLevel="0" collapsed="false">
      <c r="A18" s="173" t="n">
        <f aca="false">A17+1</f>
        <v>4</v>
      </c>
      <c r="B18" s="101" t="n">
        <v>6891.53</v>
      </c>
      <c r="C18" s="102" t="n">
        <v>253389</v>
      </c>
      <c r="D18" s="200" t="n">
        <f aca="false">C18-C17</f>
        <v>0</v>
      </c>
      <c r="E18" s="102" t="n">
        <f aca="false">C18-152000</f>
        <v>101389</v>
      </c>
      <c r="F18" s="231" t="n">
        <f aca="false">D18/$D$2</f>
        <v>0</v>
      </c>
      <c r="G18" s="1" t="n">
        <v>30</v>
      </c>
      <c r="H18" s="4" t="n">
        <v>0.5</v>
      </c>
      <c r="I18" s="129" t="n">
        <f aca="false">G18+H18</f>
        <v>30.5</v>
      </c>
      <c r="J18" s="130" t="n">
        <f aca="false">IF(L18&gt;0,L18,0)</f>
        <v>2</v>
      </c>
      <c r="K18" s="129" t="n">
        <f aca="false">I18+J18</f>
        <v>32.5</v>
      </c>
      <c r="L18" s="129" t="n">
        <f aca="false">F18-(I18-AJ18)</f>
        <v>2</v>
      </c>
      <c r="M18" s="233" t="n">
        <v>2.5</v>
      </c>
      <c r="N18" s="129" t="n">
        <v>0</v>
      </c>
      <c r="O18" s="129" t="n">
        <v>0</v>
      </c>
      <c r="P18" s="149" t="n">
        <v>0</v>
      </c>
      <c r="Q18" s="126" t="n">
        <f aca="false">1.477*1.02</f>
        <v>1.50654</v>
      </c>
      <c r="R18" s="126" t="n">
        <v>2.52</v>
      </c>
      <c r="S18" s="126" t="n">
        <v>0</v>
      </c>
      <c r="T18" s="91" t="n">
        <f aca="false">M18-(Q18+R18+S18)</f>
        <v>-1.52654</v>
      </c>
      <c r="U18" s="129" t="n">
        <v>0</v>
      </c>
      <c r="V18" s="129" t="n">
        <v>0</v>
      </c>
      <c r="W18" s="129" t="n">
        <f aca="false">M18-N18-O18-P18-Q18-R18-S18-T18+U18+V18</f>
        <v>0</v>
      </c>
      <c r="X18" s="129" t="n">
        <f aca="false">W18-AN18</f>
        <v>0</v>
      </c>
      <c r="Y18" s="129"/>
      <c r="Z18" s="129"/>
      <c r="AA18" s="130"/>
      <c r="AB18" s="130"/>
      <c r="AC18" s="102"/>
      <c r="AD18" s="129" t="n">
        <v>0</v>
      </c>
      <c r="AE18" s="233"/>
      <c r="AF18" s="234"/>
      <c r="AG18" s="129" t="n">
        <v>30</v>
      </c>
      <c r="AH18" s="102" t="n">
        <f aca="false">AH17-AG18</f>
        <v>2709</v>
      </c>
      <c r="AI18" s="102"/>
      <c r="AJ18" s="128" t="n">
        <f aca="false">N18+O18+P18+Q18+R18+S18+T18+W18+AD18+AG18</f>
        <v>32.5</v>
      </c>
      <c r="AK18" s="129" t="n">
        <f aca="false">IF(L18&lt;0,L18*-1,0)</f>
        <v>0</v>
      </c>
      <c r="AL18" s="129" t="n">
        <f aca="false">AJ18+AK18</f>
        <v>32.5</v>
      </c>
      <c r="AM18" s="205" t="n">
        <f aca="false">AM17+(W18*1.9835)</f>
        <v>5922.731</v>
      </c>
      <c r="AN18" s="130" t="n">
        <v>0</v>
      </c>
      <c r="AO18" s="206"/>
      <c r="AU18" s="207" t="n">
        <v>0</v>
      </c>
      <c r="AV18" s="200" t="n">
        <v>34</v>
      </c>
      <c r="AW18" s="200" t="n">
        <v>6</v>
      </c>
      <c r="AX18" s="208"/>
      <c r="AY18" s="235" t="n">
        <f aca="false">SUM(N18,P18:T18)</f>
        <v>2.5</v>
      </c>
    </row>
    <row r="19" customFormat="false" ht="12.95" hidden="false" customHeight="true" outlineLevel="0" collapsed="false">
      <c r="A19" s="173" t="n">
        <f aca="false">A18+1</f>
        <v>5</v>
      </c>
      <c r="B19" s="101" t="n">
        <v>6891.54</v>
      </c>
      <c r="C19" s="102" t="n">
        <v>253423</v>
      </c>
      <c r="D19" s="200" t="n">
        <f aca="false">C19-C18</f>
        <v>34</v>
      </c>
      <c r="E19" s="102" t="n">
        <f aca="false">C19-152000</f>
        <v>101423</v>
      </c>
      <c r="F19" s="231" t="n">
        <f aca="false">D19/$D$2</f>
        <v>17.1414166876733</v>
      </c>
      <c r="G19" s="1" t="n">
        <v>31</v>
      </c>
      <c r="H19" s="4" t="n">
        <v>0.5</v>
      </c>
      <c r="I19" s="129" t="n">
        <f aca="false">G19+H19</f>
        <v>31.5</v>
      </c>
      <c r="J19" s="130" t="n">
        <f aca="false">IF(L19&gt;0,L19,0)</f>
        <v>17.9414166876733</v>
      </c>
      <c r="K19" s="129" t="n">
        <f aca="false">I19+J19</f>
        <v>49.4414166876733</v>
      </c>
      <c r="L19" s="129" t="n">
        <f aca="false">F19-(I19-AJ19)</f>
        <v>17.9414166876733</v>
      </c>
      <c r="M19" s="233" t="n">
        <v>2.3</v>
      </c>
      <c r="N19" s="129" t="n">
        <v>0</v>
      </c>
      <c r="O19" s="129" t="n">
        <v>0</v>
      </c>
      <c r="P19" s="149" t="n">
        <v>0</v>
      </c>
      <c r="Q19" s="126" t="n">
        <f aca="false">1.477*1.02</f>
        <v>1.50654</v>
      </c>
      <c r="R19" s="126" t="n">
        <v>2.47</v>
      </c>
      <c r="S19" s="126" t="n">
        <v>0</v>
      </c>
      <c r="T19" s="91" t="n">
        <f aca="false">M19-(Q19+R19+S19)</f>
        <v>-1.67654</v>
      </c>
      <c r="U19" s="129" t="n">
        <v>0</v>
      </c>
      <c r="V19" s="129" t="n">
        <v>0</v>
      </c>
      <c r="W19" s="129" t="n">
        <f aca="false">M19-N19-O19-P19-Q19-R19-S19-T19+U19+V19</f>
        <v>0</v>
      </c>
      <c r="X19" s="129" t="n">
        <f aca="false">W19-AN19</f>
        <v>0</v>
      </c>
      <c r="Y19" s="129"/>
      <c r="Z19" s="129"/>
      <c r="AA19" s="130"/>
      <c r="AB19" s="130"/>
      <c r="AC19" s="102"/>
      <c r="AD19" s="129" t="n">
        <v>0</v>
      </c>
      <c r="AE19" s="233"/>
      <c r="AF19" s="234"/>
      <c r="AG19" s="129" t="n">
        <v>30</v>
      </c>
      <c r="AH19" s="102" t="n">
        <f aca="false">AH18-AG19</f>
        <v>2679</v>
      </c>
      <c r="AI19" s="102"/>
      <c r="AJ19" s="128" t="n">
        <f aca="false">N19+O19+P19+Q19+R19+S19+T19+W19+AD19+AG19</f>
        <v>32.3</v>
      </c>
      <c r="AK19" s="129" t="n">
        <f aca="false">IF(L19&lt;0,L19*-1,0)</f>
        <v>0</v>
      </c>
      <c r="AL19" s="129" t="n">
        <f aca="false">AJ19+AK19</f>
        <v>32.3</v>
      </c>
      <c r="AM19" s="205" t="n">
        <f aca="false">AM18+(W19*1.9835)</f>
        <v>5922.731</v>
      </c>
      <c r="AN19" s="130" t="n">
        <v>0</v>
      </c>
      <c r="AO19" s="206"/>
      <c r="AU19" s="207" t="n">
        <v>0</v>
      </c>
      <c r="AV19" s="200" t="n">
        <v>38</v>
      </c>
      <c r="AW19" s="200" t="n">
        <v>9</v>
      </c>
      <c r="AX19" s="208"/>
      <c r="AY19" s="235" t="n">
        <f aca="false">SUM(N19,P19:T19)</f>
        <v>2.3</v>
      </c>
    </row>
    <row r="20" customFormat="false" ht="12.95" hidden="false" customHeight="true" outlineLevel="0" collapsed="false">
      <c r="A20" s="173" t="n">
        <f aca="false">A19+1</f>
        <v>6</v>
      </c>
      <c r="B20" s="101" t="n">
        <v>6891.54</v>
      </c>
      <c r="C20" s="102" t="n">
        <v>253423</v>
      </c>
      <c r="D20" s="200" t="n">
        <f aca="false">C20-C19</f>
        <v>0</v>
      </c>
      <c r="E20" s="102" t="n">
        <f aca="false">C20-152000</f>
        <v>101423</v>
      </c>
      <c r="F20" s="231" t="n">
        <f aca="false">D20/$D$2</f>
        <v>0</v>
      </c>
      <c r="G20" s="1" t="n">
        <v>31</v>
      </c>
      <c r="H20" s="4" t="n">
        <v>0.5</v>
      </c>
      <c r="I20" s="129" t="n">
        <f aca="false">G20+H20</f>
        <v>31.5</v>
      </c>
      <c r="J20" s="130" t="n">
        <f aca="false">IF(L20&gt;0,L20,0)</f>
        <v>0.799999999999997</v>
      </c>
      <c r="K20" s="129" t="n">
        <f aca="false">I20+J20</f>
        <v>32.3</v>
      </c>
      <c r="L20" s="129" t="n">
        <f aca="false">F20-(I20-AJ20)</f>
        <v>0.799999999999997</v>
      </c>
      <c r="M20" s="233" t="n">
        <v>2.3</v>
      </c>
      <c r="N20" s="129" t="n">
        <v>0</v>
      </c>
      <c r="O20" s="129" t="n">
        <v>0</v>
      </c>
      <c r="P20" s="149" t="n">
        <v>0</v>
      </c>
      <c r="Q20" s="126" t="n">
        <f aca="false">1.477*1.02</f>
        <v>1.50654</v>
      </c>
      <c r="R20" s="126" t="n">
        <v>3.52</v>
      </c>
      <c r="S20" s="126" t="n">
        <v>0</v>
      </c>
      <c r="T20" s="91" t="n">
        <f aca="false">M20-(Q20+R20+S20)</f>
        <v>-2.72654</v>
      </c>
      <c r="U20" s="129" t="n">
        <v>0</v>
      </c>
      <c r="V20" s="129" t="n">
        <v>0</v>
      </c>
      <c r="W20" s="129" t="n">
        <f aca="false">M20-N20-O20-P20-Q20-R20-S20-T20+U20+V20</f>
        <v>0</v>
      </c>
      <c r="X20" s="129" t="n">
        <f aca="false">W20-AN20</f>
        <v>0</v>
      </c>
      <c r="Y20" s="129"/>
      <c r="Z20" s="129"/>
      <c r="AA20" s="130"/>
      <c r="AB20" s="130"/>
      <c r="AC20" s="102"/>
      <c r="AD20" s="129" t="n">
        <v>0</v>
      </c>
      <c r="AE20" s="233"/>
      <c r="AF20" s="234"/>
      <c r="AG20" s="129" t="n">
        <v>30</v>
      </c>
      <c r="AH20" s="102" t="n">
        <f aca="false">AH19-AG20</f>
        <v>2649</v>
      </c>
      <c r="AI20" s="102"/>
      <c r="AJ20" s="128" t="n">
        <f aca="false">N20+O20+P20+Q20+R20+S20+T20+W20+AD20+AG20</f>
        <v>32.3</v>
      </c>
      <c r="AK20" s="129" t="n">
        <f aca="false">IF(L20&lt;0,L20*-1,0)</f>
        <v>0</v>
      </c>
      <c r="AL20" s="129" t="n">
        <f aca="false">AJ20+AK20</f>
        <v>32.3</v>
      </c>
      <c r="AM20" s="205" t="n">
        <f aca="false">AM19+(W20*1.9835)</f>
        <v>5922.731</v>
      </c>
      <c r="AN20" s="130" t="n">
        <v>0</v>
      </c>
      <c r="AO20" s="206"/>
      <c r="AU20" s="207" t="n">
        <v>0</v>
      </c>
      <c r="AV20" s="200" t="n">
        <v>36</v>
      </c>
      <c r="AW20" s="200" t="n">
        <v>10</v>
      </c>
      <c r="AX20" s="208"/>
      <c r="AY20" s="235" t="n">
        <f aca="false">SUM(N20,P20:T20)</f>
        <v>2.3</v>
      </c>
    </row>
    <row r="21" customFormat="false" ht="12.95" hidden="false" customHeight="true" outlineLevel="0" collapsed="false">
      <c r="A21" s="173" t="n">
        <f aca="false">A20+1</f>
        <v>7</v>
      </c>
      <c r="B21" s="101" t="n">
        <v>6891.54</v>
      </c>
      <c r="C21" s="102" t="n">
        <v>253423</v>
      </c>
      <c r="D21" s="200" t="n">
        <f aca="false">C21-C20</f>
        <v>0</v>
      </c>
      <c r="E21" s="102" t="n">
        <f aca="false">C21-152000</f>
        <v>101423</v>
      </c>
      <c r="F21" s="231" t="n">
        <f aca="false">D21/$D$2</f>
        <v>0</v>
      </c>
      <c r="G21" s="1" t="n">
        <v>31</v>
      </c>
      <c r="H21" s="4" t="n">
        <v>0.5</v>
      </c>
      <c r="I21" s="129" t="n">
        <f aca="false">G21+H21</f>
        <v>31.5</v>
      </c>
      <c r="J21" s="130" t="n">
        <f aca="false">IF(L21&gt;0,L21,0)</f>
        <v>1.3</v>
      </c>
      <c r="K21" s="129" t="n">
        <f aca="false">I21+J21</f>
        <v>32.8</v>
      </c>
      <c r="L21" s="129" t="n">
        <f aca="false">F21-(I21-AJ21)</f>
        <v>1.3</v>
      </c>
      <c r="M21" s="233" t="n">
        <v>2.8</v>
      </c>
      <c r="N21" s="129" t="n">
        <v>0</v>
      </c>
      <c r="O21" s="129" t="n">
        <v>0</v>
      </c>
      <c r="P21" s="149" t="n">
        <v>0</v>
      </c>
      <c r="Q21" s="126" t="n">
        <f aca="false">1.477*1.02</f>
        <v>1.50654</v>
      </c>
      <c r="R21" s="126" t="n">
        <v>2.52</v>
      </c>
      <c r="S21" s="126" t="n">
        <v>0</v>
      </c>
      <c r="T21" s="91" t="n">
        <f aca="false">M21-(Q21+R21+S21)</f>
        <v>-1.22654</v>
      </c>
      <c r="U21" s="129" t="n">
        <v>0</v>
      </c>
      <c r="V21" s="129" t="n">
        <v>0</v>
      </c>
      <c r="W21" s="129" t="n">
        <f aca="false">M21-N21-O21-P21-Q21-R21-S21-T21+U21+V21</f>
        <v>0</v>
      </c>
      <c r="X21" s="129" t="n">
        <f aca="false">W21-AN21</f>
        <v>0</v>
      </c>
      <c r="Y21" s="129"/>
      <c r="Z21" s="129"/>
      <c r="AA21" s="130"/>
      <c r="AB21" s="130"/>
      <c r="AC21" s="102"/>
      <c r="AD21" s="129" t="n">
        <v>0</v>
      </c>
      <c r="AE21" s="233"/>
      <c r="AF21" s="234"/>
      <c r="AG21" s="129" t="n">
        <v>30</v>
      </c>
      <c r="AH21" s="102" t="n">
        <f aca="false">AH20-AG21</f>
        <v>2619</v>
      </c>
      <c r="AI21" s="102"/>
      <c r="AJ21" s="128" t="n">
        <f aca="false">N21+O21+P21+Q21+R21+S21+T21+W21+AD21+AG21</f>
        <v>32.8</v>
      </c>
      <c r="AK21" s="129" t="n">
        <f aca="false">IF(L21&lt;0,L21*-1,0)</f>
        <v>0</v>
      </c>
      <c r="AL21" s="129" t="n">
        <f aca="false">AJ21+AK21</f>
        <v>32.8</v>
      </c>
      <c r="AM21" s="205" t="n">
        <f aca="false">AM20+(W21*1.9835)</f>
        <v>5922.731</v>
      </c>
      <c r="AN21" s="130" t="n">
        <v>0</v>
      </c>
      <c r="AO21" s="206"/>
      <c r="AU21" s="207" t="n">
        <v>0</v>
      </c>
      <c r="AV21" s="200" t="n">
        <v>36</v>
      </c>
      <c r="AW21" s="200" t="n">
        <v>9</v>
      </c>
      <c r="AX21" s="208"/>
      <c r="AY21" s="235" t="n">
        <f aca="false">SUM(N21,P21:T21)</f>
        <v>2.8</v>
      </c>
    </row>
    <row r="22" customFormat="false" ht="12.95" hidden="false" customHeight="true" outlineLevel="0" collapsed="false">
      <c r="A22" s="173" t="n">
        <f aca="false">A21+1</f>
        <v>8</v>
      </c>
      <c r="B22" s="101" t="n">
        <v>6891.55</v>
      </c>
      <c r="C22" s="102" t="n">
        <v>253458</v>
      </c>
      <c r="D22" s="200" t="n">
        <f aca="false">C22-C21</f>
        <v>35</v>
      </c>
      <c r="E22" s="102" t="n">
        <f aca="false">C22-152000</f>
        <v>101458</v>
      </c>
      <c r="F22" s="231" t="n">
        <f aca="false">D22/$D$2</f>
        <v>17.6455760020166</v>
      </c>
      <c r="G22" s="1" t="n">
        <v>31</v>
      </c>
      <c r="H22" s="4" t="n">
        <v>0.5</v>
      </c>
      <c r="I22" s="129" t="n">
        <f aca="false">G22+H22</f>
        <v>31.5</v>
      </c>
      <c r="J22" s="130" t="n">
        <f aca="false">IF(L22&gt;0,L22,0)</f>
        <v>19.0455760020166</v>
      </c>
      <c r="K22" s="129" t="n">
        <f aca="false">I22+J22</f>
        <v>50.5455760020166</v>
      </c>
      <c r="L22" s="129" t="n">
        <f aca="false">F22-(I22-AJ22)</f>
        <v>19.0455760020166</v>
      </c>
      <c r="M22" s="233" t="n">
        <v>2.9</v>
      </c>
      <c r="N22" s="129" t="n">
        <v>0</v>
      </c>
      <c r="O22" s="129" t="n">
        <v>0</v>
      </c>
      <c r="P22" s="149" t="n">
        <v>0</v>
      </c>
      <c r="Q22" s="126" t="n">
        <f aca="false">1.477*1.02</f>
        <v>1.50654</v>
      </c>
      <c r="R22" s="126" t="n">
        <v>2.5</v>
      </c>
      <c r="S22" s="126" t="n">
        <v>0</v>
      </c>
      <c r="T22" s="91" t="n">
        <f aca="false">M22-(Q22+R22+S22)</f>
        <v>-1.10654</v>
      </c>
      <c r="U22" s="129" t="n">
        <v>0</v>
      </c>
      <c r="V22" s="129" t="n">
        <v>0</v>
      </c>
      <c r="W22" s="129" t="n">
        <f aca="false">M22-N22-O22-P22-Q22-R22-S22-T22+U22+V22</f>
        <v>0</v>
      </c>
      <c r="X22" s="129" t="n">
        <f aca="false">W22-AN22</f>
        <v>0</v>
      </c>
      <c r="Y22" s="129"/>
      <c r="Z22" s="129"/>
      <c r="AA22" s="130"/>
      <c r="AB22" s="130"/>
      <c r="AC22" s="102"/>
      <c r="AD22" s="129" t="n">
        <v>0</v>
      </c>
      <c r="AE22" s="233"/>
      <c r="AF22" s="234"/>
      <c r="AG22" s="129" t="n">
        <v>30</v>
      </c>
      <c r="AH22" s="102" t="n">
        <f aca="false">AH21-AG22</f>
        <v>2589</v>
      </c>
      <c r="AI22" s="102"/>
      <c r="AJ22" s="128" t="n">
        <f aca="false">N22+O22+P22+Q22+R22+S22+T22+W22+AD22+AG22</f>
        <v>32.9</v>
      </c>
      <c r="AK22" s="129" t="n">
        <f aca="false">IF(L22&lt;0,L22*-1,0)</f>
        <v>0</v>
      </c>
      <c r="AL22" s="129" t="n">
        <f aca="false">AJ22+AK22</f>
        <v>32.9</v>
      </c>
      <c r="AM22" s="205" t="n">
        <f aca="false">AM21+(W22*1.9835)</f>
        <v>5922.731</v>
      </c>
      <c r="AN22" s="130" t="n">
        <v>0</v>
      </c>
      <c r="AO22" s="206"/>
      <c r="AU22" s="207" t="n">
        <v>0</v>
      </c>
      <c r="AV22" s="102" t="n">
        <v>30</v>
      </c>
      <c r="AW22" s="200" t="n">
        <v>4</v>
      </c>
      <c r="AX22" s="208"/>
      <c r="AY22" s="235" t="n">
        <f aca="false">SUM(N22,P22:T22)</f>
        <v>2.9</v>
      </c>
    </row>
    <row r="23" customFormat="false" ht="12.95" hidden="false" customHeight="true" outlineLevel="0" collapsed="false">
      <c r="A23" s="173" t="n">
        <f aca="false">A22+1</f>
        <v>9</v>
      </c>
      <c r="B23" s="101" t="n">
        <v>6891.55</v>
      </c>
      <c r="C23" s="102" t="n">
        <v>253458</v>
      </c>
      <c r="D23" s="200" t="n">
        <f aca="false">C23-C22</f>
        <v>0</v>
      </c>
      <c r="E23" s="102" t="n">
        <f aca="false">C23-152000</f>
        <v>101458</v>
      </c>
      <c r="F23" s="231" t="n">
        <f aca="false">D23/$D$2</f>
        <v>0</v>
      </c>
      <c r="G23" s="1" t="n">
        <v>31</v>
      </c>
      <c r="H23" s="4" t="n">
        <v>0.52</v>
      </c>
      <c r="I23" s="129" t="n">
        <f aca="false">G23+H23</f>
        <v>31.52</v>
      </c>
      <c r="J23" s="130" t="n">
        <f aca="false">IF(L23&gt;0,L23,0)</f>
        <v>1.08</v>
      </c>
      <c r="K23" s="129" t="n">
        <f aca="false">I23+J23</f>
        <v>32.6</v>
      </c>
      <c r="L23" s="129" t="n">
        <f aca="false">F23-(I23-AJ23)</f>
        <v>1.08</v>
      </c>
      <c r="M23" s="233" t="n">
        <v>2.6</v>
      </c>
      <c r="N23" s="129" t="n">
        <v>0</v>
      </c>
      <c r="O23" s="129" t="n">
        <v>0</v>
      </c>
      <c r="P23" s="149" t="n">
        <v>0</v>
      </c>
      <c r="Q23" s="126" t="n">
        <f aca="false">1.477*1.02</f>
        <v>1.50654</v>
      </c>
      <c r="R23" s="126" t="n">
        <v>2.56</v>
      </c>
      <c r="S23" s="126" t="n">
        <v>0</v>
      </c>
      <c r="T23" s="91" t="n">
        <f aca="false">M23-(Q23+R23+S23)</f>
        <v>-1.46654</v>
      </c>
      <c r="U23" s="129" t="n">
        <v>0</v>
      </c>
      <c r="V23" s="129" t="n">
        <v>0</v>
      </c>
      <c r="W23" s="129" t="n">
        <f aca="false">M23-N23-O23-P23-Q23-R23-S23-T23+U23+V23</f>
        <v>0</v>
      </c>
      <c r="X23" s="129" t="n">
        <f aca="false">W23-AN23</f>
        <v>0</v>
      </c>
      <c r="Y23" s="129"/>
      <c r="Z23" s="129"/>
      <c r="AA23" s="130"/>
      <c r="AB23" s="130"/>
      <c r="AC23" s="102"/>
      <c r="AD23" s="129" t="n">
        <v>0</v>
      </c>
      <c r="AE23" s="233"/>
      <c r="AF23" s="234"/>
      <c r="AG23" s="129" t="n">
        <v>30</v>
      </c>
      <c r="AH23" s="102" t="n">
        <f aca="false">AH22-AG23</f>
        <v>2559</v>
      </c>
      <c r="AI23" s="102"/>
      <c r="AJ23" s="128" t="n">
        <f aca="false">N23+O23+P23+Q23+R23+S23+T23+W23+AD23+AG23</f>
        <v>32.6</v>
      </c>
      <c r="AK23" s="129" t="n">
        <f aca="false">IF(L23&lt;0,L23*-1,0)</f>
        <v>0</v>
      </c>
      <c r="AL23" s="129" t="n">
        <f aca="false">AJ23+AK23</f>
        <v>32.6</v>
      </c>
      <c r="AM23" s="205" t="n">
        <f aca="false">AM22+(W23*1.9835)</f>
        <v>5922.731</v>
      </c>
      <c r="AN23" s="130" t="n">
        <v>0</v>
      </c>
      <c r="AO23" s="206"/>
      <c r="AU23" s="207" t="n">
        <v>0</v>
      </c>
      <c r="AV23" s="102" t="n">
        <v>32</v>
      </c>
      <c r="AW23" s="200" t="n">
        <v>4</v>
      </c>
      <c r="AX23" s="208"/>
      <c r="AY23" s="235" t="n">
        <f aca="false">SUM(N23,P23:T23)</f>
        <v>2.6</v>
      </c>
    </row>
    <row r="24" customFormat="false" ht="12.95" hidden="false" customHeight="true" outlineLevel="0" collapsed="false">
      <c r="A24" s="173" t="n">
        <f aca="false">A23+1</f>
        <v>10</v>
      </c>
      <c r="B24" s="101" t="n">
        <v>6891.55</v>
      </c>
      <c r="C24" s="102" t="n">
        <v>253458</v>
      </c>
      <c r="D24" s="200" t="n">
        <f aca="false">C24-C23</f>
        <v>0</v>
      </c>
      <c r="E24" s="102" t="n">
        <f aca="false">C24-152000</f>
        <v>101458</v>
      </c>
      <c r="F24" s="231" t="n">
        <f aca="false">D24/$D$2</f>
        <v>0</v>
      </c>
      <c r="G24" s="1" t="n">
        <v>31</v>
      </c>
      <c r="H24" s="4" t="n">
        <v>0.58</v>
      </c>
      <c r="I24" s="129" t="n">
        <f aca="false">G24+H24</f>
        <v>31.58</v>
      </c>
      <c r="J24" s="130" t="n">
        <f aca="false">IF(L24&gt;0,L24,0)</f>
        <v>1.02</v>
      </c>
      <c r="K24" s="129" t="n">
        <f aca="false">I24+J24</f>
        <v>32.6</v>
      </c>
      <c r="L24" s="129" t="n">
        <f aca="false">F24-(I24-AJ24)</f>
        <v>1.02</v>
      </c>
      <c r="M24" s="233" t="n">
        <v>2.6</v>
      </c>
      <c r="N24" s="129" t="n">
        <v>0</v>
      </c>
      <c r="O24" s="129" t="n">
        <v>0</v>
      </c>
      <c r="P24" s="149" t="n">
        <v>0</v>
      </c>
      <c r="Q24" s="126" t="n">
        <f aca="false">1.477*1.02</f>
        <v>1.50654</v>
      </c>
      <c r="R24" s="126" t="n">
        <v>2.51</v>
      </c>
      <c r="S24" s="126" t="n">
        <v>0</v>
      </c>
      <c r="T24" s="91" t="n">
        <f aca="false">M24-(Q24+R24+S24)</f>
        <v>-1.41654</v>
      </c>
      <c r="U24" s="129" t="n">
        <v>0</v>
      </c>
      <c r="V24" s="129" t="n">
        <v>0</v>
      </c>
      <c r="W24" s="129" t="n">
        <f aca="false">M24-N24-O24-P24-Q24-R24-S24-T24+U24+V24</f>
        <v>0</v>
      </c>
      <c r="X24" s="129" t="n">
        <f aca="false">W24-AN24</f>
        <v>0</v>
      </c>
      <c r="Y24" s="129"/>
      <c r="Z24" s="129"/>
      <c r="AA24" s="130"/>
      <c r="AB24" s="130"/>
      <c r="AC24" s="102"/>
      <c r="AD24" s="129" t="n">
        <v>0</v>
      </c>
      <c r="AE24" s="233"/>
      <c r="AF24" s="234"/>
      <c r="AG24" s="129" t="n">
        <v>30</v>
      </c>
      <c r="AH24" s="102" t="n">
        <f aca="false">AH23-AG24</f>
        <v>2529</v>
      </c>
      <c r="AI24" s="102"/>
      <c r="AJ24" s="128" t="n">
        <f aca="false">N24+O24+P24+Q24+R24+S24+T24+W24+AD24+AG24</f>
        <v>32.6</v>
      </c>
      <c r="AK24" s="129" t="n">
        <f aca="false">IF(L24&lt;0,L24*-1,0)</f>
        <v>0</v>
      </c>
      <c r="AL24" s="129" t="n">
        <f aca="false">AJ24+AK24</f>
        <v>32.6</v>
      </c>
      <c r="AM24" s="205" t="n">
        <f aca="false">AM23+(W24*1.9835)</f>
        <v>5922.731</v>
      </c>
      <c r="AN24" s="130" t="n">
        <v>0</v>
      </c>
      <c r="AO24" s="206"/>
      <c r="AU24" s="207" t="n">
        <v>0</v>
      </c>
      <c r="AV24" s="102" t="n">
        <v>38</v>
      </c>
      <c r="AW24" s="200" t="n">
        <v>7</v>
      </c>
      <c r="AX24" s="208"/>
      <c r="AY24" s="235" t="n">
        <f aca="false">SUM(N24,P24:T24)</f>
        <v>2.6</v>
      </c>
    </row>
    <row r="25" customFormat="false" ht="12.95" hidden="false" customHeight="true" outlineLevel="0" collapsed="false">
      <c r="A25" s="173" t="n">
        <f aca="false">A24+1</f>
        <v>11</v>
      </c>
      <c r="B25" s="101" t="n">
        <v>6891.55</v>
      </c>
      <c r="C25" s="102" t="n">
        <v>253458</v>
      </c>
      <c r="D25" s="200" t="n">
        <f aca="false">C25-C24</f>
        <v>0</v>
      </c>
      <c r="E25" s="102" t="n">
        <f aca="false">C25-152000</f>
        <v>101458</v>
      </c>
      <c r="F25" s="231" t="n">
        <f aca="false">D25/$D$2</f>
        <v>0</v>
      </c>
      <c r="G25" s="1" t="n">
        <v>31</v>
      </c>
      <c r="H25" s="4" t="n">
        <v>0.59</v>
      </c>
      <c r="I25" s="129" t="n">
        <f aca="false">G25+H25</f>
        <v>31.59</v>
      </c>
      <c r="J25" s="130" t="n">
        <f aca="false">IF(L25&gt;0,L25,0)</f>
        <v>1.31</v>
      </c>
      <c r="K25" s="129" t="n">
        <f aca="false">I25+J25</f>
        <v>32.9</v>
      </c>
      <c r="L25" s="129" t="n">
        <f aca="false">F25-(I25-AJ25)</f>
        <v>1.31</v>
      </c>
      <c r="M25" s="233" t="n">
        <v>2.9</v>
      </c>
      <c r="N25" s="129" t="n">
        <v>0</v>
      </c>
      <c r="O25" s="129" t="n">
        <v>0</v>
      </c>
      <c r="P25" s="149" t="n">
        <v>0</v>
      </c>
      <c r="Q25" s="126" t="n">
        <f aca="false">1.477*1.02</f>
        <v>1.50654</v>
      </c>
      <c r="R25" s="126" t="n">
        <v>2.27</v>
      </c>
      <c r="S25" s="126" t="n">
        <v>0</v>
      </c>
      <c r="T25" s="91" t="n">
        <f aca="false">M25-(Q25+R25+S25)</f>
        <v>-0.87654</v>
      </c>
      <c r="U25" s="129" t="n">
        <v>0</v>
      </c>
      <c r="V25" s="129" t="n">
        <v>0</v>
      </c>
      <c r="W25" s="129" t="n">
        <f aca="false">M25-N25-O25-P25-Q25-R25-S25-T25+U25+V25</f>
        <v>0</v>
      </c>
      <c r="X25" s="129" t="n">
        <f aca="false">W25-AN25</f>
        <v>0</v>
      </c>
      <c r="Y25" s="129"/>
      <c r="Z25" s="129"/>
      <c r="AA25" s="130"/>
      <c r="AB25" s="130"/>
      <c r="AC25" s="102"/>
      <c r="AD25" s="129" t="n">
        <v>0</v>
      </c>
      <c r="AE25" s="233"/>
      <c r="AF25" s="234"/>
      <c r="AG25" s="129" t="n">
        <v>30</v>
      </c>
      <c r="AH25" s="102" t="n">
        <f aca="false">AH24-AG25</f>
        <v>2499</v>
      </c>
      <c r="AI25" s="102"/>
      <c r="AJ25" s="128" t="n">
        <f aca="false">N25+O25+P25+Q25+R25+S25+T25+W25+AD25+AG25</f>
        <v>32.9</v>
      </c>
      <c r="AK25" s="129" t="n">
        <f aca="false">IF(L25&lt;0,L25*-1,0)</f>
        <v>0</v>
      </c>
      <c r="AL25" s="129" t="n">
        <f aca="false">AJ25+AK25</f>
        <v>32.9</v>
      </c>
      <c r="AM25" s="205" t="n">
        <f aca="false">AM24+(W25*1.9835)</f>
        <v>5922.731</v>
      </c>
      <c r="AN25" s="130" t="n">
        <v>0</v>
      </c>
      <c r="AO25" s="206"/>
      <c r="AU25" s="207" t="n">
        <v>0</v>
      </c>
      <c r="AV25" s="102" t="n">
        <v>45</v>
      </c>
      <c r="AW25" s="200" t="n">
        <v>15</v>
      </c>
      <c r="AX25" s="208"/>
      <c r="AY25" s="235" t="n">
        <f aca="false">SUM(N25,P25:T25)</f>
        <v>2.9</v>
      </c>
    </row>
    <row r="26" customFormat="false" ht="12.95" hidden="false" customHeight="true" outlineLevel="0" collapsed="false">
      <c r="A26" s="173" t="n">
        <f aca="false">A25+1</f>
        <v>12</v>
      </c>
      <c r="B26" s="101" t="n">
        <v>6891.55</v>
      </c>
      <c r="C26" s="102" t="n">
        <v>253458</v>
      </c>
      <c r="D26" s="200" t="n">
        <f aca="false">C26-C25</f>
        <v>0</v>
      </c>
      <c r="E26" s="102" t="n">
        <f aca="false">C26-152000</f>
        <v>101458</v>
      </c>
      <c r="F26" s="231" t="n">
        <f aca="false">D26/$D$2</f>
        <v>0</v>
      </c>
      <c r="G26" s="1" t="n">
        <v>31</v>
      </c>
      <c r="H26" s="4" t="n">
        <v>0.61</v>
      </c>
      <c r="I26" s="129" t="n">
        <f aca="false">G26+H26</f>
        <v>31.61</v>
      </c>
      <c r="J26" s="130" t="n">
        <f aca="false">IF(L26&gt;0,L26,0)</f>
        <v>1.29</v>
      </c>
      <c r="K26" s="129" t="n">
        <f aca="false">I26+J26</f>
        <v>32.9</v>
      </c>
      <c r="L26" s="129" t="n">
        <f aca="false">F26-(I26-AJ26)</f>
        <v>1.29</v>
      </c>
      <c r="M26" s="233" t="n">
        <v>2.9</v>
      </c>
      <c r="N26" s="129" t="n">
        <v>0</v>
      </c>
      <c r="O26" s="129" t="n">
        <v>0</v>
      </c>
      <c r="P26" s="149" t="n">
        <v>0</v>
      </c>
      <c r="Q26" s="126" t="n">
        <f aca="false">1.477*1.02</f>
        <v>1.50654</v>
      </c>
      <c r="R26" s="126" t="n">
        <v>2.49</v>
      </c>
      <c r="S26" s="126" t="n">
        <v>0</v>
      </c>
      <c r="T26" s="91" t="n">
        <f aca="false">M26-(Q26+R26+S26)</f>
        <v>-1.09654</v>
      </c>
      <c r="U26" s="129" t="n">
        <v>0</v>
      </c>
      <c r="V26" s="129" t="n">
        <v>0</v>
      </c>
      <c r="W26" s="129" t="n">
        <f aca="false">M26-N26-O26-P26-Q26-R26-S26-T26+U26+V26</f>
        <v>0</v>
      </c>
      <c r="X26" s="129" t="n">
        <f aca="false">W26-AN26</f>
        <v>0</v>
      </c>
      <c r="Y26" s="129"/>
      <c r="Z26" s="129"/>
      <c r="AA26" s="130"/>
      <c r="AB26" s="130"/>
      <c r="AC26" s="102"/>
      <c r="AD26" s="129" t="n">
        <v>0</v>
      </c>
      <c r="AE26" s="233"/>
      <c r="AF26" s="234"/>
      <c r="AG26" s="129" t="n">
        <v>30</v>
      </c>
      <c r="AH26" s="102" t="n">
        <f aca="false">AH25-AG26</f>
        <v>2469</v>
      </c>
      <c r="AI26" s="102"/>
      <c r="AJ26" s="128" t="n">
        <f aca="false">N26+O26+P26+Q26+R26+S26+T26+W26+AD26+AG26</f>
        <v>32.9</v>
      </c>
      <c r="AK26" s="129" t="n">
        <f aca="false">IF(L26&lt;0,L26*-1,0)</f>
        <v>0</v>
      </c>
      <c r="AL26" s="129" t="n">
        <f aca="false">AJ26+AK26</f>
        <v>32.9</v>
      </c>
      <c r="AM26" s="205" t="n">
        <f aca="false">AM25+(W26*1.9835)</f>
        <v>5922.731</v>
      </c>
      <c r="AN26" s="130" t="n">
        <v>0</v>
      </c>
      <c r="AO26" s="206"/>
      <c r="AU26" s="207" t="n">
        <v>0</v>
      </c>
      <c r="AV26" s="102" t="n">
        <v>50</v>
      </c>
      <c r="AW26" s="200" t="n">
        <v>17</v>
      </c>
      <c r="AX26" s="208"/>
      <c r="AY26" s="235" t="n">
        <f aca="false">SUM(N26,P26:T26)</f>
        <v>2.9</v>
      </c>
    </row>
    <row r="27" customFormat="false" ht="12.95" hidden="false" customHeight="true" outlineLevel="0" collapsed="false">
      <c r="A27" s="173" t="n">
        <f aca="false">A26+1</f>
        <v>13</v>
      </c>
      <c r="B27" s="101" t="n">
        <v>6891.55</v>
      </c>
      <c r="C27" s="102" t="n">
        <v>253458</v>
      </c>
      <c r="D27" s="200" t="n">
        <f aca="false">C27-C26</f>
        <v>0</v>
      </c>
      <c r="E27" s="102" t="n">
        <f aca="false">C27-152000</f>
        <v>101458</v>
      </c>
      <c r="F27" s="231" t="n">
        <f aca="false">D27/$D$2</f>
        <v>0</v>
      </c>
      <c r="G27" s="1" t="n">
        <v>31</v>
      </c>
      <c r="H27" s="4" t="n">
        <v>0.66</v>
      </c>
      <c r="I27" s="129" t="n">
        <f aca="false">G27+H27</f>
        <v>31.66</v>
      </c>
      <c r="J27" s="130" t="n">
        <f aca="false">IF(L27&gt;0,L27,0)</f>
        <v>4.74</v>
      </c>
      <c r="K27" s="129" t="n">
        <f aca="false">I27+J27</f>
        <v>36.4</v>
      </c>
      <c r="L27" s="129" t="n">
        <f aca="false">F27-(I27-AJ27)</f>
        <v>4.74</v>
      </c>
      <c r="M27" s="233" t="n">
        <v>6.4</v>
      </c>
      <c r="N27" s="129" t="n">
        <v>0</v>
      </c>
      <c r="O27" s="129" t="n">
        <v>0</v>
      </c>
      <c r="P27" s="149" t="n">
        <v>0</v>
      </c>
      <c r="Q27" s="126" t="n">
        <f aca="false">1.477*1.02</f>
        <v>1.50654</v>
      </c>
      <c r="R27" s="126" t="n">
        <v>2.48</v>
      </c>
      <c r="S27" s="126" t="n">
        <v>0</v>
      </c>
      <c r="T27" s="91" t="n">
        <f aca="false">M27-(Q27+R27+S27)</f>
        <v>2.41346</v>
      </c>
      <c r="U27" s="129" t="n">
        <v>0</v>
      </c>
      <c r="V27" s="129" t="n">
        <v>0</v>
      </c>
      <c r="W27" s="129" t="n">
        <f aca="false">M27-N27-O27-P27-Q27-R27-S27-T27+U27+V27</f>
        <v>0</v>
      </c>
      <c r="X27" s="129" t="n">
        <f aca="false">W27-AN27</f>
        <v>0</v>
      </c>
      <c r="Y27" s="129"/>
      <c r="Z27" s="129"/>
      <c r="AA27" s="130"/>
      <c r="AB27" s="130"/>
      <c r="AC27" s="102"/>
      <c r="AD27" s="129" t="n">
        <v>0</v>
      </c>
      <c r="AE27" s="233"/>
      <c r="AF27" s="234"/>
      <c r="AG27" s="129" t="n">
        <v>30</v>
      </c>
      <c r="AH27" s="102" t="n">
        <f aca="false">AH26-AG27</f>
        <v>2439</v>
      </c>
      <c r="AI27" s="102"/>
      <c r="AJ27" s="128" t="n">
        <f aca="false">N27+O27+P27+Q27+R27+S27+T27+W27+AD27+AG27</f>
        <v>36.4</v>
      </c>
      <c r="AK27" s="129" t="n">
        <f aca="false">IF(L27&lt;0,L27*-1,0)</f>
        <v>0</v>
      </c>
      <c r="AL27" s="129" t="n">
        <f aca="false">AJ27+AK27</f>
        <v>36.4</v>
      </c>
      <c r="AM27" s="205" t="n">
        <f aca="false">AM26+(W27*1.9835)</f>
        <v>5922.731</v>
      </c>
      <c r="AN27" s="130" t="n">
        <v>0</v>
      </c>
      <c r="AO27" s="206"/>
      <c r="AU27" s="207" t="n">
        <v>0</v>
      </c>
      <c r="AV27" s="102" t="n">
        <v>49</v>
      </c>
      <c r="AW27" s="200" t="n">
        <v>19</v>
      </c>
      <c r="AX27" s="208"/>
      <c r="AY27" s="235" t="n">
        <f aca="false">SUM(N27,P27:T27)</f>
        <v>6.4</v>
      </c>
    </row>
    <row r="28" customFormat="false" ht="12.95" hidden="false" customHeight="true" outlineLevel="0" collapsed="false">
      <c r="A28" s="173" t="n">
        <f aca="false">A27+1</f>
        <v>14</v>
      </c>
      <c r="B28" s="101" t="n">
        <v>6891.55</v>
      </c>
      <c r="C28" s="102" t="n">
        <v>253458</v>
      </c>
      <c r="D28" s="200" t="n">
        <f aca="false">C28-C27</f>
        <v>0</v>
      </c>
      <c r="E28" s="102" t="n">
        <f aca="false">C28-152000</f>
        <v>101458</v>
      </c>
      <c r="F28" s="231" t="n">
        <f aca="false">D28/$D$2</f>
        <v>0</v>
      </c>
      <c r="G28" s="1" t="n">
        <v>31</v>
      </c>
      <c r="H28" s="4" t="n">
        <v>0.69</v>
      </c>
      <c r="I28" s="129" t="n">
        <f aca="false">G28+H28</f>
        <v>31.69</v>
      </c>
      <c r="J28" s="130" t="n">
        <f aca="false">IF(L28&gt;0,L28,0)</f>
        <v>5.31</v>
      </c>
      <c r="K28" s="129" t="n">
        <f aca="false">I28+J28</f>
        <v>37</v>
      </c>
      <c r="L28" s="129" t="n">
        <f aca="false">F28-(I28-AJ28)</f>
        <v>5.31</v>
      </c>
      <c r="M28" s="233" t="n">
        <v>7</v>
      </c>
      <c r="N28" s="129" t="n">
        <v>0</v>
      </c>
      <c r="O28" s="129" t="n">
        <v>0</v>
      </c>
      <c r="P28" s="149" t="n">
        <v>0</v>
      </c>
      <c r="Q28" s="126" t="n">
        <f aca="false">1.477*1.02</f>
        <v>1.50654</v>
      </c>
      <c r="R28" s="126" t="n">
        <v>2.23</v>
      </c>
      <c r="S28" s="126" t="n">
        <v>0</v>
      </c>
      <c r="T28" s="91" t="n">
        <f aca="false">M28-(Q28+R28+S28)</f>
        <v>3.26346</v>
      </c>
      <c r="U28" s="129" t="n">
        <v>0</v>
      </c>
      <c r="V28" s="129" t="n">
        <v>0</v>
      </c>
      <c r="W28" s="129" t="n">
        <f aca="false">M28-N28-O28-P28-Q28-R28-S28-T28+U28+V28</f>
        <v>0</v>
      </c>
      <c r="X28" s="129" t="n">
        <f aca="false">W28-AN28</f>
        <v>0</v>
      </c>
      <c r="Y28" s="129"/>
      <c r="Z28" s="129"/>
      <c r="AA28" s="130"/>
      <c r="AB28" s="130"/>
      <c r="AC28" s="102"/>
      <c r="AD28" s="129" t="n">
        <v>0</v>
      </c>
      <c r="AE28" s="233"/>
      <c r="AF28" s="234"/>
      <c r="AG28" s="129" t="n">
        <v>30</v>
      </c>
      <c r="AH28" s="102" t="n">
        <f aca="false">AH27-AG28</f>
        <v>2409</v>
      </c>
      <c r="AI28" s="102"/>
      <c r="AJ28" s="128" t="n">
        <f aca="false">N28+O28+P28+Q28+R28+S28+T28+W28+AD28+AG28</f>
        <v>37</v>
      </c>
      <c r="AK28" s="129" t="n">
        <f aca="false">IF(L28&lt;0,L28*-1,0)</f>
        <v>0</v>
      </c>
      <c r="AL28" s="129" t="n">
        <f aca="false">AJ28+AK28</f>
        <v>37</v>
      </c>
      <c r="AM28" s="205" t="n">
        <f aca="false">AM27+(W28*1.9835)</f>
        <v>5922.731</v>
      </c>
      <c r="AN28" s="130" t="n">
        <v>0</v>
      </c>
      <c r="AO28" s="206"/>
      <c r="AU28" s="207" t="n">
        <v>0</v>
      </c>
      <c r="AV28" s="102" t="n">
        <v>46</v>
      </c>
      <c r="AW28" s="200" t="n">
        <v>25</v>
      </c>
      <c r="AX28" s="208"/>
      <c r="AY28" s="235" t="n">
        <f aca="false">SUM(N28,P28:T28)</f>
        <v>7</v>
      </c>
    </row>
    <row r="29" customFormat="false" ht="12.95" hidden="false" customHeight="true" outlineLevel="0" collapsed="false">
      <c r="A29" s="173" t="n">
        <f aca="false">A28+1</f>
        <v>15</v>
      </c>
      <c r="B29" s="101" t="n">
        <v>6891.55</v>
      </c>
      <c r="C29" s="102" t="n">
        <v>253458</v>
      </c>
      <c r="D29" s="200" t="n">
        <f aca="false">C29-C28</f>
        <v>0</v>
      </c>
      <c r="E29" s="102" t="n">
        <f aca="false">C29-152000</f>
        <v>101458</v>
      </c>
      <c r="F29" s="231" t="n">
        <f aca="false">D29/$D$2</f>
        <v>0</v>
      </c>
      <c r="G29" s="1" t="n">
        <v>31</v>
      </c>
      <c r="H29" s="4" t="n">
        <v>0.75</v>
      </c>
      <c r="I29" s="129" t="n">
        <f aca="false">G29+H29</f>
        <v>31.75</v>
      </c>
      <c r="J29" s="130" t="n">
        <f aca="false">IF(L29&gt;0,L29,0)</f>
        <v>5.25</v>
      </c>
      <c r="K29" s="129" t="n">
        <f aca="false">I29+J29</f>
        <v>37</v>
      </c>
      <c r="L29" s="129" t="n">
        <f aca="false">F29-(I29-AJ29)</f>
        <v>5.25</v>
      </c>
      <c r="M29" s="233" t="n">
        <v>7</v>
      </c>
      <c r="N29" s="129" t="n">
        <v>0</v>
      </c>
      <c r="O29" s="129" t="n">
        <v>0</v>
      </c>
      <c r="P29" s="149" t="n">
        <v>0</v>
      </c>
      <c r="Q29" s="126" t="n">
        <f aca="false">1.477*1.02</f>
        <v>1.50654</v>
      </c>
      <c r="R29" s="126" t="n">
        <v>2.32</v>
      </c>
      <c r="S29" s="126" t="n">
        <v>0</v>
      </c>
      <c r="T29" s="91" t="n">
        <f aca="false">M29-(Q29+R29+S29)</f>
        <v>3.17346</v>
      </c>
      <c r="U29" s="129" t="n">
        <v>0</v>
      </c>
      <c r="V29" s="129" t="n">
        <v>0</v>
      </c>
      <c r="W29" s="129" t="n">
        <f aca="false">M29-N29-O29-P29-Q29-R29-S29-T29+U29+V29</f>
        <v>0</v>
      </c>
      <c r="X29" s="129" t="n">
        <f aca="false">W29-AN29</f>
        <v>0</v>
      </c>
      <c r="Y29" s="129"/>
      <c r="Z29" s="129"/>
      <c r="AA29" s="130"/>
      <c r="AB29" s="130"/>
      <c r="AC29" s="102"/>
      <c r="AD29" s="129" t="n">
        <v>0</v>
      </c>
      <c r="AE29" s="233"/>
      <c r="AF29" s="234"/>
      <c r="AG29" s="129" t="n">
        <v>30</v>
      </c>
      <c r="AH29" s="102" t="n">
        <f aca="false">AH28-AG29</f>
        <v>2379</v>
      </c>
      <c r="AI29" s="102"/>
      <c r="AJ29" s="128" t="n">
        <f aca="false">N29+O29+P29+Q29+R29+S29+T29+W29+AD29+AG29</f>
        <v>37</v>
      </c>
      <c r="AK29" s="129" t="n">
        <f aca="false">IF(L29&lt;0,L29*-1,0)</f>
        <v>0</v>
      </c>
      <c r="AL29" s="129" t="n">
        <f aca="false">AJ29+AK29</f>
        <v>37</v>
      </c>
      <c r="AM29" s="205" t="n">
        <f aca="false">AM28+(W29*1.9835)</f>
        <v>5922.731</v>
      </c>
      <c r="AN29" s="130" t="n">
        <v>0</v>
      </c>
      <c r="AO29" s="206"/>
      <c r="AU29" s="207" t="n">
        <v>0</v>
      </c>
      <c r="AV29" s="102" t="n">
        <v>42</v>
      </c>
      <c r="AW29" s="200" t="n">
        <v>17</v>
      </c>
      <c r="AX29" s="208"/>
      <c r="AY29" s="235" t="n">
        <f aca="false">SUM(N29,P29:T29)</f>
        <v>7</v>
      </c>
    </row>
    <row r="30" customFormat="false" ht="12.95" hidden="false" customHeight="true" outlineLevel="0" collapsed="false">
      <c r="A30" s="173" t="n">
        <f aca="false">A29+1</f>
        <v>16</v>
      </c>
      <c r="B30" s="101" t="n">
        <v>6891.55</v>
      </c>
      <c r="C30" s="102" t="n">
        <v>253458</v>
      </c>
      <c r="D30" s="200" t="n">
        <f aca="false">C30-C29</f>
        <v>0</v>
      </c>
      <c r="E30" s="102" t="n">
        <f aca="false">C30-152000</f>
        <v>101458</v>
      </c>
      <c r="F30" s="231" t="n">
        <f aca="false">D30/$D$2</f>
        <v>0</v>
      </c>
      <c r="G30" s="1" t="n">
        <v>31</v>
      </c>
      <c r="H30" s="4" t="n">
        <v>0.81</v>
      </c>
      <c r="I30" s="129" t="n">
        <f aca="false">G30+H30</f>
        <v>31.81</v>
      </c>
      <c r="J30" s="130" t="n">
        <f aca="false">IF(L30&gt;0,L30,0)</f>
        <v>3.39</v>
      </c>
      <c r="K30" s="129" t="n">
        <f aca="false">I30+J30</f>
        <v>35.2</v>
      </c>
      <c r="L30" s="129" t="n">
        <f aca="false">F30-(I30-AJ30)</f>
        <v>3.39</v>
      </c>
      <c r="M30" s="233" t="n">
        <v>5.2</v>
      </c>
      <c r="N30" s="129" t="n">
        <v>0</v>
      </c>
      <c r="O30" s="129" t="n">
        <v>0</v>
      </c>
      <c r="P30" s="149" t="n">
        <v>0</v>
      </c>
      <c r="Q30" s="126" t="n">
        <f aca="false">1.477*1.02</f>
        <v>1.50654</v>
      </c>
      <c r="R30" s="126" t="n">
        <v>2.25</v>
      </c>
      <c r="S30" s="126" t="n">
        <v>0</v>
      </c>
      <c r="T30" s="91" t="n">
        <f aca="false">M30-(Q30+R30+S30)</f>
        <v>1.44346</v>
      </c>
      <c r="U30" s="129" t="n">
        <v>0</v>
      </c>
      <c r="V30" s="129" t="n">
        <v>0</v>
      </c>
      <c r="W30" s="129" t="n">
        <f aca="false">M30-N30-O30-P30-Q30-R30-S30-T30+U30+V30</f>
        <v>0</v>
      </c>
      <c r="X30" s="129" t="n">
        <f aca="false">W30-AN30</f>
        <v>0</v>
      </c>
      <c r="Y30" s="129"/>
      <c r="Z30" s="129"/>
      <c r="AA30" s="130"/>
      <c r="AB30" s="130"/>
      <c r="AC30" s="102"/>
      <c r="AD30" s="129" t="n">
        <v>0</v>
      </c>
      <c r="AE30" s="233"/>
      <c r="AF30" s="234"/>
      <c r="AG30" s="129" t="n">
        <v>30</v>
      </c>
      <c r="AH30" s="102" t="n">
        <f aca="false">AH29-AG30</f>
        <v>2349</v>
      </c>
      <c r="AI30" s="102"/>
      <c r="AJ30" s="128" t="n">
        <f aca="false">N30+O30+P30+Q30+R30+S30+T30+W30+AD30+AG30</f>
        <v>35.2</v>
      </c>
      <c r="AK30" s="129" t="n">
        <f aca="false">IF(L30&lt;0,L30*-1,0)</f>
        <v>0</v>
      </c>
      <c r="AL30" s="129" t="n">
        <f aca="false">AJ30+AK30</f>
        <v>35.2</v>
      </c>
      <c r="AM30" s="205" t="n">
        <f aca="false">AM29+(W30*1.9835)</f>
        <v>5922.731</v>
      </c>
      <c r="AN30" s="130" t="n">
        <v>0</v>
      </c>
      <c r="AO30" s="206"/>
      <c r="AU30" s="207" t="n">
        <v>0</v>
      </c>
      <c r="AV30" s="102" t="n">
        <v>39</v>
      </c>
      <c r="AW30" s="200" t="n">
        <v>14</v>
      </c>
      <c r="AX30" s="208"/>
      <c r="AY30" s="235" t="n">
        <f aca="false">SUM(N30,P30:T30)</f>
        <v>5.2</v>
      </c>
    </row>
    <row r="31" customFormat="false" ht="12.95" hidden="false" customHeight="true" outlineLevel="0" collapsed="false">
      <c r="A31" s="173" t="n">
        <f aca="false">A30+1</f>
        <v>17</v>
      </c>
      <c r="B31" s="101" t="n">
        <v>6891.55</v>
      </c>
      <c r="C31" s="102" t="n">
        <v>253458</v>
      </c>
      <c r="D31" s="200" t="n">
        <f aca="false">C31-C30</f>
        <v>0</v>
      </c>
      <c r="E31" s="102" t="n">
        <f aca="false">C31-152000</f>
        <v>101458</v>
      </c>
      <c r="F31" s="231" t="n">
        <f aca="false">D31/$D$2</f>
        <v>0</v>
      </c>
      <c r="G31" s="1" t="n">
        <v>31</v>
      </c>
      <c r="H31" s="4" t="n">
        <v>0.84</v>
      </c>
      <c r="I31" s="129" t="n">
        <f aca="false">G31+H31</f>
        <v>31.84</v>
      </c>
      <c r="J31" s="130" t="n">
        <f aca="false">IF(L31&gt;0,L31,0)</f>
        <v>2.76</v>
      </c>
      <c r="K31" s="129" t="n">
        <f aca="false">I31+J31</f>
        <v>34.6</v>
      </c>
      <c r="L31" s="129" t="n">
        <f aca="false">F31-(I31-AJ31)</f>
        <v>2.76</v>
      </c>
      <c r="M31" s="233" t="n">
        <v>4.6</v>
      </c>
      <c r="N31" s="129" t="n">
        <v>0</v>
      </c>
      <c r="O31" s="129" t="n">
        <v>0</v>
      </c>
      <c r="P31" s="149" t="n">
        <v>0</v>
      </c>
      <c r="Q31" s="126" t="n">
        <f aca="false">1.477*1.02</f>
        <v>1.50654</v>
      </c>
      <c r="R31" s="126" t="n">
        <v>2.27</v>
      </c>
      <c r="S31" s="126" t="n">
        <v>0</v>
      </c>
      <c r="T31" s="91" t="n">
        <f aca="false">M31-(Q31+R31+S31)</f>
        <v>0.823459999999999</v>
      </c>
      <c r="U31" s="129" t="n">
        <v>0</v>
      </c>
      <c r="V31" s="129" t="n">
        <v>0</v>
      </c>
      <c r="W31" s="129" t="n">
        <f aca="false">M31-N31-O31-P31-Q31-R31-S31-T31+U31+V31</f>
        <v>0</v>
      </c>
      <c r="X31" s="129" t="n">
        <f aca="false">W31-AN31</f>
        <v>0</v>
      </c>
      <c r="Y31" s="129"/>
      <c r="Z31" s="129"/>
      <c r="AA31" s="130"/>
      <c r="AB31" s="130"/>
      <c r="AC31" s="102"/>
      <c r="AD31" s="129" t="n">
        <v>0</v>
      </c>
      <c r="AE31" s="233"/>
      <c r="AF31" s="234"/>
      <c r="AG31" s="129" t="n">
        <v>30</v>
      </c>
      <c r="AH31" s="102" t="n">
        <f aca="false">AH30-AG31</f>
        <v>2319</v>
      </c>
      <c r="AI31" s="102"/>
      <c r="AJ31" s="128" t="n">
        <f aca="false">N31+O31+P31+Q31+R31+S31+T31+W31+AD31+AG31</f>
        <v>34.6</v>
      </c>
      <c r="AK31" s="129" t="n">
        <f aca="false">IF(L31&lt;0,L31*-1,0)</f>
        <v>0</v>
      </c>
      <c r="AL31" s="129" t="n">
        <f aca="false">AJ31+AK31</f>
        <v>34.6</v>
      </c>
      <c r="AM31" s="205" t="n">
        <f aca="false">AM30+(W31*1.9835)</f>
        <v>5922.731</v>
      </c>
      <c r="AN31" s="130" t="n">
        <v>0</v>
      </c>
      <c r="AO31" s="206"/>
      <c r="AU31" s="207" t="n">
        <v>0</v>
      </c>
      <c r="AV31" s="102" t="n">
        <v>42</v>
      </c>
      <c r="AW31" s="200" t="n">
        <v>19</v>
      </c>
      <c r="AX31" s="208"/>
      <c r="AY31" s="235" t="n">
        <f aca="false">SUM(N31,P31:T31)</f>
        <v>4.6</v>
      </c>
    </row>
    <row r="32" customFormat="false" ht="12.95" hidden="false" customHeight="true" outlineLevel="0" collapsed="false">
      <c r="A32" s="173" t="n">
        <f aca="false">A31+1</f>
        <v>18</v>
      </c>
      <c r="B32" s="101" t="n">
        <v>6891.56</v>
      </c>
      <c r="C32" s="102" t="n">
        <v>253492</v>
      </c>
      <c r="D32" s="200" t="n">
        <f aca="false">C32-C31</f>
        <v>34</v>
      </c>
      <c r="E32" s="102" t="n">
        <f aca="false">C32-152000</f>
        <v>101492</v>
      </c>
      <c r="F32" s="231" t="n">
        <f aca="false">D32/$D$2</f>
        <v>17.1414166876733</v>
      </c>
      <c r="G32" s="1" t="n">
        <v>31</v>
      </c>
      <c r="H32" s="4" t="n">
        <v>0.84</v>
      </c>
      <c r="I32" s="129" t="n">
        <f aca="false">G32+H32</f>
        <v>31.84</v>
      </c>
      <c r="J32" s="130" t="n">
        <f aca="false">IF(L32&gt;0,L32,0)</f>
        <v>19.4014166876733</v>
      </c>
      <c r="K32" s="129" t="n">
        <f aca="false">I32+J32</f>
        <v>51.2414166876733</v>
      </c>
      <c r="L32" s="129" t="n">
        <f aca="false">F32-(I32-AJ32)</f>
        <v>19.4014166876733</v>
      </c>
      <c r="M32" s="233" t="n">
        <v>4.1</v>
      </c>
      <c r="N32" s="129" t="n">
        <v>0</v>
      </c>
      <c r="O32" s="129" t="n">
        <v>0</v>
      </c>
      <c r="P32" s="149" t="n">
        <v>0</v>
      </c>
      <c r="Q32" s="126" t="n">
        <f aca="false">1.477*1.02</f>
        <v>1.50654</v>
      </c>
      <c r="R32" s="126" t="n">
        <v>2.07</v>
      </c>
      <c r="S32" s="126" t="n">
        <v>0</v>
      </c>
      <c r="T32" s="91" t="n">
        <f aca="false">M32-(Q32+R32+S32)</f>
        <v>0.52346</v>
      </c>
      <c r="U32" s="129" t="n">
        <v>0</v>
      </c>
      <c r="V32" s="129" t="n">
        <v>0</v>
      </c>
      <c r="W32" s="129" t="n">
        <f aca="false">M32-N32-O32-P32-Q32-R32-S32-T32+U32+V32</f>
        <v>0</v>
      </c>
      <c r="X32" s="129" t="n">
        <f aca="false">W32-AN32</f>
        <v>0</v>
      </c>
      <c r="Y32" s="129"/>
      <c r="Z32" s="129"/>
      <c r="AA32" s="130"/>
      <c r="AB32" s="130"/>
      <c r="AC32" s="102"/>
      <c r="AD32" s="129" t="n">
        <v>0</v>
      </c>
      <c r="AE32" s="233"/>
      <c r="AF32" s="234"/>
      <c r="AG32" s="129" t="n">
        <v>30</v>
      </c>
      <c r="AH32" s="102" t="n">
        <f aca="false">AH31-AG32</f>
        <v>2289</v>
      </c>
      <c r="AI32" s="102"/>
      <c r="AJ32" s="128" t="n">
        <f aca="false">N32+O32+P32+Q32+R32+S32+T32+W32+AD32+AG32</f>
        <v>34.1</v>
      </c>
      <c r="AK32" s="129" t="n">
        <f aca="false">IF(L32&lt;0,L32*-1,0)</f>
        <v>0</v>
      </c>
      <c r="AL32" s="129" t="n">
        <f aca="false">AJ32+AK32</f>
        <v>34.1</v>
      </c>
      <c r="AM32" s="205" t="n">
        <f aca="false">AM31+(W32*1.9835)</f>
        <v>5922.731</v>
      </c>
      <c r="AN32" s="130" t="n">
        <v>0</v>
      </c>
      <c r="AO32" s="206"/>
      <c r="AU32" s="207" t="n">
        <v>0.61</v>
      </c>
      <c r="AV32" s="102" t="n">
        <v>35</v>
      </c>
      <c r="AW32" s="200" t="n">
        <v>14</v>
      </c>
      <c r="AX32" s="208"/>
      <c r="AY32" s="235" t="n">
        <f aca="false">SUM(N32,P32:T32)</f>
        <v>4.1</v>
      </c>
    </row>
    <row r="33" customFormat="false" ht="12.95" hidden="false" customHeight="true" outlineLevel="0" collapsed="false">
      <c r="A33" s="173" t="n">
        <f aca="false">A32+1</f>
        <v>19</v>
      </c>
      <c r="B33" s="101" t="n">
        <v>6891.62</v>
      </c>
      <c r="C33" s="102" t="n">
        <v>253698</v>
      </c>
      <c r="D33" s="200" t="n">
        <f aca="false">C33-C32</f>
        <v>206</v>
      </c>
      <c r="E33" s="102" t="n">
        <f aca="false">C33-152000</f>
        <v>101698</v>
      </c>
      <c r="F33" s="231" t="n">
        <f aca="false">D33/$D$2</f>
        <v>103.856818754727</v>
      </c>
      <c r="G33" s="1" t="n">
        <v>31</v>
      </c>
      <c r="H33" s="4" t="n">
        <v>0.94</v>
      </c>
      <c r="I33" s="129" t="n">
        <f aca="false">G33+H33</f>
        <v>31.94</v>
      </c>
      <c r="J33" s="130" t="n">
        <f aca="false">IF(L33&gt;0,L33,0)</f>
        <v>104.516818754727</v>
      </c>
      <c r="K33" s="129" t="n">
        <f aca="false">I33+J33</f>
        <v>136.456818754727</v>
      </c>
      <c r="L33" s="129" t="n">
        <f aca="false">F33-(I33-AJ33)</f>
        <v>104.516818754727</v>
      </c>
      <c r="M33" s="233" t="n">
        <v>2.6</v>
      </c>
      <c r="N33" s="129" t="n">
        <v>0</v>
      </c>
      <c r="O33" s="129" t="n">
        <v>0</v>
      </c>
      <c r="P33" s="149" t="n">
        <v>0</v>
      </c>
      <c r="Q33" s="126" t="n">
        <f aca="false">1.477*1.02</f>
        <v>1.50654</v>
      </c>
      <c r="R33" s="126" t="n">
        <v>2.28</v>
      </c>
      <c r="S33" s="126" t="n">
        <v>0</v>
      </c>
      <c r="T33" s="91" t="n">
        <f aca="false">M33-(Q33+R33+S33)</f>
        <v>-1.18654</v>
      </c>
      <c r="U33" s="129" t="n">
        <v>0</v>
      </c>
      <c r="V33" s="129" t="n">
        <v>0</v>
      </c>
      <c r="W33" s="129" t="n">
        <f aca="false">M33-N33-O33-P33-Q33-R33-S33-T33+U33+V33</f>
        <v>0</v>
      </c>
      <c r="X33" s="129" t="n">
        <f aca="false">W33-AN33</f>
        <v>0</v>
      </c>
      <c r="Y33" s="129"/>
      <c r="Z33" s="129"/>
      <c r="AA33" s="130"/>
      <c r="AB33" s="130"/>
      <c r="AC33" s="102"/>
      <c r="AD33" s="129" t="n">
        <v>0</v>
      </c>
      <c r="AE33" s="233"/>
      <c r="AF33" s="234"/>
      <c r="AG33" s="129" t="n">
        <v>30</v>
      </c>
      <c r="AH33" s="102" t="n">
        <f aca="false">AH32-AG33</f>
        <v>2259</v>
      </c>
      <c r="AI33" s="102"/>
      <c r="AJ33" s="128" t="n">
        <f aca="false">N33+O33+P33+Q33+R33+S33+T33+W33+AD33+AG33</f>
        <v>32.6</v>
      </c>
      <c r="AK33" s="129" t="n">
        <f aca="false">IF(L33&lt;0,L33*-1,0)</f>
        <v>0</v>
      </c>
      <c r="AL33" s="129" t="n">
        <f aca="false">AJ33+AK33</f>
        <v>32.6</v>
      </c>
      <c r="AM33" s="205" t="n">
        <f aca="false">AM32+(W33*1.9835)</f>
        <v>5922.731</v>
      </c>
      <c r="AN33" s="130" t="n">
        <v>0</v>
      </c>
      <c r="AO33" s="206"/>
      <c r="AU33" s="207" t="n">
        <v>0.37</v>
      </c>
      <c r="AV33" s="102" t="n">
        <v>37</v>
      </c>
      <c r="AW33" s="200" t="n">
        <v>18</v>
      </c>
      <c r="AX33" s="208"/>
      <c r="AY33" s="235" t="n">
        <f aca="false">SUM(N33,P33:T33)</f>
        <v>2.6</v>
      </c>
    </row>
    <row r="34" customFormat="false" ht="12.95" hidden="false" customHeight="true" outlineLevel="0" collapsed="false">
      <c r="A34" s="173" t="n">
        <f aca="false">A33+1</f>
        <v>20</v>
      </c>
      <c r="B34" s="101" t="n">
        <v>6891.65</v>
      </c>
      <c r="C34" s="102" t="n">
        <v>253767</v>
      </c>
      <c r="D34" s="200" t="n">
        <f aca="false">C34-C33</f>
        <v>69</v>
      </c>
      <c r="E34" s="102" t="n">
        <f aca="false">C34-152000</f>
        <v>101767</v>
      </c>
      <c r="F34" s="231" t="n">
        <f aca="false">D34/$D$2</f>
        <v>34.7869926896899</v>
      </c>
      <c r="G34" s="1" t="n">
        <v>31</v>
      </c>
      <c r="H34" s="4" t="n">
        <v>0.98</v>
      </c>
      <c r="I34" s="129" t="n">
        <f aca="false">G34+H34</f>
        <v>31.98</v>
      </c>
      <c r="J34" s="130" t="n">
        <f aca="false">IF(L34&gt;0,L34,0)</f>
        <v>35.3069926896899</v>
      </c>
      <c r="K34" s="129" t="n">
        <f aca="false">I34+J34</f>
        <v>67.2869926896899</v>
      </c>
      <c r="L34" s="129" t="n">
        <f aca="false">F34-(I34-AJ34)</f>
        <v>35.3069926896899</v>
      </c>
      <c r="M34" s="233" t="n">
        <v>2.5</v>
      </c>
      <c r="N34" s="129" t="n">
        <v>0</v>
      </c>
      <c r="O34" s="129" t="n">
        <v>0</v>
      </c>
      <c r="P34" s="149" t="n">
        <v>0</v>
      </c>
      <c r="Q34" s="126" t="n">
        <f aca="false">1.477*1.02</f>
        <v>1.50654</v>
      </c>
      <c r="R34" s="126" t="n">
        <v>2.99</v>
      </c>
      <c r="S34" s="126" t="n">
        <v>0</v>
      </c>
      <c r="T34" s="91" t="n">
        <f aca="false">M34-(Q34+R34+S34)</f>
        <v>-1.99654</v>
      </c>
      <c r="U34" s="129" t="n">
        <v>0</v>
      </c>
      <c r="V34" s="129" t="n">
        <v>0</v>
      </c>
      <c r="W34" s="129" t="n">
        <f aca="false">M34-N34-O34-P34-Q34-R34-S34-T34+U34+V34</f>
        <v>0</v>
      </c>
      <c r="X34" s="129" t="n">
        <f aca="false">W34-AN34</f>
        <v>0</v>
      </c>
      <c r="Y34" s="129"/>
      <c r="Z34" s="129"/>
      <c r="AA34" s="130"/>
      <c r="AB34" s="130"/>
      <c r="AC34" s="102"/>
      <c r="AD34" s="129" t="n">
        <v>0</v>
      </c>
      <c r="AE34" s="233"/>
      <c r="AF34" s="234"/>
      <c r="AG34" s="129" t="n">
        <v>30</v>
      </c>
      <c r="AH34" s="102" t="n">
        <f aca="false">AH33-AG34</f>
        <v>2229</v>
      </c>
      <c r="AI34" s="102"/>
      <c r="AJ34" s="128" t="n">
        <f aca="false">N34+O34+P34+Q34+R34+S34+T34+W34+AD34+AG34</f>
        <v>32.5</v>
      </c>
      <c r="AK34" s="129" t="n">
        <f aca="false">IF(L34&lt;0,L34*-1,0)</f>
        <v>0</v>
      </c>
      <c r="AL34" s="129" t="n">
        <f aca="false">AJ34+AK34</f>
        <v>32.5</v>
      </c>
      <c r="AM34" s="205" t="n">
        <f aca="false">AM33+(W34*1.9835)</f>
        <v>5922.731</v>
      </c>
      <c r="AN34" s="130" t="n">
        <v>0</v>
      </c>
      <c r="AO34" s="206"/>
      <c r="AU34" s="207" t="n">
        <v>0.04</v>
      </c>
      <c r="AV34" s="102" t="n">
        <v>33</v>
      </c>
      <c r="AW34" s="200" t="n">
        <v>10</v>
      </c>
      <c r="AX34" s="208"/>
      <c r="AY34" s="235" t="n">
        <f aca="false">SUM(N34,P34:T34)</f>
        <v>2.5</v>
      </c>
    </row>
    <row r="35" customFormat="false" ht="12.95" hidden="false" customHeight="true" outlineLevel="0" collapsed="false">
      <c r="A35" s="173" t="n">
        <f aca="false">A34+1</f>
        <v>21</v>
      </c>
      <c r="B35" s="101" t="n">
        <v>6891.69</v>
      </c>
      <c r="C35" s="102" t="n">
        <v>253938</v>
      </c>
      <c r="D35" s="200" t="n">
        <f aca="false">C35-C34</f>
        <v>171</v>
      </c>
      <c r="E35" s="102" t="n">
        <f aca="false">C35-152000</f>
        <v>101938</v>
      </c>
      <c r="F35" s="231" t="n">
        <f aca="false">D35/$D$2</f>
        <v>86.2112427527099</v>
      </c>
      <c r="G35" s="1" t="n">
        <v>31</v>
      </c>
      <c r="H35" s="4" t="n">
        <v>1</v>
      </c>
      <c r="I35" s="129" t="n">
        <f aca="false">G35+H35</f>
        <v>32</v>
      </c>
      <c r="J35" s="130" t="n">
        <f aca="false">IF(L35&gt;0,L35,0)</f>
        <v>86.5112427527098</v>
      </c>
      <c r="K35" s="129" t="n">
        <f aca="false">I35+J35</f>
        <v>118.51124275271</v>
      </c>
      <c r="L35" s="129" t="n">
        <f aca="false">F35-(I35-AJ35)</f>
        <v>86.5112427527098</v>
      </c>
      <c r="M35" s="233" t="n">
        <v>2.3</v>
      </c>
      <c r="N35" s="129" t="n">
        <v>0</v>
      </c>
      <c r="O35" s="129" t="n">
        <v>0</v>
      </c>
      <c r="P35" s="149" t="n">
        <v>0</v>
      </c>
      <c r="Q35" s="126" t="n">
        <f aca="false">1.477*1.02</f>
        <v>1.50654</v>
      </c>
      <c r="R35" s="126" t="n">
        <v>4.2</v>
      </c>
      <c r="S35" s="126" t="n">
        <v>0.43</v>
      </c>
      <c r="T35" s="91" t="n">
        <f aca="false">M35-(Q35+R35+S35)</f>
        <v>-3.83654</v>
      </c>
      <c r="U35" s="129" t="n">
        <v>0</v>
      </c>
      <c r="V35" s="129" t="n">
        <v>0</v>
      </c>
      <c r="W35" s="129" t="n">
        <f aca="false">M35-N35-O35-P35-Q35-R35-S35-T35+U35+V35</f>
        <v>0</v>
      </c>
      <c r="X35" s="129" t="n">
        <f aca="false">W35-AN35</f>
        <v>0</v>
      </c>
      <c r="Y35" s="129"/>
      <c r="Z35" s="129"/>
      <c r="AA35" s="130"/>
      <c r="AB35" s="130"/>
      <c r="AC35" s="102"/>
      <c r="AD35" s="129" t="n">
        <v>0</v>
      </c>
      <c r="AE35" s="233"/>
      <c r="AF35" s="234"/>
      <c r="AG35" s="129" t="n">
        <v>30</v>
      </c>
      <c r="AH35" s="102" t="n">
        <f aca="false">AH34-AG35</f>
        <v>2199</v>
      </c>
      <c r="AI35" s="102"/>
      <c r="AJ35" s="128" t="n">
        <f aca="false">N35+O35+P35+Q35+R35+S35+T35+W35+AD35+AG35</f>
        <v>32.3</v>
      </c>
      <c r="AK35" s="129" t="n">
        <f aca="false">IF(L35&lt;0,L35*-1,0)</f>
        <v>0</v>
      </c>
      <c r="AL35" s="129" t="n">
        <f aca="false">AJ35+AK35</f>
        <v>32.3</v>
      </c>
      <c r="AM35" s="205" t="n">
        <f aca="false">AM34+(W35*1.9835)</f>
        <v>5922.731</v>
      </c>
      <c r="AN35" s="130" t="n">
        <v>0</v>
      </c>
      <c r="AO35" s="206"/>
      <c r="AU35" s="207" t="n">
        <v>0.92</v>
      </c>
      <c r="AV35" s="102" t="n">
        <v>36</v>
      </c>
      <c r="AW35" s="200" t="n">
        <v>13</v>
      </c>
      <c r="AX35" s="208"/>
      <c r="AY35" s="235" t="n">
        <f aca="false">SUM(N35,P35:T35)</f>
        <v>2.3</v>
      </c>
    </row>
    <row r="36" customFormat="false" ht="12.95" hidden="false" customHeight="true" outlineLevel="0" collapsed="false">
      <c r="A36" s="173" t="n">
        <f aca="false">A35+1</f>
        <v>22</v>
      </c>
      <c r="B36" s="101" t="n">
        <v>6891.81</v>
      </c>
      <c r="C36" s="102" t="n">
        <v>254350</v>
      </c>
      <c r="D36" s="200" t="n">
        <f aca="false">C36-C35</f>
        <v>412</v>
      </c>
      <c r="E36" s="102" t="n">
        <f aca="false">C36-152000</f>
        <v>102350</v>
      </c>
      <c r="F36" s="231" t="n">
        <f aca="false">D36/$D$2</f>
        <v>207.713637509453</v>
      </c>
      <c r="G36" s="1" t="n">
        <v>31</v>
      </c>
      <c r="H36" s="4" t="n">
        <v>1</v>
      </c>
      <c r="I36" s="129" t="n">
        <f aca="false">G36+H36</f>
        <v>32</v>
      </c>
      <c r="J36" s="130" t="n">
        <f aca="false">IF(L36&gt;0,L36,0)</f>
        <v>208.013637509453</v>
      </c>
      <c r="K36" s="129" t="n">
        <f aca="false">I36+J36</f>
        <v>240.013637509453</v>
      </c>
      <c r="L36" s="129" t="n">
        <f aca="false">F36-(I36-AJ36)</f>
        <v>208.013637509453</v>
      </c>
      <c r="M36" s="233" t="n">
        <v>2.3</v>
      </c>
      <c r="N36" s="129" t="n">
        <v>0</v>
      </c>
      <c r="O36" s="129" t="n">
        <v>0</v>
      </c>
      <c r="P36" s="149" t="n">
        <v>0</v>
      </c>
      <c r="Q36" s="126" t="n">
        <f aca="false">1.477*1.02</f>
        <v>1.50654</v>
      </c>
      <c r="R36" s="126" t="n">
        <v>3.79</v>
      </c>
      <c r="S36" s="126" t="n">
        <v>0</v>
      </c>
      <c r="T36" s="91" t="n">
        <f aca="false">M36-(Q36+R36+S36)</f>
        <v>-2.99654</v>
      </c>
      <c r="U36" s="129" t="n">
        <v>0</v>
      </c>
      <c r="V36" s="129" t="n">
        <v>0</v>
      </c>
      <c r="W36" s="129" t="n">
        <f aca="false">M36-N36-O36-P36-Q36-R36-S36-T36+U36+V36</f>
        <v>0</v>
      </c>
      <c r="X36" s="129" t="n">
        <f aca="false">W36-AN36</f>
        <v>0</v>
      </c>
      <c r="Y36" s="129"/>
      <c r="Z36" s="129"/>
      <c r="AA36" s="130"/>
      <c r="AB36" s="130"/>
      <c r="AC36" s="102"/>
      <c r="AD36" s="129" t="n">
        <v>0</v>
      </c>
      <c r="AE36" s="233"/>
      <c r="AF36" s="234"/>
      <c r="AG36" s="129" t="n">
        <v>30</v>
      </c>
      <c r="AH36" s="102" t="n">
        <f aca="false">AH35-AG36</f>
        <v>2169</v>
      </c>
      <c r="AI36" s="102"/>
      <c r="AJ36" s="128" t="n">
        <f aca="false">N36+O36+P36+Q36+R36+S36+T36+W36+AD36+AG36</f>
        <v>32.3</v>
      </c>
      <c r="AK36" s="129" t="n">
        <f aca="false">IF(L36&lt;0,L36*-1,0)</f>
        <v>0</v>
      </c>
      <c r="AL36" s="129" t="n">
        <f aca="false">AJ36+AK36</f>
        <v>32.3</v>
      </c>
      <c r="AM36" s="205" t="n">
        <f aca="false">AM35+(W36*1.9835)</f>
        <v>5922.731</v>
      </c>
      <c r="AN36" s="130" t="n">
        <v>0</v>
      </c>
      <c r="AO36" s="206"/>
      <c r="AU36" s="207" t="n">
        <v>0.28</v>
      </c>
      <c r="AV36" s="102" t="n">
        <v>37</v>
      </c>
      <c r="AW36" s="200" t="n">
        <v>25</v>
      </c>
      <c r="AX36" s="208"/>
      <c r="AY36" s="235" t="n">
        <f aca="false">SUM(N36,P36:T36)</f>
        <v>2.3</v>
      </c>
    </row>
    <row r="37" customFormat="false" ht="12.95" hidden="false" customHeight="true" outlineLevel="0" collapsed="false">
      <c r="A37" s="173" t="n">
        <f aca="false">A36+1</f>
        <v>23</v>
      </c>
      <c r="B37" s="101" t="n">
        <v>6891.84</v>
      </c>
      <c r="C37" s="102" t="n">
        <v>254453</v>
      </c>
      <c r="D37" s="200" t="n">
        <f aca="false">C37-C36</f>
        <v>103</v>
      </c>
      <c r="E37" s="102" t="n">
        <f aca="false">C37-152000</f>
        <v>102453</v>
      </c>
      <c r="F37" s="231" t="n">
        <f aca="false">D37/$D$2</f>
        <v>51.9284093773632</v>
      </c>
      <c r="G37" s="1" t="n">
        <v>31</v>
      </c>
      <c r="H37" s="4" t="n">
        <v>0.96</v>
      </c>
      <c r="I37" s="129" t="n">
        <f aca="false">G37+H37</f>
        <v>31.96</v>
      </c>
      <c r="J37" s="130" t="n">
        <f aca="false">IF(L37&gt;0,L37,0)</f>
        <v>52.2684093773632</v>
      </c>
      <c r="K37" s="129" t="n">
        <f aca="false">I37+J37</f>
        <v>84.2284093773633</v>
      </c>
      <c r="L37" s="129" t="n">
        <f aca="false">F37-(I37-AJ37)</f>
        <v>52.2684093773632</v>
      </c>
      <c r="M37" s="233" t="n">
        <v>2.3</v>
      </c>
      <c r="N37" s="129" t="n">
        <v>0</v>
      </c>
      <c r="O37" s="129" t="n">
        <v>0</v>
      </c>
      <c r="P37" s="149" t="n">
        <v>0</v>
      </c>
      <c r="Q37" s="126" t="n">
        <f aca="false">1.477*1.02</f>
        <v>1.50654</v>
      </c>
      <c r="R37" s="126" t="n">
        <v>1.93</v>
      </c>
      <c r="S37" s="126" t="n">
        <v>0</v>
      </c>
      <c r="T37" s="91" t="n">
        <f aca="false">M37-(Q37+R37+S37)</f>
        <v>-1.13654</v>
      </c>
      <c r="U37" s="129" t="n">
        <v>0</v>
      </c>
      <c r="V37" s="129" t="n">
        <v>0</v>
      </c>
      <c r="W37" s="129" t="n">
        <f aca="false">M37-N37-O37-P37-Q37-R37-S37-T37+U37+V37</f>
        <v>0</v>
      </c>
      <c r="X37" s="129" t="n">
        <f aca="false">W37-AN37</f>
        <v>0</v>
      </c>
      <c r="Y37" s="129"/>
      <c r="Z37" s="129"/>
      <c r="AA37" s="130"/>
      <c r="AB37" s="130"/>
      <c r="AC37" s="102"/>
      <c r="AD37" s="129" t="n">
        <v>0</v>
      </c>
      <c r="AE37" s="233"/>
      <c r="AF37" s="234"/>
      <c r="AG37" s="129" t="n">
        <v>30</v>
      </c>
      <c r="AH37" s="102" t="n">
        <f aca="false">AH36-AG37</f>
        <v>2139</v>
      </c>
      <c r="AI37" s="102"/>
      <c r="AJ37" s="128" t="n">
        <f aca="false">N37+O37+P37+Q37+R37+S37+T37+W37+AD37+AG37</f>
        <v>32.3</v>
      </c>
      <c r="AK37" s="129" t="n">
        <f aca="false">IF(L37&lt;0,L37*-1,0)</f>
        <v>0</v>
      </c>
      <c r="AL37" s="129" t="n">
        <f aca="false">AJ37+AK37</f>
        <v>32.3</v>
      </c>
      <c r="AM37" s="205" t="n">
        <f aca="false">AM36+(W37*1.9835)</f>
        <v>5922.731</v>
      </c>
      <c r="AN37" s="130" t="n">
        <v>0</v>
      </c>
      <c r="AO37" s="206"/>
      <c r="AU37" s="207" t="n">
        <v>0</v>
      </c>
      <c r="AV37" s="102" t="n">
        <v>30</v>
      </c>
      <c r="AW37" s="206" t="n">
        <v>10</v>
      </c>
      <c r="AX37" s="236"/>
      <c r="AY37" s="235" t="n">
        <f aca="false">SUM(N37,P37:T37)</f>
        <v>2.3</v>
      </c>
    </row>
    <row r="38" customFormat="false" ht="12.95" hidden="false" customHeight="true" outlineLevel="0" collapsed="false">
      <c r="A38" s="173" t="n">
        <f aca="false">A37+1</f>
        <v>24</v>
      </c>
      <c r="B38" s="101" t="n">
        <v>6891.85</v>
      </c>
      <c r="C38" s="102" t="n">
        <v>254488</v>
      </c>
      <c r="D38" s="200" t="n">
        <f aca="false">C38-C37</f>
        <v>35</v>
      </c>
      <c r="E38" s="102" t="n">
        <f aca="false">C38-152000</f>
        <v>102488</v>
      </c>
      <c r="F38" s="231" t="n">
        <f aca="false">D38/$D$2</f>
        <v>17.6455760020166</v>
      </c>
      <c r="G38" s="1" t="n">
        <v>31</v>
      </c>
      <c r="H38" s="4" t="n">
        <v>0.93</v>
      </c>
      <c r="I38" s="129" t="n">
        <f aca="false">G38+H38</f>
        <v>31.93</v>
      </c>
      <c r="J38" s="130" t="n">
        <f aca="false">IF(L38&gt;0,L38,0)</f>
        <v>18.0155760020166</v>
      </c>
      <c r="K38" s="129" t="n">
        <f aca="false">I38+J38</f>
        <v>49.9455760020166</v>
      </c>
      <c r="L38" s="129" t="n">
        <f aca="false">F38-(I38-AJ38)</f>
        <v>18.0155760020166</v>
      </c>
      <c r="M38" s="233" t="n">
        <v>2.3</v>
      </c>
      <c r="N38" s="129" t="n">
        <v>0</v>
      </c>
      <c r="O38" s="129" t="n">
        <v>0</v>
      </c>
      <c r="P38" s="149" t="n">
        <v>0</v>
      </c>
      <c r="Q38" s="126" t="n">
        <f aca="false">1.477*1.02</f>
        <v>1.50654</v>
      </c>
      <c r="R38" s="126" t="n">
        <v>1.63</v>
      </c>
      <c r="S38" s="126" t="n">
        <v>0</v>
      </c>
      <c r="T38" s="91" t="n">
        <f aca="false">M38-(Q38+R38+S38)</f>
        <v>-0.83654</v>
      </c>
      <c r="U38" s="129" t="n">
        <v>0</v>
      </c>
      <c r="V38" s="129" t="n">
        <v>0</v>
      </c>
      <c r="W38" s="129" t="n">
        <f aca="false">M38-N38-O38-P38-Q38-R38-S38-T38+U38+V38</f>
        <v>0</v>
      </c>
      <c r="X38" s="129" t="n">
        <f aca="false">W38-AN38</f>
        <v>0</v>
      </c>
      <c r="Y38" s="129"/>
      <c r="Z38" s="129"/>
      <c r="AA38" s="130"/>
      <c r="AB38" s="130"/>
      <c r="AC38" s="102"/>
      <c r="AD38" s="129" t="n">
        <v>0</v>
      </c>
      <c r="AE38" s="233"/>
      <c r="AF38" s="234"/>
      <c r="AG38" s="129" t="n">
        <v>30</v>
      </c>
      <c r="AH38" s="102" t="n">
        <f aca="false">AH37-AG38</f>
        <v>2109</v>
      </c>
      <c r="AI38" s="102"/>
      <c r="AJ38" s="128" t="n">
        <f aca="false">N38+O38+P38+Q38+R38+S38+T38+W38+AD38+AG38</f>
        <v>32.3</v>
      </c>
      <c r="AK38" s="129" t="n">
        <f aca="false">IF(L38&lt;0,L38*-1,0)</f>
        <v>0</v>
      </c>
      <c r="AL38" s="129" t="n">
        <f aca="false">AJ38+AK38</f>
        <v>32.3</v>
      </c>
      <c r="AM38" s="205" t="n">
        <f aca="false">AM37+(W38*1.9835)</f>
        <v>5922.731</v>
      </c>
      <c r="AN38" s="130" t="n">
        <v>0</v>
      </c>
      <c r="AO38" s="206"/>
      <c r="AU38" s="207" t="n">
        <v>0</v>
      </c>
      <c r="AV38" s="102" t="n">
        <v>27</v>
      </c>
      <c r="AW38" s="206" t="n">
        <v>-3</v>
      </c>
      <c r="AX38" s="236"/>
      <c r="AY38" s="235" t="n">
        <f aca="false">SUM(N38,P38:T38)</f>
        <v>2.3</v>
      </c>
    </row>
    <row r="39" customFormat="false" ht="12.95" hidden="false" customHeight="true" outlineLevel="0" collapsed="false">
      <c r="A39" s="173" t="n">
        <f aca="false">A38+1</f>
        <v>25</v>
      </c>
      <c r="B39" s="101" t="n">
        <v>6891.84</v>
      </c>
      <c r="C39" s="102" t="n">
        <v>254453</v>
      </c>
      <c r="D39" s="200" t="n">
        <f aca="false">C39-C38</f>
        <v>-35</v>
      </c>
      <c r="E39" s="102" t="n">
        <f aca="false">C39-152000</f>
        <v>102453</v>
      </c>
      <c r="F39" s="231" t="n">
        <f aca="false">D39/$D$2</f>
        <v>-17.6455760020166</v>
      </c>
      <c r="G39" s="1" t="n">
        <v>31</v>
      </c>
      <c r="H39" s="4" t="n">
        <v>0.89</v>
      </c>
      <c r="I39" s="129" t="n">
        <f aca="false">G39+H39</f>
        <v>31.89</v>
      </c>
      <c r="J39" s="130" t="n">
        <f aca="false">IF(L39&gt;0,L39,0)</f>
        <v>0</v>
      </c>
      <c r="K39" s="129" t="n">
        <f aca="false">I39+J39</f>
        <v>31.89</v>
      </c>
      <c r="L39" s="129" t="n">
        <f aca="false">F39-(I39-AJ39)</f>
        <v>-6.13557600201664</v>
      </c>
      <c r="M39" s="233" t="n">
        <v>3.8</v>
      </c>
      <c r="N39" s="129" t="n">
        <v>0</v>
      </c>
      <c r="O39" s="129" t="n">
        <v>0</v>
      </c>
      <c r="P39" s="149" t="n">
        <v>0</v>
      </c>
      <c r="Q39" s="126" t="n">
        <f aca="false">1.477*1.02</f>
        <v>1.50654</v>
      </c>
      <c r="R39" s="126" t="n">
        <v>2.17</v>
      </c>
      <c r="S39" s="126" t="n">
        <v>0</v>
      </c>
      <c r="T39" s="91" t="n">
        <f aca="false">M39-(Q39+R39+S39)</f>
        <v>0.12346</v>
      </c>
      <c r="U39" s="129" t="n">
        <v>9.6</v>
      </c>
      <c r="V39" s="129" t="n">
        <v>0</v>
      </c>
      <c r="W39" s="129" t="n">
        <f aca="false">M39-N39-O39-P39-Q39-R39-S39-T39+U39+V39</f>
        <v>9.6</v>
      </c>
      <c r="X39" s="129" t="n">
        <f aca="false">W39-AN39</f>
        <v>9.6</v>
      </c>
      <c r="Y39" s="129"/>
      <c r="Z39" s="129"/>
      <c r="AA39" s="130"/>
      <c r="AB39" s="130"/>
      <c r="AC39" s="102"/>
      <c r="AD39" s="129" t="n">
        <v>0</v>
      </c>
      <c r="AE39" s="233"/>
      <c r="AF39" s="234"/>
      <c r="AG39" s="129" t="n">
        <v>30</v>
      </c>
      <c r="AH39" s="102" t="n">
        <f aca="false">AH38-AG39</f>
        <v>2079</v>
      </c>
      <c r="AI39" s="102"/>
      <c r="AJ39" s="128" t="n">
        <f aca="false">N39+O39+P39+Q39+R39+S39+T39+W39+AD39+AG39</f>
        <v>43.4</v>
      </c>
      <c r="AK39" s="129" t="n">
        <f aca="false">IF(L39&lt;0,L39*-1,0)</f>
        <v>6.13557600201664</v>
      </c>
      <c r="AL39" s="129" t="n">
        <f aca="false">AJ39+AK39</f>
        <v>49.5355760020166</v>
      </c>
      <c r="AM39" s="205" t="n">
        <f aca="false">AM38+(W39*1.9835)</f>
        <v>5941.7726</v>
      </c>
      <c r="AN39" s="130" t="n">
        <v>0</v>
      </c>
      <c r="AO39" s="206"/>
      <c r="AU39" s="207" t="n">
        <v>0</v>
      </c>
      <c r="AV39" s="102" t="n">
        <v>26</v>
      </c>
      <c r="AW39" s="206" t="n">
        <v>-8</v>
      </c>
      <c r="AX39" s="236"/>
      <c r="AY39" s="235" t="n">
        <f aca="false">SUM(N39,P39:T39)</f>
        <v>3.8</v>
      </c>
    </row>
    <row r="40" customFormat="false" ht="12.95" hidden="false" customHeight="true" outlineLevel="0" collapsed="false">
      <c r="A40" s="173" t="n">
        <f aca="false">A39+1</f>
        <v>26</v>
      </c>
      <c r="B40" s="101" t="n">
        <v>6891.82</v>
      </c>
      <c r="C40" s="102" t="n">
        <v>254385</v>
      </c>
      <c r="D40" s="200" t="n">
        <f aca="false">C40-C39</f>
        <v>-68</v>
      </c>
      <c r="E40" s="102" t="n">
        <f aca="false">C40-152000</f>
        <v>102385</v>
      </c>
      <c r="F40" s="231" t="n">
        <f aca="false">D40/$D$2</f>
        <v>-34.2828333753466</v>
      </c>
      <c r="G40" s="1" t="n">
        <v>31</v>
      </c>
      <c r="H40" s="4" t="n">
        <v>0.9</v>
      </c>
      <c r="I40" s="129" t="n">
        <f aca="false">G40+H40</f>
        <v>31.9</v>
      </c>
      <c r="J40" s="130" t="n">
        <f aca="false">IF(L40&gt;0,L40,0)</f>
        <v>0</v>
      </c>
      <c r="K40" s="129" t="n">
        <f aca="false">I40+J40</f>
        <v>31.9</v>
      </c>
      <c r="L40" s="129" t="n">
        <f aca="false">F40-(I40-AJ40)</f>
        <v>-7.9828333753466</v>
      </c>
      <c r="M40" s="233" t="n">
        <v>5.2</v>
      </c>
      <c r="N40" s="129" t="n">
        <v>0</v>
      </c>
      <c r="O40" s="129" t="n">
        <v>0</v>
      </c>
      <c r="P40" s="149" t="n">
        <v>0</v>
      </c>
      <c r="Q40" s="126" t="n">
        <f aca="false">1.477*1.02</f>
        <v>1.50654</v>
      </c>
      <c r="R40" s="126" t="n">
        <v>2.17</v>
      </c>
      <c r="S40" s="126" t="n">
        <v>0</v>
      </c>
      <c r="T40" s="91" t="n">
        <f aca="false">M40-(Q40+R40+S40)</f>
        <v>1.52346</v>
      </c>
      <c r="U40" s="129" t="n">
        <v>23</v>
      </c>
      <c r="V40" s="129" t="n">
        <v>0</v>
      </c>
      <c r="W40" s="129" t="n">
        <f aca="false">M40-N40-O40-P40-Q40-R40-S40-T40+U40+V40</f>
        <v>23</v>
      </c>
      <c r="X40" s="129" t="n">
        <f aca="false">W40-AN40</f>
        <v>23</v>
      </c>
      <c r="Y40" s="129"/>
      <c r="Z40" s="129"/>
      <c r="AA40" s="130"/>
      <c r="AB40" s="130"/>
      <c r="AC40" s="102"/>
      <c r="AD40" s="129" t="n">
        <v>0</v>
      </c>
      <c r="AE40" s="233"/>
      <c r="AF40" s="234"/>
      <c r="AG40" s="129" t="n">
        <v>30</v>
      </c>
      <c r="AH40" s="102" t="n">
        <f aca="false">AH39-AG40</f>
        <v>2049</v>
      </c>
      <c r="AI40" s="102"/>
      <c r="AJ40" s="128" t="n">
        <f aca="false">N40+O40+P40+Q40+R40+S40+T40+W40+AD40+AG40</f>
        <v>58.2</v>
      </c>
      <c r="AK40" s="129" t="n">
        <f aca="false">IF(L40&lt;0,L40*-1,0)</f>
        <v>7.9828333753466</v>
      </c>
      <c r="AL40" s="129" t="n">
        <f aca="false">AJ40+AK40</f>
        <v>66.1828333753466</v>
      </c>
      <c r="AM40" s="205" t="n">
        <f aca="false">AM39+(W40*1.9835)</f>
        <v>5987.3931</v>
      </c>
      <c r="AN40" s="130" t="n">
        <v>0</v>
      </c>
      <c r="AO40" s="206"/>
      <c r="AU40" s="207" t="n">
        <v>0</v>
      </c>
      <c r="AV40" s="102" t="n">
        <v>32</v>
      </c>
      <c r="AW40" s="200" t="n">
        <v>-3</v>
      </c>
      <c r="AX40" s="208"/>
      <c r="AY40" s="235" t="n">
        <f aca="false">SUM(N40,P40:T40)</f>
        <v>5.2</v>
      </c>
    </row>
    <row r="41" customFormat="false" ht="12.95" hidden="false" customHeight="true" outlineLevel="0" collapsed="false">
      <c r="A41" s="173" t="n">
        <f aca="false">A40+1</f>
        <v>27</v>
      </c>
      <c r="B41" s="101" t="n">
        <v>6891.8</v>
      </c>
      <c r="C41" s="102" t="n">
        <v>254316</v>
      </c>
      <c r="D41" s="200" t="n">
        <f aca="false">C41-C40</f>
        <v>-69</v>
      </c>
      <c r="E41" s="102" t="n">
        <f aca="false">C41-152000</f>
        <v>102316</v>
      </c>
      <c r="F41" s="231" t="n">
        <f aca="false">D41/$D$2</f>
        <v>-34.7869926896899</v>
      </c>
      <c r="G41" s="1" t="n">
        <v>31</v>
      </c>
      <c r="H41" s="4" t="n">
        <v>0.9</v>
      </c>
      <c r="I41" s="129" t="n">
        <f aca="false">G41+H41</f>
        <v>31.9</v>
      </c>
      <c r="J41" s="130" t="n">
        <f aca="false">IF(L41&gt;0,L41,0)</f>
        <v>0</v>
      </c>
      <c r="K41" s="129" t="n">
        <f aca="false">I41+J41</f>
        <v>31.9</v>
      </c>
      <c r="L41" s="129" t="n">
        <f aca="false">F41-(I41-AJ41)</f>
        <v>-1.38699268968994</v>
      </c>
      <c r="M41" s="233" t="n">
        <v>4.3</v>
      </c>
      <c r="N41" s="129" t="n">
        <v>0</v>
      </c>
      <c r="O41" s="129" t="n">
        <v>0</v>
      </c>
      <c r="P41" s="149" t="n">
        <v>0</v>
      </c>
      <c r="Q41" s="126" t="n">
        <f aca="false">1.477*1.02</f>
        <v>1.50654</v>
      </c>
      <c r="R41" s="126" t="n">
        <v>2.11</v>
      </c>
      <c r="S41" s="126" t="n">
        <v>0</v>
      </c>
      <c r="T41" s="91" t="n">
        <f aca="false">M41-(Q41+R41+S41)</f>
        <v>0.68346</v>
      </c>
      <c r="U41" s="129" t="n">
        <v>31</v>
      </c>
      <c r="V41" s="129" t="n">
        <v>0</v>
      </c>
      <c r="W41" s="129" t="n">
        <f aca="false">M41-N41-O41-P41-Q41-R41-S41-T41+U41+V41</f>
        <v>31</v>
      </c>
      <c r="X41" s="129" t="n">
        <f aca="false">W41-AN41</f>
        <v>31</v>
      </c>
      <c r="Y41" s="129"/>
      <c r="Z41" s="129"/>
      <c r="AA41" s="130"/>
      <c r="AB41" s="130"/>
      <c r="AC41" s="102"/>
      <c r="AD41" s="129" t="n">
        <v>0</v>
      </c>
      <c r="AE41" s="233"/>
      <c r="AF41" s="234"/>
      <c r="AG41" s="129" t="n">
        <v>30</v>
      </c>
      <c r="AH41" s="102" t="n">
        <f aca="false">AH40-AG41</f>
        <v>2019</v>
      </c>
      <c r="AI41" s="102"/>
      <c r="AJ41" s="128" t="n">
        <f aca="false">N41+O41+P41+Q41+R41+S41+T41+W41+AD41+AG41</f>
        <v>65.3</v>
      </c>
      <c r="AK41" s="129" t="n">
        <f aca="false">IF(L41&lt;0,L41*-1,0)</f>
        <v>1.38699268968994</v>
      </c>
      <c r="AL41" s="129" t="n">
        <f aca="false">AJ41+AK41</f>
        <v>66.6869926896899</v>
      </c>
      <c r="AM41" s="205" t="n">
        <f aca="false">AM40+(W41*1.9835)</f>
        <v>6048.8816</v>
      </c>
      <c r="AN41" s="130" t="n">
        <v>0</v>
      </c>
      <c r="AO41" s="206"/>
      <c r="AU41" s="207" t="n">
        <v>0.21</v>
      </c>
      <c r="AV41" s="102" t="n">
        <v>38</v>
      </c>
      <c r="AW41" s="200" t="n">
        <v>5</v>
      </c>
      <c r="AX41" s="208"/>
      <c r="AY41" s="235" t="n">
        <f aca="false">SUM(N41,P41:T41)</f>
        <v>4.3</v>
      </c>
    </row>
    <row r="42" customFormat="false" ht="12.95" hidden="false" customHeight="true" outlineLevel="0" collapsed="false">
      <c r="A42" s="173" t="n">
        <f aca="false">A41+1</f>
        <v>28</v>
      </c>
      <c r="B42" s="101" t="n">
        <v>6891.77</v>
      </c>
      <c r="C42" s="102" t="n">
        <v>254213</v>
      </c>
      <c r="D42" s="200" t="n">
        <f aca="false">C42-C41</f>
        <v>-103</v>
      </c>
      <c r="E42" s="102" t="n">
        <f aca="false">C42-152000</f>
        <v>102213</v>
      </c>
      <c r="F42" s="231" t="n">
        <f aca="false">D42/$D$2</f>
        <v>-51.9284093773632</v>
      </c>
      <c r="G42" s="1" t="n">
        <v>31</v>
      </c>
      <c r="H42" s="4" t="n">
        <v>0.89</v>
      </c>
      <c r="I42" s="129" t="n">
        <f aca="false">G42+H42</f>
        <v>31.89</v>
      </c>
      <c r="J42" s="130" t="n">
        <f aca="false">IF(L42&gt;0,L42,0)</f>
        <v>0</v>
      </c>
      <c r="K42" s="129" t="n">
        <f aca="false">I42+J42</f>
        <v>31.89</v>
      </c>
      <c r="L42" s="129" t="n">
        <f aca="false">F42-(I42-AJ42)</f>
        <v>-14.2184093773633</v>
      </c>
      <c r="M42" s="233" t="n">
        <v>4.6</v>
      </c>
      <c r="N42" s="129" t="n">
        <v>0</v>
      </c>
      <c r="O42" s="129" t="n">
        <v>0</v>
      </c>
      <c r="P42" s="149" t="n">
        <v>0</v>
      </c>
      <c r="Q42" s="126" t="n">
        <f aca="false">1.477*1.02</f>
        <v>1.50654</v>
      </c>
      <c r="R42" s="126" t="n">
        <v>2.38</v>
      </c>
      <c r="S42" s="126" t="n">
        <v>0</v>
      </c>
      <c r="T42" s="91" t="n">
        <f aca="false">M42-(Q42+R42+S42)</f>
        <v>0.71346</v>
      </c>
      <c r="U42" s="129" t="n">
        <v>35</v>
      </c>
      <c r="V42" s="129" t="n">
        <v>0</v>
      </c>
      <c r="W42" s="129" t="n">
        <f aca="false">M42-N42-O42-P42-Q42-R42-S42-T42+U42+V42</f>
        <v>35</v>
      </c>
      <c r="X42" s="129" t="n">
        <f aca="false">W42-AN42</f>
        <v>35</v>
      </c>
      <c r="Y42" s="129"/>
      <c r="Z42" s="129"/>
      <c r="AA42" s="130"/>
      <c r="AB42" s="130"/>
      <c r="AC42" s="102"/>
      <c r="AD42" s="129" t="n">
        <v>0</v>
      </c>
      <c r="AE42" s="233"/>
      <c r="AF42" s="234"/>
      <c r="AG42" s="129" t="n">
        <v>30</v>
      </c>
      <c r="AH42" s="102" t="n">
        <f aca="false">AH41-AG42</f>
        <v>1989</v>
      </c>
      <c r="AI42" s="102"/>
      <c r="AJ42" s="128" t="n">
        <f aca="false">N42+O42+P42+Q42+R42+S42+T42+W42+AD42+AG42</f>
        <v>69.6</v>
      </c>
      <c r="AK42" s="129" t="n">
        <f aca="false">IF(L42&lt;0,L42*-1,0)</f>
        <v>14.2184093773633</v>
      </c>
      <c r="AL42" s="129" t="n">
        <f aca="false">AJ42+AK42</f>
        <v>83.8184093773632</v>
      </c>
      <c r="AM42" s="205" t="n">
        <f aca="false">AM41+(W42*1.9835)</f>
        <v>6118.3041</v>
      </c>
      <c r="AN42" s="130" t="n">
        <v>0</v>
      </c>
      <c r="AO42" s="206"/>
      <c r="AU42" s="207" t="n">
        <v>0.12</v>
      </c>
      <c r="AV42" s="102" t="n">
        <v>38</v>
      </c>
      <c r="AW42" s="200" t="n">
        <v>29</v>
      </c>
      <c r="AX42" s="208"/>
      <c r="AY42" s="235" t="n">
        <f aca="false">SUM(N42,P42:T42)</f>
        <v>4.6</v>
      </c>
    </row>
    <row r="43" customFormat="false" ht="12.95" hidden="false" customHeight="true" outlineLevel="0" collapsed="false">
      <c r="A43" s="173" t="n">
        <f aca="false">A42+1</f>
        <v>29</v>
      </c>
      <c r="B43" s="101" t="n">
        <v>6891.74</v>
      </c>
      <c r="C43" s="102" t="n">
        <v>254110</v>
      </c>
      <c r="D43" s="200" t="n">
        <f aca="false">C43-C42</f>
        <v>-103</v>
      </c>
      <c r="E43" s="102" t="n">
        <f aca="false">C43-152000</f>
        <v>102110</v>
      </c>
      <c r="F43" s="231" t="n">
        <f aca="false">D43/$D$2</f>
        <v>-51.9284093773632</v>
      </c>
      <c r="G43" s="1" t="n">
        <v>31</v>
      </c>
      <c r="H43" s="4" t="n">
        <v>0.81</v>
      </c>
      <c r="I43" s="129" t="n">
        <f aca="false">G43+H43</f>
        <v>31.81</v>
      </c>
      <c r="J43" s="130" t="n">
        <f aca="false">IF(L43&gt;0,L43,0)</f>
        <v>0</v>
      </c>
      <c r="K43" s="129" t="n">
        <f aca="false">I43+J43</f>
        <v>31.81</v>
      </c>
      <c r="L43" s="129" t="n">
        <f aca="false">F43-(I43-AJ43)</f>
        <v>-14.1384093773633</v>
      </c>
      <c r="M43" s="233" t="n">
        <v>4.6</v>
      </c>
      <c r="N43" s="129" t="n">
        <v>0</v>
      </c>
      <c r="O43" s="129" t="n">
        <v>0</v>
      </c>
      <c r="P43" s="149" t="n">
        <v>0</v>
      </c>
      <c r="Q43" s="126" t="n">
        <f aca="false">1.477*1.02</f>
        <v>1.50654</v>
      </c>
      <c r="R43" s="126" t="n">
        <v>2.28</v>
      </c>
      <c r="S43" s="126" t="n">
        <v>0</v>
      </c>
      <c r="T43" s="91" t="n">
        <f aca="false">M43-(Q43+R43+S43)</f>
        <v>0.81346</v>
      </c>
      <c r="U43" s="129" t="n">
        <v>35</v>
      </c>
      <c r="V43" s="129" t="n">
        <v>0</v>
      </c>
      <c r="W43" s="129" t="n">
        <f aca="false">M43-N43-O43-P43-Q43-R43-S43-T43+U43+V43</f>
        <v>35</v>
      </c>
      <c r="X43" s="129" t="n">
        <f aca="false">W43-AN43</f>
        <v>35</v>
      </c>
      <c r="Y43" s="129"/>
      <c r="Z43" s="129"/>
      <c r="AA43" s="130"/>
      <c r="AB43" s="130"/>
      <c r="AC43" s="102"/>
      <c r="AD43" s="129" t="n">
        <v>0</v>
      </c>
      <c r="AE43" s="233"/>
      <c r="AF43" s="234"/>
      <c r="AG43" s="129" t="n">
        <v>30</v>
      </c>
      <c r="AH43" s="102" t="n">
        <f aca="false">AH42-AG43</f>
        <v>1959</v>
      </c>
      <c r="AI43" s="102"/>
      <c r="AJ43" s="128" t="n">
        <f aca="false">N43+O43+P43+Q43+R43+S43+T43+W43+AD43+AG43</f>
        <v>69.6</v>
      </c>
      <c r="AK43" s="129" t="n">
        <f aca="false">IF(L43&lt;0,L43*-1,0)</f>
        <v>14.1384093773633</v>
      </c>
      <c r="AL43" s="129" t="n">
        <f aca="false">AJ43+AK43</f>
        <v>83.7384093773632</v>
      </c>
      <c r="AM43" s="205" t="n">
        <f aca="false">AM42+(W43*1.9835)</f>
        <v>6187.7266</v>
      </c>
      <c r="AN43" s="130" t="n">
        <v>0</v>
      </c>
      <c r="AO43" s="206"/>
      <c r="AU43" s="207" t="n">
        <v>0</v>
      </c>
      <c r="AV43" s="102" t="n">
        <v>32</v>
      </c>
      <c r="AW43" s="200" t="n">
        <v>24</v>
      </c>
      <c r="AX43" s="208"/>
      <c r="AY43" s="235" t="n">
        <f aca="false">SUM(N43,P43:T43)</f>
        <v>4.6</v>
      </c>
    </row>
    <row r="44" customFormat="false" ht="12.95" hidden="false" customHeight="true" outlineLevel="0" collapsed="false">
      <c r="A44" s="173" t="n">
        <v>30</v>
      </c>
      <c r="B44" s="101" t="n">
        <v>6891.71</v>
      </c>
      <c r="C44" s="102" t="n">
        <v>254007</v>
      </c>
      <c r="D44" s="200" t="n">
        <f aca="false">C44-C43</f>
        <v>-103</v>
      </c>
      <c r="E44" s="102" t="n">
        <f aca="false">C44-152000</f>
        <v>102007</v>
      </c>
      <c r="F44" s="231" t="n">
        <f aca="false">D44/$D$2</f>
        <v>-51.9284093773632</v>
      </c>
      <c r="G44" s="1" t="n">
        <v>31</v>
      </c>
      <c r="H44" s="4" t="n">
        <v>0.95</v>
      </c>
      <c r="I44" s="129" t="n">
        <f aca="false">G44+H44</f>
        <v>31.95</v>
      </c>
      <c r="J44" s="130" t="n">
        <f aca="false">IF(L44&gt;0,L44,0)</f>
        <v>0</v>
      </c>
      <c r="K44" s="129" t="n">
        <f aca="false">I44+J44</f>
        <v>31.95</v>
      </c>
      <c r="L44" s="129" t="n">
        <f aca="false">F44-(I44-AJ44)</f>
        <v>-14.2784093773633</v>
      </c>
      <c r="M44" s="233" t="n">
        <v>4.6</v>
      </c>
      <c r="N44" s="129" t="n">
        <v>0</v>
      </c>
      <c r="O44" s="129" t="n">
        <v>0</v>
      </c>
      <c r="P44" s="149" t="n">
        <v>0</v>
      </c>
      <c r="Q44" s="126" t="n">
        <f aca="false">1.477*1.02</f>
        <v>1.50654</v>
      </c>
      <c r="R44" s="126" t="n">
        <v>2.29</v>
      </c>
      <c r="S44" s="126" t="n">
        <v>0</v>
      </c>
      <c r="T44" s="91" t="n">
        <f aca="false">M44-(Q44+R44+S44)</f>
        <v>0.803459999999999</v>
      </c>
      <c r="U44" s="129" t="n">
        <v>35</v>
      </c>
      <c r="V44" s="129" t="n">
        <v>0</v>
      </c>
      <c r="W44" s="129" t="n">
        <f aca="false">M44-N44-O44-P44-Q44-R44-S44-T44+U44+V44</f>
        <v>35</v>
      </c>
      <c r="X44" s="129" t="n">
        <f aca="false">W44-AN44</f>
        <v>35</v>
      </c>
      <c r="Y44" s="129"/>
      <c r="Z44" s="129"/>
      <c r="AA44" s="130"/>
      <c r="AB44" s="130"/>
      <c r="AC44" s="102"/>
      <c r="AD44" s="129" t="n">
        <v>0</v>
      </c>
      <c r="AE44" s="233"/>
      <c r="AF44" s="234"/>
      <c r="AG44" s="129" t="n">
        <v>30</v>
      </c>
      <c r="AH44" s="102" t="n">
        <f aca="false">AH43-AG44</f>
        <v>1929</v>
      </c>
      <c r="AI44" s="102"/>
      <c r="AJ44" s="128" t="n">
        <f aca="false">N44+O44+P44+Q44+R44+S44+T44+W44+AD44+AG44</f>
        <v>69.6</v>
      </c>
      <c r="AK44" s="129" t="n">
        <f aca="false">IF(L44&lt;0,L44*-1,0)</f>
        <v>14.2784093773633</v>
      </c>
      <c r="AL44" s="129" t="n">
        <f aca="false">AJ44+AK44</f>
        <v>83.8784093773633</v>
      </c>
      <c r="AM44" s="205" t="n">
        <f aca="false">AM43+(W44*1.9835)</f>
        <v>6257.1491</v>
      </c>
      <c r="AN44" s="130" t="n">
        <v>0</v>
      </c>
      <c r="AO44" s="206"/>
      <c r="AU44" s="207" t="n">
        <v>0</v>
      </c>
      <c r="AV44" s="102" t="n">
        <v>36</v>
      </c>
      <c r="AW44" s="200" t="n">
        <v>12</v>
      </c>
      <c r="AX44" s="208"/>
      <c r="AY44" s="235" t="n">
        <f aca="false">SUM(N44,P44:T44)</f>
        <v>4.6</v>
      </c>
    </row>
    <row r="45" customFormat="false" ht="12.95" hidden="false" customHeight="true" outlineLevel="0" collapsed="false">
      <c r="A45" s="173" t="n">
        <v>31</v>
      </c>
      <c r="B45" s="101" t="n">
        <v>6891.68</v>
      </c>
      <c r="C45" s="102" t="n">
        <v>253904</v>
      </c>
      <c r="D45" s="200" t="n">
        <f aca="false">C45-C44</f>
        <v>-103</v>
      </c>
      <c r="E45" s="102" t="n">
        <f aca="false">C45-152000</f>
        <v>101904</v>
      </c>
      <c r="F45" s="231" t="n">
        <f aca="false">D45/$D$2</f>
        <v>-51.9284093773632</v>
      </c>
      <c r="G45" s="1" t="n">
        <v>31</v>
      </c>
      <c r="H45" s="4" t="n">
        <v>1</v>
      </c>
      <c r="I45" s="129" t="n">
        <f aca="false">G45+H45</f>
        <v>32</v>
      </c>
      <c r="J45" s="130" t="n">
        <f aca="false">IF(L45&gt;0,L45,0)</f>
        <v>0</v>
      </c>
      <c r="K45" s="129" t="n">
        <f aca="false">I45+J45</f>
        <v>32</v>
      </c>
      <c r="L45" s="129" t="n">
        <f aca="false">F45-(I45-AJ45)</f>
        <v>-14.3284093773633</v>
      </c>
      <c r="M45" s="233" t="n">
        <v>4.6</v>
      </c>
      <c r="N45" s="129" t="n">
        <v>0</v>
      </c>
      <c r="O45" s="129" t="n">
        <v>0</v>
      </c>
      <c r="P45" s="149" t="n">
        <v>0</v>
      </c>
      <c r="Q45" s="126" t="n">
        <f aca="false">1.477*1.02</f>
        <v>1.50654</v>
      </c>
      <c r="R45" s="126" t="n">
        <v>2.18</v>
      </c>
      <c r="S45" s="126" t="n">
        <v>0</v>
      </c>
      <c r="T45" s="91" t="n">
        <f aca="false">M45-(Q45+R45+S45)</f>
        <v>0.913459999999999</v>
      </c>
      <c r="U45" s="129" t="n">
        <v>35</v>
      </c>
      <c r="V45" s="129" t="n">
        <v>0</v>
      </c>
      <c r="W45" s="129" t="n">
        <f aca="false">M45-N45-O45-P45-Q45-R45-S45-T45+U45+V45</f>
        <v>35</v>
      </c>
      <c r="X45" s="129" t="n">
        <f aca="false">W45-AN45</f>
        <v>35</v>
      </c>
      <c r="Y45" s="129"/>
      <c r="Z45" s="129"/>
      <c r="AA45" s="130"/>
      <c r="AB45" s="130"/>
      <c r="AC45" s="102"/>
      <c r="AD45" s="129" t="n">
        <v>0</v>
      </c>
      <c r="AE45" s="233"/>
      <c r="AF45" s="234"/>
      <c r="AG45" s="129" t="n">
        <v>30</v>
      </c>
      <c r="AH45" s="102" t="n">
        <f aca="false">AH44-AG45</f>
        <v>1899</v>
      </c>
      <c r="AI45" s="102"/>
      <c r="AJ45" s="128" t="n">
        <f aca="false">N45+O45+P45+Q45+R45+S45+T45+W45+AD45+AG45</f>
        <v>69.6</v>
      </c>
      <c r="AK45" s="129" t="n">
        <f aca="false">IF(L45&lt;0,L45*-1,0)</f>
        <v>14.3284093773633</v>
      </c>
      <c r="AL45" s="129" t="n">
        <f aca="false">AJ45+AK45</f>
        <v>83.9284093773632</v>
      </c>
      <c r="AM45" s="205" t="n">
        <f aca="false">AM44+(W45*1.9835)</f>
        <v>6326.5716</v>
      </c>
      <c r="AN45" s="130" t="n">
        <v>0</v>
      </c>
      <c r="AO45" s="206"/>
      <c r="AU45" s="207" t="n">
        <v>0</v>
      </c>
      <c r="AV45" s="102" t="n">
        <v>39</v>
      </c>
      <c r="AW45" s="200" t="n">
        <v>16</v>
      </c>
      <c r="AX45" s="208"/>
      <c r="AY45" s="235" t="n">
        <f aca="false">SUM(N45,P45:T45)</f>
        <v>4.6</v>
      </c>
    </row>
    <row r="46" customFormat="false" ht="3" hidden="false" customHeight="true" outlineLevel="0" collapsed="false">
      <c r="A46" s="216"/>
      <c r="B46" s="237"/>
      <c r="C46" s="218"/>
      <c r="D46" s="219"/>
      <c r="E46" s="218"/>
      <c r="F46" s="220"/>
      <c r="G46" s="219"/>
      <c r="H46" s="221"/>
      <c r="I46" s="219"/>
      <c r="J46" s="219"/>
      <c r="K46" s="219"/>
      <c r="L46" s="219"/>
      <c r="M46" s="219"/>
      <c r="N46" s="219"/>
      <c r="O46" s="219"/>
      <c r="P46" s="223"/>
      <c r="Q46" s="219"/>
      <c r="R46" s="219"/>
      <c r="S46" s="219"/>
      <c r="T46" s="224"/>
      <c r="U46" s="219"/>
      <c r="V46" s="219"/>
      <c r="W46" s="219" t="n">
        <f aca="false">M46-N46-O46-Q46-R46-S46+U46+V46</f>
        <v>0</v>
      </c>
      <c r="X46" s="219" t="n">
        <f aca="false">N46-O46-P46-R46-S46-T46+V46+W46</f>
        <v>0</v>
      </c>
      <c r="Y46" s="219"/>
      <c r="Z46" s="219"/>
      <c r="AA46" s="225"/>
      <c r="AB46" s="225"/>
      <c r="AC46" s="218"/>
      <c r="AD46" s="219"/>
      <c r="AE46" s="222"/>
      <c r="AF46" s="226"/>
      <c r="AG46" s="238"/>
      <c r="AH46" s="219"/>
      <c r="AI46" s="219"/>
      <c r="AJ46" s="219" t="n">
        <f aca="false">N46+O46+Q46+R46+S46+W46+AD46+AG46</f>
        <v>0</v>
      </c>
      <c r="AK46" s="219"/>
      <c r="AL46" s="219"/>
      <c r="AM46" s="227"/>
      <c r="AN46" s="225"/>
      <c r="AO46" s="228"/>
      <c r="AP46" s="229"/>
      <c r="AQ46" s="229"/>
      <c r="AR46" s="229"/>
      <c r="AS46" s="229"/>
      <c r="AT46" s="228"/>
      <c r="AU46" s="230"/>
      <c r="AV46" s="228"/>
      <c r="AW46" s="228" t="s">
        <v>111</v>
      </c>
      <c r="AX46" s="239"/>
      <c r="AY46" s="240" t="s">
        <v>111</v>
      </c>
    </row>
    <row r="47" customFormat="false" ht="12.95" hidden="false" customHeight="true" outlineLevel="0" collapsed="false">
      <c r="A47" s="175" t="s">
        <v>99</v>
      </c>
      <c r="B47" s="198"/>
      <c r="C47" s="102"/>
      <c r="D47" s="102"/>
      <c r="E47" s="102"/>
      <c r="F47" s="199" t="n">
        <f aca="false">SUM(F15:F45)</f>
        <v>276.78346357449</v>
      </c>
      <c r="G47" s="102" t="n">
        <f aca="false">SUM(G15:G45)</f>
        <v>957</v>
      </c>
      <c r="H47" s="102" t="n">
        <f aca="false">SUM(H15:H45)</f>
        <v>21.79</v>
      </c>
      <c r="I47" s="102" t="n">
        <f aca="false">SUM(I15:I45)</f>
        <v>978.79</v>
      </c>
      <c r="J47" s="102" t="n">
        <f aca="false">SUM(J15:J45)</f>
        <v>615.662503150996</v>
      </c>
      <c r="K47" s="102" t="n">
        <f aca="false">SUM(K15:K45)</f>
        <v>1594.452503151</v>
      </c>
      <c r="L47" s="102" t="n">
        <f aca="false">SUM(L15:L45)</f>
        <v>543.193463574489</v>
      </c>
      <c r="M47" s="201" t="n">
        <f aca="false">SUM(M15:M46)</f>
        <v>111.6</v>
      </c>
      <c r="N47" s="102" t="n">
        <f aca="false">SUM(N15:N45)</f>
        <v>0</v>
      </c>
      <c r="O47" s="102" t="n">
        <f aca="false">SUM(O15:O45)</f>
        <v>0</v>
      </c>
      <c r="P47" s="149"/>
      <c r="Q47" s="102" t="n">
        <f aca="false">SUM(Q15:Q45)</f>
        <v>46.70274</v>
      </c>
      <c r="R47" s="102" t="n">
        <f aca="false">SUM(R15:R45)</f>
        <v>76.7</v>
      </c>
      <c r="S47" s="102" t="n">
        <f aca="false">SUM(S15:S45)</f>
        <v>0.43</v>
      </c>
      <c r="T47" s="202" t="n">
        <f aca="false">SUM(T15:T45)</f>
        <v>-12.23274</v>
      </c>
      <c r="U47" s="102" t="n">
        <f aca="false">SUM(U15:U45)</f>
        <v>203.6</v>
      </c>
      <c r="V47" s="102" t="n">
        <f aca="false">SUM(V15:V45)</f>
        <v>0</v>
      </c>
      <c r="W47" s="102" t="n">
        <f aca="false">SUM(W15:W45)</f>
        <v>203.6</v>
      </c>
      <c r="X47" s="102" t="n">
        <f aca="false">SUM(X15:X45)</f>
        <v>203.6</v>
      </c>
      <c r="Y47" s="102"/>
      <c r="Z47" s="102"/>
      <c r="AA47" s="130"/>
      <c r="AB47" s="130"/>
      <c r="AC47" s="102"/>
      <c r="AD47" s="102"/>
      <c r="AE47" s="201"/>
      <c r="AF47" s="203"/>
      <c r="AG47" s="102" t="n">
        <f aca="false">SUM(AG15:AG46)</f>
        <v>930</v>
      </c>
      <c r="AH47" s="102"/>
      <c r="AI47" s="78" t="n">
        <f aca="false">SUM(AI16:AI45)</f>
        <v>0</v>
      </c>
      <c r="AJ47" s="102" t="n">
        <f aca="false">SUM(AJ15:AJ46)</f>
        <v>1245.2</v>
      </c>
      <c r="AK47" s="102" t="n">
        <f aca="false">SUM(AK15:AK45)</f>
        <v>72.4690395765062</v>
      </c>
      <c r="AL47" s="102" t="n">
        <f aca="false">SUM(AL15:AL45)</f>
        <v>1317.66903957651</v>
      </c>
      <c r="AM47" s="205"/>
      <c r="AN47" s="130" t="n">
        <f aca="false">SUM(AN15:AN45)</f>
        <v>0</v>
      </c>
      <c r="AO47" s="206"/>
      <c r="AU47" s="207" t="n">
        <f aca="false">SUM(AU15:AU45)</f>
        <v>2.55</v>
      </c>
      <c r="AV47" s="200" t="n">
        <f aca="false">AVERAGE(AV15:AV45)</f>
        <v>36.1935483870968</v>
      </c>
      <c r="AW47" s="200" t="n">
        <f aca="false">AVERAGE(AW15:AW45)</f>
        <v>10.4838709677419</v>
      </c>
      <c r="AX47" s="208" t="s">
        <v>100</v>
      </c>
      <c r="AY47" s="241" t="n">
        <f aca="false">SUM(AY15:AY45)</f>
        <v>111.6</v>
      </c>
    </row>
    <row r="48" customFormat="false" ht="12.95" hidden="false" customHeight="true" outlineLevel="0" collapsed="false">
      <c r="A48" s="175" t="s">
        <v>101</v>
      </c>
      <c r="B48" s="198"/>
      <c r="C48" s="102"/>
      <c r="D48" s="102" t="n">
        <f aca="false">SUM(D15:D45)</f>
        <v>549</v>
      </c>
      <c r="E48" s="102"/>
      <c r="F48" s="199" t="n">
        <f aca="false">F47*$D$2</f>
        <v>549</v>
      </c>
      <c r="G48" s="102" t="n">
        <f aca="false">G47*$D$2</f>
        <v>1898.2095</v>
      </c>
      <c r="H48" s="102" t="n">
        <f aca="false">H47*$D$2</f>
        <v>43.220465</v>
      </c>
      <c r="I48" s="102" t="n">
        <f aca="false">I47*$D$2</f>
        <v>1941.429965</v>
      </c>
      <c r="J48" s="102" t="n">
        <f aca="false">J47*$D$2</f>
        <v>1221.166575</v>
      </c>
      <c r="K48" s="102" t="n">
        <f aca="false">K47*$D$2</f>
        <v>3162.59654</v>
      </c>
      <c r="L48" s="102" t="n">
        <f aca="false">L47*$D$2</f>
        <v>1077.424235</v>
      </c>
      <c r="M48" s="201" t="n">
        <f aca="false">M47*$D$2</f>
        <v>221.3586</v>
      </c>
      <c r="N48" s="102" t="n">
        <f aca="false">N47*$D$2</f>
        <v>0</v>
      </c>
      <c r="O48" s="102" t="n">
        <f aca="false">O47*$D$2</f>
        <v>0</v>
      </c>
      <c r="P48" s="149"/>
      <c r="Q48" s="102" t="n">
        <f aca="false">Q47*$D$2</f>
        <v>92.63488479</v>
      </c>
      <c r="R48" s="102" t="n">
        <f aca="false">R47*$D$2</f>
        <v>152.13445</v>
      </c>
      <c r="S48" s="102" t="n">
        <f aca="false">S47*$D$2</f>
        <v>0.852905</v>
      </c>
      <c r="T48" s="202" t="n">
        <f aca="false">T47*$D$2</f>
        <v>-24.26363979</v>
      </c>
      <c r="U48" s="102" t="n">
        <f aca="false">U47*$D$2</f>
        <v>403.8406</v>
      </c>
      <c r="V48" s="102" t="n">
        <f aca="false">V47*$D$2</f>
        <v>0</v>
      </c>
      <c r="W48" s="102" t="n">
        <f aca="false">W47*$D$2</f>
        <v>403.8406</v>
      </c>
      <c r="X48" s="102" t="n">
        <f aca="false">X47*$D$2</f>
        <v>403.8406</v>
      </c>
      <c r="Y48" s="102"/>
      <c r="Z48" s="102"/>
      <c r="AA48" s="130"/>
      <c r="AB48" s="130"/>
      <c r="AC48" s="102"/>
      <c r="AD48" s="102"/>
      <c r="AE48" s="201"/>
      <c r="AF48" s="203"/>
      <c r="AG48" s="102" t="n">
        <f aca="false">AG47*$D$2</f>
        <v>1844.655</v>
      </c>
      <c r="AH48" s="102"/>
      <c r="AI48" s="78" t="n">
        <f aca="false">AI47*$D$2</f>
        <v>0</v>
      </c>
      <c r="AJ48" s="102" t="n">
        <f aca="false">AJ47*$D$2</f>
        <v>2469.8542</v>
      </c>
      <c r="AK48" s="102" t="n">
        <f aca="false">AK47*$D$2</f>
        <v>143.74234</v>
      </c>
      <c r="AL48" s="102" t="n">
        <f aca="false">AL47*$D$2</f>
        <v>2613.59654</v>
      </c>
      <c r="AM48" s="266"/>
      <c r="AN48" s="130" t="n">
        <f aca="false">AN47*$D$2</f>
        <v>0</v>
      </c>
      <c r="AO48" s="206"/>
      <c r="AU48" s="207"/>
      <c r="AV48" s="200" t="n">
        <f aca="false">MAX(AV15:AV45)</f>
        <v>50</v>
      </c>
      <c r="AW48" s="200" t="n">
        <f aca="false">MAX(AW15:AW45)</f>
        <v>29</v>
      </c>
      <c r="AX48" s="208" t="s">
        <v>102</v>
      </c>
      <c r="AY48" s="241" t="n">
        <f aca="false">AY47*$D$2</f>
        <v>221.3586</v>
      </c>
    </row>
    <row r="49" customFormat="false" ht="3" hidden="false" customHeight="true" outlineLevel="0" collapsed="false">
      <c r="A49" s="216"/>
      <c r="B49" s="237"/>
      <c r="C49" s="218"/>
      <c r="D49" s="218"/>
      <c r="E49" s="218"/>
      <c r="F49" s="242"/>
      <c r="G49" s="218"/>
      <c r="H49" s="218"/>
      <c r="I49" s="218"/>
      <c r="J49" s="218"/>
      <c r="K49" s="218"/>
      <c r="L49" s="218"/>
      <c r="M49" s="243"/>
      <c r="N49" s="218"/>
      <c r="O49" s="218"/>
      <c r="P49" s="223"/>
      <c r="Q49" s="218"/>
      <c r="R49" s="218"/>
      <c r="S49" s="218"/>
      <c r="T49" s="224"/>
      <c r="U49" s="218"/>
      <c r="V49" s="218"/>
      <c r="W49" s="218"/>
      <c r="X49" s="218"/>
      <c r="Y49" s="218"/>
      <c r="Z49" s="218"/>
      <c r="AA49" s="225"/>
      <c r="AB49" s="225"/>
      <c r="AC49" s="218"/>
      <c r="AD49" s="218"/>
      <c r="AE49" s="243"/>
      <c r="AF49" s="244"/>
      <c r="AG49" s="218"/>
      <c r="AH49" s="219"/>
      <c r="AI49" s="114"/>
      <c r="AJ49" s="218"/>
      <c r="AK49" s="218"/>
      <c r="AL49" s="218"/>
      <c r="AM49" s="245"/>
      <c r="AN49" s="225"/>
      <c r="AO49" s="218"/>
      <c r="AP49" s="246"/>
      <c r="AQ49" s="246"/>
      <c r="AR49" s="229"/>
      <c r="AS49" s="229"/>
      <c r="AT49" s="228"/>
      <c r="AU49" s="245"/>
      <c r="AV49" s="218"/>
      <c r="AW49" s="218"/>
      <c r="AX49" s="242"/>
      <c r="AY49" s="247"/>
    </row>
    <row r="50" customFormat="false" ht="12.95" hidden="false" customHeight="true" outlineLevel="0" collapsed="false">
      <c r="A50" s="175" t="s">
        <v>103</v>
      </c>
      <c r="B50" s="198"/>
      <c r="C50" s="102"/>
      <c r="D50" s="102"/>
      <c r="E50" s="102"/>
      <c r="F50" s="199"/>
      <c r="G50" s="102"/>
      <c r="H50" s="102"/>
      <c r="I50" s="102"/>
      <c r="J50" s="102"/>
      <c r="K50" s="102"/>
      <c r="L50" s="102"/>
      <c r="M50" s="201"/>
      <c r="N50" s="102"/>
      <c r="O50" s="102"/>
      <c r="P50" s="149"/>
      <c r="Q50" s="102"/>
      <c r="R50" s="102"/>
      <c r="S50" s="102"/>
      <c r="T50" s="202"/>
      <c r="U50" s="102"/>
      <c r="V50" s="102"/>
      <c r="W50" s="102"/>
      <c r="X50" s="102"/>
      <c r="Y50" s="102"/>
      <c r="Z50" s="102"/>
      <c r="AA50" s="130"/>
      <c r="AB50" s="130"/>
      <c r="AC50" s="102"/>
      <c r="AD50" s="102"/>
      <c r="AE50" s="201"/>
      <c r="AF50" s="203"/>
      <c r="AG50" s="102"/>
      <c r="AH50" s="102"/>
      <c r="AI50" s="78"/>
      <c r="AJ50" s="102"/>
      <c r="AK50" s="102"/>
      <c r="AL50" s="102"/>
      <c r="AM50" s="205"/>
      <c r="AN50" s="130"/>
      <c r="AO50" s="206"/>
      <c r="AU50" s="207"/>
      <c r="AV50" s="200" t="n">
        <f aca="false">MIN(AV15:AV45)</f>
        <v>26</v>
      </c>
      <c r="AW50" s="200" t="n">
        <f aca="false">MIN(AW15:AW45)</f>
        <v>-8</v>
      </c>
      <c r="AX50" s="208" t="s">
        <v>104</v>
      </c>
      <c r="AY50" s="241"/>
    </row>
    <row r="51" customFormat="false" ht="12.95" hidden="false" customHeight="true" outlineLevel="0" collapsed="false">
      <c r="A51" s="175" t="s">
        <v>105</v>
      </c>
      <c r="B51" s="198"/>
      <c r="C51" s="102"/>
      <c r="D51" s="102"/>
      <c r="E51" s="102"/>
      <c r="F51" s="199"/>
      <c r="G51" s="102"/>
      <c r="H51" s="102"/>
      <c r="I51" s="102"/>
      <c r="J51" s="102"/>
      <c r="K51" s="102"/>
      <c r="L51" s="102"/>
      <c r="M51" s="201"/>
      <c r="N51" s="102"/>
      <c r="O51" s="102"/>
      <c r="P51" s="149"/>
      <c r="Q51" s="102"/>
      <c r="R51" s="102"/>
      <c r="S51" s="102"/>
      <c r="T51" s="202"/>
      <c r="U51" s="102"/>
      <c r="V51" s="102"/>
      <c r="W51" s="102"/>
      <c r="X51" s="102"/>
      <c r="Y51" s="102"/>
      <c r="Z51" s="102"/>
      <c r="AA51" s="130"/>
      <c r="AB51" s="130"/>
      <c r="AC51" s="102"/>
      <c r="AD51" s="102"/>
      <c r="AE51" s="201"/>
      <c r="AF51" s="203"/>
      <c r="AG51" s="102"/>
      <c r="AH51" s="102"/>
      <c r="AI51" s="78"/>
      <c r="AJ51" s="102"/>
      <c r="AK51" s="102"/>
      <c r="AL51" s="102"/>
      <c r="AM51" s="205"/>
      <c r="AN51" s="130"/>
      <c r="AO51" s="206"/>
      <c r="AU51" s="207"/>
      <c r="AV51" s="200"/>
      <c r="AW51" s="200"/>
      <c r="AX51" s="208"/>
      <c r="AY51" s="241"/>
    </row>
    <row r="52" customFormat="false" ht="3" hidden="false" customHeight="true" outlineLevel="0" collapsed="false">
      <c r="A52" s="216"/>
      <c r="B52" s="237"/>
      <c r="C52" s="218"/>
      <c r="D52" s="218"/>
      <c r="E52" s="218"/>
      <c r="F52" s="242"/>
      <c r="G52" s="218"/>
      <c r="H52" s="228"/>
      <c r="I52" s="218"/>
      <c r="J52" s="218"/>
      <c r="K52" s="218"/>
      <c r="L52" s="218"/>
      <c r="M52" s="243"/>
      <c r="N52" s="218"/>
      <c r="O52" s="218"/>
      <c r="P52" s="223"/>
      <c r="Q52" s="218"/>
      <c r="R52" s="218"/>
      <c r="S52" s="218"/>
      <c r="T52" s="224"/>
      <c r="U52" s="218"/>
      <c r="V52" s="218"/>
      <c r="W52" s="218"/>
      <c r="X52" s="218"/>
      <c r="Y52" s="218"/>
      <c r="Z52" s="218"/>
      <c r="AA52" s="225"/>
      <c r="AB52" s="225"/>
      <c r="AC52" s="218"/>
      <c r="AD52" s="218"/>
      <c r="AE52" s="243"/>
      <c r="AF52" s="244"/>
      <c r="AG52" s="218"/>
      <c r="AH52" s="218"/>
      <c r="AI52" s="114"/>
      <c r="AJ52" s="218"/>
      <c r="AK52" s="218"/>
      <c r="AL52" s="218"/>
      <c r="AM52" s="230"/>
      <c r="AN52" s="225"/>
      <c r="AO52" s="248"/>
      <c r="AP52" s="249"/>
      <c r="AQ52" s="249"/>
      <c r="AR52" s="229"/>
      <c r="AS52" s="229"/>
      <c r="AT52" s="228"/>
      <c r="AU52" s="230"/>
      <c r="AV52" s="248"/>
      <c r="AW52" s="248"/>
      <c r="AX52" s="250"/>
      <c r="AY52" s="247"/>
    </row>
    <row r="53" customFormat="false" ht="12.95" hidden="false" customHeight="true" outlineLevel="0" collapsed="false">
      <c r="A53" s="175" t="s">
        <v>106</v>
      </c>
      <c r="B53" s="198"/>
      <c r="C53" s="102"/>
      <c r="D53" s="102"/>
      <c r="E53" s="102"/>
      <c r="F53" s="199" t="n">
        <f aca="false">F13+F47</f>
        <v>-2742.12251071339</v>
      </c>
      <c r="G53" s="102" t="n">
        <f aca="false">G13+G47</f>
        <v>2998</v>
      </c>
      <c r="H53" s="200" t="n">
        <f aca="false">H13+H47</f>
        <v>21.79</v>
      </c>
      <c r="I53" s="102" t="n">
        <f aca="false">I13+I47</f>
        <v>3019.79</v>
      </c>
      <c r="J53" s="102" t="n">
        <f aca="false">J13+J47</f>
        <v>1075.54314343333</v>
      </c>
      <c r="K53" s="102" t="n">
        <f aca="false">K13+K47</f>
        <v>4095.33314343333</v>
      </c>
      <c r="L53" s="102" t="n">
        <f aca="false">L13+L47</f>
        <v>501.087489286615</v>
      </c>
      <c r="M53" s="201" t="n">
        <f aca="false">M13+M47</f>
        <v>336.9</v>
      </c>
      <c r="N53" s="102" t="n">
        <f aca="false">N13+N47</f>
        <v>0</v>
      </c>
      <c r="O53" s="102" t="n">
        <v>0</v>
      </c>
      <c r="P53" s="149"/>
      <c r="Q53" s="102" t="n">
        <f aca="false">Q13+Q47</f>
        <v>153.65994</v>
      </c>
      <c r="R53" s="102" t="n">
        <f aca="false">R13+R47</f>
        <v>214.61</v>
      </c>
      <c r="S53" s="102" t="n">
        <f aca="false">S13+S47</f>
        <v>0.43</v>
      </c>
      <c r="T53" s="202" t="n">
        <f aca="false">T13+T47</f>
        <v>-32.15342</v>
      </c>
      <c r="U53" s="102" t="n">
        <f aca="false">U13+U47</f>
        <v>3189.6</v>
      </c>
      <c r="V53" s="102" t="n">
        <f aca="false">V13+V47</f>
        <v>40.5</v>
      </c>
      <c r="W53" s="102" t="n">
        <f aca="false">W13+W47</f>
        <v>3229.68232</v>
      </c>
      <c r="X53" s="102" t="n">
        <f aca="false">X13+X47</f>
        <v>3189.18232</v>
      </c>
      <c r="Y53" s="102"/>
      <c r="Z53" s="102"/>
      <c r="AA53" s="130"/>
      <c r="AB53" s="130"/>
      <c r="AC53" s="102"/>
      <c r="AD53" s="102"/>
      <c r="AE53" s="201"/>
      <c r="AF53" s="203"/>
      <c r="AG53" s="102" t="n">
        <f aca="false">AG13+AG47</f>
        <v>2696</v>
      </c>
      <c r="AH53" s="102" t="n">
        <f aca="false">AH45</f>
        <v>1899</v>
      </c>
      <c r="AI53" s="78" t="n">
        <f aca="false">AI14+AI47</f>
        <v>0</v>
      </c>
      <c r="AJ53" s="102" t="n">
        <f aca="false">AJ13+AJ47</f>
        <v>6263</v>
      </c>
      <c r="AK53" s="102" t="n">
        <f aca="false">AK13+AK47</f>
        <v>574.45565414671</v>
      </c>
      <c r="AL53" s="102" t="n">
        <f aca="false">AL13+AL47</f>
        <v>6837.45565414671</v>
      </c>
      <c r="AM53" s="205"/>
      <c r="AN53" s="130" t="n">
        <f aca="false">AN13+AN47</f>
        <v>40.5</v>
      </c>
      <c r="AO53" s="206"/>
      <c r="AU53" s="207" t="n">
        <f aca="false">AU13+AU47</f>
        <v>4.25</v>
      </c>
      <c r="AV53" s="200"/>
      <c r="AW53" s="200"/>
      <c r="AX53" s="208"/>
      <c r="AY53" s="241" t="n">
        <f aca="false">AY13+AY47</f>
        <v>337.31768</v>
      </c>
    </row>
    <row r="54" customFormat="false" ht="12.95" hidden="false" customHeight="true" outlineLevel="0" collapsed="false">
      <c r="A54" s="175" t="s">
        <v>107</v>
      </c>
      <c r="B54" s="198"/>
      <c r="C54" s="102"/>
      <c r="D54" s="102" t="n">
        <f aca="false">D13+D48</f>
        <v>-5439</v>
      </c>
      <c r="E54" s="102" t="n">
        <f aca="false">E45</f>
        <v>101904</v>
      </c>
      <c r="F54" s="199" t="n">
        <f aca="false">F53*$D$2</f>
        <v>-5439</v>
      </c>
      <c r="G54" s="102" t="n">
        <f aca="false">G53*$D$2</f>
        <v>5946.533</v>
      </c>
      <c r="H54" s="200" t="n">
        <f aca="false">H53*$D$2</f>
        <v>43.220465</v>
      </c>
      <c r="I54" s="102" t="n">
        <f aca="false">I53*$D$2</f>
        <v>5989.753465</v>
      </c>
      <c r="J54" s="102" t="n">
        <f aca="false">J53*$D$2</f>
        <v>2133.339825</v>
      </c>
      <c r="K54" s="102" t="n">
        <f aca="false">K53*$D$2</f>
        <v>8123.09329</v>
      </c>
      <c r="L54" s="102" t="n">
        <f aca="false">L53*$D$2</f>
        <v>993.907035</v>
      </c>
      <c r="M54" s="201" t="n">
        <f aca="false">M53*$D$2</f>
        <v>668.24115</v>
      </c>
      <c r="N54" s="102" t="n">
        <f aca="false">N53*$D$2</f>
        <v>0</v>
      </c>
      <c r="O54" s="102" t="n">
        <f aca="false">O53*$D$2</f>
        <v>0</v>
      </c>
      <c r="P54" s="149"/>
      <c r="Q54" s="102" t="n">
        <f aca="false">Q53*$D$2</f>
        <v>304.78449099</v>
      </c>
      <c r="R54" s="102" t="n">
        <f aca="false">R53*$D$2</f>
        <v>425.678935</v>
      </c>
      <c r="S54" s="211" t="n">
        <f aca="false">S53*$D$2</f>
        <v>0.852905</v>
      </c>
      <c r="T54" s="212" t="n">
        <f aca="false">T53*$D$2</f>
        <v>-63.77630857</v>
      </c>
      <c r="U54" s="102" t="n">
        <f aca="false">U53*$D$2</f>
        <v>6326.5716</v>
      </c>
      <c r="V54" s="102" t="n">
        <f aca="false">V53*$D$2</f>
        <v>80.33175</v>
      </c>
      <c r="W54" s="102" t="n">
        <f aca="false">W53*$D$2</f>
        <v>6406.07488172</v>
      </c>
      <c r="X54" s="102" t="n">
        <f aca="false">X53*$D$2</f>
        <v>6325.74313172</v>
      </c>
      <c r="Y54" s="102"/>
      <c r="Z54" s="102"/>
      <c r="AA54" s="130"/>
      <c r="AB54" s="130"/>
      <c r="AC54" s="102"/>
      <c r="AD54" s="102"/>
      <c r="AE54" s="251"/>
      <c r="AF54" s="252"/>
      <c r="AG54" s="102" t="n">
        <f aca="false">AG53*$D$2</f>
        <v>5347.516</v>
      </c>
      <c r="AH54" s="102" t="n">
        <f aca="false">AH53*$D$2</f>
        <v>3766.6665</v>
      </c>
      <c r="AI54" s="78" t="n">
        <f aca="false">AI53*$D$2</f>
        <v>0</v>
      </c>
      <c r="AJ54" s="102" t="n">
        <f aca="false">AJ53*$D$2</f>
        <v>12422.6605</v>
      </c>
      <c r="AK54" s="102" t="n">
        <f aca="false">AK53*$D$2</f>
        <v>1139.43279</v>
      </c>
      <c r="AL54" s="102" t="n">
        <f aca="false">AL53*$D$2</f>
        <v>13562.09329</v>
      </c>
      <c r="AM54" s="205" t="n">
        <f aca="false">AM45</f>
        <v>6326.5716</v>
      </c>
      <c r="AN54" s="130" t="n">
        <f aca="false">AN53*$D$2</f>
        <v>80.33175</v>
      </c>
      <c r="AO54" s="206"/>
      <c r="AU54" s="207"/>
      <c r="AV54" s="200"/>
      <c r="AW54" s="200"/>
      <c r="AX54" s="208"/>
      <c r="AY54" s="214" t="n">
        <f aca="false">AY53*$D$2</f>
        <v>669.06961828</v>
      </c>
    </row>
    <row r="55" customFormat="false" ht="3" hidden="false" customHeight="true" outlineLevel="0" collapsed="false">
      <c r="A55" s="216"/>
      <c r="B55" s="237"/>
      <c r="C55" s="218"/>
      <c r="D55" s="219"/>
      <c r="E55" s="218"/>
      <c r="F55" s="220"/>
      <c r="G55" s="219"/>
      <c r="H55" s="221"/>
      <c r="I55" s="219"/>
      <c r="J55" s="219"/>
      <c r="K55" s="219"/>
      <c r="L55" s="219"/>
      <c r="M55" s="222"/>
      <c r="N55" s="219"/>
      <c r="O55" s="219"/>
      <c r="P55" s="223"/>
      <c r="Q55" s="219"/>
      <c r="R55" s="219"/>
      <c r="S55" s="226"/>
      <c r="T55" s="224"/>
      <c r="U55" s="219"/>
      <c r="V55" s="219"/>
      <c r="W55" s="219"/>
      <c r="X55" s="219"/>
      <c r="Y55" s="219"/>
      <c r="Z55" s="219"/>
      <c r="AA55" s="225"/>
      <c r="AB55" s="225"/>
      <c r="AC55" s="218"/>
      <c r="AD55" s="219"/>
      <c r="AE55" s="222"/>
      <c r="AF55" s="226"/>
      <c r="AG55" s="219"/>
      <c r="AH55" s="218"/>
      <c r="AI55" s="218"/>
      <c r="AJ55" s="219"/>
      <c r="AK55" s="219"/>
      <c r="AL55" s="219"/>
      <c r="AM55" s="237"/>
      <c r="AN55" s="225"/>
      <c r="AO55" s="219"/>
      <c r="AP55" s="253"/>
      <c r="AQ55" s="253"/>
      <c r="AR55" s="229"/>
      <c r="AS55" s="229"/>
      <c r="AT55" s="228"/>
      <c r="AU55" s="237"/>
      <c r="AV55" s="219"/>
      <c r="AW55" s="219"/>
      <c r="AX55" s="219"/>
      <c r="AY55" s="254"/>
    </row>
    <row r="56" customFormat="false" ht="11.1" hidden="false" customHeight="true" outlineLevel="0" collapsed="false">
      <c r="A56" s="175"/>
      <c r="B56" s="255"/>
      <c r="D56" s="175"/>
      <c r="F56" s="175"/>
      <c r="G56" s="175"/>
      <c r="I56" s="175"/>
      <c r="J56" s="175"/>
      <c r="K56" s="175"/>
      <c r="L56" s="175"/>
      <c r="M56" s="175"/>
      <c r="N56" s="175"/>
      <c r="O56" s="175"/>
      <c r="Q56" s="175"/>
      <c r="R56" s="175"/>
      <c r="S56" s="175"/>
      <c r="U56" s="175"/>
      <c r="V56" s="175"/>
      <c r="W56" s="175"/>
      <c r="X56" s="175"/>
      <c r="Y56" s="175"/>
      <c r="Z56" s="175"/>
      <c r="AC56" s="167"/>
      <c r="AD56" s="175"/>
      <c r="AE56" s="175"/>
      <c r="AF56" s="175"/>
      <c r="AG56" s="175"/>
      <c r="AH56" s="167"/>
      <c r="AI56" s="210"/>
      <c r="AJ56" s="175"/>
      <c r="AK56" s="175"/>
      <c r="AL56" s="175"/>
      <c r="AM56" s="173"/>
      <c r="AN56" s="256"/>
      <c r="AW56" s="172"/>
      <c r="AX56" s="172"/>
    </row>
    <row r="57" customFormat="false" ht="11.1" hidden="false" customHeight="true" outlineLevel="0" collapsed="false">
      <c r="A57" s="175"/>
      <c r="B57" s="257"/>
      <c r="F57" s="175"/>
      <c r="G57" s="175"/>
      <c r="I57" s="176"/>
      <c r="J57" s="175"/>
      <c r="K57" s="164"/>
      <c r="L57" s="175"/>
      <c r="M57" s="175"/>
      <c r="N57" s="175"/>
      <c r="O57" s="175"/>
      <c r="Q57" s="175"/>
      <c r="R57" s="175"/>
      <c r="S57" s="175"/>
      <c r="U57" s="175"/>
      <c r="V57" s="175"/>
      <c r="W57" s="175"/>
      <c r="X57" s="175"/>
      <c r="Y57" s="175"/>
      <c r="Z57" s="175"/>
      <c r="AC57" s="167"/>
      <c r="AD57" s="175"/>
      <c r="AE57" s="175"/>
      <c r="AF57" s="175"/>
      <c r="AG57" s="175"/>
      <c r="AH57" s="167"/>
      <c r="AI57" s="210"/>
      <c r="AJ57" s="175"/>
      <c r="AK57" s="175"/>
      <c r="AL57" s="175"/>
      <c r="AM57" s="173"/>
      <c r="AN57" s="256"/>
      <c r="AW57" s="172"/>
      <c r="AX57" s="172"/>
    </row>
    <row r="58" customFormat="false" ht="11.1" hidden="false" customHeight="true" outlineLevel="0" collapsed="false">
      <c r="D58" s="167"/>
      <c r="Q58" s="169"/>
      <c r="R58" s="169"/>
      <c r="S58" s="169"/>
      <c r="W58" s="166"/>
      <c r="X58" s="166"/>
      <c r="Y58" s="166"/>
      <c r="Z58" s="166"/>
      <c r="AC58" s="167"/>
      <c r="AG58" s="166"/>
      <c r="AH58" s="167"/>
      <c r="AI58" s="210"/>
      <c r="AL58" s="166"/>
      <c r="AM58" s="173"/>
      <c r="AN58" s="256"/>
      <c r="AW58" s="172"/>
      <c r="AX58" s="172"/>
    </row>
    <row r="59" customFormat="false" ht="11.1" hidden="false" customHeight="true" outlineLevel="0" collapsed="false">
      <c r="B59" s="8"/>
      <c r="D59" s="167"/>
    </row>
    <row r="60" customFormat="false" ht="11.1" hidden="false" customHeight="true" outlineLevel="0" collapsed="false">
      <c r="G60" s="258"/>
    </row>
  </sheetData>
  <mergeCells count="2">
    <mergeCell ref="K2:AC2"/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2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S15" activePane="bottomRight" state="frozen"/>
      <selection pane="topLeft" activeCell="A1" activeCellId="0" sqref="A1"/>
      <selection pane="topRight" activeCell="S1" activeCellId="0" sqref="S1"/>
      <selection pane="bottomLeft" activeCell="A15" activeCellId="0" sqref="A15"/>
      <selection pane="bottomRight" activeCell="AG15" activeCellId="0" sqref="AG15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32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7.32"/>
    <col collapsed="false" customWidth="true" hidden="false" outlineLevel="0" max="7" min="7" style="166" width="6.82"/>
    <col collapsed="false" customWidth="true" hidden="false" outlineLevel="0" max="8" min="8" style="267" width="5.66"/>
    <col collapsed="false" customWidth="true" hidden="false" outlineLevel="0" max="11" min="9" style="166" width="6.32"/>
    <col collapsed="false" customWidth="true" hidden="false" outlineLevel="0" max="12" min="12" style="166" width="7.16"/>
    <col collapsed="false" customWidth="true" hidden="false" outlineLevel="0" max="13" min="13" style="169" width="5.49"/>
    <col collapsed="false" customWidth="true" hidden="false" outlineLevel="0" max="14" min="14" style="169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8" min="17" style="169" width="4.32"/>
    <col collapsed="false" customWidth="true" hidden="false" outlineLevel="0" max="19" min="19" style="8" width="4.32"/>
    <col collapsed="false" customWidth="true" hidden="false" outlineLevel="0" max="20" min="20" style="8" width="5.49"/>
    <col collapsed="false" customWidth="true" hidden="false" outlineLevel="0" max="22" min="21" style="166" width="5.49"/>
    <col collapsed="false" customWidth="true" hidden="false" outlineLevel="0" max="26" min="23" style="167" width="6.32"/>
    <col collapsed="false" customWidth="true" hidden="false" outlineLevel="0" max="32" min="27" style="166" width="5.49"/>
    <col collapsed="false" customWidth="true" hidden="false" outlineLevel="0" max="33" min="33" style="167" width="6.32"/>
    <col collapsed="false" customWidth="true" hidden="false" outlineLevel="0" max="34" min="34" style="166" width="5.49"/>
    <col collapsed="false" customWidth="true" hidden="false" outlineLevel="0" max="35" min="35" style="170" width="6.32"/>
    <col collapsed="false" customWidth="true" hidden="false" outlineLevel="0" max="36" min="36" style="166" width="6.32"/>
    <col collapsed="false" customWidth="true" hidden="false" outlineLevel="0" max="37" min="37" style="166" width="6.99"/>
    <col collapsed="false" customWidth="true" hidden="false" outlineLevel="0" max="38" min="38" style="8" width="6.99"/>
    <col collapsed="false" customWidth="true" hidden="false" outlineLevel="0" max="40" min="39" style="172" width="5.49"/>
    <col collapsed="false" customWidth="true" hidden="false" outlineLevel="0" max="41" min="41" style="166" width="6.32"/>
    <col collapsed="false" customWidth="true" hidden="false" outlineLevel="0" max="43" min="42" style="268" width="6.32"/>
    <col collapsed="false" customWidth="true" hidden="false" outlineLevel="0" max="44" min="44" style="195" width="6.32"/>
    <col collapsed="false" customWidth="true" hidden="false" outlineLevel="0" max="45" min="45" style="170" width="5.82"/>
    <col collapsed="false" customWidth="true" hidden="false" outlineLevel="0" max="46" min="46" style="166" width="4.99"/>
    <col collapsed="false" customWidth="true" hidden="false" outlineLevel="0" max="47" min="47" style="168" width="5.32"/>
    <col collapsed="false" customWidth="true" hidden="false" outlineLevel="0" max="48" min="48" style="172" width="3.82"/>
    <col collapsed="false" customWidth="true" hidden="false" outlineLevel="0" max="49" min="49" style="173" width="3.82"/>
    <col collapsed="false" customWidth="true" hidden="false" outlineLevel="0" max="50" min="50" style="174" width="4.32"/>
    <col collapsed="false" customWidth="true" hidden="false" outlineLevel="0" max="51" min="51" style="269" width="6.49"/>
    <col collapsed="false" customWidth="false" hidden="false" outlineLevel="0" max="257" min="52" style="174" width="9.32"/>
  </cols>
  <sheetData>
    <row r="1" customFormat="false" ht="14.1" hidden="false" customHeight="true" outlineLevel="0" collapsed="false">
      <c r="A1" s="175" t="s">
        <v>111</v>
      </c>
      <c r="B1" s="175"/>
      <c r="D1" s="175"/>
      <c r="F1" s="175"/>
      <c r="G1" s="175"/>
      <c r="I1" s="175"/>
      <c r="J1" s="175"/>
      <c r="K1" s="177" t="s">
        <v>0</v>
      </c>
      <c r="L1" s="175"/>
      <c r="M1" s="175"/>
      <c r="N1" s="175"/>
      <c r="O1" s="175"/>
      <c r="Q1" s="175"/>
      <c r="R1" s="175"/>
      <c r="U1" s="175"/>
      <c r="V1" s="175"/>
      <c r="AA1" s="175"/>
      <c r="AB1" s="175"/>
      <c r="AC1" s="175"/>
      <c r="AD1" s="175"/>
      <c r="AE1" s="175"/>
      <c r="AF1" s="175"/>
      <c r="AH1" s="175"/>
      <c r="AI1" s="178"/>
      <c r="AJ1" s="175"/>
      <c r="AK1" s="175"/>
      <c r="AM1" s="270"/>
      <c r="AN1" s="270"/>
      <c r="AO1" s="178"/>
      <c r="AY1" s="271"/>
    </row>
    <row r="2" customFormat="false" ht="14.1" hidden="false" customHeight="true" outlineLevel="0" collapsed="false">
      <c r="A2" s="178" t="s">
        <v>1</v>
      </c>
      <c r="B2" s="175"/>
      <c r="D2" s="179" t="n">
        <v>1.9835</v>
      </c>
      <c r="F2" s="175"/>
      <c r="G2" s="175"/>
      <c r="I2" s="175"/>
      <c r="J2" s="175"/>
      <c r="K2" s="180" t="s">
        <v>113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5"/>
      <c r="AE2" s="175"/>
      <c r="AF2" s="175"/>
      <c r="AH2" s="175"/>
      <c r="AI2" s="178"/>
      <c r="AJ2" s="175"/>
      <c r="AK2" s="175"/>
      <c r="AM2" s="270"/>
      <c r="AN2" s="270"/>
      <c r="AO2" s="178"/>
    </row>
    <row r="3" customFormat="false" ht="14.1" hidden="false" customHeight="true" outlineLevel="0" collapsed="false">
      <c r="A3" s="181"/>
      <c r="B3" s="181"/>
      <c r="C3" s="182"/>
      <c r="D3" s="183"/>
      <c r="E3" s="182"/>
      <c r="F3" s="181"/>
      <c r="G3" s="181"/>
      <c r="H3" s="272"/>
      <c r="I3" s="181"/>
      <c r="J3" s="181"/>
      <c r="K3" s="181"/>
      <c r="L3" s="181"/>
      <c r="M3" s="181"/>
      <c r="N3" s="181"/>
      <c r="O3" s="181"/>
      <c r="P3" s="185"/>
      <c r="Q3" s="181"/>
      <c r="R3" s="181"/>
      <c r="S3" s="185"/>
      <c r="T3" s="185"/>
      <c r="U3" s="181"/>
      <c r="V3" s="181"/>
      <c r="W3" s="182"/>
      <c r="X3" s="182"/>
      <c r="Y3" s="182"/>
      <c r="Z3" s="182"/>
      <c r="AA3" s="181"/>
      <c r="AB3" s="181"/>
      <c r="AC3" s="181"/>
      <c r="AD3" s="181"/>
      <c r="AE3" s="181"/>
      <c r="AF3" s="181"/>
      <c r="AG3" s="182"/>
      <c r="AH3" s="181"/>
      <c r="AI3" s="187"/>
      <c r="AJ3" s="181"/>
      <c r="AK3" s="181"/>
      <c r="AL3" s="185"/>
      <c r="AM3" s="273"/>
      <c r="AN3" s="273"/>
      <c r="AO3" s="187"/>
      <c r="AP3" s="274"/>
      <c r="AU3" s="190"/>
      <c r="AV3" s="191"/>
      <c r="AW3" s="192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5"/>
      <c r="J4" s="35"/>
      <c r="K4" s="35"/>
      <c r="L4" s="35"/>
      <c r="M4" s="35"/>
      <c r="N4" s="35"/>
      <c r="O4" s="35"/>
      <c r="P4" s="36"/>
      <c r="Q4" s="35"/>
      <c r="R4" s="35"/>
      <c r="S4" s="35"/>
      <c r="T4" s="36"/>
      <c r="U4" s="35"/>
      <c r="V4" s="35"/>
      <c r="W4" s="37" t="s">
        <v>4</v>
      </c>
      <c r="X4" s="37"/>
      <c r="Y4" s="37"/>
      <c r="Z4" s="37"/>
      <c r="AA4" s="38"/>
      <c r="AB4" s="38"/>
      <c r="AC4" s="39"/>
      <c r="AD4" s="35"/>
      <c r="AE4" s="35"/>
      <c r="AF4" s="35"/>
      <c r="AG4" s="33"/>
      <c r="AH4" s="35"/>
      <c r="AI4" s="40"/>
      <c r="AJ4" s="35"/>
      <c r="AK4" s="35"/>
      <c r="AL4" s="36"/>
      <c r="AM4" s="41"/>
      <c r="AN4" s="42"/>
      <c r="AO4" s="43" t="s">
        <v>5</v>
      </c>
      <c r="AP4" s="44"/>
      <c r="AQ4" s="45"/>
      <c r="AR4" s="46"/>
      <c r="AS4" s="47"/>
      <c r="AT4" s="47"/>
      <c r="AU4" s="49"/>
      <c r="AV4" s="50" t="s">
        <v>6</v>
      </c>
      <c r="AW4" s="51"/>
      <c r="AX4" s="275"/>
      <c r="AY4" s="52"/>
    </row>
    <row r="5" customFormat="false" ht="12.95" hidden="false" customHeight="true" outlineLevel="0" collapsed="false">
      <c r="A5" s="53" t="s">
        <v>7</v>
      </c>
      <c r="B5" s="54" t="s">
        <v>8</v>
      </c>
      <c r="C5" s="55" t="s">
        <v>8</v>
      </c>
      <c r="D5" s="56" t="s">
        <v>9</v>
      </c>
      <c r="E5" s="55" t="s">
        <v>10</v>
      </c>
      <c r="F5" s="57" t="s">
        <v>11</v>
      </c>
      <c r="G5" s="53" t="s">
        <v>12</v>
      </c>
      <c r="H5" s="53" t="s">
        <v>13</v>
      </c>
      <c r="I5" s="53" t="s">
        <v>14</v>
      </c>
      <c r="J5" s="53" t="s">
        <v>15</v>
      </c>
      <c r="K5" s="53" t="s">
        <v>16</v>
      </c>
      <c r="L5" s="53" t="s">
        <v>15</v>
      </c>
      <c r="M5" s="58" t="s">
        <v>17</v>
      </c>
      <c r="N5" s="58"/>
      <c r="O5" s="58"/>
      <c r="P5" s="58"/>
      <c r="Q5" s="58"/>
      <c r="R5" s="58"/>
      <c r="S5" s="58"/>
      <c r="T5" s="58"/>
      <c r="U5" s="53" t="s">
        <v>18</v>
      </c>
      <c r="V5" s="53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59" t="s">
        <v>21</v>
      </c>
      <c r="AC5" s="60" t="s">
        <v>20</v>
      </c>
      <c r="AD5" s="53" t="s">
        <v>22</v>
      </c>
      <c r="AE5" s="61" t="s">
        <v>23</v>
      </c>
      <c r="AF5" s="62"/>
      <c r="AG5" s="53" t="s">
        <v>24</v>
      </c>
      <c r="AH5" s="63" t="s">
        <v>25</v>
      </c>
      <c r="AI5" s="63" t="s">
        <v>26</v>
      </c>
      <c r="AJ5" s="53" t="s">
        <v>14</v>
      </c>
      <c r="AK5" s="53" t="s">
        <v>15</v>
      </c>
      <c r="AL5" s="56" t="s">
        <v>16</v>
      </c>
      <c r="AM5" s="64" t="s">
        <v>27</v>
      </c>
      <c r="AN5" s="60" t="s">
        <v>20</v>
      </c>
      <c r="AO5" s="59" t="s">
        <v>28</v>
      </c>
      <c r="AP5" s="65" t="s">
        <v>28</v>
      </c>
      <c r="AQ5" s="60" t="s">
        <v>29</v>
      </c>
      <c r="AR5" s="66" t="s">
        <v>30</v>
      </c>
      <c r="AS5" s="66" t="s">
        <v>31</v>
      </c>
      <c r="AT5" s="195" t="s">
        <v>32</v>
      </c>
      <c r="AU5" s="68" t="s">
        <v>33</v>
      </c>
      <c r="AV5" s="69" t="s">
        <v>34</v>
      </c>
      <c r="AW5" s="69" t="s">
        <v>35</v>
      </c>
      <c r="AX5" s="276"/>
      <c r="AY5" s="277" t="s">
        <v>16</v>
      </c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1" t="s">
        <v>114</v>
      </c>
      <c r="B6" s="54" t="s">
        <v>37</v>
      </c>
      <c r="C6" s="55"/>
      <c r="D6" s="56" t="s">
        <v>38</v>
      </c>
      <c r="E6" s="55" t="s">
        <v>39</v>
      </c>
      <c r="F6" s="57" t="s">
        <v>40</v>
      </c>
      <c r="G6" s="53" t="s">
        <v>41</v>
      </c>
      <c r="H6" s="53" t="s">
        <v>42</v>
      </c>
      <c r="I6" s="53" t="s">
        <v>43</v>
      </c>
      <c r="J6" s="53" t="s">
        <v>43</v>
      </c>
      <c r="K6" s="53" t="s">
        <v>43</v>
      </c>
      <c r="L6" s="53" t="s">
        <v>44</v>
      </c>
      <c r="M6" s="72" t="s">
        <v>45</v>
      </c>
      <c r="N6" s="56" t="s">
        <v>46</v>
      </c>
      <c r="O6" s="56" t="s">
        <v>47</v>
      </c>
      <c r="P6" s="73" t="s">
        <v>48</v>
      </c>
      <c r="Q6" s="56" t="s">
        <v>49</v>
      </c>
      <c r="R6" s="56" t="s">
        <v>50</v>
      </c>
      <c r="S6" s="56" t="s">
        <v>51</v>
      </c>
      <c r="T6" s="74" t="s">
        <v>52</v>
      </c>
      <c r="U6" s="53" t="s">
        <v>53</v>
      </c>
      <c r="V6" s="53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59" t="s">
        <v>57</v>
      </c>
      <c r="AC6" s="60" t="s">
        <v>58</v>
      </c>
      <c r="AD6" s="53" t="s">
        <v>59</v>
      </c>
      <c r="AE6" s="72" t="s">
        <v>60</v>
      </c>
      <c r="AF6" s="75" t="s">
        <v>61</v>
      </c>
      <c r="AG6" s="53" t="s">
        <v>62</v>
      </c>
      <c r="AH6" s="63" t="s">
        <v>63</v>
      </c>
      <c r="AI6" s="63"/>
      <c r="AJ6" s="53" t="s">
        <v>64</v>
      </c>
      <c r="AK6" s="53" t="s">
        <v>64</v>
      </c>
      <c r="AL6" s="56" t="s">
        <v>64</v>
      </c>
      <c r="AM6" s="64" t="s">
        <v>65</v>
      </c>
      <c r="AN6" s="60" t="s">
        <v>66</v>
      </c>
      <c r="AO6" s="59" t="s">
        <v>67</v>
      </c>
      <c r="AP6" s="65" t="s">
        <v>67</v>
      </c>
      <c r="AQ6" s="60" t="s">
        <v>68</v>
      </c>
      <c r="AR6" s="66" t="s">
        <v>69</v>
      </c>
      <c r="AS6" s="66" t="s">
        <v>70</v>
      </c>
      <c r="AT6" s="195" t="s">
        <v>71</v>
      </c>
      <c r="AU6" s="76"/>
      <c r="AV6" s="69" t="s">
        <v>72</v>
      </c>
      <c r="AW6" s="69" t="s">
        <v>72</v>
      </c>
      <c r="AX6" s="276"/>
      <c r="AY6" s="277" t="s">
        <v>73</v>
      </c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3"/>
      <c r="B7" s="54"/>
      <c r="C7" s="55"/>
      <c r="D7" s="56"/>
      <c r="E7" s="55"/>
      <c r="F7" s="57"/>
      <c r="G7" s="53"/>
      <c r="H7" s="53"/>
      <c r="I7" s="53"/>
      <c r="J7" s="53"/>
      <c r="K7" s="53"/>
      <c r="L7" s="53"/>
      <c r="M7" s="72"/>
      <c r="N7" s="56" t="s">
        <v>74</v>
      </c>
      <c r="O7" s="56" t="s">
        <v>75</v>
      </c>
      <c r="P7" s="73"/>
      <c r="Q7" s="56"/>
      <c r="R7" s="56"/>
      <c r="S7" s="56" t="s">
        <v>47</v>
      </c>
      <c r="T7" s="74" t="s">
        <v>26</v>
      </c>
      <c r="U7" s="53"/>
      <c r="V7" s="53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59"/>
      <c r="AC7" s="60"/>
      <c r="AD7" s="75"/>
      <c r="AE7" s="77" t="n">
        <v>1.7</v>
      </c>
      <c r="AF7" s="77" t="n">
        <v>1.3</v>
      </c>
      <c r="AG7" s="72"/>
      <c r="AH7" s="78" t="n">
        <v>31798</v>
      </c>
      <c r="AI7" s="63"/>
      <c r="AJ7" s="53"/>
      <c r="AK7" s="53"/>
      <c r="AL7" s="56"/>
      <c r="AM7" s="64"/>
      <c r="AN7" s="60"/>
      <c r="AO7" s="59" t="s">
        <v>81</v>
      </c>
      <c r="AP7" s="65" t="s">
        <v>82</v>
      </c>
      <c r="AQ7" s="60" t="s">
        <v>83</v>
      </c>
      <c r="AR7" s="66" t="s">
        <v>84</v>
      </c>
      <c r="AS7" s="66" t="s">
        <v>85</v>
      </c>
      <c r="AT7" s="195" t="s">
        <v>86</v>
      </c>
      <c r="AU7" s="76"/>
      <c r="AV7" s="69"/>
      <c r="AW7" s="69"/>
      <c r="AX7" s="276"/>
      <c r="AY7" s="277" t="s">
        <v>87</v>
      </c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3"/>
      <c r="B8" s="54"/>
      <c r="C8" s="55"/>
      <c r="D8" s="56"/>
      <c r="E8" s="55"/>
      <c r="F8" s="57"/>
      <c r="G8" s="53"/>
      <c r="H8" s="53"/>
      <c r="I8" s="53"/>
      <c r="J8" s="53"/>
      <c r="K8" s="53"/>
      <c r="L8" s="53"/>
      <c r="M8" s="56"/>
      <c r="N8" s="56"/>
      <c r="O8" s="56"/>
      <c r="P8" s="73"/>
      <c r="Q8" s="56"/>
      <c r="R8" s="56"/>
      <c r="S8" s="56"/>
      <c r="T8" s="74"/>
      <c r="U8" s="53"/>
      <c r="V8" s="53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59"/>
      <c r="AC8" s="60"/>
      <c r="AD8" s="75"/>
      <c r="AE8" s="77"/>
      <c r="AF8" s="77"/>
      <c r="AG8" s="72"/>
      <c r="AH8" s="78"/>
      <c r="AI8" s="63"/>
      <c r="AJ8" s="53"/>
      <c r="AK8" s="53"/>
      <c r="AL8" s="56"/>
      <c r="AM8" s="64"/>
      <c r="AN8" s="60"/>
      <c r="AO8" s="59"/>
      <c r="AP8" s="65"/>
      <c r="AQ8" s="60"/>
      <c r="AR8" s="66"/>
      <c r="AS8" s="66"/>
      <c r="AT8" s="195"/>
      <c r="AU8" s="76"/>
      <c r="AV8" s="69"/>
      <c r="AW8" s="69"/>
      <c r="AX8" s="276"/>
      <c r="AY8" s="277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3"/>
      <c r="B9" s="54"/>
      <c r="C9" s="55"/>
      <c r="D9" s="56"/>
      <c r="E9" s="55"/>
      <c r="F9" s="57"/>
      <c r="G9" s="53"/>
      <c r="H9" s="53"/>
      <c r="I9" s="53"/>
      <c r="J9" s="53"/>
      <c r="K9" s="53"/>
      <c r="L9" s="53"/>
      <c r="M9" s="56"/>
      <c r="N9" s="56"/>
      <c r="O9" s="56"/>
      <c r="P9" s="73"/>
      <c r="Q9" s="56"/>
      <c r="R9" s="56"/>
      <c r="S9" s="56"/>
      <c r="T9" s="74"/>
      <c r="U9" s="53"/>
      <c r="V9" s="53"/>
      <c r="W9" s="63"/>
      <c r="X9" s="55" t="s">
        <v>88</v>
      </c>
      <c r="Y9" s="59"/>
      <c r="Z9" s="55" t="s">
        <v>88</v>
      </c>
      <c r="AA9" s="59" t="s">
        <v>91</v>
      </c>
      <c r="AB9" s="59"/>
      <c r="AC9" s="60"/>
      <c r="AD9" s="75"/>
      <c r="AE9" s="77"/>
      <c r="AF9" s="77"/>
      <c r="AG9" s="72"/>
      <c r="AH9" s="78"/>
      <c r="AI9" s="63"/>
      <c r="AJ9" s="53"/>
      <c r="AK9" s="53"/>
      <c r="AL9" s="56"/>
      <c r="AM9" s="64"/>
      <c r="AN9" s="60"/>
      <c r="AO9" s="59"/>
      <c r="AP9" s="65"/>
      <c r="AQ9" s="60"/>
      <c r="AR9" s="66"/>
      <c r="AS9" s="66"/>
      <c r="AT9" s="195"/>
      <c r="AU9" s="76"/>
      <c r="AV9" s="69"/>
      <c r="AW9" s="69"/>
      <c r="AX9" s="276"/>
      <c r="AY9" s="277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3"/>
      <c r="B10" s="54"/>
      <c r="C10" s="55" t="s">
        <v>92</v>
      </c>
      <c r="D10" s="56"/>
      <c r="E10" s="55" t="s">
        <v>93</v>
      </c>
      <c r="F10" s="57"/>
      <c r="G10" s="56" t="s">
        <v>40</v>
      </c>
      <c r="H10" s="56" t="s">
        <v>40</v>
      </c>
      <c r="I10" s="56" t="s">
        <v>40</v>
      </c>
      <c r="J10" s="56" t="s">
        <v>40</v>
      </c>
      <c r="K10" s="56" t="s">
        <v>40</v>
      </c>
      <c r="L10" s="75" t="s">
        <v>40</v>
      </c>
      <c r="M10" s="56" t="s">
        <v>40</v>
      </c>
      <c r="N10" s="56" t="s">
        <v>40</v>
      </c>
      <c r="O10" s="56" t="s">
        <v>40</v>
      </c>
      <c r="P10" s="56" t="s">
        <v>40</v>
      </c>
      <c r="Q10" s="56" t="s">
        <v>40</v>
      </c>
      <c r="R10" s="56" t="s">
        <v>40</v>
      </c>
      <c r="S10" s="56" t="s">
        <v>61</v>
      </c>
      <c r="T10" s="75" t="s">
        <v>40</v>
      </c>
      <c r="U10" s="56" t="s">
        <v>40</v>
      </c>
      <c r="V10" s="56" t="s">
        <v>40</v>
      </c>
      <c r="W10" s="55" t="n">
        <v>153400</v>
      </c>
      <c r="X10" s="55" t="n">
        <v>150400</v>
      </c>
      <c r="Y10" s="56"/>
      <c r="Z10" s="55"/>
      <c r="AA10" s="55" t="n">
        <v>72000</v>
      </c>
      <c r="AB10" s="56" t="s">
        <v>40</v>
      </c>
      <c r="AC10" s="56" t="s">
        <v>40</v>
      </c>
      <c r="AD10" s="75" t="s">
        <v>40</v>
      </c>
      <c r="AE10" s="56" t="s">
        <v>40</v>
      </c>
      <c r="AF10" s="56" t="s">
        <v>40</v>
      </c>
      <c r="AG10" s="72" t="s">
        <v>40</v>
      </c>
      <c r="AH10" s="56" t="s">
        <v>40</v>
      </c>
      <c r="AI10" s="56" t="s">
        <v>40</v>
      </c>
      <c r="AJ10" s="56" t="s">
        <v>40</v>
      </c>
      <c r="AK10" s="56" t="s">
        <v>40</v>
      </c>
      <c r="AL10" s="56" t="s">
        <v>40</v>
      </c>
      <c r="AM10" s="64" t="s">
        <v>93</v>
      </c>
      <c r="AN10" s="60" t="s">
        <v>40</v>
      </c>
      <c r="AO10" s="60" t="s">
        <v>40</v>
      </c>
      <c r="AP10" s="65" t="s">
        <v>94</v>
      </c>
      <c r="AQ10" s="60" t="s">
        <v>40</v>
      </c>
      <c r="AR10" s="60" t="s">
        <v>40</v>
      </c>
      <c r="AS10" s="60" t="s">
        <v>40</v>
      </c>
      <c r="AT10" s="60" t="s">
        <v>40</v>
      </c>
      <c r="AU10" s="76"/>
      <c r="AV10" s="69"/>
      <c r="AW10" s="69"/>
      <c r="AX10" s="276"/>
      <c r="AY10" s="277" t="s">
        <v>95</v>
      </c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3"/>
      <c r="B11" s="54"/>
      <c r="C11" s="55"/>
      <c r="D11" s="56"/>
      <c r="E11" s="55"/>
      <c r="F11" s="57"/>
      <c r="G11" s="53"/>
      <c r="H11" s="53"/>
      <c r="I11" s="53"/>
      <c r="J11" s="53"/>
      <c r="K11" s="53"/>
      <c r="L11" s="75"/>
      <c r="M11" s="56"/>
      <c r="N11" s="44" t="n">
        <v>1.03</v>
      </c>
      <c r="O11" s="44" t="n">
        <v>1.05</v>
      </c>
      <c r="P11" s="44" t="n">
        <v>1.02</v>
      </c>
      <c r="Q11" s="79" t="n">
        <v>1.02</v>
      </c>
      <c r="R11" s="44" t="n">
        <v>1.04</v>
      </c>
      <c r="S11" s="56" t="s">
        <v>40</v>
      </c>
      <c r="T11" s="74"/>
      <c r="U11" s="53"/>
      <c r="V11" s="53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59"/>
      <c r="AC11" s="59"/>
      <c r="AD11" s="81"/>
      <c r="AE11" s="77"/>
      <c r="AF11" s="77"/>
      <c r="AG11" s="72"/>
      <c r="AH11" s="78"/>
      <c r="AI11" s="82"/>
      <c r="AJ11" s="53"/>
      <c r="AK11" s="53"/>
      <c r="AL11" s="56"/>
      <c r="AM11" s="64"/>
      <c r="AN11" s="60"/>
      <c r="AO11" s="59"/>
      <c r="AP11" s="65"/>
      <c r="AQ11" s="65"/>
      <c r="AR11" s="83"/>
      <c r="AS11" s="83"/>
      <c r="AT11" s="83"/>
      <c r="AU11" s="76"/>
      <c r="AV11" s="69"/>
      <c r="AW11" s="69"/>
      <c r="AX11" s="276"/>
      <c r="AY11" s="277" t="s">
        <v>40</v>
      </c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78" t="s">
        <v>97</v>
      </c>
      <c r="B12" s="198"/>
      <c r="C12" s="102"/>
      <c r="D12" s="102"/>
      <c r="E12" s="102"/>
      <c r="F12" s="199"/>
      <c r="G12" s="102"/>
      <c r="H12" s="278"/>
      <c r="I12" s="102"/>
      <c r="J12" s="102"/>
      <c r="K12" s="102"/>
      <c r="L12" s="102"/>
      <c r="M12" s="201"/>
      <c r="N12" s="102"/>
      <c r="O12" s="102"/>
      <c r="P12" s="149"/>
      <c r="Q12" s="102"/>
      <c r="R12" s="102"/>
      <c r="S12" s="149"/>
      <c r="T12" s="2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201"/>
      <c r="AF12" s="203"/>
      <c r="AG12" s="102"/>
      <c r="AH12" s="102"/>
      <c r="AI12" s="204"/>
      <c r="AJ12" s="102"/>
      <c r="AK12" s="102"/>
      <c r="AL12" s="102"/>
      <c r="AM12" s="205"/>
      <c r="AN12" s="200"/>
      <c r="AO12" s="129"/>
      <c r="AP12" s="206"/>
      <c r="AQ12" s="206"/>
      <c r="AR12" s="279"/>
      <c r="AT12" s="259"/>
      <c r="AU12" s="260"/>
      <c r="AV12" s="200"/>
      <c r="AW12" s="200"/>
      <c r="AX12" s="280"/>
      <c r="AY12" s="281"/>
    </row>
    <row r="13" s="215" customFormat="true" ht="12.95" hidden="false" customHeight="true" outlineLevel="0" collapsed="false">
      <c r="A13" s="167" t="s">
        <v>98</v>
      </c>
      <c r="B13" s="282" t="n">
        <f aca="false">JAN!B45</f>
        <v>6891.68</v>
      </c>
      <c r="C13" s="283" t="n">
        <f aca="false">JAN!C45</f>
        <v>253904</v>
      </c>
      <c r="D13" s="102" t="n">
        <f aca="false">JAN!D54</f>
        <v>-5439</v>
      </c>
      <c r="E13" s="102" t="n">
        <f aca="false">JAN!E54</f>
        <v>101904</v>
      </c>
      <c r="F13" s="199" t="n">
        <f aca="false">JAN!F53</f>
        <v>-2742.12251071339</v>
      </c>
      <c r="G13" s="102" t="n">
        <f aca="false">JAN!G53</f>
        <v>2998</v>
      </c>
      <c r="H13" s="211" t="n">
        <f aca="false">JAN!H53</f>
        <v>21.79</v>
      </c>
      <c r="I13" s="102" t="n">
        <f aca="false">JAN!I53</f>
        <v>3019.79</v>
      </c>
      <c r="J13" s="211" t="n">
        <f aca="false">JAN!J53</f>
        <v>1075.54314343333</v>
      </c>
      <c r="K13" s="102" t="n">
        <f aca="false">JAN!K53</f>
        <v>4095.33314343333</v>
      </c>
      <c r="L13" s="252" t="n">
        <f aca="false">JAN!L53</f>
        <v>501.087489286615</v>
      </c>
      <c r="M13" s="102" t="n">
        <f aca="false">JAN!M53</f>
        <v>336.9</v>
      </c>
      <c r="N13" s="211" t="n">
        <f aca="false">JAN!N53</f>
        <v>0</v>
      </c>
      <c r="O13" s="102" t="n">
        <f aca="false">JAN!O53</f>
        <v>0</v>
      </c>
      <c r="P13" s="211"/>
      <c r="Q13" s="102" t="n">
        <f aca="false">JAN!Q53</f>
        <v>153.65994</v>
      </c>
      <c r="R13" s="211" t="n">
        <f aca="false">JAN!R53</f>
        <v>214.61</v>
      </c>
      <c r="S13" s="102" t="n">
        <f aca="false">JAN!S53</f>
        <v>0.43</v>
      </c>
      <c r="T13" s="252" t="n">
        <f aca="false">JAN!T53</f>
        <v>-32.15342</v>
      </c>
      <c r="U13" s="102" t="n">
        <f aca="false">JAN!U53</f>
        <v>3189.6</v>
      </c>
      <c r="V13" s="211" t="n">
        <f aca="false">JAN!V53</f>
        <v>40.5</v>
      </c>
      <c r="W13" s="102" t="n">
        <f aca="false">JAN!W53</f>
        <v>3229.68232</v>
      </c>
      <c r="X13" s="211" t="n">
        <f aca="false">JAN!X53</f>
        <v>3189.18232</v>
      </c>
      <c r="Y13" s="102"/>
      <c r="Z13" s="102"/>
      <c r="AA13" s="102"/>
      <c r="AB13" s="102"/>
      <c r="AC13" s="102"/>
      <c r="AD13" s="102"/>
      <c r="AE13" s="201"/>
      <c r="AF13" s="203"/>
      <c r="AG13" s="211" t="n">
        <f aca="false">JAN!AG53</f>
        <v>2696</v>
      </c>
      <c r="AH13" s="211" t="n">
        <f aca="false">JAN!AH53</f>
        <v>1899</v>
      </c>
      <c r="AI13" s="211" t="n">
        <f aca="false">JAN!AI53</f>
        <v>0</v>
      </c>
      <c r="AJ13" s="211" t="n">
        <f aca="false">JAN!AJ53</f>
        <v>6263</v>
      </c>
      <c r="AK13" s="211" t="n">
        <f aca="false">JAN!AK53</f>
        <v>574.45565414671</v>
      </c>
      <c r="AL13" s="211" t="n">
        <f aca="false">JAN!AL53</f>
        <v>6837.45565414671</v>
      </c>
      <c r="AM13" s="205" t="n">
        <f aca="false">JAN!AM54</f>
        <v>6326.5716</v>
      </c>
      <c r="AN13" s="261" t="n">
        <f aca="false">JAN!AN53</f>
        <v>40.5</v>
      </c>
      <c r="AO13" s="102"/>
      <c r="AP13" s="129"/>
      <c r="AQ13" s="129"/>
      <c r="AR13" s="102"/>
      <c r="AS13" s="167"/>
      <c r="AT13" s="262"/>
      <c r="AU13" s="263" t="n">
        <f aca="false">JAN!AU53</f>
        <v>4.25</v>
      </c>
      <c r="AV13" s="200"/>
      <c r="AW13" s="200"/>
      <c r="AX13" s="284"/>
      <c r="AY13" s="264" t="n">
        <f aca="false">JAN!AY53</f>
        <v>337.31768</v>
      </c>
    </row>
    <row r="14" customFormat="false" ht="3" hidden="false" customHeight="true" outlineLevel="0" collapsed="false">
      <c r="A14" s="216"/>
      <c r="B14" s="217"/>
      <c r="C14" s="218"/>
      <c r="D14" s="219"/>
      <c r="E14" s="218"/>
      <c r="F14" s="220"/>
      <c r="G14" s="219"/>
      <c r="H14" s="285"/>
      <c r="I14" s="219"/>
      <c r="J14" s="219"/>
      <c r="K14" s="219"/>
      <c r="L14" s="219"/>
      <c r="M14" s="222"/>
      <c r="N14" s="219"/>
      <c r="O14" s="219"/>
      <c r="P14" s="223"/>
      <c r="Q14" s="219"/>
      <c r="R14" s="219"/>
      <c r="S14" s="223"/>
      <c r="T14" s="224"/>
      <c r="U14" s="219"/>
      <c r="V14" s="219"/>
      <c r="W14" s="219"/>
      <c r="X14" s="219"/>
      <c r="Y14" s="219"/>
      <c r="Z14" s="219"/>
      <c r="AA14" s="218"/>
      <c r="AB14" s="218"/>
      <c r="AC14" s="218"/>
      <c r="AD14" s="219"/>
      <c r="AE14" s="222"/>
      <c r="AF14" s="226"/>
      <c r="AG14" s="219"/>
      <c r="AH14" s="218"/>
      <c r="AI14" s="286"/>
      <c r="AJ14" s="219"/>
      <c r="AK14" s="219"/>
      <c r="AL14" s="219"/>
      <c r="AM14" s="227"/>
      <c r="AN14" s="228"/>
      <c r="AO14" s="228"/>
      <c r="AP14" s="228"/>
      <c r="AQ14" s="228"/>
      <c r="AR14" s="228"/>
      <c r="AS14" s="287"/>
      <c r="AT14" s="288"/>
      <c r="AU14" s="248"/>
      <c r="AV14" s="228"/>
      <c r="AW14" s="228"/>
      <c r="AX14" s="288"/>
      <c r="AY14" s="289"/>
    </row>
    <row r="15" customFormat="false" ht="12.95" hidden="false" customHeight="true" outlineLevel="0" collapsed="false">
      <c r="A15" s="173" t="n">
        <v>1</v>
      </c>
      <c r="B15" s="101" t="n">
        <v>6891.67</v>
      </c>
      <c r="C15" s="102" t="n">
        <v>253870</v>
      </c>
      <c r="D15" s="200" t="n">
        <f aca="false">C15-C13</f>
        <v>-34</v>
      </c>
      <c r="E15" s="102" t="n">
        <f aca="false">C15-152000</f>
        <v>101870</v>
      </c>
      <c r="F15" s="231" t="n">
        <f aca="false">D15/$D$2</f>
        <v>-17.1414166876733</v>
      </c>
      <c r="G15" s="1" t="n">
        <v>32</v>
      </c>
      <c r="H15" s="290" t="n">
        <v>1.1</v>
      </c>
      <c r="I15" s="129" t="n">
        <f aca="false">G15+H15</f>
        <v>33.1</v>
      </c>
      <c r="J15" s="130" t="n">
        <f aca="false">IF(L15&gt;0,L15,0)</f>
        <v>17.4585833123267</v>
      </c>
      <c r="K15" s="129" t="n">
        <f aca="false">I15+J15</f>
        <v>50.5585833123267</v>
      </c>
      <c r="L15" s="129" t="n">
        <f aca="false">F15-(I15-AJ15)</f>
        <v>17.4585833123267</v>
      </c>
      <c r="M15" s="233" t="n">
        <v>4.7</v>
      </c>
      <c r="N15" s="129" t="n">
        <v>0</v>
      </c>
      <c r="O15" s="129" t="n">
        <v>0</v>
      </c>
      <c r="P15" s="149" t="n">
        <v>0</v>
      </c>
      <c r="Q15" s="257" t="n">
        <f aca="false">1.45*1.02</f>
        <v>1.479</v>
      </c>
      <c r="R15" s="149" t="n">
        <v>2.33</v>
      </c>
      <c r="S15" s="291" t="n">
        <v>0</v>
      </c>
      <c r="T15" s="91" t="n">
        <f aca="false">M15-(Q15+R15+S15)</f>
        <v>0.891</v>
      </c>
      <c r="U15" s="129" t="n">
        <v>33</v>
      </c>
      <c r="V15" s="129" t="n">
        <v>0</v>
      </c>
      <c r="W15" s="129" t="n">
        <f aca="false">M15-N15-O15-P15-Q15-R15-S15-T15+U15+V15</f>
        <v>33</v>
      </c>
      <c r="X15" s="129" t="n">
        <f aca="false">W15-AN15</f>
        <v>33</v>
      </c>
      <c r="Y15" s="129"/>
      <c r="Z15" s="129"/>
      <c r="AA15" s="102"/>
      <c r="AB15" s="102"/>
      <c r="AC15" s="102"/>
      <c r="AD15" s="129" t="n">
        <v>0</v>
      </c>
      <c r="AE15" s="233"/>
      <c r="AF15" s="234"/>
      <c r="AG15" s="129" t="n">
        <v>30</v>
      </c>
      <c r="AH15" s="102" t="n">
        <f aca="false">AH13-AG15</f>
        <v>1869</v>
      </c>
      <c r="AI15" s="204"/>
      <c r="AJ15" s="128" t="n">
        <f aca="false">N15+O15+P15+Q15+R15+S15+T15+W15+AD15+AG15</f>
        <v>67.7</v>
      </c>
      <c r="AK15" s="129" t="n">
        <f aca="false">IF(L15&lt;0,L15*-1,0)</f>
        <v>0</v>
      </c>
      <c r="AL15" s="129" t="n">
        <f aca="false">AJ15+AK15</f>
        <v>67.7</v>
      </c>
      <c r="AM15" s="205" t="n">
        <f aca="false">AM13+(W15*1.9835)</f>
        <v>6392.0271</v>
      </c>
      <c r="AN15" s="200" t="n">
        <v>0</v>
      </c>
      <c r="AO15" s="206"/>
      <c r="AP15" s="102"/>
      <c r="AQ15" s="102"/>
      <c r="AR15" s="279"/>
      <c r="AT15" s="259"/>
      <c r="AU15" s="260" t="n">
        <v>0</v>
      </c>
      <c r="AV15" s="200" t="n">
        <v>35</v>
      </c>
      <c r="AW15" s="200" t="n">
        <v>3</v>
      </c>
      <c r="AX15" s="280"/>
      <c r="AY15" s="235" t="n">
        <f aca="false">SUM(N15,P15:T15)</f>
        <v>4.7</v>
      </c>
    </row>
    <row r="16" customFormat="false" ht="12.95" hidden="false" customHeight="true" outlineLevel="0" collapsed="false">
      <c r="A16" s="173" t="n">
        <f aca="false">A15+1</f>
        <v>2</v>
      </c>
      <c r="B16" s="101" t="n">
        <v>6891.65</v>
      </c>
      <c r="C16" s="102" t="n">
        <v>253801</v>
      </c>
      <c r="D16" s="200" t="n">
        <f aca="false">C16-C15</f>
        <v>-69</v>
      </c>
      <c r="E16" s="102" t="n">
        <f aca="false">C16-152000</f>
        <v>101801</v>
      </c>
      <c r="F16" s="231" t="n">
        <f aca="false">D16/$D$2</f>
        <v>-34.7869926896899</v>
      </c>
      <c r="G16" s="1" t="n">
        <v>32</v>
      </c>
      <c r="H16" s="290" t="n">
        <v>1.1</v>
      </c>
      <c r="I16" s="129" t="n">
        <f aca="false">G16+H16</f>
        <v>33.1</v>
      </c>
      <c r="J16" s="130" t="n">
        <f aca="false">IF(L16&gt;0,L16,0)</f>
        <v>0</v>
      </c>
      <c r="K16" s="129" t="n">
        <f aca="false">I16+J16</f>
        <v>33.1</v>
      </c>
      <c r="L16" s="129" t="n">
        <f aca="false">F16-(I16-AJ16)</f>
        <v>-4.08699268968994</v>
      </c>
      <c r="M16" s="233" t="n">
        <v>3.8</v>
      </c>
      <c r="N16" s="129" t="n">
        <v>0</v>
      </c>
      <c r="O16" s="129" t="n">
        <v>0</v>
      </c>
      <c r="P16" s="149" t="n">
        <v>0</v>
      </c>
      <c r="Q16" s="257" t="n">
        <f aca="false">1.45*1.02</f>
        <v>1.479</v>
      </c>
      <c r="R16" s="149" t="n">
        <v>2.2</v>
      </c>
      <c r="S16" s="291" t="n">
        <v>0</v>
      </c>
      <c r="T16" s="91" t="n">
        <f aca="false">M16-(Q16+R16+S16)</f>
        <v>0.121</v>
      </c>
      <c r="U16" s="129" t="n">
        <v>30</v>
      </c>
      <c r="V16" s="129" t="n">
        <v>0</v>
      </c>
      <c r="W16" s="129" t="n">
        <f aca="false">M16-N16-O16-P16-Q16-R16-S16-T16+U16+V16</f>
        <v>30</v>
      </c>
      <c r="X16" s="129" t="n">
        <f aca="false">W16-AN16</f>
        <v>30</v>
      </c>
      <c r="Y16" s="129"/>
      <c r="Z16" s="129"/>
      <c r="AA16" s="102"/>
      <c r="AB16" s="102"/>
      <c r="AC16" s="102"/>
      <c r="AD16" s="129" t="n">
        <v>0</v>
      </c>
      <c r="AE16" s="233"/>
      <c r="AF16" s="234"/>
      <c r="AG16" s="129" t="n">
        <v>30</v>
      </c>
      <c r="AH16" s="102" t="n">
        <f aca="false">AH15-AG16</f>
        <v>1839</v>
      </c>
      <c r="AI16" s="204"/>
      <c r="AJ16" s="128" t="n">
        <f aca="false">N16+O16+P16+Q16+R16+S16+T16+W16+AD16+AG16</f>
        <v>63.8</v>
      </c>
      <c r="AK16" s="129" t="n">
        <f aca="false">IF(L16&lt;0,L16*-1,0)</f>
        <v>4.08699268968994</v>
      </c>
      <c r="AL16" s="129" t="n">
        <f aca="false">AJ16+AK16</f>
        <v>67.88699268969</v>
      </c>
      <c r="AM16" s="205" t="n">
        <f aca="false">AM15+(W16*1.9835)</f>
        <v>6451.5321</v>
      </c>
      <c r="AN16" s="200" t="n">
        <v>0</v>
      </c>
      <c r="AO16" s="206"/>
      <c r="AP16" s="102"/>
      <c r="AQ16" s="102"/>
      <c r="AR16" s="279"/>
      <c r="AU16" s="207" t="n">
        <v>0</v>
      </c>
      <c r="AV16" s="200" t="n">
        <v>40</v>
      </c>
      <c r="AW16" s="200" t="n">
        <v>4</v>
      </c>
      <c r="AX16" s="280"/>
      <c r="AY16" s="235" t="n">
        <f aca="false">SUM(N16,P16:T16)</f>
        <v>3.8</v>
      </c>
    </row>
    <row r="17" customFormat="false" ht="12.95" hidden="false" customHeight="true" outlineLevel="0" collapsed="false">
      <c r="A17" s="173" t="n">
        <f aca="false">A16+1</f>
        <v>3</v>
      </c>
      <c r="B17" s="101" t="n">
        <v>6891.63</v>
      </c>
      <c r="C17" s="102" t="n">
        <v>253732</v>
      </c>
      <c r="D17" s="200" t="n">
        <f aca="false">C17-C16</f>
        <v>-69</v>
      </c>
      <c r="E17" s="102" t="n">
        <f aca="false">C17-152000</f>
        <v>101732</v>
      </c>
      <c r="F17" s="231" t="n">
        <f aca="false">D17/$D$2</f>
        <v>-34.7869926896899</v>
      </c>
      <c r="G17" s="1" t="n">
        <v>32</v>
      </c>
      <c r="H17" s="290" t="n">
        <v>1.1</v>
      </c>
      <c r="I17" s="129" t="n">
        <f aca="false">G17+H17</f>
        <v>33.1</v>
      </c>
      <c r="J17" s="130" t="n">
        <f aca="false">IF(L17&gt;0,L17,0)</f>
        <v>0</v>
      </c>
      <c r="K17" s="129" t="n">
        <f aca="false">I17+J17</f>
        <v>33.1</v>
      </c>
      <c r="L17" s="129" t="n">
        <f aca="false">F17-(I17-AJ17)</f>
        <v>-4.88699268968994</v>
      </c>
      <c r="M17" s="233" t="n">
        <v>3</v>
      </c>
      <c r="N17" s="129" t="n">
        <v>0</v>
      </c>
      <c r="O17" s="129" t="n">
        <v>0</v>
      </c>
      <c r="P17" s="149" t="n">
        <v>0</v>
      </c>
      <c r="Q17" s="257" t="n">
        <f aca="false">1.45*1.02</f>
        <v>1.479</v>
      </c>
      <c r="R17" s="149" t="n">
        <v>2.47</v>
      </c>
      <c r="S17" s="291" t="n">
        <v>0</v>
      </c>
      <c r="T17" s="91" t="n">
        <f aca="false">M17-(Q17+R17+S17)</f>
        <v>-0.949</v>
      </c>
      <c r="U17" s="129" t="n">
        <v>30</v>
      </c>
      <c r="V17" s="129" t="n">
        <v>0</v>
      </c>
      <c r="W17" s="129" t="n">
        <f aca="false">M17-N17-O17-P17-Q17-R17-S17-T17+U17+V17</f>
        <v>30</v>
      </c>
      <c r="X17" s="129" t="n">
        <f aca="false">W17-AN17</f>
        <v>30</v>
      </c>
      <c r="Y17" s="129"/>
      <c r="Z17" s="129"/>
      <c r="AA17" s="102"/>
      <c r="AB17" s="102"/>
      <c r="AC17" s="102"/>
      <c r="AD17" s="129" t="n">
        <v>0</v>
      </c>
      <c r="AE17" s="233"/>
      <c r="AF17" s="234"/>
      <c r="AG17" s="129" t="n">
        <v>30</v>
      </c>
      <c r="AH17" s="102" t="n">
        <f aca="false">AH16-AG17</f>
        <v>1809</v>
      </c>
      <c r="AI17" s="204"/>
      <c r="AJ17" s="128" t="n">
        <f aca="false">N17+O17+P17+Q17+R17+S17+T17+W17+AD17+AG17</f>
        <v>63</v>
      </c>
      <c r="AK17" s="129" t="n">
        <f aca="false">IF(L17&lt;0,L17*-1,0)</f>
        <v>4.88699268968994</v>
      </c>
      <c r="AL17" s="129" t="n">
        <f aca="false">AJ17+AK17</f>
        <v>67.88699268969</v>
      </c>
      <c r="AM17" s="205" t="n">
        <f aca="false">AM16+(W17*1.9835)</f>
        <v>6511.0371</v>
      </c>
      <c r="AN17" s="200" t="n">
        <v>0</v>
      </c>
      <c r="AO17" s="206"/>
      <c r="AP17" s="102"/>
      <c r="AQ17" s="102"/>
      <c r="AR17" s="279"/>
      <c r="AU17" s="207" t="n">
        <v>0.02</v>
      </c>
      <c r="AV17" s="200" t="n">
        <v>42</v>
      </c>
      <c r="AW17" s="200" t="n">
        <v>7</v>
      </c>
      <c r="AX17" s="280"/>
      <c r="AY17" s="235" t="n">
        <f aca="false">SUM(N17,P17:T17)</f>
        <v>3</v>
      </c>
    </row>
    <row r="18" customFormat="false" ht="12.95" hidden="false" customHeight="true" outlineLevel="0" collapsed="false">
      <c r="A18" s="173" t="n">
        <f aca="false">A17+1</f>
        <v>4</v>
      </c>
      <c r="B18" s="101" t="n">
        <v>6891.62</v>
      </c>
      <c r="C18" s="102" t="n">
        <v>253698</v>
      </c>
      <c r="D18" s="200" t="n">
        <f aca="false">C18-C17</f>
        <v>-34</v>
      </c>
      <c r="E18" s="102" t="n">
        <f aca="false">C18-152000</f>
        <v>101698</v>
      </c>
      <c r="F18" s="231" t="n">
        <f aca="false">D18/$D$2</f>
        <v>-17.1414166876733</v>
      </c>
      <c r="G18" s="1" t="n">
        <v>32</v>
      </c>
      <c r="H18" s="290" t="n">
        <v>1.2</v>
      </c>
      <c r="I18" s="129" t="n">
        <f aca="false">G18+H18</f>
        <v>33.2</v>
      </c>
      <c r="J18" s="130" t="n">
        <f aca="false">IF(L18&gt;0,L18,0)</f>
        <v>12.5585833123267</v>
      </c>
      <c r="K18" s="129" t="n">
        <f aca="false">I18+J18</f>
        <v>45.7585833123267</v>
      </c>
      <c r="L18" s="129" t="n">
        <f aca="false">F18-(I18-AJ18)</f>
        <v>12.5585833123267</v>
      </c>
      <c r="M18" s="233" t="n">
        <v>2.9</v>
      </c>
      <c r="N18" s="129" t="n">
        <v>0</v>
      </c>
      <c r="O18" s="129" t="n">
        <v>0</v>
      </c>
      <c r="P18" s="149" t="n">
        <v>0</v>
      </c>
      <c r="Q18" s="257" t="n">
        <f aca="false">1.45*1.02</f>
        <v>1.479</v>
      </c>
      <c r="R18" s="149" t="n">
        <v>2.35</v>
      </c>
      <c r="S18" s="291" t="n">
        <v>0</v>
      </c>
      <c r="T18" s="91" t="n">
        <f aca="false">M18-(Q18+R18+S18)</f>
        <v>-0.929</v>
      </c>
      <c r="U18" s="129" t="n">
        <v>30</v>
      </c>
      <c r="V18" s="129" t="n">
        <v>0</v>
      </c>
      <c r="W18" s="129" t="n">
        <f aca="false">M18-N18-O18-P18-Q18-R18-S18-T18+U18+V18</f>
        <v>30</v>
      </c>
      <c r="X18" s="129" t="n">
        <f aca="false">W18-AN18</f>
        <v>30</v>
      </c>
      <c r="Y18" s="129"/>
      <c r="Z18" s="129"/>
      <c r="AA18" s="102"/>
      <c r="AB18" s="102"/>
      <c r="AC18" s="102"/>
      <c r="AD18" s="129" t="n">
        <v>0</v>
      </c>
      <c r="AE18" s="233"/>
      <c r="AF18" s="234"/>
      <c r="AG18" s="129" t="n">
        <v>30</v>
      </c>
      <c r="AH18" s="102" t="n">
        <f aca="false">AH17-AG18</f>
        <v>1779</v>
      </c>
      <c r="AI18" s="204"/>
      <c r="AJ18" s="128" t="n">
        <f aca="false">N18+O18+P18+Q18+R18+S18+T18+W18+AD18+AG18</f>
        <v>62.9</v>
      </c>
      <c r="AK18" s="129" t="n">
        <f aca="false">IF(L18&lt;0,L18*-1,0)</f>
        <v>0</v>
      </c>
      <c r="AL18" s="129" t="n">
        <f aca="false">AJ18+AK18</f>
        <v>62.9</v>
      </c>
      <c r="AM18" s="205" t="n">
        <f aca="false">AM17+(W18*1.9835)</f>
        <v>6570.5421</v>
      </c>
      <c r="AN18" s="200" t="n">
        <v>0</v>
      </c>
      <c r="AO18" s="206"/>
      <c r="AP18" s="102"/>
      <c r="AQ18" s="102"/>
      <c r="AR18" s="279"/>
      <c r="AU18" s="207" t="n">
        <v>0.01</v>
      </c>
      <c r="AV18" s="200" t="n">
        <v>37</v>
      </c>
      <c r="AW18" s="200" t="n">
        <v>15</v>
      </c>
      <c r="AX18" s="280"/>
      <c r="AY18" s="235" t="n">
        <f aca="false">SUM(N18,P18:T18)</f>
        <v>2.9</v>
      </c>
    </row>
    <row r="19" customFormat="false" ht="12.95" hidden="false" customHeight="true" outlineLevel="0" collapsed="false">
      <c r="A19" s="173" t="n">
        <f aca="false">A18+1</f>
        <v>5</v>
      </c>
      <c r="B19" s="101" t="n">
        <v>6891.6</v>
      </c>
      <c r="C19" s="102" t="n">
        <v>253629</v>
      </c>
      <c r="D19" s="200" t="n">
        <f aca="false">C19-C18</f>
        <v>-69</v>
      </c>
      <c r="E19" s="102" t="n">
        <f aca="false">C19-152000</f>
        <v>101629</v>
      </c>
      <c r="F19" s="231" t="n">
        <f aca="false">D19/$D$2</f>
        <v>-34.7869926896899</v>
      </c>
      <c r="G19" s="1" t="n">
        <v>32</v>
      </c>
      <c r="H19" s="290" t="n">
        <v>1.2</v>
      </c>
      <c r="I19" s="129" t="n">
        <f aca="false">G19+H19</f>
        <v>33.2</v>
      </c>
      <c r="J19" s="130" t="n">
        <f aca="false">IF(L19&gt;0,L19,0)</f>
        <v>0</v>
      </c>
      <c r="K19" s="129" t="n">
        <f aca="false">I19+J19</f>
        <v>33.2</v>
      </c>
      <c r="L19" s="129" t="n">
        <f aca="false">F19-(I19-AJ19)</f>
        <v>-5.08699268968994</v>
      </c>
      <c r="M19" s="233" t="n">
        <v>2.9</v>
      </c>
      <c r="N19" s="129" t="n">
        <v>0</v>
      </c>
      <c r="O19" s="129" t="n">
        <v>0</v>
      </c>
      <c r="P19" s="149" t="n">
        <v>0</v>
      </c>
      <c r="Q19" s="257" t="n">
        <f aca="false">1.45*1.02</f>
        <v>1.479</v>
      </c>
      <c r="R19" s="149" t="n">
        <v>2.43</v>
      </c>
      <c r="S19" s="291" t="n">
        <v>0</v>
      </c>
      <c r="T19" s="91" t="n">
        <f aca="false">M19-(Q19+R19+S19)</f>
        <v>-1.009</v>
      </c>
      <c r="U19" s="129" t="n">
        <v>30</v>
      </c>
      <c r="V19" s="129" t="n">
        <v>0</v>
      </c>
      <c r="W19" s="129" t="n">
        <f aca="false">M19-N19-O19-P19-Q19-R19-S19-T19+U19+V19</f>
        <v>30</v>
      </c>
      <c r="X19" s="129" t="n">
        <f aca="false">W19-AN19</f>
        <v>30</v>
      </c>
      <c r="Y19" s="129"/>
      <c r="Z19" s="129"/>
      <c r="AA19" s="102"/>
      <c r="AB19" s="102"/>
      <c r="AC19" s="102"/>
      <c r="AD19" s="129" t="n">
        <v>0</v>
      </c>
      <c r="AE19" s="233"/>
      <c r="AF19" s="234"/>
      <c r="AG19" s="129" t="n">
        <v>30</v>
      </c>
      <c r="AH19" s="102" t="n">
        <f aca="false">AH18-AG19</f>
        <v>1749</v>
      </c>
      <c r="AI19" s="204"/>
      <c r="AJ19" s="128" t="n">
        <f aca="false">N19+O19+P19+Q19+R19+S19+T19+W19+AD19+AG19</f>
        <v>62.9</v>
      </c>
      <c r="AK19" s="129" t="n">
        <f aca="false">IF(L19&lt;0,L19*-1,0)</f>
        <v>5.08699268968994</v>
      </c>
      <c r="AL19" s="129" t="n">
        <f aca="false">AJ19+AK19</f>
        <v>67.9869926896899</v>
      </c>
      <c r="AM19" s="205" t="n">
        <f aca="false">AM18+(W19*1.9835)</f>
        <v>6630.0471</v>
      </c>
      <c r="AN19" s="200" t="n">
        <v>0</v>
      </c>
      <c r="AO19" s="206"/>
      <c r="AP19" s="102"/>
      <c r="AQ19" s="102"/>
      <c r="AR19" s="279"/>
      <c r="AU19" s="207" t="n">
        <v>0</v>
      </c>
      <c r="AV19" s="200" t="n">
        <v>34</v>
      </c>
      <c r="AW19" s="200" t="n">
        <v>15</v>
      </c>
      <c r="AX19" s="280"/>
      <c r="AY19" s="235" t="n">
        <f aca="false">SUM(N19,P19:T19)</f>
        <v>2.9</v>
      </c>
    </row>
    <row r="20" customFormat="false" ht="12.95" hidden="false" customHeight="true" outlineLevel="0" collapsed="false">
      <c r="A20" s="173" t="n">
        <f aca="false">A19+1</f>
        <v>6</v>
      </c>
      <c r="B20" s="101" t="n">
        <v>6891.58</v>
      </c>
      <c r="C20" s="102" t="n">
        <v>253561</v>
      </c>
      <c r="D20" s="200" t="n">
        <f aca="false">C20-C19</f>
        <v>-68</v>
      </c>
      <c r="E20" s="102" t="n">
        <f aca="false">C20-152000</f>
        <v>101561</v>
      </c>
      <c r="F20" s="231" t="n">
        <f aca="false">D20/$D$2</f>
        <v>-34.2828333753466</v>
      </c>
      <c r="G20" s="1" t="n">
        <v>32</v>
      </c>
      <c r="H20" s="290" t="n">
        <v>1.2</v>
      </c>
      <c r="I20" s="129" t="n">
        <f aca="false">G20+H20</f>
        <v>33.2</v>
      </c>
      <c r="J20" s="130" t="n">
        <f aca="false">IF(L20&gt;0,L20,0)</f>
        <v>0</v>
      </c>
      <c r="K20" s="129" t="n">
        <f aca="false">I20+J20</f>
        <v>33.2</v>
      </c>
      <c r="L20" s="129" t="n">
        <f aca="false">F20-(I20-AJ20)</f>
        <v>-1.5828333753466</v>
      </c>
      <c r="M20" s="233" t="n">
        <v>4.9</v>
      </c>
      <c r="N20" s="129" t="n">
        <v>0</v>
      </c>
      <c r="O20" s="129" t="n">
        <v>0</v>
      </c>
      <c r="P20" s="149" t="n">
        <v>0</v>
      </c>
      <c r="Q20" s="257" t="n">
        <f aca="false">1.45*1.02</f>
        <v>1.479</v>
      </c>
      <c r="R20" s="149" t="n">
        <v>2.51</v>
      </c>
      <c r="S20" s="291" t="n">
        <v>0</v>
      </c>
      <c r="T20" s="91" t="n">
        <f aca="false">M20-(Q20+R20+S20)</f>
        <v>0.911000000000001</v>
      </c>
      <c r="U20" s="129" t="n">
        <v>31</v>
      </c>
      <c r="V20" s="129" t="n">
        <v>0</v>
      </c>
      <c r="W20" s="129" t="n">
        <f aca="false">M20-N20-O20-P20-Q20-R20-S20-T20+U20+V20</f>
        <v>31</v>
      </c>
      <c r="X20" s="129" t="n">
        <f aca="false">W20-AN20</f>
        <v>31</v>
      </c>
      <c r="Y20" s="129"/>
      <c r="Z20" s="129"/>
      <c r="AA20" s="102"/>
      <c r="AB20" s="102"/>
      <c r="AC20" s="102"/>
      <c r="AD20" s="129" t="n">
        <v>0</v>
      </c>
      <c r="AE20" s="233"/>
      <c r="AF20" s="234"/>
      <c r="AG20" s="129" t="n">
        <v>30</v>
      </c>
      <c r="AH20" s="102" t="n">
        <f aca="false">AH19-AG20</f>
        <v>1719</v>
      </c>
      <c r="AI20" s="204"/>
      <c r="AJ20" s="128" t="n">
        <f aca="false">N20+O20+P20+Q20+R20+S20+T20+W20+AD20+AG20</f>
        <v>65.9</v>
      </c>
      <c r="AK20" s="129" t="n">
        <f aca="false">IF(L20&lt;0,L20*-1,0)</f>
        <v>1.5828333753466</v>
      </c>
      <c r="AL20" s="129" t="n">
        <f aca="false">AJ20+AK20</f>
        <v>67.4828333753466</v>
      </c>
      <c r="AM20" s="205" t="n">
        <f aca="false">AM19+(W20*1.9835)</f>
        <v>6691.5356</v>
      </c>
      <c r="AN20" s="200" t="n">
        <v>0</v>
      </c>
      <c r="AO20" s="129"/>
      <c r="AP20" s="102"/>
      <c r="AQ20" s="102"/>
      <c r="AR20" s="279"/>
      <c r="AU20" s="207" t="n">
        <v>0.13</v>
      </c>
      <c r="AV20" s="200" t="n">
        <v>38</v>
      </c>
      <c r="AW20" s="200" t="n">
        <v>27</v>
      </c>
      <c r="AX20" s="280"/>
      <c r="AY20" s="235" t="n">
        <f aca="false">SUM(N20,P20:T20)</f>
        <v>4.9</v>
      </c>
    </row>
    <row r="21" customFormat="false" ht="12.95" hidden="false" customHeight="true" outlineLevel="0" collapsed="false">
      <c r="A21" s="173" t="n">
        <f aca="false">A20+1</f>
        <v>7</v>
      </c>
      <c r="B21" s="101" t="n">
        <v>6891.63</v>
      </c>
      <c r="C21" s="102" t="n">
        <v>253732</v>
      </c>
      <c r="D21" s="200" t="n">
        <f aca="false">C21-C20</f>
        <v>171</v>
      </c>
      <c r="E21" s="102" t="n">
        <f aca="false">C21-152000</f>
        <v>101732</v>
      </c>
      <c r="F21" s="231" t="n">
        <f aca="false">D21/$D$2</f>
        <v>86.2112427527099</v>
      </c>
      <c r="G21" s="1" t="n">
        <v>32</v>
      </c>
      <c r="H21" s="290" t="n">
        <v>1.2</v>
      </c>
      <c r="I21" s="129" t="n">
        <f aca="false">G21+H21</f>
        <v>33.2</v>
      </c>
      <c r="J21" s="130" t="n">
        <f aca="false">IF(L21&gt;0,L21,0)</f>
        <v>119.21124275271</v>
      </c>
      <c r="K21" s="129" t="n">
        <f aca="false">I21+J21</f>
        <v>152.41124275271</v>
      </c>
      <c r="L21" s="129" t="n">
        <f aca="false">F21-(I21-AJ21)</f>
        <v>119.21124275271</v>
      </c>
      <c r="M21" s="233" t="n">
        <v>5.2</v>
      </c>
      <c r="N21" s="129" t="n">
        <v>0</v>
      </c>
      <c r="O21" s="129" t="n">
        <v>0</v>
      </c>
      <c r="P21" s="149" t="n">
        <v>0</v>
      </c>
      <c r="Q21" s="257" t="n">
        <f aca="false">1.45*1.02</f>
        <v>1.479</v>
      </c>
      <c r="R21" s="149" t="n">
        <v>2.47</v>
      </c>
      <c r="S21" s="291" t="n">
        <v>0</v>
      </c>
      <c r="T21" s="91" t="n">
        <f aca="false">M21-(Q21+R21+S21)</f>
        <v>1.251</v>
      </c>
      <c r="U21" s="129" t="n">
        <v>31</v>
      </c>
      <c r="V21" s="129" t="n">
        <v>0</v>
      </c>
      <c r="W21" s="129" t="n">
        <f aca="false">M21-N21-O21-P21-Q21-R21-S21-T21+U21+V21</f>
        <v>31</v>
      </c>
      <c r="X21" s="129" t="n">
        <f aca="false">W21-AN21</f>
        <v>31</v>
      </c>
      <c r="Y21" s="129"/>
      <c r="Z21" s="129"/>
      <c r="AA21" s="102"/>
      <c r="AB21" s="102"/>
      <c r="AC21" s="102"/>
      <c r="AD21" s="129" t="n">
        <v>0</v>
      </c>
      <c r="AE21" s="233"/>
      <c r="AF21" s="234"/>
      <c r="AG21" s="129" t="n">
        <v>30</v>
      </c>
      <c r="AH21" s="102" t="n">
        <f aca="false">AH20-AG21</f>
        <v>1689</v>
      </c>
      <c r="AI21" s="204"/>
      <c r="AJ21" s="128" t="n">
        <f aca="false">N21+O21+P21+Q21+R21+S21+T21+W21+AD21+AG21</f>
        <v>66.2</v>
      </c>
      <c r="AK21" s="129" t="n">
        <f aca="false">IF(L21&lt;0,L21*-1,0)</f>
        <v>0</v>
      </c>
      <c r="AL21" s="129" t="n">
        <f aca="false">AJ21+AK21</f>
        <v>66.2</v>
      </c>
      <c r="AM21" s="205" t="n">
        <f aca="false">AM20+(W21*1.9835)</f>
        <v>6753.0241</v>
      </c>
      <c r="AN21" s="200" t="n">
        <v>0</v>
      </c>
      <c r="AO21" s="129"/>
      <c r="AP21" s="102"/>
      <c r="AQ21" s="102"/>
      <c r="AR21" s="279"/>
      <c r="AU21" s="207" t="n">
        <v>0.31</v>
      </c>
      <c r="AV21" s="200" t="n">
        <v>41</v>
      </c>
      <c r="AW21" s="200" t="n">
        <v>28</v>
      </c>
      <c r="AX21" s="280"/>
      <c r="AY21" s="235" t="n">
        <f aca="false">SUM(N21,P21:T21)</f>
        <v>5.2</v>
      </c>
    </row>
    <row r="22" customFormat="false" ht="12.95" hidden="false" customHeight="true" outlineLevel="0" collapsed="false">
      <c r="A22" s="173" t="n">
        <f aca="false">A21+1</f>
        <v>8</v>
      </c>
      <c r="B22" s="101" t="n">
        <v>6891.62</v>
      </c>
      <c r="C22" s="102" t="n">
        <v>253698</v>
      </c>
      <c r="D22" s="200" t="n">
        <f aca="false">C22-C21</f>
        <v>-34</v>
      </c>
      <c r="E22" s="102" t="n">
        <f aca="false">C22-152000</f>
        <v>101698</v>
      </c>
      <c r="F22" s="231" t="n">
        <f aca="false">D22/$D$2</f>
        <v>-17.1414166876733</v>
      </c>
      <c r="G22" s="1" t="n">
        <v>32</v>
      </c>
      <c r="H22" s="290" t="n">
        <v>1.2</v>
      </c>
      <c r="I22" s="129" t="n">
        <f aca="false">G22+H22</f>
        <v>33.2</v>
      </c>
      <c r="J22" s="130" t="n">
        <f aca="false">IF(L22&gt;0,L22,0)</f>
        <v>15.0585833123267</v>
      </c>
      <c r="K22" s="129" t="n">
        <f aca="false">I22+J22</f>
        <v>48.2585833123267</v>
      </c>
      <c r="L22" s="129" t="n">
        <f aca="false">F22-(I22-AJ22)</f>
        <v>15.0585833123267</v>
      </c>
      <c r="M22" s="233" t="n">
        <v>4.4</v>
      </c>
      <c r="N22" s="129" t="n">
        <v>0</v>
      </c>
      <c r="O22" s="129" t="n">
        <v>0</v>
      </c>
      <c r="P22" s="149" t="n">
        <v>0</v>
      </c>
      <c r="Q22" s="257" t="n">
        <f aca="false">1.45*1.02</f>
        <v>1.479</v>
      </c>
      <c r="R22" s="149" t="n">
        <v>2.04</v>
      </c>
      <c r="S22" s="291" t="n">
        <v>0</v>
      </c>
      <c r="T22" s="91" t="n">
        <f aca="false">M22-(Q22+R22+S22)</f>
        <v>0.881</v>
      </c>
      <c r="U22" s="129" t="n">
        <v>31</v>
      </c>
      <c r="V22" s="129" t="n">
        <v>0</v>
      </c>
      <c r="W22" s="129" t="n">
        <f aca="false">M22-N22-O22-P22-Q22-R22-S22-T22+U22+V22</f>
        <v>31</v>
      </c>
      <c r="X22" s="129" t="n">
        <f aca="false">W22-AN22</f>
        <v>31</v>
      </c>
      <c r="Y22" s="129"/>
      <c r="Z22" s="129"/>
      <c r="AA22" s="102"/>
      <c r="AB22" s="102"/>
      <c r="AC22" s="102"/>
      <c r="AD22" s="129" t="n">
        <v>0</v>
      </c>
      <c r="AE22" s="233"/>
      <c r="AF22" s="234"/>
      <c r="AG22" s="129" t="n">
        <v>30</v>
      </c>
      <c r="AH22" s="102" t="n">
        <f aca="false">AH21-AG22</f>
        <v>1659</v>
      </c>
      <c r="AI22" s="204"/>
      <c r="AJ22" s="128" t="n">
        <f aca="false">N22+O22+P22+Q22+R22+S22+T22+W22+AD22+AG22</f>
        <v>65.4</v>
      </c>
      <c r="AK22" s="129" t="n">
        <f aca="false">IF(L22&lt;0,L22*-1,0)</f>
        <v>0</v>
      </c>
      <c r="AL22" s="129" t="n">
        <f aca="false">AJ22+AK22</f>
        <v>65.4</v>
      </c>
      <c r="AM22" s="205" t="n">
        <f aca="false">AM21+(W22*1.9835)</f>
        <v>6814.5126</v>
      </c>
      <c r="AN22" s="200" t="n">
        <v>0</v>
      </c>
      <c r="AO22" s="129"/>
      <c r="AP22" s="102"/>
      <c r="AQ22" s="102"/>
      <c r="AR22" s="279"/>
      <c r="AU22" s="207" t="n">
        <v>0.08</v>
      </c>
      <c r="AV22" s="200" t="n">
        <v>36</v>
      </c>
      <c r="AW22" s="200" t="n">
        <v>25</v>
      </c>
      <c r="AX22" s="280"/>
      <c r="AY22" s="235" t="n">
        <f aca="false">SUM(N22,P22:T22)</f>
        <v>4.4</v>
      </c>
    </row>
    <row r="23" customFormat="false" ht="12.95" hidden="false" customHeight="true" outlineLevel="0" collapsed="false">
      <c r="A23" s="173" t="n">
        <f aca="false">A22+1</f>
        <v>9</v>
      </c>
      <c r="B23" s="101" t="n">
        <v>6891.61</v>
      </c>
      <c r="C23" s="102" t="n">
        <v>253664</v>
      </c>
      <c r="D23" s="200" t="n">
        <f aca="false">C23-C22</f>
        <v>-34</v>
      </c>
      <c r="E23" s="102" t="n">
        <f aca="false">C23-152000</f>
        <v>101664</v>
      </c>
      <c r="F23" s="231" t="n">
        <f aca="false">D23/$D$2</f>
        <v>-17.1414166876733</v>
      </c>
      <c r="G23" s="1" t="n">
        <v>32</v>
      </c>
      <c r="H23" s="290" t="n">
        <v>1.2</v>
      </c>
      <c r="I23" s="129" t="n">
        <f aca="false">G23+H23</f>
        <v>33.2</v>
      </c>
      <c r="J23" s="130" t="n">
        <f aca="false">IF(L23&gt;0,L23,0)</f>
        <v>14.8585833123267</v>
      </c>
      <c r="K23" s="129" t="n">
        <f aca="false">I23+J23</f>
        <v>48.0585833123267</v>
      </c>
      <c r="L23" s="129" t="n">
        <f aca="false">F23-(I23-AJ23)</f>
        <v>14.8585833123267</v>
      </c>
      <c r="M23" s="233" t="n">
        <v>4.2</v>
      </c>
      <c r="N23" s="129" t="n">
        <v>0</v>
      </c>
      <c r="O23" s="129" t="n">
        <v>0</v>
      </c>
      <c r="P23" s="149" t="n">
        <v>0</v>
      </c>
      <c r="Q23" s="257" t="n">
        <f aca="false">1.45*1.02</f>
        <v>1.479</v>
      </c>
      <c r="R23" s="149" t="n">
        <v>2.27</v>
      </c>
      <c r="S23" s="291" t="n">
        <v>0</v>
      </c>
      <c r="T23" s="91" t="n">
        <f aca="false">M23-(Q23+R23+S23)</f>
        <v>0.451000000000001</v>
      </c>
      <c r="U23" s="129" t="n">
        <v>31</v>
      </c>
      <c r="V23" s="129" t="n">
        <v>0</v>
      </c>
      <c r="W23" s="129" t="n">
        <f aca="false">M23-N23-O23-P23-Q23-R23-S23-T23+U23+V23</f>
        <v>31</v>
      </c>
      <c r="X23" s="129" t="n">
        <f aca="false">W23-AN23</f>
        <v>31</v>
      </c>
      <c r="Y23" s="129"/>
      <c r="Z23" s="129"/>
      <c r="AA23" s="102"/>
      <c r="AB23" s="102"/>
      <c r="AC23" s="102"/>
      <c r="AD23" s="129" t="n">
        <v>0</v>
      </c>
      <c r="AE23" s="233"/>
      <c r="AF23" s="234"/>
      <c r="AG23" s="129" t="n">
        <v>30</v>
      </c>
      <c r="AH23" s="102" t="n">
        <f aca="false">AH22-AG23</f>
        <v>1629</v>
      </c>
      <c r="AI23" s="204"/>
      <c r="AJ23" s="128" t="n">
        <f aca="false">N23+O23+P23+Q23+R23+S23+T23+W23+AD23+AG23</f>
        <v>65.2</v>
      </c>
      <c r="AK23" s="129" t="n">
        <f aca="false">IF(L23&lt;0,L23*-1,0)</f>
        <v>0</v>
      </c>
      <c r="AL23" s="129" t="n">
        <f aca="false">AJ23+AK23</f>
        <v>65.2</v>
      </c>
      <c r="AM23" s="205" t="n">
        <f aca="false">AM22+(W23*1.9835)</f>
        <v>6876.0011</v>
      </c>
      <c r="AN23" s="200" t="n">
        <v>0</v>
      </c>
      <c r="AO23" s="129"/>
      <c r="AP23" s="102"/>
      <c r="AQ23" s="102"/>
      <c r="AR23" s="279"/>
      <c r="AU23" s="207" t="n">
        <v>0</v>
      </c>
      <c r="AV23" s="206" t="n">
        <v>38</v>
      </c>
      <c r="AW23" s="200" t="n">
        <v>21</v>
      </c>
      <c r="AX23" s="280"/>
      <c r="AY23" s="235" t="n">
        <f aca="false">SUM(N23,P23:T23)</f>
        <v>4.2</v>
      </c>
    </row>
    <row r="24" customFormat="false" ht="12.95" hidden="false" customHeight="true" outlineLevel="0" collapsed="false">
      <c r="A24" s="173" t="n">
        <f aca="false">A23+1</f>
        <v>10</v>
      </c>
      <c r="B24" s="101" t="n">
        <v>6891.59</v>
      </c>
      <c r="C24" s="102" t="n">
        <v>253595</v>
      </c>
      <c r="D24" s="200" t="n">
        <f aca="false">C24-C23</f>
        <v>-69</v>
      </c>
      <c r="E24" s="102" t="n">
        <f aca="false">C24-152000</f>
        <v>101595</v>
      </c>
      <c r="F24" s="231" t="n">
        <f aca="false">D24/$D$2</f>
        <v>-34.7869926896899</v>
      </c>
      <c r="G24" s="1" t="n">
        <v>32</v>
      </c>
      <c r="H24" s="290" t="n">
        <v>1.2</v>
      </c>
      <c r="I24" s="129" t="n">
        <f aca="false">G24+H24</f>
        <v>33.2</v>
      </c>
      <c r="J24" s="130" t="n">
        <f aca="false">IF(L24&gt;0,L24,0)</f>
        <v>0</v>
      </c>
      <c r="K24" s="129" t="n">
        <f aca="false">I24+J24</f>
        <v>33.2</v>
      </c>
      <c r="L24" s="129" t="n">
        <f aca="false">F24-(I24-AJ24)</f>
        <v>-2.78699268968994</v>
      </c>
      <c r="M24" s="233" t="n">
        <v>4.2</v>
      </c>
      <c r="N24" s="129" t="n">
        <v>0</v>
      </c>
      <c r="O24" s="129" t="n">
        <v>0</v>
      </c>
      <c r="P24" s="149" t="n">
        <v>0</v>
      </c>
      <c r="Q24" s="257" t="n">
        <f aca="false">1.45*1.02</f>
        <v>1.479</v>
      </c>
      <c r="R24" s="149" t="n">
        <v>2.11</v>
      </c>
      <c r="S24" s="291" t="n">
        <v>0</v>
      </c>
      <c r="T24" s="91" t="n">
        <f aca="false">M24-(Q24+R24+S24)</f>
        <v>0.611000000000001</v>
      </c>
      <c r="U24" s="129" t="n">
        <v>31</v>
      </c>
      <c r="V24" s="129" t="n">
        <v>0</v>
      </c>
      <c r="W24" s="129" t="n">
        <f aca="false">M24-N24-O24-P24-Q24-R24-S24-T24+U24+V24</f>
        <v>31</v>
      </c>
      <c r="X24" s="129" t="n">
        <f aca="false">W24-AN24</f>
        <v>31</v>
      </c>
      <c r="Y24" s="129"/>
      <c r="Z24" s="129"/>
      <c r="AA24" s="102"/>
      <c r="AB24" s="102"/>
      <c r="AC24" s="102"/>
      <c r="AD24" s="129" t="n">
        <v>0</v>
      </c>
      <c r="AE24" s="233"/>
      <c r="AF24" s="234"/>
      <c r="AG24" s="129" t="n">
        <v>30</v>
      </c>
      <c r="AH24" s="102" t="n">
        <f aca="false">AH23-AG24</f>
        <v>1599</v>
      </c>
      <c r="AI24" s="204"/>
      <c r="AJ24" s="128" t="n">
        <f aca="false">N24+O24+P24+Q24+R24+S24+T24+W24+AD24+AG24</f>
        <v>65.2</v>
      </c>
      <c r="AK24" s="129" t="n">
        <f aca="false">IF(L24&lt;0,L24*-1,0)</f>
        <v>2.78699268968994</v>
      </c>
      <c r="AL24" s="129" t="n">
        <f aca="false">AJ24+AK24</f>
        <v>67.9869926896899</v>
      </c>
      <c r="AM24" s="205" t="n">
        <f aca="false">AM23+(W24*1.9835)</f>
        <v>6937.4896</v>
      </c>
      <c r="AN24" s="200" t="n">
        <v>0</v>
      </c>
      <c r="AO24" s="129"/>
      <c r="AP24" s="102"/>
      <c r="AQ24" s="102"/>
      <c r="AR24" s="279"/>
      <c r="AU24" s="207" t="n">
        <v>0</v>
      </c>
      <c r="AV24" s="200" t="n">
        <v>39</v>
      </c>
      <c r="AW24" s="200" t="n">
        <v>11</v>
      </c>
      <c r="AX24" s="280"/>
      <c r="AY24" s="235" t="n">
        <f aca="false">SUM(N24,P24:T24)</f>
        <v>4.2</v>
      </c>
    </row>
    <row r="25" customFormat="false" ht="12.95" hidden="false" customHeight="true" outlineLevel="0" collapsed="false">
      <c r="A25" s="173" t="n">
        <f aca="false">A24+1</f>
        <v>11</v>
      </c>
      <c r="B25" s="101" t="n">
        <v>6891.57</v>
      </c>
      <c r="C25" s="102" t="n">
        <v>253526</v>
      </c>
      <c r="D25" s="200" t="n">
        <f aca="false">C25-C24</f>
        <v>-69</v>
      </c>
      <c r="E25" s="102" t="n">
        <f aca="false">C25-152000</f>
        <v>101526</v>
      </c>
      <c r="F25" s="231" t="n">
        <f aca="false">D25/$D$2</f>
        <v>-34.7869926896899</v>
      </c>
      <c r="G25" s="1" t="n">
        <v>32</v>
      </c>
      <c r="H25" s="290" t="n">
        <v>1.2</v>
      </c>
      <c r="I25" s="129" t="n">
        <f aca="false">G25+H25</f>
        <v>33.2</v>
      </c>
      <c r="J25" s="130" t="n">
        <f aca="false">IF(L25&gt;0,L25,0)</f>
        <v>0</v>
      </c>
      <c r="K25" s="129" t="n">
        <f aca="false">I25+J25</f>
        <v>33.2</v>
      </c>
      <c r="L25" s="129" t="n">
        <f aca="false">F25-(I25-AJ25)</f>
        <v>-2.78699268968994</v>
      </c>
      <c r="M25" s="233" t="n">
        <v>4.2</v>
      </c>
      <c r="N25" s="129" t="n">
        <v>0</v>
      </c>
      <c r="O25" s="129" t="n">
        <v>0</v>
      </c>
      <c r="P25" s="149" t="n">
        <v>0</v>
      </c>
      <c r="Q25" s="257" t="n">
        <f aca="false">1.45*1.02</f>
        <v>1.479</v>
      </c>
      <c r="R25" s="149" t="n">
        <v>2.25</v>
      </c>
      <c r="S25" s="291" t="n">
        <v>0</v>
      </c>
      <c r="T25" s="91" t="n">
        <f aca="false">M25-(Q25+R25+S25)</f>
        <v>0.471</v>
      </c>
      <c r="U25" s="129" t="n">
        <v>31</v>
      </c>
      <c r="V25" s="129" t="n">
        <v>0</v>
      </c>
      <c r="W25" s="129" t="n">
        <f aca="false">M25-N25-O25-P25-Q25-R25-S25-T25+U25+V25</f>
        <v>31</v>
      </c>
      <c r="X25" s="129" t="n">
        <f aca="false">W25-AN25</f>
        <v>31</v>
      </c>
      <c r="Y25" s="129"/>
      <c r="Z25" s="129"/>
      <c r="AA25" s="102"/>
      <c r="AB25" s="102"/>
      <c r="AC25" s="102"/>
      <c r="AD25" s="129" t="n">
        <v>0</v>
      </c>
      <c r="AE25" s="233"/>
      <c r="AF25" s="234"/>
      <c r="AG25" s="129" t="n">
        <v>30</v>
      </c>
      <c r="AH25" s="102" t="n">
        <f aca="false">AH24-AG25</f>
        <v>1569</v>
      </c>
      <c r="AI25" s="204"/>
      <c r="AJ25" s="128" t="n">
        <f aca="false">N25+O25+P25+Q25+R25+S25+T25+W25+AD25+AG25</f>
        <v>65.2</v>
      </c>
      <c r="AK25" s="129" t="n">
        <f aca="false">IF(L25&lt;0,L25*-1,0)</f>
        <v>2.78699268968994</v>
      </c>
      <c r="AL25" s="129" t="n">
        <f aca="false">AJ25+AK25</f>
        <v>67.9869926896899</v>
      </c>
      <c r="AM25" s="205" t="n">
        <f aca="false">AM24+(W25*1.9835)</f>
        <v>6998.9781</v>
      </c>
      <c r="AN25" s="200" t="n">
        <v>0</v>
      </c>
      <c r="AO25" s="129"/>
      <c r="AP25" s="102"/>
      <c r="AQ25" s="102"/>
      <c r="AR25" s="279"/>
      <c r="AU25" s="207" t="n">
        <v>0</v>
      </c>
      <c r="AV25" s="200" t="n">
        <v>31</v>
      </c>
      <c r="AW25" s="200" t="n">
        <v>3</v>
      </c>
      <c r="AX25" s="280"/>
      <c r="AY25" s="235" t="n">
        <f aca="false">SUM(N25,P25:T25)</f>
        <v>4.2</v>
      </c>
    </row>
    <row r="26" customFormat="false" ht="12.95" hidden="false" customHeight="true" outlineLevel="0" collapsed="false">
      <c r="A26" s="173" t="n">
        <f aca="false">A25+1</f>
        <v>12</v>
      </c>
      <c r="B26" s="101" t="n">
        <v>6891.56</v>
      </c>
      <c r="C26" s="102" t="n">
        <v>253492</v>
      </c>
      <c r="D26" s="200" t="n">
        <f aca="false">C26-C25</f>
        <v>-34</v>
      </c>
      <c r="E26" s="102" t="n">
        <f aca="false">C26-152000</f>
        <v>101492</v>
      </c>
      <c r="F26" s="231" t="n">
        <f aca="false">D26/$D$2</f>
        <v>-17.1414166876733</v>
      </c>
      <c r="G26" s="1" t="n">
        <v>32</v>
      </c>
      <c r="H26" s="290" t="n">
        <v>1.2</v>
      </c>
      <c r="I26" s="129" t="n">
        <f aca="false">G26+H26</f>
        <v>33.2</v>
      </c>
      <c r="J26" s="130" t="n">
        <f aca="false">IF(L26&gt;0,L26,0)</f>
        <v>14.8585833123267</v>
      </c>
      <c r="K26" s="129" t="n">
        <f aca="false">I26+J26</f>
        <v>48.0585833123267</v>
      </c>
      <c r="L26" s="129" t="n">
        <f aca="false">F26-(I26-AJ26)</f>
        <v>14.8585833123267</v>
      </c>
      <c r="M26" s="233" t="n">
        <v>4.2</v>
      </c>
      <c r="N26" s="129" t="n">
        <v>0</v>
      </c>
      <c r="O26" s="129" t="n">
        <v>0</v>
      </c>
      <c r="P26" s="149" t="n">
        <v>0</v>
      </c>
      <c r="Q26" s="257" t="n">
        <f aca="false">1.45*1.02</f>
        <v>1.479</v>
      </c>
      <c r="R26" s="149" t="n">
        <v>2.3</v>
      </c>
      <c r="S26" s="291" t="n">
        <v>0</v>
      </c>
      <c r="T26" s="91" t="n">
        <f aca="false">M26-(Q26+R26+S26)</f>
        <v>0.421</v>
      </c>
      <c r="U26" s="129" t="n">
        <v>31</v>
      </c>
      <c r="V26" s="129" t="n">
        <v>0</v>
      </c>
      <c r="W26" s="129" t="n">
        <f aca="false">M26-N26-O26-P26-Q26-R26-S26-T26+U26+V26</f>
        <v>31</v>
      </c>
      <c r="X26" s="129" t="n">
        <f aca="false">W26-AN26</f>
        <v>31</v>
      </c>
      <c r="Y26" s="129"/>
      <c r="Z26" s="129"/>
      <c r="AA26" s="102"/>
      <c r="AB26" s="102"/>
      <c r="AC26" s="102"/>
      <c r="AD26" s="129" t="n">
        <v>0</v>
      </c>
      <c r="AE26" s="233"/>
      <c r="AF26" s="234"/>
      <c r="AG26" s="129" t="n">
        <v>30</v>
      </c>
      <c r="AH26" s="102" t="n">
        <f aca="false">AH25-AG26</f>
        <v>1539</v>
      </c>
      <c r="AI26" s="204"/>
      <c r="AJ26" s="128" t="n">
        <f aca="false">N26+O26+P26+Q26+R26+S26+T26+W26+AD26+AG26</f>
        <v>65.2</v>
      </c>
      <c r="AK26" s="129" t="n">
        <f aca="false">IF(L26&lt;0,L26*-1,0)</f>
        <v>0</v>
      </c>
      <c r="AL26" s="129" t="n">
        <f aca="false">AJ26+AK26</f>
        <v>65.2</v>
      </c>
      <c r="AM26" s="205" t="n">
        <f aca="false">AM25+(W26*1.9835)</f>
        <v>7060.4666</v>
      </c>
      <c r="AN26" s="200" t="n">
        <v>0</v>
      </c>
      <c r="AO26" s="129"/>
      <c r="AP26" s="102"/>
      <c r="AQ26" s="102"/>
      <c r="AR26" s="279"/>
      <c r="AU26" s="207" t="n">
        <v>0</v>
      </c>
      <c r="AV26" s="200" t="n">
        <v>36</v>
      </c>
      <c r="AW26" s="200" t="n">
        <v>2</v>
      </c>
      <c r="AX26" s="280"/>
      <c r="AY26" s="235" t="n">
        <f aca="false">SUM(N26,P26:T26)</f>
        <v>4.2</v>
      </c>
    </row>
    <row r="27" customFormat="false" ht="12.95" hidden="false" customHeight="true" outlineLevel="0" collapsed="false">
      <c r="A27" s="173" t="n">
        <f aca="false">A26+1</f>
        <v>13</v>
      </c>
      <c r="B27" s="101" t="n">
        <v>6891.54</v>
      </c>
      <c r="C27" s="102" t="n">
        <v>253423</v>
      </c>
      <c r="D27" s="200" t="n">
        <f aca="false">C27-C26</f>
        <v>-69</v>
      </c>
      <c r="E27" s="102" t="n">
        <f aca="false">C27-152000</f>
        <v>101423</v>
      </c>
      <c r="F27" s="231" t="n">
        <f aca="false">D27/$D$2</f>
        <v>-34.7869926896899</v>
      </c>
      <c r="G27" s="1" t="n">
        <v>32</v>
      </c>
      <c r="H27" s="290" t="n">
        <v>1.2</v>
      </c>
      <c r="I27" s="129" t="n">
        <f aca="false">G27+H27</f>
        <v>33.2</v>
      </c>
      <c r="J27" s="130" t="n">
        <f aca="false">IF(L27&gt;0,L27,0)</f>
        <v>0</v>
      </c>
      <c r="K27" s="129" t="n">
        <f aca="false">I27+J27</f>
        <v>33.2</v>
      </c>
      <c r="L27" s="129" t="n">
        <f aca="false">F27-(I27-AJ27)</f>
        <v>-3.38699268968995</v>
      </c>
      <c r="M27" s="233" t="n">
        <v>3.6</v>
      </c>
      <c r="N27" s="129" t="n">
        <v>0</v>
      </c>
      <c r="O27" s="129" t="n">
        <v>0</v>
      </c>
      <c r="P27" s="149" t="n">
        <v>0</v>
      </c>
      <c r="Q27" s="257" t="n">
        <f aca="false">1.45*1.02</f>
        <v>1.479</v>
      </c>
      <c r="R27" s="149" t="n">
        <v>2.22</v>
      </c>
      <c r="S27" s="291" t="n">
        <v>0</v>
      </c>
      <c r="T27" s="91" t="n">
        <f aca="false">M27-(Q27+R27+S27)</f>
        <v>-0.0989999999999998</v>
      </c>
      <c r="U27" s="129" t="n">
        <v>31</v>
      </c>
      <c r="V27" s="129" t="n">
        <v>0</v>
      </c>
      <c r="W27" s="129" t="n">
        <f aca="false">M27-N27-O27-P27-Q27-R27-S27-T27+U27+V27</f>
        <v>31</v>
      </c>
      <c r="X27" s="129" t="n">
        <f aca="false">W27-AN27</f>
        <v>31</v>
      </c>
      <c r="Y27" s="129"/>
      <c r="Z27" s="129"/>
      <c r="AA27" s="102"/>
      <c r="AB27" s="102"/>
      <c r="AC27" s="102"/>
      <c r="AD27" s="129" t="n">
        <v>0</v>
      </c>
      <c r="AE27" s="233"/>
      <c r="AF27" s="234"/>
      <c r="AG27" s="129" t="n">
        <v>30</v>
      </c>
      <c r="AH27" s="102" t="n">
        <f aca="false">AH26-AG27</f>
        <v>1509</v>
      </c>
      <c r="AI27" s="204"/>
      <c r="AJ27" s="128" t="n">
        <f aca="false">N27+O27+P27+Q27+R27+S27+T27+W27+AD27+AG27</f>
        <v>64.6</v>
      </c>
      <c r="AK27" s="129" t="n">
        <f aca="false">IF(L27&lt;0,L27*-1,0)</f>
        <v>3.38699268968995</v>
      </c>
      <c r="AL27" s="129" t="n">
        <f aca="false">AJ27+AK27</f>
        <v>67.9869926896899</v>
      </c>
      <c r="AM27" s="205" t="n">
        <f aca="false">AM26+(W27*1.9835)</f>
        <v>7121.9551</v>
      </c>
      <c r="AN27" s="200" t="n">
        <v>0</v>
      </c>
      <c r="AO27" s="129"/>
      <c r="AP27" s="102"/>
      <c r="AQ27" s="102"/>
      <c r="AR27" s="279"/>
      <c r="AU27" s="207" t="n">
        <v>0</v>
      </c>
      <c r="AV27" s="200" t="n">
        <v>41</v>
      </c>
      <c r="AW27" s="200" t="n">
        <v>5</v>
      </c>
      <c r="AX27" s="280"/>
      <c r="AY27" s="235" t="n">
        <f aca="false">SUM(N27,P27:T27)</f>
        <v>3.6</v>
      </c>
    </row>
    <row r="28" customFormat="false" ht="12.95" hidden="false" customHeight="true" outlineLevel="0" collapsed="false">
      <c r="A28" s="173" t="n">
        <f aca="false">A27+1</f>
        <v>14</v>
      </c>
      <c r="B28" s="101" t="n">
        <v>6891.53</v>
      </c>
      <c r="C28" s="102" t="n">
        <v>253389</v>
      </c>
      <c r="D28" s="200" t="n">
        <f aca="false">C28-C27</f>
        <v>-34</v>
      </c>
      <c r="E28" s="102" t="n">
        <f aca="false">C28-152000</f>
        <v>101389</v>
      </c>
      <c r="F28" s="231" t="n">
        <f aca="false">D28/$D$2</f>
        <v>-17.1414166876733</v>
      </c>
      <c r="G28" s="1" t="n">
        <v>32</v>
      </c>
      <c r="H28" s="290" t="n">
        <v>1.2</v>
      </c>
      <c r="I28" s="129" t="n">
        <f aca="false">G28+H28</f>
        <v>33.2</v>
      </c>
      <c r="J28" s="130" t="n">
        <f aca="false">IF(L28&gt;0,L28,0)</f>
        <v>13.5585833123267</v>
      </c>
      <c r="K28" s="129" t="n">
        <f aca="false">I28+J28</f>
        <v>46.7585833123267</v>
      </c>
      <c r="L28" s="129" t="n">
        <f aca="false">F28-(I28-AJ28)</f>
        <v>13.5585833123267</v>
      </c>
      <c r="M28" s="233" t="n">
        <v>2.9</v>
      </c>
      <c r="N28" s="129" t="n">
        <v>0</v>
      </c>
      <c r="O28" s="129" t="n">
        <v>0</v>
      </c>
      <c r="P28" s="149" t="n">
        <v>0</v>
      </c>
      <c r="Q28" s="257" t="n">
        <f aca="false">1.45*1.02</f>
        <v>1.479</v>
      </c>
      <c r="R28" s="149" t="n">
        <v>2.31</v>
      </c>
      <c r="S28" s="291" t="n">
        <v>0</v>
      </c>
      <c r="T28" s="91" t="n">
        <f aca="false">M28-(Q28+R28+S28)</f>
        <v>-0.889</v>
      </c>
      <c r="U28" s="129" t="n">
        <v>31</v>
      </c>
      <c r="V28" s="129" t="n">
        <v>0</v>
      </c>
      <c r="W28" s="129" t="n">
        <f aca="false">M28-N28-O28-P28-Q28-R28-S28-T28+U28+V28</f>
        <v>31</v>
      </c>
      <c r="X28" s="129" t="n">
        <f aca="false">W28-AN28</f>
        <v>31</v>
      </c>
      <c r="Y28" s="129"/>
      <c r="Z28" s="129"/>
      <c r="AA28" s="102"/>
      <c r="AB28" s="102"/>
      <c r="AC28" s="102"/>
      <c r="AD28" s="129" t="n">
        <v>0</v>
      </c>
      <c r="AE28" s="233"/>
      <c r="AF28" s="234"/>
      <c r="AG28" s="129" t="n">
        <v>30</v>
      </c>
      <c r="AH28" s="102" t="n">
        <f aca="false">AH27-AG28</f>
        <v>1479</v>
      </c>
      <c r="AI28" s="204"/>
      <c r="AJ28" s="128" t="n">
        <f aca="false">N28+O28+P28+Q28+R28+S28+T28+W28+AD28+AG28</f>
        <v>63.9</v>
      </c>
      <c r="AK28" s="129" t="n">
        <f aca="false">IF(L28&lt;0,L28*-1,0)</f>
        <v>0</v>
      </c>
      <c r="AL28" s="129" t="n">
        <f aca="false">AJ28+AK28</f>
        <v>63.9</v>
      </c>
      <c r="AM28" s="205" t="n">
        <f aca="false">AM27+(W28*1.9835)</f>
        <v>7183.4436</v>
      </c>
      <c r="AN28" s="200" t="n">
        <v>0</v>
      </c>
      <c r="AO28" s="129"/>
      <c r="AP28" s="102"/>
      <c r="AQ28" s="102"/>
      <c r="AR28" s="279"/>
      <c r="AU28" s="207" t="n">
        <v>0</v>
      </c>
      <c r="AV28" s="206" t="n">
        <v>37</v>
      </c>
      <c r="AW28" s="200" t="n">
        <v>8</v>
      </c>
      <c r="AX28" s="280"/>
      <c r="AY28" s="235" t="n">
        <f aca="false">SUM(N28,P28:T28)</f>
        <v>2.9</v>
      </c>
    </row>
    <row r="29" customFormat="false" ht="12.95" hidden="false" customHeight="true" outlineLevel="0" collapsed="false">
      <c r="A29" s="173" t="n">
        <f aca="false">A28+1</f>
        <v>15</v>
      </c>
      <c r="B29" s="101" t="n">
        <v>6891.52</v>
      </c>
      <c r="C29" s="102" t="n">
        <v>253355</v>
      </c>
      <c r="D29" s="200" t="n">
        <f aca="false">C29-C28</f>
        <v>-34</v>
      </c>
      <c r="E29" s="102" t="n">
        <f aca="false">C29-152000</f>
        <v>101355</v>
      </c>
      <c r="F29" s="231" t="n">
        <f aca="false">D29/$D$2</f>
        <v>-17.1414166876733</v>
      </c>
      <c r="G29" s="1" t="n">
        <v>32</v>
      </c>
      <c r="H29" s="290" t="n">
        <v>1.2</v>
      </c>
      <c r="I29" s="129" t="n">
        <f aca="false">G29+H29</f>
        <v>33.2</v>
      </c>
      <c r="J29" s="130" t="n">
        <f aca="false">IF(L29&gt;0,L29,0)</f>
        <v>18.5585833123267</v>
      </c>
      <c r="K29" s="129" t="n">
        <f aca="false">I29+J29</f>
        <v>51.7585833123267</v>
      </c>
      <c r="L29" s="129" t="n">
        <f aca="false">F29-(I29-AJ29)</f>
        <v>18.5585833123267</v>
      </c>
      <c r="M29" s="233" t="n">
        <v>2.9</v>
      </c>
      <c r="N29" s="129" t="n">
        <v>0</v>
      </c>
      <c r="O29" s="129" t="n">
        <v>0</v>
      </c>
      <c r="P29" s="149" t="n">
        <v>0</v>
      </c>
      <c r="Q29" s="257" t="n">
        <f aca="false">1.45*1.02</f>
        <v>1.479</v>
      </c>
      <c r="R29" s="149" t="n">
        <v>2.46</v>
      </c>
      <c r="S29" s="291" t="n">
        <v>0</v>
      </c>
      <c r="T29" s="91" t="n">
        <f aca="false">M29-(Q29+R29+S29)</f>
        <v>-1.039</v>
      </c>
      <c r="U29" s="129" t="n">
        <v>34</v>
      </c>
      <c r="V29" s="129" t="n">
        <v>0</v>
      </c>
      <c r="W29" s="129" t="n">
        <f aca="false">M29-N29-O29-P29-Q29-R29-S29-T29+U29+V29</f>
        <v>34</v>
      </c>
      <c r="X29" s="129" t="n">
        <f aca="false">W29-AN29</f>
        <v>34</v>
      </c>
      <c r="Y29" s="129"/>
      <c r="Z29" s="129"/>
      <c r="AA29" s="102"/>
      <c r="AB29" s="102"/>
      <c r="AC29" s="102"/>
      <c r="AD29" s="129" t="n">
        <v>0</v>
      </c>
      <c r="AE29" s="233"/>
      <c r="AF29" s="234"/>
      <c r="AG29" s="129" t="n">
        <v>32</v>
      </c>
      <c r="AH29" s="102" t="n">
        <f aca="false">AH28-AG29</f>
        <v>1447</v>
      </c>
      <c r="AI29" s="204"/>
      <c r="AJ29" s="128" t="n">
        <f aca="false">N29+O29+P29+Q29+R29+S29+T29+W29+AD29+AG29</f>
        <v>68.9</v>
      </c>
      <c r="AK29" s="129" t="n">
        <f aca="false">IF(L29&lt;0,L29*-1,0)</f>
        <v>0</v>
      </c>
      <c r="AL29" s="129" t="n">
        <f aca="false">AJ29+AK29</f>
        <v>68.9</v>
      </c>
      <c r="AM29" s="205" t="n">
        <f aca="false">AM28+(W29*1.9835)</f>
        <v>7250.8826</v>
      </c>
      <c r="AN29" s="200" t="n">
        <v>0</v>
      </c>
      <c r="AO29" s="129"/>
      <c r="AP29" s="102"/>
      <c r="AQ29" s="102"/>
      <c r="AR29" s="279"/>
      <c r="AU29" s="207" t="n">
        <v>0</v>
      </c>
      <c r="AV29" s="206" t="n">
        <v>34</v>
      </c>
      <c r="AW29" s="200" t="n">
        <v>0</v>
      </c>
      <c r="AX29" s="280"/>
      <c r="AY29" s="235" t="n">
        <f aca="false">SUM(N29,P29:T29)</f>
        <v>2.9</v>
      </c>
    </row>
    <row r="30" customFormat="false" ht="12.95" hidden="false" customHeight="true" outlineLevel="0" collapsed="false">
      <c r="A30" s="173" t="n">
        <f aca="false">A29+1</f>
        <v>16</v>
      </c>
      <c r="B30" s="101" t="n">
        <v>6891.51</v>
      </c>
      <c r="C30" s="102" t="n">
        <v>253320</v>
      </c>
      <c r="D30" s="200" t="n">
        <f aca="false">C30-C29</f>
        <v>-35</v>
      </c>
      <c r="E30" s="102" t="n">
        <f aca="false">C30-152000</f>
        <v>101320</v>
      </c>
      <c r="F30" s="231" t="n">
        <f aca="false">D30/$D$2</f>
        <v>-17.6455760020166</v>
      </c>
      <c r="G30" s="1" t="n">
        <v>32</v>
      </c>
      <c r="H30" s="290" t="n">
        <v>1.2</v>
      </c>
      <c r="I30" s="129" t="n">
        <f aca="false">G30+H30</f>
        <v>33.2</v>
      </c>
      <c r="J30" s="130" t="n">
        <f aca="false">IF(L30&gt;0,L30,0)</f>
        <v>18.9544239979834</v>
      </c>
      <c r="K30" s="129" t="n">
        <f aca="false">I30+J30</f>
        <v>52.1544239979834</v>
      </c>
      <c r="L30" s="129" t="n">
        <f aca="false">F30-(I30-AJ30)</f>
        <v>18.9544239979834</v>
      </c>
      <c r="M30" s="233" t="n">
        <v>2.8</v>
      </c>
      <c r="N30" s="129" t="n">
        <v>0</v>
      </c>
      <c r="O30" s="129" t="n">
        <v>0</v>
      </c>
      <c r="P30" s="149" t="n">
        <v>0</v>
      </c>
      <c r="Q30" s="257" t="n">
        <f aca="false">1.45*1.02</f>
        <v>1.479</v>
      </c>
      <c r="R30" s="149" t="n">
        <v>2.36</v>
      </c>
      <c r="S30" s="291" t="n">
        <v>0</v>
      </c>
      <c r="T30" s="91" t="n">
        <f aca="false">M30-(Q30+R30+S30)</f>
        <v>-1.039</v>
      </c>
      <c r="U30" s="129" t="n">
        <v>37</v>
      </c>
      <c r="V30" s="129" t="n">
        <v>0</v>
      </c>
      <c r="W30" s="129" t="n">
        <f aca="false">M30-N30-O30-P30-Q30-R30-S30-T30+U30+V30</f>
        <v>37</v>
      </c>
      <c r="X30" s="129" t="n">
        <f aca="false">W30-AN30</f>
        <v>37</v>
      </c>
      <c r="Y30" s="129"/>
      <c r="Z30" s="129"/>
      <c r="AA30" s="102"/>
      <c r="AB30" s="102"/>
      <c r="AC30" s="102"/>
      <c r="AD30" s="129" t="n">
        <v>0</v>
      </c>
      <c r="AE30" s="233"/>
      <c r="AF30" s="234"/>
      <c r="AG30" s="129" t="n">
        <v>30</v>
      </c>
      <c r="AH30" s="102" t="n">
        <f aca="false">AH29-AG30</f>
        <v>1417</v>
      </c>
      <c r="AI30" s="204"/>
      <c r="AJ30" s="128" t="n">
        <f aca="false">N30+O30+P30+Q30+R30+S30+T30+W30+AD30+AG30</f>
        <v>69.8</v>
      </c>
      <c r="AK30" s="129" t="n">
        <f aca="false">IF(L30&lt;0,L30*-1,0)</f>
        <v>0</v>
      </c>
      <c r="AL30" s="129" t="n">
        <f aca="false">AJ30+AK30</f>
        <v>69.8</v>
      </c>
      <c r="AM30" s="205" t="n">
        <f aca="false">AM29+(W30*1.9835)</f>
        <v>7324.2721</v>
      </c>
      <c r="AN30" s="200" t="n">
        <v>0</v>
      </c>
      <c r="AO30" s="129"/>
      <c r="AP30" s="102"/>
      <c r="AQ30" s="102"/>
      <c r="AR30" s="279"/>
      <c r="AU30" s="207" t="n">
        <v>0</v>
      </c>
      <c r="AV30" s="206" t="n">
        <v>38</v>
      </c>
      <c r="AW30" s="200" t="n">
        <v>5</v>
      </c>
      <c r="AX30" s="280"/>
      <c r="AY30" s="235" t="n">
        <f aca="false">SUM(N30,P30:T30)</f>
        <v>2.8</v>
      </c>
    </row>
    <row r="31" customFormat="false" ht="12.95" hidden="false" customHeight="true" outlineLevel="0" collapsed="false">
      <c r="A31" s="173" t="n">
        <f aca="false">A30+1</f>
        <v>17</v>
      </c>
      <c r="B31" s="101" t="n">
        <v>6891.51</v>
      </c>
      <c r="C31" s="102" t="n">
        <v>253320</v>
      </c>
      <c r="D31" s="200" t="n">
        <f aca="false">C31-C30</f>
        <v>0</v>
      </c>
      <c r="E31" s="102" t="n">
        <f aca="false">C31-152000</f>
        <v>101320</v>
      </c>
      <c r="F31" s="231" t="n">
        <f aca="false">D31/$D$2</f>
        <v>0</v>
      </c>
      <c r="G31" s="1" t="n">
        <v>32</v>
      </c>
      <c r="H31" s="290" t="n">
        <v>1.2</v>
      </c>
      <c r="I31" s="129" t="n">
        <f aca="false">G31+H31</f>
        <v>33.2</v>
      </c>
      <c r="J31" s="130" t="n">
        <f aca="false">IF(L31&gt;0,L31,0)</f>
        <v>38</v>
      </c>
      <c r="K31" s="129" t="n">
        <f aca="false">I31+J31</f>
        <v>71.2</v>
      </c>
      <c r="L31" s="129" t="n">
        <f aca="false">F31-(I31-AJ31)</f>
        <v>38</v>
      </c>
      <c r="M31" s="233" t="n">
        <v>4.2</v>
      </c>
      <c r="N31" s="129" t="n">
        <v>0</v>
      </c>
      <c r="O31" s="129" t="n">
        <v>0</v>
      </c>
      <c r="P31" s="149" t="n">
        <v>0</v>
      </c>
      <c r="Q31" s="257" t="n">
        <f aca="false">1.45*1.02</f>
        <v>1.479</v>
      </c>
      <c r="R31" s="149" t="n">
        <v>2.54</v>
      </c>
      <c r="S31" s="291" t="n">
        <v>0</v>
      </c>
      <c r="T31" s="91" t="n">
        <f aca="false">M31-(Q31+R31+S31)</f>
        <v>0.181</v>
      </c>
      <c r="U31" s="129" t="n">
        <v>37</v>
      </c>
      <c r="V31" s="129" t="n">
        <v>0</v>
      </c>
      <c r="W31" s="129" t="n">
        <f aca="false">M31-N31-O31-P31-Q31-R31-S31-T31+U31+V31</f>
        <v>37</v>
      </c>
      <c r="X31" s="129" t="n">
        <f aca="false">W31-AN31</f>
        <v>37</v>
      </c>
      <c r="Y31" s="129"/>
      <c r="Z31" s="129"/>
      <c r="AA31" s="102"/>
      <c r="AB31" s="102"/>
      <c r="AC31" s="102"/>
      <c r="AD31" s="129" t="n">
        <v>0</v>
      </c>
      <c r="AE31" s="233"/>
      <c r="AF31" s="234"/>
      <c r="AG31" s="129" t="n">
        <v>30</v>
      </c>
      <c r="AH31" s="102" t="n">
        <f aca="false">AH30-AG31</f>
        <v>1387</v>
      </c>
      <c r="AI31" s="204"/>
      <c r="AJ31" s="128" t="n">
        <f aca="false">N31+O31+P31+Q31+R31+S31+T31+W31+AD31+AG31</f>
        <v>71.2</v>
      </c>
      <c r="AK31" s="129" t="n">
        <f aca="false">IF(L31&lt;0,L31*-1,0)</f>
        <v>0</v>
      </c>
      <c r="AL31" s="129" t="n">
        <f aca="false">AJ31+AK31</f>
        <v>71.2</v>
      </c>
      <c r="AM31" s="205" t="n">
        <f aca="false">AM30+(W31*1.9835)</f>
        <v>7397.6616</v>
      </c>
      <c r="AN31" s="200" t="n">
        <v>0</v>
      </c>
      <c r="AO31" s="129"/>
      <c r="AP31" s="102"/>
      <c r="AQ31" s="102"/>
      <c r="AR31" s="279"/>
      <c r="AU31" s="207" t="n">
        <v>0</v>
      </c>
      <c r="AV31" s="206" t="n">
        <v>39</v>
      </c>
      <c r="AW31" s="200" t="n">
        <v>8</v>
      </c>
      <c r="AX31" s="280"/>
      <c r="AY31" s="235" t="n">
        <f aca="false">SUM(N31,P31:T31)</f>
        <v>4.2</v>
      </c>
    </row>
    <row r="32" customFormat="false" ht="12.95" hidden="false" customHeight="true" outlineLevel="0" collapsed="false">
      <c r="A32" s="173" t="n">
        <f aca="false">A31+1</f>
        <v>18</v>
      </c>
      <c r="B32" s="101" t="n">
        <v>6891.5</v>
      </c>
      <c r="C32" s="292" t="n">
        <v>253286</v>
      </c>
      <c r="D32" s="200" t="n">
        <f aca="false">C32-C31</f>
        <v>-34</v>
      </c>
      <c r="E32" s="102" t="n">
        <f aca="false">C32-152000</f>
        <v>101286</v>
      </c>
      <c r="F32" s="231" t="n">
        <f aca="false">D32/$D$2</f>
        <v>-17.1414166876733</v>
      </c>
      <c r="G32" s="1" t="n">
        <v>33</v>
      </c>
      <c r="H32" s="290" t="n">
        <v>1.2</v>
      </c>
      <c r="I32" s="129" t="n">
        <f aca="false">G32+H32</f>
        <v>34.2</v>
      </c>
      <c r="J32" s="130" t="n">
        <f aca="false">IF(L32&gt;0,L32,0)</f>
        <v>19.2585833123267</v>
      </c>
      <c r="K32" s="129" t="n">
        <f aca="false">I32+J32</f>
        <v>53.4585833123267</v>
      </c>
      <c r="L32" s="129" t="n">
        <f aca="false">F32-(I32-AJ32)</f>
        <v>19.2585833123267</v>
      </c>
      <c r="M32" s="233" t="n">
        <v>4.6</v>
      </c>
      <c r="N32" s="129" t="n">
        <v>0</v>
      </c>
      <c r="O32" s="129" t="n">
        <v>0</v>
      </c>
      <c r="P32" s="149" t="n">
        <v>0</v>
      </c>
      <c r="Q32" s="257" t="n">
        <f aca="false">1.45*1.02</f>
        <v>1.479</v>
      </c>
      <c r="R32" s="149" t="n">
        <v>2.49</v>
      </c>
      <c r="S32" s="291" t="n">
        <v>0</v>
      </c>
      <c r="T32" s="91" t="n">
        <f aca="false">M32-(Q32+R32+S32)</f>
        <v>0.630999999999999</v>
      </c>
      <c r="U32" s="129" t="n">
        <v>36</v>
      </c>
      <c r="V32" s="129" t="n">
        <v>0</v>
      </c>
      <c r="W32" s="129" t="n">
        <f aca="false">M32-N32-O32-P32-Q32-R32-S32-T32+U32+V32</f>
        <v>36</v>
      </c>
      <c r="X32" s="129" t="n">
        <f aca="false">W32-AN32</f>
        <v>36</v>
      </c>
      <c r="Y32" s="129"/>
      <c r="Z32" s="129"/>
      <c r="AA32" s="102"/>
      <c r="AB32" s="102"/>
      <c r="AC32" s="102"/>
      <c r="AD32" s="129" t="n">
        <v>0</v>
      </c>
      <c r="AE32" s="233"/>
      <c r="AF32" s="234"/>
      <c r="AG32" s="129" t="n">
        <v>30</v>
      </c>
      <c r="AH32" s="102" t="n">
        <f aca="false">AH31-AG32</f>
        <v>1357</v>
      </c>
      <c r="AI32" s="204"/>
      <c r="AJ32" s="128" t="n">
        <f aca="false">N32+O32+P32+Q32+R32+S32+T32+W32+AD32+AG32</f>
        <v>70.6</v>
      </c>
      <c r="AK32" s="129" t="n">
        <f aca="false">IF(L32&lt;0,L32*-1,0)</f>
        <v>0</v>
      </c>
      <c r="AL32" s="129" t="n">
        <f aca="false">AJ32+AK32</f>
        <v>70.6</v>
      </c>
      <c r="AM32" s="205" t="n">
        <f aca="false">AM31+(W32*1.9835)</f>
        <v>7469.0676</v>
      </c>
      <c r="AN32" s="200" t="n">
        <v>0</v>
      </c>
      <c r="AO32" s="129"/>
      <c r="AP32" s="102"/>
      <c r="AQ32" s="102"/>
      <c r="AR32" s="279"/>
      <c r="AU32" s="293" t="n">
        <v>0</v>
      </c>
      <c r="AV32" s="206" t="n">
        <v>45</v>
      </c>
      <c r="AW32" s="200" t="n">
        <v>10</v>
      </c>
      <c r="AX32" s="280"/>
      <c r="AY32" s="235" t="n">
        <f aca="false">SUM(N32,P32:T32)</f>
        <v>4.6</v>
      </c>
    </row>
    <row r="33" customFormat="false" ht="12.95" hidden="false" customHeight="true" outlineLevel="0" collapsed="false">
      <c r="A33" s="173" t="n">
        <f aca="false">A32+1</f>
        <v>19</v>
      </c>
      <c r="B33" s="101" t="n">
        <v>6891.49</v>
      </c>
      <c r="C33" s="292" t="n">
        <v>253252</v>
      </c>
      <c r="D33" s="200" t="n">
        <f aca="false">C33-C32</f>
        <v>-34</v>
      </c>
      <c r="E33" s="102" t="n">
        <f aca="false">C33-152000</f>
        <v>101252</v>
      </c>
      <c r="F33" s="231" t="n">
        <f aca="false">D33/$D$2</f>
        <v>-17.1414166876733</v>
      </c>
      <c r="G33" s="1" t="n">
        <v>33</v>
      </c>
      <c r="H33" s="290" t="n">
        <v>1.2</v>
      </c>
      <c r="I33" s="129" t="n">
        <f aca="false">G33+H33</f>
        <v>34.2</v>
      </c>
      <c r="J33" s="130" t="n">
        <f aca="false">IF(L33&gt;0,L33,0)</f>
        <v>18.6585833123267</v>
      </c>
      <c r="K33" s="129" t="n">
        <f aca="false">I33+J33</f>
        <v>52.8585833123267</v>
      </c>
      <c r="L33" s="129" t="n">
        <f aca="false">F33-(I33-AJ33)</f>
        <v>18.6585833123267</v>
      </c>
      <c r="M33" s="233" t="n">
        <v>4</v>
      </c>
      <c r="N33" s="129" t="n">
        <v>0</v>
      </c>
      <c r="O33" s="129" t="n">
        <v>0</v>
      </c>
      <c r="P33" s="149" t="n">
        <v>0</v>
      </c>
      <c r="Q33" s="257" t="n">
        <f aca="false">1.45*1.02</f>
        <v>1.479</v>
      </c>
      <c r="R33" s="149" t="n">
        <v>2.81</v>
      </c>
      <c r="S33" s="291" t="n">
        <v>0</v>
      </c>
      <c r="T33" s="91" t="n">
        <f aca="false">M33-(Q33+R33+S33)</f>
        <v>-0.289</v>
      </c>
      <c r="U33" s="129" t="n">
        <v>36</v>
      </c>
      <c r="V33" s="129" t="n">
        <v>0</v>
      </c>
      <c r="W33" s="129" t="n">
        <f aca="false">M33-N33-O33-P33-Q33-R33-S33-T33+U33+V33</f>
        <v>36</v>
      </c>
      <c r="X33" s="129" t="n">
        <f aca="false">W33-AN33</f>
        <v>36</v>
      </c>
      <c r="Y33" s="129"/>
      <c r="Z33" s="129"/>
      <c r="AA33" s="102"/>
      <c r="AB33" s="102"/>
      <c r="AC33" s="102"/>
      <c r="AD33" s="129" t="n">
        <v>0</v>
      </c>
      <c r="AE33" s="233"/>
      <c r="AF33" s="234"/>
      <c r="AG33" s="129" t="n">
        <v>30</v>
      </c>
      <c r="AH33" s="102" t="n">
        <f aca="false">AH32-AG33</f>
        <v>1327</v>
      </c>
      <c r="AI33" s="204"/>
      <c r="AJ33" s="128" t="n">
        <f aca="false">N33+O33+P33+Q33+R33+S33+T33+W33+AD33+AG33</f>
        <v>70</v>
      </c>
      <c r="AK33" s="129" t="n">
        <f aca="false">IF(L33&lt;0,L33*-1,0)</f>
        <v>0</v>
      </c>
      <c r="AL33" s="129" t="n">
        <f aca="false">AJ33+AK33</f>
        <v>70</v>
      </c>
      <c r="AM33" s="205" t="n">
        <f aca="false">AM32+(W33*1.9835)</f>
        <v>7540.4736</v>
      </c>
      <c r="AN33" s="200" t="n">
        <v>0</v>
      </c>
      <c r="AO33" s="129"/>
      <c r="AP33" s="102"/>
      <c r="AQ33" s="102"/>
      <c r="AR33" s="279"/>
      <c r="AU33" s="207" t="n">
        <v>0.1</v>
      </c>
      <c r="AV33" s="206" t="n">
        <v>37</v>
      </c>
      <c r="AW33" s="200" t="n">
        <v>21</v>
      </c>
      <c r="AX33" s="280"/>
      <c r="AY33" s="235" t="n">
        <f aca="false">SUM(N33,P33:T33)</f>
        <v>4</v>
      </c>
    </row>
    <row r="34" customFormat="false" ht="12.95" hidden="false" customHeight="true" outlineLevel="0" collapsed="false">
      <c r="A34" s="173" t="n">
        <f aca="false">A33+1</f>
        <v>20</v>
      </c>
      <c r="B34" s="101" t="n">
        <v>6891.49</v>
      </c>
      <c r="C34" s="102" t="n">
        <v>253252</v>
      </c>
      <c r="D34" s="200" t="n">
        <f aca="false">C34-C33</f>
        <v>0</v>
      </c>
      <c r="E34" s="102" t="n">
        <f aca="false">C34-152000</f>
        <v>101252</v>
      </c>
      <c r="F34" s="231" t="n">
        <f aca="false">D34/$D$2</f>
        <v>0</v>
      </c>
      <c r="G34" s="1" t="n">
        <v>33</v>
      </c>
      <c r="H34" s="290" t="n">
        <v>1.2</v>
      </c>
      <c r="I34" s="129" t="n">
        <f aca="false">G34+H34</f>
        <v>34.2</v>
      </c>
      <c r="J34" s="130" t="n">
        <f aca="false">IF(L34&gt;0,L34,0)</f>
        <v>36.2</v>
      </c>
      <c r="K34" s="129" t="n">
        <f aca="false">I34+J34</f>
        <v>70.4</v>
      </c>
      <c r="L34" s="129" t="n">
        <f aca="false">F34-(I34-AJ34)</f>
        <v>36.2</v>
      </c>
      <c r="M34" s="233" t="n">
        <v>4.4</v>
      </c>
      <c r="N34" s="129" t="n">
        <v>0</v>
      </c>
      <c r="O34" s="129" t="n">
        <v>0</v>
      </c>
      <c r="P34" s="149" t="n">
        <v>0</v>
      </c>
      <c r="Q34" s="257" t="n">
        <f aca="false">1.45*1.02</f>
        <v>1.479</v>
      </c>
      <c r="R34" s="149" t="n">
        <v>2.6</v>
      </c>
      <c r="S34" s="291" t="n">
        <v>0</v>
      </c>
      <c r="T34" s="91" t="n">
        <f aca="false">M34-(Q34+R34+S34)</f>
        <v>0.321000000000001</v>
      </c>
      <c r="U34" s="129" t="n">
        <v>36</v>
      </c>
      <c r="V34" s="129" t="n">
        <v>0</v>
      </c>
      <c r="W34" s="129" t="n">
        <f aca="false">M34-N34-O34-P34-Q34-R34-S34-T34+U34+V34</f>
        <v>36</v>
      </c>
      <c r="X34" s="129" t="n">
        <f aca="false">W34-AN34</f>
        <v>36</v>
      </c>
      <c r="Y34" s="129"/>
      <c r="Z34" s="129"/>
      <c r="AA34" s="102"/>
      <c r="AB34" s="102"/>
      <c r="AC34" s="102"/>
      <c r="AD34" s="129" t="n">
        <v>0</v>
      </c>
      <c r="AE34" s="233"/>
      <c r="AF34" s="234"/>
      <c r="AG34" s="129" t="n">
        <v>30</v>
      </c>
      <c r="AH34" s="102" t="n">
        <f aca="false">AH33-AG34</f>
        <v>1297</v>
      </c>
      <c r="AI34" s="204"/>
      <c r="AJ34" s="128" t="n">
        <f aca="false">N34+O34+P34+Q34+R34+S34+T34+W34+AD34+AG34</f>
        <v>70.4</v>
      </c>
      <c r="AK34" s="129" t="n">
        <f aca="false">IF(L34&lt;0,L34*-1,0)</f>
        <v>0</v>
      </c>
      <c r="AL34" s="129" t="n">
        <f aca="false">AJ34+AK34</f>
        <v>70.4</v>
      </c>
      <c r="AM34" s="205" t="n">
        <f aca="false">AM33+(W34*1.9835)</f>
        <v>7611.8796</v>
      </c>
      <c r="AN34" s="200" t="n">
        <v>0</v>
      </c>
      <c r="AO34" s="129"/>
      <c r="AP34" s="102"/>
      <c r="AQ34" s="102"/>
      <c r="AR34" s="279"/>
      <c r="AU34" s="207" t="n">
        <v>0.13</v>
      </c>
      <c r="AV34" s="206" t="n">
        <v>40</v>
      </c>
      <c r="AW34" s="200" t="n">
        <v>27</v>
      </c>
      <c r="AX34" s="280"/>
      <c r="AY34" s="235" t="n">
        <f aca="false">SUM(N34,P34:T34)</f>
        <v>4.4</v>
      </c>
    </row>
    <row r="35" customFormat="false" ht="12.95" hidden="false" customHeight="true" outlineLevel="0" collapsed="false">
      <c r="A35" s="173" t="n">
        <f aca="false">A34+1</f>
        <v>21</v>
      </c>
      <c r="B35" s="101" t="n">
        <v>6891.5</v>
      </c>
      <c r="C35" s="102" t="n">
        <v>253286</v>
      </c>
      <c r="D35" s="200" t="n">
        <f aca="false">C35-C34</f>
        <v>34</v>
      </c>
      <c r="E35" s="102" t="n">
        <f aca="false">C35-152000</f>
        <v>101286</v>
      </c>
      <c r="F35" s="231" t="n">
        <f aca="false">D35/$D$2</f>
        <v>17.1414166876733</v>
      </c>
      <c r="G35" s="1" t="n">
        <v>33</v>
      </c>
      <c r="H35" s="290" t="n">
        <v>1.2</v>
      </c>
      <c r="I35" s="129" t="n">
        <f aca="false">G35+H35</f>
        <v>34.2</v>
      </c>
      <c r="J35" s="130" t="n">
        <f aca="false">IF(L35&gt;0,L35,0)</f>
        <v>53.5414166876733</v>
      </c>
      <c r="K35" s="129" t="n">
        <f aca="false">I35+J35</f>
        <v>87.7414166876733</v>
      </c>
      <c r="L35" s="129" t="n">
        <f aca="false">F35-(I35-AJ35)</f>
        <v>53.5414166876733</v>
      </c>
      <c r="M35" s="233" t="n">
        <v>4.6</v>
      </c>
      <c r="N35" s="129" t="n">
        <v>0</v>
      </c>
      <c r="O35" s="129" t="n">
        <v>0</v>
      </c>
      <c r="P35" s="149" t="n">
        <v>0</v>
      </c>
      <c r="Q35" s="257" t="n">
        <f aca="false">1.45*1.02</f>
        <v>1.479</v>
      </c>
      <c r="R35" s="149" t="n">
        <v>2.69</v>
      </c>
      <c r="S35" s="291" t="n">
        <v>0</v>
      </c>
      <c r="T35" s="91" t="n">
        <f aca="false">M35-(Q35+R35+S35)</f>
        <v>0.431</v>
      </c>
      <c r="U35" s="129" t="n">
        <v>36</v>
      </c>
      <c r="V35" s="129" t="n">
        <v>0</v>
      </c>
      <c r="W35" s="129" t="n">
        <f aca="false">M35-N35-O35-P35-Q35-R35-S35-T35+U35+V35</f>
        <v>36</v>
      </c>
      <c r="X35" s="129" t="n">
        <f aca="false">W35-AN35</f>
        <v>36</v>
      </c>
      <c r="Y35" s="129"/>
      <c r="Z35" s="129"/>
      <c r="AA35" s="102"/>
      <c r="AB35" s="102"/>
      <c r="AC35" s="102"/>
      <c r="AD35" s="129" t="n">
        <v>0</v>
      </c>
      <c r="AE35" s="233"/>
      <c r="AF35" s="234"/>
      <c r="AG35" s="129" t="n">
        <v>30</v>
      </c>
      <c r="AH35" s="102" t="n">
        <f aca="false">AH34-AG35</f>
        <v>1267</v>
      </c>
      <c r="AI35" s="204"/>
      <c r="AJ35" s="128" t="n">
        <f aca="false">N35+O35+P35+Q35+R35+S35+T35+W35+AD35+AG35</f>
        <v>70.6</v>
      </c>
      <c r="AK35" s="129" t="n">
        <f aca="false">IF(L35&lt;0,L35*-1,0)</f>
        <v>0</v>
      </c>
      <c r="AL35" s="129" t="n">
        <f aca="false">AJ35+AK35</f>
        <v>70.6</v>
      </c>
      <c r="AM35" s="205" t="n">
        <f aca="false">AM34+(W35*1.9835)</f>
        <v>7683.2856</v>
      </c>
      <c r="AN35" s="200" t="n">
        <v>0</v>
      </c>
      <c r="AO35" s="129"/>
      <c r="AP35" s="102"/>
      <c r="AQ35" s="102"/>
      <c r="AR35" s="279"/>
      <c r="AU35" s="207" t="n">
        <v>0.2</v>
      </c>
      <c r="AV35" s="200" t="n">
        <v>35</v>
      </c>
      <c r="AW35" s="200" t="n">
        <v>27</v>
      </c>
      <c r="AX35" s="280"/>
      <c r="AY35" s="235" t="n">
        <f aca="false">SUM(N35,P35:T35)</f>
        <v>4.6</v>
      </c>
    </row>
    <row r="36" customFormat="false" ht="12.95" hidden="false" customHeight="true" outlineLevel="0" collapsed="false">
      <c r="A36" s="173" t="n">
        <f aca="false">A35+1</f>
        <v>22</v>
      </c>
      <c r="B36" s="101" t="n">
        <v>6891.48</v>
      </c>
      <c r="C36" s="102" t="n">
        <v>253217</v>
      </c>
      <c r="D36" s="200" t="n">
        <f aca="false">C36-C35</f>
        <v>-69</v>
      </c>
      <c r="E36" s="102" t="n">
        <f aca="false">C36-152000</f>
        <v>101217</v>
      </c>
      <c r="F36" s="231" t="n">
        <f aca="false">D36/$D$2</f>
        <v>-34.7869926896899</v>
      </c>
      <c r="G36" s="1" t="n">
        <v>33</v>
      </c>
      <c r="H36" s="290" t="n">
        <v>1.1</v>
      </c>
      <c r="I36" s="129" t="n">
        <f aca="false">G36+H36</f>
        <v>34.1</v>
      </c>
      <c r="J36" s="130" t="n">
        <f aca="false">IF(L36&gt;0,L36,0)</f>
        <v>12.0130073103101</v>
      </c>
      <c r="K36" s="129" t="n">
        <f aca="false">I36+J36</f>
        <v>46.1130073103101</v>
      </c>
      <c r="L36" s="129" t="n">
        <f aca="false">F36-(I36-AJ36)</f>
        <v>12.0130073103101</v>
      </c>
      <c r="M36" s="233" t="n">
        <v>3.9</v>
      </c>
      <c r="N36" s="129" t="n">
        <v>0</v>
      </c>
      <c r="O36" s="129" t="n">
        <v>0</v>
      </c>
      <c r="P36" s="149" t="n">
        <v>0</v>
      </c>
      <c r="Q36" s="257" t="n">
        <f aca="false">1.45*1.02</f>
        <v>1.479</v>
      </c>
      <c r="R36" s="149" t="n">
        <v>2.13</v>
      </c>
      <c r="S36" s="291" t="n">
        <v>0</v>
      </c>
      <c r="T36" s="91" t="n">
        <f aca="false">M36-(Q36+R36+S36)</f>
        <v>0.291</v>
      </c>
      <c r="U36" s="129" t="n">
        <v>47</v>
      </c>
      <c r="V36" s="129" t="n">
        <v>0</v>
      </c>
      <c r="W36" s="129" t="n">
        <f aca="false">M36-N36-O36-P36-Q36-R36-S36-T36+U36+V36</f>
        <v>47</v>
      </c>
      <c r="X36" s="129" t="n">
        <f aca="false">W36-AN36</f>
        <v>47</v>
      </c>
      <c r="Y36" s="129"/>
      <c r="Z36" s="129"/>
      <c r="AA36" s="102"/>
      <c r="AB36" s="102"/>
      <c r="AC36" s="102"/>
      <c r="AD36" s="129" t="n">
        <v>0</v>
      </c>
      <c r="AE36" s="233"/>
      <c r="AF36" s="234"/>
      <c r="AG36" s="129" t="n">
        <v>30</v>
      </c>
      <c r="AH36" s="102" t="n">
        <f aca="false">AH35-AG36</f>
        <v>1237</v>
      </c>
      <c r="AI36" s="204"/>
      <c r="AJ36" s="128" t="n">
        <f aca="false">N36+O36+P36+Q36+R36+S36+T36+W36+AD36+AG36</f>
        <v>80.9</v>
      </c>
      <c r="AK36" s="129" t="n">
        <f aca="false">IF(L36&lt;0,L36*-1,0)</f>
        <v>0</v>
      </c>
      <c r="AL36" s="129" t="n">
        <f aca="false">AJ36+AK36</f>
        <v>80.9</v>
      </c>
      <c r="AM36" s="205" t="n">
        <f aca="false">AM35+(W36*1.9835)</f>
        <v>7776.5101</v>
      </c>
      <c r="AN36" s="200" t="n">
        <v>0</v>
      </c>
      <c r="AO36" s="129"/>
      <c r="AP36" s="102"/>
      <c r="AQ36" s="102"/>
      <c r="AR36" s="279"/>
      <c r="AU36" s="207" t="n">
        <v>0</v>
      </c>
      <c r="AV36" s="200" t="n">
        <v>32</v>
      </c>
      <c r="AW36" s="200" t="n">
        <v>8</v>
      </c>
      <c r="AX36" s="280"/>
      <c r="AY36" s="235" t="n">
        <f aca="false">SUM(N36,P36:T36)</f>
        <v>3.9</v>
      </c>
    </row>
    <row r="37" customFormat="false" ht="12.95" hidden="false" customHeight="true" outlineLevel="0" collapsed="false">
      <c r="A37" s="173" t="n">
        <f aca="false">A36+1</f>
        <v>23</v>
      </c>
      <c r="B37" s="101" t="n">
        <v>6891.45</v>
      </c>
      <c r="C37" s="102" t="n">
        <v>253114</v>
      </c>
      <c r="D37" s="200" t="n">
        <f aca="false">C37-C36</f>
        <v>-103</v>
      </c>
      <c r="E37" s="102" t="n">
        <f aca="false">C37-152000</f>
        <v>101114</v>
      </c>
      <c r="F37" s="231" t="n">
        <f aca="false">D37/$D$2</f>
        <v>-51.9284093773632</v>
      </c>
      <c r="G37" s="1" t="n">
        <v>33</v>
      </c>
      <c r="H37" s="290" t="n">
        <v>1.2</v>
      </c>
      <c r="I37" s="129" t="n">
        <f aca="false">G37+H37</f>
        <v>34.2</v>
      </c>
      <c r="J37" s="130" t="n">
        <f aca="false">IF(L37&gt;0,L37,0)</f>
        <v>1.37159062263675</v>
      </c>
      <c r="K37" s="129" t="n">
        <f aca="false">I37+J37</f>
        <v>35.5715906226368</v>
      </c>
      <c r="L37" s="129" t="n">
        <f aca="false">F37-(I37-AJ37)</f>
        <v>1.37159062263675</v>
      </c>
      <c r="M37" s="233" t="n">
        <v>4.5</v>
      </c>
      <c r="N37" s="129" t="n">
        <v>0</v>
      </c>
      <c r="O37" s="129" t="n">
        <v>0</v>
      </c>
      <c r="P37" s="149" t="n">
        <v>0</v>
      </c>
      <c r="Q37" s="257" t="n">
        <f aca="false">1.45*1.02</f>
        <v>1.479</v>
      </c>
      <c r="R37" s="149" t="n">
        <v>3.72</v>
      </c>
      <c r="S37" s="291" t="n">
        <v>0</v>
      </c>
      <c r="T37" s="91" t="n">
        <f aca="false">M37-(Q37+R37+S37)</f>
        <v>-0.699</v>
      </c>
      <c r="U37" s="129" t="n">
        <v>53</v>
      </c>
      <c r="V37" s="129" t="n">
        <v>0</v>
      </c>
      <c r="W37" s="129" t="n">
        <f aca="false">M37-N37-O37-P37-Q37-R37-S37-T37+U37+V37</f>
        <v>53</v>
      </c>
      <c r="X37" s="129" t="n">
        <f aca="false">W37-AN37</f>
        <v>53</v>
      </c>
      <c r="Y37" s="129"/>
      <c r="Z37" s="129"/>
      <c r="AA37" s="102"/>
      <c r="AB37" s="102"/>
      <c r="AC37" s="102"/>
      <c r="AD37" s="129" t="n">
        <v>0</v>
      </c>
      <c r="AE37" s="233"/>
      <c r="AF37" s="234"/>
      <c r="AG37" s="129" t="n">
        <v>30</v>
      </c>
      <c r="AH37" s="102" t="n">
        <f aca="false">AH36-AG37</f>
        <v>1207</v>
      </c>
      <c r="AI37" s="204"/>
      <c r="AJ37" s="128" t="n">
        <f aca="false">N37+O37+P37+Q37+R37+S37+T37+W37+AD37+AG37</f>
        <v>87.5</v>
      </c>
      <c r="AK37" s="129" t="n">
        <f aca="false">IF(L37&lt;0,L37*-1,0)</f>
        <v>0</v>
      </c>
      <c r="AL37" s="129" t="n">
        <f aca="false">AJ37+AK37</f>
        <v>87.5</v>
      </c>
      <c r="AM37" s="205" t="n">
        <f aca="false">AM36+(W37*1.9835)</f>
        <v>7881.6356</v>
      </c>
      <c r="AN37" s="200" t="n">
        <v>0</v>
      </c>
      <c r="AO37" s="129"/>
      <c r="AP37" s="102"/>
      <c r="AQ37" s="102"/>
      <c r="AR37" s="279"/>
      <c r="AU37" s="207" t="n">
        <v>0.03</v>
      </c>
      <c r="AV37" s="200" t="n">
        <v>34</v>
      </c>
      <c r="AW37" s="206" t="n">
        <v>-6</v>
      </c>
      <c r="AX37" s="280"/>
      <c r="AY37" s="235" t="n">
        <f aca="false">SUM(N37,P37:T37)</f>
        <v>4.5</v>
      </c>
    </row>
    <row r="38" customFormat="false" ht="12.95" hidden="false" customHeight="true" outlineLevel="0" collapsed="false">
      <c r="A38" s="173" t="n">
        <f aca="false">A37+1</f>
        <v>24</v>
      </c>
      <c r="B38" s="101" t="n">
        <v>6891.41</v>
      </c>
      <c r="C38" s="102" t="n">
        <v>252977</v>
      </c>
      <c r="D38" s="200" t="n">
        <f aca="false">C38-C37</f>
        <v>-137</v>
      </c>
      <c r="E38" s="102" t="n">
        <f aca="false">C38-152000</f>
        <v>100977</v>
      </c>
      <c r="F38" s="231" t="n">
        <f aca="false">D38/$D$2</f>
        <v>-69.0698260650366</v>
      </c>
      <c r="G38" s="1" t="n">
        <v>33</v>
      </c>
      <c r="H38" s="290" t="n">
        <v>1.2</v>
      </c>
      <c r="I38" s="129" t="n">
        <f aca="false">G38+H38</f>
        <v>34.2</v>
      </c>
      <c r="J38" s="130" t="n">
        <f aca="false">IF(L38&gt;0,L38,0)</f>
        <v>0</v>
      </c>
      <c r="K38" s="129" t="n">
        <f aca="false">I38+J38</f>
        <v>34.2</v>
      </c>
      <c r="L38" s="129" t="n">
        <f aca="false">F38-(I38-AJ38)</f>
        <v>-15.6698260650366</v>
      </c>
      <c r="M38" s="233" t="n">
        <v>4.6</v>
      </c>
      <c r="N38" s="129" t="n">
        <v>0</v>
      </c>
      <c r="O38" s="129" t="n">
        <v>0</v>
      </c>
      <c r="P38" s="149" t="n">
        <v>0</v>
      </c>
      <c r="Q38" s="257" t="n">
        <f aca="false">1.45*1.02</f>
        <v>1.479</v>
      </c>
      <c r="R38" s="149" t="n">
        <v>2.53</v>
      </c>
      <c r="S38" s="291" t="n">
        <v>0</v>
      </c>
      <c r="T38" s="91" t="n">
        <f aca="false">M38-(Q38+R38+S38)</f>
        <v>0.591</v>
      </c>
      <c r="U38" s="129" t="n">
        <v>53</v>
      </c>
      <c r="V38" s="129" t="n">
        <v>0</v>
      </c>
      <c r="W38" s="129" t="n">
        <f aca="false">M38-N38-O38-P38-Q38-R38-S38-T38+U38+V38</f>
        <v>53</v>
      </c>
      <c r="X38" s="129" t="n">
        <f aca="false">W38-AN38</f>
        <v>53</v>
      </c>
      <c r="Y38" s="129"/>
      <c r="Z38" s="129"/>
      <c r="AA38" s="102"/>
      <c r="AB38" s="102"/>
      <c r="AC38" s="102"/>
      <c r="AD38" s="129" t="n">
        <v>0</v>
      </c>
      <c r="AE38" s="233"/>
      <c r="AF38" s="234"/>
      <c r="AG38" s="129" t="n">
        <v>30</v>
      </c>
      <c r="AH38" s="102" t="n">
        <f aca="false">AH37-AG38</f>
        <v>1177</v>
      </c>
      <c r="AI38" s="204"/>
      <c r="AJ38" s="128" t="n">
        <f aca="false">N38+O38+P38+Q38+R38+S38+T38+W38+AD38+AG38</f>
        <v>87.6</v>
      </c>
      <c r="AK38" s="129" t="n">
        <f aca="false">IF(L38&lt;0,L38*-1,0)</f>
        <v>15.6698260650366</v>
      </c>
      <c r="AL38" s="129" t="n">
        <f aca="false">AJ38+AK38</f>
        <v>103.269826065037</v>
      </c>
      <c r="AM38" s="205" t="n">
        <f aca="false">AM37+(W38*1.9835)</f>
        <v>7986.7611</v>
      </c>
      <c r="AN38" s="200" t="n">
        <v>0</v>
      </c>
      <c r="AO38" s="129"/>
      <c r="AP38" s="102"/>
      <c r="AQ38" s="102"/>
      <c r="AR38" s="279"/>
      <c r="AU38" s="207" t="n">
        <v>0.05</v>
      </c>
      <c r="AV38" s="200" t="n">
        <v>38</v>
      </c>
      <c r="AW38" s="206" t="n">
        <v>-2</v>
      </c>
      <c r="AX38" s="280"/>
      <c r="AY38" s="235" t="n">
        <f aca="false">SUM(N38,P38:T38)</f>
        <v>4.6</v>
      </c>
    </row>
    <row r="39" customFormat="false" ht="12.95" hidden="false" customHeight="true" outlineLevel="0" collapsed="false">
      <c r="A39" s="173" t="n">
        <f aca="false">A38+1</f>
        <v>25</v>
      </c>
      <c r="B39" s="101" t="n">
        <v>6891.38</v>
      </c>
      <c r="C39" s="102" t="n">
        <v>252874</v>
      </c>
      <c r="D39" s="200" t="n">
        <f aca="false">C39-C38</f>
        <v>-103</v>
      </c>
      <c r="E39" s="102" t="n">
        <f aca="false">C39-152000</f>
        <v>100874</v>
      </c>
      <c r="F39" s="231" t="n">
        <f aca="false">D39/$D$2</f>
        <v>-51.9284093773632</v>
      </c>
      <c r="G39" s="1" t="n">
        <v>33</v>
      </c>
      <c r="H39" s="290" t="n">
        <v>1.2</v>
      </c>
      <c r="I39" s="129" t="n">
        <f aca="false">G39+H39</f>
        <v>34.2</v>
      </c>
      <c r="J39" s="130" t="n">
        <f aca="false">IF(L39&gt;0,L39,0)</f>
        <v>0.171590622636749</v>
      </c>
      <c r="K39" s="129" t="n">
        <f aca="false">I39+J39</f>
        <v>34.3715906226368</v>
      </c>
      <c r="L39" s="129" t="n">
        <f aca="false">F39-(I39-AJ39)</f>
        <v>0.171590622636749</v>
      </c>
      <c r="M39" s="233" t="n">
        <v>3.3</v>
      </c>
      <c r="N39" s="129" t="n">
        <v>0</v>
      </c>
      <c r="O39" s="129" t="n">
        <v>0</v>
      </c>
      <c r="P39" s="149" t="n">
        <v>0</v>
      </c>
      <c r="Q39" s="257" t="n">
        <f aca="false">1.45*1.02</f>
        <v>1.479</v>
      </c>
      <c r="R39" s="149" t="n">
        <v>2.18</v>
      </c>
      <c r="S39" s="291" t="n">
        <v>0</v>
      </c>
      <c r="T39" s="91" t="n">
        <f aca="false">M39-(Q39+R39+S39)</f>
        <v>-0.359</v>
      </c>
      <c r="U39" s="129" t="n">
        <v>53</v>
      </c>
      <c r="V39" s="129" t="n">
        <v>0</v>
      </c>
      <c r="W39" s="129" t="n">
        <f aca="false">M39-N39-O39-P39-Q39-R39-S39-T39+U39+V39</f>
        <v>53</v>
      </c>
      <c r="X39" s="129" t="n">
        <f aca="false">W39-AN39</f>
        <v>53</v>
      </c>
      <c r="Y39" s="129"/>
      <c r="Z39" s="129"/>
      <c r="AA39" s="102"/>
      <c r="AB39" s="102"/>
      <c r="AC39" s="102"/>
      <c r="AD39" s="129" t="n">
        <v>0</v>
      </c>
      <c r="AE39" s="233"/>
      <c r="AF39" s="234"/>
      <c r="AG39" s="129" t="n">
        <v>30</v>
      </c>
      <c r="AH39" s="102" t="n">
        <f aca="false">AH38-AG39</f>
        <v>1147</v>
      </c>
      <c r="AI39" s="204"/>
      <c r="AJ39" s="128" t="n">
        <f aca="false">N39+O39+P39+Q39+R39+S39+T39+W39+AD39+AG39</f>
        <v>86.3</v>
      </c>
      <c r="AK39" s="129" t="n">
        <f aca="false">IF(L39&lt;0,L39*-1,0)</f>
        <v>0</v>
      </c>
      <c r="AL39" s="129" t="n">
        <f aca="false">AJ39+AK39</f>
        <v>86.3</v>
      </c>
      <c r="AM39" s="205" t="n">
        <f aca="false">AM38+(W39*1.9835)</f>
        <v>8091.8866</v>
      </c>
      <c r="AN39" s="200" t="n">
        <v>0</v>
      </c>
      <c r="AO39" s="129"/>
      <c r="AP39" s="102"/>
      <c r="AQ39" s="102"/>
      <c r="AR39" s="279"/>
      <c r="AU39" s="207" t="n">
        <v>0</v>
      </c>
      <c r="AV39" s="200" t="n">
        <v>38</v>
      </c>
      <c r="AW39" s="206" t="n">
        <v>17</v>
      </c>
      <c r="AX39" s="280"/>
      <c r="AY39" s="235" t="n">
        <f aca="false">SUM(N39,P39:T39)</f>
        <v>3.3</v>
      </c>
    </row>
    <row r="40" customFormat="false" ht="12.95" hidden="false" customHeight="true" outlineLevel="0" collapsed="false">
      <c r="A40" s="173" t="n">
        <f aca="false">A39+1</f>
        <v>26</v>
      </c>
      <c r="B40" s="101" t="n">
        <v>6891.35</v>
      </c>
      <c r="C40" s="102" t="n">
        <v>252771</v>
      </c>
      <c r="D40" s="200" t="n">
        <f aca="false">C40-C39</f>
        <v>-103</v>
      </c>
      <c r="E40" s="102" t="n">
        <f aca="false">C40-152000</f>
        <v>100771</v>
      </c>
      <c r="F40" s="231" t="n">
        <f aca="false">D40/$D$2</f>
        <v>-51.9284093773632</v>
      </c>
      <c r="G40" s="1" t="n">
        <v>33</v>
      </c>
      <c r="H40" s="290" t="n">
        <v>1.2</v>
      </c>
      <c r="I40" s="129" t="n">
        <f aca="false">G40+H40</f>
        <v>34.2</v>
      </c>
      <c r="J40" s="130" t="n">
        <f aca="false">IF(L40&gt;0,L40,0)</f>
        <v>0</v>
      </c>
      <c r="K40" s="129" t="n">
        <f aca="false">I40+J40</f>
        <v>34.2</v>
      </c>
      <c r="L40" s="129" t="n">
        <f aca="false">F40-(I40-AJ40)</f>
        <v>-0.528409377363253</v>
      </c>
      <c r="M40" s="233" t="n">
        <v>2.6</v>
      </c>
      <c r="N40" s="129" t="n">
        <v>0</v>
      </c>
      <c r="O40" s="129" t="n">
        <v>0</v>
      </c>
      <c r="P40" s="149" t="n">
        <v>0</v>
      </c>
      <c r="Q40" s="257" t="n">
        <f aca="false">1.45*1.02</f>
        <v>1.479</v>
      </c>
      <c r="R40" s="149" t="n">
        <v>2.07</v>
      </c>
      <c r="S40" s="291" t="n">
        <v>0</v>
      </c>
      <c r="T40" s="91" t="n">
        <f aca="false">M40-(Q40+R40+S40)</f>
        <v>-0.948999999999999</v>
      </c>
      <c r="U40" s="129" t="n">
        <v>53</v>
      </c>
      <c r="V40" s="129" t="n">
        <v>0</v>
      </c>
      <c r="W40" s="129" t="n">
        <f aca="false">M40-N40-O40-P40-Q40-R40-S40-T40+U40+V40</f>
        <v>53</v>
      </c>
      <c r="X40" s="129" t="n">
        <f aca="false">W40-AN40</f>
        <v>53</v>
      </c>
      <c r="Y40" s="129"/>
      <c r="Z40" s="129"/>
      <c r="AA40" s="102"/>
      <c r="AB40" s="102"/>
      <c r="AC40" s="102"/>
      <c r="AD40" s="129" t="n">
        <v>0</v>
      </c>
      <c r="AE40" s="233"/>
      <c r="AF40" s="234"/>
      <c r="AG40" s="129" t="n">
        <v>30</v>
      </c>
      <c r="AH40" s="102" t="n">
        <f aca="false">AH39-AG40</f>
        <v>1117</v>
      </c>
      <c r="AI40" s="204"/>
      <c r="AJ40" s="128" t="n">
        <f aca="false">N40+O40+P40+Q40+R40+S40+T40+W40+AD40+AG40</f>
        <v>85.6</v>
      </c>
      <c r="AK40" s="129" t="n">
        <f aca="false">IF(L40&lt;0,L40*-1,0)</f>
        <v>0.528409377363253</v>
      </c>
      <c r="AL40" s="129" t="n">
        <f aca="false">AJ40+AK40</f>
        <v>86.1284093773633</v>
      </c>
      <c r="AM40" s="205" t="n">
        <f aca="false">AM39+(W40*1.9835)</f>
        <v>8197.0121</v>
      </c>
      <c r="AN40" s="200" t="n">
        <v>0</v>
      </c>
      <c r="AO40" s="129"/>
      <c r="AP40" s="102"/>
      <c r="AQ40" s="102"/>
      <c r="AR40" s="279"/>
      <c r="AU40" s="207" t="n">
        <v>0</v>
      </c>
      <c r="AV40" s="200" t="n">
        <v>41</v>
      </c>
      <c r="AW40" s="200" t="n">
        <v>3</v>
      </c>
      <c r="AX40" s="280"/>
      <c r="AY40" s="235" t="n">
        <f aca="false">SUM(N40,P40:T40)</f>
        <v>2.6</v>
      </c>
    </row>
    <row r="41" customFormat="false" ht="12.95" hidden="false" customHeight="true" outlineLevel="0" collapsed="false">
      <c r="A41" s="173" t="n">
        <f aca="false">A40+1</f>
        <v>27</v>
      </c>
      <c r="B41" s="101" t="n">
        <v>6891.32</v>
      </c>
      <c r="C41" s="102" t="n">
        <v>252668</v>
      </c>
      <c r="D41" s="200" t="n">
        <f aca="false">C41-C40</f>
        <v>-103</v>
      </c>
      <c r="E41" s="102" t="n">
        <f aca="false">C41-152000</f>
        <v>100668</v>
      </c>
      <c r="F41" s="231" t="n">
        <f aca="false">D41/$D$2</f>
        <v>-51.9284093773632</v>
      </c>
      <c r="G41" s="1" t="n">
        <v>33</v>
      </c>
      <c r="H41" s="290" t="n">
        <v>1.2</v>
      </c>
      <c r="I41" s="129" t="n">
        <f aca="false">G41+H41</f>
        <v>34.2</v>
      </c>
      <c r="J41" s="130" t="n">
        <f aca="false">IF(L41&gt;0,L41,0)</f>
        <v>0</v>
      </c>
      <c r="K41" s="129" t="n">
        <f aca="false">I41+J41</f>
        <v>34.2</v>
      </c>
      <c r="L41" s="129" t="n">
        <f aca="false">F41-(I41-AJ41)</f>
        <v>-0.528409377363253</v>
      </c>
      <c r="M41" s="233" t="n">
        <v>2.6</v>
      </c>
      <c r="N41" s="129" t="n">
        <v>0</v>
      </c>
      <c r="O41" s="129" t="n">
        <v>0</v>
      </c>
      <c r="P41" s="149" t="n">
        <v>0</v>
      </c>
      <c r="Q41" s="257" t="n">
        <f aca="false">1.45*1.02</f>
        <v>1.479</v>
      </c>
      <c r="R41" s="149" t="n">
        <v>2.36</v>
      </c>
      <c r="S41" s="291" t="n">
        <v>0</v>
      </c>
      <c r="T41" s="91" t="n">
        <f aca="false">M41-(Q41+R41+S41)</f>
        <v>-1.239</v>
      </c>
      <c r="U41" s="129" t="n">
        <v>53</v>
      </c>
      <c r="V41" s="129" t="n">
        <v>0</v>
      </c>
      <c r="W41" s="129" t="n">
        <f aca="false">M41-N41-O41-P41-Q41-R41-S41-T41+U41+V41</f>
        <v>53</v>
      </c>
      <c r="X41" s="129" t="n">
        <f aca="false">W41-AN41</f>
        <v>53</v>
      </c>
      <c r="Y41" s="129"/>
      <c r="Z41" s="129"/>
      <c r="AA41" s="102"/>
      <c r="AB41" s="102"/>
      <c r="AC41" s="102"/>
      <c r="AD41" s="129" t="n">
        <v>0</v>
      </c>
      <c r="AE41" s="233"/>
      <c r="AF41" s="234"/>
      <c r="AG41" s="129" t="n">
        <v>30</v>
      </c>
      <c r="AH41" s="102" t="n">
        <f aca="false">AH40-AG41</f>
        <v>1087</v>
      </c>
      <c r="AI41" s="204"/>
      <c r="AJ41" s="128" t="n">
        <f aca="false">N41+O41+P41+Q41+R41+S41+T41+W41+AD41+AG41</f>
        <v>85.6</v>
      </c>
      <c r="AK41" s="129" t="n">
        <f aca="false">IF(L41&lt;0,L41*-1,0)</f>
        <v>0.528409377363253</v>
      </c>
      <c r="AL41" s="129" t="n">
        <f aca="false">AJ41+AK41</f>
        <v>86.1284093773633</v>
      </c>
      <c r="AM41" s="205" t="n">
        <f aca="false">AM40+(W41*1.9835)</f>
        <v>8302.1376</v>
      </c>
      <c r="AN41" s="200" t="n">
        <v>0</v>
      </c>
      <c r="AO41" s="129"/>
      <c r="AP41" s="102"/>
      <c r="AQ41" s="102"/>
      <c r="AR41" s="279"/>
      <c r="AU41" s="207" t="n">
        <v>0</v>
      </c>
      <c r="AV41" s="200" t="n">
        <v>45</v>
      </c>
      <c r="AW41" s="200" t="n">
        <v>14</v>
      </c>
      <c r="AX41" s="280"/>
      <c r="AY41" s="235" t="n">
        <f aca="false">SUM(N41,P41:T41)</f>
        <v>2.6</v>
      </c>
    </row>
    <row r="42" customFormat="false" ht="12.95" hidden="false" customHeight="true" outlineLevel="0" collapsed="false">
      <c r="A42" s="173" t="n">
        <v>28</v>
      </c>
      <c r="B42" s="101" t="n">
        <v>6891.3</v>
      </c>
      <c r="C42" s="102" t="n">
        <v>252599</v>
      </c>
      <c r="D42" s="200" t="n">
        <f aca="false">C42-C41</f>
        <v>-69</v>
      </c>
      <c r="E42" s="102" t="n">
        <f aca="false">C42-152000</f>
        <v>100599</v>
      </c>
      <c r="F42" s="231" t="n">
        <f aca="false">D42/$D$2</f>
        <v>-34.7869926896899</v>
      </c>
      <c r="G42" s="1" t="n">
        <v>34</v>
      </c>
      <c r="H42" s="290" t="n">
        <v>1.2</v>
      </c>
      <c r="I42" s="129" t="n">
        <f aca="false">G42+H42</f>
        <v>35.2</v>
      </c>
      <c r="J42" s="130" t="n">
        <f aca="false">IF(L42&gt;0,L42,0)</f>
        <v>15.6130073103101</v>
      </c>
      <c r="K42" s="129" t="n">
        <f aca="false">I42+J42</f>
        <v>50.8130073103101</v>
      </c>
      <c r="L42" s="129" t="n">
        <f aca="false">F42-(I42-AJ42)</f>
        <v>15.6130073103101</v>
      </c>
      <c r="M42" s="233" t="n">
        <v>2.6</v>
      </c>
      <c r="N42" s="129" t="n">
        <v>0</v>
      </c>
      <c r="O42" s="129" t="n">
        <v>0</v>
      </c>
      <c r="P42" s="149" t="n">
        <v>0</v>
      </c>
      <c r="Q42" s="257" t="n">
        <f aca="false">1.45*1.02</f>
        <v>1.479</v>
      </c>
      <c r="R42" s="149" t="n">
        <v>2.38</v>
      </c>
      <c r="S42" s="291" t="n">
        <v>0</v>
      </c>
      <c r="T42" s="91" t="n">
        <f aca="false">M42-(Q42+R42+S42)</f>
        <v>-1.259</v>
      </c>
      <c r="U42" s="129" t="n">
        <v>53</v>
      </c>
      <c r="V42" s="129" t="n">
        <v>0</v>
      </c>
      <c r="W42" s="129" t="n">
        <f aca="false">M42-N42-O42-P42-Q42-R42-S42-T42+U42+V42</f>
        <v>53</v>
      </c>
      <c r="X42" s="129" t="n">
        <f aca="false">W42-AN42</f>
        <v>53</v>
      </c>
      <c r="Y42" s="129"/>
      <c r="Z42" s="129"/>
      <c r="AA42" s="102"/>
      <c r="AB42" s="102"/>
      <c r="AC42" s="102"/>
      <c r="AD42" s="129" t="n">
        <v>0</v>
      </c>
      <c r="AE42" s="233"/>
      <c r="AF42" s="234"/>
      <c r="AG42" s="129" t="n">
        <v>30</v>
      </c>
      <c r="AH42" s="102" t="n">
        <f aca="false">AH41-AG42</f>
        <v>1057</v>
      </c>
      <c r="AI42" s="204"/>
      <c r="AJ42" s="128" t="n">
        <f aca="false">N42+O42+P42+Q42+R42+S42+T42+W42+AD42+AG42</f>
        <v>85.6</v>
      </c>
      <c r="AK42" s="129" t="n">
        <f aca="false">IF(L42&lt;0,L42*-1,0)</f>
        <v>0</v>
      </c>
      <c r="AL42" s="129" t="n">
        <f aca="false">AJ42+AK42</f>
        <v>85.6</v>
      </c>
      <c r="AM42" s="205" t="n">
        <f aca="false">AM41+(W42*1.9835)</f>
        <v>8407.2631</v>
      </c>
      <c r="AN42" s="200" t="n">
        <v>0</v>
      </c>
      <c r="AO42" s="129"/>
      <c r="AP42" s="102"/>
      <c r="AQ42" s="102"/>
      <c r="AR42" s="279"/>
      <c r="AU42" s="207" t="n">
        <v>0</v>
      </c>
      <c r="AV42" s="200" t="n">
        <v>43</v>
      </c>
      <c r="AW42" s="200" t="n">
        <v>25</v>
      </c>
      <c r="AX42" s="280"/>
      <c r="AY42" s="235" t="n">
        <f aca="false">SUM(N42,P42:T42)</f>
        <v>2.6</v>
      </c>
    </row>
    <row r="43" customFormat="false" ht="3" hidden="false" customHeight="true" outlineLevel="0" collapsed="false">
      <c r="A43" s="294"/>
      <c r="B43" s="237"/>
      <c r="C43" s="218"/>
      <c r="D43" s="218"/>
      <c r="E43" s="218"/>
      <c r="F43" s="242"/>
      <c r="G43" s="218"/>
      <c r="H43" s="228"/>
      <c r="I43" s="218"/>
      <c r="J43" s="218"/>
      <c r="K43" s="218"/>
      <c r="L43" s="218"/>
      <c r="M43" s="243"/>
      <c r="N43" s="218"/>
      <c r="O43" s="218"/>
      <c r="P43" s="223"/>
      <c r="Q43" s="218"/>
      <c r="R43" s="218"/>
      <c r="S43" s="228"/>
      <c r="T43" s="224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43"/>
      <c r="AF43" s="244"/>
      <c r="AG43" s="218"/>
      <c r="AH43" s="219"/>
      <c r="AI43" s="254"/>
      <c r="AJ43" s="218"/>
      <c r="AK43" s="218"/>
      <c r="AL43" s="218"/>
      <c r="AM43" s="227"/>
      <c r="AN43" s="228"/>
      <c r="AO43" s="218"/>
      <c r="AP43" s="218"/>
      <c r="AQ43" s="218"/>
      <c r="AR43" s="228"/>
      <c r="AS43" s="287"/>
      <c r="AT43" s="287"/>
      <c r="AU43" s="245"/>
      <c r="AV43" s="218"/>
      <c r="AW43" s="218"/>
      <c r="AX43" s="288"/>
      <c r="AY43" s="289"/>
    </row>
    <row r="44" customFormat="false" ht="12.95" hidden="false" customHeight="true" outlineLevel="0" collapsed="false">
      <c r="A44" s="178" t="s">
        <v>99</v>
      </c>
      <c r="B44" s="205"/>
      <c r="C44" s="200"/>
      <c r="D44" s="200"/>
      <c r="E44" s="200"/>
      <c r="F44" s="208" t="n">
        <f aca="false">SUM(F15:F42)</f>
        <v>-657.927905218049</v>
      </c>
      <c r="G44" s="200" t="n">
        <f aca="false">SUM(G15:G42)</f>
        <v>908</v>
      </c>
      <c r="H44" s="200" t="n">
        <f aca="false">SUM(H15:H42)</f>
        <v>33.2</v>
      </c>
      <c r="I44" s="200" t="n">
        <f aca="false">SUM(I15:I42)</f>
        <v>941.2</v>
      </c>
      <c r="J44" s="200" t="n">
        <f aca="false">SUM(J15:J42)</f>
        <v>439.9035291152</v>
      </c>
      <c r="K44" s="200" t="n">
        <f aca="false">SUM(K15:K42)</f>
        <v>1381.1035291152</v>
      </c>
      <c r="L44" s="200" t="n">
        <f aca="false">SUM(L15:L42)</f>
        <v>398.572094781951</v>
      </c>
      <c r="M44" s="295" t="n">
        <f aca="false">SUM(M15:M42)</f>
        <v>106.7</v>
      </c>
      <c r="N44" s="200" t="n">
        <f aca="false">SUM(N15:N42)</f>
        <v>0</v>
      </c>
      <c r="O44" s="200" t="n">
        <f aca="false">SUM(O15:O42)</f>
        <v>0</v>
      </c>
      <c r="P44" s="200" t="n">
        <f aca="false">SUM(P15:P42)</f>
        <v>0</v>
      </c>
      <c r="Q44" s="200" t="n">
        <f aca="false">SUM(Q15:Q42)</f>
        <v>41.412</v>
      </c>
      <c r="R44" s="200" t="n">
        <f aca="false">SUM(R15:R42)</f>
        <v>67.58</v>
      </c>
      <c r="S44" s="200" t="n">
        <f aca="false">SUM(S15:S42)</f>
        <v>0</v>
      </c>
      <c r="T44" s="296" t="n">
        <f aca="false">SUM(T15:T42)</f>
        <v>-2.29199999999999</v>
      </c>
      <c r="U44" s="200" t="n">
        <f aca="false">SUM(U15:U42)</f>
        <v>1049</v>
      </c>
      <c r="V44" s="200" t="n">
        <f aca="false">SUM(V15:V42)</f>
        <v>0</v>
      </c>
      <c r="W44" s="200" t="n">
        <f aca="false">SUM(W15:W42)</f>
        <v>1049</v>
      </c>
      <c r="X44" s="200" t="n">
        <f aca="false">SUM(X15:X42)</f>
        <v>1049</v>
      </c>
      <c r="Y44" s="200"/>
      <c r="Z44" s="200"/>
      <c r="AA44" s="200"/>
      <c r="AB44" s="200"/>
      <c r="AC44" s="200"/>
      <c r="AD44" s="200"/>
      <c r="AE44" s="233"/>
      <c r="AF44" s="234"/>
      <c r="AG44" s="200" t="n">
        <f aca="false">SUM(AG15:AG42)</f>
        <v>842</v>
      </c>
      <c r="AH44" s="200"/>
      <c r="AI44" s="200" t="n">
        <f aca="false">SUM(AI15:AI42)</f>
        <v>0</v>
      </c>
      <c r="AJ44" s="200" t="n">
        <f aca="false">SUM(AJ15:AJ42)</f>
        <v>1997.7</v>
      </c>
      <c r="AK44" s="200" t="n">
        <f aca="false">SUM(AK15:AK42)</f>
        <v>41.3314343332493</v>
      </c>
      <c r="AL44" s="200" t="n">
        <f aca="false">SUM(AL15:AL42)</f>
        <v>2039.03143433325</v>
      </c>
      <c r="AM44" s="297"/>
      <c r="AN44" s="200" t="n">
        <f aca="false">SUM(AN15:AN42)</f>
        <v>0</v>
      </c>
      <c r="AO44" s="129"/>
      <c r="AP44" s="129"/>
      <c r="AQ44" s="129"/>
      <c r="AR44" s="279"/>
      <c r="AU44" s="207" t="n">
        <f aca="false">SUM(AU15:AU42)</f>
        <v>1.06</v>
      </c>
      <c r="AV44" s="200" t="n">
        <f aca="false">AVERAGE(AV15:AV42)</f>
        <v>38</v>
      </c>
      <c r="AW44" s="200" t="n">
        <f aca="false">AVERAGE(AW15:AW42)</f>
        <v>11.8214285714286</v>
      </c>
      <c r="AX44" s="298" t="s">
        <v>115</v>
      </c>
      <c r="AY44" s="299" t="n">
        <f aca="false">SUM(AY15:AY42)</f>
        <v>106.7</v>
      </c>
    </row>
    <row r="45" customFormat="false" ht="12.95" hidden="false" customHeight="true" outlineLevel="0" collapsed="false">
      <c r="A45" s="178" t="s">
        <v>101</v>
      </c>
      <c r="B45" s="205"/>
      <c r="C45" s="200"/>
      <c r="D45" s="200" t="n">
        <f aca="false">SUM(D15:D42)</f>
        <v>-1305</v>
      </c>
      <c r="E45" s="200"/>
      <c r="F45" s="208" t="n">
        <f aca="false">F44*$D$2</f>
        <v>-1305</v>
      </c>
      <c r="G45" s="200" t="n">
        <f aca="false">G44*$D$2</f>
        <v>1801.018</v>
      </c>
      <c r="H45" s="200" t="n">
        <f aca="false">H44*$D$2</f>
        <v>65.8522</v>
      </c>
      <c r="I45" s="200" t="n">
        <f aca="false">I44*$D$2</f>
        <v>1866.8702</v>
      </c>
      <c r="J45" s="200" t="n">
        <f aca="false">J44*$D$2</f>
        <v>872.54865</v>
      </c>
      <c r="K45" s="200" t="n">
        <f aca="false">K44*$D$2</f>
        <v>2739.41885</v>
      </c>
      <c r="L45" s="200" t="n">
        <f aca="false">L44*$D$2</f>
        <v>790.56775</v>
      </c>
      <c r="M45" s="300" t="n">
        <f aca="false">M44*$D$2</f>
        <v>211.63945</v>
      </c>
      <c r="N45" s="200" t="n">
        <f aca="false">N44*$D$2</f>
        <v>0</v>
      </c>
      <c r="O45" s="200" t="n">
        <f aca="false">O44*$D$2</f>
        <v>0</v>
      </c>
      <c r="P45" s="149"/>
      <c r="Q45" s="200" t="n">
        <f aca="false">Q44*$D$2</f>
        <v>82.140702</v>
      </c>
      <c r="R45" s="200" t="n">
        <f aca="false">R44*$D$2</f>
        <v>134.04493</v>
      </c>
      <c r="S45" s="200" t="n">
        <f aca="false">S44*$D$2</f>
        <v>0</v>
      </c>
      <c r="T45" s="301" t="n">
        <f aca="false">T44*$D$2</f>
        <v>-4.54618199999999</v>
      </c>
      <c r="U45" s="200" t="n">
        <f aca="false">U44*$D$2</f>
        <v>2080.6915</v>
      </c>
      <c r="V45" s="200" t="n">
        <f aca="false">V44*$D$2</f>
        <v>0</v>
      </c>
      <c r="W45" s="200" t="n">
        <f aca="false">W44*$D$2</f>
        <v>2080.6915</v>
      </c>
      <c r="X45" s="200" t="n">
        <f aca="false">X44*$D$2</f>
        <v>2080.6915</v>
      </c>
      <c r="Y45" s="200"/>
      <c r="Z45" s="200"/>
      <c r="AA45" s="200"/>
      <c r="AB45" s="200"/>
      <c r="AC45" s="200"/>
      <c r="AD45" s="200"/>
      <c r="AE45" s="233"/>
      <c r="AF45" s="234"/>
      <c r="AG45" s="200" t="n">
        <f aca="false">AG44*$D$2</f>
        <v>1670.107</v>
      </c>
      <c r="AH45" s="200"/>
      <c r="AI45" s="200" t="n">
        <f aca="false">AI44*$D$2</f>
        <v>0</v>
      </c>
      <c r="AJ45" s="200" t="n">
        <f aca="false">AJ44*$D$2</f>
        <v>3962.43795</v>
      </c>
      <c r="AK45" s="200" t="n">
        <f aca="false">AK44*$D$2</f>
        <v>81.9809</v>
      </c>
      <c r="AL45" s="200" t="n">
        <f aca="false">AL44*$D$2</f>
        <v>4044.41885</v>
      </c>
      <c r="AM45" s="302"/>
      <c r="AN45" s="200" t="n">
        <f aca="false">AN44*$D$2</f>
        <v>0</v>
      </c>
      <c r="AO45" s="129"/>
      <c r="AP45" s="129"/>
      <c r="AQ45" s="129"/>
      <c r="AR45" s="279"/>
      <c r="AU45" s="207"/>
      <c r="AV45" s="200" t="n">
        <f aca="false">MAX(AV15:AV42)</f>
        <v>45</v>
      </c>
      <c r="AW45" s="200" t="n">
        <f aca="false">MAX(AW15:AW42)</f>
        <v>28</v>
      </c>
      <c r="AX45" s="208" t="s">
        <v>102</v>
      </c>
      <c r="AY45" s="299" t="n">
        <f aca="false">AY44*$D$2</f>
        <v>211.63945</v>
      </c>
    </row>
    <row r="46" customFormat="false" ht="3" hidden="false" customHeight="true" outlineLevel="0" collapsed="false">
      <c r="A46" s="294"/>
      <c r="B46" s="237"/>
      <c r="C46" s="218"/>
      <c r="D46" s="218"/>
      <c r="E46" s="218"/>
      <c r="F46" s="242"/>
      <c r="G46" s="218"/>
      <c r="H46" s="228"/>
      <c r="I46" s="218"/>
      <c r="J46" s="218"/>
      <c r="K46" s="218"/>
      <c r="L46" s="218"/>
      <c r="M46" s="243"/>
      <c r="N46" s="218"/>
      <c r="O46" s="218"/>
      <c r="P46" s="223"/>
      <c r="Q46" s="218"/>
      <c r="R46" s="218"/>
      <c r="S46" s="228"/>
      <c r="T46" s="224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43"/>
      <c r="AF46" s="244"/>
      <c r="AG46" s="218"/>
      <c r="AH46" s="219"/>
      <c r="AI46" s="218"/>
      <c r="AJ46" s="218"/>
      <c r="AK46" s="218"/>
      <c r="AL46" s="218"/>
      <c r="AM46" s="245"/>
      <c r="AN46" s="228"/>
      <c r="AO46" s="218"/>
      <c r="AP46" s="218"/>
      <c r="AQ46" s="218"/>
      <c r="AR46" s="228"/>
      <c r="AS46" s="287"/>
      <c r="AT46" s="287"/>
      <c r="AU46" s="245"/>
      <c r="AV46" s="218"/>
      <c r="AW46" s="218"/>
      <c r="AX46" s="239"/>
      <c r="AY46" s="303"/>
    </row>
    <row r="47" customFormat="false" ht="12.95" hidden="false" customHeight="true" outlineLevel="0" collapsed="false">
      <c r="A47" s="178" t="s">
        <v>103</v>
      </c>
      <c r="B47" s="205"/>
      <c r="C47" s="200"/>
      <c r="D47" s="200"/>
      <c r="E47" s="200"/>
      <c r="F47" s="208"/>
      <c r="G47" s="200"/>
      <c r="H47" s="200"/>
      <c r="I47" s="200"/>
      <c r="J47" s="200"/>
      <c r="K47" s="200"/>
      <c r="L47" s="200"/>
      <c r="M47" s="300"/>
      <c r="N47" s="200"/>
      <c r="O47" s="200"/>
      <c r="P47" s="149"/>
      <c r="Q47" s="200"/>
      <c r="R47" s="200"/>
      <c r="S47" s="200"/>
      <c r="T47" s="202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33"/>
      <c r="AF47" s="234"/>
      <c r="AG47" s="200"/>
      <c r="AH47" s="200"/>
      <c r="AI47" s="200"/>
      <c r="AJ47" s="200"/>
      <c r="AK47" s="200"/>
      <c r="AL47" s="200"/>
      <c r="AM47" s="302"/>
      <c r="AN47" s="200"/>
      <c r="AO47" s="200"/>
      <c r="AP47" s="200"/>
      <c r="AQ47" s="200"/>
      <c r="AR47" s="304"/>
      <c r="AU47" s="205"/>
      <c r="AV47" s="200" t="n">
        <f aca="false">MIN(AV15:AV42)</f>
        <v>31</v>
      </c>
      <c r="AW47" s="200" t="n">
        <f aca="false">MIN(AW15:AW42)</f>
        <v>-6</v>
      </c>
      <c r="AX47" s="208" t="s">
        <v>104</v>
      </c>
      <c r="AY47" s="299"/>
    </row>
    <row r="48" customFormat="false" ht="12.95" hidden="false" customHeight="true" outlineLevel="0" collapsed="false">
      <c r="A48" s="178" t="s">
        <v>105</v>
      </c>
      <c r="B48" s="205"/>
      <c r="C48" s="200"/>
      <c r="D48" s="200"/>
      <c r="E48" s="200"/>
      <c r="F48" s="208"/>
      <c r="G48" s="200"/>
      <c r="H48" s="200"/>
      <c r="I48" s="200"/>
      <c r="J48" s="200"/>
      <c r="K48" s="200"/>
      <c r="L48" s="200"/>
      <c r="M48" s="300"/>
      <c r="N48" s="200"/>
      <c r="O48" s="200"/>
      <c r="P48" s="149"/>
      <c r="Q48" s="200"/>
      <c r="R48" s="200"/>
      <c r="S48" s="200"/>
      <c r="T48" s="202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33"/>
      <c r="AF48" s="234"/>
      <c r="AG48" s="200"/>
      <c r="AH48" s="200"/>
      <c r="AI48" s="200"/>
      <c r="AJ48" s="200"/>
      <c r="AK48" s="200"/>
      <c r="AL48" s="200"/>
      <c r="AM48" s="205"/>
      <c r="AN48" s="200"/>
      <c r="AO48" s="200"/>
      <c r="AP48" s="200"/>
      <c r="AQ48" s="200"/>
      <c r="AR48" s="304"/>
      <c r="AU48" s="205"/>
      <c r="AV48" s="200"/>
      <c r="AW48" s="200"/>
      <c r="AX48" s="280"/>
      <c r="AY48" s="299"/>
    </row>
    <row r="49" customFormat="false" ht="3" hidden="false" customHeight="true" outlineLevel="0" collapsed="false">
      <c r="A49" s="294"/>
      <c r="B49" s="227"/>
      <c r="C49" s="228"/>
      <c r="D49" s="228"/>
      <c r="E49" s="228"/>
      <c r="F49" s="239"/>
      <c r="G49" s="228"/>
      <c r="H49" s="228"/>
      <c r="I49" s="228"/>
      <c r="J49" s="228"/>
      <c r="K49" s="228"/>
      <c r="L49" s="228"/>
      <c r="M49" s="305"/>
      <c r="N49" s="228"/>
      <c r="O49" s="228"/>
      <c r="P49" s="223"/>
      <c r="Q49" s="228"/>
      <c r="R49" s="228"/>
      <c r="S49" s="228"/>
      <c r="T49" s="224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305"/>
      <c r="AF49" s="306"/>
      <c r="AG49" s="228"/>
      <c r="AH49" s="228"/>
      <c r="AI49" s="228"/>
      <c r="AJ49" s="228"/>
      <c r="AK49" s="228"/>
      <c r="AL49" s="228"/>
      <c r="AM49" s="227"/>
      <c r="AN49" s="228"/>
      <c r="AO49" s="228"/>
      <c r="AP49" s="228"/>
      <c r="AQ49" s="228"/>
      <c r="AR49" s="228"/>
      <c r="AS49" s="287"/>
      <c r="AT49" s="287"/>
      <c r="AU49" s="227"/>
      <c r="AV49" s="228"/>
      <c r="AW49" s="228"/>
      <c r="AX49" s="288"/>
      <c r="AY49" s="240"/>
    </row>
    <row r="50" customFormat="false" ht="12.95" hidden="false" customHeight="true" outlineLevel="0" collapsed="false">
      <c r="A50" s="178" t="s">
        <v>106</v>
      </c>
      <c r="B50" s="205"/>
      <c r="C50" s="200"/>
      <c r="D50" s="200"/>
      <c r="E50" s="200"/>
      <c r="F50" s="208" t="n">
        <f aca="false">F13+F44</f>
        <v>-3400.05041593143</v>
      </c>
      <c r="G50" s="200" t="n">
        <f aca="false">G13+G44</f>
        <v>3906</v>
      </c>
      <c r="H50" s="200" t="n">
        <f aca="false">H13+H44</f>
        <v>54.99</v>
      </c>
      <c r="I50" s="200" t="n">
        <f aca="false">I13+I44</f>
        <v>3960.99</v>
      </c>
      <c r="J50" s="200" t="n">
        <f aca="false">J13+J44</f>
        <v>1515.44667254853</v>
      </c>
      <c r="K50" s="200" t="n">
        <f aca="false">K13+K44</f>
        <v>5476.43667254853</v>
      </c>
      <c r="L50" s="200" t="n">
        <f aca="false">L13+L44</f>
        <v>899.659584068566</v>
      </c>
      <c r="M50" s="300" t="n">
        <f aca="false">M13+M44</f>
        <v>443.6</v>
      </c>
      <c r="N50" s="200" t="n">
        <f aca="false">N13+N44</f>
        <v>0</v>
      </c>
      <c r="O50" s="200" t="n">
        <f aca="false">O13+O44</f>
        <v>0</v>
      </c>
      <c r="P50" s="149"/>
      <c r="Q50" s="200" t="n">
        <f aca="false">Q13+Q44</f>
        <v>195.07194</v>
      </c>
      <c r="R50" s="200" t="n">
        <f aca="false">R13+R44</f>
        <v>282.19</v>
      </c>
      <c r="S50" s="200" t="n">
        <f aca="false">S13+S44</f>
        <v>0.43</v>
      </c>
      <c r="T50" s="301" t="n">
        <f aca="false">T13+T44</f>
        <v>-34.44542</v>
      </c>
      <c r="U50" s="200" t="n">
        <f aca="false">U13+U44</f>
        <v>4238.6</v>
      </c>
      <c r="V50" s="200" t="n">
        <f aca="false">V13+V44</f>
        <v>40.5</v>
      </c>
      <c r="W50" s="200" t="n">
        <f aca="false">W13+W44</f>
        <v>4278.68232</v>
      </c>
      <c r="X50" s="200" t="n">
        <f aca="false">X13+X44</f>
        <v>4238.18232</v>
      </c>
      <c r="Y50" s="200"/>
      <c r="Z50" s="200"/>
      <c r="AA50" s="200"/>
      <c r="AB50" s="200"/>
      <c r="AC50" s="200"/>
      <c r="AD50" s="200"/>
      <c r="AE50" s="233"/>
      <c r="AF50" s="234"/>
      <c r="AG50" s="200" t="n">
        <f aca="false">AG13+AG44</f>
        <v>3538</v>
      </c>
      <c r="AH50" s="200" t="n">
        <f aca="false">AH42</f>
        <v>1057</v>
      </c>
      <c r="AI50" s="200" t="n">
        <f aca="false">AI13+AI44</f>
        <v>0</v>
      </c>
      <c r="AJ50" s="200" t="n">
        <f aca="false">AJ13+AJ44</f>
        <v>8260.7</v>
      </c>
      <c r="AK50" s="200" t="n">
        <f aca="false">AK13+AK44</f>
        <v>615.78708847996</v>
      </c>
      <c r="AL50" s="200" t="n">
        <f aca="false">AL13+AL44</f>
        <v>8876.48708847996</v>
      </c>
      <c r="AM50" s="205"/>
      <c r="AN50" s="200" t="n">
        <f aca="false">AN13+AN44</f>
        <v>40.5</v>
      </c>
      <c r="AO50" s="200"/>
      <c r="AP50" s="200"/>
      <c r="AQ50" s="200"/>
      <c r="AR50" s="304"/>
      <c r="AU50" s="307" t="n">
        <f aca="false">AU13+AU44</f>
        <v>5.31</v>
      </c>
      <c r="AV50" s="200"/>
      <c r="AW50" s="200"/>
      <c r="AX50" s="280"/>
      <c r="AY50" s="299" t="n">
        <f aca="false">AY13+AY44</f>
        <v>444.01768</v>
      </c>
    </row>
    <row r="51" customFormat="false" ht="12.95" hidden="false" customHeight="true" outlineLevel="0" collapsed="false">
      <c r="A51" s="178" t="s">
        <v>107</v>
      </c>
      <c r="B51" s="205"/>
      <c r="C51" s="200"/>
      <c r="D51" s="200" t="n">
        <f aca="false">D13+D45</f>
        <v>-6744</v>
      </c>
      <c r="E51" s="102" t="n">
        <f aca="false">E42</f>
        <v>100599</v>
      </c>
      <c r="F51" s="208" t="n">
        <f aca="false">F50*$D$2</f>
        <v>-6744</v>
      </c>
      <c r="G51" s="200" t="n">
        <f aca="false">G50*$D$2</f>
        <v>7747.551</v>
      </c>
      <c r="H51" s="200" t="n">
        <f aca="false">H50*$D$2</f>
        <v>109.072665</v>
      </c>
      <c r="I51" s="200" t="n">
        <f aca="false">I50*$D$2</f>
        <v>7856.623665</v>
      </c>
      <c r="J51" s="200" t="n">
        <f aca="false">J50*$D$2</f>
        <v>3005.888475</v>
      </c>
      <c r="K51" s="200" t="n">
        <f aca="false">K50*$D$2</f>
        <v>10862.51214</v>
      </c>
      <c r="L51" s="200" t="n">
        <f aca="false">L50*$D$2</f>
        <v>1784.474785</v>
      </c>
      <c r="M51" s="300" t="n">
        <f aca="false">M50*$D$2</f>
        <v>879.8806</v>
      </c>
      <c r="N51" s="200" t="n">
        <f aca="false">N50*$D$2</f>
        <v>0</v>
      </c>
      <c r="O51" s="200" t="n">
        <f aca="false">O50*$D$2</f>
        <v>0</v>
      </c>
      <c r="P51" s="149"/>
      <c r="Q51" s="200" t="n">
        <f aca="false">Q50*$D$2</f>
        <v>386.92519299</v>
      </c>
      <c r="R51" s="200" t="n">
        <f aca="false">R50*$D$2</f>
        <v>559.723865</v>
      </c>
      <c r="S51" s="200" t="n">
        <f aca="false">S50*$D$2</f>
        <v>0.852905</v>
      </c>
      <c r="T51" s="301" t="n">
        <f aca="false">T50*$D$2</f>
        <v>-68.32249057</v>
      </c>
      <c r="U51" s="200" t="n">
        <f aca="false">U50*$D$2</f>
        <v>8407.2631</v>
      </c>
      <c r="V51" s="200" t="n">
        <f aca="false">V50*$D$2</f>
        <v>80.33175</v>
      </c>
      <c r="W51" s="200" t="n">
        <f aca="false">W50*$D$2</f>
        <v>8486.76638172</v>
      </c>
      <c r="X51" s="200" t="n">
        <f aca="false">X50*$D$2</f>
        <v>8406.43463172</v>
      </c>
      <c r="Y51" s="200"/>
      <c r="Z51" s="200"/>
      <c r="AA51" s="200"/>
      <c r="AB51" s="200"/>
      <c r="AC51" s="200"/>
      <c r="AD51" s="200"/>
      <c r="AE51" s="233"/>
      <c r="AF51" s="234"/>
      <c r="AG51" s="200" t="n">
        <f aca="false">AG50*$D$2</f>
        <v>7017.623</v>
      </c>
      <c r="AH51" s="200" t="n">
        <f aca="false">AH50*$D$2</f>
        <v>2096.5595</v>
      </c>
      <c r="AI51" s="200" t="n">
        <f aca="false">AI50*$D$2</f>
        <v>0</v>
      </c>
      <c r="AJ51" s="200" t="n">
        <f aca="false">AJ50*$D$2</f>
        <v>16385.09845</v>
      </c>
      <c r="AK51" s="200" t="n">
        <f aca="false">AK50*$D$2</f>
        <v>1221.41369</v>
      </c>
      <c r="AL51" s="200" t="n">
        <f aca="false">AL50*$D$2</f>
        <v>17606.51214</v>
      </c>
      <c r="AM51" s="205" t="n">
        <f aca="false">AM42</f>
        <v>8407.2631</v>
      </c>
      <c r="AN51" s="200" t="n">
        <f aca="false">AN50*$D$2</f>
        <v>80.33175</v>
      </c>
      <c r="AO51" s="200"/>
      <c r="AP51" s="200"/>
      <c r="AQ51" s="200"/>
      <c r="AR51" s="304"/>
      <c r="AU51" s="205"/>
      <c r="AV51" s="200"/>
      <c r="AW51" s="200"/>
      <c r="AX51" s="280"/>
      <c r="AY51" s="299" t="n">
        <f aca="false">AY50*$D$2</f>
        <v>880.70906828</v>
      </c>
    </row>
    <row r="52" customFormat="false" ht="3" hidden="false" customHeight="true" outlineLevel="0" collapsed="false">
      <c r="A52" s="216"/>
      <c r="B52" s="237"/>
      <c r="C52" s="218"/>
      <c r="D52" s="219"/>
      <c r="E52" s="218"/>
      <c r="F52" s="220"/>
      <c r="G52" s="219"/>
      <c r="H52" s="285"/>
      <c r="I52" s="219"/>
      <c r="J52" s="219"/>
      <c r="K52" s="219"/>
      <c r="L52" s="219"/>
      <c r="M52" s="222"/>
      <c r="N52" s="219"/>
      <c r="O52" s="219"/>
      <c r="P52" s="223"/>
      <c r="Q52" s="219"/>
      <c r="R52" s="219"/>
      <c r="S52" s="223"/>
      <c r="T52" s="224"/>
      <c r="U52" s="219"/>
      <c r="V52" s="219"/>
      <c r="W52" s="219"/>
      <c r="X52" s="219"/>
      <c r="Y52" s="219"/>
      <c r="Z52" s="219"/>
      <c r="AA52" s="218"/>
      <c r="AB52" s="218"/>
      <c r="AC52" s="218"/>
      <c r="AD52" s="219"/>
      <c r="AE52" s="222"/>
      <c r="AF52" s="226"/>
      <c r="AG52" s="219"/>
      <c r="AH52" s="218"/>
      <c r="AI52" s="286"/>
      <c r="AJ52" s="219"/>
      <c r="AK52" s="219"/>
      <c r="AL52" s="219"/>
      <c r="AM52" s="227"/>
      <c r="AN52" s="228"/>
      <c r="AO52" s="219"/>
      <c r="AP52" s="219"/>
      <c r="AQ52" s="219"/>
      <c r="AR52" s="228"/>
      <c r="AS52" s="287"/>
      <c r="AT52" s="287"/>
      <c r="AU52" s="237"/>
      <c r="AV52" s="219"/>
      <c r="AW52" s="219"/>
      <c r="AX52" s="288"/>
      <c r="AY52" s="289"/>
    </row>
    <row r="53" customFormat="false" ht="35.25" hidden="false" customHeight="true" outlineLevel="0" collapsed="false">
      <c r="A53" s="175"/>
      <c r="B53" s="255"/>
      <c r="D53" s="175"/>
      <c r="F53" s="175"/>
      <c r="G53" s="175"/>
      <c r="I53" s="175"/>
      <c r="J53" s="175"/>
      <c r="K53" s="175"/>
      <c r="L53" s="175"/>
      <c r="M53" s="175"/>
      <c r="N53" s="175"/>
      <c r="O53" s="175"/>
      <c r="Q53" s="175"/>
      <c r="R53" s="175"/>
      <c r="U53" s="175"/>
      <c r="V53" s="175"/>
      <c r="W53" s="175"/>
      <c r="X53" s="175"/>
      <c r="Y53" s="175"/>
      <c r="Z53" s="175"/>
      <c r="AA53" s="167"/>
      <c r="AB53" s="167"/>
      <c r="AC53" s="167"/>
      <c r="AD53" s="175"/>
      <c r="AE53" s="175"/>
      <c r="AF53" s="175"/>
      <c r="AG53" s="175"/>
      <c r="AH53" s="167"/>
      <c r="AI53" s="210"/>
      <c r="AJ53" s="175"/>
      <c r="AK53" s="175"/>
      <c r="AL53" s="175"/>
      <c r="AO53" s="178"/>
      <c r="AP53" s="308"/>
      <c r="AQ53" s="308"/>
    </row>
    <row r="54" customFormat="false" ht="11.1" hidden="false" customHeight="true" outlineLevel="0" collapsed="false">
      <c r="A54" s="175"/>
      <c r="B54" s="257"/>
      <c r="F54" s="175"/>
      <c r="G54" s="175"/>
      <c r="H54" s="309"/>
      <c r="I54" s="167"/>
      <c r="J54" s="175"/>
      <c r="K54" s="164"/>
      <c r="L54" s="175"/>
      <c r="M54" s="175"/>
      <c r="N54" s="175"/>
      <c r="O54" s="175"/>
      <c r="Q54" s="175"/>
      <c r="R54" s="175"/>
      <c r="U54" s="175"/>
      <c r="V54" s="175"/>
      <c r="W54" s="175"/>
      <c r="X54" s="175"/>
      <c r="Y54" s="175"/>
      <c r="Z54" s="175"/>
      <c r="AA54" s="167"/>
      <c r="AB54" s="167"/>
      <c r="AC54" s="167"/>
      <c r="AD54" s="175"/>
      <c r="AE54" s="175"/>
      <c r="AF54" s="175"/>
      <c r="AG54" s="175"/>
      <c r="AH54" s="167"/>
      <c r="AI54" s="210"/>
      <c r="AJ54" s="175"/>
      <c r="AK54" s="175"/>
      <c r="AL54" s="175"/>
      <c r="AM54" s="173"/>
      <c r="AN54" s="173"/>
      <c r="AO54" s="178"/>
      <c r="AP54" s="308"/>
      <c r="AQ54" s="308"/>
      <c r="AW54" s="172"/>
    </row>
    <row r="55" customFormat="false" ht="11.1" hidden="false" customHeight="true" outlineLevel="0" collapsed="false">
      <c r="D55" s="167"/>
      <c r="I55" s="167"/>
      <c r="W55" s="166"/>
      <c r="X55" s="166"/>
      <c r="Y55" s="166"/>
      <c r="Z55" s="166"/>
      <c r="AA55" s="167"/>
      <c r="AB55" s="167"/>
      <c r="AC55" s="167"/>
      <c r="AG55" s="166"/>
      <c r="AH55" s="167"/>
      <c r="AI55" s="210"/>
      <c r="AL55" s="166"/>
      <c r="AM55" s="173"/>
      <c r="AN55" s="173"/>
      <c r="AO55" s="170"/>
      <c r="AP55" s="195"/>
      <c r="AQ55" s="195"/>
      <c r="AW55" s="172"/>
    </row>
    <row r="56" customFormat="false" ht="11.1" hidden="false" customHeight="true" outlineLevel="0" collapsed="false">
      <c r="B56" s="8"/>
      <c r="D56" s="167"/>
      <c r="I56" s="167"/>
      <c r="W56" s="166"/>
      <c r="X56" s="166"/>
      <c r="Y56" s="166"/>
      <c r="Z56" s="166"/>
      <c r="AA56" s="167"/>
      <c r="AB56" s="167"/>
      <c r="AC56" s="167"/>
      <c r="AG56" s="166"/>
      <c r="AH56" s="167"/>
      <c r="AI56" s="210"/>
      <c r="AL56" s="166"/>
      <c r="AM56" s="173"/>
      <c r="AN56" s="173"/>
      <c r="AO56" s="170"/>
      <c r="AP56" s="195"/>
      <c r="AQ56" s="195"/>
      <c r="AW56" s="172"/>
    </row>
    <row r="57" customFormat="false" ht="11.1" hidden="false" customHeight="true" outlineLevel="0" collapsed="false">
      <c r="G57" s="258"/>
      <c r="W57" s="166"/>
      <c r="X57" s="166"/>
      <c r="Y57" s="166"/>
      <c r="Z57" s="166"/>
      <c r="AA57" s="167"/>
      <c r="AB57" s="167"/>
      <c r="AC57" s="167"/>
      <c r="AG57" s="166"/>
      <c r="AH57" s="167"/>
      <c r="AI57" s="210"/>
      <c r="AL57" s="166"/>
      <c r="AM57" s="173"/>
      <c r="AN57" s="173"/>
      <c r="AO57" s="170"/>
      <c r="AP57" s="195"/>
      <c r="AQ57" s="195"/>
      <c r="AW57" s="172"/>
    </row>
    <row r="58" customFormat="false" ht="11.1" hidden="false" customHeight="true" outlineLevel="0" collapsed="false">
      <c r="W58" s="166"/>
      <c r="X58" s="166"/>
      <c r="Y58" s="166"/>
      <c r="Z58" s="166"/>
      <c r="AA58" s="167"/>
      <c r="AB58" s="167"/>
      <c r="AC58" s="167"/>
      <c r="AG58" s="166"/>
      <c r="AH58" s="167"/>
      <c r="AI58" s="210"/>
      <c r="AL58" s="166"/>
      <c r="AM58" s="173"/>
      <c r="AN58" s="173"/>
      <c r="AW58" s="172"/>
    </row>
  </sheetData>
  <mergeCells count="2">
    <mergeCell ref="K2:AC2"/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2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G15" activePane="bottomRight" state="frozen"/>
      <selection pane="topLeft" activeCell="A1" activeCellId="0" sqref="A1"/>
      <selection pane="topRight" activeCell="G1" activeCellId="0" sqref="G1"/>
      <selection pane="bottomLeft" activeCell="A15" activeCellId="0" sqref="A15"/>
      <selection pane="bottomRight" activeCell="O44" activeCellId="0" sqref="O44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32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7.32"/>
    <col collapsed="false" customWidth="true" hidden="false" outlineLevel="0" max="7" min="7" style="166" width="6.82"/>
    <col collapsed="false" customWidth="true" hidden="false" outlineLevel="0" max="8" min="8" style="168" width="5.66"/>
    <col collapsed="false" customWidth="true" hidden="false" outlineLevel="0" max="11" min="9" style="166" width="6.32"/>
    <col collapsed="false" customWidth="true" hidden="false" outlineLevel="0" max="12" min="12" style="166" width="7.16"/>
    <col collapsed="false" customWidth="true" hidden="false" outlineLevel="0" max="13" min="13" style="169" width="5.49"/>
    <col collapsed="false" customWidth="true" hidden="false" outlineLevel="0" max="14" min="14" style="169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8" min="17" style="169" width="4.32"/>
    <col collapsed="false" customWidth="true" hidden="false" outlineLevel="0" max="19" min="19" style="166" width="4.32"/>
    <col collapsed="false" customWidth="true" hidden="false" outlineLevel="0" max="20" min="20" style="310" width="5.49"/>
    <col collapsed="false" customWidth="true" hidden="false" outlineLevel="0" max="22" min="21" style="166" width="5.49"/>
    <col collapsed="false" customWidth="true" hidden="false" outlineLevel="0" max="26" min="23" style="167" width="6.32"/>
    <col collapsed="false" customWidth="true" hidden="false" outlineLevel="0" max="27" min="27" style="166" width="5.49"/>
    <col collapsed="false" customWidth="true" hidden="false" outlineLevel="0" max="28" min="28" style="166" width="5.66"/>
    <col collapsed="false" customWidth="true" hidden="false" outlineLevel="0" max="32" min="29" style="166" width="5.49"/>
    <col collapsed="false" customWidth="true" hidden="false" outlineLevel="0" max="33" min="33" style="167" width="6.49"/>
    <col collapsed="false" customWidth="true" hidden="false" outlineLevel="0" max="34" min="34" style="166" width="5.49"/>
    <col collapsed="false" customWidth="true" hidden="false" outlineLevel="0" max="35" min="35" style="311" width="6.32"/>
    <col collapsed="false" customWidth="true" hidden="false" outlineLevel="0" max="36" min="36" style="166" width="6.32"/>
    <col collapsed="false" customWidth="true" hidden="false" outlineLevel="0" max="37" min="37" style="166" width="6.99"/>
    <col collapsed="false" customWidth="true" hidden="false" outlineLevel="0" max="38" min="38" style="8" width="6.99"/>
    <col collapsed="false" customWidth="true" hidden="false" outlineLevel="0" max="39" min="39" style="172" width="5.49"/>
    <col collapsed="false" customWidth="true" hidden="false" outlineLevel="0" max="40" min="40" style="169" width="5.49"/>
    <col collapsed="false" customWidth="true" hidden="false" outlineLevel="0" max="44" min="41" style="166" width="6.32"/>
    <col collapsed="false" customWidth="true" hidden="false" outlineLevel="0" max="45" min="45" style="268" width="5.82"/>
    <col collapsed="false" customWidth="true" hidden="false" outlineLevel="0" max="46" min="46" style="170" width="4.99"/>
    <col collapsed="false" customWidth="true" hidden="false" outlineLevel="0" max="47" min="47" style="168" width="5.32"/>
    <col collapsed="false" customWidth="true" hidden="false" outlineLevel="0" max="48" min="48" style="172" width="3.82"/>
    <col collapsed="false" customWidth="true" hidden="false" outlineLevel="0" max="49" min="49" style="173" width="3.82"/>
    <col collapsed="false" customWidth="true" hidden="false" outlineLevel="0" max="50" min="50" style="174" width="4.32"/>
    <col collapsed="false" customWidth="true" hidden="false" outlineLevel="0" max="51" min="51" style="174" width="6.49"/>
    <col collapsed="false" customWidth="false" hidden="false" outlineLevel="0" max="257" min="52" style="174" width="9.32"/>
  </cols>
  <sheetData>
    <row r="1" customFormat="false" ht="14.1" hidden="false" customHeight="true" outlineLevel="0" collapsed="false">
      <c r="A1" s="175"/>
      <c r="B1" s="175"/>
      <c r="D1" s="175"/>
      <c r="F1" s="175"/>
      <c r="G1" s="175"/>
      <c r="I1" s="175"/>
      <c r="J1" s="175"/>
      <c r="K1" s="177" t="s">
        <v>0</v>
      </c>
      <c r="L1" s="175"/>
      <c r="M1" s="175"/>
      <c r="N1" s="175"/>
      <c r="O1" s="175"/>
      <c r="Q1" s="175"/>
      <c r="R1" s="175"/>
      <c r="S1" s="175"/>
      <c r="U1" s="175"/>
      <c r="V1" s="175"/>
      <c r="AA1" s="175"/>
      <c r="AB1" s="175"/>
      <c r="AC1" s="175"/>
      <c r="AD1" s="175"/>
      <c r="AE1" s="175"/>
      <c r="AF1" s="175"/>
      <c r="AH1" s="175"/>
      <c r="AJ1" s="175"/>
      <c r="AK1" s="175"/>
      <c r="AM1" s="270"/>
      <c r="AN1" s="311"/>
      <c r="AO1" s="178"/>
    </row>
    <row r="2" customFormat="false" ht="14.1" hidden="false" customHeight="true" outlineLevel="0" collapsed="false">
      <c r="A2" s="178" t="s">
        <v>1</v>
      </c>
      <c r="B2" s="175"/>
      <c r="D2" s="179" t="n">
        <v>1.9835</v>
      </c>
      <c r="F2" s="175"/>
      <c r="G2" s="175"/>
      <c r="I2" s="175"/>
      <c r="J2" s="175"/>
      <c r="K2" s="180" t="s">
        <v>116</v>
      </c>
      <c r="L2" s="180"/>
      <c r="M2" s="180"/>
      <c r="N2" s="180"/>
      <c r="O2" s="180"/>
      <c r="P2" s="180"/>
      <c r="Q2" s="180"/>
      <c r="R2" s="180"/>
      <c r="S2" s="180"/>
      <c r="U2" s="312"/>
      <c r="V2" s="312"/>
      <c r="W2" s="80"/>
      <c r="X2" s="80"/>
      <c r="Y2" s="80"/>
      <c r="Z2" s="80"/>
      <c r="AA2" s="312"/>
      <c r="AB2" s="312"/>
      <c r="AC2" s="312"/>
      <c r="AD2" s="175"/>
      <c r="AE2" s="175"/>
      <c r="AF2" s="175"/>
      <c r="AH2" s="175"/>
      <c r="AJ2" s="175"/>
      <c r="AK2" s="175"/>
      <c r="AM2" s="270"/>
      <c r="AN2" s="311"/>
      <c r="AO2" s="178"/>
    </row>
    <row r="3" customFormat="false" ht="14.1" hidden="false" customHeight="true" outlineLevel="0" collapsed="false">
      <c r="A3" s="181"/>
      <c r="B3" s="181"/>
      <c r="C3" s="182"/>
      <c r="D3" s="183"/>
      <c r="E3" s="182"/>
      <c r="F3" s="181"/>
      <c r="G3" s="181"/>
      <c r="H3" s="190"/>
      <c r="I3" s="181"/>
      <c r="J3" s="181"/>
      <c r="K3" s="181"/>
      <c r="L3" s="181"/>
      <c r="M3" s="181"/>
      <c r="N3" s="181"/>
      <c r="O3" s="181"/>
      <c r="P3" s="185"/>
      <c r="Q3" s="181"/>
      <c r="R3" s="181"/>
      <c r="S3" s="181"/>
      <c r="T3" s="313"/>
      <c r="U3" s="181"/>
      <c r="V3" s="181"/>
      <c r="W3" s="182"/>
      <c r="X3" s="182"/>
      <c r="Y3" s="182"/>
      <c r="Z3" s="182"/>
      <c r="AA3" s="181"/>
      <c r="AB3" s="181"/>
      <c r="AC3" s="181"/>
      <c r="AD3" s="181"/>
      <c r="AE3" s="181"/>
      <c r="AF3" s="181"/>
      <c r="AG3" s="182"/>
      <c r="AH3" s="181"/>
      <c r="AI3" s="314"/>
      <c r="AJ3" s="181"/>
      <c r="AK3" s="181"/>
      <c r="AL3" s="185"/>
      <c r="AM3" s="273"/>
      <c r="AN3" s="314"/>
      <c r="AO3" s="187"/>
      <c r="AP3" s="188"/>
      <c r="AU3" s="190"/>
      <c r="AV3" s="191"/>
      <c r="AW3" s="192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5"/>
      <c r="J4" s="35"/>
      <c r="K4" s="35"/>
      <c r="L4" s="35"/>
      <c r="M4" s="35"/>
      <c r="N4" s="35"/>
      <c r="O4" s="35"/>
      <c r="P4" s="36"/>
      <c r="Q4" s="35"/>
      <c r="R4" s="35"/>
      <c r="S4" s="35"/>
      <c r="T4" s="36"/>
      <c r="U4" s="35"/>
      <c r="V4" s="35"/>
      <c r="W4" s="37" t="s">
        <v>4</v>
      </c>
      <c r="X4" s="37"/>
      <c r="Y4" s="37"/>
      <c r="Z4" s="37"/>
      <c r="AA4" s="38"/>
      <c r="AB4" s="38"/>
      <c r="AC4" s="39"/>
      <c r="AD4" s="35"/>
      <c r="AE4" s="35"/>
      <c r="AF4" s="35"/>
      <c r="AG4" s="33"/>
      <c r="AH4" s="35"/>
      <c r="AI4" s="40"/>
      <c r="AJ4" s="35"/>
      <c r="AK4" s="35"/>
      <c r="AL4" s="36"/>
      <c r="AM4" s="41"/>
      <c r="AN4" s="42"/>
      <c r="AO4" s="43" t="s">
        <v>5</v>
      </c>
      <c r="AP4" s="44"/>
      <c r="AQ4" s="45"/>
      <c r="AR4" s="46"/>
      <c r="AS4" s="47"/>
      <c r="AT4" s="47"/>
      <c r="AU4" s="49"/>
      <c r="AV4" s="50" t="s">
        <v>6</v>
      </c>
      <c r="AW4" s="51"/>
      <c r="AX4" s="275"/>
      <c r="AY4" s="315"/>
    </row>
    <row r="5" customFormat="false" ht="12.95" hidden="false" customHeight="true" outlineLevel="0" collapsed="false">
      <c r="A5" s="53" t="s">
        <v>7</v>
      </c>
      <c r="B5" s="54" t="s">
        <v>8</v>
      </c>
      <c r="C5" s="55" t="s">
        <v>8</v>
      </c>
      <c r="D5" s="56" t="s">
        <v>9</v>
      </c>
      <c r="E5" s="55" t="s">
        <v>10</v>
      </c>
      <c r="F5" s="57" t="s">
        <v>11</v>
      </c>
      <c r="G5" s="53" t="s">
        <v>12</v>
      </c>
      <c r="H5" s="53" t="s">
        <v>13</v>
      </c>
      <c r="I5" s="53" t="s">
        <v>14</v>
      </c>
      <c r="J5" s="53" t="s">
        <v>15</v>
      </c>
      <c r="K5" s="53" t="s">
        <v>16</v>
      </c>
      <c r="L5" s="53" t="s">
        <v>15</v>
      </c>
      <c r="M5" s="58" t="s">
        <v>17</v>
      </c>
      <c r="N5" s="58"/>
      <c r="O5" s="58"/>
      <c r="P5" s="58"/>
      <c r="Q5" s="58"/>
      <c r="R5" s="58"/>
      <c r="S5" s="58"/>
      <c r="T5" s="58"/>
      <c r="U5" s="53" t="s">
        <v>18</v>
      </c>
      <c r="V5" s="53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59" t="s">
        <v>21</v>
      </c>
      <c r="AC5" s="60" t="s">
        <v>20</v>
      </c>
      <c r="AD5" s="53" t="s">
        <v>22</v>
      </c>
      <c r="AE5" s="61" t="s">
        <v>23</v>
      </c>
      <c r="AF5" s="62"/>
      <c r="AG5" s="53" t="s">
        <v>24</v>
      </c>
      <c r="AH5" s="63" t="s">
        <v>25</v>
      </c>
      <c r="AI5" s="63" t="s">
        <v>26</v>
      </c>
      <c r="AJ5" s="53" t="s">
        <v>14</v>
      </c>
      <c r="AK5" s="53" t="s">
        <v>15</v>
      </c>
      <c r="AL5" s="56" t="s">
        <v>16</v>
      </c>
      <c r="AM5" s="64" t="s">
        <v>27</v>
      </c>
      <c r="AN5" s="60" t="s">
        <v>20</v>
      </c>
      <c r="AO5" s="59" t="s">
        <v>28</v>
      </c>
      <c r="AP5" s="65" t="s">
        <v>28</v>
      </c>
      <c r="AQ5" s="60" t="s">
        <v>29</v>
      </c>
      <c r="AR5" s="66" t="s">
        <v>30</v>
      </c>
      <c r="AS5" s="66" t="s">
        <v>31</v>
      </c>
      <c r="AT5" s="195" t="s">
        <v>32</v>
      </c>
      <c r="AU5" s="68" t="s">
        <v>33</v>
      </c>
      <c r="AV5" s="69" t="s">
        <v>34</v>
      </c>
      <c r="AW5" s="69" t="s">
        <v>35</v>
      </c>
      <c r="AX5" s="276"/>
      <c r="AY5" s="277" t="s">
        <v>16</v>
      </c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1" t="s">
        <v>117</v>
      </c>
      <c r="B6" s="54" t="s">
        <v>37</v>
      </c>
      <c r="C6" s="55"/>
      <c r="D6" s="56" t="s">
        <v>38</v>
      </c>
      <c r="E6" s="55" t="s">
        <v>39</v>
      </c>
      <c r="F6" s="57" t="s">
        <v>40</v>
      </c>
      <c r="G6" s="53" t="s">
        <v>41</v>
      </c>
      <c r="H6" s="53" t="s">
        <v>42</v>
      </c>
      <c r="I6" s="53" t="s">
        <v>43</v>
      </c>
      <c r="J6" s="53" t="s">
        <v>43</v>
      </c>
      <c r="K6" s="53" t="s">
        <v>43</v>
      </c>
      <c r="L6" s="53" t="s">
        <v>44</v>
      </c>
      <c r="M6" s="72" t="s">
        <v>45</v>
      </c>
      <c r="N6" s="56" t="s">
        <v>46</v>
      </c>
      <c r="O6" s="56" t="s">
        <v>47</v>
      </c>
      <c r="P6" s="73" t="s">
        <v>48</v>
      </c>
      <c r="Q6" s="56" t="s">
        <v>49</v>
      </c>
      <c r="R6" s="56" t="s">
        <v>50</v>
      </c>
      <c r="S6" s="56" t="s">
        <v>51</v>
      </c>
      <c r="T6" s="74" t="s">
        <v>52</v>
      </c>
      <c r="U6" s="53" t="s">
        <v>53</v>
      </c>
      <c r="V6" s="53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59" t="s">
        <v>57</v>
      </c>
      <c r="AC6" s="60" t="s">
        <v>58</v>
      </c>
      <c r="AD6" s="53" t="s">
        <v>59</v>
      </c>
      <c r="AE6" s="72" t="s">
        <v>60</v>
      </c>
      <c r="AF6" s="75" t="s">
        <v>61</v>
      </c>
      <c r="AG6" s="53" t="s">
        <v>62</v>
      </c>
      <c r="AH6" s="63" t="s">
        <v>63</v>
      </c>
      <c r="AI6" s="63"/>
      <c r="AJ6" s="53" t="s">
        <v>64</v>
      </c>
      <c r="AK6" s="53" t="s">
        <v>64</v>
      </c>
      <c r="AL6" s="56" t="s">
        <v>64</v>
      </c>
      <c r="AM6" s="64" t="s">
        <v>65</v>
      </c>
      <c r="AN6" s="60" t="s">
        <v>66</v>
      </c>
      <c r="AO6" s="59" t="s">
        <v>67</v>
      </c>
      <c r="AP6" s="65" t="s">
        <v>67</v>
      </c>
      <c r="AQ6" s="60" t="s">
        <v>68</v>
      </c>
      <c r="AR6" s="66" t="s">
        <v>69</v>
      </c>
      <c r="AS6" s="66" t="s">
        <v>70</v>
      </c>
      <c r="AT6" s="195" t="s">
        <v>71</v>
      </c>
      <c r="AU6" s="76"/>
      <c r="AV6" s="69" t="s">
        <v>72</v>
      </c>
      <c r="AW6" s="69" t="s">
        <v>72</v>
      </c>
      <c r="AX6" s="276"/>
      <c r="AY6" s="277" t="s">
        <v>73</v>
      </c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3"/>
      <c r="B7" s="54"/>
      <c r="C7" s="55"/>
      <c r="D7" s="56"/>
      <c r="E7" s="55"/>
      <c r="F7" s="57"/>
      <c r="G7" s="53"/>
      <c r="H7" s="53"/>
      <c r="I7" s="53"/>
      <c r="J7" s="53"/>
      <c r="K7" s="53"/>
      <c r="L7" s="53"/>
      <c r="M7" s="72"/>
      <c r="N7" s="56" t="s">
        <v>74</v>
      </c>
      <c r="O7" s="56" t="s">
        <v>75</v>
      </c>
      <c r="P7" s="73"/>
      <c r="Q7" s="56"/>
      <c r="R7" s="56"/>
      <c r="S7" s="56" t="s">
        <v>47</v>
      </c>
      <c r="T7" s="74" t="s">
        <v>26</v>
      </c>
      <c r="U7" s="53"/>
      <c r="V7" s="53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59"/>
      <c r="AC7" s="60"/>
      <c r="AD7" s="75"/>
      <c r="AE7" s="77" t="n">
        <v>1.7</v>
      </c>
      <c r="AF7" s="77" t="n">
        <v>1.3</v>
      </c>
      <c r="AG7" s="72"/>
      <c r="AH7" s="78" t="n">
        <v>31798</v>
      </c>
      <c r="AI7" s="63"/>
      <c r="AJ7" s="53"/>
      <c r="AK7" s="53"/>
      <c r="AL7" s="56"/>
      <c r="AM7" s="64"/>
      <c r="AN7" s="60"/>
      <c r="AO7" s="59" t="s">
        <v>81</v>
      </c>
      <c r="AP7" s="65" t="s">
        <v>82</v>
      </c>
      <c r="AQ7" s="60" t="s">
        <v>83</v>
      </c>
      <c r="AR7" s="66" t="s">
        <v>84</v>
      </c>
      <c r="AS7" s="66" t="s">
        <v>85</v>
      </c>
      <c r="AT7" s="195" t="s">
        <v>86</v>
      </c>
      <c r="AU7" s="76"/>
      <c r="AV7" s="69"/>
      <c r="AW7" s="69"/>
      <c r="AX7" s="276"/>
      <c r="AY7" s="277" t="s">
        <v>87</v>
      </c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3"/>
      <c r="B8" s="54"/>
      <c r="C8" s="55"/>
      <c r="D8" s="56"/>
      <c r="E8" s="55"/>
      <c r="F8" s="57"/>
      <c r="G8" s="53"/>
      <c r="H8" s="53"/>
      <c r="I8" s="53"/>
      <c r="J8" s="53"/>
      <c r="K8" s="53"/>
      <c r="L8" s="53"/>
      <c r="M8" s="56"/>
      <c r="N8" s="56"/>
      <c r="O8" s="56"/>
      <c r="P8" s="73"/>
      <c r="Q8" s="56"/>
      <c r="R8" s="56"/>
      <c r="S8" s="56"/>
      <c r="T8" s="74"/>
      <c r="U8" s="53"/>
      <c r="V8" s="53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59"/>
      <c r="AC8" s="60"/>
      <c r="AD8" s="75"/>
      <c r="AE8" s="77"/>
      <c r="AF8" s="77"/>
      <c r="AG8" s="72"/>
      <c r="AH8" s="78"/>
      <c r="AI8" s="63"/>
      <c r="AJ8" s="53"/>
      <c r="AK8" s="53"/>
      <c r="AL8" s="56"/>
      <c r="AM8" s="64"/>
      <c r="AN8" s="60"/>
      <c r="AO8" s="59"/>
      <c r="AP8" s="65"/>
      <c r="AQ8" s="60"/>
      <c r="AR8" s="66"/>
      <c r="AS8" s="66"/>
      <c r="AT8" s="195"/>
      <c r="AU8" s="76"/>
      <c r="AV8" s="69"/>
      <c r="AW8" s="69"/>
      <c r="AX8" s="276"/>
      <c r="AY8" s="277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3"/>
      <c r="B9" s="54"/>
      <c r="C9" s="55"/>
      <c r="D9" s="56"/>
      <c r="E9" s="55"/>
      <c r="F9" s="57"/>
      <c r="G9" s="53"/>
      <c r="H9" s="53"/>
      <c r="I9" s="53"/>
      <c r="J9" s="53"/>
      <c r="K9" s="53"/>
      <c r="L9" s="53"/>
      <c r="M9" s="56"/>
      <c r="N9" s="56"/>
      <c r="O9" s="56"/>
      <c r="P9" s="73"/>
      <c r="Q9" s="56"/>
      <c r="R9" s="56"/>
      <c r="S9" s="56"/>
      <c r="T9" s="74"/>
      <c r="U9" s="53"/>
      <c r="V9" s="53"/>
      <c r="W9" s="63"/>
      <c r="X9" s="55" t="s">
        <v>88</v>
      </c>
      <c r="Y9" s="59"/>
      <c r="Z9" s="55" t="s">
        <v>88</v>
      </c>
      <c r="AA9" s="59" t="s">
        <v>91</v>
      </c>
      <c r="AB9" s="59"/>
      <c r="AC9" s="60"/>
      <c r="AD9" s="75"/>
      <c r="AE9" s="77"/>
      <c r="AF9" s="77"/>
      <c r="AG9" s="72"/>
      <c r="AH9" s="78"/>
      <c r="AI9" s="63"/>
      <c r="AJ9" s="53"/>
      <c r="AK9" s="53"/>
      <c r="AL9" s="56"/>
      <c r="AM9" s="64"/>
      <c r="AN9" s="60"/>
      <c r="AO9" s="59"/>
      <c r="AP9" s="65"/>
      <c r="AQ9" s="60"/>
      <c r="AR9" s="66"/>
      <c r="AS9" s="66"/>
      <c r="AT9" s="195"/>
      <c r="AU9" s="76"/>
      <c r="AV9" s="69"/>
      <c r="AW9" s="69"/>
      <c r="AX9" s="276"/>
      <c r="AY9" s="277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3"/>
      <c r="B10" s="54"/>
      <c r="C10" s="55" t="s">
        <v>92</v>
      </c>
      <c r="D10" s="56"/>
      <c r="E10" s="55" t="s">
        <v>93</v>
      </c>
      <c r="F10" s="57"/>
      <c r="G10" s="56" t="s">
        <v>40</v>
      </c>
      <c r="H10" s="56" t="s">
        <v>40</v>
      </c>
      <c r="I10" s="56" t="s">
        <v>40</v>
      </c>
      <c r="J10" s="56" t="s">
        <v>40</v>
      </c>
      <c r="K10" s="56" t="s">
        <v>40</v>
      </c>
      <c r="L10" s="75" t="s">
        <v>40</v>
      </c>
      <c r="M10" s="56" t="s">
        <v>40</v>
      </c>
      <c r="N10" s="56" t="s">
        <v>40</v>
      </c>
      <c r="O10" s="56" t="s">
        <v>40</v>
      </c>
      <c r="P10" s="56" t="s">
        <v>40</v>
      </c>
      <c r="Q10" s="56" t="s">
        <v>40</v>
      </c>
      <c r="R10" s="56" t="s">
        <v>40</v>
      </c>
      <c r="S10" s="56" t="s">
        <v>61</v>
      </c>
      <c r="T10" s="75" t="s">
        <v>40</v>
      </c>
      <c r="U10" s="56" t="s">
        <v>40</v>
      </c>
      <c r="V10" s="56" t="s">
        <v>40</v>
      </c>
      <c r="W10" s="55" t="n">
        <v>153400</v>
      </c>
      <c r="X10" s="55" t="n">
        <v>150400</v>
      </c>
      <c r="Y10" s="56"/>
      <c r="Z10" s="55"/>
      <c r="AA10" s="55" t="n">
        <v>72000</v>
      </c>
      <c r="AB10" s="56" t="s">
        <v>40</v>
      </c>
      <c r="AC10" s="56" t="s">
        <v>40</v>
      </c>
      <c r="AD10" s="75" t="s">
        <v>40</v>
      </c>
      <c r="AE10" s="56" t="s">
        <v>40</v>
      </c>
      <c r="AF10" s="56" t="s">
        <v>40</v>
      </c>
      <c r="AG10" s="72" t="s">
        <v>40</v>
      </c>
      <c r="AH10" s="56" t="s">
        <v>40</v>
      </c>
      <c r="AI10" s="56" t="s">
        <v>40</v>
      </c>
      <c r="AJ10" s="56" t="s">
        <v>40</v>
      </c>
      <c r="AK10" s="56" t="s">
        <v>40</v>
      </c>
      <c r="AL10" s="56" t="s">
        <v>40</v>
      </c>
      <c r="AM10" s="64" t="s">
        <v>93</v>
      </c>
      <c r="AN10" s="60" t="s">
        <v>40</v>
      </c>
      <c r="AO10" s="60" t="s">
        <v>40</v>
      </c>
      <c r="AP10" s="65" t="s">
        <v>94</v>
      </c>
      <c r="AQ10" s="60" t="s">
        <v>40</v>
      </c>
      <c r="AR10" s="60" t="s">
        <v>40</v>
      </c>
      <c r="AS10" s="60" t="s">
        <v>40</v>
      </c>
      <c r="AT10" s="60" t="s">
        <v>40</v>
      </c>
      <c r="AU10" s="76"/>
      <c r="AV10" s="69"/>
      <c r="AW10" s="69"/>
      <c r="AX10" s="276"/>
      <c r="AY10" s="277" t="s">
        <v>95</v>
      </c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3"/>
      <c r="B11" s="54"/>
      <c r="C11" s="55"/>
      <c r="D11" s="56"/>
      <c r="E11" s="55"/>
      <c r="F11" s="57"/>
      <c r="G11" s="53"/>
      <c r="H11" s="53"/>
      <c r="I11" s="53"/>
      <c r="J11" s="53"/>
      <c r="K11" s="53"/>
      <c r="L11" s="75"/>
      <c r="M11" s="56"/>
      <c r="N11" s="44" t="n">
        <v>1.03</v>
      </c>
      <c r="O11" s="44" t="n">
        <v>1.05</v>
      </c>
      <c r="P11" s="44" t="n">
        <v>1.02</v>
      </c>
      <c r="Q11" s="79" t="n">
        <v>1.02</v>
      </c>
      <c r="R11" s="44" t="n">
        <v>1.04</v>
      </c>
      <c r="S11" s="56" t="s">
        <v>40</v>
      </c>
      <c r="T11" s="74"/>
      <c r="U11" s="53"/>
      <c r="V11" s="53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59"/>
      <c r="AC11" s="59"/>
      <c r="AD11" s="81"/>
      <c r="AE11" s="77"/>
      <c r="AF11" s="77"/>
      <c r="AG11" s="72"/>
      <c r="AH11" s="78"/>
      <c r="AI11" s="82"/>
      <c r="AJ11" s="53"/>
      <c r="AK11" s="53"/>
      <c r="AL11" s="56"/>
      <c r="AM11" s="64"/>
      <c r="AN11" s="60"/>
      <c r="AO11" s="59"/>
      <c r="AP11" s="65"/>
      <c r="AQ11" s="65"/>
      <c r="AR11" s="83"/>
      <c r="AS11" s="83"/>
      <c r="AT11" s="83"/>
      <c r="AU11" s="76"/>
      <c r="AV11" s="69"/>
      <c r="AW11" s="69"/>
      <c r="AX11" s="276"/>
      <c r="AY11" s="277" t="s">
        <v>40</v>
      </c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78" t="s">
        <v>97</v>
      </c>
      <c r="B12" s="198"/>
      <c r="C12" s="102"/>
      <c r="D12" s="102"/>
      <c r="E12" s="102"/>
      <c r="F12" s="199"/>
      <c r="G12" s="102"/>
      <c r="H12" s="260"/>
      <c r="I12" s="102"/>
      <c r="J12" s="102"/>
      <c r="K12" s="102"/>
      <c r="L12" s="102"/>
      <c r="M12" s="201"/>
      <c r="N12" s="102"/>
      <c r="O12" s="102"/>
      <c r="P12" s="149"/>
      <c r="Q12" s="102"/>
      <c r="R12" s="102"/>
      <c r="S12" s="102"/>
      <c r="T12" s="31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201"/>
      <c r="AF12" s="203"/>
      <c r="AG12" s="102"/>
      <c r="AH12" s="102"/>
      <c r="AI12" s="317"/>
      <c r="AJ12" s="102"/>
      <c r="AK12" s="102"/>
      <c r="AL12" s="102"/>
      <c r="AM12" s="205"/>
      <c r="AN12" s="130"/>
      <c r="AO12" s="129"/>
      <c r="AP12" s="206"/>
      <c r="AQ12" s="206"/>
      <c r="AR12" s="206"/>
      <c r="AU12" s="207"/>
      <c r="AV12" s="200"/>
      <c r="AW12" s="200"/>
      <c r="AX12" s="280"/>
      <c r="AY12" s="318"/>
    </row>
    <row r="13" s="215" customFormat="true" ht="12.95" hidden="false" customHeight="true" outlineLevel="0" collapsed="false">
      <c r="A13" s="210" t="s">
        <v>98</v>
      </c>
      <c r="B13" s="282" t="n">
        <f aca="false">FEB!B42</f>
        <v>6891.3</v>
      </c>
      <c r="C13" s="102" t="n">
        <f aca="false">FEB!C42</f>
        <v>252599</v>
      </c>
      <c r="D13" s="102" t="n">
        <f aca="false">FEB!D51</f>
        <v>-6744</v>
      </c>
      <c r="E13" s="102" t="n">
        <f aca="false">FEB!E51</f>
        <v>100599</v>
      </c>
      <c r="F13" s="199" t="n">
        <f aca="false">FEB!F50</f>
        <v>-3400.05041593143</v>
      </c>
      <c r="G13" s="102" t="n">
        <f aca="false">FEB!G50</f>
        <v>3906</v>
      </c>
      <c r="H13" s="319" t="n">
        <f aca="false">FEB!H50</f>
        <v>54.99</v>
      </c>
      <c r="I13" s="102" t="n">
        <f aca="false">FEB!I50</f>
        <v>3960.99</v>
      </c>
      <c r="J13" s="102" t="n">
        <f aca="false">FEB!J50</f>
        <v>1515.44667254853</v>
      </c>
      <c r="K13" s="102" t="n">
        <f aca="false">FEB!K50</f>
        <v>5476.43667254853</v>
      </c>
      <c r="L13" s="102" t="n">
        <f aca="false">FEB!L50</f>
        <v>899.659584068566</v>
      </c>
      <c r="M13" s="201" t="n">
        <f aca="false">FEB!M50</f>
        <v>443.6</v>
      </c>
      <c r="N13" s="102" t="n">
        <f aca="false">FEB!N50</f>
        <v>0</v>
      </c>
      <c r="O13" s="102" t="n">
        <f aca="false">FEB!O50</f>
        <v>0</v>
      </c>
      <c r="P13" s="149"/>
      <c r="Q13" s="102" t="n">
        <f aca="false">FEB!Q50</f>
        <v>195.07194</v>
      </c>
      <c r="R13" s="102" t="n">
        <f aca="false">FEB!R50</f>
        <v>282.19</v>
      </c>
      <c r="S13" s="102" t="n">
        <f aca="false">FEB!S50</f>
        <v>0.43</v>
      </c>
      <c r="T13" s="202" t="n">
        <f aca="false">FEB!T50</f>
        <v>-34.44542</v>
      </c>
      <c r="U13" s="102" t="n">
        <f aca="false">FEB!U50</f>
        <v>4238.6</v>
      </c>
      <c r="V13" s="102" t="n">
        <f aca="false">FEB!V50</f>
        <v>40.5</v>
      </c>
      <c r="W13" s="102" t="n">
        <f aca="false">FEB!W50</f>
        <v>4278.68232</v>
      </c>
      <c r="X13" s="102" t="n">
        <f aca="false">FEB!X50</f>
        <v>4238.18232</v>
      </c>
      <c r="Y13" s="102"/>
      <c r="Z13" s="102"/>
      <c r="AA13" s="102"/>
      <c r="AB13" s="102"/>
      <c r="AC13" s="102"/>
      <c r="AD13" s="102"/>
      <c r="AE13" s="201"/>
      <c r="AF13" s="203"/>
      <c r="AG13" s="251" t="n">
        <f aca="false">FEB!AG50</f>
        <v>3538</v>
      </c>
      <c r="AH13" s="102" t="n">
        <f aca="false">FEB!AH42</f>
        <v>1057</v>
      </c>
      <c r="AI13" s="130" t="n">
        <f aca="false">FEB!AI50</f>
        <v>0</v>
      </c>
      <c r="AJ13" s="102" t="n">
        <f aca="false">FEB!AJ50</f>
        <v>8260.7</v>
      </c>
      <c r="AK13" s="102" t="n">
        <f aca="false">FEB!AK50</f>
        <v>615.78708847996</v>
      </c>
      <c r="AL13" s="102" t="n">
        <f aca="false">FEB!AL50</f>
        <v>8876.48708847996</v>
      </c>
      <c r="AM13" s="205" t="n">
        <f aca="false">FEB!AM51</f>
        <v>8407.2631</v>
      </c>
      <c r="AN13" s="130" t="n">
        <f aca="false">FEB!AN50</f>
        <v>40.5</v>
      </c>
      <c r="AO13" s="102"/>
      <c r="AP13" s="129"/>
      <c r="AQ13" s="129"/>
      <c r="AR13" s="102"/>
      <c r="AS13" s="80"/>
      <c r="AT13" s="167"/>
      <c r="AU13" s="207" t="n">
        <f aca="false">FEB!AU50</f>
        <v>5.31</v>
      </c>
      <c r="AV13" s="200"/>
      <c r="AW13" s="200"/>
      <c r="AX13" s="284"/>
      <c r="AY13" s="214" t="n">
        <f aca="false">FEB!AY50</f>
        <v>444.01768</v>
      </c>
    </row>
    <row r="14" customFormat="false" ht="3" hidden="false" customHeight="true" outlineLevel="0" collapsed="false">
      <c r="A14" s="216"/>
      <c r="B14" s="217"/>
      <c r="C14" s="218"/>
      <c r="D14" s="219"/>
      <c r="E14" s="218"/>
      <c r="F14" s="220"/>
      <c r="G14" s="219"/>
      <c r="H14" s="248"/>
      <c r="I14" s="219"/>
      <c r="J14" s="219"/>
      <c r="K14" s="219"/>
      <c r="L14" s="219"/>
      <c r="M14" s="222"/>
      <c r="N14" s="219"/>
      <c r="O14" s="219"/>
      <c r="P14" s="223"/>
      <c r="Q14" s="219"/>
      <c r="R14" s="219"/>
      <c r="S14" s="219"/>
      <c r="T14" s="320"/>
      <c r="U14" s="219"/>
      <c r="V14" s="219"/>
      <c r="W14" s="219"/>
      <c r="X14" s="219"/>
      <c r="Y14" s="219"/>
      <c r="Z14" s="219"/>
      <c r="AA14" s="218"/>
      <c r="AB14" s="218"/>
      <c r="AC14" s="218"/>
      <c r="AD14" s="219"/>
      <c r="AE14" s="222"/>
      <c r="AF14" s="226"/>
      <c r="AG14" s="219"/>
      <c r="AH14" s="218"/>
      <c r="AI14" s="225"/>
      <c r="AJ14" s="219"/>
      <c r="AK14" s="219"/>
      <c r="AL14" s="219"/>
      <c r="AM14" s="227"/>
      <c r="AN14" s="225"/>
      <c r="AO14" s="228"/>
      <c r="AP14" s="228"/>
      <c r="AQ14" s="228"/>
      <c r="AR14" s="228"/>
      <c r="AS14" s="321"/>
      <c r="AT14" s="321"/>
      <c r="AU14" s="230"/>
      <c r="AV14" s="228"/>
      <c r="AW14" s="228"/>
      <c r="AX14" s="239"/>
      <c r="AY14" s="239"/>
    </row>
    <row r="15" customFormat="false" ht="12.95" hidden="false" customHeight="true" outlineLevel="0" collapsed="false">
      <c r="A15" s="173" t="n">
        <v>1</v>
      </c>
      <c r="B15" s="101" t="n">
        <v>6891.28</v>
      </c>
      <c r="C15" s="102" t="n">
        <v>252530</v>
      </c>
      <c r="D15" s="200" t="n">
        <f aca="false">C15-C13</f>
        <v>-69</v>
      </c>
      <c r="E15" s="102" t="n">
        <f aca="false">C15-152000</f>
        <v>100530</v>
      </c>
      <c r="F15" s="231" t="n">
        <f aca="false">D15/$D$2</f>
        <v>-34.7869926896899</v>
      </c>
      <c r="G15" s="1" t="n">
        <v>34</v>
      </c>
      <c r="H15" s="4" t="n">
        <v>1.1</v>
      </c>
      <c r="I15" s="129" t="n">
        <f aca="false">G15+H15</f>
        <v>35.1</v>
      </c>
      <c r="J15" s="130" t="n">
        <f aca="false">IF(L15&gt;0,L15,0)</f>
        <v>18.8130073103101</v>
      </c>
      <c r="K15" s="129" t="n">
        <f aca="false">I15+J15</f>
        <v>53.9130073103101</v>
      </c>
      <c r="L15" s="129" t="n">
        <f aca="false">F15-(I15-AJ15)</f>
        <v>18.8130073103101</v>
      </c>
      <c r="M15" s="233" t="n">
        <v>3.7</v>
      </c>
      <c r="N15" s="129" t="n">
        <v>0</v>
      </c>
      <c r="O15" s="129" t="n">
        <v>0</v>
      </c>
      <c r="P15" s="149" t="n">
        <v>0</v>
      </c>
      <c r="Q15" s="283" t="n">
        <f aca="false">1.619*1.02</f>
        <v>1.65138</v>
      </c>
      <c r="R15" s="283" t="n">
        <v>2.41</v>
      </c>
      <c r="S15" s="126" t="n">
        <v>0</v>
      </c>
      <c r="T15" s="91" t="n">
        <f aca="false">M15-(Q15+R15+S15)</f>
        <v>-0.36138</v>
      </c>
      <c r="U15" s="129" t="n">
        <v>53</v>
      </c>
      <c r="V15" s="129" t="n">
        <v>0</v>
      </c>
      <c r="W15" s="129" t="n">
        <f aca="false">M15-N15-O15-P15-Q15-R15-S15-T15+U15+V15</f>
        <v>53</v>
      </c>
      <c r="X15" s="129" t="n">
        <f aca="false">W15-AN15</f>
        <v>53</v>
      </c>
      <c r="Y15" s="129"/>
      <c r="Z15" s="129"/>
      <c r="AA15" s="102"/>
      <c r="AB15" s="102"/>
      <c r="AC15" s="102"/>
      <c r="AD15" s="129" t="n">
        <v>0</v>
      </c>
      <c r="AE15" s="233"/>
      <c r="AF15" s="234"/>
      <c r="AG15" s="129" t="n">
        <v>32</v>
      </c>
      <c r="AH15" s="102" t="n">
        <f aca="false">AH13-AG15</f>
        <v>1025</v>
      </c>
      <c r="AI15" s="130"/>
      <c r="AJ15" s="128" t="n">
        <f aca="false">N15+O15+P15+Q15+R15+S15+T15+W15+AD15+AG15</f>
        <v>88.7</v>
      </c>
      <c r="AK15" s="129" t="n">
        <f aca="false">IF(L15&lt;0,L15*-1,0)</f>
        <v>0</v>
      </c>
      <c r="AL15" s="129" t="n">
        <f aca="false">AJ15+AK15</f>
        <v>88.7</v>
      </c>
      <c r="AM15" s="205" t="n">
        <f aca="false">AM13+(W15*1.9835)</f>
        <v>8512.3886</v>
      </c>
      <c r="AN15" s="130"/>
      <c r="AO15" s="206"/>
      <c r="AP15" s="102"/>
      <c r="AQ15" s="102"/>
      <c r="AR15" s="206"/>
      <c r="AT15" s="166"/>
      <c r="AU15" s="207" t="n">
        <v>0</v>
      </c>
      <c r="AV15" s="200" t="n">
        <v>45</v>
      </c>
      <c r="AW15" s="200" t="n">
        <v>22</v>
      </c>
      <c r="AX15" s="280"/>
      <c r="AY15" s="235" t="n">
        <f aca="false">SUM(N15,P15:T15)</f>
        <v>3.7</v>
      </c>
    </row>
    <row r="16" customFormat="false" ht="12.95" hidden="false" customHeight="true" outlineLevel="0" collapsed="false">
      <c r="A16" s="173" t="n">
        <f aca="false">A15+1</f>
        <v>2</v>
      </c>
      <c r="B16" s="101" t="n">
        <v>6891.26</v>
      </c>
      <c r="C16" s="102" t="n">
        <v>252462</v>
      </c>
      <c r="D16" s="200" t="n">
        <f aca="false">C16-C15</f>
        <v>-68</v>
      </c>
      <c r="E16" s="102" t="n">
        <f aca="false">C16-152000</f>
        <v>100462</v>
      </c>
      <c r="F16" s="231" t="n">
        <f aca="false">D16/$D$2</f>
        <v>-34.2828333753466</v>
      </c>
      <c r="G16" s="1" t="n">
        <v>38</v>
      </c>
      <c r="H16" s="4" t="n">
        <v>1.1</v>
      </c>
      <c r="I16" s="129" t="n">
        <f aca="false">G16+H16</f>
        <v>39.1</v>
      </c>
      <c r="J16" s="130" t="n">
        <f aca="false">IF(L16&gt;0,L16,0)</f>
        <v>16.8171666246534</v>
      </c>
      <c r="K16" s="129" t="n">
        <f aca="false">I16+J16</f>
        <v>55.9171666246534</v>
      </c>
      <c r="L16" s="129" t="n">
        <f aca="false">F16-(I16-AJ16)</f>
        <v>16.8171666246534</v>
      </c>
      <c r="M16" s="233" t="n">
        <v>4.2</v>
      </c>
      <c r="N16" s="129" t="n">
        <v>0</v>
      </c>
      <c r="O16" s="129" t="n">
        <v>0</v>
      </c>
      <c r="P16" s="149" t="n">
        <v>0</v>
      </c>
      <c r="Q16" s="283" t="n">
        <f aca="false">1.619*1.02</f>
        <v>1.65138</v>
      </c>
      <c r="R16" s="283" t="n">
        <v>2.53</v>
      </c>
      <c r="S16" s="126" t="n">
        <v>0</v>
      </c>
      <c r="T16" s="91" t="n">
        <f aca="false">M16-(Q16+R16+S16)</f>
        <v>0.0186200000000003</v>
      </c>
      <c r="U16" s="129" t="n">
        <v>53</v>
      </c>
      <c r="V16" s="129" t="n">
        <v>0</v>
      </c>
      <c r="W16" s="129" t="n">
        <f aca="false">M16-N16-O16-P16-Q16-R16-S16-T16+U16+V16</f>
        <v>53</v>
      </c>
      <c r="X16" s="129" t="n">
        <f aca="false">W16-AN16</f>
        <v>53</v>
      </c>
      <c r="Y16" s="129"/>
      <c r="Z16" s="129"/>
      <c r="AA16" s="102"/>
      <c r="AB16" s="102"/>
      <c r="AC16" s="102"/>
      <c r="AD16" s="129" t="n">
        <v>0</v>
      </c>
      <c r="AE16" s="233"/>
      <c r="AF16" s="234"/>
      <c r="AG16" s="129" t="n">
        <v>33</v>
      </c>
      <c r="AH16" s="102" t="n">
        <f aca="false">AH15-AG16</f>
        <v>992</v>
      </c>
      <c r="AI16" s="130"/>
      <c r="AJ16" s="128" t="n">
        <f aca="false">N16+O16+P16+Q16+R16+S16+T16+W16+AD16+AG16</f>
        <v>90.2</v>
      </c>
      <c r="AK16" s="129" t="n">
        <f aca="false">IF(L16&lt;0,L16*-1,0)</f>
        <v>0</v>
      </c>
      <c r="AL16" s="129" t="n">
        <f aca="false">AJ16+AK16</f>
        <v>90.2</v>
      </c>
      <c r="AM16" s="205" t="n">
        <f aca="false">AM15+(W16*1.9835)</f>
        <v>8617.5141</v>
      </c>
      <c r="AN16" s="130"/>
      <c r="AO16" s="206"/>
      <c r="AP16" s="102"/>
      <c r="AQ16" s="102"/>
      <c r="AR16" s="206"/>
      <c r="AT16" s="166"/>
      <c r="AU16" s="207" t="n">
        <v>0</v>
      </c>
      <c r="AV16" s="200" t="n">
        <v>45</v>
      </c>
      <c r="AW16" s="200" t="n">
        <v>15</v>
      </c>
      <c r="AX16" s="280"/>
      <c r="AY16" s="235" t="n">
        <f aca="false">SUM(N16,P16:T16)</f>
        <v>4.2</v>
      </c>
    </row>
    <row r="17" customFormat="false" ht="12.95" hidden="false" customHeight="true" outlineLevel="0" collapsed="false">
      <c r="A17" s="173" t="n">
        <f aca="false">A16+1</f>
        <v>3</v>
      </c>
      <c r="B17" s="101" t="n">
        <v>2891.24</v>
      </c>
      <c r="C17" s="102" t="n">
        <v>252393</v>
      </c>
      <c r="D17" s="200" t="n">
        <f aca="false">C17-C16</f>
        <v>-69</v>
      </c>
      <c r="E17" s="102" t="n">
        <f aca="false">C17-152000</f>
        <v>100393</v>
      </c>
      <c r="F17" s="231" t="n">
        <f aca="false">D17/$D$2</f>
        <v>-34.7869926896899</v>
      </c>
      <c r="G17" s="1" t="n">
        <v>42</v>
      </c>
      <c r="H17" s="4" t="n">
        <v>1.1</v>
      </c>
      <c r="I17" s="129" t="n">
        <f aca="false">G17+H17</f>
        <v>43.1</v>
      </c>
      <c r="J17" s="130" t="n">
        <f aca="false">IF(L17&gt;0,L17,0)</f>
        <v>12.5130073103101</v>
      </c>
      <c r="K17" s="129" t="n">
        <f aca="false">I17+J17</f>
        <v>55.6130073103101</v>
      </c>
      <c r="L17" s="129" t="n">
        <f aca="false">F17-(I17-AJ17)</f>
        <v>12.5130073103101</v>
      </c>
      <c r="M17" s="233" t="n">
        <v>3.4</v>
      </c>
      <c r="N17" s="129" t="n">
        <v>0</v>
      </c>
      <c r="O17" s="129" t="n">
        <v>0</v>
      </c>
      <c r="P17" s="149" t="n">
        <v>0</v>
      </c>
      <c r="Q17" s="283" t="n">
        <f aca="false">1.619*1.02</f>
        <v>1.65138</v>
      </c>
      <c r="R17" s="283" t="n">
        <v>2.48</v>
      </c>
      <c r="S17" s="126" t="n">
        <v>0</v>
      </c>
      <c r="T17" s="91" t="n">
        <f aca="false">M17-(Q17+R17+S17)</f>
        <v>-0.73138</v>
      </c>
      <c r="U17" s="129" t="n">
        <v>53</v>
      </c>
      <c r="V17" s="129" t="n">
        <v>0</v>
      </c>
      <c r="W17" s="129" t="n">
        <f aca="false">M17-N17-O17-P17-Q17-R17-S17-T17+U17+V17</f>
        <v>53</v>
      </c>
      <c r="X17" s="129" t="n">
        <f aca="false">W17-AN17</f>
        <v>53</v>
      </c>
      <c r="Y17" s="129"/>
      <c r="Z17" s="129"/>
      <c r="AA17" s="102"/>
      <c r="AB17" s="102"/>
      <c r="AC17" s="102"/>
      <c r="AD17" s="129" t="n">
        <v>0</v>
      </c>
      <c r="AE17" s="233"/>
      <c r="AF17" s="234"/>
      <c r="AG17" s="129" t="n">
        <v>34</v>
      </c>
      <c r="AH17" s="102" t="n">
        <f aca="false">AH16-AG17</f>
        <v>958</v>
      </c>
      <c r="AI17" s="130"/>
      <c r="AJ17" s="128" t="n">
        <f aca="false">N17+O17+P17+Q17+R17+S17+T17+W17+AD17+AG17</f>
        <v>90.4</v>
      </c>
      <c r="AK17" s="129" t="n">
        <f aca="false">IF(L17&lt;0,L17*-1,0)</f>
        <v>0</v>
      </c>
      <c r="AL17" s="129" t="n">
        <f aca="false">AJ17+AK17</f>
        <v>90.4</v>
      </c>
      <c r="AM17" s="205" t="n">
        <f aca="false">AM16+(W17*1.9835)</f>
        <v>8722.6396</v>
      </c>
      <c r="AN17" s="130"/>
      <c r="AO17" s="206"/>
      <c r="AP17" s="102"/>
      <c r="AQ17" s="102"/>
      <c r="AR17" s="206"/>
      <c r="AT17" s="166"/>
      <c r="AU17" s="207" t="n">
        <v>0</v>
      </c>
      <c r="AV17" s="200" t="n">
        <v>48</v>
      </c>
      <c r="AW17" s="200" t="n">
        <v>20</v>
      </c>
      <c r="AX17" s="280"/>
      <c r="AY17" s="235" t="n">
        <f aca="false">SUM(N17,P17:T17)</f>
        <v>3.4</v>
      </c>
    </row>
    <row r="18" customFormat="false" ht="12.95" hidden="false" customHeight="true" outlineLevel="0" collapsed="false">
      <c r="A18" s="173" t="n">
        <f aca="false">A17+1</f>
        <v>4</v>
      </c>
      <c r="B18" s="101" t="n">
        <v>6891.22</v>
      </c>
      <c r="C18" s="102" t="n">
        <v>252324</v>
      </c>
      <c r="D18" s="200" t="n">
        <f aca="false">C18-C17</f>
        <v>-69</v>
      </c>
      <c r="E18" s="102" t="n">
        <f aca="false">C18-152000</f>
        <v>100324</v>
      </c>
      <c r="F18" s="231" t="n">
        <f aca="false">D18/$D$2</f>
        <v>-34.7869926896899</v>
      </c>
      <c r="G18" s="1" t="n">
        <v>49</v>
      </c>
      <c r="H18" s="4" t="n">
        <v>1.1</v>
      </c>
      <c r="I18" s="129" t="n">
        <f aca="false">G18+H18</f>
        <v>50.1</v>
      </c>
      <c r="J18" s="130" t="n">
        <f aca="false">IF(L18&gt;0,L18,0)</f>
        <v>11.1130073103101</v>
      </c>
      <c r="K18" s="129" t="n">
        <f aca="false">I18+J18</f>
        <v>61.2130073103101</v>
      </c>
      <c r="L18" s="129" t="n">
        <f aca="false">F18-(I18-AJ18)</f>
        <v>11.1130073103101</v>
      </c>
      <c r="M18" s="233" t="n">
        <v>10</v>
      </c>
      <c r="N18" s="129" t="n">
        <v>0</v>
      </c>
      <c r="O18" s="129" t="n">
        <v>0</v>
      </c>
      <c r="P18" s="149" t="n">
        <v>0</v>
      </c>
      <c r="Q18" s="283" t="n">
        <f aca="false">1.619*1.02</f>
        <v>1.65138</v>
      </c>
      <c r="R18" s="283" t="n">
        <v>2.64</v>
      </c>
      <c r="S18" s="126" t="n">
        <v>0</v>
      </c>
      <c r="T18" s="91" t="n">
        <f aca="false">M18-(Q18+R18+S18)</f>
        <v>5.70862</v>
      </c>
      <c r="U18" s="129" t="n">
        <v>52</v>
      </c>
      <c r="V18" s="129" t="n">
        <v>0</v>
      </c>
      <c r="W18" s="129" t="n">
        <f aca="false">M18-N18-O18-P18-Q18-R18-S18-T18+U18+V18</f>
        <v>52</v>
      </c>
      <c r="X18" s="129" t="n">
        <f aca="false">W18-AN18</f>
        <v>52</v>
      </c>
      <c r="Y18" s="129"/>
      <c r="Z18" s="129"/>
      <c r="AA18" s="102"/>
      <c r="AB18" s="102"/>
      <c r="AC18" s="102"/>
      <c r="AD18" s="129" t="n">
        <v>0</v>
      </c>
      <c r="AE18" s="233"/>
      <c r="AF18" s="234"/>
      <c r="AG18" s="129" t="n">
        <v>34</v>
      </c>
      <c r="AH18" s="102" t="n">
        <f aca="false">AH17-AG18</f>
        <v>924</v>
      </c>
      <c r="AI18" s="130"/>
      <c r="AJ18" s="128" t="n">
        <f aca="false">N18+O18+P18+Q18+R18+S18+T18+W18+AD18+AG18</f>
        <v>96</v>
      </c>
      <c r="AK18" s="129" t="n">
        <f aca="false">IF(L18&lt;0,L18*-1,0)</f>
        <v>0</v>
      </c>
      <c r="AL18" s="129" t="n">
        <f aca="false">AJ18+AK18</f>
        <v>96</v>
      </c>
      <c r="AM18" s="205" t="n">
        <f aca="false">AM17+(W18*1.9835)</f>
        <v>8825.7816</v>
      </c>
      <c r="AN18" s="130"/>
      <c r="AO18" s="206"/>
      <c r="AP18" s="102"/>
      <c r="AQ18" s="102"/>
      <c r="AR18" s="206"/>
      <c r="AT18" s="166"/>
      <c r="AU18" s="207" t="n">
        <v>0</v>
      </c>
      <c r="AV18" s="200" t="n">
        <v>46</v>
      </c>
      <c r="AW18" s="200" t="n">
        <v>17</v>
      </c>
      <c r="AX18" s="280"/>
      <c r="AY18" s="235" t="n">
        <f aca="false">SUM(N18,P18:T18)</f>
        <v>10</v>
      </c>
    </row>
    <row r="19" customFormat="false" ht="12.95" hidden="false" customHeight="true" outlineLevel="0" collapsed="false">
      <c r="A19" s="173" t="n">
        <f aca="false">A18+1</f>
        <v>5</v>
      </c>
      <c r="B19" s="101" t="n">
        <v>6891.2</v>
      </c>
      <c r="C19" s="102" t="n">
        <v>252256</v>
      </c>
      <c r="D19" s="200" t="n">
        <f aca="false">C19-C18</f>
        <v>-68</v>
      </c>
      <c r="E19" s="102" t="n">
        <f aca="false">C19-152000</f>
        <v>100256</v>
      </c>
      <c r="F19" s="231" t="n">
        <f aca="false">D19/$D$2</f>
        <v>-34.2828333753466</v>
      </c>
      <c r="G19" s="1" t="n">
        <v>57</v>
      </c>
      <c r="H19" s="4" t="n">
        <v>1.1</v>
      </c>
      <c r="I19" s="129" t="n">
        <f aca="false">G19+H19</f>
        <v>58.1</v>
      </c>
      <c r="J19" s="130" t="n">
        <f aca="false">IF(L19&gt;0,L19,0)</f>
        <v>0.91716662465339</v>
      </c>
      <c r="K19" s="129" t="n">
        <f aca="false">I19+J19</f>
        <v>59.0171666246534</v>
      </c>
      <c r="L19" s="129" t="n">
        <f aca="false">F19-(I19-AJ19)</f>
        <v>0.91716662465339</v>
      </c>
      <c r="M19" s="233" t="n">
        <v>6.3</v>
      </c>
      <c r="N19" s="129" t="n">
        <v>0</v>
      </c>
      <c r="O19" s="129" t="n">
        <v>0</v>
      </c>
      <c r="P19" s="149" t="n">
        <v>0</v>
      </c>
      <c r="Q19" s="283" t="n">
        <f aca="false">1.619*1.02</f>
        <v>1.65138</v>
      </c>
      <c r="R19" s="283" t="n">
        <v>2.72</v>
      </c>
      <c r="S19" s="126" t="n">
        <v>0</v>
      </c>
      <c r="T19" s="91" t="n">
        <f aca="false">M19-(Q19+R19+S19)</f>
        <v>1.92862</v>
      </c>
      <c r="U19" s="129" t="n">
        <v>53</v>
      </c>
      <c r="V19" s="129" t="n">
        <v>0</v>
      </c>
      <c r="W19" s="129" t="n">
        <f aca="false">M19-N19-O19-P19-Q19-R19-S19-T19+U19+V19</f>
        <v>53</v>
      </c>
      <c r="X19" s="129" t="n">
        <f aca="false">W19-AN19</f>
        <v>53</v>
      </c>
      <c r="Y19" s="129"/>
      <c r="Z19" s="129"/>
      <c r="AA19" s="102"/>
      <c r="AB19" s="102"/>
      <c r="AC19" s="102"/>
      <c r="AD19" s="129" t="n">
        <v>0</v>
      </c>
      <c r="AE19" s="233"/>
      <c r="AF19" s="234"/>
      <c r="AG19" s="129" t="n">
        <v>34</v>
      </c>
      <c r="AH19" s="102" t="n">
        <f aca="false">AH18-AG19</f>
        <v>890</v>
      </c>
      <c r="AI19" s="130"/>
      <c r="AJ19" s="128" t="n">
        <f aca="false">N19+O19+P19+Q19+R19+S19+T19+W19+AD19+AG19</f>
        <v>93.3</v>
      </c>
      <c r="AK19" s="129" t="n">
        <f aca="false">IF(L19&lt;0,L19*-1,0)</f>
        <v>0</v>
      </c>
      <c r="AL19" s="129" t="n">
        <f aca="false">AJ19+AK19</f>
        <v>93.3</v>
      </c>
      <c r="AM19" s="205" t="n">
        <f aca="false">AM18+(W19*1.9835)</f>
        <v>8930.9071</v>
      </c>
      <c r="AN19" s="130"/>
      <c r="AO19" s="206"/>
      <c r="AP19" s="102"/>
      <c r="AQ19" s="102"/>
      <c r="AR19" s="206"/>
      <c r="AT19" s="166"/>
      <c r="AU19" s="207" t="n">
        <v>0</v>
      </c>
      <c r="AV19" s="200" t="n">
        <v>41</v>
      </c>
      <c r="AW19" s="200" t="n">
        <v>16</v>
      </c>
      <c r="AX19" s="280"/>
      <c r="AY19" s="235" t="n">
        <f aca="false">SUM(N19,P19:T19)</f>
        <v>6.3</v>
      </c>
    </row>
    <row r="20" customFormat="false" ht="12.95" hidden="false" customHeight="true" outlineLevel="0" collapsed="false">
      <c r="A20" s="173" t="n">
        <f aca="false">A19+1</f>
        <v>6</v>
      </c>
      <c r="B20" s="101" t="n">
        <v>6891.18</v>
      </c>
      <c r="C20" s="102" t="n">
        <v>252187</v>
      </c>
      <c r="D20" s="200" t="n">
        <f aca="false">C20-C19</f>
        <v>-69</v>
      </c>
      <c r="E20" s="102" t="n">
        <f aca="false">C20-152000</f>
        <v>100187</v>
      </c>
      <c r="F20" s="231" t="n">
        <f aca="false">D20/$D$2</f>
        <v>-34.7869926896899</v>
      </c>
      <c r="G20" s="1" t="n">
        <v>60</v>
      </c>
      <c r="H20" s="4" t="n">
        <v>1.1</v>
      </c>
      <c r="I20" s="129" t="n">
        <f aca="false">G20+H20</f>
        <v>61.1</v>
      </c>
      <c r="J20" s="130" t="n">
        <f aca="false">IF(L20&gt;0,L20,0)</f>
        <v>0</v>
      </c>
      <c r="K20" s="129" t="n">
        <f aca="false">I20+J20</f>
        <v>61.1</v>
      </c>
      <c r="L20" s="129" t="n">
        <f aca="false">F20-(I20-AJ20)</f>
        <v>-1.98699268968993</v>
      </c>
      <c r="M20" s="233" t="n">
        <v>6.9</v>
      </c>
      <c r="N20" s="129" t="n">
        <v>0</v>
      </c>
      <c r="O20" s="129" t="n">
        <v>0</v>
      </c>
      <c r="P20" s="149" t="n">
        <v>0</v>
      </c>
      <c r="Q20" s="283" t="n">
        <f aca="false">1.619*1.02</f>
        <v>1.65138</v>
      </c>
      <c r="R20" s="283" t="n">
        <v>2.78</v>
      </c>
      <c r="S20" s="126" t="n">
        <v>0</v>
      </c>
      <c r="T20" s="91" t="n">
        <f aca="false">M20-(Q20+R20+S20)</f>
        <v>2.46862</v>
      </c>
      <c r="U20" s="129" t="n">
        <v>53</v>
      </c>
      <c r="V20" s="129" t="n">
        <v>0</v>
      </c>
      <c r="W20" s="129" t="n">
        <f aca="false">M20-N20-O20-P20-Q20-R20-S20-T20+U20+V20</f>
        <v>53</v>
      </c>
      <c r="X20" s="129" t="n">
        <f aca="false">W20-AN20</f>
        <v>53</v>
      </c>
      <c r="Y20" s="129"/>
      <c r="Z20" s="129"/>
      <c r="AA20" s="102"/>
      <c r="AB20" s="102"/>
      <c r="AC20" s="102"/>
      <c r="AD20" s="129" t="n">
        <v>0</v>
      </c>
      <c r="AE20" s="233"/>
      <c r="AF20" s="234"/>
      <c r="AG20" s="129" t="n">
        <v>34</v>
      </c>
      <c r="AH20" s="102" t="n">
        <f aca="false">AH19-AG20</f>
        <v>856</v>
      </c>
      <c r="AI20" s="130"/>
      <c r="AJ20" s="128" t="n">
        <f aca="false">N20+O20+P20+Q20+R20+S20+T20+W20+AD20+AG20</f>
        <v>93.9</v>
      </c>
      <c r="AK20" s="129" t="n">
        <f aca="false">IF(L20&lt;0,L20*-1,0)</f>
        <v>1.98699268968993</v>
      </c>
      <c r="AL20" s="129" t="n">
        <f aca="false">AJ20+AK20</f>
        <v>95.88699268969</v>
      </c>
      <c r="AM20" s="205" t="n">
        <f aca="false">AM19+(W20*1.9835)</f>
        <v>9036.0326</v>
      </c>
      <c r="AN20" s="130"/>
      <c r="AO20" s="129"/>
      <c r="AP20" s="102"/>
      <c r="AQ20" s="102"/>
      <c r="AR20" s="206"/>
      <c r="AT20" s="166"/>
      <c r="AU20" s="207" t="n">
        <v>0</v>
      </c>
      <c r="AV20" s="200" t="n">
        <v>41</v>
      </c>
      <c r="AW20" s="200" t="n">
        <v>15</v>
      </c>
      <c r="AX20" s="280"/>
      <c r="AY20" s="235" t="n">
        <f aca="false">SUM(N20,P20:T20)</f>
        <v>6.9</v>
      </c>
    </row>
    <row r="21" customFormat="false" ht="12.95" hidden="false" customHeight="true" outlineLevel="0" collapsed="false">
      <c r="A21" s="173" t="n">
        <f aca="false">A20+1</f>
        <v>7</v>
      </c>
      <c r="B21" s="101" t="n">
        <v>6891.16</v>
      </c>
      <c r="C21" s="102" t="n">
        <v>252118</v>
      </c>
      <c r="D21" s="200" t="n">
        <f aca="false">C21-C20</f>
        <v>-69</v>
      </c>
      <c r="E21" s="102" t="n">
        <f aca="false">C21-152000</f>
        <v>100118</v>
      </c>
      <c r="F21" s="231" t="n">
        <f aca="false">D21/$D$2</f>
        <v>-34.7869926896899</v>
      </c>
      <c r="G21" s="1" t="n">
        <v>57</v>
      </c>
      <c r="H21" s="4" t="n">
        <v>1.1</v>
      </c>
      <c r="I21" s="129" t="n">
        <f aca="false">G21+H21</f>
        <v>58.1</v>
      </c>
      <c r="J21" s="130" t="n">
        <f aca="false">IF(L21&gt;0,L21,0)</f>
        <v>0</v>
      </c>
      <c r="K21" s="129" t="n">
        <f aca="false">I21+J21</f>
        <v>58.1</v>
      </c>
      <c r="L21" s="129" t="n">
        <f aca="false">F21-(I21-AJ21)</f>
        <v>-1.28699268968995</v>
      </c>
      <c r="M21" s="233" t="n">
        <v>5.6</v>
      </c>
      <c r="N21" s="129" t="n">
        <v>0</v>
      </c>
      <c r="O21" s="129" t="n">
        <v>0</v>
      </c>
      <c r="P21" s="149" t="n">
        <v>0</v>
      </c>
      <c r="Q21" s="283" t="n">
        <f aca="false">1.619*1.02</f>
        <v>1.65138</v>
      </c>
      <c r="R21" s="283" t="n">
        <v>2.73</v>
      </c>
      <c r="S21" s="126" t="n">
        <v>0</v>
      </c>
      <c r="T21" s="91" t="n">
        <f aca="false">M21-(Q21+R21+S21)</f>
        <v>1.21862</v>
      </c>
      <c r="U21" s="129" t="n">
        <v>52</v>
      </c>
      <c r="V21" s="129" t="n">
        <v>0</v>
      </c>
      <c r="W21" s="129" t="n">
        <f aca="false">M21-N21-O21-P21-Q21-R21-S21-T21+U21+V21</f>
        <v>52</v>
      </c>
      <c r="X21" s="129" t="n">
        <f aca="false">W21-AN21</f>
        <v>52</v>
      </c>
      <c r="Y21" s="129"/>
      <c r="Z21" s="129"/>
      <c r="AA21" s="102"/>
      <c r="AB21" s="102"/>
      <c r="AC21" s="102"/>
      <c r="AD21" s="129" t="n">
        <v>0</v>
      </c>
      <c r="AE21" s="233"/>
      <c r="AF21" s="234"/>
      <c r="AG21" s="129" t="n">
        <v>34</v>
      </c>
      <c r="AH21" s="102" t="n">
        <f aca="false">AH20-AG21</f>
        <v>822</v>
      </c>
      <c r="AI21" s="130"/>
      <c r="AJ21" s="128" t="n">
        <f aca="false">N21+O21+P21+Q21+R21+S21+T21+W21+AD21+AG21</f>
        <v>91.6</v>
      </c>
      <c r="AK21" s="129" t="n">
        <f aca="false">IF(L21&lt;0,L21*-1,0)</f>
        <v>1.28699268968995</v>
      </c>
      <c r="AL21" s="129" t="n">
        <f aca="false">AJ21+AK21</f>
        <v>92.8869926896899</v>
      </c>
      <c r="AM21" s="205" t="n">
        <f aca="false">AM20+(W21*1.9835)</f>
        <v>9139.1746</v>
      </c>
      <c r="AN21" s="130"/>
      <c r="AO21" s="129"/>
      <c r="AP21" s="102"/>
      <c r="AQ21" s="102"/>
      <c r="AR21" s="206"/>
      <c r="AT21" s="166"/>
      <c r="AU21" s="207" t="n">
        <v>0.29</v>
      </c>
      <c r="AV21" s="200" t="n">
        <v>43</v>
      </c>
      <c r="AW21" s="200" t="n">
        <v>31</v>
      </c>
      <c r="AX21" s="280"/>
      <c r="AY21" s="235" t="n">
        <f aca="false">SUM(N21,P21:T21)</f>
        <v>5.6</v>
      </c>
    </row>
    <row r="22" customFormat="false" ht="12.95" hidden="false" customHeight="true" outlineLevel="0" collapsed="false">
      <c r="A22" s="173" t="n">
        <f aca="false">A21+1</f>
        <v>8</v>
      </c>
      <c r="B22" s="101" t="n">
        <v>6891.17</v>
      </c>
      <c r="C22" s="102" t="n">
        <v>252153</v>
      </c>
      <c r="D22" s="200" t="n">
        <f aca="false">C22-C21</f>
        <v>35</v>
      </c>
      <c r="E22" s="102" t="n">
        <f aca="false">C22-152000</f>
        <v>100153</v>
      </c>
      <c r="F22" s="231" t="n">
        <f aca="false">D22/$D$2</f>
        <v>17.6455760020166</v>
      </c>
      <c r="G22" s="1" t="n">
        <v>62</v>
      </c>
      <c r="H22" s="4" t="n">
        <v>1.1</v>
      </c>
      <c r="I22" s="129" t="n">
        <f aca="false">G22+H22</f>
        <v>63.1</v>
      </c>
      <c r="J22" s="130" t="n">
        <f aca="false">IF(L22&gt;0,L22,0)</f>
        <v>48.0455760020166</v>
      </c>
      <c r="K22" s="129" t="n">
        <f aca="false">I22+J22</f>
        <v>111.145576002017</v>
      </c>
      <c r="L22" s="129" t="n">
        <f aca="false">F22-(I22-AJ22)</f>
        <v>48.0455760020166</v>
      </c>
      <c r="M22" s="233" t="n">
        <v>5.5</v>
      </c>
      <c r="N22" s="129" t="n">
        <v>0</v>
      </c>
      <c r="O22" s="129" t="n">
        <v>0</v>
      </c>
      <c r="P22" s="149" t="n">
        <v>0</v>
      </c>
      <c r="Q22" s="283" t="n">
        <f aca="false">1.619*1.02</f>
        <v>1.65138</v>
      </c>
      <c r="R22" s="283" t="n">
        <v>2.54</v>
      </c>
      <c r="S22" s="126" t="n">
        <v>0</v>
      </c>
      <c r="T22" s="91" t="n">
        <f aca="false">M22-(Q22+R22+S22)</f>
        <v>1.30862</v>
      </c>
      <c r="U22" s="129" t="n">
        <v>54</v>
      </c>
      <c r="V22" s="129" t="n">
        <v>0</v>
      </c>
      <c r="W22" s="129" t="n">
        <f aca="false">M22-N22-O22-P22-Q22-R22-S22-T22+U22+V22</f>
        <v>54</v>
      </c>
      <c r="X22" s="129" t="n">
        <f aca="false">W22-AN22</f>
        <v>54</v>
      </c>
      <c r="Y22" s="129"/>
      <c r="Z22" s="129"/>
      <c r="AA22" s="102"/>
      <c r="AB22" s="102"/>
      <c r="AC22" s="102"/>
      <c r="AD22" s="129" t="n">
        <v>0</v>
      </c>
      <c r="AE22" s="233"/>
      <c r="AF22" s="234"/>
      <c r="AG22" s="129" t="n">
        <v>34</v>
      </c>
      <c r="AH22" s="102" t="n">
        <f aca="false">AH21-AG22</f>
        <v>788</v>
      </c>
      <c r="AI22" s="130"/>
      <c r="AJ22" s="128" t="n">
        <f aca="false">N22+O22+P22+Q22+R22+S22+T22+W22+AD22+AG22</f>
        <v>93.5</v>
      </c>
      <c r="AK22" s="129" t="n">
        <f aca="false">IF(L22&lt;0,L22*-1,0)</f>
        <v>0</v>
      </c>
      <c r="AL22" s="129" t="n">
        <f aca="false">AJ22+AK22</f>
        <v>93.5</v>
      </c>
      <c r="AM22" s="205" t="n">
        <f aca="false">AM21+(W22*1.9835)</f>
        <v>9246.2836</v>
      </c>
      <c r="AN22" s="130"/>
      <c r="AO22" s="129"/>
      <c r="AP22" s="102"/>
      <c r="AQ22" s="102"/>
      <c r="AR22" s="206"/>
      <c r="AT22" s="166"/>
      <c r="AU22" s="207" t="n">
        <v>0</v>
      </c>
      <c r="AV22" s="200" t="n">
        <v>36</v>
      </c>
      <c r="AW22" s="200" t="n">
        <v>25</v>
      </c>
      <c r="AX22" s="280"/>
      <c r="AY22" s="235" t="n">
        <f aca="false">SUM(N22,P22:T22)</f>
        <v>5.5</v>
      </c>
    </row>
    <row r="23" customFormat="false" ht="12.95" hidden="false" customHeight="true" outlineLevel="0" collapsed="false">
      <c r="A23" s="173" t="n">
        <f aca="false">A22+1</f>
        <v>9</v>
      </c>
      <c r="B23" s="101" t="n">
        <v>6891.15</v>
      </c>
      <c r="C23" s="102" t="n">
        <v>252084</v>
      </c>
      <c r="D23" s="200" t="n">
        <f aca="false">C23-C22</f>
        <v>-69</v>
      </c>
      <c r="E23" s="102" t="n">
        <f aca="false">C23-152000</f>
        <v>100084</v>
      </c>
      <c r="F23" s="231" t="n">
        <f aca="false">D23/$D$2</f>
        <v>-34.7869926896899</v>
      </c>
      <c r="G23" s="1" t="n">
        <v>65</v>
      </c>
      <c r="H23" s="4" t="n">
        <v>1.1</v>
      </c>
      <c r="I23" s="129" t="n">
        <f aca="false">G23+H23</f>
        <v>66.1</v>
      </c>
      <c r="J23" s="130" t="n">
        <f aca="false">IF(L23&gt;0,L23,0)</f>
        <v>0</v>
      </c>
      <c r="K23" s="129" t="n">
        <f aca="false">I23+J23</f>
        <v>66.1</v>
      </c>
      <c r="L23" s="129" t="n">
        <f aca="false">F23-(I23-AJ23)</f>
        <v>-4.38699268968993</v>
      </c>
      <c r="M23" s="233" t="n">
        <v>6.5</v>
      </c>
      <c r="N23" s="129" t="n">
        <v>0</v>
      </c>
      <c r="O23" s="129" t="n">
        <v>0</v>
      </c>
      <c r="P23" s="149" t="n">
        <v>0</v>
      </c>
      <c r="Q23" s="283" t="n">
        <f aca="false">1.619*1.02</f>
        <v>1.65138</v>
      </c>
      <c r="R23" s="283" t="n">
        <v>2.23</v>
      </c>
      <c r="S23" s="126" t="n">
        <v>0</v>
      </c>
      <c r="T23" s="91" t="n">
        <f aca="false">M23-(Q23+R23+S23)</f>
        <v>2.61862</v>
      </c>
      <c r="U23" s="129" t="n">
        <v>57</v>
      </c>
      <c r="V23" s="129" t="n">
        <v>0</v>
      </c>
      <c r="W23" s="129" t="n">
        <f aca="false">M23-N23-O23-P23-Q23-R23-S23-T23+U23+V23</f>
        <v>57</v>
      </c>
      <c r="X23" s="129" t="n">
        <f aca="false">W23-AN23</f>
        <v>57</v>
      </c>
      <c r="Y23" s="129"/>
      <c r="Z23" s="129"/>
      <c r="AA23" s="102"/>
      <c r="AB23" s="102"/>
      <c r="AC23" s="102"/>
      <c r="AD23" s="129" t="n">
        <v>0</v>
      </c>
      <c r="AE23" s="233"/>
      <c r="AF23" s="234"/>
      <c r="AG23" s="129" t="n">
        <v>33</v>
      </c>
      <c r="AH23" s="102" t="n">
        <f aca="false">AH22-AG23</f>
        <v>755</v>
      </c>
      <c r="AI23" s="130"/>
      <c r="AJ23" s="128" t="n">
        <f aca="false">N23+O23+P23+Q23+R23+S23+T23+W23+AD23+AG23</f>
        <v>96.5</v>
      </c>
      <c r="AK23" s="129" t="n">
        <f aca="false">IF(L23&lt;0,L23*-1,0)</f>
        <v>4.38699268968993</v>
      </c>
      <c r="AL23" s="129" t="n">
        <f aca="false">AJ23+AK23</f>
        <v>100.88699268969</v>
      </c>
      <c r="AM23" s="205" t="n">
        <f aca="false">AM22+(W23*1.9835)</f>
        <v>9359.3431</v>
      </c>
      <c r="AN23" s="130"/>
      <c r="AO23" s="129"/>
      <c r="AP23" s="102"/>
      <c r="AQ23" s="102"/>
      <c r="AR23" s="206"/>
      <c r="AT23" s="166"/>
      <c r="AU23" s="207" t="n">
        <v>0.07</v>
      </c>
      <c r="AV23" s="206" t="n">
        <v>40</v>
      </c>
      <c r="AW23" s="200" t="n">
        <v>18</v>
      </c>
      <c r="AX23" s="280"/>
      <c r="AY23" s="235" t="n">
        <f aca="false">SUM(N23,P23:T23)</f>
        <v>6.5</v>
      </c>
    </row>
    <row r="24" customFormat="false" ht="12.95" hidden="false" customHeight="true" outlineLevel="0" collapsed="false">
      <c r="A24" s="173" t="n">
        <f aca="false">A23+1</f>
        <v>10</v>
      </c>
      <c r="B24" s="101" t="n">
        <v>6891.13</v>
      </c>
      <c r="C24" s="102" t="n">
        <v>252015</v>
      </c>
      <c r="D24" s="200" t="n">
        <f aca="false">C24-C23</f>
        <v>-69</v>
      </c>
      <c r="E24" s="102" t="n">
        <f aca="false">C24-152000</f>
        <v>100015</v>
      </c>
      <c r="F24" s="231" t="n">
        <f aca="false">D24/$D$2</f>
        <v>-34.7869926896899</v>
      </c>
      <c r="G24" s="1" t="n">
        <v>69</v>
      </c>
      <c r="H24" s="4" t="n">
        <v>1.2</v>
      </c>
      <c r="I24" s="129" t="n">
        <f aca="false">G24+H24</f>
        <v>70.2</v>
      </c>
      <c r="J24" s="130" t="n">
        <f aca="false">IF(L24&gt;0,L24,0)</f>
        <v>0</v>
      </c>
      <c r="K24" s="129" t="n">
        <f aca="false">I24+J24</f>
        <v>70.2</v>
      </c>
      <c r="L24" s="129" t="n">
        <f aca="false">F24-(I24-AJ24)</f>
        <v>-8.28699268968994</v>
      </c>
      <c r="M24" s="233" t="n">
        <v>5.7</v>
      </c>
      <c r="N24" s="129" t="n">
        <v>0</v>
      </c>
      <c r="O24" s="129" t="n">
        <v>0</v>
      </c>
      <c r="P24" s="149" t="n">
        <v>0</v>
      </c>
      <c r="Q24" s="283" t="n">
        <f aca="false">1.619*1.02</f>
        <v>1.65138</v>
      </c>
      <c r="R24" s="283" t="n">
        <v>2.19</v>
      </c>
      <c r="S24" s="126" t="n">
        <v>0</v>
      </c>
      <c r="T24" s="91" t="n">
        <f aca="false">M24-(Q24+R24+S24)</f>
        <v>1.85862</v>
      </c>
      <c r="U24" s="129" t="n">
        <v>57</v>
      </c>
      <c r="V24" s="129" t="n">
        <v>0</v>
      </c>
      <c r="W24" s="129" t="n">
        <f aca="false">M24-N24-O24-P24-Q24-R24-S24-T24+U24+V24</f>
        <v>57</v>
      </c>
      <c r="X24" s="129" t="n">
        <f aca="false">W24-AN24</f>
        <v>57</v>
      </c>
      <c r="Y24" s="129"/>
      <c r="Z24" s="129"/>
      <c r="AA24" s="102"/>
      <c r="AB24" s="102"/>
      <c r="AC24" s="102"/>
      <c r="AD24" s="129" t="n">
        <v>0</v>
      </c>
      <c r="AE24" s="233"/>
      <c r="AF24" s="234"/>
      <c r="AG24" s="129" t="n">
        <v>34</v>
      </c>
      <c r="AH24" s="102" t="n">
        <f aca="false">AH23-AG24</f>
        <v>721</v>
      </c>
      <c r="AI24" s="130"/>
      <c r="AJ24" s="128" t="n">
        <f aca="false">N24+O24+P24+Q24+R24+S24+T24+W24+AD24+AG24</f>
        <v>96.7</v>
      </c>
      <c r="AK24" s="129" t="n">
        <f aca="false">IF(L24&lt;0,L24*-1,0)</f>
        <v>8.28699268968994</v>
      </c>
      <c r="AL24" s="129" t="n">
        <f aca="false">AJ24+AK24</f>
        <v>104.98699268969</v>
      </c>
      <c r="AM24" s="205" t="n">
        <f aca="false">AM23+(W24*1.9835)</f>
        <v>9472.4026</v>
      </c>
      <c r="AN24" s="130"/>
      <c r="AO24" s="129"/>
      <c r="AP24" s="102"/>
      <c r="AQ24" s="102"/>
      <c r="AR24" s="206"/>
      <c r="AT24" s="166"/>
      <c r="AU24" s="207" t="n">
        <v>0</v>
      </c>
      <c r="AV24" s="200" t="n">
        <v>36</v>
      </c>
      <c r="AW24" s="200" t="n">
        <v>23</v>
      </c>
      <c r="AX24" s="280"/>
      <c r="AY24" s="235" t="n">
        <f aca="false">SUM(N24,P24:T24)</f>
        <v>5.7</v>
      </c>
    </row>
    <row r="25" customFormat="false" ht="12.95" hidden="false" customHeight="true" outlineLevel="0" collapsed="false">
      <c r="A25" s="173" t="n">
        <f aca="false">A24+1</f>
        <v>11</v>
      </c>
      <c r="B25" s="101" t="n">
        <v>6891.11</v>
      </c>
      <c r="C25" s="102" t="n">
        <v>251947</v>
      </c>
      <c r="D25" s="200" t="n">
        <f aca="false">C25-C24</f>
        <v>-68</v>
      </c>
      <c r="E25" s="102" t="n">
        <f aca="false">C25-152000</f>
        <v>99947</v>
      </c>
      <c r="F25" s="231" t="n">
        <f aca="false">D25/$D$2</f>
        <v>-34.2828333753466</v>
      </c>
      <c r="G25" s="1" t="n">
        <v>67</v>
      </c>
      <c r="H25" s="4" t="n">
        <v>1.3</v>
      </c>
      <c r="I25" s="129" t="n">
        <f aca="false">G25+H25</f>
        <v>68.3</v>
      </c>
      <c r="J25" s="130" t="n">
        <f aca="false">IF(L25&gt;0,L25,0)</f>
        <v>0</v>
      </c>
      <c r="K25" s="129" t="n">
        <f aca="false">I25+J25</f>
        <v>68.3</v>
      </c>
      <c r="L25" s="129" t="n">
        <f aca="false">F25-(I25-AJ25)</f>
        <v>-8.48283337534661</v>
      </c>
      <c r="M25" s="233" t="n">
        <v>3.1</v>
      </c>
      <c r="N25" s="129" t="n">
        <v>0</v>
      </c>
      <c r="O25" s="129" t="n">
        <v>0</v>
      </c>
      <c r="P25" s="149" t="n">
        <v>0</v>
      </c>
      <c r="Q25" s="283" t="n">
        <f aca="false">1.619*1.02</f>
        <v>1.65138</v>
      </c>
      <c r="R25" s="283" t="n">
        <v>2.17</v>
      </c>
      <c r="S25" s="126" t="n">
        <v>0</v>
      </c>
      <c r="T25" s="91" t="n">
        <f aca="false">M25-(Q25+R25+S25)</f>
        <v>-0.72138</v>
      </c>
      <c r="U25" s="129" t="n">
        <v>57</v>
      </c>
      <c r="V25" s="129" t="n">
        <v>0</v>
      </c>
      <c r="W25" s="129" t="n">
        <f aca="false">M25-N25-O25-P25-Q25-R25-S25-T25+U25+V25</f>
        <v>57</v>
      </c>
      <c r="X25" s="129" t="n">
        <f aca="false">W25-AN25</f>
        <v>57</v>
      </c>
      <c r="Y25" s="129"/>
      <c r="Z25" s="129"/>
      <c r="AA25" s="102"/>
      <c r="AB25" s="102"/>
      <c r="AC25" s="102"/>
      <c r="AD25" s="129" t="n">
        <v>0</v>
      </c>
      <c r="AE25" s="233"/>
      <c r="AF25" s="234"/>
      <c r="AG25" s="129" t="n">
        <v>34</v>
      </c>
      <c r="AH25" s="102" t="n">
        <f aca="false">AH24-AG25</f>
        <v>687</v>
      </c>
      <c r="AI25" s="130"/>
      <c r="AJ25" s="128" t="n">
        <f aca="false">N25+O25+P25+Q25+R25+S25+T25+W25+AD25+AG25</f>
        <v>94.1</v>
      </c>
      <c r="AK25" s="129" t="n">
        <f aca="false">IF(L25&lt;0,L25*-1,0)</f>
        <v>8.48283337534661</v>
      </c>
      <c r="AL25" s="129" t="n">
        <f aca="false">AJ25+AK25</f>
        <v>102.582833375347</v>
      </c>
      <c r="AM25" s="205" t="n">
        <f aca="false">AM24+(W25*1.9835)</f>
        <v>9585.4621</v>
      </c>
      <c r="AN25" s="130"/>
      <c r="AO25" s="129"/>
      <c r="AP25" s="102"/>
      <c r="AQ25" s="102"/>
      <c r="AR25" s="206"/>
      <c r="AT25" s="166"/>
      <c r="AU25" s="207" t="n">
        <v>0</v>
      </c>
      <c r="AV25" s="200" t="n">
        <v>43</v>
      </c>
      <c r="AW25" s="200" t="n">
        <v>19</v>
      </c>
      <c r="AX25" s="280"/>
      <c r="AY25" s="235" t="n">
        <f aca="false">SUM(N25,P25:T25)</f>
        <v>3.1</v>
      </c>
    </row>
    <row r="26" customFormat="false" ht="12.95" hidden="false" customHeight="true" outlineLevel="0" collapsed="false">
      <c r="A26" s="173" t="n">
        <f aca="false">A25+1</f>
        <v>12</v>
      </c>
      <c r="B26" s="101" t="n">
        <v>6891.09</v>
      </c>
      <c r="C26" s="102" t="n">
        <v>251878</v>
      </c>
      <c r="D26" s="200" t="n">
        <f aca="false">C26-C25</f>
        <v>-69</v>
      </c>
      <c r="E26" s="102" t="n">
        <f aca="false">C26-152000</f>
        <v>99878</v>
      </c>
      <c r="F26" s="231" t="n">
        <f aca="false">D26/$D$2</f>
        <v>-34.7869926896899</v>
      </c>
      <c r="G26" s="1" t="n">
        <v>73</v>
      </c>
      <c r="H26" s="4" t="n">
        <v>1.3</v>
      </c>
      <c r="I26" s="129" t="n">
        <f aca="false">G26+H26</f>
        <v>74.3</v>
      </c>
      <c r="J26" s="130" t="n">
        <f aca="false">IF(L26&gt;0,L26,0)</f>
        <v>0</v>
      </c>
      <c r="K26" s="129" t="n">
        <f aca="false">I26+J26</f>
        <v>74.3</v>
      </c>
      <c r="L26" s="129" t="n">
        <f aca="false">F26-(I26-AJ26)</f>
        <v>-15.2869926896899</v>
      </c>
      <c r="M26" s="233" t="n">
        <v>2.8</v>
      </c>
      <c r="N26" s="129" t="n">
        <v>0</v>
      </c>
      <c r="O26" s="129" t="n">
        <v>0</v>
      </c>
      <c r="P26" s="149" t="n">
        <v>0</v>
      </c>
      <c r="Q26" s="283" t="n">
        <f aca="false">1.619*1.02</f>
        <v>1.65138</v>
      </c>
      <c r="R26" s="283" t="n">
        <v>1.98</v>
      </c>
      <c r="S26" s="126" t="n">
        <v>0</v>
      </c>
      <c r="T26" s="91" t="n">
        <f aca="false">M26-(Q26+R26+S26)</f>
        <v>-0.83138</v>
      </c>
      <c r="U26" s="129" t="n">
        <v>57</v>
      </c>
      <c r="V26" s="129" t="n">
        <v>0</v>
      </c>
      <c r="W26" s="129" t="n">
        <f aca="false">M26-N26-O26-P26-Q26-R26-S26-T26+U26+V26</f>
        <v>57</v>
      </c>
      <c r="X26" s="129" t="n">
        <f aca="false">W26-AN26</f>
        <v>57</v>
      </c>
      <c r="Y26" s="129"/>
      <c r="Z26" s="129"/>
      <c r="AA26" s="102"/>
      <c r="AB26" s="102"/>
      <c r="AC26" s="102"/>
      <c r="AD26" s="129" t="n">
        <v>0</v>
      </c>
      <c r="AE26" s="233"/>
      <c r="AF26" s="234"/>
      <c r="AG26" s="129" t="n">
        <v>34</v>
      </c>
      <c r="AH26" s="102" t="n">
        <f aca="false">AH25-AG26</f>
        <v>653</v>
      </c>
      <c r="AI26" s="130"/>
      <c r="AJ26" s="128" t="n">
        <f aca="false">N26+O26+P26+Q26+R26+S26+T26+W26+AD26+AG26</f>
        <v>93.8</v>
      </c>
      <c r="AK26" s="129" t="n">
        <f aca="false">IF(L26&lt;0,L26*-1,0)</f>
        <v>15.2869926896899</v>
      </c>
      <c r="AL26" s="129" t="n">
        <f aca="false">AJ26+AK26</f>
        <v>109.08699268969</v>
      </c>
      <c r="AM26" s="205" t="n">
        <f aca="false">AM25+(W26*1.9835)</f>
        <v>9698.5216</v>
      </c>
      <c r="AN26" s="130"/>
      <c r="AO26" s="129"/>
      <c r="AP26" s="102"/>
      <c r="AQ26" s="102"/>
      <c r="AR26" s="206"/>
      <c r="AT26" s="166"/>
      <c r="AU26" s="207" t="n">
        <v>0</v>
      </c>
      <c r="AV26" s="200" t="n">
        <v>44</v>
      </c>
      <c r="AW26" s="200" t="n">
        <v>16</v>
      </c>
      <c r="AX26" s="280"/>
      <c r="AY26" s="235" t="n">
        <f aca="false">SUM(N26,P26:T26)</f>
        <v>2.8</v>
      </c>
    </row>
    <row r="27" customFormat="false" ht="12.95" hidden="false" customHeight="true" outlineLevel="0" collapsed="false">
      <c r="A27" s="173" t="n">
        <f aca="false">A26+1</f>
        <v>13</v>
      </c>
      <c r="B27" s="101" t="n">
        <v>6891.07</v>
      </c>
      <c r="C27" s="102" t="n">
        <v>251809</v>
      </c>
      <c r="D27" s="200" t="n">
        <f aca="false">C27-C26</f>
        <v>-69</v>
      </c>
      <c r="E27" s="102" t="n">
        <f aca="false">C27-152000</f>
        <v>99809</v>
      </c>
      <c r="F27" s="231" t="n">
        <f aca="false">D27/$D$2</f>
        <v>-34.7869926896899</v>
      </c>
      <c r="G27" s="1" t="n">
        <v>79</v>
      </c>
      <c r="H27" s="4" t="n">
        <v>1.6</v>
      </c>
      <c r="I27" s="129" t="n">
        <f aca="false">G27+H27</f>
        <v>80.6</v>
      </c>
      <c r="J27" s="130" t="n">
        <f aca="false">IF(L27&gt;0,L27,0)</f>
        <v>0</v>
      </c>
      <c r="K27" s="129" t="n">
        <f aca="false">I27+J27</f>
        <v>80.6</v>
      </c>
      <c r="L27" s="129" t="n">
        <f aca="false">F27-(I27-AJ27)</f>
        <v>-21.6869926896899</v>
      </c>
      <c r="M27" s="233" t="n">
        <v>2.7</v>
      </c>
      <c r="N27" s="129" t="n">
        <v>0</v>
      </c>
      <c r="O27" s="129" t="n">
        <v>0</v>
      </c>
      <c r="P27" s="149" t="n">
        <v>0</v>
      </c>
      <c r="Q27" s="283" t="n">
        <f aca="false">1.619*1.02</f>
        <v>1.65138</v>
      </c>
      <c r="R27" s="283" t="n">
        <v>2.04</v>
      </c>
      <c r="S27" s="126" t="n">
        <v>0</v>
      </c>
      <c r="T27" s="91" t="n">
        <f aca="false">M27-(Q27+R27+S27)</f>
        <v>-0.99138</v>
      </c>
      <c r="U27" s="129" t="n">
        <v>57</v>
      </c>
      <c r="V27" s="129" t="n">
        <v>0</v>
      </c>
      <c r="W27" s="129" t="n">
        <f aca="false">M27-N27-O27-P27-Q27-R27-S27-T27+U27+V27</f>
        <v>57</v>
      </c>
      <c r="X27" s="129" t="n">
        <f aca="false">W27-AN27</f>
        <v>57</v>
      </c>
      <c r="Y27" s="129"/>
      <c r="Z27" s="129"/>
      <c r="AA27" s="102"/>
      <c r="AB27" s="102"/>
      <c r="AC27" s="102"/>
      <c r="AD27" s="129" t="n">
        <v>0</v>
      </c>
      <c r="AE27" s="233"/>
      <c r="AF27" s="234"/>
      <c r="AG27" s="129" t="n">
        <v>34</v>
      </c>
      <c r="AH27" s="102" t="n">
        <f aca="false">AH26-AG27</f>
        <v>619</v>
      </c>
      <c r="AI27" s="130"/>
      <c r="AJ27" s="128" t="n">
        <f aca="false">N27+O27+P27+Q27+R27+S27+T27+W27+AD27+AG27</f>
        <v>93.7</v>
      </c>
      <c r="AK27" s="129" t="n">
        <f aca="false">IF(L27&lt;0,L27*-1,0)</f>
        <v>21.6869926896899</v>
      </c>
      <c r="AL27" s="129" t="n">
        <f aca="false">AJ27+AK27</f>
        <v>115.38699268969</v>
      </c>
      <c r="AM27" s="205" t="n">
        <f aca="false">AM26+(W27*1.9835)</f>
        <v>9811.5811</v>
      </c>
      <c r="AN27" s="130"/>
      <c r="AO27" s="129"/>
      <c r="AP27" s="102"/>
      <c r="AQ27" s="102"/>
      <c r="AR27" s="206"/>
      <c r="AT27" s="166"/>
      <c r="AU27" s="207" t="n">
        <v>0.01</v>
      </c>
      <c r="AV27" s="200" t="n">
        <v>48</v>
      </c>
      <c r="AW27" s="200" t="n">
        <v>20</v>
      </c>
      <c r="AX27" s="280"/>
      <c r="AY27" s="235" t="n">
        <f aca="false">SUM(N27,P27:T27)</f>
        <v>2.7</v>
      </c>
    </row>
    <row r="28" customFormat="false" ht="12.95" hidden="false" customHeight="true" outlineLevel="0" collapsed="false">
      <c r="A28" s="173" t="n">
        <f aca="false">A27+1</f>
        <v>14</v>
      </c>
      <c r="B28" s="101" t="n">
        <v>6891.08</v>
      </c>
      <c r="C28" s="102" t="n">
        <v>251844</v>
      </c>
      <c r="D28" s="200" t="n">
        <f aca="false">C28-C27</f>
        <v>35</v>
      </c>
      <c r="E28" s="102" t="n">
        <f aca="false">C28-152000</f>
        <v>99844</v>
      </c>
      <c r="F28" s="231" t="n">
        <f aca="false">D28/$D$2</f>
        <v>17.6455760020166</v>
      </c>
      <c r="G28" s="1" t="n">
        <v>85</v>
      </c>
      <c r="H28" s="4" t="n">
        <v>1.7</v>
      </c>
      <c r="I28" s="129" t="n">
        <f aca="false">G28+H28</f>
        <v>86.7</v>
      </c>
      <c r="J28" s="130" t="n">
        <f aca="false">IF(L28&gt;0,L28,0)</f>
        <v>24.8455760020166</v>
      </c>
      <c r="K28" s="129" t="n">
        <f aca="false">I28+J28</f>
        <v>111.545576002017</v>
      </c>
      <c r="L28" s="129" t="n">
        <f aca="false">F28-(I28-AJ28)</f>
        <v>24.8455760020166</v>
      </c>
      <c r="M28" s="233" t="n">
        <v>2.9</v>
      </c>
      <c r="N28" s="129" t="n">
        <v>0</v>
      </c>
      <c r="O28" s="129" t="n">
        <v>0</v>
      </c>
      <c r="P28" s="149" t="n">
        <v>0</v>
      </c>
      <c r="Q28" s="283" t="n">
        <f aca="false">1.619*1.02</f>
        <v>1.65138</v>
      </c>
      <c r="R28" s="283" t="n">
        <v>2.23</v>
      </c>
      <c r="S28" s="126" t="n">
        <v>0</v>
      </c>
      <c r="T28" s="91" t="n">
        <f aca="false">M28-(Q28+R28+S28)</f>
        <v>-0.98138</v>
      </c>
      <c r="U28" s="129" t="n">
        <v>57</v>
      </c>
      <c r="V28" s="129" t="n">
        <v>0</v>
      </c>
      <c r="W28" s="129" t="n">
        <f aca="false">M28-N28-O28-P28-Q28-R28-S28-T28+U28+V28</f>
        <v>57</v>
      </c>
      <c r="X28" s="129" t="n">
        <f aca="false">W28-AN28</f>
        <v>57</v>
      </c>
      <c r="Y28" s="129"/>
      <c r="Z28" s="129"/>
      <c r="AA28" s="102"/>
      <c r="AB28" s="102"/>
      <c r="AC28" s="102"/>
      <c r="AD28" s="129" t="n">
        <v>0</v>
      </c>
      <c r="AE28" s="233"/>
      <c r="AF28" s="234"/>
      <c r="AG28" s="129" t="n">
        <v>34</v>
      </c>
      <c r="AH28" s="102" t="n">
        <f aca="false">AH27-AG28</f>
        <v>585</v>
      </c>
      <c r="AI28" s="130"/>
      <c r="AJ28" s="128" t="n">
        <f aca="false">N28+O28+P28+Q28+R28+S28+T28+W28+AD28+AG28</f>
        <v>93.9</v>
      </c>
      <c r="AK28" s="129" t="n">
        <f aca="false">IF(L28&lt;0,L28*-1,0)</f>
        <v>0</v>
      </c>
      <c r="AL28" s="129" t="n">
        <f aca="false">AJ28+AK28</f>
        <v>93.9</v>
      </c>
      <c r="AM28" s="205" t="n">
        <f aca="false">AM27+(W28*1.9835)</f>
        <v>9924.6406</v>
      </c>
      <c r="AN28" s="130"/>
      <c r="AO28" s="129"/>
      <c r="AP28" s="102"/>
      <c r="AQ28" s="102"/>
      <c r="AR28" s="206"/>
      <c r="AT28" s="166"/>
      <c r="AU28" s="207" t="n">
        <v>0.17</v>
      </c>
      <c r="AV28" s="206" t="n">
        <v>39</v>
      </c>
      <c r="AW28" s="200" t="n">
        <v>27</v>
      </c>
      <c r="AX28" s="280"/>
      <c r="AY28" s="235" t="n">
        <f aca="false">SUM(N28,P28:T28)</f>
        <v>2.9</v>
      </c>
    </row>
    <row r="29" customFormat="false" ht="12.95" hidden="false" customHeight="true" outlineLevel="0" collapsed="false">
      <c r="A29" s="173" t="n">
        <f aca="false">A28+1</f>
        <v>15</v>
      </c>
      <c r="B29" s="101" t="n">
        <v>6891.06</v>
      </c>
      <c r="C29" s="102" t="n">
        <v>251775</v>
      </c>
      <c r="D29" s="200" t="n">
        <f aca="false">C29-C28</f>
        <v>-69</v>
      </c>
      <c r="E29" s="102" t="n">
        <f aca="false">C29-152000</f>
        <v>99775</v>
      </c>
      <c r="F29" s="231" t="n">
        <f aca="false">D29/$D$2</f>
        <v>-34.7869926896899</v>
      </c>
      <c r="G29" s="1" t="n">
        <v>89</v>
      </c>
      <c r="H29" s="4" t="n">
        <v>1.7</v>
      </c>
      <c r="I29" s="129" t="n">
        <f aca="false">G29+H29</f>
        <v>90.7</v>
      </c>
      <c r="J29" s="130" t="n">
        <f aca="false">IF(L29&gt;0,L29,0)</f>
        <v>0</v>
      </c>
      <c r="K29" s="129" t="n">
        <f aca="false">I29+J29</f>
        <v>90.7</v>
      </c>
      <c r="L29" s="129" t="n">
        <f aca="false">F29-(I29-AJ29)</f>
        <v>-30.3869926896899</v>
      </c>
      <c r="M29" s="233" t="n">
        <v>4.1</v>
      </c>
      <c r="N29" s="129" t="n">
        <v>0</v>
      </c>
      <c r="O29" s="129" t="n">
        <v>0</v>
      </c>
      <c r="P29" s="149" t="n">
        <v>0</v>
      </c>
      <c r="Q29" s="283" t="n">
        <f aca="false">1.619*1.02</f>
        <v>1.65138</v>
      </c>
      <c r="R29" s="283" t="n">
        <v>2.02</v>
      </c>
      <c r="S29" s="126" t="n">
        <v>0</v>
      </c>
      <c r="T29" s="91" t="n">
        <f aca="false">M29-(Q29+R29+S29)</f>
        <v>0.42862</v>
      </c>
      <c r="U29" s="129" t="n">
        <v>57</v>
      </c>
      <c r="V29" s="129" t="n">
        <v>0</v>
      </c>
      <c r="W29" s="129" t="n">
        <f aca="false">M29-N29-O29-P29-Q29-R29-S29-T29+U29+V29</f>
        <v>57</v>
      </c>
      <c r="X29" s="129" t="n">
        <f aca="false">W29-AN29</f>
        <v>57</v>
      </c>
      <c r="Y29" s="129"/>
      <c r="Z29" s="129"/>
      <c r="AA29" s="102"/>
      <c r="AB29" s="102"/>
      <c r="AC29" s="102"/>
      <c r="AD29" s="129" t="n">
        <v>0</v>
      </c>
      <c r="AE29" s="233"/>
      <c r="AF29" s="234"/>
      <c r="AG29" s="129" t="n">
        <v>34</v>
      </c>
      <c r="AH29" s="102" t="n">
        <f aca="false">AH28-AG29</f>
        <v>551</v>
      </c>
      <c r="AI29" s="130"/>
      <c r="AJ29" s="128" t="n">
        <f aca="false">N29+O29+P29+Q29+R29+S29+T29+W29+AD29+AG29</f>
        <v>95.1</v>
      </c>
      <c r="AK29" s="129" t="n">
        <f aca="false">IF(L29&lt;0,L29*-1,0)</f>
        <v>30.3869926896899</v>
      </c>
      <c r="AL29" s="129" t="n">
        <f aca="false">AJ29+AK29</f>
        <v>125.48699268969</v>
      </c>
      <c r="AM29" s="205" t="n">
        <f aca="false">AM28+(U29*1.9835)</f>
        <v>10037.7001</v>
      </c>
      <c r="AN29" s="130"/>
      <c r="AO29" s="129"/>
      <c r="AP29" s="102"/>
      <c r="AQ29" s="102"/>
      <c r="AR29" s="206"/>
      <c r="AT29" s="166"/>
      <c r="AU29" s="207" t="n">
        <v>0.07</v>
      </c>
      <c r="AV29" s="206" t="n">
        <v>46</v>
      </c>
      <c r="AW29" s="200" t="n">
        <v>12</v>
      </c>
      <c r="AX29" s="280"/>
      <c r="AY29" s="235" t="n">
        <f aca="false">SUM(N29,P29:T29)</f>
        <v>4.1</v>
      </c>
    </row>
    <row r="30" customFormat="false" ht="12.95" hidden="false" customHeight="true" outlineLevel="0" collapsed="false">
      <c r="A30" s="173" t="n">
        <f aca="false">A29+1</f>
        <v>16</v>
      </c>
      <c r="B30" s="101" t="n">
        <v>6891.04</v>
      </c>
      <c r="C30" s="102" t="n">
        <v>251706</v>
      </c>
      <c r="D30" s="200" t="n">
        <f aca="false">C30-C29</f>
        <v>-69</v>
      </c>
      <c r="E30" s="102" t="n">
        <f aca="false">C30-152000</f>
        <v>99706</v>
      </c>
      <c r="F30" s="231" t="n">
        <f aca="false">D30/$D$2</f>
        <v>-34.7869926896899</v>
      </c>
      <c r="G30" s="1" t="n">
        <v>102</v>
      </c>
      <c r="H30" s="4" t="n">
        <v>1.8</v>
      </c>
      <c r="I30" s="129" t="n">
        <f aca="false">G30+H30</f>
        <v>103.8</v>
      </c>
      <c r="J30" s="130" t="n">
        <f aca="false">IF(L30&gt;0,L30,0)</f>
        <v>0</v>
      </c>
      <c r="K30" s="129" t="n">
        <f aca="false">I30+J30</f>
        <v>103.8</v>
      </c>
      <c r="L30" s="129" t="n">
        <f aca="false">F30-(I30-AJ30)</f>
        <v>-43.0869926896899</v>
      </c>
      <c r="M30" s="233" t="n">
        <v>4.5</v>
      </c>
      <c r="N30" s="129" t="n">
        <v>0</v>
      </c>
      <c r="O30" s="129" t="n">
        <v>0</v>
      </c>
      <c r="P30" s="149" t="n">
        <v>0</v>
      </c>
      <c r="Q30" s="283" t="n">
        <f aca="false">1.619*1.02</f>
        <v>1.65138</v>
      </c>
      <c r="R30" s="283" t="n">
        <v>2.98</v>
      </c>
      <c r="S30" s="126" t="n">
        <v>0</v>
      </c>
      <c r="T30" s="91" t="n">
        <f aca="false">M30-(Q30+R30+S30)</f>
        <v>-0.13138</v>
      </c>
      <c r="U30" s="129" t="n">
        <v>57</v>
      </c>
      <c r="V30" s="129" t="n">
        <v>0</v>
      </c>
      <c r="W30" s="129" t="n">
        <f aca="false">M30-N30-O30-P30-Q30-R30-S30-T30+U30+V30</f>
        <v>57</v>
      </c>
      <c r="X30" s="129" t="n">
        <f aca="false">W30-AN30</f>
        <v>57</v>
      </c>
      <c r="Y30" s="129"/>
      <c r="Z30" s="129"/>
      <c r="AA30" s="102"/>
      <c r="AB30" s="102"/>
      <c r="AC30" s="102"/>
      <c r="AD30" s="129" t="n">
        <v>0</v>
      </c>
      <c r="AE30" s="233"/>
      <c r="AF30" s="234"/>
      <c r="AG30" s="129" t="n">
        <v>34</v>
      </c>
      <c r="AH30" s="102" t="n">
        <f aca="false">AH29-AG30</f>
        <v>517</v>
      </c>
      <c r="AI30" s="130"/>
      <c r="AJ30" s="128" t="n">
        <f aca="false">N30+O30+P30+Q30+R30+S30+T30+W30+AD30+AG30</f>
        <v>95.5</v>
      </c>
      <c r="AK30" s="129" t="n">
        <f aca="false">IF(L30&lt;0,L30*-1,0)</f>
        <v>43.0869926896899</v>
      </c>
      <c r="AL30" s="129" t="n">
        <f aca="false">AJ30+AK30</f>
        <v>138.58699268969</v>
      </c>
      <c r="AM30" s="205" t="n">
        <f aca="false">AM29+(U30*1.9835)</f>
        <v>10150.7596</v>
      </c>
      <c r="AN30" s="130"/>
      <c r="AO30" s="129"/>
      <c r="AP30" s="96"/>
      <c r="AQ30" s="96"/>
      <c r="AR30" s="206"/>
      <c r="AT30" s="166"/>
      <c r="AU30" s="207" t="n">
        <v>0</v>
      </c>
      <c r="AV30" s="206" t="n">
        <v>49</v>
      </c>
      <c r="AW30" s="200" t="n">
        <v>24</v>
      </c>
      <c r="AX30" s="280"/>
      <c r="AY30" s="235" t="n">
        <f aca="false">SUM(N30,P30:T30)</f>
        <v>4.5</v>
      </c>
    </row>
    <row r="31" customFormat="false" ht="12.95" hidden="false" customHeight="true" outlineLevel="0" collapsed="false">
      <c r="A31" s="173" t="n">
        <v>17</v>
      </c>
      <c r="B31" s="101" t="n">
        <v>6891.02</v>
      </c>
      <c r="C31" s="102" t="n">
        <v>251638</v>
      </c>
      <c r="D31" s="200" t="n">
        <f aca="false">C31-C30</f>
        <v>-68</v>
      </c>
      <c r="E31" s="102" t="n">
        <f aca="false">C31-152000</f>
        <v>99638</v>
      </c>
      <c r="F31" s="231" t="n">
        <f aca="false">D31/$D$2</f>
        <v>-34.2828333753466</v>
      </c>
      <c r="G31" s="1" t="n">
        <v>108</v>
      </c>
      <c r="H31" s="4" t="n">
        <v>2.3</v>
      </c>
      <c r="I31" s="129" t="n">
        <f aca="false">G31+H31</f>
        <v>110.3</v>
      </c>
      <c r="J31" s="130" t="n">
        <f aca="false">IF(L31&gt;0,L31,0)</f>
        <v>0</v>
      </c>
      <c r="K31" s="129" t="n">
        <f aca="false">I31+J31</f>
        <v>110.3</v>
      </c>
      <c r="L31" s="129" t="n">
        <f aca="false">F31-(I31-AJ31)</f>
        <v>-49.9828333753466</v>
      </c>
      <c r="M31" s="233" t="n">
        <v>3.6</v>
      </c>
      <c r="N31" s="129" t="n">
        <v>0</v>
      </c>
      <c r="O31" s="129" t="n">
        <v>0</v>
      </c>
      <c r="P31" s="149" t="n">
        <v>0</v>
      </c>
      <c r="Q31" s="283" t="n">
        <f aca="false">1.619*1.02</f>
        <v>1.65138</v>
      </c>
      <c r="R31" s="283" t="n">
        <v>4.2</v>
      </c>
      <c r="S31" s="126" t="n">
        <v>0.2</v>
      </c>
      <c r="T31" s="91" t="n">
        <f aca="false">M31-(Q31+R31+S31)</f>
        <v>-2.45138</v>
      </c>
      <c r="U31" s="129" t="n">
        <v>57</v>
      </c>
      <c r="V31" s="129" t="n">
        <v>0</v>
      </c>
      <c r="W31" s="129" t="n">
        <f aca="false">M31-N31-O31-P31-Q31-R31-S31-T31+U31+V31</f>
        <v>57</v>
      </c>
      <c r="X31" s="129" t="n">
        <f aca="false">W31-AN31</f>
        <v>57</v>
      </c>
      <c r="Y31" s="129"/>
      <c r="Z31" s="129"/>
      <c r="AA31" s="102"/>
      <c r="AB31" s="102"/>
      <c r="AC31" s="102"/>
      <c r="AD31" s="129" t="n">
        <v>0</v>
      </c>
      <c r="AE31" s="233"/>
      <c r="AF31" s="234"/>
      <c r="AG31" s="129" t="n">
        <v>34</v>
      </c>
      <c r="AH31" s="102" t="n">
        <f aca="false">AH30-AG31</f>
        <v>483</v>
      </c>
      <c r="AI31" s="130"/>
      <c r="AJ31" s="128" t="n">
        <f aca="false">N31+O31+P31+Q31+R31+S31+T31+W31+AD31+AG31</f>
        <v>94.6</v>
      </c>
      <c r="AK31" s="129" t="n">
        <f aca="false">IF(L31&lt;0,L31*-1,0)</f>
        <v>49.9828333753466</v>
      </c>
      <c r="AL31" s="129" t="n">
        <f aca="false">AJ31+AK31</f>
        <v>144.582833375347</v>
      </c>
      <c r="AM31" s="205" t="n">
        <f aca="false">AM30+(U31*1.9835)</f>
        <v>10263.8191</v>
      </c>
      <c r="AN31" s="130"/>
      <c r="AO31" s="129"/>
      <c r="AP31" s="102"/>
      <c r="AQ31" s="102"/>
      <c r="AR31" s="206"/>
      <c r="AT31" s="166"/>
      <c r="AU31" s="207" t="n">
        <v>0</v>
      </c>
      <c r="AV31" s="206" t="n">
        <v>55</v>
      </c>
      <c r="AW31" s="200" t="n">
        <v>20</v>
      </c>
      <c r="AX31" s="280"/>
      <c r="AY31" s="235" t="n">
        <f aca="false">SUM(N31,P31:T31)</f>
        <v>3.6</v>
      </c>
    </row>
    <row r="32" customFormat="false" ht="12.95" hidden="false" customHeight="true" outlineLevel="0" collapsed="false">
      <c r="A32" s="173" t="n">
        <f aca="false">A31+1</f>
        <v>18</v>
      </c>
      <c r="B32" s="101" t="n">
        <v>6891.02</v>
      </c>
      <c r="C32" s="102" t="n">
        <v>251638</v>
      </c>
      <c r="D32" s="200" t="n">
        <f aca="false">C32-C31</f>
        <v>0</v>
      </c>
      <c r="E32" s="102" t="n">
        <f aca="false">C32-152000</f>
        <v>99638</v>
      </c>
      <c r="F32" s="231" t="n">
        <f aca="false">D32/$D$2</f>
        <v>0</v>
      </c>
      <c r="G32" s="1" t="n">
        <v>121</v>
      </c>
      <c r="H32" s="4" t="n">
        <v>3.1</v>
      </c>
      <c r="I32" s="129" t="n">
        <f aca="false">G32+H32</f>
        <v>124.1</v>
      </c>
      <c r="J32" s="130" t="n">
        <f aca="false">IF(L32&gt;0,L32,0)</f>
        <v>0</v>
      </c>
      <c r="K32" s="129" t="n">
        <f aca="false">I32+J32</f>
        <v>124.1</v>
      </c>
      <c r="L32" s="129" t="n">
        <f aca="false">F32-(I32-AJ32)</f>
        <v>-31.4</v>
      </c>
      <c r="M32" s="233" t="n">
        <v>2.7</v>
      </c>
      <c r="N32" s="129" t="n">
        <v>0</v>
      </c>
      <c r="O32" s="129" t="n">
        <v>0</v>
      </c>
      <c r="P32" s="149" t="n">
        <v>0</v>
      </c>
      <c r="Q32" s="283" t="n">
        <f aca="false">1.619*1.02</f>
        <v>1.65138</v>
      </c>
      <c r="R32" s="283" t="n">
        <v>2.34</v>
      </c>
      <c r="S32" s="126" t="n">
        <v>0</v>
      </c>
      <c r="T32" s="91" t="n">
        <f aca="false">M32-(Q32+R32+S32)</f>
        <v>-1.29138</v>
      </c>
      <c r="U32" s="129" t="n">
        <v>57</v>
      </c>
      <c r="V32" s="129" t="n">
        <v>0</v>
      </c>
      <c r="W32" s="129" t="n">
        <f aca="false">M32-N32-O32-P32-Q32-R32-S32-T32+U32+V32</f>
        <v>57</v>
      </c>
      <c r="X32" s="129" t="n">
        <f aca="false">W32-AN32</f>
        <v>57</v>
      </c>
      <c r="Y32" s="129"/>
      <c r="Z32" s="129"/>
      <c r="AA32" s="102"/>
      <c r="AB32" s="102"/>
      <c r="AC32" s="102"/>
      <c r="AD32" s="129" t="n">
        <v>0</v>
      </c>
      <c r="AE32" s="233"/>
      <c r="AF32" s="234"/>
      <c r="AG32" s="129" t="n">
        <v>33</v>
      </c>
      <c r="AH32" s="102" t="n">
        <f aca="false">AH31-AG32</f>
        <v>450</v>
      </c>
      <c r="AI32" s="130"/>
      <c r="AJ32" s="128" t="n">
        <f aca="false">N32+O32+P32+Q32+R32+S32+T32+W32+AD32+AG32</f>
        <v>92.7</v>
      </c>
      <c r="AK32" s="129" t="n">
        <f aca="false">IF(L32&lt;0,L32*-1,0)</f>
        <v>31.4</v>
      </c>
      <c r="AL32" s="129" t="n">
        <f aca="false">AJ32+AK32</f>
        <v>124.1</v>
      </c>
      <c r="AM32" s="205" t="n">
        <f aca="false">AM31+(U32*1.9835)</f>
        <v>10376.8786</v>
      </c>
      <c r="AN32" s="130"/>
      <c r="AO32" s="129"/>
      <c r="AP32" s="102"/>
      <c r="AQ32" s="102"/>
      <c r="AR32" s="206"/>
      <c r="AT32" s="166"/>
      <c r="AU32" s="207" t="n">
        <v>0</v>
      </c>
      <c r="AV32" s="206" t="n">
        <v>59</v>
      </c>
      <c r="AW32" s="200" t="n">
        <v>25</v>
      </c>
      <c r="AX32" s="280"/>
      <c r="AY32" s="235" t="n">
        <f aca="false">SUM(N32,P32:T32)</f>
        <v>2.7</v>
      </c>
    </row>
    <row r="33" customFormat="false" ht="12.95" hidden="false" customHeight="true" outlineLevel="0" collapsed="false">
      <c r="A33" s="173" t="n">
        <f aca="false">A32+1</f>
        <v>19</v>
      </c>
      <c r="B33" s="101" t="n">
        <v>6891.04</v>
      </c>
      <c r="C33" s="292" t="n">
        <v>251706</v>
      </c>
      <c r="D33" s="200" t="n">
        <f aca="false">C33-C32</f>
        <v>68</v>
      </c>
      <c r="E33" s="102" t="n">
        <f aca="false">C33-152000</f>
        <v>99706</v>
      </c>
      <c r="F33" s="231" t="n">
        <f aca="false">D33/$D$2</f>
        <v>34.2828333753466</v>
      </c>
      <c r="G33" s="1" t="n">
        <v>136</v>
      </c>
      <c r="H33" s="4" t="n">
        <v>3.6</v>
      </c>
      <c r="I33" s="129" t="n">
        <f aca="false">G33+H33</f>
        <v>139.6</v>
      </c>
      <c r="J33" s="130" t="n">
        <f aca="false">IF(L33&gt;0,L33,0)</f>
        <v>0</v>
      </c>
      <c r="K33" s="129" t="n">
        <f aca="false">I33+J33</f>
        <v>139.6</v>
      </c>
      <c r="L33" s="129" t="n">
        <f aca="false">F33-(I33-AJ33)</f>
        <v>-12.0171666246534</v>
      </c>
      <c r="M33" s="233" t="n">
        <v>3.3</v>
      </c>
      <c r="N33" s="129" t="n">
        <v>0</v>
      </c>
      <c r="O33" s="129" t="n">
        <v>0</v>
      </c>
      <c r="P33" s="149" t="n">
        <v>0</v>
      </c>
      <c r="Q33" s="283" t="n">
        <f aca="false">1.619*1.02</f>
        <v>1.65138</v>
      </c>
      <c r="R33" s="283" t="n">
        <v>2.18</v>
      </c>
      <c r="S33" s="126" t="n">
        <v>0</v>
      </c>
      <c r="T33" s="91" t="n">
        <f aca="false">M33-(Q33+R33+S33)</f>
        <v>-0.53138</v>
      </c>
      <c r="U33" s="129" t="n">
        <v>57</v>
      </c>
      <c r="V33" s="129" t="n">
        <v>0</v>
      </c>
      <c r="W33" s="129" t="n">
        <f aca="false">M33-N33-O33-P33-Q33-R33-S33-T33+U33+V33</f>
        <v>57</v>
      </c>
      <c r="X33" s="129" t="n">
        <f aca="false">W33-AN33</f>
        <v>57</v>
      </c>
      <c r="Y33" s="129"/>
      <c r="Z33" s="129"/>
      <c r="AA33" s="102"/>
      <c r="AB33" s="102"/>
      <c r="AC33" s="102"/>
      <c r="AD33" s="129" t="n">
        <v>0</v>
      </c>
      <c r="AE33" s="233"/>
      <c r="AF33" s="234"/>
      <c r="AG33" s="129" t="n">
        <v>33</v>
      </c>
      <c r="AH33" s="102" t="n">
        <f aca="false">AH32-AG33</f>
        <v>417</v>
      </c>
      <c r="AI33" s="130"/>
      <c r="AJ33" s="128" t="n">
        <f aca="false">N33+O33+P33+Q33+R33+S33+T33+W33+AD33+AG33</f>
        <v>93.3</v>
      </c>
      <c r="AK33" s="129" t="n">
        <f aca="false">IF(L33&lt;0,L33*-1,0)</f>
        <v>12.0171666246534</v>
      </c>
      <c r="AL33" s="129" t="n">
        <f aca="false">AJ33+AK33</f>
        <v>105.317166624653</v>
      </c>
      <c r="AM33" s="205" t="n">
        <f aca="false">AM32+(U33*1.9835)</f>
        <v>10489.9381</v>
      </c>
      <c r="AN33" s="130"/>
      <c r="AO33" s="129"/>
      <c r="AP33" s="102"/>
      <c r="AQ33" s="102"/>
      <c r="AR33" s="206"/>
      <c r="AT33" s="166"/>
      <c r="AU33" s="207" t="n">
        <v>0.02</v>
      </c>
      <c r="AV33" s="206" t="n">
        <v>40</v>
      </c>
      <c r="AW33" s="200" t="n">
        <v>24</v>
      </c>
      <c r="AX33" s="280"/>
      <c r="AY33" s="235" t="n">
        <f aca="false">SUM(N33,P33:T33)</f>
        <v>3.3</v>
      </c>
    </row>
    <row r="34" customFormat="false" ht="12.95" hidden="false" customHeight="true" outlineLevel="0" collapsed="false">
      <c r="A34" s="173" t="n">
        <f aca="false">A33+1</f>
        <v>20</v>
      </c>
      <c r="B34" s="101" t="n">
        <v>6891.05</v>
      </c>
      <c r="C34" s="102" t="n">
        <v>251741</v>
      </c>
      <c r="D34" s="200" t="n">
        <f aca="false">C34-C33</f>
        <v>35</v>
      </c>
      <c r="E34" s="102" t="n">
        <f aca="false">C34-152000</f>
        <v>99741</v>
      </c>
      <c r="F34" s="231" t="n">
        <f aca="false">D34/$D$2</f>
        <v>17.6455760020166</v>
      </c>
      <c r="G34" s="1" t="n">
        <v>131</v>
      </c>
      <c r="H34" s="4" t="n">
        <v>4.5</v>
      </c>
      <c r="I34" s="129" t="n">
        <f aca="false">G34+H34</f>
        <v>135.5</v>
      </c>
      <c r="J34" s="130" t="n">
        <f aca="false">IF(L34&gt;0,L34,0)</f>
        <v>0</v>
      </c>
      <c r="K34" s="129" t="n">
        <f aca="false">I34+J34</f>
        <v>135.5</v>
      </c>
      <c r="L34" s="129" t="n">
        <f aca="false">F34-(I34-AJ34)</f>
        <v>-22.9544239979834</v>
      </c>
      <c r="M34" s="233" t="n">
        <v>4.9</v>
      </c>
      <c r="N34" s="129" t="n">
        <v>0</v>
      </c>
      <c r="O34" s="129" t="n">
        <v>0</v>
      </c>
      <c r="P34" s="149" t="n">
        <v>0</v>
      </c>
      <c r="Q34" s="283" t="n">
        <f aca="false">1.619*1.02</f>
        <v>1.65138</v>
      </c>
      <c r="R34" s="283" t="n">
        <v>2.19</v>
      </c>
      <c r="S34" s="126" t="n">
        <v>0</v>
      </c>
      <c r="T34" s="91" t="n">
        <f aca="false">M34-(Q34+R34+S34)</f>
        <v>1.05862</v>
      </c>
      <c r="U34" s="129" t="n">
        <v>57</v>
      </c>
      <c r="V34" s="129" t="n">
        <v>0</v>
      </c>
      <c r="W34" s="129" t="n">
        <f aca="false">M34-N34-O34-P34-Q34-R34-S34-T34+U34+V34</f>
        <v>57</v>
      </c>
      <c r="X34" s="129" t="n">
        <f aca="false">W34-AN34</f>
        <v>57</v>
      </c>
      <c r="Y34" s="129"/>
      <c r="Z34" s="129"/>
      <c r="AA34" s="102"/>
      <c r="AB34" s="102"/>
      <c r="AC34" s="102"/>
      <c r="AD34" s="129" t="n">
        <v>0</v>
      </c>
      <c r="AE34" s="233"/>
      <c r="AF34" s="234"/>
      <c r="AG34" s="129" t="n">
        <v>33</v>
      </c>
      <c r="AH34" s="102" t="n">
        <f aca="false">AH33-AG34</f>
        <v>384</v>
      </c>
      <c r="AI34" s="130"/>
      <c r="AJ34" s="128" t="n">
        <f aca="false">N34+O34+P34+Q34+R34+S34+T34+W34+AD34+AG34</f>
        <v>94.9</v>
      </c>
      <c r="AK34" s="129" t="n">
        <f aca="false">IF(L34&lt;0,L34*-1,0)</f>
        <v>22.9544239979834</v>
      </c>
      <c r="AL34" s="129" t="n">
        <f aca="false">AJ34+AK34</f>
        <v>117.854423997983</v>
      </c>
      <c r="AM34" s="205" t="n">
        <f aca="false">AM33+(U34*1.9835)</f>
        <v>10602.9976</v>
      </c>
      <c r="AN34" s="130"/>
      <c r="AO34" s="129"/>
      <c r="AP34" s="102"/>
      <c r="AQ34" s="102"/>
      <c r="AR34" s="206"/>
      <c r="AT34" s="166"/>
      <c r="AU34" s="207" t="n">
        <v>0</v>
      </c>
      <c r="AV34" s="206" t="n">
        <v>38</v>
      </c>
      <c r="AW34" s="200" t="n">
        <v>20</v>
      </c>
      <c r="AX34" s="280"/>
      <c r="AY34" s="235" t="n">
        <f aca="false">SUM(N34,P34:T34)</f>
        <v>4.9</v>
      </c>
    </row>
    <row r="35" customFormat="false" ht="12.95" hidden="false" customHeight="true" outlineLevel="0" collapsed="false">
      <c r="A35" s="173" t="n">
        <f aca="false">A34+1</f>
        <v>21</v>
      </c>
      <c r="B35" s="101" t="n">
        <v>6891.06</v>
      </c>
      <c r="C35" s="102" t="n">
        <v>251775</v>
      </c>
      <c r="D35" s="200" t="n">
        <f aca="false">C35-C34</f>
        <v>34</v>
      </c>
      <c r="E35" s="102" t="n">
        <f aca="false">C35-152000</f>
        <v>99775</v>
      </c>
      <c r="F35" s="231" t="n">
        <f aca="false">D35/$D$2</f>
        <v>17.1414166876733</v>
      </c>
      <c r="G35" s="1" t="n">
        <v>110</v>
      </c>
      <c r="H35" s="4" t="n">
        <v>6.1</v>
      </c>
      <c r="I35" s="129" t="n">
        <f aca="false">G35+H35</f>
        <v>116.1</v>
      </c>
      <c r="J35" s="130" t="n">
        <f aca="false">IF(L35&gt;0,L35,0)</f>
        <v>0</v>
      </c>
      <c r="K35" s="129" t="n">
        <f aca="false">I35+J35</f>
        <v>116.1</v>
      </c>
      <c r="L35" s="129" t="n">
        <f aca="false">F35-(I35-AJ35)</f>
        <v>-4.95858331232669</v>
      </c>
      <c r="M35" s="233" t="n">
        <v>4</v>
      </c>
      <c r="N35" s="129" t="n">
        <v>0</v>
      </c>
      <c r="O35" s="129" t="n">
        <v>0</v>
      </c>
      <c r="P35" s="149" t="n">
        <v>0</v>
      </c>
      <c r="Q35" s="283" t="n">
        <f aca="false">1.619*1.02</f>
        <v>1.65138</v>
      </c>
      <c r="R35" s="283" t="n">
        <v>2.31</v>
      </c>
      <c r="S35" s="126" t="n">
        <v>0</v>
      </c>
      <c r="T35" s="91" t="n">
        <f aca="false">M35-(Q35+R35+S35)</f>
        <v>0.0386199999999999</v>
      </c>
      <c r="U35" s="129" t="n">
        <v>57</v>
      </c>
      <c r="V35" s="129" t="n">
        <v>0</v>
      </c>
      <c r="W35" s="129" t="n">
        <f aca="false">M35-N35-O35-P35-Q35-R35-S35-T35+U35+V35</f>
        <v>57</v>
      </c>
      <c r="X35" s="129" t="n">
        <f aca="false">W35-AN35</f>
        <v>57</v>
      </c>
      <c r="Y35" s="129"/>
      <c r="Z35" s="129"/>
      <c r="AA35" s="102"/>
      <c r="AB35" s="102"/>
      <c r="AC35" s="102"/>
      <c r="AD35" s="129" t="n">
        <v>0</v>
      </c>
      <c r="AE35" s="233"/>
      <c r="AF35" s="234"/>
      <c r="AG35" s="129" t="n">
        <v>33</v>
      </c>
      <c r="AH35" s="102" t="n">
        <f aca="false">AH34-AG35</f>
        <v>351</v>
      </c>
      <c r="AI35" s="130"/>
      <c r="AJ35" s="128" t="n">
        <f aca="false">N35+O35+P35+Q35+R35+S35+T35+W35+AD35+AG35</f>
        <v>94</v>
      </c>
      <c r="AK35" s="129" t="n">
        <f aca="false">IF(L35&lt;0,L35*-1,0)</f>
        <v>4.95858331232669</v>
      </c>
      <c r="AL35" s="129" t="n">
        <f aca="false">AJ35+AK35</f>
        <v>98.9585833123267</v>
      </c>
      <c r="AM35" s="205" t="n">
        <f aca="false">AM34+(U35*1.9835)</f>
        <v>10716.0571</v>
      </c>
      <c r="AN35" s="130"/>
      <c r="AO35" s="129"/>
      <c r="AP35" s="102"/>
      <c r="AQ35" s="102"/>
      <c r="AR35" s="206"/>
      <c r="AT35" s="166"/>
      <c r="AU35" s="207" t="n">
        <v>0</v>
      </c>
      <c r="AV35" s="200" t="n">
        <v>47</v>
      </c>
      <c r="AW35" s="200" t="n">
        <v>15</v>
      </c>
      <c r="AX35" s="280"/>
      <c r="AY35" s="235" t="n">
        <f aca="false">SUM(N35,P35:T35)</f>
        <v>4</v>
      </c>
    </row>
    <row r="36" customFormat="false" ht="12.95" hidden="false" customHeight="true" outlineLevel="0" collapsed="false">
      <c r="A36" s="173" t="n">
        <f aca="false">A35+1</f>
        <v>22</v>
      </c>
      <c r="B36" s="101" t="n">
        <v>6891.06</v>
      </c>
      <c r="C36" s="102" t="n">
        <v>251775</v>
      </c>
      <c r="D36" s="200" t="n">
        <f aca="false">C36-C35</f>
        <v>0</v>
      </c>
      <c r="E36" s="102" t="n">
        <f aca="false">C36-152000</f>
        <v>99775</v>
      </c>
      <c r="F36" s="231" t="n">
        <f aca="false">D36/$D$2</f>
        <v>0</v>
      </c>
      <c r="G36" s="1" t="n">
        <v>114</v>
      </c>
      <c r="H36" s="4" t="n">
        <v>7.5</v>
      </c>
      <c r="I36" s="129" t="n">
        <f aca="false">G36+H36</f>
        <v>121.5</v>
      </c>
      <c r="J36" s="130" t="n">
        <f aca="false">IF(L36&gt;0,L36,0)</f>
        <v>0</v>
      </c>
      <c r="K36" s="129" t="n">
        <f aca="false">I36+J36</f>
        <v>121.5</v>
      </c>
      <c r="L36" s="129" t="n">
        <f aca="false">F36-(I36-AJ36)</f>
        <v>-5.90000000000001</v>
      </c>
      <c r="M36" s="233" t="n">
        <v>3.6</v>
      </c>
      <c r="N36" s="129" t="n">
        <v>0</v>
      </c>
      <c r="O36" s="129" t="n">
        <v>0</v>
      </c>
      <c r="P36" s="149" t="n">
        <v>0</v>
      </c>
      <c r="Q36" s="283" t="n">
        <f aca="false">1.619*1.02</f>
        <v>1.65138</v>
      </c>
      <c r="R36" s="283" t="n">
        <v>2.26</v>
      </c>
      <c r="S36" s="126" t="n">
        <v>0</v>
      </c>
      <c r="T36" s="91" t="n">
        <f aca="false">M36-(Q36+R36+S36)</f>
        <v>-0.31138</v>
      </c>
      <c r="U36" s="129" t="n">
        <v>79</v>
      </c>
      <c r="V36" s="129" t="n">
        <v>0</v>
      </c>
      <c r="W36" s="129" t="n">
        <f aca="false">M36-N36-O36-P36-Q36-R36-S36-T36+U36+V36</f>
        <v>79</v>
      </c>
      <c r="X36" s="129" t="n">
        <f aca="false">W36-AN36</f>
        <v>79</v>
      </c>
      <c r="Y36" s="129"/>
      <c r="Z36" s="129"/>
      <c r="AA36" s="102"/>
      <c r="AB36" s="102"/>
      <c r="AC36" s="102"/>
      <c r="AD36" s="129" t="n">
        <v>0</v>
      </c>
      <c r="AE36" s="233"/>
      <c r="AF36" s="234"/>
      <c r="AG36" s="129" t="n">
        <v>33</v>
      </c>
      <c r="AH36" s="102" t="n">
        <f aca="false">AH35-AG36</f>
        <v>318</v>
      </c>
      <c r="AI36" s="130"/>
      <c r="AJ36" s="128" t="n">
        <f aca="false">N36+O36+P36+Q36+R36+S36+T36+W36+AD36+AG36</f>
        <v>115.6</v>
      </c>
      <c r="AK36" s="129" t="n">
        <f aca="false">IF(L36&lt;0,L36*-1,0)</f>
        <v>5.90000000000001</v>
      </c>
      <c r="AL36" s="129" t="n">
        <f aca="false">AJ36+AK36</f>
        <v>121.5</v>
      </c>
      <c r="AM36" s="205" t="n">
        <f aca="false">AM35+(U36*1.9835)</f>
        <v>10872.7536</v>
      </c>
      <c r="AN36" s="130"/>
      <c r="AO36" s="129"/>
      <c r="AP36" s="102"/>
      <c r="AQ36" s="102"/>
      <c r="AR36" s="206"/>
      <c r="AT36" s="166"/>
      <c r="AU36" s="207" t="n">
        <v>0</v>
      </c>
      <c r="AV36" s="200" t="n">
        <v>55</v>
      </c>
      <c r="AW36" s="200" t="n">
        <v>25</v>
      </c>
      <c r="AX36" s="280"/>
      <c r="AY36" s="235" t="n">
        <f aca="false">SUM(N36,P36:T36)</f>
        <v>3.6</v>
      </c>
    </row>
    <row r="37" customFormat="false" ht="12.95" hidden="false" customHeight="true" outlineLevel="0" collapsed="false">
      <c r="A37" s="173" t="n">
        <f aca="false">A36+1</f>
        <v>23</v>
      </c>
      <c r="B37" s="101" t="n">
        <v>6891.05</v>
      </c>
      <c r="C37" s="102" t="n">
        <v>251741</v>
      </c>
      <c r="D37" s="200" t="n">
        <f aca="false">C37-C36</f>
        <v>-34</v>
      </c>
      <c r="E37" s="102" t="n">
        <f aca="false">C37-152000</f>
        <v>99741</v>
      </c>
      <c r="F37" s="231" t="n">
        <f aca="false">D37/$D$2</f>
        <v>-17.1414166876733</v>
      </c>
      <c r="G37" s="1" t="n">
        <v>117</v>
      </c>
      <c r="H37" s="4" t="n">
        <v>9.8</v>
      </c>
      <c r="I37" s="129" t="n">
        <f aca="false">G37+H37</f>
        <v>126.8</v>
      </c>
      <c r="J37" s="130" t="n">
        <f aca="false">IF(L37&gt;0,L37,0)</f>
        <v>0</v>
      </c>
      <c r="K37" s="129" t="n">
        <f aca="false">I37+J37</f>
        <v>126.8</v>
      </c>
      <c r="L37" s="129" t="n">
        <f aca="false">F37-(I37-AJ37)</f>
        <v>-8.4414166876733</v>
      </c>
      <c r="M37" s="233" t="n">
        <v>6.5</v>
      </c>
      <c r="N37" s="129" t="n">
        <v>0</v>
      </c>
      <c r="O37" s="129" t="n">
        <v>0</v>
      </c>
      <c r="P37" s="149" t="n">
        <v>0</v>
      </c>
      <c r="Q37" s="283" t="n">
        <f aca="false">1.619*1.02</f>
        <v>1.65138</v>
      </c>
      <c r="R37" s="283" t="n">
        <v>2.3</v>
      </c>
      <c r="S37" s="126" t="n">
        <v>0</v>
      </c>
      <c r="T37" s="91" t="n">
        <f aca="false">M37-(Q37+R37+S37)</f>
        <v>2.54862</v>
      </c>
      <c r="U37" s="129" t="n">
        <v>96</v>
      </c>
      <c r="V37" s="129" t="n">
        <v>0</v>
      </c>
      <c r="W37" s="129" t="n">
        <f aca="false">M37-N37-O37-P37-Q37-R37-S37-T37+U37+V37</f>
        <v>96</v>
      </c>
      <c r="X37" s="129" t="n">
        <f aca="false">W37-AN37</f>
        <v>96</v>
      </c>
      <c r="Y37" s="129"/>
      <c r="Z37" s="129"/>
      <c r="AA37" s="102"/>
      <c r="AB37" s="102"/>
      <c r="AC37" s="102"/>
      <c r="AD37" s="129" t="n">
        <v>0</v>
      </c>
      <c r="AE37" s="233"/>
      <c r="AF37" s="234"/>
      <c r="AG37" s="129" t="n">
        <v>33</v>
      </c>
      <c r="AH37" s="102" t="n">
        <f aca="false">AH36-AG37</f>
        <v>285</v>
      </c>
      <c r="AI37" s="130"/>
      <c r="AJ37" s="128" t="n">
        <f aca="false">N37+O37+P37+Q37+R37+S37+T37+W37+AD37+AG37</f>
        <v>135.5</v>
      </c>
      <c r="AK37" s="129" t="n">
        <f aca="false">IF(L37&lt;0,L37*-1,0)</f>
        <v>8.4414166876733</v>
      </c>
      <c r="AL37" s="129" t="n">
        <f aca="false">AJ37+AK37</f>
        <v>143.941416687673</v>
      </c>
      <c r="AM37" s="205" t="n">
        <f aca="false">AM36+(U37*1.9835)</f>
        <v>11063.1696</v>
      </c>
      <c r="AN37" s="130"/>
      <c r="AO37" s="129"/>
      <c r="AP37" s="102"/>
      <c r="AQ37" s="102"/>
      <c r="AR37" s="206"/>
      <c r="AT37" s="166"/>
      <c r="AU37" s="207" t="n">
        <v>0</v>
      </c>
      <c r="AV37" s="200" t="n">
        <v>43</v>
      </c>
      <c r="AW37" s="206" t="n">
        <v>23</v>
      </c>
      <c r="AX37" s="280"/>
      <c r="AY37" s="235" t="n">
        <f aca="false">SUM(N37,P37:T37)</f>
        <v>6.5</v>
      </c>
    </row>
    <row r="38" customFormat="false" ht="12.95" hidden="false" customHeight="true" outlineLevel="0" collapsed="false">
      <c r="A38" s="173" t="n">
        <f aca="false">A37+1</f>
        <v>24</v>
      </c>
      <c r="B38" s="101" t="n">
        <v>6891.04</v>
      </c>
      <c r="C38" s="102" t="n">
        <v>251706</v>
      </c>
      <c r="D38" s="200" t="n">
        <f aca="false">C38-C37</f>
        <v>-35</v>
      </c>
      <c r="E38" s="102" t="n">
        <f aca="false">C38-152000</f>
        <v>99706</v>
      </c>
      <c r="F38" s="231" t="n">
        <f aca="false">D38/$D$2</f>
        <v>-17.6455760020166</v>
      </c>
      <c r="G38" s="1" t="n">
        <v>124</v>
      </c>
      <c r="H38" s="4" t="n">
        <v>11</v>
      </c>
      <c r="I38" s="129" t="n">
        <f aca="false">G38+H38</f>
        <v>135</v>
      </c>
      <c r="J38" s="130" t="n">
        <f aca="false">IF(L38&gt;0,L38,0)</f>
        <v>0.354423997983364</v>
      </c>
      <c r="K38" s="129" t="n">
        <f aca="false">I38+J38</f>
        <v>135.354423997983</v>
      </c>
      <c r="L38" s="129" t="n">
        <f aca="false">F38-(I38-AJ38)</f>
        <v>0.354423997983364</v>
      </c>
      <c r="M38" s="233" t="n">
        <v>25</v>
      </c>
      <c r="N38" s="129" t="n">
        <v>0</v>
      </c>
      <c r="O38" s="129" t="n">
        <v>0</v>
      </c>
      <c r="P38" s="149" t="n">
        <v>0</v>
      </c>
      <c r="Q38" s="283" t="n">
        <f aca="false">1.619*1.02</f>
        <v>1.65138</v>
      </c>
      <c r="R38" s="283" t="n">
        <v>2.45</v>
      </c>
      <c r="S38" s="126" t="n">
        <v>0</v>
      </c>
      <c r="T38" s="91" t="n">
        <v>0</v>
      </c>
      <c r="U38" s="129" t="n">
        <v>95</v>
      </c>
      <c r="V38" s="129" t="n">
        <v>0</v>
      </c>
      <c r="W38" s="129" t="n">
        <f aca="false">M38-N38-O38-P38-Q38-R38-S38-T38+U38+V38</f>
        <v>115.89862</v>
      </c>
      <c r="X38" s="129" t="n">
        <f aca="false">W38-AN38</f>
        <v>115.89862</v>
      </c>
      <c r="Y38" s="129"/>
      <c r="Z38" s="129"/>
      <c r="AA38" s="102"/>
      <c r="AB38" s="102"/>
      <c r="AC38" s="102"/>
      <c r="AD38" s="129" t="n">
        <v>0</v>
      </c>
      <c r="AE38" s="233"/>
      <c r="AF38" s="234"/>
      <c r="AG38" s="129" t="n">
        <v>33</v>
      </c>
      <c r="AH38" s="102" t="n">
        <f aca="false">AH37-AG38</f>
        <v>252</v>
      </c>
      <c r="AI38" s="130"/>
      <c r="AJ38" s="128" t="n">
        <f aca="false">N38+O38+P38+Q38+R38+S38+T38+W38+AD38+AG38</f>
        <v>153</v>
      </c>
      <c r="AK38" s="129" t="n">
        <f aca="false">IF(L38&lt;0,L38*-1,0)</f>
        <v>0</v>
      </c>
      <c r="AL38" s="129" t="n">
        <f aca="false">AJ38+AK38</f>
        <v>153</v>
      </c>
      <c r="AM38" s="205" t="n">
        <f aca="false">AM37+(U38*1.9835)</f>
        <v>11251.6021</v>
      </c>
      <c r="AN38" s="130"/>
      <c r="AO38" s="129"/>
      <c r="AP38" s="102"/>
      <c r="AQ38" s="102"/>
      <c r="AR38" s="206"/>
      <c r="AT38" s="166"/>
      <c r="AU38" s="207" t="n">
        <v>0</v>
      </c>
      <c r="AV38" s="200" t="n">
        <v>45</v>
      </c>
      <c r="AW38" s="206" t="n">
        <v>25</v>
      </c>
      <c r="AX38" s="280"/>
      <c r="AY38" s="235" t="n">
        <f aca="false">SUM(N38,P38:T38)</f>
        <v>4.10138</v>
      </c>
    </row>
    <row r="39" customFormat="false" ht="12.95" hidden="false" customHeight="true" outlineLevel="0" collapsed="false">
      <c r="A39" s="173" t="n">
        <f aca="false">A38+1</f>
        <v>25</v>
      </c>
      <c r="B39" s="101" t="n">
        <v>6891.03</v>
      </c>
      <c r="C39" s="102" t="n">
        <v>251672</v>
      </c>
      <c r="D39" s="200" t="n">
        <f aca="false">C39-C38</f>
        <v>-34</v>
      </c>
      <c r="E39" s="102" t="n">
        <f aca="false">C39-152000</f>
        <v>99672</v>
      </c>
      <c r="F39" s="231" t="n">
        <f aca="false">D39/$D$2</f>
        <v>-17.1414166876733</v>
      </c>
      <c r="G39" s="1" t="n">
        <v>114</v>
      </c>
      <c r="H39" s="4" t="n">
        <v>13</v>
      </c>
      <c r="I39" s="129" t="n">
        <f aca="false">G39+H39</f>
        <v>127</v>
      </c>
      <c r="J39" s="130" t="n">
        <f aca="false">IF(L39&gt;0,L39,0)</f>
        <v>10.8585833123267</v>
      </c>
      <c r="K39" s="129" t="n">
        <f aca="false">I39+J39</f>
        <v>137.858583312327</v>
      </c>
      <c r="L39" s="129" t="n">
        <f aca="false">F39-(I39-AJ39)</f>
        <v>10.8585833123267</v>
      </c>
      <c r="M39" s="233" t="n">
        <v>24</v>
      </c>
      <c r="N39" s="129" t="n">
        <v>0</v>
      </c>
      <c r="O39" s="129" t="n">
        <f aca="false">(9.9+4.3)*1.05</f>
        <v>14.91</v>
      </c>
      <c r="P39" s="149" t="n">
        <v>0</v>
      </c>
      <c r="Q39" s="283" t="n">
        <f aca="false">1.619*1.02</f>
        <v>1.65138</v>
      </c>
      <c r="R39" s="283" t="n">
        <v>2.25</v>
      </c>
      <c r="S39" s="126" t="n">
        <v>0</v>
      </c>
      <c r="T39" s="91" t="n">
        <v>0</v>
      </c>
      <c r="U39" s="129" t="n">
        <v>98</v>
      </c>
      <c r="V39" s="129" t="n">
        <v>0</v>
      </c>
      <c r="W39" s="129" t="n">
        <f aca="false">M39-N39-O39-P39-Q39-R39-S39-T39+U39+V39</f>
        <v>103.18862</v>
      </c>
      <c r="X39" s="129" t="n">
        <f aca="false">W39-AN39</f>
        <v>103.18862</v>
      </c>
      <c r="Y39" s="129"/>
      <c r="Z39" s="129"/>
      <c r="AA39" s="102"/>
      <c r="AB39" s="102"/>
      <c r="AC39" s="102"/>
      <c r="AD39" s="129" t="n">
        <v>0</v>
      </c>
      <c r="AE39" s="233"/>
      <c r="AF39" s="234"/>
      <c r="AG39" s="129" t="n">
        <v>33</v>
      </c>
      <c r="AH39" s="102" t="n">
        <f aca="false">AH38-AG39</f>
        <v>219</v>
      </c>
      <c r="AI39" s="130"/>
      <c r="AJ39" s="128" t="n">
        <f aca="false">N39+O39+P39+Q39+R39+S39+T39+W39+AD39+AG39</f>
        <v>155</v>
      </c>
      <c r="AK39" s="129" t="n">
        <f aca="false">IF(L39&lt;0,L39*-1,0)</f>
        <v>0</v>
      </c>
      <c r="AL39" s="129" t="n">
        <f aca="false">AJ39+AK39</f>
        <v>155</v>
      </c>
      <c r="AM39" s="205" t="n">
        <f aca="false">AM38+(U39*1.9835)</f>
        <v>11445.9851</v>
      </c>
      <c r="AN39" s="130"/>
      <c r="AO39" s="129"/>
      <c r="AP39" s="102"/>
      <c r="AQ39" s="102"/>
      <c r="AR39" s="206"/>
      <c r="AT39" s="166"/>
      <c r="AU39" s="207" t="n">
        <v>0</v>
      </c>
      <c r="AV39" s="200" t="n">
        <v>49</v>
      </c>
      <c r="AW39" s="206" t="n">
        <v>20</v>
      </c>
      <c r="AX39" s="280"/>
      <c r="AY39" s="235" t="n">
        <f aca="false">SUM(N39,P39:T39)</f>
        <v>3.90138</v>
      </c>
    </row>
    <row r="40" customFormat="false" ht="12.95" hidden="false" customHeight="true" outlineLevel="0" collapsed="false">
      <c r="A40" s="173" t="n">
        <f aca="false">A39+1</f>
        <v>26</v>
      </c>
      <c r="B40" s="101" t="n">
        <v>6891.02</v>
      </c>
      <c r="C40" s="102" t="n">
        <v>251638</v>
      </c>
      <c r="D40" s="200" t="n">
        <f aca="false">C40-C39</f>
        <v>-34</v>
      </c>
      <c r="E40" s="102" t="n">
        <f aca="false">C40-152000</f>
        <v>99638</v>
      </c>
      <c r="F40" s="231" t="n">
        <f aca="false">D40/$D$2</f>
        <v>-17.1414166876733</v>
      </c>
      <c r="G40" s="1" t="n">
        <v>118</v>
      </c>
      <c r="H40" s="4" t="n">
        <v>11</v>
      </c>
      <c r="I40" s="129" t="n">
        <f aca="false">G40+H40</f>
        <v>129</v>
      </c>
      <c r="J40" s="130" t="n">
        <f aca="false">IF(L40&gt;0,L40,0)</f>
        <v>0</v>
      </c>
      <c r="K40" s="129" t="n">
        <f aca="false">I40+J40</f>
        <v>129</v>
      </c>
      <c r="L40" s="129" t="n">
        <f aca="false">F40-(I40-AJ40)</f>
        <v>-8.7414166876733</v>
      </c>
      <c r="M40" s="233" t="n">
        <v>6.4</v>
      </c>
      <c r="N40" s="129" t="n">
        <v>0</v>
      </c>
      <c r="O40" s="129" t="n">
        <f aca="false">0.03*1.05</f>
        <v>0.0315</v>
      </c>
      <c r="P40" s="149" t="n">
        <v>0</v>
      </c>
      <c r="Q40" s="283" t="n">
        <f aca="false">1.619*1.02</f>
        <v>1.65138</v>
      </c>
      <c r="R40" s="283" t="n">
        <v>2.13</v>
      </c>
      <c r="S40" s="126" t="n">
        <v>0</v>
      </c>
      <c r="T40" s="91" t="n">
        <v>0</v>
      </c>
      <c r="U40" s="129" t="n">
        <v>98</v>
      </c>
      <c r="V40" s="129" t="n">
        <v>0</v>
      </c>
      <c r="W40" s="129" t="n">
        <f aca="false">M40-N40-O40-P40-Q40-R40-S40-T40+U40+V40</f>
        <v>100.58712</v>
      </c>
      <c r="X40" s="129" t="n">
        <f aca="false">W40-AN40</f>
        <v>100.58712</v>
      </c>
      <c r="Y40" s="129"/>
      <c r="Z40" s="129"/>
      <c r="AA40" s="102"/>
      <c r="AB40" s="102"/>
      <c r="AC40" s="102"/>
      <c r="AD40" s="129" t="n">
        <v>0</v>
      </c>
      <c r="AE40" s="233"/>
      <c r="AF40" s="234"/>
      <c r="AG40" s="129" t="n">
        <v>33</v>
      </c>
      <c r="AH40" s="102" t="n">
        <f aca="false">AH39-AG40</f>
        <v>186</v>
      </c>
      <c r="AI40" s="130"/>
      <c r="AJ40" s="128" t="n">
        <f aca="false">N40+O40+P40+Q40+R40+S40+T40+W40+AD40+AG40</f>
        <v>137.4</v>
      </c>
      <c r="AK40" s="129" t="n">
        <f aca="false">IF(L40&lt;0,L40*-1,0)</f>
        <v>8.7414166876733</v>
      </c>
      <c r="AL40" s="129" t="n">
        <f aca="false">AJ40+AK40</f>
        <v>146.141416687673</v>
      </c>
      <c r="AM40" s="205" t="n">
        <f aca="false">AM39+(U40*1.9835)</f>
        <v>11640.3681</v>
      </c>
      <c r="AN40" s="130"/>
      <c r="AO40" s="129"/>
      <c r="AP40" s="102"/>
      <c r="AQ40" s="102"/>
      <c r="AR40" s="206"/>
      <c r="AT40" s="166"/>
      <c r="AU40" s="207" t="n">
        <v>0.08</v>
      </c>
      <c r="AV40" s="200" t="n">
        <v>43</v>
      </c>
      <c r="AW40" s="200" t="n">
        <v>29</v>
      </c>
      <c r="AX40" s="280"/>
      <c r="AY40" s="235" t="n">
        <f aca="false">SUM(N40,P40:T40)</f>
        <v>3.78138</v>
      </c>
    </row>
    <row r="41" customFormat="false" ht="12.95" hidden="false" customHeight="true" outlineLevel="0" collapsed="false">
      <c r="A41" s="173" t="n">
        <f aca="false">A40+1</f>
        <v>27</v>
      </c>
      <c r="B41" s="101" t="n">
        <v>6891</v>
      </c>
      <c r="C41" s="102" t="n">
        <v>251569</v>
      </c>
      <c r="D41" s="200" t="n">
        <f aca="false">C41-C40</f>
        <v>-69</v>
      </c>
      <c r="E41" s="102" t="n">
        <f aca="false">C41-152000</f>
        <v>99569</v>
      </c>
      <c r="F41" s="231" t="n">
        <f aca="false">D41/$D$2</f>
        <v>-34.7869926896899</v>
      </c>
      <c r="G41" s="1" t="n">
        <v>104</v>
      </c>
      <c r="H41" s="4" t="n">
        <v>9.3</v>
      </c>
      <c r="I41" s="129" t="n">
        <f aca="false">G41+H41</f>
        <v>113.3</v>
      </c>
      <c r="J41" s="130" t="n">
        <f aca="false">IF(L41&gt;0,L41,0)</f>
        <v>0</v>
      </c>
      <c r="K41" s="129" t="n">
        <f aca="false">I41+J41</f>
        <v>113.3</v>
      </c>
      <c r="L41" s="129" t="n">
        <f aca="false">F41-(I41-AJ41)</f>
        <v>-11.0869926896899</v>
      </c>
      <c r="M41" s="233" t="n">
        <v>6</v>
      </c>
      <c r="N41" s="129" t="n">
        <v>0</v>
      </c>
      <c r="O41" s="129" t="n">
        <v>0</v>
      </c>
      <c r="P41" s="149" t="n">
        <v>0</v>
      </c>
      <c r="Q41" s="283" t="n">
        <f aca="false">1.619*1.02</f>
        <v>1.65138</v>
      </c>
      <c r="R41" s="283" t="n">
        <v>2.17</v>
      </c>
      <c r="S41" s="126" t="n">
        <v>0</v>
      </c>
      <c r="T41" s="91" t="n">
        <v>0</v>
      </c>
      <c r="U41" s="129" t="n">
        <v>98</v>
      </c>
      <c r="V41" s="129" t="n">
        <v>0</v>
      </c>
      <c r="W41" s="129" t="n">
        <f aca="false">M41-N41-O41-P41-Q41-R41-S41-T41+U41+V41</f>
        <v>100.17862</v>
      </c>
      <c r="X41" s="129" t="n">
        <f aca="false">W41-AN41</f>
        <v>100.17862</v>
      </c>
      <c r="Y41" s="129"/>
      <c r="Z41" s="129"/>
      <c r="AA41" s="102"/>
      <c r="AB41" s="102"/>
      <c r="AC41" s="102"/>
      <c r="AD41" s="129" t="n">
        <v>0</v>
      </c>
      <c r="AE41" s="233"/>
      <c r="AF41" s="234"/>
      <c r="AG41" s="129" t="n">
        <v>33</v>
      </c>
      <c r="AH41" s="102" t="n">
        <f aca="false">AH40-AG41</f>
        <v>153</v>
      </c>
      <c r="AI41" s="130"/>
      <c r="AJ41" s="128" t="n">
        <f aca="false">N41+O41+P41+Q41+R41+S41+T41+W41+AD41+AG41</f>
        <v>137</v>
      </c>
      <c r="AK41" s="129" t="n">
        <f aca="false">IF(L41&lt;0,L41*-1,0)</f>
        <v>11.0869926896899</v>
      </c>
      <c r="AL41" s="129" t="n">
        <f aca="false">AJ41+AK41</f>
        <v>148.08699268969</v>
      </c>
      <c r="AM41" s="205" t="n">
        <f aca="false">AM40+(U41*1.9835)</f>
        <v>11834.7511</v>
      </c>
      <c r="AN41" s="130"/>
      <c r="AO41" s="129"/>
      <c r="AP41" s="102"/>
      <c r="AQ41" s="102"/>
      <c r="AR41" s="206"/>
      <c r="AT41" s="166"/>
      <c r="AU41" s="207" t="n">
        <v>0</v>
      </c>
      <c r="AV41" s="200" t="n">
        <v>42</v>
      </c>
      <c r="AW41" s="200" t="n">
        <v>24</v>
      </c>
      <c r="AX41" s="280"/>
      <c r="AY41" s="235" t="n">
        <f aca="false">SUM(N41,P41:T41)</f>
        <v>3.82138</v>
      </c>
    </row>
    <row r="42" customFormat="false" ht="12.95" hidden="false" customHeight="true" outlineLevel="0" collapsed="false">
      <c r="A42" s="173" t="n">
        <f aca="false">A41+1</f>
        <v>28</v>
      </c>
      <c r="B42" s="101" t="n">
        <v>9890.98</v>
      </c>
      <c r="C42" s="102" t="n">
        <v>251501</v>
      </c>
      <c r="D42" s="200" t="n">
        <f aca="false">C42-C41</f>
        <v>-68</v>
      </c>
      <c r="E42" s="102" t="n">
        <f aca="false">C42-152000</f>
        <v>99501</v>
      </c>
      <c r="F42" s="231" t="n">
        <f aca="false">D42/$D$2</f>
        <v>-34.2828333753466</v>
      </c>
      <c r="G42" s="1" t="n">
        <v>97</v>
      </c>
      <c r="H42" s="4" t="n">
        <v>8.4</v>
      </c>
      <c r="I42" s="129" t="n">
        <f aca="false">G42+H42</f>
        <v>105.4</v>
      </c>
      <c r="J42" s="130" t="n">
        <f aca="false">IF(L42&gt;0,L42,0)</f>
        <v>0</v>
      </c>
      <c r="K42" s="129" t="n">
        <f aca="false">I42+J42</f>
        <v>105.4</v>
      </c>
      <c r="L42" s="129" t="n">
        <f aca="false">F42-(I42-AJ42)</f>
        <v>-2.78283337534661</v>
      </c>
      <c r="M42" s="233" t="n">
        <v>5.9</v>
      </c>
      <c r="N42" s="129" t="n">
        <v>0</v>
      </c>
      <c r="O42" s="129" t="n">
        <v>0</v>
      </c>
      <c r="P42" s="149" t="n">
        <v>0</v>
      </c>
      <c r="Q42" s="283" t="n">
        <f aca="false">1.619*1.02</f>
        <v>1.65138</v>
      </c>
      <c r="R42" s="283" t="n">
        <v>2.36</v>
      </c>
      <c r="S42" s="126" t="n">
        <v>0</v>
      </c>
      <c r="T42" s="91" t="n">
        <v>0</v>
      </c>
      <c r="U42" s="129" t="n">
        <v>98</v>
      </c>
      <c r="V42" s="129" t="n">
        <v>0</v>
      </c>
      <c r="W42" s="129" t="n">
        <f aca="false">M42-N42-O42-P42-Q42-R42-S42-T42+U42+V42</f>
        <v>99.88862</v>
      </c>
      <c r="X42" s="129" t="n">
        <f aca="false">W42-AN42</f>
        <v>99.88862</v>
      </c>
      <c r="Y42" s="129"/>
      <c r="Z42" s="129"/>
      <c r="AA42" s="102"/>
      <c r="AB42" s="102"/>
      <c r="AC42" s="102"/>
      <c r="AD42" s="129" t="n">
        <v>0</v>
      </c>
      <c r="AE42" s="233"/>
      <c r="AF42" s="234"/>
      <c r="AG42" s="129" t="n">
        <v>33</v>
      </c>
      <c r="AH42" s="102" t="n">
        <f aca="false">AH41-AG42</f>
        <v>120</v>
      </c>
      <c r="AI42" s="130"/>
      <c r="AJ42" s="128" t="n">
        <f aca="false">N42+O42+P42+Q42+R42+S42+T42+W42+AD42+AG42</f>
        <v>136.9</v>
      </c>
      <c r="AK42" s="129" t="n">
        <f aca="false">IF(L42&lt;0,L42*-1,0)</f>
        <v>2.78283337534661</v>
      </c>
      <c r="AL42" s="129" t="n">
        <f aca="false">AJ42+AK42</f>
        <v>139.682833375347</v>
      </c>
      <c r="AM42" s="205" t="n">
        <f aca="false">AM41+(U42*1.9835)</f>
        <v>12029.1341</v>
      </c>
      <c r="AN42" s="130"/>
      <c r="AO42" s="129"/>
      <c r="AP42" s="102"/>
      <c r="AQ42" s="102"/>
      <c r="AR42" s="206"/>
      <c r="AT42" s="166"/>
      <c r="AU42" s="207" t="n">
        <v>0</v>
      </c>
      <c r="AV42" s="200" t="n">
        <v>50</v>
      </c>
      <c r="AW42" s="200" t="n">
        <v>22</v>
      </c>
      <c r="AX42" s="280"/>
      <c r="AY42" s="235" t="n">
        <f aca="false">SUM(N42,P42:T42)</f>
        <v>4.01138</v>
      </c>
    </row>
    <row r="43" customFormat="false" ht="12.95" hidden="false" customHeight="true" outlineLevel="0" collapsed="false">
      <c r="A43" s="173" t="n">
        <f aca="false">A42+1</f>
        <v>29</v>
      </c>
      <c r="B43" s="101" t="n">
        <v>6890.96</v>
      </c>
      <c r="C43" s="102" t="n">
        <v>251433</v>
      </c>
      <c r="D43" s="200" t="n">
        <f aca="false">C43-C42</f>
        <v>-68</v>
      </c>
      <c r="E43" s="102" t="n">
        <f aca="false">C43-152000</f>
        <v>99433</v>
      </c>
      <c r="F43" s="231" t="n">
        <f aca="false">D43/$D$2</f>
        <v>-34.2828333753466</v>
      </c>
      <c r="G43" s="1" t="n">
        <v>101</v>
      </c>
      <c r="H43" s="4" t="n">
        <v>9.5</v>
      </c>
      <c r="I43" s="129" t="n">
        <f aca="false">G43+H43</f>
        <v>110.5</v>
      </c>
      <c r="J43" s="130" t="n">
        <f aca="false">IF(L43&gt;0,L43,0)</f>
        <v>24.2171666246534</v>
      </c>
      <c r="K43" s="129" t="n">
        <f aca="false">I43+J43</f>
        <v>134.717166624653</v>
      </c>
      <c r="L43" s="129" t="n">
        <f aca="false">F43-(I43-AJ43)</f>
        <v>24.2171666246534</v>
      </c>
      <c r="M43" s="233" t="n">
        <v>17</v>
      </c>
      <c r="N43" s="129" t="n">
        <v>0</v>
      </c>
      <c r="O43" s="129" t="n">
        <v>0</v>
      </c>
      <c r="P43" s="149" t="n">
        <v>0</v>
      </c>
      <c r="Q43" s="283" t="n">
        <f aca="false">1.619*1.02</f>
        <v>1.65138</v>
      </c>
      <c r="R43" s="283" t="n">
        <v>2.16</v>
      </c>
      <c r="S43" s="126" t="n">
        <v>0</v>
      </c>
      <c r="T43" s="91" t="n">
        <v>0</v>
      </c>
      <c r="U43" s="129" t="n">
        <v>119</v>
      </c>
      <c r="V43" s="129" t="n">
        <v>0</v>
      </c>
      <c r="W43" s="129" t="n">
        <f aca="false">M43-N43-O43-P43-Q43-R43-S43-T43+U43+V43</f>
        <v>132.18862</v>
      </c>
      <c r="X43" s="129" t="n">
        <f aca="false">W43-AN43</f>
        <v>132.18862</v>
      </c>
      <c r="Y43" s="129"/>
      <c r="Z43" s="129"/>
      <c r="AA43" s="102"/>
      <c r="AB43" s="102"/>
      <c r="AC43" s="102"/>
      <c r="AD43" s="129" t="n">
        <v>0</v>
      </c>
      <c r="AE43" s="233"/>
      <c r="AF43" s="234"/>
      <c r="AG43" s="129" t="n">
        <v>33</v>
      </c>
      <c r="AH43" s="102" t="n">
        <f aca="false">AH42-AG43</f>
        <v>87</v>
      </c>
      <c r="AI43" s="130"/>
      <c r="AJ43" s="128" t="n">
        <f aca="false">N43+O43+P43+Q43+R43+S43+T43+W43+AD43+AG43</f>
        <v>169</v>
      </c>
      <c r="AK43" s="129" t="n">
        <f aca="false">IF(L43&lt;0,L43*-1,0)</f>
        <v>0</v>
      </c>
      <c r="AL43" s="129" t="n">
        <f aca="false">AJ43+AK43</f>
        <v>169</v>
      </c>
      <c r="AM43" s="205" t="n">
        <f aca="false">AM42+(U43*1.9835)</f>
        <v>12265.1706</v>
      </c>
      <c r="AN43" s="130"/>
      <c r="AO43" s="129"/>
      <c r="AP43" s="102"/>
      <c r="AQ43" s="102"/>
      <c r="AR43" s="206"/>
      <c r="AT43" s="166"/>
      <c r="AU43" s="207" t="n">
        <v>0</v>
      </c>
      <c r="AV43" s="206" t="n">
        <v>59</v>
      </c>
      <c r="AW43" s="200" t="n">
        <v>24</v>
      </c>
      <c r="AX43" s="280"/>
      <c r="AY43" s="235" t="n">
        <f aca="false">SUM(N43,P43:T43)</f>
        <v>3.81138</v>
      </c>
    </row>
    <row r="44" customFormat="false" ht="12.95" hidden="false" customHeight="true" outlineLevel="0" collapsed="false">
      <c r="A44" s="173" t="n">
        <v>30</v>
      </c>
      <c r="B44" s="101" t="n">
        <v>6890.93</v>
      </c>
      <c r="C44" s="102" t="n">
        <v>251331</v>
      </c>
      <c r="D44" s="200" t="n">
        <f aca="false">C44-C43</f>
        <v>-102</v>
      </c>
      <c r="E44" s="102" t="n">
        <f aca="false">C44-152000</f>
        <v>99331</v>
      </c>
      <c r="F44" s="231" t="n">
        <f aca="false">D44/$D$2</f>
        <v>-51.4242500630199</v>
      </c>
      <c r="G44" s="1" t="n">
        <v>121</v>
      </c>
      <c r="H44" s="4" t="n">
        <v>23</v>
      </c>
      <c r="I44" s="129" t="n">
        <f aca="false">G44+H44</f>
        <v>144</v>
      </c>
      <c r="J44" s="130" t="n">
        <f aca="false">IF(L44&gt;0,L44,0)</f>
        <v>6.57574993698009</v>
      </c>
      <c r="K44" s="129" t="n">
        <f aca="false">I44+J44</f>
        <v>150.57574993698</v>
      </c>
      <c r="L44" s="129" t="n">
        <f aca="false">F44-(I44-AJ44)</f>
        <v>6.57574993698009</v>
      </c>
      <c r="M44" s="233" t="n">
        <v>32</v>
      </c>
      <c r="N44" s="129" t="n">
        <v>0</v>
      </c>
      <c r="O44" s="129" t="n">
        <f aca="false">9.5*1.05</f>
        <v>9.975</v>
      </c>
      <c r="P44" s="149" t="n">
        <v>0</v>
      </c>
      <c r="Q44" s="283" t="n">
        <f aca="false">1.619*1.02</f>
        <v>1.65138</v>
      </c>
      <c r="R44" s="283" t="n">
        <v>2.26</v>
      </c>
      <c r="S44" s="126" t="n">
        <v>0</v>
      </c>
      <c r="T44" s="91" t="n">
        <v>0</v>
      </c>
      <c r="U44" s="129" t="n">
        <v>137</v>
      </c>
      <c r="V44" s="129" t="n">
        <v>0</v>
      </c>
      <c r="W44" s="129" t="n">
        <f aca="false">M44-N44-O44-P44-Q44-R44-S44-T44+U44+V44</f>
        <v>155.11362</v>
      </c>
      <c r="X44" s="129" t="n">
        <f aca="false">W44-AN44</f>
        <v>155.11362</v>
      </c>
      <c r="Y44" s="129"/>
      <c r="Z44" s="129"/>
      <c r="AA44" s="102"/>
      <c r="AB44" s="102"/>
      <c r="AC44" s="102"/>
      <c r="AD44" s="129" t="n">
        <v>0</v>
      </c>
      <c r="AE44" s="233"/>
      <c r="AF44" s="234"/>
      <c r="AG44" s="129" t="n">
        <v>33</v>
      </c>
      <c r="AH44" s="102" t="n">
        <f aca="false">AH43-AG44</f>
        <v>54</v>
      </c>
      <c r="AI44" s="130"/>
      <c r="AJ44" s="128" t="n">
        <f aca="false">N44+O44+P44+Q44+R44+S44+T44+W44+AD44+AG44</f>
        <v>202</v>
      </c>
      <c r="AK44" s="129" t="n">
        <f aca="false">IF(L44&lt;0,L44*-1,0)</f>
        <v>0</v>
      </c>
      <c r="AL44" s="129" t="n">
        <f aca="false">AJ44+AK44</f>
        <v>202</v>
      </c>
      <c r="AM44" s="205" t="n">
        <f aca="false">AM43+(U44*1.9835)</f>
        <v>12536.9101</v>
      </c>
      <c r="AN44" s="130"/>
      <c r="AO44" s="129"/>
      <c r="AP44" s="102"/>
      <c r="AQ44" s="102"/>
      <c r="AR44" s="206"/>
      <c r="AT44" s="166"/>
      <c r="AU44" s="207" t="n">
        <v>0</v>
      </c>
      <c r="AV44" s="206" t="n">
        <v>65</v>
      </c>
      <c r="AW44" s="200" t="n">
        <v>32</v>
      </c>
      <c r="AX44" s="280"/>
      <c r="AY44" s="235" t="n">
        <f aca="false">SUM(N44,P44:T44)</f>
        <v>3.91138</v>
      </c>
    </row>
    <row r="45" customFormat="false" ht="12.95" hidden="false" customHeight="true" outlineLevel="0" collapsed="false">
      <c r="A45" s="173" t="n">
        <v>31</v>
      </c>
      <c r="B45" s="101" t="n">
        <v>6890.99</v>
      </c>
      <c r="C45" s="102" t="n">
        <v>251535</v>
      </c>
      <c r="D45" s="200" t="n">
        <f aca="false">C45-C44</f>
        <v>204</v>
      </c>
      <c r="E45" s="102" t="n">
        <f aca="false">C45-152000</f>
        <v>99535</v>
      </c>
      <c r="F45" s="231" t="n">
        <f aca="false">D45/$D$2</f>
        <v>102.84850012604</v>
      </c>
      <c r="G45" s="1" t="n">
        <v>153</v>
      </c>
      <c r="H45" s="4" t="n">
        <v>31</v>
      </c>
      <c r="I45" s="129" t="n">
        <f aca="false">G45+H45</f>
        <v>184</v>
      </c>
      <c r="J45" s="130" t="n">
        <f aca="false">IF(L45&gt;0,L45,0)</f>
        <v>51.8485001260398</v>
      </c>
      <c r="K45" s="129" t="n">
        <f aca="false">I45+J45</f>
        <v>235.84850012604</v>
      </c>
      <c r="L45" s="129" t="n">
        <f aca="false">F45-(I45-AJ45)</f>
        <v>51.8485001260398</v>
      </c>
      <c r="M45" s="233" t="n">
        <v>29</v>
      </c>
      <c r="N45" s="129" t="n">
        <v>0</v>
      </c>
      <c r="O45" s="129" t="n">
        <v>0</v>
      </c>
      <c r="P45" s="149" t="n">
        <v>0</v>
      </c>
      <c r="Q45" s="283" t="n">
        <f aca="false">1.619*1.02</f>
        <v>1.65138</v>
      </c>
      <c r="R45" s="283" t="n">
        <v>2.24</v>
      </c>
      <c r="S45" s="126" t="n">
        <v>0</v>
      </c>
      <c r="T45" s="91" t="n">
        <v>0</v>
      </c>
      <c r="U45" s="129" t="n">
        <v>71</v>
      </c>
      <c r="V45" s="129" t="n">
        <v>0</v>
      </c>
      <c r="W45" s="129" t="n">
        <f aca="false">M45-N45-O45-P45-Q45-R45-S45-T45+U45+V45</f>
        <v>96.10862</v>
      </c>
      <c r="X45" s="129" t="n">
        <f aca="false">W45-AN45</f>
        <v>96.10862</v>
      </c>
      <c r="Y45" s="129"/>
      <c r="Z45" s="129"/>
      <c r="AA45" s="102"/>
      <c r="AB45" s="102"/>
      <c r="AC45" s="102"/>
      <c r="AD45" s="129" t="n">
        <v>0</v>
      </c>
      <c r="AE45" s="233"/>
      <c r="AF45" s="234"/>
      <c r="AG45" s="129" t="n">
        <v>33</v>
      </c>
      <c r="AH45" s="102" t="n">
        <f aca="false">AH44-AG45</f>
        <v>21</v>
      </c>
      <c r="AI45" s="130"/>
      <c r="AJ45" s="128" t="n">
        <f aca="false">N45+O45+P45+Q45+R45+S45+T45+W45+AD45+AG45</f>
        <v>133</v>
      </c>
      <c r="AK45" s="129" t="n">
        <f aca="false">IF(L45&lt;0,L45*-1,0)</f>
        <v>0</v>
      </c>
      <c r="AL45" s="129" t="n">
        <f aca="false">AJ45+AK45</f>
        <v>133</v>
      </c>
      <c r="AM45" s="205" t="n">
        <f aca="false">AM44+(U45*1.9835)</f>
        <v>12677.7386</v>
      </c>
      <c r="AN45" s="130"/>
      <c r="AO45" s="129"/>
      <c r="AP45" s="129"/>
      <c r="AQ45" s="129"/>
      <c r="AR45" s="206"/>
      <c r="AT45" s="166"/>
      <c r="AU45" s="207" t="n">
        <v>0</v>
      </c>
      <c r="AV45" s="206" t="n">
        <v>56</v>
      </c>
      <c r="AW45" s="200" t="n">
        <v>39</v>
      </c>
      <c r="AX45" s="280"/>
      <c r="AY45" s="235" t="n">
        <f aca="false">SUM(N45,P45:T45)</f>
        <v>3.89138</v>
      </c>
    </row>
    <row r="46" customFormat="false" ht="3" hidden="false" customHeight="true" outlineLevel="0" collapsed="false">
      <c r="A46" s="216"/>
      <c r="B46" s="237"/>
      <c r="C46" s="218"/>
      <c r="D46" s="219"/>
      <c r="E46" s="218"/>
      <c r="F46" s="220"/>
      <c r="G46" s="219"/>
      <c r="H46" s="248"/>
      <c r="I46" s="219"/>
      <c r="J46" s="219"/>
      <c r="K46" s="219"/>
      <c r="L46" s="219"/>
      <c r="M46" s="222"/>
      <c r="N46" s="219"/>
      <c r="O46" s="219"/>
      <c r="P46" s="223"/>
      <c r="Q46" s="219"/>
      <c r="R46" s="219"/>
      <c r="S46" s="219"/>
      <c r="T46" s="320"/>
      <c r="U46" s="219"/>
      <c r="V46" s="219"/>
      <c r="W46" s="219"/>
      <c r="X46" s="219"/>
      <c r="Y46" s="219"/>
      <c r="Z46" s="219"/>
      <c r="AA46" s="218"/>
      <c r="AB46" s="218"/>
      <c r="AC46" s="218"/>
      <c r="AD46" s="219"/>
      <c r="AE46" s="222"/>
      <c r="AF46" s="226"/>
      <c r="AG46" s="219"/>
      <c r="AH46" s="219"/>
      <c r="AI46" s="225"/>
      <c r="AJ46" s="219"/>
      <c r="AK46" s="219"/>
      <c r="AL46" s="219"/>
      <c r="AM46" s="227"/>
      <c r="AN46" s="225"/>
      <c r="AO46" s="228"/>
      <c r="AP46" s="228"/>
      <c r="AQ46" s="228"/>
      <c r="AR46" s="228"/>
      <c r="AS46" s="321"/>
      <c r="AT46" s="321"/>
      <c r="AU46" s="230"/>
      <c r="AV46" s="228"/>
      <c r="AW46" s="228"/>
      <c r="AX46" s="239"/>
      <c r="AY46" s="240"/>
    </row>
    <row r="47" customFormat="false" ht="12.95" hidden="false" customHeight="true" outlineLevel="0" collapsed="false">
      <c r="A47" s="175" t="s">
        <v>99</v>
      </c>
      <c r="B47" s="198"/>
      <c r="C47" s="102"/>
      <c r="D47" s="102"/>
      <c r="E47" s="102"/>
      <c r="F47" s="199" t="n">
        <f aca="false">SUM(F15:F45)</f>
        <v>-536.425510461306</v>
      </c>
      <c r="G47" s="102" t="n">
        <f aca="false">SUM(G15:G45)</f>
        <v>2797</v>
      </c>
      <c r="H47" s="319" t="n">
        <f aca="false">SUM(H15:H45)</f>
        <v>173.6</v>
      </c>
      <c r="I47" s="102" t="n">
        <f aca="false">SUM(I15:I45)</f>
        <v>2970.6</v>
      </c>
      <c r="J47" s="102" t="n">
        <f aca="false">SUM(J15:J45)</f>
        <v>226.918931182254</v>
      </c>
      <c r="K47" s="102" t="n">
        <f aca="false">SUM(K15:K45)</f>
        <v>3197.51893118225</v>
      </c>
      <c r="L47" s="102" t="n">
        <f aca="false">SUM(L15:L45)</f>
        <v>-66.2255104613057</v>
      </c>
      <c r="M47" s="201" t="n">
        <f aca="false">SUM(M15:M45)</f>
        <v>251.8</v>
      </c>
      <c r="N47" s="102" t="n">
        <f aca="false">SUM(N15:N45)</f>
        <v>0</v>
      </c>
      <c r="O47" s="102" t="n">
        <f aca="false">SUM(O15:O45)</f>
        <v>24.9165</v>
      </c>
      <c r="P47" s="149"/>
      <c r="Q47" s="102" t="n">
        <f aca="false">SUM(Q15:Q45)</f>
        <v>51.19278</v>
      </c>
      <c r="R47" s="102" t="n">
        <f aca="false">SUM(R15:R45)</f>
        <v>74.47</v>
      </c>
      <c r="S47" s="102" t="n">
        <f aca="false">SUM(S15:S45)</f>
        <v>0.2</v>
      </c>
      <c r="T47" s="202" t="n">
        <f aca="false">SUM(T15:T45)</f>
        <v>11.86826</v>
      </c>
      <c r="U47" s="102" t="n">
        <f aca="false">SUM(U15:U45)</f>
        <v>2153</v>
      </c>
      <c r="V47" s="102" t="n">
        <f aca="false">SUM(V15:V45)</f>
        <v>0</v>
      </c>
      <c r="W47" s="102" t="n">
        <f aca="false">SUM(W15:W45)</f>
        <v>2242.15246</v>
      </c>
      <c r="X47" s="102" t="n">
        <f aca="false">SUM(X15:X45)</f>
        <v>2242.15246</v>
      </c>
      <c r="Y47" s="102"/>
      <c r="Z47" s="102"/>
      <c r="AA47" s="102"/>
      <c r="AB47" s="102"/>
      <c r="AC47" s="102"/>
      <c r="AD47" s="102"/>
      <c r="AE47" s="201"/>
      <c r="AF47" s="203"/>
      <c r="AG47" s="102" t="n">
        <f aca="false">SUM(AG15:AG45)</f>
        <v>1036</v>
      </c>
      <c r="AH47" s="102"/>
      <c r="AI47" s="130" t="n">
        <f aca="false">SUM(AI15:AI45)</f>
        <v>0</v>
      </c>
      <c r="AJ47" s="102" t="n">
        <f aca="false">SUM(AJ15:AJ45)</f>
        <v>3440.8</v>
      </c>
      <c r="AK47" s="102" t="n">
        <f aca="false">SUM(AK15:AK45)</f>
        <v>293.144441643559</v>
      </c>
      <c r="AL47" s="102" t="n">
        <f aca="false">SUM(AL15:AL45)</f>
        <v>3733.94444164356</v>
      </c>
      <c r="AM47" s="205"/>
      <c r="AN47" s="130" t="n">
        <f aca="false">SUM(AN15:AN45)</f>
        <v>0</v>
      </c>
      <c r="AO47" s="129"/>
      <c r="AP47" s="129"/>
      <c r="AQ47" s="129"/>
      <c r="AR47" s="206"/>
      <c r="AS47" s="80" t="s">
        <v>111</v>
      </c>
      <c r="AT47" s="166"/>
      <c r="AU47" s="207" t="n">
        <f aca="false">SUM(AU15:AU45)</f>
        <v>0.71</v>
      </c>
      <c r="AV47" s="200" t="n">
        <f aca="false">AVERAGE(AV15:AV45)</f>
        <v>46.3225806451613</v>
      </c>
      <c r="AW47" s="200" t="n">
        <f aca="false">AVERAGE(AW15:AW45)</f>
        <v>22.1612903225806</v>
      </c>
      <c r="AX47" s="208" t="s">
        <v>115</v>
      </c>
      <c r="AY47" s="322" t="n">
        <f aca="false">SUM(AY15:AY45)</f>
        <v>137.73104</v>
      </c>
    </row>
    <row r="48" customFormat="false" ht="12.95" hidden="false" customHeight="true" outlineLevel="0" collapsed="false">
      <c r="A48" s="175" t="s">
        <v>101</v>
      </c>
      <c r="B48" s="198"/>
      <c r="C48" s="102"/>
      <c r="D48" s="102" t="n">
        <f aca="false">SUM(D15:D45)</f>
        <v>-1064</v>
      </c>
      <c r="E48" s="102"/>
      <c r="F48" s="199" t="n">
        <f aca="false">F47*$D$2</f>
        <v>-1064</v>
      </c>
      <c r="G48" s="102" t="n">
        <f aca="false">G47*$D$2</f>
        <v>5547.8495</v>
      </c>
      <c r="H48" s="319" t="n">
        <f aca="false">H47*$D$2</f>
        <v>344.3356</v>
      </c>
      <c r="I48" s="102" t="n">
        <f aca="false">I47*$D$2</f>
        <v>5892.1851</v>
      </c>
      <c r="J48" s="102" t="n">
        <f aca="false">J47*$D$2</f>
        <v>450.0937</v>
      </c>
      <c r="K48" s="102" t="n">
        <f aca="false">K47*$D$2</f>
        <v>6342.2788</v>
      </c>
      <c r="L48" s="102" t="n">
        <f aca="false">L47*$D$2</f>
        <v>-131.3583</v>
      </c>
      <c r="M48" s="201" t="n">
        <f aca="false">M47*$D$2</f>
        <v>499.4453</v>
      </c>
      <c r="N48" s="102" t="n">
        <f aca="false">N47*$D$2</f>
        <v>0</v>
      </c>
      <c r="O48" s="102" t="n">
        <f aca="false">O47*$D$2</f>
        <v>49.42187775</v>
      </c>
      <c r="P48" s="149"/>
      <c r="Q48" s="102" t="n">
        <f aca="false">Q47*$D$2</f>
        <v>101.54087913</v>
      </c>
      <c r="R48" s="102" t="n">
        <f aca="false">R47*$D$2</f>
        <v>147.711245</v>
      </c>
      <c r="S48" s="102" t="n">
        <f aca="false">S47*$D$2</f>
        <v>0.3967</v>
      </c>
      <c r="T48" s="202" t="n">
        <f aca="false">T47*$D$2</f>
        <v>23.54069371</v>
      </c>
      <c r="U48" s="102" t="n">
        <f aca="false">U47*$D$2</f>
        <v>4270.4755</v>
      </c>
      <c r="V48" s="102" t="n">
        <f aca="false">V47*$D$2</f>
        <v>0</v>
      </c>
      <c r="W48" s="102" t="n">
        <f aca="false">W47*$D$2</f>
        <v>4447.30940441</v>
      </c>
      <c r="X48" s="102" t="n">
        <f aca="false">X47*$D$2</f>
        <v>4447.30940441</v>
      </c>
      <c r="Y48" s="102"/>
      <c r="Z48" s="102"/>
      <c r="AA48" s="102"/>
      <c r="AB48" s="102"/>
      <c r="AC48" s="102"/>
      <c r="AD48" s="102"/>
      <c r="AE48" s="201"/>
      <c r="AF48" s="203"/>
      <c r="AG48" s="102" t="n">
        <f aca="false">AG47*$D$2</f>
        <v>2054.906</v>
      </c>
      <c r="AH48" s="102"/>
      <c r="AI48" s="130" t="n">
        <f aca="false">AI47*$D$2</f>
        <v>0</v>
      </c>
      <c r="AJ48" s="102" t="n">
        <f aca="false">AJ47*$D$2</f>
        <v>6824.8268</v>
      </c>
      <c r="AK48" s="102" t="n">
        <f aca="false">AK47*$D$2</f>
        <v>581.452</v>
      </c>
      <c r="AL48" s="102" t="n">
        <f aca="false">AL47*$D$2</f>
        <v>7406.2788</v>
      </c>
      <c r="AM48" s="205"/>
      <c r="AN48" s="130" t="n">
        <f aca="false">AN47*$D$2</f>
        <v>0</v>
      </c>
      <c r="AO48" s="129"/>
      <c r="AP48" s="129"/>
      <c r="AQ48" s="129"/>
      <c r="AR48" s="206"/>
      <c r="AS48" s="80"/>
      <c r="AT48" s="166"/>
      <c r="AU48" s="207"/>
      <c r="AV48" s="200" t="n">
        <f aca="false">MAX(AV15:AV45)</f>
        <v>65</v>
      </c>
      <c r="AW48" s="200" t="n">
        <f aca="false">MAX(AW15:AW45)</f>
        <v>39</v>
      </c>
      <c r="AX48" s="208" t="s">
        <v>102</v>
      </c>
      <c r="AY48" s="322" t="n">
        <f aca="false">AY47*$D$2</f>
        <v>273.18951784</v>
      </c>
    </row>
    <row r="49" customFormat="false" ht="3" hidden="false" customHeight="true" outlineLevel="0" collapsed="false">
      <c r="A49" s="216"/>
      <c r="B49" s="237"/>
      <c r="C49" s="218"/>
      <c r="D49" s="218"/>
      <c r="E49" s="218"/>
      <c r="F49" s="242"/>
      <c r="G49" s="218"/>
      <c r="H49" s="323"/>
      <c r="I49" s="218"/>
      <c r="J49" s="218"/>
      <c r="K49" s="218"/>
      <c r="L49" s="218"/>
      <c r="M49" s="243"/>
      <c r="N49" s="218"/>
      <c r="O49" s="218"/>
      <c r="P49" s="223"/>
      <c r="Q49" s="218"/>
      <c r="R49" s="218"/>
      <c r="S49" s="218"/>
      <c r="T49" s="320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43"/>
      <c r="AF49" s="244"/>
      <c r="AG49" s="218"/>
      <c r="AH49" s="219"/>
      <c r="AI49" s="225"/>
      <c r="AJ49" s="218"/>
      <c r="AK49" s="218"/>
      <c r="AL49" s="218"/>
      <c r="AM49" s="227"/>
      <c r="AN49" s="225"/>
      <c r="AO49" s="218"/>
      <c r="AP49" s="218"/>
      <c r="AQ49" s="218"/>
      <c r="AR49" s="218"/>
      <c r="AS49" s="324"/>
      <c r="AT49" s="321"/>
      <c r="AU49" s="245"/>
      <c r="AV49" s="218"/>
      <c r="AW49" s="218"/>
      <c r="AX49" s="239"/>
      <c r="AY49" s="303"/>
    </row>
    <row r="50" customFormat="false" ht="12.95" hidden="false" customHeight="true" outlineLevel="0" collapsed="false">
      <c r="A50" s="175" t="s">
        <v>103</v>
      </c>
      <c r="B50" s="198"/>
      <c r="C50" s="102"/>
      <c r="D50" s="102"/>
      <c r="E50" s="102"/>
      <c r="F50" s="199"/>
      <c r="G50" s="102"/>
      <c r="H50" s="319"/>
      <c r="I50" s="102"/>
      <c r="J50" s="102"/>
      <c r="K50" s="102"/>
      <c r="L50" s="102"/>
      <c r="M50" s="201"/>
      <c r="N50" s="102"/>
      <c r="O50" s="102" t="n">
        <f aca="false">O47</f>
        <v>24.9165</v>
      </c>
      <c r="P50" s="149"/>
      <c r="Q50" s="102"/>
      <c r="R50" s="102"/>
      <c r="S50" s="102"/>
      <c r="T50" s="316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201"/>
      <c r="AF50" s="203"/>
      <c r="AG50" s="102"/>
      <c r="AH50" s="102"/>
      <c r="AI50" s="130"/>
      <c r="AJ50" s="102"/>
      <c r="AK50" s="102"/>
      <c r="AL50" s="102"/>
      <c r="AM50" s="205"/>
      <c r="AN50" s="130"/>
      <c r="AO50" s="129"/>
      <c r="AP50" s="129"/>
      <c r="AQ50" s="129"/>
      <c r="AR50" s="206"/>
      <c r="AS50" s="80"/>
      <c r="AT50" s="166"/>
      <c r="AU50" s="207"/>
      <c r="AV50" s="200" t="n">
        <f aca="false">MIN(AV15:AV45)</f>
        <v>36</v>
      </c>
      <c r="AW50" s="200" t="n">
        <f aca="false">MIN(AW15:AW45)</f>
        <v>12</v>
      </c>
      <c r="AX50" s="208" t="s">
        <v>104</v>
      </c>
      <c r="AY50" s="322"/>
    </row>
    <row r="51" customFormat="false" ht="12.95" hidden="false" customHeight="true" outlineLevel="0" collapsed="false">
      <c r="A51" s="175" t="s">
        <v>105</v>
      </c>
      <c r="B51" s="198"/>
      <c r="C51" s="102"/>
      <c r="D51" s="102"/>
      <c r="E51" s="102"/>
      <c r="F51" s="199"/>
      <c r="G51" s="102"/>
      <c r="H51" s="319"/>
      <c r="I51" s="102"/>
      <c r="J51" s="102"/>
      <c r="K51" s="102"/>
      <c r="L51" s="102"/>
      <c r="M51" s="201"/>
      <c r="N51" s="102"/>
      <c r="O51" s="102" t="n">
        <f aca="false">O50*D2</f>
        <v>49.42187775</v>
      </c>
      <c r="P51" s="149"/>
      <c r="Q51" s="102"/>
      <c r="R51" s="102"/>
      <c r="S51" s="102"/>
      <c r="T51" s="316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201"/>
      <c r="AF51" s="203"/>
      <c r="AG51" s="102"/>
      <c r="AH51" s="102"/>
      <c r="AI51" s="130"/>
      <c r="AJ51" s="102"/>
      <c r="AK51" s="102"/>
      <c r="AL51" s="102"/>
      <c r="AM51" s="205"/>
      <c r="AN51" s="130"/>
      <c r="AO51" s="129"/>
      <c r="AP51" s="129"/>
      <c r="AQ51" s="129"/>
      <c r="AR51" s="206"/>
      <c r="AS51" s="80"/>
      <c r="AT51" s="166"/>
      <c r="AU51" s="207"/>
      <c r="AV51" s="200"/>
      <c r="AW51" s="200"/>
      <c r="AX51" s="280"/>
      <c r="AY51" s="322"/>
    </row>
    <row r="52" customFormat="false" ht="3" hidden="false" customHeight="true" outlineLevel="0" collapsed="false">
      <c r="A52" s="216"/>
      <c r="B52" s="237"/>
      <c r="C52" s="218"/>
      <c r="D52" s="218"/>
      <c r="E52" s="218"/>
      <c r="F52" s="242"/>
      <c r="G52" s="218"/>
      <c r="H52" s="323"/>
      <c r="I52" s="218"/>
      <c r="J52" s="218"/>
      <c r="K52" s="218"/>
      <c r="L52" s="218"/>
      <c r="M52" s="243"/>
      <c r="N52" s="218"/>
      <c r="O52" s="218"/>
      <c r="P52" s="223"/>
      <c r="Q52" s="218"/>
      <c r="R52" s="218"/>
      <c r="S52" s="218"/>
      <c r="T52" s="320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43"/>
      <c r="AF52" s="244"/>
      <c r="AG52" s="218"/>
      <c r="AH52" s="218"/>
      <c r="AI52" s="225"/>
      <c r="AJ52" s="218"/>
      <c r="AK52" s="218"/>
      <c r="AL52" s="218"/>
      <c r="AM52" s="227"/>
      <c r="AN52" s="225"/>
      <c r="AO52" s="248"/>
      <c r="AP52" s="248"/>
      <c r="AQ52" s="248"/>
      <c r="AR52" s="248"/>
      <c r="AS52" s="324"/>
      <c r="AT52" s="321"/>
      <c r="AU52" s="230"/>
      <c r="AV52" s="248"/>
      <c r="AW52" s="248"/>
      <c r="AX52" s="239"/>
      <c r="AY52" s="303"/>
    </row>
    <row r="53" customFormat="false" ht="12.95" hidden="false" customHeight="true" outlineLevel="0" collapsed="false">
      <c r="A53" s="175" t="s">
        <v>106</v>
      </c>
      <c r="B53" s="198"/>
      <c r="C53" s="102"/>
      <c r="D53" s="102"/>
      <c r="E53" s="102"/>
      <c r="F53" s="199" t="n">
        <f aca="false">F13+F47</f>
        <v>-3936.47592639274</v>
      </c>
      <c r="G53" s="102" t="n">
        <f aca="false">G13+G47</f>
        <v>6703</v>
      </c>
      <c r="H53" s="319" t="n">
        <f aca="false">H13+H47</f>
        <v>228.59</v>
      </c>
      <c r="I53" s="102" t="n">
        <f aca="false">I13+I47</f>
        <v>6931.59</v>
      </c>
      <c r="J53" s="102" t="n">
        <f aca="false">J13+J47</f>
        <v>1742.36560373078</v>
      </c>
      <c r="K53" s="102" t="n">
        <f aca="false">K13+K47</f>
        <v>8673.95560373078</v>
      </c>
      <c r="L53" s="102" t="n">
        <f aca="false">L13+L47</f>
        <v>833.43407360726</v>
      </c>
      <c r="M53" s="201" t="n">
        <f aca="false">M13+M47</f>
        <v>695.4</v>
      </c>
      <c r="N53" s="102" t="n">
        <f aca="false">N13+N47</f>
        <v>0</v>
      </c>
      <c r="O53" s="102" t="n">
        <f aca="false">O13+O47</f>
        <v>24.9165</v>
      </c>
      <c r="P53" s="149"/>
      <c r="Q53" s="102" t="n">
        <f aca="false">Q13+Q47</f>
        <v>246.26472</v>
      </c>
      <c r="R53" s="102" t="n">
        <f aca="false">R13+R47</f>
        <v>356.66</v>
      </c>
      <c r="S53" s="102" t="n">
        <f aca="false">S13+S47</f>
        <v>0.63</v>
      </c>
      <c r="T53" s="202" t="n">
        <f aca="false">T13+T47</f>
        <v>-22.57716</v>
      </c>
      <c r="U53" s="102" t="n">
        <f aca="false">U13+U47</f>
        <v>6391.6</v>
      </c>
      <c r="V53" s="102" t="n">
        <f aca="false">V13+V47</f>
        <v>40.5</v>
      </c>
      <c r="W53" s="102" t="n">
        <f aca="false">W13+W47</f>
        <v>6520.83478</v>
      </c>
      <c r="X53" s="102" t="n">
        <f aca="false">X13+X47</f>
        <v>6480.33478</v>
      </c>
      <c r="Y53" s="102"/>
      <c r="Z53" s="102"/>
      <c r="AA53" s="102"/>
      <c r="AB53" s="102"/>
      <c r="AC53" s="102"/>
      <c r="AD53" s="102"/>
      <c r="AE53" s="201"/>
      <c r="AF53" s="203"/>
      <c r="AG53" s="102" t="n">
        <f aca="false">AG13+AG47</f>
        <v>4574</v>
      </c>
      <c r="AH53" s="102" t="n">
        <f aca="false">AH45</f>
        <v>21</v>
      </c>
      <c r="AI53" s="130" t="n">
        <f aca="false">AI13+AI47</f>
        <v>0</v>
      </c>
      <c r="AJ53" s="102" t="n">
        <f aca="false">AJ13+AJ47</f>
        <v>11701.5</v>
      </c>
      <c r="AK53" s="102" t="n">
        <f aca="false">AK13+AK47</f>
        <v>908.931530123519</v>
      </c>
      <c r="AL53" s="102" t="n">
        <f aca="false">AL13+AL47</f>
        <v>12610.4315301235</v>
      </c>
      <c r="AM53" s="205"/>
      <c r="AN53" s="130" t="n">
        <f aca="false">AN13+AN47</f>
        <v>40.5</v>
      </c>
      <c r="AO53" s="129"/>
      <c r="AP53" s="129"/>
      <c r="AQ53" s="129"/>
      <c r="AR53" s="206"/>
      <c r="AS53" s="80"/>
      <c r="AT53" s="166"/>
      <c r="AU53" s="207" t="n">
        <f aca="false">AU13+AU47</f>
        <v>6.02</v>
      </c>
      <c r="AV53" s="200"/>
      <c r="AW53" s="200"/>
      <c r="AX53" s="280"/>
      <c r="AY53" s="322" t="n">
        <f aca="false">AY13+AY47</f>
        <v>581.74872</v>
      </c>
    </row>
    <row r="54" customFormat="false" ht="12.95" hidden="false" customHeight="true" outlineLevel="0" collapsed="false">
      <c r="A54" s="175" t="s">
        <v>107</v>
      </c>
      <c r="B54" s="198"/>
      <c r="C54" s="102"/>
      <c r="D54" s="102" t="n">
        <f aca="false">D13+D48</f>
        <v>-7808</v>
      </c>
      <c r="E54" s="102" t="n">
        <f aca="false">E45</f>
        <v>99535</v>
      </c>
      <c r="F54" s="199" t="n">
        <f aca="false">F53*$D$2</f>
        <v>-7808</v>
      </c>
      <c r="G54" s="102" t="n">
        <f aca="false">G53*$D$2</f>
        <v>13295.4005</v>
      </c>
      <c r="H54" s="319" t="n">
        <f aca="false">H53*$D$2</f>
        <v>453.408265</v>
      </c>
      <c r="I54" s="102" t="n">
        <f aca="false">I53*$D$2</f>
        <v>13748.808765</v>
      </c>
      <c r="J54" s="102" t="n">
        <f aca="false">J53*$D$2</f>
        <v>3455.982175</v>
      </c>
      <c r="K54" s="102" t="n">
        <f aca="false">K53*$D$2</f>
        <v>17204.79094</v>
      </c>
      <c r="L54" s="102" t="n">
        <f aca="false">L53*$D$2</f>
        <v>1653.116485</v>
      </c>
      <c r="M54" s="201" t="n">
        <f aca="false">M53*$D$2</f>
        <v>1379.3259</v>
      </c>
      <c r="N54" s="102" t="n">
        <f aca="false">N53*$D$2</f>
        <v>0</v>
      </c>
      <c r="O54" s="102" t="n">
        <f aca="false">O53*$D$2</f>
        <v>49.42187775</v>
      </c>
      <c r="P54" s="149"/>
      <c r="Q54" s="102" t="n">
        <f aca="false">Q53*$D$2</f>
        <v>488.46607212</v>
      </c>
      <c r="R54" s="102" t="n">
        <f aca="false">R53*$D$2</f>
        <v>707.43511</v>
      </c>
      <c r="S54" s="102" t="n">
        <f aca="false">S53*$D$2</f>
        <v>1.249605</v>
      </c>
      <c r="T54" s="202" t="n">
        <f aca="false">T53*$D$2</f>
        <v>-44.78179686</v>
      </c>
      <c r="U54" s="102" t="n">
        <f aca="false">U53*$D$2</f>
        <v>12677.7386</v>
      </c>
      <c r="V54" s="102" t="n">
        <f aca="false">V53*$D$2</f>
        <v>80.33175</v>
      </c>
      <c r="W54" s="102" t="n">
        <f aca="false">W53*$D$2</f>
        <v>12934.07578613</v>
      </c>
      <c r="X54" s="102" t="n">
        <f aca="false">X53*$D$2</f>
        <v>12853.74403613</v>
      </c>
      <c r="Y54" s="102"/>
      <c r="Z54" s="102"/>
      <c r="AA54" s="102"/>
      <c r="AB54" s="102"/>
      <c r="AC54" s="102"/>
      <c r="AD54" s="102"/>
      <c r="AE54" s="251"/>
      <c r="AF54" s="252"/>
      <c r="AG54" s="102" t="n">
        <f aca="false">AG53*$D$2</f>
        <v>9072.529</v>
      </c>
      <c r="AH54" s="102" t="n">
        <f aca="false">AH53*$D$2</f>
        <v>41.6535</v>
      </c>
      <c r="AI54" s="130" t="n">
        <f aca="false">AI53*$D$2</f>
        <v>0</v>
      </c>
      <c r="AJ54" s="102" t="n">
        <f aca="false">AJ53*$D$2</f>
        <v>23209.92525</v>
      </c>
      <c r="AK54" s="102" t="n">
        <f aca="false">AK53*$D$2</f>
        <v>1802.86569</v>
      </c>
      <c r="AL54" s="102" t="n">
        <f aca="false">AL53*$D$2</f>
        <v>25012.79094</v>
      </c>
      <c r="AM54" s="205" t="n">
        <f aca="false">AM45</f>
        <v>12677.7386</v>
      </c>
      <c r="AN54" s="130" t="n">
        <f aca="false">AN53*$D$2</f>
        <v>80.33175</v>
      </c>
      <c r="AO54" s="129"/>
      <c r="AP54" s="129"/>
      <c r="AQ54" s="129"/>
      <c r="AR54" s="206"/>
      <c r="AS54" s="80"/>
      <c r="AT54" s="166"/>
      <c r="AU54" s="207"/>
      <c r="AV54" s="200"/>
      <c r="AW54" s="200"/>
      <c r="AX54" s="280"/>
      <c r="AY54" s="322" t="n">
        <f aca="false">AY53*$D$2</f>
        <v>1153.89858612</v>
      </c>
    </row>
    <row r="55" customFormat="false" ht="3" hidden="false" customHeight="true" outlineLevel="0" collapsed="false">
      <c r="A55" s="216"/>
      <c r="B55" s="237"/>
      <c r="C55" s="218"/>
      <c r="D55" s="219"/>
      <c r="E55" s="218"/>
      <c r="F55" s="220"/>
      <c r="G55" s="219"/>
      <c r="H55" s="248"/>
      <c r="I55" s="219"/>
      <c r="J55" s="219"/>
      <c r="K55" s="219"/>
      <c r="L55" s="219"/>
      <c r="M55" s="222"/>
      <c r="N55" s="219"/>
      <c r="O55" s="219"/>
      <c r="P55" s="223"/>
      <c r="Q55" s="219"/>
      <c r="R55" s="219"/>
      <c r="S55" s="219"/>
      <c r="T55" s="320"/>
      <c r="U55" s="219"/>
      <c r="V55" s="219"/>
      <c r="W55" s="219"/>
      <c r="X55" s="219"/>
      <c r="Y55" s="219"/>
      <c r="Z55" s="219"/>
      <c r="AA55" s="218"/>
      <c r="AB55" s="218"/>
      <c r="AC55" s="218"/>
      <c r="AD55" s="219"/>
      <c r="AE55" s="222"/>
      <c r="AF55" s="226"/>
      <c r="AG55" s="219"/>
      <c r="AH55" s="218"/>
      <c r="AI55" s="225"/>
      <c r="AJ55" s="219"/>
      <c r="AK55" s="219"/>
      <c r="AL55" s="219"/>
      <c r="AM55" s="227"/>
      <c r="AN55" s="225"/>
      <c r="AO55" s="219"/>
      <c r="AP55" s="219"/>
      <c r="AQ55" s="219"/>
      <c r="AR55" s="219"/>
      <c r="AS55" s="325"/>
      <c r="AT55" s="321"/>
      <c r="AU55" s="237"/>
      <c r="AV55" s="219"/>
      <c r="AW55" s="219"/>
      <c r="AX55" s="239"/>
      <c r="AY55" s="240"/>
    </row>
    <row r="56" customFormat="false" ht="11.1" hidden="false" customHeight="true" outlineLevel="0" collapsed="false">
      <c r="A56" s="175"/>
      <c r="B56" s="255"/>
      <c r="D56" s="175"/>
      <c r="F56" s="175"/>
      <c r="G56" s="175"/>
      <c r="I56" s="175"/>
      <c r="J56" s="175"/>
      <c r="K56" s="175"/>
      <c r="L56" s="175"/>
      <c r="M56" s="175"/>
      <c r="N56" s="175"/>
      <c r="O56" s="175"/>
      <c r="Q56" s="175"/>
      <c r="R56" s="175"/>
      <c r="S56" s="175"/>
      <c r="U56" s="175"/>
      <c r="V56" s="175"/>
      <c r="W56" s="175"/>
      <c r="X56" s="175"/>
      <c r="Y56" s="175"/>
      <c r="Z56" s="175"/>
      <c r="AA56" s="167"/>
      <c r="AB56" s="167"/>
      <c r="AC56" s="167"/>
      <c r="AD56" s="175"/>
      <c r="AE56" s="175"/>
      <c r="AF56" s="175"/>
      <c r="AG56" s="175"/>
      <c r="AH56" s="167"/>
      <c r="AJ56" s="175"/>
      <c r="AK56" s="175"/>
      <c r="AL56" s="175"/>
      <c r="AM56" s="173"/>
      <c r="AN56" s="256"/>
      <c r="AO56" s="178"/>
      <c r="AP56" s="178"/>
      <c r="AQ56" s="178"/>
      <c r="AW56" s="172"/>
    </row>
    <row r="57" customFormat="false" ht="11.1" hidden="false" customHeight="true" outlineLevel="0" collapsed="false">
      <c r="A57" s="175"/>
      <c r="B57" s="257"/>
      <c r="F57" s="175"/>
      <c r="G57" s="175"/>
      <c r="I57" s="176"/>
      <c r="J57" s="175"/>
      <c r="K57" s="164"/>
      <c r="L57" s="175"/>
      <c r="M57" s="175"/>
      <c r="N57" s="175"/>
      <c r="O57" s="175"/>
      <c r="Q57" s="175"/>
      <c r="R57" s="175"/>
      <c r="S57" s="175"/>
      <c r="U57" s="175"/>
      <c r="V57" s="175"/>
      <c r="W57" s="175"/>
      <c r="X57" s="175"/>
      <c r="Y57" s="175"/>
      <c r="Z57" s="175"/>
      <c r="AA57" s="167"/>
      <c r="AB57" s="167"/>
      <c r="AC57" s="167"/>
      <c r="AD57" s="175"/>
      <c r="AE57" s="175"/>
      <c r="AF57" s="175"/>
      <c r="AG57" s="175"/>
      <c r="AH57" s="167"/>
      <c r="AJ57" s="175"/>
      <c r="AK57" s="175"/>
      <c r="AL57" s="175"/>
      <c r="AM57" s="173"/>
      <c r="AN57" s="256"/>
      <c r="AO57" s="178"/>
      <c r="AP57" s="178"/>
      <c r="AQ57" s="178"/>
      <c r="AW57" s="172"/>
    </row>
    <row r="58" customFormat="false" ht="11.1" hidden="false" customHeight="true" outlineLevel="0" collapsed="false">
      <c r="D58" s="167"/>
      <c r="S58" s="169"/>
      <c r="W58" s="166"/>
      <c r="X58" s="166"/>
      <c r="Y58" s="166"/>
      <c r="Z58" s="166"/>
      <c r="AA58" s="167"/>
      <c r="AB58" s="167"/>
      <c r="AC58" s="167"/>
      <c r="AG58" s="166"/>
      <c r="AH58" s="167"/>
      <c r="AL58" s="166"/>
      <c r="AM58" s="173"/>
      <c r="AN58" s="256"/>
      <c r="AO58" s="170"/>
      <c r="AP58" s="170"/>
      <c r="AQ58" s="170"/>
      <c r="AW58" s="172"/>
    </row>
    <row r="59" customFormat="false" ht="11.1" hidden="false" customHeight="true" outlineLevel="0" collapsed="false">
      <c r="B59" s="8"/>
      <c r="D59" s="167"/>
      <c r="AM59" s="270"/>
      <c r="AN59" s="311"/>
      <c r="AO59" s="170"/>
    </row>
    <row r="60" customFormat="false" ht="11.1" hidden="false" customHeight="true" outlineLevel="0" collapsed="false">
      <c r="G60" s="258"/>
      <c r="AM60" s="270"/>
      <c r="AN60" s="311"/>
      <c r="AO60" s="170"/>
    </row>
  </sheetData>
  <mergeCells count="2">
    <mergeCell ref="K2:S2"/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2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D24" activePane="bottomRight" state="frozen"/>
      <selection pane="topLeft" activeCell="A1" activeCellId="0" sqref="A1"/>
      <selection pane="topRight" activeCell="D1" activeCellId="0" sqref="D1"/>
      <selection pane="bottomLeft" activeCell="A24" activeCellId="0" sqref="A24"/>
      <selection pane="bottomRight" activeCell="O45" activeCellId="0" sqref="O45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99"/>
    <col collapsed="false" customWidth="true" hidden="false" outlineLevel="0" max="4" min="4" style="1" width="6.99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4" width="6.32"/>
    <col collapsed="false" customWidth="true" hidden="false" outlineLevel="0" max="9" min="9" style="1" width="6.99"/>
    <col collapsed="false" customWidth="true" hidden="false" outlineLevel="0" max="10" min="10" style="1" width="6.32"/>
    <col collapsed="false" customWidth="true" hidden="false" outlineLevel="0" max="12" min="11" style="1" width="6.99"/>
    <col collapsed="false" customWidth="true" hidden="false" outlineLevel="0" max="13" min="13" style="4" width="6.32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7" min="17" style="4" width="4.49"/>
    <col collapsed="false" customWidth="true" hidden="false" outlineLevel="0" max="18" min="18" style="4" width="4.82"/>
    <col collapsed="false" customWidth="true" hidden="false" outlineLevel="0" max="19" min="19" style="1" width="4.82"/>
    <col collapsed="false" customWidth="true" hidden="false" outlineLevel="0" max="20" min="20" style="5" width="4.82"/>
    <col collapsed="false" customWidth="true" hidden="false" outlineLevel="0" max="22" min="21" style="1" width="5.49"/>
    <col collapsed="false" customWidth="true" hidden="false" outlineLevel="0" max="24" min="23" style="2" width="6.32"/>
    <col collapsed="false" customWidth="true" hidden="false" outlineLevel="0" max="25" min="25" style="1" width="5.49"/>
    <col collapsed="false" customWidth="true" hidden="false" outlineLevel="0" max="26" min="26" style="2" width="6.32"/>
    <col collapsed="false" customWidth="true" hidden="false" outlineLevel="0" max="27" min="27" style="166" width="5.49"/>
    <col collapsed="false" customWidth="true" hidden="false" outlineLevel="0" max="32" min="28" style="1" width="5.49"/>
    <col collapsed="false" customWidth="true" hidden="false" outlineLevel="0" max="33" min="33" style="2" width="6.32"/>
    <col collapsed="false" customWidth="true" hidden="false" outlineLevel="0" max="34" min="34" style="1" width="5.82"/>
    <col collapsed="false" customWidth="true" hidden="false" outlineLevel="0" max="35" min="35" style="83" width="6.32"/>
    <col collapsed="false" customWidth="true" hidden="false" outlineLevel="0" max="37" min="36" style="1" width="6.32"/>
    <col collapsed="false" customWidth="true" hidden="false" outlineLevel="0" max="38" min="38" style="5" width="6.99"/>
    <col collapsed="false" customWidth="true" hidden="false" outlineLevel="0" max="40" min="39" style="1" width="5.49"/>
    <col collapsed="false" customWidth="true" hidden="false" outlineLevel="0" max="41" min="41" style="1" width="6.32"/>
    <col collapsed="false" customWidth="true" hidden="false" outlineLevel="0" max="42" min="42" style="310" width="6.32"/>
    <col collapsed="false" customWidth="true" hidden="false" outlineLevel="0" max="43" min="43" style="256" width="6.32"/>
    <col collapsed="false" customWidth="true" hidden="false" outlineLevel="0" max="44" min="44" style="6" width="6.32"/>
    <col collapsed="false" customWidth="true" hidden="false" outlineLevel="0" max="45" min="45" style="1" width="6.32"/>
    <col collapsed="false" customWidth="true" hidden="false" outlineLevel="0" max="46" min="46" style="4" width="5.82"/>
    <col collapsed="false" customWidth="true" hidden="false" outlineLevel="0" max="47" min="47" style="3" width="5.32"/>
    <col collapsed="false" customWidth="true" hidden="false" outlineLevel="0" max="48" min="48" style="9" width="3.82"/>
    <col collapsed="false" customWidth="true" hidden="false" outlineLevel="0" max="49" min="49" style="10" width="3.82"/>
    <col collapsed="false" customWidth="true" hidden="false" outlineLevel="0" max="50" min="50" style="0" width="4.32"/>
    <col collapsed="false" customWidth="true" hidden="false" outlineLevel="0" max="51" min="51" style="0" width="6.49"/>
  </cols>
  <sheetData>
    <row r="1" customFormat="false" ht="14.1" hidden="false" customHeight="true" outlineLevel="0" collapsed="false">
      <c r="A1" s="11" t="s">
        <v>111</v>
      </c>
      <c r="B1" s="11"/>
      <c r="D1" s="11"/>
      <c r="F1" s="11"/>
      <c r="G1" s="11"/>
      <c r="I1" s="11"/>
      <c r="J1" s="11"/>
      <c r="K1" s="13" t="s">
        <v>0</v>
      </c>
      <c r="L1" s="11"/>
      <c r="M1" s="11"/>
      <c r="N1" s="11"/>
      <c r="S1" s="11"/>
      <c r="U1" s="11"/>
      <c r="V1" s="11"/>
      <c r="Y1" s="11"/>
      <c r="AA1" s="175"/>
      <c r="AB1" s="11"/>
      <c r="AC1" s="11"/>
      <c r="AD1" s="11"/>
      <c r="AE1" s="11"/>
      <c r="AF1" s="11"/>
      <c r="AH1" s="11"/>
      <c r="AI1" s="14"/>
      <c r="AJ1" s="11"/>
      <c r="AK1" s="11"/>
      <c r="AM1" s="14"/>
      <c r="AN1" s="14"/>
      <c r="AO1" s="14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I2" s="11"/>
      <c r="J2" s="11"/>
      <c r="K2" s="326" t="s">
        <v>118</v>
      </c>
      <c r="L2" s="327"/>
      <c r="M2" s="328"/>
      <c r="N2" s="328"/>
      <c r="O2" s="162"/>
      <c r="P2" s="6"/>
      <c r="Q2" s="162"/>
      <c r="R2" s="162"/>
      <c r="S2" s="328"/>
      <c r="T2" s="6"/>
      <c r="U2" s="328"/>
      <c r="V2" s="328"/>
      <c r="W2" s="329"/>
      <c r="X2" s="329"/>
      <c r="Y2" s="328"/>
      <c r="Z2" s="329"/>
      <c r="AA2" s="312"/>
      <c r="AB2" s="328"/>
      <c r="AC2" s="328"/>
      <c r="AD2" s="328"/>
      <c r="AE2" s="328"/>
      <c r="AF2" s="328"/>
      <c r="AG2" s="329"/>
      <c r="AH2" s="11"/>
      <c r="AI2" s="14"/>
      <c r="AJ2" s="11"/>
      <c r="AK2" s="11"/>
      <c r="AM2" s="14"/>
      <c r="AN2" s="14"/>
      <c r="AO2" s="14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22"/>
      <c r="P3" s="20"/>
      <c r="Q3" s="22"/>
      <c r="R3" s="22"/>
      <c r="S3" s="16"/>
      <c r="T3" s="20"/>
      <c r="U3" s="16"/>
      <c r="V3" s="16"/>
      <c r="W3" s="17"/>
      <c r="X3" s="17"/>
      <c r="Y3" s="16"/>
      <c r="Z3" s="86"/>
      <c r="AA3" s="175"/>
      <c r="AB3" s="16"/>
      <c r="AC3" s="16"/>
      <c r="AD3" s="16"/>
      <c r="AE3" s="16"/>
      <c r="AF3" s="16"/>
      <c r="AG3" s="17"/>
      <c r="AH3" s="16"/>
      <c r="AI3" s="330"/>
      <c r="AJ3" s="16"/>
      <c r="AK3" s="16"/>
      <c r="AL3" s="20"/>
      <c r="AM3" s="330"/>
      <c r="AN3" s="330"/>
      <c r="AO3" s="330"/>
      <c r="AP3" s="313"/>
      <c r="AQ3" s="331"/>
      <c r="AU3" s="27"/>
      <c r="AV3" s="28"/>
      <c r="AW3" s="29"/>
    </row>
    <row r="4" s="166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5"/>
      <c r="J4" s="35"/>
      <c r="K4" s="35"/>
      <c r="L4" s="35"/>
      <c r="M4" s="35"/>
      <c r="N4" s="35"/>
      <c r="O4" s="35"/>
      <c r="P4" s="36"/>
      <c r="Q4" s="35"/>
      <c r="R4" s="35"/>
      <c r="S4" s="35"/>
      <c r="T4" s="36"/>
      <c r="U4" s="35"/>
      <c r="V4" s="35"/>
      <c r="W4" s="37" t="s">
        <v>4</v>
      </c>
      <c r="X4" s="37"/>
      <c r="Y4" s="38"/>
      <c r="Z4" s="37"/>
      <c r="AA4" s="38"/>
      <c r="AB4" s="38"/>
      <c r="AC4" s="39"/>
      <c r="AD4" s="35"/>
      <c r="AE4" s="35"/>
      <c r="AF4" s="35"/>
      <c r="AG4" s="33"/>
      <c r="AH4" s="35"/>
      <c r="AI4" s="40"/>
      <c r="AJ4" s="35"/>
      <c r="AK4" s="35"/>
      <c r="AL4" s="36"/>
      <c r="AM4" s="41"/>
      <c r="AN4" s="42"/>
      <c r="AO4" s="43" t="s">
        <v>5</v>
      </c>
      <c r="AP4" s="44"/>
      <c r="AQ4" s="44"/>
      <c r="AR4" s="46"/>
      <c r="AS4" s="47"/>
      <c r="AT4" s="47"/>
      <c r="AU4" s="49"/>
      <c r="AV4" s="50" t="s">
        <v>6</v>
      </c>
      <c r="AW4" s="51"/>
      <c r="AX4" s="275"/>
      <c r="AY4" s="315"/>
    </row>
    <row r="5" s="174" customFormat="true" ht="12.95" hidden="false" customHeight="true" outlineLevel="0" collapsed="false">
      <c r="A5" s="53" t="s">
        <v>7</v>
      </c>
      <c r="B5" s="54" t="s">
        <v>8</v>
      </c>
      <c r="C5" s="55" t="s">
        <v>8</v>
      </c>
      <c r="D5" s="56" t="s">
        <v>9</v>
      </c>
      <c r="E5" s="55" t="s">
        <v>10</v>
      </c>
      <c r="F5" s="57" t="s">
        <v>11</v>
      </c>
      <c r="G5" s="53" t="s">
        <v>12</v>
      </c>
      <c r="H5" s="53" t="s">
        <v>13</v>
      </c>
      <c r="I5" s="53" t="s">
        <v>14</v>
      </c>
      <c r="J5" s="53" t="s">
        <v>15</v>
      </c>
      <c r="K5" s="53" t="s">
        <v>16</v>
      </c>
      <c r="L5" s="53" t="s">
        <v>15</v>
      </c>
      <c r="M5" s="58" t="s">
        <v>17</v>
      </c>
      <c r="N5" s="58"/>
      <c r="O5" s="58"/>
      <c r="P5" s="58"/>
      <c r="Q5" s="58"/>
      <c r="R5" s="58"/>
      <c r="S5" s="58"/>
      <c r="T5" s="58"/>
      <c r="U5" s="53" t="s">
        <v>18</v>
      </c>
      <c r="V5" s="53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59" t="s">
        <v>21</v>
      </c>
      <c r="AC5" s="60" t="s">
        <v>20</v>
      </c>
      <c r="AD5" s="53" t="s">
        <v>22</v>
      </c>
      <c r="AE5" s="61" t="s">
        <v>23</v>
      </c>
      <c r="AF5" s="62"/>
      <c r="AG5" s="53" t="s">
        <v>24</v>
      </c>
      <c r="AH5" s="63" t="s">
        <v>25</v>
      </c>
      <c r="AI5" s="63" t="s">
        <v>26</v>
      </c>
      <c r="AJ5" s="53" t="s">
        <v>14</v>
      </c>
      <c r="AK5" s="53" t="s">
        <v>15</v>
      </c>
      <c r="AL5" s="56" t="s">
        <v>16</v>
      </c>
      <c r="AM5" s="64" t="s">
        <v>27</v>
      </c>
      <c r="AN5" s="60" t="s">
        <v>20</v>
      </c>
      <c r="AO5" s="59" t="s">
        <v>28</v>
      </c>
      <c r="AP5" s="65" t="s">
        <v>28</v>
      </c>
      <c r="AQ5" s="60" t="s">
        <v>29</v>
      </c>
      <c r="AR5" s="66" t="s">
        <v>30</v>
      </c>
      <c r="AS5" s="66" t="s">
        <v>31</v>
      </c>
      <c r="AT5" s="195" t="s">
        <v>32</v>
      </c>
      <c r="AU5" s="68" t="s">
        <v>33</v>
      </c>
      <c r="AV5" s="69" t="s">
        <v>34</v>
      </c>
      <c r="AW5" s="69" t="s">
        <v>35</v>
      </c>
      <c r="AX5" s="276"/>
      <c r="AY5" s="277" t="s">
        <v>16</v>
      </c>
    </row>
    <row r="6" s="174" customFormat="true" ht="12.95" hidden="false" customHeight="true" outlineLevel="0" collapsed="false">
      <c r="A6" s="71" t="s">
        <v>119</v>
      </c>
      <c r="B6" s="54" t="s">
        <v>37</v>
      </c>
      <c r="C6" s="55"/>
      <c r="D6" s="56" t="s">
        <v>38</v>
      </c>
      <c r="E6" s="55" t="s">
        <v>39</v>
      </c>
      <c r="F6" s="57" t="s">
        <v>40</v>
      </c>
      <c r="G6" s="53" t="s">
        <v>41</v>
      </c>
      <c r="H6" s="53" t="s">
        <v>42</v>
      </c>
      <c r="I6" s="53" t="s">
        <v>43</v>
      </c>
      <c r="J6" s="53" t="s">
        <v>43</v>
      </c>
      <c r="K6" s="53" t="s">
        <v>43</v>
      </c>
      <c r="L6" s="53" t="s">
        <v>44</v>
      </c>
      <c r="M6" s="72" t="s">
        <v>45</v>
      </c>
      <c r="N6" s="56" t="s">
        <v>46</v>
      </c>
      <c r="O6" s="56" t="s">
        <v>47</v>
      </c>
      <c r="P6" s="73" t="s">
        <v>48</v>
      </c>
      <c r="Q6" s="56" t="s">
        <v>49</v>
      </c>
      <c r="R6" s="56" t="s">
        <v>50</v>
      </c>
      <c r="S6" s="56" t="s">
        <v>51</v>
      </c>
      <c r="T6" s="74" t="s">
        <v>52</v>
      </c>
      <c r="U6" s="53" t="s">
        <v>53</v>
      </c>
      <c r="V6" s="53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59" t="s">
        <v>57</v>
      </c>
      <c r="AC6" s="60" t="s">
        <v>58</v>
      </c>
      <c r="AD6" s="53" t="s">
        <v>59</v>
      </c>
      <c r="AE6" s="72" t="s">
        <v>60</v>
      </c>
      <c r="AF6" s="75" t="s">
        <v>61</v>
      </c>
      <c r="AG6" s="53" t="s">
        <v>62</v>
      </c>
      <c r="AH6" s="63" t="s">
        <v>63</v>
      </c>
      <c r="AI6" s="63"/>
      <c r="AJ6" s="53" t="s">
        <v>64</v>
      </c>
      <c r="AK6" s="53" t="s">
        <v>64</v>
      </c>
      <c r="AL6" s="56" t="s">
        <v>64</v>
      </c>
      <c r="AM6" s="64" t="s">
        <v>65</v>
      </c>
      <c r="AN6" s="60" t="s">
        <v>66</v>
      </c>
      <c r="AO6" s="59" t="s">
        <v>67</v>
      </c>
      <c r="AP6" s="65" t="s">
        <v>67</v>
      </c>
      <c r="AQ6" s="60" t="s">
        <v>68</v>
      </c>
      <c r="AR6" s="66" t="s">
        <v>69</v>
      </c>
      <c r="AS6" s="66" t="s">
        <v>70</v>
      </c>
      <c r="AT6" s="195" t="s">
        <v>71</v>
      </c>
      <c r="AU6" s="76"/>
      <c r="AV6" s="69" t="s">
        <v>72</v>
      </c>
      <c r="AW6" s="69" t="s">
        <v>72</v>
      </c>
      <c r="AX6" s="276"/>
      <c r="AY6" s="277" t="s">
        <v>73</v>
      </c>
    </row>
    <row r="7" s="174" customFormat="true" ht="12.95" hidden="false" customHeight="true" outlineLevel="0" collapsed="false">
      <c r="A7" s="53"/>
      <c r="B7" s="54"/>
      <c r="C7" s="55"/>
      <c r="D7" s="56"/>
      <c r="E7" s="55"/>
      <c r="F7" s="57"/>
      <c r="G7" s="53"/>
      <c r="H7" s="53"/>
      <c r="I7" s="53"/>
      <c r="J7" s="53"/>
      <c r="K7" s="53"/>
      <c r="L7" s="53"/>
      <c r="M7" s="72"/>
      <c r="N7" s="56" t="s">
        <v>74</v>
      </c>
      <c r="O7" s="56" t="s">
        <v>75</v>
      </c>
      <c r="P7" s="73"/>
      <c r="Q7" s="56"/>
      <c r="R7" s="56"/>
      <c r="S7" s="56" t="s">
        <v>47</v>
      </c>
      <c r="T7" s="74" t="s">
        <v>26</v>
      </c>
      <c r="U7" s="53"/>
      <c r="V7" s="53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59"/>
      <c r="AC7" s="60"/>
      <c r="AD7" s="75"/>
      <c r="AE7" s="77" t="n">
        <v>1.7</v>
      </c>
      <c r="AF7" s="77" t="n">
        <v>1.3</v>
      </c>
      <c r="AG7" s="72"/>
      <c r="AH7" s="78" t="n">
        <v>31798</v>
      </c>
      <c r="AI7" s="63"/>
      <c r="AJ7" s="53"/>
      <c r="AK7" s="53"/>
      <c r="AL7" s="56"/>
      <c r="AM7" s="64"/>
      <c r="AN7" s="60"/>
      <c r="AO7" s="59" t="s">
        <v>81</v>
      </c>
      <c r="AP7" s="65" t="s">
        <v>82</v>
      </c>
      <c r="AQ7" s="60" t="s">
        <v>83</v>
      </c>
      <c r="AR7" s="66" t="s">
        <v>84</v>
      </c>
      <c r="AS7" s="66" t="s">
        <v>85</v>
      </c>
      <c r="AT7" s="195" t="s">
        <v>86</v>
      </c>
      <c r="AU7" s="76"/>
      <c r="AV7" s="69"/>
      <c r="AW7" s="69"/>
      <c r="AX7" s="276"/>
      <c r="AY7" s="277" t="s">
        <v>87</v>
      </c>
    </row>
    <row r="8" s="174" customFormat="true" ht="12.95" hidden="false" customHeight="true" outlineLevel="0" collapsed="false">
      <c r="A8" s="53"/>
      <c r="B8" s="54"/>
      <c r="C8" s="55"/>
      <c r="D8" s="56"/>
      <c r="E8" s="55"/>
      <c r="F8" s="57"/>
      <c r="G8" s="53"/>
      <c r="H8" s="53"/>
      <c r="I8" s="53"/>
      <c r="J8" s="53"/>
      <c r="K8" s="53"/>
      <c r="L8" s="53"/>
      <c r="M8" s="56"/>
      <c r="N8" s="56"/>
      <c r="O8" s="56"/>
      <c r="P8" s="73"/>
      <c r="Q8" s="56"/>
      <c r="R8" s="56"/>
      <c r="S8" s="56"/>
      <c r="T8" s="74"/>
      <c r="U8" s="53"/>
      <c r="V8" s="53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59"/>
      <c r="AC8" s="60"/>
      <c r="AD8" s="75"/>
      <c r="AE8" s="77"/>
      <c r="AF8" s="77"/>
      <c r="AG8" s="72"/>
      <c r="AH8" s="78"/>
      <c r="AI8" s="63"/>
      <c r="AJ8" s="53"/>
      <c r="AK8" s="53"/>
      <c r="AL8" s="56"/>
      <c r="AM8" s="64"/>
      <c r="AN8" s="60"/>
      <c r="AO8" s="59"/>
      <c r="AP8" s="65"/>
      <c r="AQ8" s="60"/>
      <c r="AR8" s="66"/>
      <c r="AS8" s="66"/>
      <c r="AT8" s="195"/>
      <c r="AU8" s="76"/>
      <c r="AV8" s="69"/>
      <c r="AW8" s="69"/>
      <c r="AX8" s="276"/>
      <c r="AY8" s="277"/>
    </row>
    <row r="9" s="174" customFormat="true" ht="12.95" hidden="false" customHeight="true" outlineLevel="0" collapsed="false">
      <c r="A9" s="53"/>
      <c r="B9" s="54"/>
      <c r="C9" s="55"/>
      <c r="D9" s="56"/>
      <c r="E9" s="55"/>
      <c r="F9" s="57"/>
      <c r="G9" s="53"/>
      <c r="H9" s="53"/>
      <c r="I9" s="53"/>
      <c r="J9" s="53"/>
      <c r="K9" s="53"/>
      <c r="L9" s="53"/>
      <c r="M9" s="56"/>
      <c r="N9" s="56"/>
      <c r="O9" s="56"/>
      <c r="P9" s="73"/>
      <c r="Q9" s="56"/>
      <c r="R9" s="56"/>
      <c r="S9" s="56"/>
      <c r="T9" s="74"/>
      <c r="U9" s="53"/>
      <c r="V9" s="53"/>
      <c r="W9" s="63"/>
      <c r="X9" s="55" t="s">
        <v>88</v>
      </c>
      <c r="Y9" s="59"/>
      <c r="Z9" s="55" t="s">
        <v>88</v>
      </c>
      <c r="AA9" s="59" t="s">
        <v>91</v>
      </c>
      <c r="AB9" s="59"/>
      <c r="AC9" s="60"/>
      <c r="AD9" s="75"/>
      <c r="AE9" s="77"/>
      <c r="AF9" s="77"/>
      <c r="AG9" s="72"/>
      <c r="AH9" s="78"/>
      <c r="AI9" s="63"/>
      <c r="AJ9" s="53"/>
      <c r="AK9" s="53"/>
      <c r="AL9" s="56"/>
      <c r="AM9" s="64"/>
      <c r="AN9" s="60"/>
      <c r="AO9" s="59"/>
      <c r="AP9" s="65"/>
      <c r="AQ9" s="60"/>
      <c r="AR9" s="66"/>
      <c r="AS9" s="66"/>
      <c r="AT9" s="195"/>
      <c r="AU9" s="76"/>
      <c r="AV9" s="69"/>
      <c r="AW9" s="69"/>
      <c r="AX9" s="276"/>
      <c r="AY9" s="277"/>
    </row>
    <row r="10" s="174" customFormat="true" ht="12.95" hidden="false" customHeight="true" outlineLevel="0" collapsed="false">
      <c r="A10" s="53"/>
      <c r="B10" s="54"/>
      <c r="C10" s="55" t="s">
        <v>92</v>
      </c>
      <c r="D10" s="56"/>
      <c r="E10" s="55" t="s">
        <v>93</v>
      </c>
      <c r="F10" s="57"/>
      <c r="G10" s="56" t="s">
        <v>40</v>
      </c>
      <c r="H10" s="56" t="s">
        <v>40</v>
      </c>
      <c r="I10" s="56" t="s">
        <v>40</v>
      </c>
      <c r="J10" s="56" t="s">
        <v>40</v>
      </c>
      <c r="K10" s="56" t="s">
        <v>40</v>
      </c>
      <c r="L10" s="75" t="s">
        <v>40</v>
      </c>
      <c r="M10" s="56" t="s">
        <v>40</v>
      </c>
      <c r="N10" s="56" t="s">
        <v>40</v>
      </c>
      <c r="O10" s="56" t="s">
        <v>40</v>
      </c>
      <c r="P10" s="56" t="s">
        <v>40</v>
      </c>
      <c r="Q10" s="56" t="s">
        <v>40</v>
      </c>
      <c r="R10" s="56" t="s">
        <v>40</v>
      </c>
      <c r="S10" s="56" t="s">
        <v>61</v>
      </c>
      <c r="T10" s="75" t="s">
        <v>40</v>
      </c>
      <c r="U10" s="56" t="s">
        <v>40</v>
      </c>
      <c r="V10" s="56" t="s">
        <v>40</v>
      </c>
      <c r="W10" s="55" t="n">
        <v>153400</v>
      </c>
      <c r="X10" s="55" t="n">
        <v>150400</v>
      </c>
      <c r="Y10" s="56" t="s">
        <v>40</v>
      </c>
      <c r="Z10" s="55"/>
      <c r="AA10" s="55" t="n">
        <v>72000</v>
      </c>
      <c r="AB10" s="56" t="s">
        <v>40</v>
      </c>
      <c r="AC10" s="56" t="s">
        <v>40</v>
      </c>
      <c r="AD10" s="75" t="s">
        <v>40</v>
      </c>
      <c r="AE10" s="56" t="s">
        <v>40</v>
      </c>
      <c r="AF10" s="56" t="s">
        <v>40</v>
      </c>
      <c r="AG10" s="72" t="s">
        <v>40</v>
      </c>
      <c r="AH10" s="56" t="s">
        <v>40</v>
      </c>
      <c r="AI10" s="56" t="s">
        <v>40</v>
      </c>
      <c r="AJ10" s="56" t="s">
        <v>40</v>
      </c>
      <c r="AK10" s="56" t="s">
        <v>40</v>
      </c>
      <c r="AL10" s="56" t="s">
        <v>40</v>
      </c>
      <c r="AM10" s="64" t="s">
        <v>93</v>
      </c>
      <c r="AN10" s="60" t="s">
        <v>40</v>
      </c>
      <c r="AO10" s="60" t="s">
        <v>40</v>
      </c>
      <c r="AP10" s="65" t="s">
        <v>94</v>
      </c>
      <c r="AQ10" s="60" t="s">
        <v>40</v>
      </c>
      <c r="AR10" s="60" t="s">
        <v>40</v>
      </c>
      <c r="AS10" s="60" t="s">
        <v>40</v>
      </c>
      <c r="AT10" s="60" t="s">
        <v>40</v>
      </c>
      <c r="AU10" s="76"/>
      <c r="AV10" s="69"/>
      <c r="AW10" s="69"/>
      <c r="AX10" s="276"/>
      <c r="AY10" s="277" t="s">
        <v>95</v>
      </c>
    </row>
    <row r="11" s="174" customFormat="true" ht="12.95" hidden="false" customHeight="true" outlineLevel="0" collapsed="false">
      <c r="A11" s="53"/>
      <c r="B11" s="54"/>
      <c r="C11" s="55"/>
      <c r="D11" s="56"/>
      <c r="E11" s="55"/>
      <c r="F11" s="57"/>
      <c r="G11" s="53"/>
      <c r="H11" s="53"/>
      <c r="I11" s="53"/>
      <c r="J11" s="53"/>
      <c r="K11" s="53"/>
      <c r="L11" s="75"/>
      <c r="M11" s="56"/>
      <c r="N11" s="44" t="n">
        <v>1.03</v>
      </c>
      <c r="O11" s="44" t="n">
        <v>1.05</v>
      </c>
      <c r="P11" s="44" t="n">
        <v>1.02</v>
      </c>
      <c r="Q11" s="79" t="n">
        <v>1.02</v>
      </c>
      <c r="R11" s="44" t="n">
        <v>1.04</v>
      </c>
      <c r="S11" s="56" t="s">
        <v>40</v>
      </c>
      <c r="T11" s="74"/>
      <c r="U11" s="53"/>
      <c r="V11" s="53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59"/>
      <c r="AC11" s="59"/>
      <c r="AD11" s="81"/>
      <c r="AE11" s="77"/>
      <c r="AF11" s="77"/>
      <c r="AG11" s="72"/>
      <c r="AH11" s="78"/>
      <c r="AI11" s="82"/>
      <c r="AJ11" s="53"/>
      <c r="AK11" s="53"/>
      <c r="AL11" s="56"/>
      <c r="AM11" s="64"/>
      <c r="AN11" s="60"/>
      <c r="AO11" s="59"/>
      <c r="AP11" s="65"/>
      <c r="AQ11" s="65"/>
      <c r="AR11" s="83"/>
      <c r="AS11" s="83"/>
      <c r="AT11" s="83"/>
      <c r="AU11" s="76"/>
      <c r="AV11" s="69"/>
      <c r="AW11" s="69"/>
      <c r="AX11" s="276"/>
      <c r="AY11" s="277" t="s">
        <v>40</v>
      </c>
    </row>
    <row r="12" customFormat="false" ht="12.95" hidden="false" customHeight="true" outlineLevel="0" collapsed="false">
      <c r="A12" s="14" t="s">
        <v>97</v>
      </c>
      <c r="B12" s="332"/>
      <c r="C12" s="90"/>
      <c r="D12" s="90"/>
      <c r="E12" s="90"/>
      <c r="F12" s="333"/>
      <c r="G12" s="78"/>
      <c r="H12" s="128"/>
      <c r="I12" s="78"/>
      <c r="J12" s="78"/>
      <c r="K12" s="78"/>
      <c r="L12" s="78"/>
      <c r="M12" s="93"/>
      <c r="N12" s="90"/>
      <c r="O12" s="90" t="n">
        <f aca="false">MAR!O50</f>
        <v>24.9165</v>
      </c>
      <c r="P12" s="291"/>
      <c r="Q12" s="90"/>
      <c r="R12" s="90"/>
      <c r="S12" s="90"/>
      <c r="T12" s="334"/>
      <c r="U12" s="78"/>
      <c r="V12" s="78"/>
      <c r="W12" s="78"/>
      <c r="X12" s="78"/>
      <c r="Y12" s="142"/>
      <c r="Z12" s="78"/>
      <c r="AA12" s="142"/>
      <c r="AB12" s="142"/>
      <c r="AC12" s="92"/>
      <c r="AD12" s="94"/>
      <c r="AE12" s="90"/>
      <c r="AF12" s="90"/>
      <c r="AG12" s="93"/>
      <c r="AH12" s="78"/>
      <c r="AI12" s="82"/>
      <c r="AJ12" s="78"/>
      <c r="AK12" s="78"/>
      <c r="AL12" s="90"/>
      <c r="AM12" s="335"/>
      <c r="AN12" s="92"/>
      <c r="AO12" s="142"/>
      <c r="AP12" s="139"/>
      <c r="AQ12" s="139"/>
      <c r="AR12" s="96"/>
      <c r="AS12" s="83"/>
      <c r="AT12" s="83"/>
      <c r="AU12" s="97"/>
      <c r="AV12" s="98"/>
      <c r="AW12" s="98"/>
      <c r="AX12" s="276"/>
      <c r="AY12" s="336"/>
    </row>
    <row r="13" s="103" customFormat="true" ht="12.95" hidden="false" customHeight="true" outlineLevel="0" collapsed="false">
      <c r="A13" s="100" t="s">
        <v>98</v>
      </c>
      <c r="B13" s="337" t="n">
        <f aca="false">MAR!B45</f>
        <v>6890.99</v>
      </c>
      <c r="C13" s="90" t="n">
        <f aca="false">MAR!C45</f>
        <v>251535</v>
      </c>
      <c r="D13" s="90" t="n">
        <f aca="false">MAR!D54</f>
        <v>-7808</v>
      </c>
      <c r="E13" s="90" t="n">
        <f aca="false">MAR!E54</f>
        <v>99535</v>
      </c>
      <c r="F13" s="333" t="n">
        <f aca="false">MAR!F53</f>
        <v>-3936.47592639274</v>
      </c>
      <c r="G13" s="78" t="n">
        <f aca="false">MAR!G53</f>
        <v>6703</v>
      </c>
      <c r="H13" s="78" t="n">
        <f aca="false">MAR!H53</f>
        <v>228.59</v>
      </c>
      <c r="I13" s="78" t="n">
        <f aca="false">MAR!I53</f>
        <v>6931.59</v>
      </c>
      <c r="J13" s="78" t="n">
        <f aca="false">MAR!J53</f>
        <v>1742.36560373078</v>
      </c>
      <c r="K13" s="78" t="n">
        <f aca="false">MAR!K53</f>
        <v>8673.95560373078</v>
      </c>
      <c r="L13" s="78" t="n">
        <f aca="false">MAR!L53</f>
        <v>833.43407360726</v>
      </c>
      <c r="M13" s="93" t="n">
        <f aca="false">MAR!M53</f>
        <v>695.4</v>
      </c>
      <c r="N13" s="90" t="n">
        <f aca="false">MAR!N53</f>
        <v>0</v>
      </c>
      <c r="O13" s="90" t="n">
        <f aca="false">MAR!O53</f>
        <v>24.9165</v>
      </c>
      <c r="P13" s="291"/>
      <c r="Q13" s="90" t="n">
        <f aca="false">MAR!Q53</f>
        <v>246.26472</v>
      </c>
      <c r="R13" s="90" t="n">
        <f aca="false">MAR!R53</f>
        <v>356.66</v>
      </c>
      <c r="S13" s="90" t="n">
        <f aca="false">MAR!S53</f>
        <v>0.63</v>
      </c>
      <c r="T13" s="338" t="n">
        <f aca="false">MAR!T53</f>
        <v>-22.57716</v>
      </c>
      <c r="U13" s="78" t="n">
        <f aca="false">MAR!U53</f>
        <v>6391.6</v>
      </c>
      <c r="V13" s="78" t="n">
        <f aca="false">MAR!V53</f>
        <v>40.5</v>
      </c>
      <c r="W13" s="78" t="n">
        <f aca="false">MAR!W53</f>
        <v>6520.83478</v>
      </c>
      <c r="X13" s="78" t="n">
        <f aca="false">MAR!X53</f>
        <v>6480.33478</v>
      </c>
      <c r="Y13" s="142" t="n">
        <v>0</v>
      </c>
      <c r="Z13" s="78"/>
      <c r="AA13" s="142"/>
      <c r="AB13" s="142"/>
      <c r="AC13" s="92"/>
      <c r="AD13" s="339" t="n">
        <f aca="false">MAR!AD53</f>
        <v>0</v>
      </c>
      <c r="AE13" s="78" t="n">
        <f aca="false">MAR!AE53</f>
        <v>0</v>
      </c>
      <c r="AF13" s="78" t="n">
        <f aca="false">MAR!AF53</f>
        <v>0</v>
      </c>
      <c r="AG13" s="340" t="n">
        <f aca="false">MAR!AG53</f>
        <v>4574</v>
      </c>
      <c r="AH13" s="78" t="n">
        <f aca="false">AH7/D2</f>
        <v>16031.2578774893</v>
      </c>
      <c r="AI13" s="78" t="n">
        <f aca="false">MAR!AI53</f>
        <v>0</v>
      </c>
      <c r="AJ13" s="78" t="n">
        <f aca="false">MAR!AJ53</f>
        <v>11701.5</v>
      </c>
      <c r="AK13" s="78" t="n">
        <f aca="false">MAR!AK53</f>
        <v>908.931530123519</v>
      </c>
      <c r="AL13" s="90" t="n">
        <f aca="false">MAR!AL53</f>
        <v>12610.4315301235</v>
      </c>
      <c r="AM13" s="335" t="n">
        <f aca="false">MAR!AM54</f>
        <v>12677.7386</v>
      </c>
      <c r="AN13" s="92" t="n">
        <f aca="false">MAR!AN53</f>
        <v>40.5</v>
      </c>
      <c r="AO13" s="142"/>
      <c r="AP13" s="139"/>
      <c r="AQ13" s="139"/>
      <c r="AR13" s="78"/>
      <c r="AS13" s="2"/>
      <c r="AT13" s="2"/>
      <c r="AU13" s="97" t="n">
        <f aca="false">MAR!AU53</f>
        <v>6.02</v>
      </c>
      <c r="AV13" s="98"/>
      <c r="AW13" s="98"/>
      <c r="AX13" s="341"/>
      <c r="AY13" s="141" t="n">
        <f aca="false">MAR!AY53</f>
        <v>581.74872</v>
      </c>
    </row>
    <row r="14" customFormat="false" ht="3" hidden="false" customHeight="true" outlineLevel="0" collapsed="false">
      <c r="A14" s="104"/>
      <c r="B14" s="342"/>
      <c r="C14" s="114"/>
      <c r="D14" s="111"/>
      <c r="E14" s="114"/>
      <c r="F14" s="343"/>
      <c r="G14" s="111"/>
      <c r="H14" s="111"/>
      <c r="I14" s="111"/>
      <c r="J14" s="111"/>
      <c r="K14" s="111"/>
      <c r="L14" s="111"/>
      <c r="M14" s="115"/>
      <c r="N14" s="111"/>
      <c r="O14" s="111"/>
      <c r="P14" s="344"/>
      <c r="Q14" s="111"/>
      <c r="R14" s="111"/>
      <c r="S14" s="111"/>
      <c r="T14" s="345"/>
      <c r="U14" s="111"/>
      <c r="V14" s="111"/>
      <c r="W14" s="111"/>
      <c r="X14" s="111"/>
      <c r="Y14" s="118"/>
      <c r="Z14" s="111"/>
      <c r="AA14" s="118"/>
      <c r="AB14" s="118"/>
      <c r="AC14" s="113"/>
      <c r="AD14" s="111"/>
      <c r="AE14" s="115"/>
      <c r="AF14" s="116"/>
      <c r="AG14" s="111"/>
      <c r="AH14" s="114"/>
      <c r="AI14" s="114"/>
      <c r="AJ14" s="111"/>
      <c r="AK14" s="111"/>
      <c r="AL14" s="111"/>
      <c r="AM14" s="148"/>
      <c r="AN14" s="113"/>
      <c r="AO14" s="118"/>
      <c r="AP14" s="344"/>
      <c r="AQ14" s="344"/>
      <c r="AR14" s="344"/>
      <c r="AS14" s="344"/>
      <c r="AT14" s="344"/>
      <c r="AU14" s="120"/>
      <c r="AV14" s="118"/>
      <c r="AW14" s="118"/>
      <c r="AX14" s="346"/>
      <c r="AY14" s="347"/>
    </row>
    <row r="15" customFormat="false" ht="12.95" hidden="false" customHeight="true" outlineLevel="0" collapsed="false">
      <c r="A15" s="10" t="n">
        <v>1</v>
      </c>
      <c r="B15" s="348" t="n">
        <v>6891.08</v>
      </c>
      <c r="C15" s="90" t="n">
        <v>251844</v>
      </c>
      <c r="D15" s="98" t="n">
        <f aca="false">C15-C13</f>
        <v>309</v>
      </c>
      <c r="E15" s="90" t="n">
        <f aca="false">C15-152000</f>
        <v>99844</v>
      </c>
      <c r="F15" s="349" t="n">
        <f aca="false">D15/$D$2</f>
        <v>155.78522813209</v>
      </c>
      <c r="G15" s="1" t="n">
        <v>149</v>
      </c>
      <c r="H15" s="4" t="n">
        <v>28</v>
      </c>
      <c r="I15" s="128" t="n">
        <f aca="false">G15+H15</f>
        <v>177</v>
      </c>
      <c r="J15" s="350" t="n">
        <f aca="false">IF(L15&gt;0,L15,0)</f>
        <v>31.7852281320897</v>
      </c>
      <c r="K15" s="128" t="n">
        <f aca="false">I15+J15</f>
        <v>208.78522813209</v>
      </c>
      <c r="L15" s="128" t="n">
        <f aca="false">F15-(I15-AJ15)</f>
        <v>31.7852281320897</v>
      </c>
      <c r="M15" s="131" t="n">
        <v>21</v>
      </c>
      <c r="N15" s="149" t="n">
        <f aca="false">1.8299*1.03</f>
        <v>1.884797</v>
      </c>
      <c r="O15" s="351" t="n">
        <v>0</v>
      </c>
      <c r="P15" s="291" t="n">
        <v>0</v>
      </c>
      <c r="Q15" s="283" t="n">
        <f aca="false">1.602*1.02</f>
        <v>1.63404</v>
      </c>
      <c r="R15" s="283" t="n">
        <v>2.2</v>
      </c>
      <c r="S15" s="126" t="n">
        <v>0</v>
      </c>
      <c r="T15" s="334" t="n">
        <v>0</v>
      </c>
      <c r="U15" s="128" t="n">
        <v>0</v>
      </c>
      <c r="V15" s="128" t="n">
        <v>0</v>
      </c>
      <c r="W15" s="129" t="n">
        <f aca="false">M15-N15-O15-P15-Q15-R15-S15-T15+U15+V15</f>
        <v>15.281163</v>
      </c>
      <c r="X15" s="129" t="n">
        <f aca="false">W15-AN15</f>
        <v>15.281163</v>
      </c>
      <c r="Y15" s="102" t="n">
        <f aca="false">Y13</f>
        <v>0</v>
      </c>
      <c r="Z15" s="129"/>
      <c r="AA15" s="102" t="n">
        <f aca="false">(X15)*1.9835-U15</f>
        <v>30.3101868105</v>
      </c>
      <c r="AB15" s="102" t="n">
        <f aca="false">AO15</f>
        <v>156.184797</v>
      </c>
      <c r="AC15" s="92"/>
      <c r="AD15" s="128" t="n">
        <v>0</v>
      </c>
      <c r="AE15" s="131" t="n">
        <v>1.7</v>
      </c>
      <c r="AF15" s="132" t="n">
        <v>1.3</v>
      </c>
      <c r="AG15" s="128" t="n">
        <v>32</v>
      </c>
      <c r="AH15" s="78" t="n">
        <f aca="false">AH13-AG15</f>
        <v>15999.2578774893</v>
      </c>
      <c r="AI15" s="0"/>
      <c r="AJ15" s="128" t="n">
        <f aca="false">N15+O15+P15+Q15+R15+S15+T15+W15+AD15+AG15</f>
        <v>53</v>
      </c>
      <c r="AK15" s="128" t="n">
        <f aca="false">IF(L15&lt;0,L15*-1,0)</f>
        <v>0</v>
      </c>
      <c r="AL15" s="351" t="n">
        <f aca="false">AJ15+AK15</f>
        <v>53</v>
      </c>
      <c r="AM15" s="352" t="n">
        <f aca="false">AM13+(U15*1.9835)</f>
        <v>12677.7386</v>
      </c>
      <c r="AN15" s="92"/>
      <c r="AO15" s="142" t="n">
        <f aca="false">I15-Q15-R15-W15-AE15</f>
        <v>156.184797</v>
      </c>
      <c r="AP15" s="139" t="n">
        <f aca="false">29.8*(Y15*1.9835+AB15*1.9835)/E15</f>
        <v>0.0924624197399453</v>
      </c>
      <c r="AQ15" s="139"/>
      <c r="AR15" s="96"/>
      <c r="AS15" s="11"/>
      <c r="AT15" s="1"/>
      <c r="AU15" s="97" t="n">
        <v>0.03</v>
      </c>
      <c r="AV15" s="98" t="n">
        <v>51</v>
      </c>
      <c r="AW15" s="98" t="n">
        <v>28</v>
      </c>
      <c r="AX15" s="276"/>
      <c r="AY15" s="235" t="n">
        <f aca="false">SUM(N15,P15:T15)</f>
        <v>5.718837</v>
      </c>
    </row>
    <row r="16" customFormat="false" ht="12.95" hidden="false" customHeight="true" outlineLevel="0" collapsed="false">
      <c r="A16" s="10" t="n">
        <f aca="false">A15+1</f>
        <v>2</v>
      </c>
      <c r="B16" s="337" t="n">
        <v>6891.14</v>
      </c>
      <c r="C16" s="90" t="n">
        <v>252050</v>
      </c>
      <c r="D16" s="98" t="n">
        <f aca="false">C16-C15</f>
        <v>206</v>
      </c>
      <c r="E16" s="90" t="n">
        <f aca="false">C16-152000</f>
        <v>100050</v>
      </c>
      <c r="F16" s="349" t="n">
        <f aca="false">D16/$D$2</f>
        <v>103.856818754727</v>
      </c>
      <c r="G16" s="1" t="n">
        <v>121</v>
      </c>
      <c r="H16" s="4" t="n">
        <v>28</v>
      </c>
      <c r="I16" s="128" t="n">
        <f aca="false">G16+H16</f>
        <v>149</v>
      </c>
      <c r="J16" s="350" t="n">
        <f aca="false">IF(L16&gt;0,L16,0)</f>
        <v>0</v>
      </c>
      <c r="K16" s="128" t="n">
        <f aca="false">I16+J16</f>
        <v>149</v>
      </c>
      <c r="L16" s="128" t="n">
        <f aca="false">F16-(I16-AJ16)</f>
        <v>-9.44318124527351</v>
      </c>
      <c r="M16" s="131" t="n">
        <v>4.7</v>
      </c>
      <c r="N16" s="149" t="n">
        <f aca="false">1.8299*1.03</f>
        <v>1.884797</v>
      </c>
      <c r="O16" s="351" t="n">
        <v>0</v>
      </c>
      <c r="P16" s="291" t="n">
        <v>0</v>
      </c>
      <c r="Q16" s="283" t="n">
        <f aca="false">1.602*1.02</f>
        <v>1.63404</v>
      </c>
      <c r="R16" s="283" t="n">
        <v>2.43</v>
      </c>
      <c r="S16" s="126" t="n">
        <v>0</v>
      </c>
      <c r="T16" s="334" t="n">
        <v>0</v>
      </c>
      <c r="U16" s="128" t="n">
        <v>0</v>
      </c>
      <c r="V16" s="128" t="n">
        <v>0</v>
      </c>
      <c r="W16" s="129" t="n">
        <f aca="false">M16-N16-O16-P16-Q16-R16-S16-T16+U16+V16</f>
        <v>-1.248837</v>
      </c>
      <c r="X16" s="129" t="n">
        <f aca="false">W16-AN16</f>
        <v>-1.248837</v>
      </c>
      <c r="Y16" s="102" t="n">
        <f aca="false">Y15</f>
        <v>0</v>
      </c>
      <c r="Z16" s="129"/>
      <c r="AA16" s="102" t="n">
        <f aca="false">AA15+(X16)*1.9835-U16</f>
        <v>27.833118621</v>
      </c>
      <c r="AB16" s="142" t="n">
        <f aca="false">AB15+AO16-(AP15/1.9835)</f>
        <v>300.622978209861</v>
      </c>
      <c r="AC16" s="92"/>
      <c r="AD16" s="128" t="n">
        <v>0</v>
      </c>
      <c r="AE16" s="131" t="n">
        <v>1.7</v>
      </c>
      <c r="AF16" s="132" t="n">
        <v>1.3</v>
      </c>
      <c r="AG16" s="128" t="n">
        <v>31</v>
      </c>
      <c r="AH16" s="78" t="n">
        <f aca="false">AH15-AG16</f>
        <v>15968.2578774893</v>
      </c>
      <c r="AI16" s="78"/>
      <c r="AJ16" s="128" t="n">
        <f aca="false">N16+O16+P16+Q16+R16+S16+T16+W16+AD16+AG16</f>
        <v>35.7</v>
      </c>
      <c r="AK16" s="128" t="n">
        <f aca="false">IF(L16&lt;0,L16*-1,0)</f>
        <v>9.44318124527351</v>
      </c>
      <c r="AL16" s="351" t="n">
        <f aca="false">AJ16+AK16</f>
        <v>45.1431812452735</v>
      </c>
      <c r="AM16" s="352" t="n">
        <f aca="false">AM15+(U16*1.9835)</f>
        <v>12677.7386</v>
      </c>
      <c r="AN16" s="92"/>
      <c r="AO16" s="142" t="n">
        <f aca="false">I16-Q16-R16-W16-AE16</f>
        <v>144.484797</v>
      </c>
      <c r="AP16" s="139" t="n">
        <f aca="false">29.8*(Y16*1.9835+AB16*1.9835)/E16</f>
        <v>0.177604329664387</v>
      </c>
      <c r="AQ16" s="139"/>
      <c r="AR16" s="96"/>
      <c r="AS16" s="11"/>
      <c r="AT16" s="1"/>
      <c r="AU16" s="97" t="n">
        <v>0</v>
      </c>
      <c r="AV16" s="98" t="n">
        <v>40</v>
      </c>
      <c r="AW16" s="98" t="n">
        <v>20</v>
      </c>
      <c r="AX16" s="276"/>
      <c r="AY16" s="235" t="n">
        <f aca="false">SUM(N16,P16:T16)</f>
        <v>5.948837</v>
      </c>
    </row>
    <row r="17" customFormat="false" ht="12.95" hidden="false" customHeight="true" outlineLevel="0" collapsed="false">
      <c r="A17" s="10" t="n">
        <f aca="false">A16+1</f>
        <v>3</v>
      </c>
      <c r="B17" s="337" t="n">
        <v>6891.21</v>
      </c>
      <c r="C17" s="90" t="n">
        <v>252290</v>
      </c>
      <c r="D17" s="98" t="n">
        <f aca="false">C17-C16</f>
        <v>240</v>
      </c>
      <c r="E17" s="90" t="n">
        <f aca="false">C17-152000</f>
        <v>100290</v>
      </c>
      <c r="F17" s="349" t="n">
        <f aca="false">D17/$D$2</f>
        <v>120.9982354424</v>
      </c>
      <c r="G17" s="1" t="n">
        <v>125</v>
      </c>
      <c r="H17" s="4" t="n">
        <v>16</v>
      </c>
      <c r="I17" s="128" t="n">
        <f aca="false">G17+H17</f>
        <v>141</v>
      </c>
      <c r="J17" s="350" t="n">
        <f aca="false">IF(L17&gt;0,L17,0)</f>
        <v>15.5982354423998</v>
      </c>
      <c r="K17" s="128" t="n">
        <f aca="false">I17+J17</f>
        <v>156.5982354424</v>
      </c>
      <c r="L17" s="128" t="n">
        <f aca="false">F17-(I17-AJ17)</f>
        <v>15.5982354423998</v>
      </c>
      <c r="M17" s="131" t="n">
        <v>4.6</v>
      </c>
      <c r="N17" s="149" t="n">
        <f aca="false">1.8299*1.03</f>
        <v>1.884797</v>
      </c>
      <c r="O17" s="351" t="n">
        <v>0</v>
      </c>
      <c r="P17" s="291" t="n">
        <v>0</v>
      </c>
      <c r="Q17" s="283" t="n">
        <f aca="false">1.602*1.02</f>
        <v>1.63404</v>
      </c>
      <c r="R17" s="283" t="n">
        <v>2.44</v>
      </c>
      <c r="S17" s="126" t="n">
        <v>0</v>
      </c>
      <c r="T17" s="334" t="n">
        <v>0</v>
      </c>
      <c r="U17" s="128" t="n">
        <v>0</v>
      </c>
      <c r="V17" s="128" t="n">
        <v>0</v>
      </c>
      <c r="W17" s="129" t="n">
        <f aca="false">M17-N17-O17-P17-Q17-R17-S17-T17+U17+V17</f>
        <v>-1.358837</v>
      </c>
      <c r="X17" s="129" t="n">
        <f aca="false">W17-AN17</f>
        <v>-1.358837</v>
      </c>
      <c r="Y17" s="102" t="n">
        <f aca="false">Y16</f>
        <v>0</v>
      </c>
      <c r="Z17" s="129"/>
      <c r="AA17" s="102" t="n">
        <f aca="false">AA16+(X17)*1.9835-U17</f>
        <v>25.1378654315</v>
      </c>
      <c r="AB17" s="142" t="n">
        <f aca="false">AB16+AO17-(AP16/1.9835)</f>
        <v>437.118234332793</v>
      </c>
      <c r="AC17" s="92"/>
      <c r="AD17" s="128" t="n">
        <v>0</v>
      </c>
      <c r="AE17" s="131" t="n">
        <v>1.7</v>
      </c>
      <c r="AF17" s="132" t="n">
        <v>1.3</v>
      </c>
      <c r="AG17" s="128" t="n">
        <v>31</v>
      </c>
      <c r="AH17" s="78" t="n">
        <f aca="false">AH16-AG17</f>
        <v>15937.2578774893</v>
      </c>
      <c r="AI17" s="78"/>
      <c r="AJ17" s="128" t="n">
        <f aca="false">N17+O17+P17+Q17+R17+S17+T17+W17+AD17+AG17</f>
        <v>35.6</v>
      </c>
      <c r="AK17" s="128" t="n">
        <f aca="false">IF(L17&lt;0,L17*-1,0)</f>
        <v>0</v>
      </c>
      <c r="AL17" s="351" t="n">
        <f aca="false">AJ17+AK17</f>
        <v>35.6</v>
      </c>
      <c r="AM17" s="352" t="n">
        <f aca="false">AM16+(U17*1.9835)</f>
        <v>12677.7386</v>
      </c>
      <c r="AN17" s="92"/>
      <c r="AO17" s="142" t="n">
        <f aca="false">I17-Q17-R17-W17-AE17</f>
        <v>136.584797</v>
      </c>
      <c r="AP17" s="139" t="n">
        <f aca="false">29.8*(Y17*1.9835+AB17*1.9835)/E17</f>
        <v>0.25762604178296</v>
      </c>
      <c r="AQ17" s="139"/>
      <c r="AR17" s="96"/>
      <c r="AS17" s="11"/>
      <c r="AT17" s="1"/>
      <c r="AU17" s="97" t="n">
        <v>0</v>
      </c>
      <c r="AV17" s="98" t="n">
        <v>49</v>
      </c>
      <c r="AW17" s="98" t="n">
        <v>27</v>
      </c>
      <c r="AX17" s="276"/>
      <c r="AY17" s="235" t="n">
        <f aca="false">SUM(N17,P17:T17)</f>
        <v>5.958837</v>
      </c>
    </row>
    <row r="18" customFormat="false" ht="12.95" hidden="false" customHeight="true" outlineLevel="0" collapsed="false">
      <c r="A18" s="10" t="n">
        <f aca="false">A17+1</f>
        <v>4</v>
      </c>
      <c r="B18" s="337" t="n">
        <v>6891.28</v>
      </c>
      <c r="C18" s="90" t="n">
        <v>252530</v>
      </c>
      <c r="D18" s="98" t="n">
        <f aca="false">C18-C17</f>
        <v>240</v>
      </c>
      <c r="E18" s="90" t="n">
        <f aca="false">C18-152000</f>
        <v>100530</v>
      </c>
      <c r="F18" s="349" t="n">
        <f aca="false">D18/$D$2</f>
        <v>120.9982354424</v>
      </c>
      <c r="G18" s="1" t="n">
        <v>116</v>
      </c>
      <c r="H18" s="4" t="n">
        <v>15</v>
      </c>
      <c r="I18" s="128" t="n">
        <f aca="false">G18+H18</f>
        <v>131</v>
      </c>
      <c r="J18" s="350" t="n">
        <f aca="false">IF(L18&gt;0,L18,0)</f>
        <v>26.9982354423998</v>
      </c>
      <c r="K18" s="128" t="n">
        <f aca="false">I18+J18</f>
        <v>157.9982354424</v>
      </c>
      <c r="L18" s="128" t="n">
        <f aca="false">F18-(I18-AJ18)</f>
        <v>26.9982354423998</v>
      </c>
      <c r="M18" s="131" t="n">
        <v>6</v>
      </c>
      <c r="N18" s="149" t="n">
        <f aca="false">1.8299*1.03</f>
        <v>1.884797</v>
      </c>
      <c r="O18" s="351" t="n">
        <v>0</v>
      </c>
      <c r="P18" s="291" t="n">
        <v>0</v>
      </c>
      <c r="Q18" s="283" t="n">
        <f aca="false">1.602*1.02</f>
        <v>1.63404</v>
      </c>
      <c r="R18" s="283" t="n">
        <v>2.39</v>
      </c>
      <c r="S18" s="126" t="n">
        <v>0</v>
      </c>
      <c r="T18" s="334" t="n">
        <v>0</v>
      </c>
      <c r="U18" s="128" t="n">
        <v>0</v>
      </c>
      <c r="V18" s="128" t="n">
        <v>0</v>
      </c>
      <c r="W18" s="129" t="n">
        <f aca="false">M18-N18-O18-P18-Q18-R18-S18-T18+U18+V18</f>
        <v>0.0911629999999999</v>
      </c>
      <c r="X18" s="129" t="n">
        <f aca="false">W18-AN18</f>
        <v>0.0911629999999999</v>
      </c>
      <c r="Y18" s="102" t="n">
        <f aca="false">Y17</f>
        <v>0</v>
      </c>
      <c r="Z18" s="129"/>
      <c r="AA18" s="102" t="n">
        <f aca="false">AA17+(X18)*1.9835-U18</f>
        <v>25.318687242</v>
      </c>
      <c r="AB18" s="142" t="n">
        <f aca="false">AB17+AO18-(AP17/1.9835)</f>
        <v>562.173146764211</v>
      </c>
      <c r="AC18" s="92"/>
      <c r="AD18" s="128" t="n">
        <v>0</v>
      </c>
      <c r="AE18" s="131" t="n">
        <v>1.7</v>
      </c>
      <c r="AF18" s="132" t="n">
        <v>1.3</v>
      </c>
      <c r="AG18" s="128" t="n">
        <v>31</v>
      </c>
      <c r="AH18" s="78" t="n">
        <f aca="false">AH17-AG18</f>
        <v>15906.2578774893</v>
      </c>
      <c r="AI18" s="78"/>
      <c r="AJ18" s="128" t="n">
        <f aca="false">N18+O18+P18+Q18+R18+S18+T18+W18+AD18+AG18</f>
        <v>37</v>
      </c>
      <c r="AK18" s="128" t="n">
        <f aca="false">IF(L18&lt;0,L18*-1,0)</f>
        <v>0</v>
      </c>
      <c r="AL18" s="351" t="n">
        <f aca="false">AJ18+AK18</f>
        <v>37</v>
      </c>
      <c r="AM18" s="352" t="n">
        <f aca="false">AM17+(U18*1.9835)</f>
        <v>12677.7386</v>
      </c>
      <c r="AN18" s="92"/>
      <c r="AO18" s="142" t="n">
        <f aca="false">I18-Q18-R18-W18-AE18</f>
        <v>125.184797</v>
      </c>
      <c r="AP18" s="139" t="n">
        <f aca="false">29.8*(Y18*1.9835+AB18*1.9835)/E18</f>
        <v>0.330539132705491</v>
      </c>
      <c r="AQ18" s="139"/>
      <c r="AR18" s="96"/>
      <c r="AS18" s="11"/>
      <c r="AT18" s="1"/>
      <c r="AU18" s="97" t="n">
        <v>0</v>
      </c>
      <c r="AV18" s="98" t="n">
        <v>59</v>
      </c>
      <c r="AW18" s="98" t="n">
        <v>32</v>
      </c>
      <c r="AX18" s="276"/>
      <c r="AY18" s="235" t="n">
        <f aca="false">SUM(N18,P18:T18)</f>
        <v>5.908837</v>
      </c>
    </row>
    <row r="19" customFormat="false" ht="12.95" hidden="false" customHeight="true" outlineLevel="0" collapsed="false">
      <c r="A19" s="10" t="n">
        <f aca="false">A18+1</f>
        <v>5</v>
      </c>
      <c r="B19" s="337" t="n">
        <v>6891.37</v>
      </c>
      <c r="C19" s="90" t="n">
        <v>252839</v>
      </c>
      <c r="D19" s="98" t="n">
        <f aca="false">C19-C18</f>
        <v>309</v>
      </c>
      <c r="E19" s="90" t="n">
        <f aca="false">C19-152000</f>
        <v>100839</v>
      </c>
      <c r="F19" s="349" t="n">
        <f aca="false">D19/$D$2</f>
        <v>155.78522813209</v>
      </c>
      <c r="G19" s="1" t="n">
        <v>138</v>
      </c>
      <c r="H19" s="4" t="n">
        <v>31</v>
      </c>
      <c r="I19" s="128" t="n">
        <f aca="false">G19+H19</f>
        <v>169</v>
      </c>
      <c r="J19" s="350" t="n">
        <f aca="false">IF(L19&gt;0,L19,0)</f>
        <v>21.9852281320897</v>
      </c>
      <c r="K19" s="128" t="n">
        <f aca="false">I19+J19</f>
        <v>190.98522813209</v>
      </c>
      <c r="L19" s="128" t="n">
        <f aca="false">F19-(I19-AJ19)</f>
        <v>21.9852281320897</v>
      </c>
      <c r="M19" s="131" t="n">
        <v>5.2</v>
      </c>
      <c r="N19" s="149" t="n">
        <f aca="false">1.8299*1.03</f>
        <v>1.884797</v>
      </c>
      <c r="O19" s="351" t="n">
        <v>0</v>
      </c>
      <c r="P19" s="291" t="n">
        <v>0</v>
      </c>
      <c r="Q19" s="283" t="n">
        <f aca="false">1.602*1.02</f>
        <v>1.63404</v>
      </c>
      <c r="R19" s="283" t="n">
        <v>1.74</v>
      </c>
      <c r="S19" s="126" t="n">
        <v>0</v>
      </c>
      <c r="T19" s="334" t="n">
        <v>0</v>
      </c>
      <c r="U19" s="128" t="n">
        <v>0</v>
      </c>
      <c r="V19" s="128" t="n">
        <v>0</v>
      </c>
      <c r="W19" s="129" t="n">
        <f aca="false">M19-N19-O19-P19-Q19-R19-S19-T19+U19+V19</f>
        <v>-0.0588369999999998</v>
      </c>
      <c r="X19" s="129" t="n">
        <f aca="false">W19-AN19</f>
        <v>-0.0588369999999998</v>
      </c>
      <c r="Y19" s="102" t="n">
        <f aca="false">Y18</f>
        <v>0</v>
      </c>
      <c r="Z19" s="129"/>
      <c r="AA19" s="102" t="n">
        <f aca="false">AA18+(X19)*1.9835</f>
        <v>25.2019840525</v>
      </c>
      <c r="AB19" s="142" t="n">
        <f aca="false">AB18+AO19-(AP18/1.9835)</f>
        <v>725.991299381703</v>
      </c>
      <c r="AC19" s="92"/>
      <c r="AD19" s="128" t="n">
        <v>0</v>
      </c>
      <c r="AE19" s="131" t="n">
        <v>1.7</v>
      </c>
      <c r="AF19" s="132" t="n">
        <v>1.3</v>
      </c>
      <c r="AG19" s="128" t="n">
        <v>30</v>
      </c>
      <c r="AH19" s="78" t="n">
        <f aca="false">AH18-AG19</f>
        <v>15876.2578774893</v>
      </c>
      <c r="AI19" s="78"/>
      <c r="AJ19" s="128" t="n">
        <f aca="false">N19+O19+P19+Q19+R19+S19+T19+W19+AD19+AG19</f>
        <v>35.2</v>
      </c>
      <c r="AK19" s="128" t="n">
        <f aca="false">IF(L19&lt;0,L19*-1,0)</f>
        <v>0</v>
      </c>
      <c r="AL19" s="351" t="n">
        <f aca="false">AJ19+AK19</f>
        <v>35.2</v>
      </c>
      <c r="AM19" s="352" t="n">
        <f aca="false">AM18</f>
        <v>12677.7386</v>
      </c>
      <c r="AN19" s="92"/>
      <c r="AO19" s="142" t="n">
        <f aca="false">I19-Q19-R19-W19-AE19</f>
        <v>163.984797</v>
      </c>
      <c r="AP19" s="139" t="n">
        <f aca="false">29.8*(Y19*1.9835+AB19*1.9835)/E19</f>
        <v>0.425550744466362</v>
      </c>
      <c r="AQ19" s="139"/>
      <c r="AR19" s="96"/>
      <c r="AS19" s="11"/>
      <c r="AT19" s="1"/>
      <c r="AU19" s="97" t="n">
        <v>0</v>
      </c>
      <c r="AV19" s="98" t="n">
        <v>63</v>
      </c>
      <c r="AW19" s="98" t="n">
        <v>34</v>
      </c>
      <c r="AX19" s="276"/>
      <c r="AY19" s="235" t="n">
        <f aca="false">SUM(N19,P19:T19)</f>
        <v>5.258837</v>
      </c>
    </row>
    <row r="20" customFormat="false" ht="12.95" hidden="false" customHeight="true" outlineLevel="0" collapsed="false">
      <c r="A20" s="10" t="n">
        <f aca="false">A19+1</f>
        <v>6</v>
      </c>
      <c r="B20" s="337" t="n">
        <v>6891.53</v>
      </c>
      <c r="C20" s="90" t="n">
        <v>253389</v>
      </c>
      <c r="D20" s="98" t="n">
        <f aca="false">C20-C19</f>
        <v>550</v>
      </c>
      <c r="E20" s="90" t="n">
        <f aca="false">C20-152000</f>
        <v>101389</v>
      </c>
      <c r="F20" s="349" t="n">
        <f aca="false">D20/$D$2</f>
        <v>277.287622888833</v>
      </c>
      <c r="G20" s="1" t="n">
        <v>170</v>
      </c>
      <c r="H20" s="4" t="n">
        <v>54</v>
      </c>
      <c r="I20" s="128" t="n">
        <f aca="false">G20+H20</f>
        <v>224</v>
      </c>
      <c r="J20" s="350" t="n">
        <f aca="false">IF(L20&gt;0,L20,0)</f>
        <v>89.2876228888329</v>
      </c>
      <c r="K20" s="128" t="n">
        <f aca="false">I20+J20</f>
        <v>313.287622888833</v>
      </c>
      <c r="L20" s="128" t="n">
        <f aca="false">F20-(I20-AJ20)</f>
        <v>89.2876228888329</v>
      </c>
      <c r="M20" s="131" t="n">
        <v>6</v>
      </c>
      <c r="N20" s="149" t="n">
        <f aca="false">1.8299*1.03</f>
        <v>1.884797</v>
      </c>
      <c r="O20" s="351" t="n">
        <v>0</v>
      </c>
      <c r="P20" s="291" t="n">
        <v>0</v>
      </c>
      <c r="Q20" s="283" t="n">
        <f aca="false">1.602*1.02</f>
        <v>1.63404</v>
      </c>
      <c r="R20" s="283" t="n">
        <v>2.22</v>
      </c>
      <c r="S20" s="126" t="n">
        <v>0</v>
      </c>
      <c r="T20" s="334" t="n">
        <v>0</v>
      </c>
      <c r="U20" s="128" t="n">
        <v>0</v>
      </c>
      <c r="V20" s="128" t="n">
        <v>0</v>
      </c>
      <c r="W20" s="129" t="n">
        <f aca="false">M20-N20-O20-P20-Q20-R20-S20-T20+U20+V20</f>
        <v>0.261163</v>
      </c>
      <c r="X20" s="129" t="n">
        <f aca="false">W20-AN20</f>
        <v>0.261163</v>
      </c>
      <c r="Y20" s="102" t="n">
        <f aca="false">Y19</f>
        <v>0</v>
      </c>
      <c r="Z20" s="129"/>
      <c r="AA20" s="102" t="n">
        <f aca="false">AA19+(X20)*1.9835</f>
        <v>25.720000863</v>
      </c>
      <c r="AB20" s="142" t="n">
        <f aca="false">AB19+AO20-(AP19/1.9835)</f>
        <v>943.961551010154</v>
      </c>
      <c r="AC20" s="92"/>
      <c r="AD20" s="128" t="n">
        <v>0</v>
      </c>
      <c r="AE20" s="131" t="n">
        <v>1.7</v>
      </c>
      <c r="AF20" s="132" t="n">
        <v>1.3</v>
      </c>
      <c r="AG20" s="128" t="n">
        <v>30</v>
      </c>
      <c r="AH20" s="78" t="n">
        <f aca="false">AH19-AG20</f>
        <v>15846.2578774893</v>
      </c>
      <c r="AI20" s="78"/>
      <c r="AJ20" s="128" t="n">
        <f aca="false">N20+O20+P20+Q20+R20+S20+T20+W20+AD20+AG20</f>
        <v>36</v>
      </c>
      <c r="AK20" s="128" t="n">
        <f aca="false">IF(L20&lt;0,L20*-1,0)</f>
        <v>0</v>
      </c>
      <c r="AL20" s="351" t="n">
        <f aca="false">AJ20+AK20</f>
        <v>36</v>
      </c>
      <c r="AM20" s="352" t="n">
        <f aca="false">AM19</f>
        <v>12677.7386</v>
      </c>
      <c r="AN20" s="92"/>
      <c r="AO20" s="142" t="n">
        <f aca="false">I20-Q20-R20-W20-AE20</f>
        <v>218.184797</v>
      </c>
      <c r="AP20" s="139" t="n">
        <f aca="false">29.8*(Y20*1.9835+AB20*1.9835)/E20</f>
        <v>0.550315739829503</v>
      </c>
      <c r="AQ20" s="139"/>
      <c r="AR20" s="96"/>
      <c r="AS20" s="11"/>
      <c r="AT20" s="1"/>
      <c r="AU20" s="97" t="n">
        <v>0.01</v>
      </c>
      <c r="AV20" s="98" t="n">
        <v>46</v>
      </c>
      <c r="AW20" s="98" t="n">
        <v>29</v>
      </c>
      <c r="AX20" s="276"/>
      <c r="AY20" s="235" t="n">
        <f aca="false">SUM(N20,P20:T20)</f>
        <v>5.738837</v>
      </c>
    </row>
    <row r="21" customFormat="false" ht="12.95" hidden="false" customHeight="true" outlineLevel="0" collapsed="false">
      <c r="A21" s="10" t="n">
        <f aca="false">A20+1</f>
        <v>7</v>
      </c>
      <c r="B21" s="337" t="n">
        <v>6891.68</v>
      </c>
      <c r="C21" s="90" t="n">
        <v>253904</v>
      </c>
      <c r="D21" s="98" t="n">
        <f aca="false">C21-C20</f>
        <v>515</v>
      </c>
      <c r="E21" s="90" t="n">
        <f aca="false">C21-152000</f>
        <v>101904</v>
      </c>
      <c r="F21" s="349" t="n">
        <f aca="false">D21/$D$2</f>
        <v>259.642046886816</v>
      </c>
      <c r="G21" s="1" t="n">
        <v>149</v>
      </c>
      <c r="H21" s="4" t="n">
        <v>41</v>
      </c>
      <c r="I21" s="128" t="n">
        <f aca="false">G21+H21</f>
        <v>190</v>
      </c>
      <c r="J21" s="350" t="n">
        <f aca="false">IF(L21&gt;0,L21,0)</f>
        <v>105.742046886816</v>
      </c>
      <c r="K21" s="128" t="n">
        <f aca="false">I21+J21</f>
        <v>295.742046886816</v>
      </c>
      <c r="L21" s="128" t="n">
        <f aca="false">F21-(I21-AJ21)</f>
        <v>105.742046886816</v>
      </c>
      <c r="M21" s="131" t="n">
        <v>6.1</v>
      </c>
      <c r="N21" s="149" t="n">
        <f aca="false">1.8299*1.03</f>
        <v>1.884797</v>
      </c>
      <c r="O21" s="351" t="n">
        <v>0</v>
      </c>
      <c r="P21" s="291" t="n">
        <v>0</v>
      </c>
      <c r="Q21" s="283" t="n">
        <f aca="false">1.602*1.02</f>
        <v>1.63404</v>
      </c>
      <c r="R21" s="283" t="n">
        <v>2.59</v>
      </c>
      <c r="S21" s="126" t="n">
        <v>0</v>
      </c>
      <c r="T21" s="334" t="n">
        <v>0</v>
      </c>
      <c r="U21" s="128" t="n">
        <v>0</v>
      </c>
      <c r="V21" s="128" t="n">
        <v>0</v>
      </c>
      <c r="W21" s="129" t="n">
        <f aca="false">M21-N21-O21-P21-Q21-R21-S21-T21+U21+V21</f>
        <v>-0.00883700000000021</v>
      </c>
      <c r="X21" s="129" t="n">
        <f aca="false">W21-AN21</f>
        <v>-0.00883700000000021</v>
      </c>
      <c r="Y21" s="102" t="n">
        <f aca="false">Y20</f>
        <v>0</v>
      </c>
      <c r="Z21" s="129"/>
      <c r="AA21" s="102" t="n">
        <f aca="false">AA20+(X21)*1.9835</f>
        <v>25.7024726735</v>
      </c>
      <c r="AB21" s="142" t="n">
        <f aca="false">AB20+AO21-(AP20/1.9835)</f>
        <v>1127.76890120409</v>
      </c>
      <c r="AC21" s="92"/>
      <c r="AD21" s="128" t="n">
        <v>0</v>
      </c>
      <c r="AE21" s="131" t="n">
        <v>1.7</v>
      </c>
      <c r="AF21" s="132" t="n">
        <v>1.3</v>
      </c>
      <c r="AG21" s="128" t="n">
        <v>30</v>
      </c>
      <c r="AH21" s="78" t="n">
        <f aca="false">AH20-AG21</f>
        <v>15816.2578774893</v>
      </c>
      <c r="AI21" s="78"/>
      <c r="AJ21" s="128" t="n">
        <f aca="false">N21+O21+P21+Q21+R21+S21+T21+W21+AD21+AG21</f>
        <v>36.1</v>
      </c>
      <c r="AK21" s="128" t="n">
        <f aca="false">IF(L21&lt;0,L21*-1,0)</f>
        <v>0</v>
      </c>
      <c r="AL21" s="351" t="n">
        <f aca="false">AJ21+AK21</f>
        <v>36.1</v>
      </c>
      <c r="AM21" s="352" t="n">
        <f aca="false">AM20+(U21*1.9835)</f>
        <v>12677.7386</v>
      </c>
      <c r="AN21" s="92"/>
      <c r="AO21" s="142" t="n">
        <f aca="false">I21-Q21-R21-W21-AE21</f>
        <v>184.084797</v>
      </c>
      <c r="AP21" s="139" t="n">
        <f aca="false">29.8*(Y21*1.9835+AB21*1.9835)/E21</f>
        <v>0.654150009254216</v>
      </c>
      <c r="AQ21" s="139"/>
      <c r="AR21" s="96"/>
      <c r="AS21" s="11"/>
      <c r="AT21" s="1"/>
      <c r="AU21" s="97" t="n">
        <v>0</v>
      </c>
      <c r="AV21" s="98" t="n">
        <v>51</v>
      </c>
      <c r="AW21" s="98" t="n">
        <v>23</v>
      </c>
      <c r="AX21" s="276"/>
      <c r="AY21" s="235" t="n">
        <f aca="false">SUM(N21,P21:T21)</f>
        <v>6.108837</v>
      </c>
    </row>
    <row r="22" customFormat="false" ht="12.95" hidden="false" customHeight="true" outlineLevel="0" collapsed="false">
      <c r="A22" s="10" t="n">
        <f aca="false">A21+1</f>
        <v>8</v>
      </c>
      <c r="B22" s="337" t="n">
        <v>6891.88</v>
      </c>
      <c r="C22" s="90" t="n">
        <v>254591</v>
      </c>
      <c r="D22" s="98" t="n">
        <f aca="false">C22-C21</f>
        <v>687</v>
      </c>
      <c r="E22" s="90" t="n">
        <f aca="false">C22-152000</f>
        <v>102591</v>
      </c>
      <c r="F22" s="349" t="n">
        <f aca="false">D22/$D$2</f>
        <v>346.357448953869</v>
      </c>
      <c r="G22" s="1" t="n">
        <v>173</v>
      </c>
      <c r="H22" s="4" t="n">
        <v>62</v>
      </c>
      <c r="I22" s="128" t="n">
        <f aca="false">G22+H22</f>
        <v>235</v>
      </c>
      <c r="J22" s="350" t="n">
        <f aca="false">IF(L22&gt;0,L22,0)</f>
        <v>147.457448953869</v>
      </c>
      <c r="K22" s="128" t="n">
        <f aca="false">I22+J22</f>
        <v>382.457448953869</v>
      </c>
      <c r="L22" s="128" t="n">
        <f aca="false">F22-(I22-AJ22)</f>
        <v>147.457448953869</v>
      </c>
      <c r="M22" s="131" t="n">
        <v>6.1</v>
      </c>
      <c r="N22" s="149" t="n">
        <f aca="false">1.8299*1.03</f>
        <v>1.884797</v>
      </c>
      <c r="O22" s="351" t="n">
        <v>0</v>
      </c>
      <c r="P22" s="291" t="n">
        <v>0</v>
      </c>
      <c r="Q22" s="283" t="n">
        <f aca="false">1.602*1.02</f>
        <v>1.63404</v>
      </c>
      <c r="R22" s="283" t="n">
        <v>3.25</v>
      </c>
      <c r="S22" s="126" t="n">
        <v>0</v>
      </c>
      <c r="T22" s="334" t="n">
        <v>0</v>
      </c>
      <c r="U22" s="128" t="n">
        <v>0</v>
      </c>
      <c r="V22" s="128" t="n">
        <v>0</v>
      </c>
      <c r="W22" s="129" t="n">
        <f aca="false">M22-N22-O22-P22-Q22-R22-S22-T22+U22+V22</f>
        <v>-0.668837</v>
      </c>
      <c r="X22" s="129" t="n">
        <f aca="false">W22-AN22</f>
        <v>-0.668837</v>
      </c>
      <c r="Y22" s="102" t="n">
        <f aca="false">Y21</f>
        <v>0</v>
      </c>
      <c r="Z22" s="129"/>
      <c r="AA22" s="102" t="n">
        <f aca="false">AA21+(X22)*1.9835</f>
        <v>24.375834484</v>
      </c>
      <c r="AB22" s="142" t="n">
        <f aca="false">AB21+AO22-(AP21/1.9835)</f>
        <v>1356.52390238395</v>
      </c>
      <c r="AC22" s="92"/>
      <c r="AD22" s="128" t="n">
        <v>0</v>
      </c>
      <c r="AE22" s="131" t="n">
        <v>1.7</v>
      </c>
      <c r="AF22" s="132" t="n">
        <v>1.3</v>
      </c>
      <c r="AG22" s="128" t="n">
        <v>30</v>
      </c>
      <c r="AH22" s="78" t="n">
        <f aca="false">AH21-AG22</f>
        <v>15786.2578774893</v>
      </c>
      <c r="AI22" s="78"/>
      <c r="AJ22" s="128" t="n">
        <f aca="false">N22+O22+P22+Q22+R22+S22+T22+W22+AD22+AG22</f>
        <v>36.1</v>
      </c>
      <c r="AK22" s="128" t="n">
        <f aca="false">IF(L22&lt;0,L22*-1,0)</f>
        <v>0</v>
      </c>
      <c r="AL22" s="351" t="n">
        <f aca="false">AJ22+AK22</f>
        <v>36.1</v>
      </c>
      <c r="AM22" s="352" t="n">
        <f aca="false">AM21+(U22*1.9835)</f>
        <v>12677.7386</v>
      </c>
      <c r="AN22" s="92"/>
      <c r="AO22" s="142" t="n">
        <f aca="false">I22-Q22-R22-W22-AE22</f>
        <v>229.084797</v>
      </c>
      <c r="AP22" s="139" t="n">
        <f aca="false">29.8*(Y22*1.9835+AB22*1.9835)/E22</f>
        <v>0.781567796193438</v>
      </c>
      <c r="AQ22" s="139"/>
      <c r="AR22" s="96"/>
      <c r="AS22" s="11"/>
      <c r="AT22" s="1"/>
      <c r="AU22" s="97" t="n">
        <v>0</v>
      </c>
      <c r="AV22" s="98" t="n">
        <v>57</v>
      </c>
      <c r="AW22" s="98" t="n">
        <v>25</v>
      </c>
      <c r="AX22" s="276"/>
      <c r="AY22" s="235" t="n">
        <f aca="false">SUM(N22,P22:T22)</f>
        <v>6.768837</v>
      </c>
    </row>
    <row r="23" customFormat="false" ht="12.95" hidden="false" customHeight="true" outlineLevel="0" collapsed="false">
      <c r="A23" s="10" t="n">
        <f aca="false">A22+1</f>
        <v>9</v>
      </c>
      <c r="B23" s="337" t="n">
        <v>6892.23</v>
      </c>
      <c r="C23" s="90" t="n">
        <v>255800</v>
      </c>
      <c r="D23" s="98" t="n">
        <f aca="false">C23-C22</f>
        <v>1209</v>
      </c>
      <c r="E23" s="90" t="n">
        <f aca="false">C23-152000</f>
        <v>103800</v>
      </c>
      <c r="F23" s="349" t="n">
        <f aca="false">D23/$D$2</f>
        <v>609.528611041089</v>
      </c>
      <c r="G23" s="1" t="n">
        <v>252</v>
      </c>
      <c r="H23" s="4" t="n">
        <v>87</v>
      </c>
      <c r="I23" s="128" t="n">
        <f aca="false">G23+H23</f>
        <v>339</v>
      </c>
      <c r="J23" s="350" t="n">
        <f aca="false">IF(L23&gt;0,L23,0)</f>
        <v>306.828611041089</v>
      </c>
      <c r="K23" s="128" t="n">
        <f aca="false">I23+J23</f>
        <v>645.828611041089</v>
      </c>
      <c r="L23" s="128" t="n">
        <f aca="false">F23-(I23-AJ23)</f>
        <v>306.828611041089</v>
      </c>
      <c r="M23" s="131" t="n">
        <v>6.3</v>
      </c>
      <c r="N23" s="149" t="n">
        <f aca="false">1.8299*1.03</f>
        <v>1.884797</v>
      </c>
      <c r="O23" s="351" t="n">
        <v>0</v>
      </c>
      <c r="P23" s="291" t="n">
        <v>0</v>
      </c>
      <c r="Q23" s="283" t="n">
        <f aca="false">1.602*1.02</f>
        <v>1.63404</v>
      </c>
      <c r="R23" s="283" t="n">
        <v>2.28</v>
      </c>
      <c r="S23" s="126" t="n">
        <v>0</v>
      </c>
      <c r="T23" s="334" t="n">
        <v>0</v>
      </c>
      <c r="U23" s="128" t="n">
        <v>0</v>
      </c>
      <c r="V23" s="128" t="n">
        <v>0</v>
      </c>
      <c r="W23" s="129" t="n">
        <f aca="false">M23-N23-O23-P23-Q23-R23-S23-T23+U23+V23</f>
        <v>0.501163</v>
      </c>
      <c r="X23" s="129" t="n">
        <f aca="false">W23-AN23</f>
        <v>0.501163</v>
      </c>
      <c r="Y23" s="102" t="n">
        <f aca="false">Y22</f>
        <v>0</v>
      </c>
      <c r="Z23" s="129"/>
      <c r="AA23" s="102" t="n">
        <f aca="false">AA22+(X23)*1.9835</f>
        <v>25.3698912945</v>
      </c>
      <c r="AB23" s="142" t="n">
        <f aca="false">AB22+AO23-(AP22/1.9835)</f>
        <v>1689.0146646997</v>
      </c>
      <c r="AC23" s="92"/>
      <c r="AD23" s="128" t="n">
        <v>0</v>
      </c>
      <c r="AE23" s="131" t="n">
        <v>1.7</v>
      </c>
      <c r="AF23" s="132" t="n">
        <v>1.3</v>
      </c>
      <c r="AG23" s="128" t="n">
        <v>30</v>
      </c>
      <c r="AH23" s="78" t="n">
        <f aca="false">AH22-AG23</f>
        <v>15756.2578774893</v>
      </c>
      <c r="AI23" s="78"/>
      <c r="AJ23" s="128" t="n">
        <f aca="false">N23+O23+P23+Q23+R23+S23+T23+W23+AD23+AG23</f>
        <v>36.3</v>
      </c>
      <c r="AK23" s="128" t="n">
        <f aca="false">IF(L23&lt;0,L23*-1,0)</f>
        <v>0</v>
      </c>
      <c r="AL23" s="351" t="n">
        <f aca="false">AJ23+AK23</f>
        <v>36.3</v>
      </c>
      <c r="AM23" s="352" t="n">
        <f aca="false">AM22</f>
        <v>12677.7386</v>
      </c>
      <c r="AN23" s="92"/>
      <c r="AO23" s="142" t="n">
        <f aca="false">I23-Q23-R23-W23-AE23</f>
        <v>332.884797</v>
      </c>
      <c r="AP23" s="139" t="n">
        <f aca="false">29.8*(Y23*1.9835+AB23*1.9835)/E23</f>
        <v>0.961799475004523</v>
      </c>
      <c r="AQ23" s="139"/>
      <c r="AR23" s="96"/>
      <c r="AS23" s="11"/>
      <c r="AT23" s="1"/>
      <c r="AU23" s="97" t="n">
        <v>0</v>
      </c>
      <c r="AV23" s="137" t="n">
        <v>65</v>
      </c>
      <c r="AW23" s="98" t="n">
        <v>30</v>
      </c>
      <c r="AX23" s="276"/>
      <c r="AY23" s="235" t="n">
        <f aca="false">SUM(N23,P23:T23)</f>
        <v>5.798837</v>
      </c>
    </row>
    <row r="24" customFormat="false" ht="12.95" hidden="false" customHeight="true" outlineLevel="0" collapsed="false">
      <c r="A24" s="10" t="n">
        <f aca="false">A23+1</f>
        <v>10</v>
      </c>
      <c r="B24" s="337" t="n">
        <v>6892.78</v>
      </c>
      <c r="C24" s="90" t="n">
        <v>257706</v>
      </c>
      <c r="D24" s="98" t="n">
        <f aca="false">C24-C23</f>
        <v>1906</v>
      </c>
      <c r="E24" s="90" t="n">
        <f aca="false">C24-152000</f>
        <v>105706</v>
      </c>
      <c r="F24" s="349" t="n">
        <f aca="false">D24/$D$2</f>
        <v>960.927653138392</v>
      </c>
      <c r="G24" s="1" t="n">
        <v>384</v>
      </c>
      <c r="H24" s="4" t="n">
        <v>101</v>
      </c>
      <c r="I24" s="128" t="n">
        <f aca="false">G24+H24</f>
        <v>485</v>
      </c>
      <c r="J24" s="350" t="n">
        <f aca="false">IF(L24&gt;0,L24,0)</f>
        <v>512.827653138392</v>
      </c>
      <c r="K24" s="128" t="n">
        <f aca="false">I24+J24</f>
        <v>997.827653138392</v>
      </c>
      <c r="L24" s="128" t="n">
        <f aca="false">F24-(I24-AJ24)</f>
        <v>512.827653138392</v>
      </c>
      <c r="M24" s="131" t="n">
        <v>6.9</v>
      </c>
      <c r="N24" s="149" t="n">
        <f aca="false">1.8299*1.03</f>
        <v>1.884797</v>
      </c>
      <c r="O24" s="351" t="n">
        <v>0</v>
      </c>
      <c r="P24" s="291" t="n">
        <v>0</v>
      </c>
      <c r="Q24" s="283" t="n">
        <f aca="false">1.602*1.02</f>
        <v>1.63404</v>
      </c>
      <c r="R24" s="283" t="n">
        <v>2.23</v>
      </c>
      <c r="S24" s="126" t="n">
        <v>0</v>
      </c>
      <c r="T24" s="334" t="n">
        <v>0</v>
      </c>
      <c r="U24" s="128" t="n">
        <v>0</v>
      </c>
      <c r="V24" s="128" t="n">
        <v>0</v>
      </c>
      <c r="W24" s="129" t="n">
        <f aca="false">M24-N24-O24-P24-Q24-R24-S24-T24+U24+V24</f>
        <v>1.151163</v>
      </c>
      <c r="X24" s="129" t="n">
        <f aca="false">W24-AN24</f>
        <v>1.151163</v>
      </c>
      <c r="Y24" s="102" t="n">
        <f aca="false">Y23+452.67</f>
        <v>452.67</v>
      </c>
      <c r="Z24" s="129"/>
      <c r="AA24" s="102" t="n">
        <f aca="false">AA23+(X24+452.67)*1.9835</f>
        <v>925.524168105</v>
      </c>
      <c r="AB24" s="142" t="n">
        <f aca="false">AB23+25.61-(AP23/1.9835)</f>
        <v>1714.13976453585</v>
      </c>
      <c r="AC24" s="92"/>
      <c r="AD24" s="128" t="n">
        <v>0</v>
      </c>
      <c r="AE24" s="131" t="n">
        <v>1.7</v>
      </c>
      <c r="AF24" s="132" t="n">
        <v>1.3</v>
      </c>
      <c r="AG24" s="128" t="n">
        <v>30</v>
      </c>
      <c r="AH24" s="78" t="n">
        <f aca="false">AH23-AG24</f>
        <v>15726.2578774893</v>
      </c>
      <c r="AI24" s="78"/>
      <c r="AJ24" s="128" t="n">
        <f aca="false">N24+O24+P24+Q24+R24+S24+T24+W24+AD24+AG24</f>
        <v>36.9</v>
      </c>
      <c r="AK24" s="128" t="n">
        <f aca="false">IF(L24&lt;0,L24*-1,0)</f>
        <v>0</v>
      </c>
      <c r="AL24" s="351" t="n">
        <f aca="false">AJ24+AK24</f>
        <v>36.9</v>
      </c>
      <c r="AM24" s="352" t="n">
        <f aca="false">AM23</f>
        <v>12677.7386</v>
      </c>
      <c r="AN24" s="92"/>
      <c r="AO24" s="142" t="n">
        <f aca="false">I24-Q24-R24-W24-AE24</f>
        <v>478.284797</v>
      </c>
      <c r="AP24" s="139" t="n">
        <f aca="false">29.8*(Y24*1.9835+AB24*1.9835)/E24</f>
        <v>1.21162887258164</v>
      </c>
      <c r="AQ24" s="139"/>
      <c r="AR24" s="96"/>
      <c r="AS24" s="11"/>
      <c r="AT24" s="1"/>
      <c r="AU24" s="97" t="n">
        <v>0</v>
      </c>
      <c r="AV24" s="98" t="n">
        <v>66</v>
      </c>
      <c r="AW24" s="98" t="n">
        <v>32</v>
      </c>
      <c r="AX24" s="276"/>
      <c r="AY24" s="235" t="n">
        <f aca="false">SUM(N24,P24:T24)</f>
        <v>5.748837</v>
      </c>
    </row>
    <row r="25" customFormat="false" ht="12.95" hidden="false" customHeight="true" outlineLevel="0" collapsed="false">
      <c r="A25" s="10" t="n">
        <f aca="false">A24+1</f>
        <v>11</v>
      </c>
      <c r="B25" s="337" t="n">
        <v>6893.57</v>
      </c>
      <c r="C25" s="90" t="n">
        <v>260463</v>
      </c>
      <c r="D25" s="98" t="n">
        <f aca="false">C25-C24</f>
        <v>2757</v>
      </c>
      <c r="E25" s="90" t="n">
        <f aca="false">C25-152000</f>
        <v>108463</v>
      </c>
      <c r="F25" s="349" t="n">
        <f aca="false">D25/$D$2</f>
        <v>1389.96722964457</v>
      </c>
      <c r="G25" s="1" t="n">
        <v>504</v>
      </c>
      <c r="H25" s="4" t="n">
        <v>127</v>
      </c>
      <c r="I25" s="128" t="n">
        <f aca="false">G25+H25</f>
        <v>631</v>
      </c>
      <c r="J25" s="350" t="n">
        <f aca="false">IF(L25&gt;0,L25,0)</f>
        <v>800.967229644568</v>
      </c>
      <c r="K25" s="128" t="n">
        <f aca="false">I25+J25</f>
        <v>1431.96722964457</v>
      </c>
      <c r="L25" s="128" t="n">
        <f aca="false">F25-(I25-AJ25)</f>
        <v>800.967229644568</v>
      </c>
      <c r="M25" s="131" t="n">
        <v>11</v>
      </c>
      <c r="N25" s="149" t="n">
        <f aca="false">1.8299*1.03</f>
        <v>1.884797</v>
      </c>
      <c r="O25" s="351" t="n">
        <v>0</v>
      </c>
      <c r="P25" s="291" t="n">
        <v>0</v>
      </c>
      <c r="Q25" s="283" t="n">
        <f aca="false">1.602*1.02</f>
        <v>1.63404</v>
      </c>
      <c r="R25" s="283" t="n">
        <v>2.97</v>
      </c>
      <c r="S25" s="126" t="n">
        <v>0</v>
      </c>
      <c r="T25" s="334" t="n">
        <v>0</v>
      </c>
      <c r="U25" s="128" t="n">
        <v>0</v>
      </c>
      <c r="V25" s="128" t="n">
        <v>0</v>
      </c>
      <c r="W25" s="129" t="n">
        <f aca="false">M25-N25-O25-P25-Q25-R25-S25-T25+U25+V25</f>
        <v>4.511163</v>
      </c>
      <c r="X25" s="129" t="n">
        <f aca="false">W25-AN25</f>
        <v>4.511163</v>
      </c>
      <c r="Y25" s="102" t="n">
        <f aca="false">Y24+AO25</f>
        <v>1072.854797</v>
      </c>
      <c r="Z25" s="129"/>
      <c r="AA25" s="102" t="n">
        <f aca="false">AA24+(X25+AO25)*1.9835</f>
        <v>2164.608604765</v>
      </c>
      <c r="AB25" s="142" t="n">
        <f aca="false">AB24-(AP24/1.9835)</f>
        <v>1713.52891055421</v>
      </c>
      <c r="AC25" s="92"/>
      <c r="AD25" s="128" t="n">
        <v>0</v>
      </c>
      <c r="AE25" s="131" t="n">
        <v>1.7</v>
      </c>
      <c r="AF25" s="132" t="n">
        <v>1.3</v>
      </c>
      <c r="AG25" s="128" t="n">
        <v>31</v>
      </c>
      <c r="AH25" s="78" t="n">
        <f aca="false">AH24-AG25</f>
        <v>15695.2578774893</v>
      </c>
      <c r="AI25" s="78"/>
      <c r="AJ25" s="128" t="n">
        <f aca="false">N25+O25+P25+Q25+R25+S25+T25+W25+AD25+AG25</f>
        <v>42</v>
      </c>
      <c r="AK25" s="128" t="n">
        <f aca="false">IF(L25&lt;0,L25*-1,0)</f>
        <v>0</v>
      </c>
      <c r="AL25" s="351" t="n">
        <f aca="false">AJ25+AK25</f>
        <v>42</v>
      </c>
      <c r="AM25" s="352" t="n">
        <f aca="false">AM24</f>
        <v>12677.7386</v>
      </c>
      <c r="AN25" s="92"/>
      <c r="AO25" s="142" t="n">
        <f aca="false">I25-Q25-R25-W25-AE25</f>
        <v>620.184797</v>
      </c>
      <c r="AP25" s="139" t="n">
        <f aca="false">29.8*(Y25*1.9835+AB25*1.9835)/E25</f>
        <v>1.51847546261146</v>
      </c>
      <c r="AQ25" s="139"/>
      <c r="AR25" s="96"/>
      <c r="AS25" s="11"/>
      <c r="AT25" s="1"/>
      <c r="AU25" s="97" t="n">
        <v>0</v>
      </c>
      <c r="AV25" s="98" t="n">
        <v>69</v>
      </c>
      <c r="AW25" s="98" t="n">
        <v>33</v>
      </c>
      <c r="AX25" s="276"/>
      <c r="AY25" s="235" t="n">
        <f aca="false">SUM(N25,P25:T25)</f>
        <v>6.488837</v>
      </c>
    </row>
    <row r="26" customFormat="false" ht="12.95" hidden="false" customHeight="true" outlineLevel="0" collapsed="false">
      <c r="A26" s="10" t="n">
        <f aca="false">A25+1</f>
        <v>12</v>
      </c>
      <c r="B26" s="337" t="n">
        <v>6894.65</v>
      </c>
      <c r="C26" s="90" t="n">
        <v>264261</v>
      </c>
      <c r="D26" s="98" t="n">
        <f aca="false">C26-C25</f>
        <v>3798</v>
      </c>
      <c r="E26" s="90" t="n">
        <f aca="false">C26-152000</f>
        <v>112261</v>
      </c>
      <c r="F26" s="349" t="n">
        <f aca="false">D26/$D$2</f>
        <v>1914.79707587598</v>
      </c>
      <c r="G26" s="1" t="n">
        <v>768</v>
      </c>
      <c r="H26" s="4" t="n">
        <v>164</v>
      </c>
      <c r="I26" s="128" t="n">
        <f aca="false">G26+H26</f>
        <v>932</v>
      </c>
      <c r="J26" s="350" t="n">
        <f aca="false">IF(L26&gt;0,L26,0)</f>
        <v>1058.79707587598</v>
      </c>
      <c r="K26" s="128" t="n">
        <f aca="false">I26+J26</f>
        <v>1990.79707587598</v>
      </c>
      <c r="L26" s="128" t="n">
        <f aca="false">F26-(I26-AJ26)</f>
        <v>1058.79707587598</v>
      </c>
      <c r="M26" s="131" t="n">
        <v>46</v>
      </c>
      <c r="N26" s="149" t="n">
        <f aca="false">1.8299*1.03</f>
        <v>1.884797</v>
      </c>
      <c r="O26" s="351" t="n">
        <f aca="false">(6.2+5.4)*1.05</f>
        <v>12.18</v>
      </c>
      <c r="P26" s="291" t="n">
        <v>0</v>
      </c>
      <c r="Q26" s="283" t="n">
        <f aca="false">1.602*1.02</f>
        <v>1.63404</v>
      </c>
      <c r="R26" s="283" t="n">
        <v>4.2</v>
      </c>
      <c r="S26" s="126" t="n">
        <v>0.25</v>
      </c>
      <c r="T26" s="334" t="n">
        <v>0</v>
      </c>
      <c r="U26" s="128" t="n">
        <v>0</v>
      </c>
      <c r="V26" s="128" t="n">
        <v>0</v>
      </c>
      <c r="W26" s="129" t="n">
        <f aca="false">M26-N26-O26-P26-Q26-R26-S26-T26+U26+V26</f>
        <v>25.851163</v>
      </c>
      <c r="X26" s="129" t="n">
        <f aca="false">W26-AN26</f>
        <v>25.851163</v>
      </c>
      <c r="Y26" s="102" t="n">
        <f aca="false">Y25+AO26</f>
        <v>1842.003634</v>
      </c>
      <c r="Z26" s="129"/>
      <c r="AA26" s="102" t="n">
        <f aca="false">AA25+(X26+AO26)*1.9835</f>
        <v>3741.491104765</v>
      </c>
      <c r="AB26" s="142" t="n">
        <f aca="false">AB25-(AP25/1.9835)</f>
        <v>1712.76335700613</v>
      </c>
      <c r="AC26" s="92"/>
      <c r="AD26" s="128" t="n">
        <v>0</v>
      </c>
      <c r="AE26" s="131" t="n">
        <v>1.7</v>
      </c>
      <c r="AF26" s="132" t="n">
        <v>1.3</v>
      </c>
      <c r="AG26" s="128" t="n">
        <v>30</v>
      </c>
      <c r="AH26" s="78" t="n">
        <f aca="false">AH25-AG26</f>
        <v>15665.2578774893</v>
      </c>
      <c r="AI26" s="78"/>
      <c r="AJ26" s="128" t="n">
        <f aca="false">N26+O26+P26+Q26+R26+S26+T26+W26+AD26+AG26</f>
        <v>76</v>
      </c>
      <c r="AK26" s="128" t="n">
        <f aca="false">IF(L26&lt;0,L26*-1,0)</f>
        <v>0</v>
      </c>
      <c r="AL26" s="351" t="n">
        <f aca="false">AJ26+AK26</f>
        <v>76</v>
      </c>
      <c r="AM26" s="352" t="n">
        <f aca="false">AM25</f>
        <v>12677.7386</v>
      </c>
      <c r="AN26" s="92"/>
      <c r="AO26" s="142" t="n">
        <f aca="false">795-W26</f>
        <v>769.148837</v>
      </c>
      <c r="AP26" s="139" t="n">
        <f aca="false">29.8*(Y26*1.9835+AB26*1.9835)/E26</f>
        <v>1.87167612736826</v>
      </c>
      <c r="AQ26" s="139"/>
      <c r="AR26" s="96"/>
      <c r="AS26" s="11"/>
      <c r="AT26" s="1"/>
      <c r="AU26" s="97" t="n">
        <v>0</v>
      </c>
      <c r="AV26" s="98" t="n">
        <v>70</v>
      </c>
      <c r="AW26" s="98" t="n">
        <v>39</v>
      </c>
      <c r="AX26" s="276"/>
      <c r="AY26" s="235" t="n">
        <f aca="false">SUM(N26,P26:T26)</f>
        <v>7.968837</v>
      </c>
    </row>
    <row r="27" customFormat="false" ht="12.95" hidden="false" customHeight="true" outlineLevel="0" collapsed="false">
      <c r="A27" s="10" t="n">
        <f aca="false">A26+1</f>
        <v>13</v>
      </c>
      <c r="B27" s="337" t="n">
        <v>6895.58</v>
      </c>
      <c r="C27" s="90" t="n">
        <v>267560</v>
      </c>
      <c r="D27" s="98" t="n">
        <f aca="false">C27-C26</f>
        <v>3299</v>
      </c>
      <c r="E27" s="90" t="n">
        <f aca="false">C27-152000</f>
        <v>115560</v>
      </c>
      <c r="F27" s="349" t="n">
        <f aca="false">D27/$D$2</f>
        <v>1663.22157801865</v>
      </c>
      <c r="G27" s="1" t="n">
        <v>865</v>
      </c>
      <c r="H27" s="4" t="n">
        <v>180</v>
      </c>
      <c r="I27" s="128" t="n">
        <f aca="false">G27+H27</f>
        <v>1045</v>
      </c>
      <c r="J27" s="350" t="n">
        <f aca="false">IF(L27&gt;0,L27,0)</f>
        <v>720.221578018654</v>
      </c>
      <c r="K27" s="128" t="n">
        <f aca="false">I27+J27</f>
        <v>1765.22157801865</v>
      </c>
      <c r="L27" s="128" t="n">
        <f aca="false">F27-(I27-AJ27)</f>
        <v>720.221578018654</v>
      </c>
      <c r="M27" s="131" t="n">
        <v>72</v>
      </c>
      <c r="N27" s="149" t="n">
        <f aca="false">1.8299*1.03</f>
        <v>1.884797</v>
      </c>
      <c r="O27" s="351" t="n">
        <f aca="false">(21+21)*1.05</f>
        <v>44.1</v>
      </c>
      <c r="P27" s="291" t="n">
        <v>0</v>
      </c>
      <c r="Q27" s="283" t="n">
        <f aca="false">1.602*1.02</f>
        <v>1.63404</v>
      </c>
      <c r="R27" s="283" t="n">
        <v>4.2</v>
      </c>
      <c r="S27" s="126" t="n">
        <v>0.2</v>
      </c>
      <c r="T27" s="334" t="n">
        <v>0</v>
      </c>
      <c r="U27" s="128" t="n">
        <v>0</v>
      </c>
      <c r="V27" s="128" t="n">
        <v>0</v>
      </c>
      <c r="W27" s="129" t="n">
        <f aca="false">M27-N27-O27-P27-Q27-R27-S27-T27+U27+V27</f>
        <v>19.981163</v>
      </c>
      <c r="X27" s="129" t="n">
        <f aca="false">W27-AN27</f>
        <v>19.981163</v>
      </c>
      <c r="Y27" s="102" t="n">
        <f aca="false">Y26+AO27</f>
        <v>2617.022471</v>
      </c>
      <c r="Z27" s="129"/>
      <c r="AA27" s="102" t="n">
        <f aca="false">AA26+(X27+AO27)*1.9835</f>
        <v>5318.373604765</v>
      </c>
      <c r="AB27" s="142" t="n">
        <f aca="false">AB26-(AP26/1.9835)</f>
        <v>1711.81973405309</v>
      </c>
      <c r="AC27" s="92"/>
      <c r="AD27" s="128" t="n">
        <v>0</v>
      </c>
      <c r="AE27" s="131" t="n">
        <v>1.7</v>
      </c>
      <c r="AF27" s="132" t="n">
        <v>1.3</v>
      </c>
      <c r="AG27" s="128" t="n">
        <v>30</v>
      </c>
      <c r="AH27" s="78" t="n">
        <f aca="false">AH26-AG27</f>
        <v>15635.2578774893</v>
      </c>
      <c r="AI27" s="78"/>
      <c r="AJ27" s="128" t="n">
        <f aca="false">N27+O27+P27+Q27+R27+S27+T27+W27+AD27+AG27</f>
        <v>102</v>
      </c>
      <c r="AK27" s="128" t="n">
        <f aca="false">IF(L27&lt;0,L27*-1,0)</f>
        <v>0</v>
      </c>
      <c r="AL27" s="351" t="n">
        <f aca="false">AJ27+AK27</f>
        <v>102</v>
      </c>
      <c r="AM27" s="352" t="n">
        <f aca="false">AM26</f>
        <v>12677.7386</v>
      </c>
      <c r="AN27" s="92"/>
      <c r="AO27" s="142" t="n">
        <f aca="false">795-W27</f>
        <v>775.018837</v>
      </c>
      <c r="AP27" s="139" t="n">
        <f aca="false">29.8*(Y27*1.9835+AB27*1.9835)/E27</f>
        <v>2.21417881368068</v>
      </c>
      <c r="AQ27" s="139"/>
      <c r="AR27" s="96"/>
      <c r="AS27" s="11"/>
      <c r="AT27" s="1"/>
      <c r="AU27" s="97" t="n">
        <v>0.05</v>
      </c>
      <c r="AV27" s="98" t="n">
        <v>49</v>
      </c>
      <c r="AW27" s="98" t="n">
        <v>29</v>
      </c>
      <c r="AX27" s="276"/>
      <c r="AY27" s="235" t="n">
        <f aca="false">SUM(N27,P27:T27)</f>
        <v>7.918837</v>
      </c>
    </row>
    <row r="28" customFormat="false" ht="12.95" hidden="false" customHeight="true" outlineLevel="0" collapsed="false">
      <c r="A28" s="10" t="n">
        <f aca="false">A27+1</f>
        <v>14</v>
      </c>
      <c r="B28" s="337" t="n">
        <v>6896.36</v>
      </c>
      <c r="C28" s="90" t="n">
        <v>270347</v>
      </c>
      <c r="D28" s="98" t="n">
        <f aca="false">C28-C27</f>
        <v>2787</v>
      </c>
      <c r="E28" s="90" t="n">
        <f aca="false">C28-152000</f>
        <v>118347</v>
      </c>
      <c r="F28" s="349" t="n">
        <f aca="false">D28/$D$2</f>
        <v>1405.09200907487</v>
      </c>
      <c r="G28" s="1" t="n">
        <v>658</v>
      </c>
      <c r="H28" s="4" t="n">
        <v>126</v>
      </c>
      <c r="I28" s="128" t="n">
        <f aca="false">G28+H28</f>
        <v>784</v>
      </c>
      <c r="J28" s="350" t="n">
        <f aca="false">IF(L28&gt;0,L28,0)</f>
        <v>738.092009074868</v>
      </c>
      <c r="K28" s="128" t="n">
        <f aca="false">I28+J28</f>
        <v>1522.09200907487</v>
      </c>
      <c r="L28" s="128" t="n">
        <f aca="false">F28-(I28-AJ28)</f>
        <v>738.092009074868</v>
      </c>
      <c r="M28" s="131" t="n">
        <v>87</v>
      </c>
      <c r="N28" s="149" t="n">
        <f aca="false">1.8299*1.03</f>
        <v>1.884797</v>
      </c>
      <c r="O28" s="351" t="n">
        <f aca="false">(24+24)*1.05</f>
        <v>50.4</v>
      </c>
      <c r="P28" s="291" t="n">
        <v>0</v>
      </c>
      <c r="Q28" s="283" t="n">
        <f aca="false">1.602*1.02</f>
        <v>1.63404</v>
      </c>
      <c r="R28" s="283" t="n">
        <v>3.33</v>
      </c>
      <c r="S28" s="126" t="n">
        <v>0</v>
      </c>
      <c r="T28" s="334" t="n">
        <v>0</v>
      </c>
      <c r="U28" s="128" t="n">
        <v>0</v>
      </c>
      <c r="V28" s="128" t="n">
        <v>0</v>
      </c>
      <c r="W28" s="129" t="n">
        <f aca="false">M28-N28-O28-P28-Q28-R28-S28-T28+U28+V28</f>
        <v>29.751163</v>
      </c>
      <c r="X28" s="129" t="n">
        <f aca="false">W28-AN28</f>
        <v>29.751163</v>
      </c>
      <c r="Y28" s="102" t="n">
        <f aca="false">Y27+AO28</f>
        <v>3364.607268</v>
      </c>
      <c r="Z28" s="129"/>
      <c r="AA28" s="102" t="n">
        <f aca="false">AA27+(X28+AO28)*1.9835</f>
        <v>6860.219481425</v>
      </c>
      <c r="AB28" s="142" t="n">
        <f aca="false">AB27-(AP27/1.9835)</f>
        <v>1710.70343518055</v>
      </c>
      <c r="AC28" s="92"/>
      <c r="AD28" s="128" t="n">
        <v>0</v>
      </c>
      <c r="AE28" s="131" t="n">
        <v>1.7</v>
      </c>
      <c r="AF28" s="132" t="n">
        <v>1.3</v>
      </c>
      <c r="AG28" s="128" t="n">
        <v>30</v>
      </c>
      <c r="AH28" s="78" t="n">
        <f aca="false">AH27-AG28</f>
        <v>15605.2578774893</v>
      </c>
      <c r="AI28" s="78"/>
      <c r="AJ28" s="128" t="n">
        <f aca="false">N28+O28+P28+Q28+R28+S28+T28+W28+AD28+AG28</f>
        <v>117</v>
      </c>
      <c r="AK28" s="128" t="n">
        <f aca="false">IF(L28&lt;0,L28*-1,0)</f>
        <v>0</v>
      </c>
      <c r="AL28" s="351" t="n">
        <f aca="false">AJ28+AK28</f>
        <v>117</v>
      </c>
      <c r="AM28" s="352" t="n">
        <f aca="false">AM27</f>
        <v>12677.7386</v>
      </c>
      <c r="AN28" s="92"/>
      <c r="AO28" s="142" t="n">
        <f aca="false">I28-Q28-R28-W28-AE28</f>
        <v>747.584797</v>
      </c>
      <c r="AP28" s="139" t="n">
        <f aca="false">29.8*(Y28*1.9835+AB28*1.9835)/E28</f>
        <v>2.53485924980614</v>
      </c>
      <c r="AQ28" s="139"/>
      <c r="AR28" s="96"/>
      <c r="AS28" s="11"/>
      <c r="AT28" s="1"/>
      <c r="AU28" s="97" t="n">
        <v>0</v>
      </c>
      <c r="AV28" s="137" t="n">
        <v>63</v>
      </c>
      <c r="AW28" s="98" t="n">
        <v>29</v>
      </c>
      <c r="AX28" s="276"/>
      <c r="AY28" s="235" t="n">
        <f aca="false">SUM(N28,P28:T28)</f>
        <v>6.848837</v>
      </c>
    </row>
    <row r="29" customFormat="false" ht="12.95" hidden="false" customHeight="true" outlineLevel="0" collapsed="false">
      <c r="A29" s="10" t="n">
        <f aca="false">A28+1</f>
        <v>15</v>
      </c>
      <c r="B29" s="337" t="n">
        <v>6897.35</v>
      </c>
      <c r="C29" s="90" t="n">
        <v>273909</v>
      </c>
      <c r="D29" s="98" t="n">
        <f aca="false">C29-C28</f>
        <v>3562</v>
      </c>
      <c r="E29" s="90" t="n">
        <f aca="false">C29-152000</f>
        <v>121909</v>
      </c>
      <c r="F29" s="349" t="n">
        <f aca="false">D29/$D$2</f>
        <v>1795.81547769095</v>
      </c>
      <c r="G29" s="1" t="n">
        <v>890</v>
      </c>
      <c r="H29" s="4" t="n">
        <v>143</v>
      </c>
      <c r="I29" s="128" t="n">
        <f aca="false">G29+H29</f>
        <v>1033</v>
      </c>
      <c r="J29" s="350" t="n">
        <f aca="false">IF(L29&gt;0,L29,0)</f>
        <v>897.81547769095</v>
      </c>
      <c r="K29" s="128" t="n">
        <f aca="false">I29+J29</f>
        <v>1930.81547769095</v>
      </c>
      <c r="L29" s="128" t="n">
        <f aca="false">F29-(I29-AJ29)</f>
        <v>897.81547769095</v>
      </c>
      <c r="M29" s="131" t="n">
        <v>105</v>
      </c>
      <c r="N29" s="149" t="n">
        <f aca="false">1.8299*1.03</f>
        <v>1.884797</v>
      </c>
      <c r="O29" s="351" t="n">
        <f aca="false">(38+36)*1.05</f>
        <v>77.7</v>
      </c>
      <c r="P29" s="291" t="n">
        <v>0</v>
      </c>
      <c r="Q29" s="283" t="n">
        <f aca="false">1.602*1.02</f>
        <v>1.63404</v>
      </c>
      <c r="R29" s="283" t="n">
        <v>2.97</v>
      </c>
      <c r="S29" s="126" t="n">
        <v>0</v>
      </c>
      <c r="T29" s="334" t="n">
        <v>0</v>
      </c>
      <c r="U29" s="128" t="n">
        <v>0</v>
      </c>
      <c r="V29" s="128" t="n">
        <v>0</v>
      </c>
      <c r="W29" s="129" t="n">
        <f aca="false">M29-N29-O29-P29-Q29-R29-S29-T29+U29+V29</f>
        <v>20.811163</v>
      </c>
      <c r="X29" s="129" t="n">
        <f aca="false">W29-AN29</f>
        <v>20.811163</v>
      </c>
      <c r="Y29" s="102" t="n">
        <f aca="false">Y28+AO29</f>
        <v>4138.796105</v>
      </c>
      <c r="Z29" s="129"/>
      <c r="AA29" s="102" t="n">
        <f aca="false">AA28+(X29+AO29)*1.9835</f>
        <v>8437.101981425</v>
      </c>
      <c r="AB29" s="142" t="n">
        <f aca="false">AB28-(AP28/1.9835)</f>
        <v>1709.42546227921</v>
      </c>
      <c r="AC29" s="92"/>
      <c r="AD29" s="128" t="n">
        <v>0</v>
      </c>
      <c r="AE29" s="131" t="n">
        <v>1.7</v>
      </c>
      <c r="AF29" s="132" t="n">
        <v>1.3</v>
      </c>
      <c r="AG29" s="128" t="n">
        <v>30</v>
      </c>
      <c r="AH29" s="78" t="n">
        <f aca="false">AH28-AG29</f>
        <v>15575.2578774893</v>
      </c>
      <c r="AI29" s="78"/>
      <c r="AJ29" s="128" t="n">
        <f aca="false">N29+O29+P29+Q29+R29+S29+T29+W29+AD29+AG29</f>
        <v>135</v>
      </c>
      <c r="AK29" s="128" t="n">
        <f aca="false">IF(L29&lt;0,L29*-1,0)</f>
        <v>0</v>
      </c>
      <c r="AL29" s="351" t="n">
        <f aca="false">AJ29+AK29</f>
        <v>135</v>
      </c>
      <c r="AM29" s="352" t="n">
        <f aca="false">AM28</f>
        <v>12677.7386</v>
      </c>
      <c r="AN29" s="92"/>
      <c r="AO29" s="142" t="n">
        <f aca="false">795-W29</f>
        <v>774.188837</v>
      </c>
      <c r="AP29" s="139" t="n">
        <f aca="false">29.8*(Y29*1.9835+AB29*1.9835)/E29</f>
        <v>2.83554483151539</v>
      </c>
      <c r="AQ29" s="139"/>
      <c r="AR29" s="96"/>
      <c r="AS29" s="11"/>
      <c r="AT29" s="1"/>
      <c r="AU29" s="97" t="n">
        <v>0</v>
      </c>
      <c r="AV29" s="137" t="n">
        <v>69</v>
      </c>
      <c r="AW29" s="98" t="n">
        <v>34</v>
      </c>
      <c r="AX29" s="276"/>
      <c r="AY29" s="235" t="n">
        <f aca="false">SUM(N29,P29:T29)</f>
        <v>6.488837</v>
      </c>
    </row>
    <row r="30" customFormat="false" ht="12.95" hidden="false" customHeight="true" outlineLevel="0" collapsed="false">
      <c r="A30" s="10" t="n">
        <f aca="false">A29+1</f>
        <v>16</v>
      </c>
      <c r="B30" s="337" t="n">
        <v>6898.55</v>
      </c>
      <c r="C30" s="90" t="n">
        <v>278266</v>
      </c>
      <c r="D30" s="98" t="n">
        <f aca="false">C30-C29</f>
        <v>4357</v>
      </c>
      <c r="E30" s="90" t="n">
        <f aca="false">C30-152000</f>
        <v>126266</v>
      </c>
      <c r="F30" s="349" t="n">
        <f aca="false">D30/$D$2</f>
        <v>2196.6221325939</v>
      </c>
      <c r="G30" s="1" t="n">
        <v>1200</v>
      </c>
      <c r="H30" s="4" t="n">
        <v>198</v>
      </c>
      <c r="I30" s="128" t="n">
        <f aca="false">G30+H30</f>
        <v>1398</v>
      </c>
      <c r="J30" s="350" t="n">
        <f aca="false">IF(L30&gt;0,L30,0)</f>
        <v>949.6221325939</v>
      </c>
      <c r="K30" s="128" t="n">
        <f aca="false">I30+J30</f>
        <v>2347.6221325939</v>
      </c>
      <c r="L30" s="128" t="n">
        <f aca="false">F30-(I30-AJ30)</f>
        <v>949.6221325939</v>
      </c>
      <c r="M30" s="131" t="n">
        <v>121</v>
      </c>
      <c r="N30" s="149" t="n">
        <f aca="false">1.8299*1.03</f>
        <v>1.884797</v>
      </c>
      <c r="O30" s="351" t="n">
        <f aca="false">(44+42)*1.05</f>
        <v>90.3</v>
      </c>
      <c r="P30" s="291" t="n">
        <v>0</v>
      </c>
      <c r="Q30" s="283" t="n">
        <f aca="false">1.602*1.02</f>
        <v>1.63404</v>
      </c>
      <c r="R30" s="283" t="n">
        <v>3.34</v>
      </c>
      <c r="S30" s="126" t="n">
        <v>0</v>
      </c>
      <c r="T30" s="334" t="n">
        <v>0</v>
      </c>
      <c r="U30" s="128" t="n">
        <v>0</v>
      </c>
      <c r="V30" s="128" t="n">
        <v>0</v>
      </c>
      <c r="W30" s="129" t="n">
        <f aca="false">M30-N30-O30-P30-Q30-R30-S30-T30+U30+V30</f>
        <v>23.841163</v>
      </c>
      <c r="X30" s="129" t="n">
        <f aca="false">W30-AN30</f>
        <v>23.841163</v>
      </c>
      <c r="Y30" s="102" t="n">
        <f aca="false">Y29+AO30</f>
        <v>4909.954942</v>
      </c>
      <c r="Z30" s="129"/>
      <c r="AA30" s="102" t="n">
        <f aca="false">AA29+(X30+AO30)*1.9835</f>
        <v>10013.984481425</v>
      </c>
      <c r="AB30" s="142" t="n">
        <f aca="false">AB29-(AP29/1.9835)</f>
        <v>1707.99589594116</v>
      </c>
      <c r="AC30" s="92"/>
      <c r="AD30" s="128" t="n">
        <v>0</v>
      </c>
      <c r="AE30" s="131" t="n">
        <v>1.7</v>
      </c>
      <c r="AF30" s="132" t="n">
        <v>1.3</v>
      </c>
      <c r="AG30" s="128" t="n">
        <v>30</v>
      </c>
      <c r="AH30" s="78" t="n">
        <f aca="false">AH29-AG30</f>
        <v>15545.2578774893</v>
      </c>
      <c r="AI30" s="78"/>
      <c r="AJ30" s="128" t="n">
        <f aca="false">N30+O30+P30+Q30+R30+S30+T30+W30+AD30+AG30</f>
        <v>151</v>
      </c>
      <c r="AK30" s="128" t="n">
        <f aca="false">IF(L30&lt;0,L30*-1,0)</f>
        <v>0</v>
      </c>
      <c r="AL30" s="351" t="n">
        <f aca="false">AJ30+AK30</f>
        <v>151</v>
      </c>
      <c r="AM30" s="352" t="n">
        <f aca="false">AM29</f>
        <v>12677.7386</v>
      </c>
      <c r="AN30" s="92"/>
      <c r="AO30" s="142" t="n">
        <f aca="false">795-W30</f>
        <v>771.158837</v>
      </c>
      <c r="AP30" s="139" t="n">
        <f aca="false">29.8*(Y30*1.9835+AB30*1.9835)/E30</f>
        <v>3.09802974287835</v>
      </c>
      <c r="AQ30" s="139"/>
      <c r="AR30" s="96"/>
      <c r="AS30" s="11"/>
      <c r="AT30" s="1"/>
      <c r="AU30" s="97" t="n">
        <v>0.01</v>
      </c>
      <c r="AV30" s="137" t="n">
        <v>72</v>
      </c>
      <c r="AW30" s="98" t="n">
        <v>39</v>
      </c>
      <c r="AX30" s="276"/>
      <c r="AY30" s="235" t="n">
        <f aca="false">SUM(N30,P30:T30)</f>
        <v>6.858837</v>
      </c>
    </row>
    <row r="31" customFormat="false" ht="12.95" hidden="false" customHeight="true" outlineLevel="0" collapsed="false">
      <c r="A31" s="10" t="n">
        <f aca="false">A30+1</f>
        <v>17</v>
      </c>
      <c r="B31" s="337" t="n">
        <v>6899.92</v>
      </c>
      <c r="C31" s="90" t="n">
        <v>283286</v>
      </c>
      <c r="D31" s="98" t="n">
        <f aca="false">C31-C30</f>
        <v>5020</v>
      </c>
      <c r="E31" s="90" t="n">
        <f aca="false">C31-152000</f>
        <v>131286</v>
      </c>
      <c r="F31" s="349" t="n">
        <f aca="false">D31/$D$2</f>
        <v>2530.87975800353</v>
      </c>
      <c r="G31" s="1" t="n">
        <v>1510</v>
      </c>
      <c r="H31" s="4" t="n">
        <v>308</v>
      </c>
      <c r="I31" s="128" t="n">
        <f aca="false">G31+H31</f>
        <v>1818</v>
      </c>
      <c r="J31" s="350" t="n">
        <f aca="false">IF(L31&gt;0,L31,0)</f>
        <v>867.879758003529</v>
      </c>
      <c r="K31" s="128" t="n">
        <f aca="false">I31+J31</f>
        <v>2685.87975800353</v>
      </c>
      <c r="L31" s="128" t="n">
        <f aca="false">F31-(I31-AJ31)</f>
        <v>867.879758003529</v>
      </c>
      <c r="M31" s="131" t="n">
        <v>125</v>
      </c>
      <c r="N31" s="149" t="n">
        <f aca="false">1.8299*1.03</f>
        <v>1.884797</v>
      </c>
      <c r="O31" s="351" t="n">
        <f aca="false">(45+44)*1.05</f>
        <v>93.45</v>
      </c>
      <c r="P31" s="291" t="n">
        <v>0</v>
      </c>
      <c r="Q31" s="283" t="n">
        <f aca="false">1.602*1.02</f>
        <v>1.63404</v>
      </c>
      <c r="R31" s="283" t="n">
        <v>3.87</v>
      </c>
      <c r="S31" s="126" t="n">
        <v>0</v>
      </c>
      <c r="T31" s="334" t="n">
        <v>0</v>
      </c>
      <c r="U31" s="128" t="n">
        <v>0</v>
      </c>
      <c r="V31" s="128" t="n">
        <v>0</v>
      </c>
      <c r="W31" s="129" t="n">
        <f aca="false">M31-N31-O31-P31-Q31-R31-S31-T31+U31+V31</f>
        <v>24.161163</v>
      </c>
      <c r="X31" s="129" t="n">
        <f aca="false">W31-AN31</f>
        <v>24.161163</v>
      </c>
      <c r="Y31" s="102" t="n">
        <f aca="false">Y30+AO31</f>
        <v>5680.793779</v>
      </c>
      <c r="Z31" s="129"/>
      <c r="AA31" s="102" t="n">
        <f aca="false">AA30+(X31+AO31)*1.9835</f>
        <v>11590.866981425</v>
      </c>
      <c r="AB31" s="142" t="n">
        <f aca="false">AB30-(AP30/1.9835)</f>
        <v>1706.43399539018</v>
      </c>
      <c r="AC31" s="92"/>
      <c r="AD31" s="128" t="n">
        <v>0</v>
      </c>
      <c r="AE31" s="131" t="n">
        <v>1.7</v>
      </c>
      <c r="AF31" s="132" t="n">
        <v>1.3</v>
      </c>
      <c r="AG31" s="128" t="n">
        <v>30</v>
      </c>
      <c r="AH31" s="78" t="n">
        <f aca="false">AH30-AG31</f>
        <v>15515.2578774893</v>
      </c>
      <c r="AI31" s="78"/>
      <c r="AJ31" s="128" t="n">
        <f aca="false">N31+O31+P31+Q31+R31+S31+T31+W31+AD31+AG31</f>
        <v>155</v>
      </c>
      <c r="AK31" s="128" t="n">
        <f aca="false">IF(L31&lt;0,L31*-1,0)</f>
        <v>0</v>
      </c>
      <c r="AL31" s="351" t="n">
        <f aca="false">AJ31+AK31</f>
        <v>155</v>
      </c>
      <c r="AM31" s="352" t="n">
        <f aca="false">AM30</f>
        <v>12677.7386</v>
      </c>
      <c r="AN31" s="92"/>
      <c r="AO31" s="142" t="n">
        <f aca="false">795-W31</f>
        <v>770.838837</v>
      </c>
      <c r="AP31" s="139" t="n">
        <f aca="false">29.8*(Y31*1.9835+AB31*1.9835)/E31</f>
        <v>3.32591803739155</v>
      </c>
      <c r="AQ31" s="139"/>
      <c r="AR31" s="96"/>
      <c r="AS31" s="11"/>
      <c r="AT31" s="1"/>
      <c r="AU31" s="97" t="n">
        <v>0</v>
      </c>
      <c r="AV31" s="137" t="n">
        <v>66</v>
      </c>
      <c r="AW31" s="98" t="n">
        <v>40</v>
      </c>
      <c r="AX31" s="276"/>
      <c r="AY31" s="235" t="n">
        <f aca="false">SUM(N31,P31:T31)</f>
        <v>7.388837</v>
      </c>
    </row>
    <row r="32" customFormat="false" ht="12.95" hidden="false" customHeight="true" outlineLevel="0" collapsed="false">
      <c r="A32" s="10" t="n">
        <f aca="false">A31+1</f>
        <v>18</v>
      </c>
      <c r="B32" s="337" t="n">
        <v>6901.22</v>
      </c>
      <c r="C32" s="90" t="n">
        <v>288103</v>
      </c>
      <c r="D32" s="98" t="n">
        <f aca="false">C32-C31</f>
        <v>4817</v>
      </c>
      <c r="E32" s="90" t="n">
        <f aca="false">C32-152000</f>
        <v>136103</v>
      </c>
      <c r="F32" s="349" t="n">
        <f aca="false">D32/$D$2</f>
        <v>2428.53541719183</v>
      </c>
      <c r="G32" s="1" t="n">
        <v>1610</v>
      </c>
      <c r="H32" s="4" t="n">
        <v>330</v>
      </c>
      <c r="I32" s="128" t="n">
        <f aca="false">G32+H32</f>
        <v>1940</v>
      </c>
      <c r="J32" s="350" t="n">
        <f aca="false">IF(L32&gt;0,L32,0)</f>
        <v>646.535417191832</v>
      </c>
      <c r="K32" s="128" t="n">
        <f aca="false">I32+J32</f>
        <v>2586.53541719183</v>
      </c>
      <c r="L32" s="128" t="n">
        <f aca="false">F32-(I32-AJ32)</f>
        <v>646.535417191832</v>
      </c>
      <c r="M32" s="131" t="n">
        <v>128</v>
      </c>
      <c r="N32" s="149" t="n">
        <f aca="false">1.8299*1.03</f>
        <v>1.884797</v>
      </c>
      <c r="O32" s="351" t="n">
        <f aca="false">(45+48)*1.05</f>
        <v>97.65</v>
      </c>
      <c r="P32" s="291" t="n">
        <v>0</v>
      </c>
      <c r="Q32" s="283" t="n">
        <f aca="false">1.602*1.02</f>
        <v>1.63404</v>
      </c>
      <c r="R32" s="283" t="n">
        <v>4.07</v>
      </c>
      <c r="S32" s="126" t="n">
        <v>0</v>
      </c>
      <c r="T32" s="334" t="n">
        <v>0</v>
      </c>
      <c r="U32" s="128" t="n">
        <v>0</v>
      </c>
      <c r="V32" s="128" t="n">
        <v>0</v>
      </c>
      <c r="W32" s="129" t="n">
        <f aca="false">M32-N32-O32-P32-Q32-R32-S32-T32+U32+V32</f>
        <v>22.761163</v>
      </c>
      <c r="X32" s="129" t="n">
        <f aca="false">W32-AN32</f>
        <v>22.761163</v>
      </c>
      <c r="Y32" s="102" t="n">
        <f aca="false">Y31+AO32</f>
        <v>6453.032616</v>
      </c>
      <c r="Z32" s="129"/>
      <c r="AA32" s="102" t="n">
        <f aca="false">AA31+(X32+AO32)*1.9835</f>
        <v>13167.749481425</v>
      </c>
      <c r="AB32" s="142" t="n">
        <f aca="false">AB31-(AP31/1.9835)</f>
        <v>1704.75720283288</v>
      </c>
      <c r="AC32" s="92"/>
      <c r="AD32" s="128" t="n">
        <v>0</v>
      </c>
      <c r="AE32" s="131" t="n">
        <v>1.7</v>
      </c>
      <c r="AF32" s="132" t="n">
        <v>1.3</v>
      </c>
      <c r="AG32" s="128" t="n">
        <v>30</v>
      </c>
      <c r="AH32" s="78" t="n">
        <f aca="false">AH31-AG32</f>
        <v>15485.2578774893</v>
      </c>
      <c r="AI32" s="78"/>
      <c r="AJ32" s="128" t="n">
        <f aca="false">N32+O32+P32+Q32+R32+S32+T32+W32+AD32+AG32</f>
        <v>158</v>
      </c>
      <c r="AK32" s="128" t="n">
        <f aca="false">IF(L32&lt;0,L32*-1,0)</f>
        <v>0</v>
      </c>
      <c r="AL32" s="351" t="n">
        <f aca="false">AJ32+AK32</f>
        <v>158</v>
      </c>
      <c r="AM32" s="352" t="n">
        <f aca="false">AM31</f>
        <v>12677.7386</v>
      </c>
      <c r="AN32" s="92"/>
      <c r="AO32" s="142" t="n">
        <f aca="false">795-W32</f>
        <v>772.238837</v>
      </c>
      <c r="AP32" s="139" t="n">
        <f aca="false">29.8*(Y32*1.9835+AB32*1.9835)/E32</f>
        <v>3.54285422032225</v>
      </c>
      <c r="AQ32" s="139"/>
      <c r="AR32" s="96"/>
      <c r="AS32" s="11"/>
      <c r="AT32" s="1"/>
      <c r="AU32" s="97" t="n">
        <v>0</v>
      </c>
      <c r="AV32" s="137" t="n">
        <v>69</v>
      </c>
      <c r="AW32" s="98" t="n">
        <v>39</v>
      </c>
      <c r="AX32" s="276"/>
      <c r="AY32" s="235" t="n">
        <f aca="false">SUM(N32,P32:T32)</f>
        <v>7.588837</v>
      </c>
    </row>
    <row r="33" customFormat="false" ht="12.95" hidden="false" customHeight="true" outlineLevel="0" collapsed="false">
      <c r="A33" s="10" t="n">
        <f aca="false">A32+1</f>
        <v>19</v>
      </c>
      <c r="B33" s="337" t="n">
        <v>6902.35</v>
      </c>
      <c r="C33" s="90" t="n">
        <v>292331</v>
      </c>
      <c r="D33" s="98" t="n">
        <f aca="false">C33-C32</f>
        <v>4228</v>
      </c>
      <c r="E33" s="90" t="n">
        <f aca="false">C33-152000</f>
        <v>140331</v>
      </c>
      <c r="F33" s="349" t="n">
        <f aca="false">D33/$D$2</f>
        <v>2131.58558104361</v>
      </c>
      <c r="G33" s="1" t="n">
        <v>1730</v>
      </c>
      <c r="H33" s="4" t="n">
        <v>250</v>
      </c>
      <c r="I33" s="128" t="n">
        <f aca="false">G33+H33</f>
        <v>1980</v>
      </c>
      <c r="J33" s="350" t="n">
        <f aca="false">IF(L33&gt;0,L33,0)</f>
        <v>355.58558104361</v>
      </c>
      <c r="K33" s="128" t="n">
        <f aca="false">I33+J33</f>
        <v>2335.58558104361</v>
      </c>
      <c r="L33" s="128" t="n">
        <f aca="false">F33-(I33-AJ33)</f>
        <v>355.58558104361</v>
      </c>
      <c r="M33" s="131" t="n">
        <v>126</v>
      </c>
      <c r="N33" s="149" t="n">
        <f aca="false">1.8299*1.03</f>
        <v>1.884797</v>
      </c>
      <c r="O33" s="351" t="n">
        <f aca="false">(46+47)*1.05</f>
        <v>97.65</v>
      </c>
      <c r="P33" s="291" t="n">
        <v>0</v>
      </c>
      <c r="Q33" s="283" t="n">
        <f aca="false">1.602*1.02</f>
        <v>1.63404</v>
      </c>
      <c r="R33" s="283" t="n">
        <v>3.96</v>
      </c>
      <c r="S33" s="126" t="n">
        <v>0</v>
      </c>
      <c r="T33" s="334" t="n">
        <v>0</v>
      </c>
      <c r="U33" s="128" t="n">
        <v>48</v>
      </c>
      <c r="V33" s="128" t="n">
        <v>0</v>
      </c>
      <c r="W33" s="129" t="n">
        <f aca="false">M33-N33-O33-P33-Q33-R33-S33-T33+U33+V33</f>
        <v>68.871163</v>
      </c>
      <c r="X33" s="129" t="n">
        <f aca="false">W33-AN33</f>
        <v>68.871163</v>
      </c>
      <c r="Y33" s="102" t="n">
        <f aca="false">Y32+AO33</f>
        <v>7179.161453</v>
      </c>
      <c r="Z33" s="129"/>
      <c r="AA33" s="102" t="n">
        <f aca="false">AA32+(X33-U33+AO33)*1.9835</f>
        <v>14649.423981425</v>
      </c>
      <c r="AB33" s="142" t="n">
        <f aca="false">AB32-(AP32/1.9835)</f>
        <v>1702.97103987835</v>
      </c>
      <c r="AC33" s="92"/>
      <c r="AD33" s="128" t="n">
        <v>0</v>
      </c>
      <c r="AE33" s="131" t="n">
        <v>1.7</v>
      </c>
      <c r="AF33" s="132" t="n">
        <v>1.3</v>
      </c>
      <c r="AG33" s="128" t="n">
        <v>30</v>
      </c>
      <c r="AH33" s="78" t="n">
        <f aca="false">AH32-AG33</f>
        <v>15455.2578774893</v>
      </c>
      <c r="AI33" s="78"/>
      <c r="AJ33" s="128" t="n">
        <f aca="false">N33+O33+P33+Q33+R33+S33+T33+W33+AD33+AG33</f>
        <v>204</v>
      </c>
      <c r="AK33" s="128" t="n">
        <f aca="false">IF(L33&lt;0,L33*-1,0)</f>
        <v>0</v>
      </c>
      <c r="AL33" s="351" t="n">
        <f aca="false">AJ33+AK33</f>
        <v>204</v>
      </c>
      <c r="AM33" s="352" t="n">
        <f aca="false">AM32+(U33*1.9835)</f>
        <v>12772.9466</v>
      </c>
      <c r="AN33" s="92"/>
      <c r="AO33" s="142" t="n">
        <f aca="false">795-W33</f>
        <v>726.128837</v>
      </c>
      <c r="AP33" s="139" t="n">
        <f aca="false">29.8*(Y33*1.9835+AB33*1.9835)/E33</f>
        <v>3.74121008208308</v>
      </c>
      <c r="AQ33" s="139"/>
      <c r="AR33" s="96"/>
      <c r="AS33" s="11"/>
      <c r="AT33" s="1"/>
      <c r="AU33" s="97" t="n">
        <v>0</v>
      </c>
      <c r="AV33" s="137" t="n">
        <v>68</v>
      </c>
      <c r="AW33" s="98" t="n">
        <v>41</v>
      </c>
      <c r="AX33" s="276"/>
      <c r="AY33" s="235" t="n">
        <f aca="false">SUM(N33,P33:T33)</f>
        <v>7.478837</v>
      </c>
    </row>
    <row r="34" customFormat="false" ht="12.95" hidden="false" customHeight="true" outlineLevel="0" collapsed="false">
      <c r="A34" s="10" t="n">
        <f aca="false">A33+1</f>
        <v>20</v>
      </c>
      <c r="B34" s="337" t="n">
        <v>6903.27</v>
      </c>
      <c r="C34" s="90" t="n">
        <v>295802</v>
      </c>
      <c r="D34" s="98" t="n">
        <f aca="false">C34-C33</f>
        <v>3471</v>
      </c>
      <c r="E34" s="90" t="n">
        <f aca="false">C34-152000</f>
        <v>143802</v>
      </c>
      <c r="F34" s="349" t="n">
        <f aca="false">D34/$D$2</f>
        <v>1749.93698008571</v>
      </c>
      <c r="G34" s="1" t="n">
        <v>1540</v>
      </c>
      <c r="H34" s="4" t="n">
        <v>209</v>
      </c>
      <c r="I34" s="128" t="n">
        <f aca="false">G34+H34</f>
        <v>1749</v>
      </c>
      <c r="J34" s="350" t="n">
        <f aca="false">IF(L34&gt;0,L34,0)</f>
        <v>246.936980085707</v>
      </c>
      <c r="K34" s="128" t="n">
        <f aca="false">I34+J34</f>
        <v>1995.93698008571</v>
      </c>
      <c r="L34" s="128" t="n">
        <f aca="false">F34-(I34-AJ34)</f>
        <v>246.936980085707</v>
      </c>
      <c r="M34" s="131" t="n">
        <v>134</v>
      </c>
      <c r="N34" s="149" t="n">
        <f aca="false">1.8299*1.03</f>
        <v>1.884797</v>
      </c>
      <c r="O34" s="351" t="n">
        <f aca="false">(48+48)*1.05</f>
        <v>100.8</v>
      </c>
      <c r="P34" s="291" t="n">
        <v>0</v>
      </c>
      <c r="Q34" s="283" t="n">
        <f aca="false">1.602*1.02</f>
        <v>1.63404</v>
      </c>
      <c r="R34" s="283" t="n">
        <v>3.89</v>
      </c>
      <c r="S34" s="126" t="n">
        <v>0</v>
      </c>
      <c r="T34" s="334" t="n">
        <v>0</v>
      </c>
      <c r="U34" s="128" t="n">
        <v>82</v>
      </c>
      <c r="V34" s="128" t="n">
        <v>0</v>
      </c>
      <c r="W34" s="129" t="n">
        <f aca="false">M34-N34-O34-P34-Q34-R34-S34-T34+U34+V34</f>
        <v>107.791163</v>
      </c>
      <c r="X34" s="129" t="n">
        <f aca="false">W34-AN34</f>
        <v>107.791163</v>
      </c>
      <c r="Y34" s="102" t="n">
        <f aca="false">Y33+AO34</f>
        <v>7866.37029</v>
      </c>
      <c r="Z34" s="129"/>
      <c r="AA34" s="102" t="n">
        <f aca="false">AA33+(X34-U34+AO34)*1.9835</f>
        <v>16063.659481425</v>
      </c>
      <c r="AB34" s="142" t="n">
        <f aca="false">AB33-(AP33/1.9835)</f>
        <v>1701.08487396855</v>
      </c>
      <c r="AC34" s="92"/>
      <c r="AD34" s="128" t="n">
        <v>0</v>
      </c>
      <c r="AE34" s="131" t="n">
        <v>1.7</v>
      </c>
      <c r="AF34" s="132" t="n">
        <v>1.3</v>
      </c>
      <c r="AG34" s="128" t="n">
        <v>30</v>
      </c>
      <c r="AH34" s="78" t="n">
        <f aca="false">AH33-AG34</f>
        <v>15425.2578774893</v>
      </c>
      <c r="AI34" s="78"/>
      <c r="AJ34" s="128" t="n">
        <f aca="false">N34+O34+P34+Q34+R34+S34+T34+W34+AD34+AG34</f>
        <v>246</v>
      </c>
      <c r="AK34" s="128" t="n">
        <f aca="false">IF(L34&lt;0,L34*-1,0)</f>
        <v>0</v>
      </c>
      <c r="AL34" s="351" t="n">
        <f aca="false">AJ34+AK34</f>
        <v>246</v>
      </c>
      <c r="AM34" s="352" t="n">
        <f aca="false">AM33+(U34*1.9835)</f>
        <v>12935.5936</v>
      </c>
      <c r="AN34" s="92"/>
      <c r="AO34" s="142" t="n">
        <f aca="false">795-W34</f>
        <v>687.208837</v>
      </c>
      <c r="AP34" s="139" t="n">
        <f aca="false">29.8*(Y34*1.9835+AB34*1.9835)/E34</f>
        <v>3.93260184189651</v>
      </c>
      <c r="AQ34" s="139"/>
      <c r="AR34" s="96"/>
      <c r="AS34" s="11"/>
      <c r="AT34" s="1"/>
      <c r="AU34" s="97" t="n">
        <v>0</v>
      </c>
      <c r="AV34" s="137" t="n">
        <v>69</v>
      </c>
      <c r="AW34" s="98" t="n">
        <v>42</v>
      </c>
      <c r="AX34" s="276"/>
      <c r="AY34" s="235" t="n">
        <f aca="false">SUM(N34,P34:T34)</f>
        <v>7.408837</v>
      </c>
    </row>
    <row r="35" customFormat="false" ht="12.95" hidden="false" customHeight="true" outlineLevel="0" collapsed="false">
      <c r="A35" s="10" t="n">
        <f aca="false">A34+1</f>
        <v>21</v>
      </c>
      <c r="B35" s="337" t="n">
        <v>6904.26</v>
      </c>
      <c r="C35" s="90" t="n">
        <v>299565</v>
      </c>
      <c r="D35" s="98" t="n">
        <f aca="false">C35-C34</f>
        <v>3763</v>
      </c>
      <c r="E35" s="90" t="n">
        <f aca="false">C35-152000</f>
        <v>147565</v>
      </c>
      <c r="F35" s="349" t="n">
        <f aca="false">D35/$D$2</f>
        <v>1897.15149987396</v>
      </c>
      <c r="G35" s="1" t="n">
        <v>1770</v>
      </c>
      <c r="H35" s="4" t="n">
        <v>231</v>
      </c>
      <c r="I35" s="128" t="n">
        <f aca="false">G35+H35</f>
        <v>2001</v>
      </c>
      <c r="J35" s="350" t="n">
        <f aca="false">IF(L35&gt;0,L35,0)</f>
        <v>155.15149987396</v>
      </c>
      <c r="K35" s="128" t="n">
        <f aca="false">I35+J35</f>
        <v>2156.15149987396</v>
      </c>
      <c r="L35" s="128" t="n">
        <f aca="false">F35-(I35-AJ35)</f>
        <v>155.15149987396</v>
      </c>
      <c r="M35" s="131" t="n">
        <v>144</v>
      </c>
      <c r="N35" s="149" t="n">
        <f aca="false">1.8299*1.03</f>
        <v>1.884797</v>
      </c>
      <c r="O35" s="351" t="n">
        <f aca="false">(53+52)*1.05</f>
        <v>110.25</v>
      </c>
      <c r="P35" s="291" t="n">
        <v>0</v>
      </c>
      <c r="Q35" s="283" t="n">
        <f aca="false">1.602*1.02</f>
        <v>1.63404</v>
      </c>
      <c r="R35" s="283" t="n">
        <v>3.85</v>
      </c>
      <c r="S35" s="126" t="n">
        <v>0</v>
      </c>
      <c r="T35" s="334" t="n">
        <v>0</v>
      </c>
      <c r="U35" s="128" t="n">
        <v>82</v>
      </c>
      <c r="V35" s="128" t="n">
        <v>0</v>
      </c>
      <c r="W35" s="129" t="n">
        <f aca="false">M35-N35-O35-P35-Q35-R35-S35-T35+U35+V35</f>
        <v>108.381163</v>
      </c>
      <c r="X35" s="129" t="n">
        <f aca="false">W35-AN35</f>
        <v>108.381163</v>
      </c>
      <c r="Y35" s="102" t="n">
        <f aca="false">Y34+AO35</f>
        <v>8552.989127</v>
      </c>
      <c r="Z35" s="129"/>
      <c r="AA35" s="102" t="n">
        <f aca="false">AA34+(X35-U35+AO35)*1.9835</f>
        <v>17477.894981425</v>
      </c>
      <c r="AB35" s="142" t="n">
        <f aca="false">AB34-(AP34/1.9835)</f>
        <v>1699.10221612035</v>
      </c>
      <c r="AC35" s="92"/>
      <c r="AD35" s="128" t="n">
        <v>3</v>
      </c>
      <c r="AE35" s="131" t="n">
        <v>1.7</v>
      </c>
      <c r="AF35" s="132" t="n">
        <v>1.3</v>
      </c>
      <c r="AG35" s="128" t="n">
        <v>30</v>
      </c>
      <c r="AH35" s="78" t="n">
        <f aca="false">AH34-AG35</f>
        <v>15395.2578774893</v>
      </c>
      <c r="AI35" s="78"/>
      <c r="AJ35" s="128" t="n">
        <f aca="false">N35+O35+P35+Q35+R35+S35+T35+W35+AD35+AG35</f>
        <v>259</v>
      </c>
      <c r="AK35" s="128" t="n">
        <f aca="false">IF(L35&lt;0,L35*-1,0)</f>
        <v>0</v>
      </c>
      <c r="AL35" s="351" t="n">
        <f aca="false">AJ35+AK35</f>
        <v>259</v>
      </c>
      <c r="AM35" s="352" t="n">
        <f aca="false">AM34+(U35*1.9835)</f>
        <v>13098.2406</v>
      </c>
      <c r="AN35" s="92"/>
      <c r="AO35" s="142" t="n">
        <f aca="false">795-W35</f>
        <v>686.618837</v>
      </c>
      <c r="AP35" s="139" t="n">
        <f aca="false">29.8*(Y35*1.9835+AB35*1.9835)/E35</f>
        <v>4.10655433698073</v>
      </c>
      <c r="AQ35" s="139"/>
      <c r="AR35" s="96"/>
      <c r="AS35" s="11"/>
      <c r="AT35" s="1"/>
      <c r="AU35" s="97" t="n">
        <v>0.01</v>
      </c>
      <c r="AV35" s="98" t="n">
        <v>68</v>
      </c>
      <c r="AW35" s="98" t="n">
        <v>32</v>
      </c>
      <c r="AX35" s="276"/>
      <c r="AY35" s="235" t="n">
        <f aca="false">SUM(N35,P35:T35)</f>
        <v>7.368837</v>
      </c>
    </row>
    <row r="36" customFormat="false" ht="12.95" hidden="false" customHeight="true" outlineLevel="0" collapsed="false">
      <c r="A36" s="10" t="n">
        <f aca="false">A35+1</f>
        <v>22</v>
      </c>
      <c r="B36" s="337" t="n">
        <v>6905.58</v>
      </c>
      <c r="C36" s="90" t="n">
        <v>304632</v>
      </c>
      <c r="D36" s="98" t="n">
        <f aca="false">C36-C35</f>
        <v>5067</v>
      </c>
      <c r="E36" s="90" t="n">
        <f aca="false">C36-152000</f>
        <v>152632</v>
      </c>
      <c r="F36" s="349" t="n">
        <f aca="false">D36/$D$2</f>
        <v>2554.57524577767</v>
      </c>
      <c r="G36" s="1" t="n">
        <v>1740</v>
      </c>
      <c r="H36" s="4" t="n">
        <v>254</v>
      </c>
      <c r="I36" s="128" t="n">
        <f aca="false">G36+H36</f>
        <v>1994</v>
      </c>
      <c r="J36" s="350" t="n">
        <f aca="false">IF(L36&gt;0,L36,0)</f>
        <v>791.575245777666</v>
      </c>
      <c r="K36" s="128" t="n">
        <f aca="false">I36+J36</f>
        <v>2785.57524577767</v>
      </c>
      <c r="L36" s="128" t="n">
        <f aca="false">F36-(I36-AJ36)</f>
        <v>791.575245777666</v>
      </c>
      <c r="M36" s="131" t="n">
        <v>113</v>
      </c>
      <c r="N36" s="149" t="n">
        <f aca="false">1.8299*1.03</f>
        <v>1.884797</v>
      </c>
      <c r="O36" s="351" t="n">
        <f aca="false">(46+44)*1.05</f>
        <v>94.5</v>
      </c>
      <c r="P36" s="291" t="n">
        <v>0</v>
      </c>
      <c r="Q36" s="283" t="n">
        <f aca="false">1.602*1.02</f>
        <v>1.63404</v>
      </c>
      <c r="R36" s="283" t="n">
        <v>3.23</v>
      </c>
      <c r="S36" s="126" t="n">
        <v>0</v>
      </c>
      <c r="T36" s="334" t="n">
        <v>0</v>
      </c>
      <c r="U36" s="128" t="n">
        <v>69</v>
      </c>
      <c r="V36" s="128" t="n">
        <v>0</v>
      </c>
      <c r="W36" s="129" t="n">
        <f aca="false">M36-N36-O36-P36-Q36-R36-S36-T36+U36+V36</f>
        <v>80.751163</v>
      </c>
      <c r="X36" s="129" t="n">
        <f aca="false">W36-AN36</f>
        <v>80.751163</v>
      </c>
      <c r="Y36" s="102" t="n">
        <f aca="false">Y35+AO36</f>
        <v>9267.237964</v>
      </c>
      <c r="Z36" s="129"/>
      <c r="AA36" s="102" t="n">
        <f aca="false">AA35+(X36-U36+AO36)*1.9835</f>
        <v>18917.915981425</v>
      </c>
      <c r="AB36" s="142" t="n">
        <f aca="false">AB35-(AP35/1.9835)</f>
        <v>1697.03185850151</v>
      </c>
      <c r="AC36" s="92"/>
      <c r="AD36" s="128" t="n">
        <v>18</v>
      </c>
      <c r="AE36" s="131" t="n">
        <v>1.7</v>
      </c>
      <c r="AF36" s="132" t="n">
        <v>1.3</v>
      </c>
      <c r="AG36" s="128" t="n">
        <v>31</v>
      </c>
      <c r="AH36" s="78" t="n">
        <f aca="false">AH35-AG36</f>
        <v>15364.2578774893</v>
      </c>
      <c r="AI36" s="78"/>
      <c r="AJ36" s="128" t="n">
        <f aca="false">N36+O36+P36+Q36+R36+S36+T36+W36+AD36+AG36</f>
        <v>231</v>
      </c>
      <c r="AK36" s="128" t="n">
        <f aca="false">IF(L36&lt;0,L36*-1,0)</f>
        <v>0</v>
      </c>
      <c r="AL36" s="351" t="n">
        <f aca="false">AJ36+AK36</f>
        <v>231</v>
      </c>
      <c r="AM36" s="352" t="n">
        <f aca="false">AM35+(U36*1.9835)</f>
        <v>13235.1021</v>
      </c>
      <c r="AN36" s="92"/>
      <c r="AO36" s="142" t="n">
        <f aca="false">795-W36</f>
        <v>714.248837</v>
      </c>
      <c r="AP36" s="139" t="n">
        <f aca="false">29.8*(Y36*1.9835+AB36*1.9835)/E36</f>
        <v>4.24602540718438</v>
      </c>
      <c r="AQ36" s="139"/>
      <c r="AR36" s="96"/>
      <c r="AS36" s="11"/>
      <c r="AT36" s="1"/>
      <c r="AU36" s="97" t="n">
        <v>0.23</v>
      </c>
      <c r="AV36" s="98" t="n">
        <v>44</v>
      </c>
      <c r="AW36" s="98" t="n">
        <v>24</v>
      </c>
      <c r="AX36" s="276"/>
      <c r="AY36" s="235" t="n">
        <f aca="false">SUM(N36,P36:T36)</f>
        <v>6.748837</v>
      </c>
    </row>
    <row r="37" customFormat="false" ht="12.95" hidden="false" customHeight="true" outlineLevel="0" collapsed="false">
      <c r="A37" s="10" t="n">
        <f aca="false">A36+1</f>
        <v>23</v>
      </c>
      <c r="B37" s="337" t="n">
        <v>6906.31</v>
      </c>
      <c r="C37" s="90" t="n">
        <v>307456</v>
      </c>
      <c r="D37" s="98" t="n">
        <f aca="false">C37-C36</f>
        <v>2824</v>
      </c>
      <c r="E37" s="90" t="n">
        <f aca="false">C37-152000</f>
        <v>155456</v>
      </c>
      <c r="F37" s="349" t="n">
        <f aca="false">D37/$D$2</f>
        <v>1423.74590370557</v>
      </c>
      <c r="G37" s="1" t="n">
        <v>1180</v>
      </c>
      <c r="H37" s="4" t="n">
        <v>117</v>
      </c>
      <c r="I37" s="128" t="n">
        <f aca="false">G37+H37</f>
        <v>1297</v>
      </c>
      <c r="J37" s="350" t="n">
        <f aca="false">IF(L37&gt;0,L37,0)</f>
        <v>357.745903705571</v>
      </c>
      <c r="K37" s="128" t="n">
        <f aca="false">I37+J37</f>
        <v>1654.74590370557</v>
      </c>
      <c r="L37" s="128" t="n">
        <f aca="false">F37-(I37-AJ37)</f>
        <v>357.745903705571</v>
      </c>
      <c r="M37" s="131" t="n">
        <v>131</v>
      </c>
      <c r="N37" s="149" t="n">
        <f aca="false">1.8299*1.03</f>
        <v>1.884797</v>
      </c>
      <c r="O37" s="351" t="n">
        <f aca="false">(48+48)*1.05</f>
        <v>100.8</v>
      </c>
      <c r="P37" s="291" t="n">
        <v>0</v>
      </c>
      <c r="Q37" s="283" t="n">
        <f aca="false">1.602*1.02</f>
        <v>1.63404</v>
      </c>
      <c r="R37" s="283" t="n">
        <v>2.25</v>
      </c>
      <c r="S37" s="126" t="n">
        <v>0</v>
      </c>
      <c r="T37" s="334" t="n">
        <v>0</v>
      </c>
      <c r="U37" s="128" t="n">
        <v>42</v>
      </c>
      <c r="V37" s="128" t="n">
        <v>0</v>
      </c>
      <c r="W37" s="129" t="n">
        <f aca="false">M37-N37-O37-P37-Q37-R37-S37-T37+U37+V37</f>
        <v>66.431163</v>
      </c>
      <c r="X37" s="129" t="n">
        <f aca="false">W37-AN37</f>
        <v>66.431163</v>
      </c>
      <c r="Y37" s="102" t="n">
        <f aca="false">Y36+AO37</f>
        <v>9995.806801</v>
      </c>
      <c r="Z37" s="129"/>
      <c r="AA37" s="102" t="n">
        <f aca="false">AA36+(X37-U37+AO37)*1.9835</f>
        <v>20411.491481425</v>
      </c>
      <c r="AB37" s="142" t="n">
        <f aca="false">AB36-(AP36/1.9835)</f>
        <v>1694.89118524354</v>
      </c>
      <c r="AC37" s="92"/>
      <c r="AD37" s="128" t="n">
        <v>27</v>
      </c>
      <c r="AE37" s="131" t="n">
        <v>1.7</v>
      </c>
      <c r="AF37" s="132" t="n">
        <v>1.3</v>
      </c>
      <c r="AG37" s="128" t="n">
        <v>31</v>
      </c>
      <c r="AH37" s="78" t="n">
        <f aca="false">AH36-AG37</f>
        <v>15333.2578774893</v>
      </c>
      <c r="AI37" s="78"/>
      <c r="AJ37" s="128" t="n">
        <f aca="false">N37+O37+P37+Q37+R37+S37+T37+W37+AD37+AG37</f>
        <v>231</v>
      </c>
      <c r="AK37" s="128" t="n">
        <f aca="false">IF(L37&lt;0,L37*-1,0)</f>
        <v>0</v>
      </c>
      <c r="AL37" s="351" t="n">
        <f aca="false">AJ37+AK37</f>
        <v>231</v>
      </c>
      <c r="AM37" s="352" t="n">
        <f aca="false">AM36+(U37*1.9835)</f>
        <v>13318.4091</v>
      </c>
      <c r="AN37" s="92"/>
      <c r="AO37" s="142" t="n">
        <f aca="false">795-W37</f>
        <v>728.568837</v>
      </c>
      <c r="AP37" s="139" t="n">
        <f aca="false">29.8*(Y37*1.9835+AB37*1.9835)/E37</f>
        <v>4.4450988304104</v>
      </c>
      <c r="AQ37" s="139"/>
      <c r="AR37" s="96"/>
      <c r="AS37" s="11"/>
      <c r="AT37" s="1"/>
      <c r="AU37" s="97" t="n">
        <v>0</v>
      </c>
      <c r="AV37" s="98" t="n">
        <v>47</v>
      </c>
      <c r="AW37" s="137" t="n">
        <v>30</v>
      </c>
      <c r="AX37" s="276"/>
      <c r="AY37" s="235" t="n">
        <f aca="false">SUM(N37,P37:T37)</f>
        <v>5.768837</v>
      </c>
    </row>
    <row r="38" customFormat="false" ht="12.95" hidden="false" customHeight="true" outlineLevel="0" collapsed="false">
      <c r="A38" s="10" t="n">
        <f aca="false">A37+1</f>
        <v>24</v>
      </c>
      <c r="B38" s="337" t="n">
        <v>6906.84</v>
      </c>
      <c r="C38" s="90" t="n">
        <v>309516</v>
      </c>
      <c r="D38" s="98" t="n">
        <f aca="false">C38-C37</f>
        <v>2060</v>
      </c>
      <c r="E38" s="90" t="n">
        <f aca="false">C38-152000</f>
        <v>157516</v>
      </c>
      <c r="F38" s="349" t="n">
        <f aca="false">D38/$D$2</f>
        <v>1038.56818754726</v>
      </c>
      <c r="G38" s="1" t="n">
        <v>913</v>
      </c>
      <c r="H38" s="4" t="n">
        <v>79</v>
      </c>
      <c r="I38" s="128" t="n">
        <f aca="false">G38+H38</f>
        <v>992</v>
      </c>
      <c r="J38" s="350" t="n">
        <f aca="false">IF(L38&gt;0,L38,0)</f>
        <v>244.568187547265</v>
      </c>
      <c r="K38" s="128" t="n">
        <f aca="false">I38+J38</f>
        <v>1236.56818754727</v>
      </c>
      <c r="L38" s="128" t="n">
        <f aca="false">F38-(I38-AJ38)</f>
        <v>244.568187547265</v>
      </c>
      <c r="M38" s="131" t="n">
        <v>128</v>
      </c>
      <c r="N38" s="149" t="n">
        <f aca="false">1.8299*1.03</f>
        <v>1.884797</v>
      </c>
      <c r="O38" s="351" t="n">
        <f aca="false">(49+47)*1.05</f>
        <v>100.8</v>
      </c>
      <c r="P38" s="291" t="n">
        <v>0</v>
      </c>
      <c r="Q38" s="283" t="n">
        <f aca="false">1.602*1.02</f>
        <v>1.63404</v>
      </c>
      <c r="R38" s="283" t="n">
        <v>2.21</v>
      </c>
      <c r="S38" s="126" t="n">
        <v>0</v>
      </c>
      <c r="T38" s="334" t="n">
        <v>0</v>
      </c>
      <c r="U38" s="128" t="n">
        <v>0</v>
      </c>
      <c r="V38" s="128" t="n">
        <v>0</v>
      </c>
      <c r="W38" s="129" t="n">
        <f aca="false">M38-N38-O38-P38-Q38-R38-S38-T38+U38+V38</f>
        <v>21.471163</v>
      </c>
      <c r="X38" s="129" t="n">
        <f aca="false">W38-AN38</f>
        <v>21.471163</v>
      </c>
      <c r="Y38" s="102" t="n">
        <f aca="false">Y37+AO38</f>
        <v>10769.335638</v>
      </c>
      <c r="Z38" s="129"/>
      <c r="AA38" s="102" t="n">
        <f aca="false">AA37+(X38+AO38)*1.9835</f>
        <v>21988.373981425</v>
      </c>
      <c r="AB38" s="142" t="n">
        <f aca="false">AB37-(AP37/1.9835)</f>
        <v>1692.65014726501</v>
      </c>
      <c r="AC38" s="92"/>
      <c r="AD38" s="128" t="n">
        <v>39</v>
      </c>
      <c r="AE38" s="131" t="n">
        <v>1.7</v>
      </c>
      <c r="AF38" s="132" t="n">
        <v>1.3</v>
      </c>
      <c r="AG38" s="128" t="n">
        <v>31</v>
      </c>
      <c r="AH38" s="78" t="n">
        <f aca="false">AH37-AG38</f>
        <v>15302.2578774893</v>
      </c>
      <c r="AI38" s="78"/>
      <c r="AJ38" s="128" t="n">
        <f aca="false">N38+O38+P38+Q38+R38+S38+T38+W38+AD38+AG38</f>
        <v>198</v>
      </c>
      <c r="AK38" s="128" t="n">
        <f aca="false">IF(L38&lt;0,L38*-1,0)</f>
        <v>0</v>
      </c>
      <c r="AL38" s="351" t="n">
        <f aca="false">AJ38+AK38</f>
        <v>198</v>
      </c>
      <c r="AM38" s="352" t="n">
        <f aca="false">AM37</f>
        <v>13318.4091</v>
      </c>
      <c r="AN38" s="92"/>
      <c r="AO38" s="142" t="n">
        <f aca="false">795-W38</f>
        <v>773.528837</v>
      </c>
      <c r="AP38" s="139" t="n">
        <f aca="false">29.8*(Y38*1.9835+AB38*1.9835)/E38</f>
        <v>4.67639347362287</v>
      </c>
      <c r="AQ38" s="139"/>
      <c r="AR38" s="96"/>
      <c r="AS38" s="11"/>
      <c r="AT38" s="1"/>
      <c r="AU38" s="97" t="n">
        <v>0</v>
      </c>
      <c r="AV38" s="98" t="n">
        <v>58</v>
      </c>
      <c r="AW38" s="137" t="n">
        <v>37</v>
      </c>
      <c r="AX38" s="276"/>
      <c r="AY38" s="235" t="n">
        <f aca="false">SUM(N38,P38:T38)</f>
        <v>5.728837</v>
      </c>
    </row>
    <row r="39" customFormat="false" ht="12.95" hidden="false" customHeight="true" outlineLevel="0" collapsed="false">
      <c r="A39" s="10" t="n">
        <f aca="false">A38+1</f>
        <v>25</v>
      </c>
      <c r="B39" s="337" t="n">
        <v>6907.31</v>
      </c>
      <c r="C39" s="90" t="n">
        <v>311352</v>
      </c>
      <c r="D39" s="98" t="n">
        <f aca="false">C39-C38</f>
        <v>1836</v>
      </c>
      <c r="E39" s="90" t="n">
        <f aca="false">C39-152000</f>
        <v>159352</v>
      </c>
      <c r="F39" s="349" t="n">
        <f aca="false">D39/$D$2</f>
        <v>925.636501134358</v>
      </c>
      <c r="G39" s="1" t="n">
        <v>843</v>
      </c>
      <c r="H39" s="4" t="n">
        <v>73</v>
      </c>
      <c r="I39" s="128" t="n">
        <f aca="false">G39+H39</f>
        <v>916</v>
      </c>
      <c r="J39" s="350" t="n">
        <f aca="false">IF(L39&gt;0,L39,0)</f>
        <v>209.636501134358</v>
      </c>
      <c r="K39" s="128" t="n">
        <f aca="false">I39+J39</f>
        <v>1125.63650113436</v>
      </c>
      <c r="L39" s="128" t="n">
        <f aca="false">F39-(I39-AJ39)</f>
        <v>209.636501134358</v>
      </c>
      <c r="M39" s="131" t="n">
        <v>138</v>
      </c>
      <c r="N39" s="149" t="n">
        <f aca="false">1.8299*1.03</f>
        <v>1.884797</v>
      </c>
      <c r="O39" s="351" t="n">
        <f aca="false">(52+47)*1.05</f>
        <v>103.95</v>
      </c>
      <c r="P39" s="291" t="n">
        <v>0</v>
      </c>
      <c r="Q39" s="283" t="n">
        <f aca="false">1.602*1.02</f>
        <v>1.63404</v>
      </c>
      <c r="R39" s="283" t="n">
        <v>2.41</v>
      </c>
      <c r="S39" s="126" t="n">
        <v>0</v>
      </c>
      <c r="T39" s="334" t="n">
        <v>0</v>
      </c>
      <c r="U39" s="128" t="n">
        <v>0</v>
      </c>
      <c r="V39" s="128" t="n">
        <v>0</v>
      </c>
      <c r="W39" s="129" t="n">
        <f aca="false">M39-N39-O39-P39-Q39-R39-S39-T39+U39+V39</f>
        <v>28.121163</v>
      </c>
      <c r="X39" s="129" t="n">
        <f aca="false">W39-AN39</f>
        <v>28.121163</v>
      </c>
      <c r="Y39" s="102" t="n">
        <f aca="false">Y38+AO39</f>
        <v>11536.214475</v>
      </c>
      <c r="Z39" s="129"/>
      <c r="AA39" s="102" t="n">
        <f aca="false">AA38+(X39+AO39)*1.9835</f>
        <v>23565.256481425</v>
      </c>
      <c r="AB39" s="142" t="n">
        <f aca="false">AB38-(AP38/1.9835)</f>
        <v>1690.29249993775</v>
      </c>
      <c r="AC39" s="92"/>
      <c r="AD39" s="128" t="n">
        <v>31</v>
      </c>
      <c r="AE39" s="131" t="n">
        <v>1.7</v>
      </c>
      <c r="AF39" s="132" t="n">
        <v>1.3</v>
      </c>
      <c r="AG39" s="128" t="n">
        <v>31</v>
      </c>
      <c r="AH39" s="78" t="n">
        <f aca="false">AH38-AG39</f>
        <v>15271.2578774893</v>
      </c>
      <c r="AI39" s="78"/>
      <c r="AJ39" s="128" t="n">
        <f aca="false">N39+O39+P39+Q39+R39+S39+T39+W39+AD39+AG39</f>
        <v>200</v>
      </c>
      <c r="AK39" s="128" t="n">
        <f aca="false">IF(L39&lt;0,L39*-1,0)</f>
        <v>0</v>
      </c>
      <c r="AL39" s="351" t="n">
        <f aca="false">AJ39+AK39</f>
        <v>200</v>
      </c>
      <c r="AM39" s="352" t="n">
        <f aca="false">AM38</f>
        <v>13318.4091</v>
      </c>
      <c r="AN39" s="92"/>
      <c r="AO39" s="142" t="n">
        <f aca="false">795-W39</f>
        <v>766.878837</v>
      </c>
      <c r="AP39" s="139" t="n">
        <f aca="false">29.8*(Y39*1.9835+AB39*1.9835)/E39</f>
        <v>4.90609683108284</v>
      </c>
      <c r="AQ39" s="139"/>
      <c r="AR39" s="96"/>
      <c r="AS39" s="11"/>
      <c r="AT39" s="1"/>
      <c r="AU39" s="97" t="n">
        <v>0</v>
      </c>
      <c r="AV39" s="98" t="n">
        <v>63</v>
      </c>
      <c r="AW39" s="137" t="n">
        <v>32</v>
      </c>
      <c r="AX39" s="276"/>
      <c r="AY39" s="235" t="n">
        <f aca="false">SUM(N39,P39:T39)</f>
        <v>5.928837</v>
      </c>
    </row>
    <row r="40" customFormat="false" ht="12.95" hidden="false" customHeight="true" outlineLevel="0" collapsed="false">
      <c r="A40" s="10" t="n">
        <f aca="false">A39+1</f>
        <v>26</v>
      </c>
      <c r="B40" s="337" t="n">
        <v>6907.81</v>
      </c>
      <c r="C40" s="90" t="n">
        <v>313311</v>
      </c>
      <c r="D40" s="98" t="n">
        <f aca="false">C40-C39</f>
        <v>1959</v>
      </c>
      <c r="E40" s="90" t="n">
        <f aca="false">C40-152000</f>
        <v>161311</v>
      </c>
      <c r="F40" s="349" t="n">
        <f aca="false">D40/$D$2</f>
        <v>987.648096798588</v>
      </c>
      <c r="G40" s="1" t="n">
        <v>878</v>
      </c>
      <c r="H40" s="4" t="n">
        <v>79</v>
      </c>
      <c r="I40" s="128" t="n">
        <f aca="false">G40+H40</f>
        <v>957</v>
      </c>
      <c r="J40" s="350" t="n">
        <f aca="false">IF(L40&gt;0,L40,0)</f>
        <v>225.648096798588</v>
      </c>
      <c r="K40" s="128" t="n">
        <f aca="false">I40+J40</f>
        <v>1182.64809679859</v>
      </c>
      <c r="L40" s="128" t="n">
        <f aca="false">F40-(I40-AJ40)</f>
        <v>225.648096798588</v>
      </c>
      <c r="M40" s="131" t="n">
        <v>143</v>
      </c>
      <c r="N40" s="149" t="n">
        <f aca="false">1.8299*1.03</f>
        <v>1.884797</v>
      </c>
      <c r="O40" s="351" t="n">
        <f aca="false">(51+49)*1.05</f>
        <v>105</v>
      </c>
      <c r="P40" s="291" t="n">
        <v>0</v>
      </c>
      <c r="Q40" s="283" t="n">
        <f aca="false">1.602*1.02</f>
        <v>1.63404</v>
      </c>
      <c r="R40" s="283" t="n">
        <v>3.1</v>
      </c>
      <c r="S40" s="126" t="n">
        <v>0</v>
      </c>
      <c r="T40" s="334" t="n">
        <v>0</v>
      </c>
      <c r="U40" s="128" t="n">
        <v>0</v>
      </c>
      <c r="V40" s="128" t="n">
        <v>0</v>
      </c>
      <c r="W40" s="129" t="n">
        <f aca="false">M40-N40-O40-P40-Q40-R40-S40-T40+U40+V40</f>
        <v>31.381163</v>
      </c>
      <c r="X40" s="129" t="n">
        <f aca="false">W40-AN40</f>
        <v>31.381163</v>
      </c>
      <c r="Y40" s="102" t="n">
        <f aca="false">Y39+AO40</f>
        <v>12299.833312</v>
      </c>
      <c r="Z40" s="129"/>
      <c r="AA40" s="102" t="n">
        <f aca="false">AA39+(X40+AO40)*1.9835</f>
        <v>25142.138981425</v>
      </c>
      <c r="AB40" s="142" t="n">
        <f aca="false">AB39-(AP39/1.9835)</f>
        <v>1687.81904552329</v>
      </c>
      <c r="AC40" s="92"/>
      <c r="AD40" s="128" t="n">
        <v>21</v>
      </c>
      <c r="AE40" s="131" t="n">
        <v>1.7</v>
      </c>
      <c r="AF40" s="132" t="n">
        <v>1.3</v>
      </c>
      <c r="AG40" s="128" t="n">
        <v>31</v>
      </c>
      <c r="AH40" s="78" t="n">
        <f aca="false">AH39-AG40</f>
        <v>15240.2578774893</v>
      </c>
      <c r="AI40" s="78"/>
      <c r="AJ40" s="128" t="n">
        <f aca="false">N40+O40+P40+Q40+R40+S40+T40+W40+AD40+AG40</f>
        <v>195</v>
      </c>
      <c r="AK40" s="128" t="n">
        <f aca="false">IF(L40&lt;0,L40*-1,0)</f>
        <v>0</v>
      </c>
      <c r="AL40" s="351" t="n">
        <f aca="false">AJ40+AK40</f>
        <v>195</v>
      </c>
      <c r="AM40" s="352" t="n">
        <f aca="false">AM39</f>
        <v>13318.4091</v>
      </c>
      <c r="AN40" s="92"/>
      <c r="AO40" s="142" t="n">
        <f aca="false">795-W40</f>
        <v>763.618837</v>
      </c>
      <c r="AP40" s="139" t="n">
        <f aca="false">29.8*(Y40*1.9835+AB40*1.9835)/E40</f>
        <v>5.12541830280758</v>
      </c>
      <c r="AQ40" s="139"/>
      <c r="AR40" s="96"/>
      <c r="AS40" s="4"/>
      <c r="AT40" s="1"/>
      <c r="AU40" s="97" t="n">
        <v>0</v>
      </c>
      <c r="AV40" s="98" t="n">
        <v>62</v>
      </c>
      <c r="AW40" s="98" t="n">
        <v>34</v>
      </c>
      <c r="AX40" s="276"/>
      <c r="AY40" s="235" t="n">
        <f aca="false">SUM(N40,P40:T40)</f>
        <v>6.618837</v>
      </c>
    </row>
    <row r="41" customFormat="false" ht="12.95" hidden="false" customHeight="true" outlineLevel="0" collapsed="false">
      <c r="A41" s="10" t="n">
        <f aca="false">A40+1</f>
        <v>27</v>
      </c>
      <c r="B41" s="337" t="n">
        <v>6908.44</v>
      </c>
      <c r="C41" s="90" t="n">
        <v>315794</v>
      </c>
      <c r="D41" s="98" t="n">
        <f aca="false">C41-C40</f>
        <v>2483</v>
      </c>
      <c r="E41" s="90" t="n">
        <f aca="false">C41-152000</f>
        <v>163794</v>
      </c>
      <c r="F41" s="349" t="n">
        <f aca="false">D41/$D$2</f>
        <v>1251.82757751449</v>
      </c>
      <c r="G41" s="1" t="n">
        <v>1090</v>
      </c>
      <c r="H41" s="4" t="n">
        <v>112</v>
      </c>
      <c r="I41" s="128" t="n">
        <f aca="false">G41+H41</f>
        <v>1202</v>
      </c>
      <c r="J41" s="350" t="n">
        <f aca="false">IF(L41&gt;0,L41,0)</f>
        <v>249.527577514495</v>
      </c>
      <c r="K41" s="128" t="n">
        <f aca="false">I41+J41</f>
        <v>1451.52757751449</v>
      </c>
      <c r="L41" s="128" t="n">
        <f aca="false">F41-(I41-AJ41)</f>
        <v>249.527577514495</v>
      </c>
      <c r="M41" s="131" t="n">
        <v>153</v>
      </c>
      <c r="N41" s="149" t="n">
        <f aca="false">1.8299*1.03</f>
        <v>1.884797</v>
      </c>
      <c r="O41" s="351" t="n">
        <f aca="false">(53+53)*1.05</f>
        <v>111.3</v>
      </c>
      <c r="P41" s="291" t="n">
        <v>0</v>
      </c>
      <c r="Q41" s="283" t="n">
        <f aca="false">1.602*1.02</f>
        <v>1.63404</v>
      </c>
      <c r="R41" s="283" t="n">
        <v>4.2</v>
      </c>
      <c r="S41" s="126" t="n">
        <v>0.06</v>
      </c>
      <c r="T41" s="334" t="n">
        <v>0</v>
      </c>
      <c r="U41" s="128" t="n">
        <v>8</v>
      </c>
      <c r="V41" s="128" t="n">
        <v>0</v>
      </c>
      <c r="W41" s="129" t="n">
        <f aca="false">M41-N41-O41-P41-Q41-R41-S41-T41+U41+V41</f>
        <v>41.921163</v>
      </c>
      <c r="X41" s="129" t="n">
        <f aca="false">W41-AN41</f>
        <v>41.921163</v>
      </c>
      <c r="Y41" s="102" t="n">
        <f aca="false">Y40+AO41</f>
        <v>13052.912149</v>
      </c>
      <c r="Z41" s="129"/>
      <c r="AA41" s="102" t="n">
        <f aca="false">AA40+(X41+AO41)*1.9835</f>
        <v>26719.021481425</v>
      </c>
      <c r="AB41" s="142" t="n">
        <f aca="false">AB40-(AP40/1.9835)</f>
        <v>1685.23501814602</v>
      </c>
      <c r="AC41" s="92"/>
      <c r="AD41" s="128" t="n">
        <v>7.7</v>
      </c>
      <c r="AE41" s="131" t="n">
        <v>1.7</v>
      </c>
      <c r="AF41" s="132" t="n">
        <v>1.3</v>
      </c>
      <c r="AG41" s="128" t="n">
        <v>31</v>
      </c>
      <c r="AH41" s="78" t="n">
        <f aca="false">AH40-AG41</f>
        <v>15209.2578774893</v>
      </c>
      <c r="AI41" s="78"/>
      <c r="AJ41" s="128" t="n">
        <f aca="false">N41+O41+P41+Q41+R41+S41+T41+W41+AD41+AG41</f>
        <v>199.7</v>
      </c>
      <c r="AK41" s="128" t="n">
        <f aca="false">IF(L41&lt;0,L41*-1,0)</f>
        <v>0</v>
      </c>
      <c r="AL41" s="351" t="n">
        <f aca="false">AJ41+AK41</f>
        <v>199.7</v>
      </c>
      <c r="AM41" s="352" t="n">
        <f aca="false">AM40</f>
        <v>13318.4091</v>
      </c>
      <c r="AN41" s="92"/>
      <c r="AO41" s="142" t="n">
        <f aca="false">795-W41</f>
        <v>753.078837</v>
      </c>
      <c r="AP41" s="139" t="n">
        <f aca="false">29.8*(Y41*1.9835+AB41*1.9835)/E41</f>
        <v>5.31855149883279</v>
      </c>
      <c r="AQ41" s="139"/>
      <c r="AR41" s="96"/>
      <c r="AS41" s="11"/>
      <c r="AT41" s="1"/>
      <c r="AU41" s="97" t="n">
        <v>0</v>
      </c>
      <c r="AV41" s="98" t="n">
        <v>71</v>
      </c>
      <c r="AW41" s="98" t="n">
        <v>40</v>
      </c>
      <c r="AX41" s="276"/>
      <c r="AY41" s="235" t="n">
        <f aca="false">SUM(N41,P41:T41)</f>
        <v>7.778837</v>
      </c>
    </row>
    <row r="42" customFormat="false" ht="12.95" hidden="false" customHeight="true" outlineLevel="0" collapsed="false">
      <c r="A42" s="10" t="n">
        <f aca="false">A41+1</f>
        <v>28</v>
      </c>
      <c r="B42" s="337" t="n">
        <v>6909.28</v>
      </c>
      <c r="C42" s="90" t="n">
        <v>319120</v>
      </c>
      <c r="D42" s="98" t="n">
        <f aca="false">C42-C41</f>
        <v>3326</v>
      </c>
      <c r="E42" s="90" t="n">
        <f aca="false">C42-152000</f>
        <v>167120</v>
      </c>
      <c r="F42" s="349" t="n">
        <f aca="false">D42/$D$2</f>
        <v>1676.83387950592</v>
      </c>
      <c r="G42" s="1" t="n">
        <v>1430</v>
      </c>
      <c r="H42" s="4" t="n">
        <v>164</v>
      </c>
      <c r="I42" s="128" t="n">
        <f aca="false">G42+H42</f>
        <v>1594</v>
      </c>
      <c r="J42" s="350" t="n">
        <f aca="false">IF(L42&gt;0,L42,0)</f>
        <v>279.833879505924</v>
      </c>
      <c r="K42" s="128" t="n">
        <f aca="false">I42+J42</f>
        <v>1873.83387950592</v>
      </c>
      <c r="L42" s="128" t="n">
        <f aca="false">F42-(I42-AJ42)</f>
        <v>279.833879505924</v>
      </c>
      <c r="M42" s="131" t="n">
        <v>131</v>
      </c>
      <c r="N42" s="149" t="n">
        <f aca="false">1.8299*1.03</f>
        <v>1.884797</v>
      </c>
      <c r="O42" s="351" t="n">
        <f aca="false">(40+40)*1.05</f>
        <v>84</v>
      </c>
      <c r="P42" s="291" t="n">
        <v>0</v>
      </c>
      <c r="Q42" s="283" t="n">
        <f aca="false">1.602*1.02</f>
        <v>1.63404</v>
      </c>
      <c r="R42" s="283" t="n">
        <v>3.66</v>
      </c>
      <c r="S42" s="126" t="n">
        <v>0</v>
      </c>
      <c r="T42" s="334" t="n">
        <v>0</v>
      </c>
      <c r="U42" s="128" t="n">
        <v>22</v>
      </c>
      <c r="V42" s="128" t="n">
        <v>0</v>
      </c>
      <c r="W42" s="129" t="n">
        <f aca="false">M42-N42-O42-P42-Q42-R42-S42-T42+U42+V42</f>
        <v>61.821163</v>
      </c>
      <c r="X42" s="129" t="n">
        <f aca="false">W42-AN42</f>
        <v>61.821163</v>
      </c>
      <c r="Y42" s="102" t="n">
        <f aca="false">Y41+AO42</f>
        <v>13786.090986</v>
      </c>
      <c r="Z42" s="129"/>
      <c r="AA42" s="102" t="n">
        <f aca="false">AA41+(X42+AO42)*1.9835</f>
        <v>28295.903981425</v>
      </c>
      <c r="AB42" s="142" t="n">
        <f aca="false">AB41-(AP41/1.9835)</f>
        <v>1682.55362086907</v>
      </c>
      <c r="AC42" s="92"/>
      <c r="AD42" s="128" t="n">
        <v>13</v>
      </c>
      <c r="AE42" s="131" t="n">
        <v>1.7</v>
      </c>
      <c r="AF42" s="132" t="n">
        <v>1.3</v>
      </c>
      <c r="AG42" s="128" t="n">
        <v>31</v>
      </c>
      <c r="AH42" s="78" t="n">
        <f aca="false">AH41-AG42</f>
        <v>15178.2578774893</v>
      </c>
      <c r="AI42" s="78"/>
      <c r="AJ42" s="128" t="n">
        <f aca="false">N42+O42+P42+Q42+R42+S42+T42+W42+AD42+AG42</f>
        <v>197</v>
      </c>
      <c r="AK42" s="128" t="n">
        <f aca="false">IF(L42&lt;0,L42*-1,0)</f>
        <v>0</v>
      </c>
      <c r="AL42" s="351" t="n">
        <f aca="false">AJ42+AK42</f>
        <v>197</v>
      </c>
      <c r="AM42" s="352" t="n">
        <f aca="false">AM41</f>
        <v>13318.4091</v>
      </c>
      <c r="AN42" s="92"/>
      <c r="AO42" s="142" t="n">
        <f aca="false">795-W42</f>
        <v>733.178837</v>
      </c>
      <c r="AP42" s="139" t="n">
        <f aca="false">29.8*(Y42*1.9835+AB42*1.9835)/E42</f>
        <v>5.47107040459669</v>
      </c>
      <c r="AQ42" s="139"/>
      <c r="AR42" s="96"/>
      <c r="AS42" s="11"/>
      <c r="AT42" s="1"/>
      <c r="AU42" s="97" t="n">
        <v>0</v>
      </c>
      <c r="AV42" s="98" t="n">
        <v>70</v>
      </c>
      <c r="AW42" s="98" t="n">
        <v>44</v>
      </c>
      <c r="AX42" s="276"/>
      <c r="AY42" s="235" t="n">
        <f aca="false">SUM(N42,P42:T42)</f>
        <v>7.178837</v>
      </c>
    </row>
    <row r="43" customFormat="false" ht="12.95" hidden="false" customHeight="true" outlineLevel="0" collapsed="false">
      <c r="A43" s="10" t="n">
        <f aca="false">A42+1</f>
        <v>29</v>
      </c>
      <c r="B43" s="337" t="n">
        <v>6910.21</v>
      </c>
      <c r="C43" s="90" t="n">
        <v>322829</v>
      </c>
      <c r="D43" s="98" t="n">
        <f aca="false">C43-C42</f>
        <v>3709</v>
      </c>
      <c r="E43" s="90" t="n">
        <f aca="false">C43-152000</f>
        <v>170829</v>
      </c>
      <c r="F43" s="349" t="n">
        <f aca="false">D43/$D$2</f>
        <v>1869.92689689942</v>
      </c>
      <c r="G43" s="1" t="n">
        <v>1580</v>
      </c>
      <c r="H43" s="4" t="n">
        <v>182</v>
      </c>
      <c r="I43" s="128" t="n">
        <f aca="false">G43+H43</f>
        <v>1762</v>
      </c>
      <c r="J43" s="350" t="n">
        <f aca="false">IF(L43&gt;0,L43,0)</f>
        <v>259.32689689942</v>
      </c>
      <c r="K43" s="128" t="n">
        <f aca="false">I43+J43</f>
        <v>2021.32689689942</v>
      </c>
      <c r="L43" s="128" t="n">
        <f aca="false">F43-(I43-AJ43)</f>
        <v>259.32689689942</v>
      </c>
      <c r="M43" s="131" t="n">
        <v>74</v>
      </c>
      <c r="N43" s="149" t="n">
        <f aca="false">1.8299*1.03</f>
        <v>1.884797</v>
      </c>
      <c r="O43" s="351" t="n">
        <f aca="false">(22+19)*1.05</f>
        <v>43.05</v>
      </c>
      <c r="P43" s="291" t="n">
        <v>0</v>
      </c>
      <c r="Q43" s="283" t="n">
        <f aca="false">1.602*1.02</f>
        <v>1.63404</v>
      </c>
      <c r="R43" s="283" t="n">
        <v>3.37</v>
      </c>
      <c r="S43" s="126" t="n">
        <v>0</v>
      </c>
      <c r="T43" s="334" t="n">
        <v>0</v>
      </c>
      <c r="U43" s="128" t="n">
        <v>22</v>
      </c>
      <c r="V43" s="128" t="n">
        <v>4.4</v>
      </c>
      <c r="W43" s="129" t="n">
        <f aca="false">M43-N43-O43-P43-Q43-R43-S43-T43+U43+V43</f>
        <v>50.461163</v>
      </c>
      <c r="X43" s="129" t="n">
        <f aca="false">W43-AN43</f>
        <v>50.461163</v>
      </c>
      <c r="Y43" s="102" t="n">
        <f aca="false">Y42+AO43</f>
        <v>14530.629823</v>
      </c>
      <c r="Z43" s="129"/>
      <c r="AA43" s="102" t="n">
        <f aca="false">AA42+(X43+AO43)*1.9835</f>
        <v>29872.786481425</v>
      </c>
      <c r="AB43" s="142" t="n">
        <f aca="false">AB42-(AP42/1.9835)</f>
        <v>1679.79532976517</v>
      </c>
      <c r="AC43" s="92"/>
      <c r="AD43" s="128" t="n">
        <v>20</v>
      </c>
      <c r="AE43" s="131" t="n">
        <v>1.7</v>
      </c>
      <c r="AF43" s="132" t="n">
        <v>1.3</v>
      </c>
      <c r="AG43" s="128" t="n">
        <v>31</v>
      </c>
      <c r="AH43" s="78" t="n">
        <f aca="false">AH42-AG43</f>
        <v>15147.2578774893</v>
      </c>
      <c r="AI43" s="78"/>
      <c r="AJ43" s="128" t="n">
        <f aca="false">N43+O43+P43+Q43+R43+S43+T43+W43+AD43+AG43</f>
        <v>151.4</v>
      </c>
      <c r="AK43" s="128" t="n">
        <f aca="false">IF(L43&lt;0,L43*-1,0)</f>
        <v>0</v>
      </c>
      <c r="AL43" s="351" t="n">
        <f aca="false">AJ43+AK43</f>
        <v>151.4</v>
      </c>
      <c r="AM43" s="352" t="n">
        <f aca="false">AM42</f>
        <v>13318.4091</v>
      </c>
      <c r="AN43" s="92"/>
      <c r="AO43" s="142" t="n">
        <f aca="false">795-W43</f>
        <v>744.538837</v>
      </c>
      <c r="AP43" s="139" t="n">
        <f aca="false">29.8*(Y43*1.9835+AB43*1.9835)/E43</f>
        <v>5.60894621555584</v>
      </c>
      <c r="AQ43" s="139"/>
      <c r="AR43" s="96"/>
      <c r="AS43" s="11"/>
      <c r="AT43" s="1"/>
      <c r="AU43" s="97" t="n">
        <v>0.01</v>
      </c>
      <c r="AV43" s="137" t="n">
        <v>52</v>
      </c>
      <c r="AW43" s="98" t="n">
        <v>26</v>
      </c>
      <c r="AX43" s="276"/>
      <c r="AY43" s="235" t="n">
        <f aca="false">SUM(N43,P43:T43)</f>
        <v>6.888837</v>
      </c>
    </row>
    <row r="44" customFormat="false" ht="12.95" hidden="false" customHeight="true" outlineLevel="0" collapsed="false">
      <c r="A44" s="10" t="n">
        <v>30</v>
      </c>
      <c r="B44" s="337" t="n">
        <v>6910.81</v>
      </c>
      <c r="C44" s="90" t="n">
        <v>325237</v>
      </c>
      <c r="D44" s="98" t="n">
        <f aca="false">C44-C43</f>
        <v>2408</v>
      </c>
      <c r="E44" s="90" t="n">
        <f aca="false">C44-152000</f>
        <v>173237</v>
      </c>
      <c r="F44" s="349" t="n">
        <f aca="false">D44/$D$2</f>
        <v>1214.01562893874</v>
      </c>
      <c r="G44" s="1" t="n">
        <v>1100</v>
      </c>
      <c r="H44" s="4" t="n">
        <v>83</v>
      </c>
      <c r="I44" s="128" t="n">
        <f aca="false">G44+H44</f>
        <v>1183</v>
      </c>
      <c r="J44" s="350" t="n">
        <f aca="false">IF(L44&gt;0,L44,0)</f>
        <v>190.815628938745</v>
      </c>
      <c r="K44" s="128" t="n">
        <f aca="false">I44+J44</f>
        <v>1373.81562893874</v>
      </c>
      <c r="L44" s="128" t="n">
        <f aca="false">F44-(I44-AJ44)</f>
        <v>190.815628938745</v>
      </c>
      <c r="M44" s="131" t="n">
        <v>85</v>
      </c>
      <c r="N44" s="149" t="n">
        <f aca="false">1.8299*1.03</f>
        <v>1.884797</v>
      </c>
      <c r="O44" s="351" t="n">
        <f aca="false">(7.2+7.1)*1.05</f>
        <v>15.015</v>
      </c>
      <c r="P44" s="291" t="n">
        <v>0</v>
      </c>
      <c r="Q44" s="283" t="n">
        <f aca="false">1.602*1.02</f>
        <v>1.63404</v>
      </c>
      <c r="R44" s="283" t="n">
        <v>2.67</v>
      </c>
      <c r="S44" s="126" t="n">
        <v>0</v>
      </c>
      <c r="T44" s="334" t="n">
        <v>0</v>
      </c>
      <c r="U44" s="128" t="n">
        <v>22</v>
      </c>
      <c r="V44" s="128" t="n">
        <v>7.8</v>
      </c>
      <c r="W44" s="129" t="n">
        <f aca="false">M44-N44-O44-P44-Q44-R44-S44-T44+U44+V44-AS44</f>
        <v>93.596163</v>
      </c>
      <c r="X44" s="129" t="n">
        <f aca="false">W44-AN44</f>
        <v>93.596163</v>
      </c>
      <c r="Y44" s="102" t="n">
        <f aca="false">Y43+AO44</f>
        <v>15232.03366</v>
      </c>
      <c r="Z44" s="129"/>
      <c r="AA44" s="102" t="n">
        <f aca="false">AA43+(X44+AO44)*1.9835</f>
        <v>31449.668981425</v>
      </c>
      <c r="AB44" s="142" t="n">
        <f aca="false">AB43-(AP43/1.9835)</f>
        <v>1676.96752728694</v>
      </c>
      <c r="AC44" s="92"/>
      <c r="AD44" s="128" t="n">
        <v>0</v>
      </c>
      <c r="AE44" s="131" t="n">
        <v>1.7</v>
      </c>
      <c r="AF44" s="132" t="n">
        <v>1.3</v>
      </c>
      <c r="AG44" s="128" t="n">
        <v>45</v>
      </c>
      <c r="AH44" s="78" t="n">
        <f aca="false">AH43-AG44</f>
        <v>15102.2578774893</v>
      </c>
      <c r="AI44" s="78"/>
      <c r="AJ44" s="128" t="n">
        <f aca="false">N44+O44+P44+Q44+R44+S44+T44+W44+AD44+AG44+AS44</f>
        <v>159.8</v>
      </c>
      <c r="AK44" s="128" t="n">
        <f aca="false">IF(L44&lt;0,L44*-1,0)</f>
        <v>0</v>
      </c>
      <c r="AL44" s="351" t="n">
        <f aca="false">AJ44+AK44</f>
        <v>159.8</v>
      </c>
      <c r="AM44" s="352" t="n">
        <f aca="false">AM43</f>
        <v>13318.4091</v>
      </c>
      <c r="AN44" s="92"/>
      <c r="AO44" s="142" t="n">
        <f aca="false">795-W44</f>
        <v>701.403837</v>
      </c>
      <c r="AP44" s="139" t="n">
        <f aca="false">29.8*(Y44*1.9835+AB44*1.9835)/E44</f>
        <v>5.7693351586469</v>
      </c>
      <c r="AQ44" s="139"/>
      <c r="AR44" s="96"/>
      <c r="AS44" s="11"/>
      <c r="AT44" s="1"/>
      <c r="AU44" s="97" t="n">
        <v>0.01</v>
      </c>
      <c r="AV44" s="137" t="n">
        <v>46</v>
      </c>
      <c r="AW44" s="98" t="n">
        <v>21</v>
      </c>
      <c r="AX44" s="276"/>
      <c r="AY44" s="235" t="n">
        <f aca="false">SUM(N44,P44:T44)</f>
        <v>6.188837</v>
      </c>
    </row>
    <row r="45" customFormat="false" ht="3" hidden="false" customHeight="true" outlineLevel="0" collapsed="false">
      <c r="A45" s="104"/>
      <c r="B45" s="353"/>
      <c r="C45" s="114"/>
      <c r="D45" s="111"/>
      <c r="E45" s="114"/>
      <c r="F45" s="343"/>
      <c r="G45" s="111"/>
      <c r="H45" s="111"/>
      <c r="I45" s="111"/>
      <c r="J45" s="111"/>
      <c r="K45" s="111"/>
      <c r="L45" s="111"/>
      <c r="M45" s="115"/>
      <c r="N45" s="111"/>
      <c r="O45" s="111"/>
      <c r="P45" s="344"/>
      <c r="Q45" s="111"/>
      <c r="R45" s="111"/>
      <c r="S45" s="111"/>
      <c r="T45" s="345"/>
      <c r="U45" s="111"/>
      <c r="V45" s="111"/>
      <c r="W45" s="111"/>
      <c r="X45" s="111"/>
      <c r="Y45" s="118"/>
      <c r="Z45" s="111"/>
      <c r="AA45" s="118"/>
      <c r="AB45" s="118"/>
      <c r="AC45" s="113"/>
      <c r="AD45" s="111"/>
      <c r="AE45" s="115"/>
      <c r="AF45" s="116"/>
      <c r="AG45" s="111"/>
      <c r="AH45" s="111"/>
      <c r="AI45" s="111"/>
      <c r="AJ45" s="111"/>
      <c r="AK45" s="111"/>
      <c r="AL45" s="111"/>
      <c r="AM45" s="148"/>
      <c r="AN45" s="113"/>
      <c r="AO45" s="118"/>
      <c r="AP45" s="344"/>
      <c r="AQ45" s="344"/>
      <c r="AR45" s="344"/>
      <c r="AS45" s="344"/>
      <c r="AT45" s="344"/>
      <c r="AU45" s="120"/>
      <c r="AV45" s="118"/>
      <c r="AW45" s="118"/>
      <c r="AX45" s="346"/>
      <c r="AY45" s="347"/>
    </row>
    <row r="46" customFormat="false" ht="12.95" hidden="false" customHeight="true" outlineLevel="0" collapsed="false">
      <c r="A46" s="11" t="s">
        <v>99</v>
      </c>
      <c r="B46" s="332"/>
      <c r="C46" s="90"/>
      <c r="D46" s="90"/>
      <c r="E46" s="90"/>
      <c r="F46" s="333" t="n">
        <f aca="false">SUM(F15:F44)</f>
        <v>37157.5497857323</v>
      </c>
      <c r="G46" s="78" t="n">
        <f aca="false">SUM(G15:G44)</f>
        <v>25576</v>
      </c>
      <c r="H46" s="78" t="n">
        <f aca="false">SUM(H15:H44)</f>
        <v>3872</v>
      </c>
      <c r="I46" s="78" t="n">
        <f aca="false">SUM(I15:I44)</f>
        <v>29448</v>
      </c>
      <c r="J46" s="78" t="n">
        <f aca="false">SUM(J15:J44)</f>
        <v>11504.7929669776</v>
      </c>
      <c r="K46" s="78" t="n">
        <f aca="false">SUM(K15:K44)</f>
        <v>40952.7929669776</v>
      </c>
      <c r="L46" s="78" t="n">
        <f aca="false">SUM(L15:L44)</f>
        <v>11495.3497857323</v>
      </c>
      <c r="M46" s="93" t="n">
        <f aca="false">SUM(M15:M44)</f>
        <v>2267.9</v>
      </c>
      <c r="N46" s="90" t="n">
        <f aca="false">SUM(N15:N44)</f>
        <v>56.54391</v>
      </c>
      <c r="O46" s="90" t="n">
        <f aca="false">SUM(O15:O44)</f>
        <v>1532.895</v>
      </c>
      <c r="P46" s="291" t="n">
        <f aca="false">SUM(P15:P44)</f>
        <v>0</v>
      </c>
      <c r="Q46" s="90" t="n">
        <f aca="false">SUM(Q15:Q44)</f>
        <v>49.0212</v>
      </c>
      <c r="R46" s="90" t="n">
        <f aca="false">SUM(R15:R44)</f>
        <v>91.52</v>
      </c>
      <c r="S46" s="90" t="n">
        <f aca="false">SUM(S15:S44)</f>
        <v>0.51</v>
      </c>
      <c r="T46" s="334" t="n">
        <f aca="false">SUM(T15:T44)</f>
        <v>0</v>
      </c>
      <c r="U46" s="78" t="n">
        <f aca="false">SUM(U15:U44)</f>
        <v>397</v>
      </c>
      <c r="V46" s="78" t="n">
        <f aca="false">SUM(V15:V44)</f>
        <v>12.2</v>
      </c>
      <c r="W46" s="78" t="n">
        <f aca="false">SUM(W15:W44)</f>
        <v>946.60989</v>
      </c>
      <c r="X46" s="78" t="n">
        <f aca="false">SUM(X15:X44)</f>
        <v>946.60989</v>
      </c>
      <c r="Y46" s="354"/>
      <c r="Z46" s="78"/>
      <c r="AA46" s="98"/>
      <c r="AB46" s="142"/>
      <c r="AC46" s="92"/>
      <c r="AD46" s="78" t="n">
        <f aca="false">SUM(AD15:AD44)</f>
        <v>179.7</v>
      </c>
      <c r="AE46" s="93" t="n">
        <f aca="false">SUM(AE15:AE44)</f>
        <v>51</v>
      </c>
      <c r="AF46" s="94" t="n">
        <f aca="false">SUM(AF15:AF44)</f>
        <v>39</v>
      </c>
      <c r="AG46" s="78" t="n">
        <f aca="false">SUM(AG15:AG44)</f>
        <v>929</v>
      </c>
      <c r="AH46" s="78"/>
      <c r="AI46" s="78" t="n">
        <f aca="false">SUM(AI15:AI44)</f>
        <v>0</v>
      </c>
      <c r="AJ46" s="78" t="n">
        <f aca="false">SUM(AJ15:AJ44)</f>
        <v>3785.8</v>
      </c>
      <c r="AK46" s="78" t="n">
        <f aca="false">SUM(AK15:AK44)</f>
        <v>9.44318124527351</v>
      </c>
      <c r="AL46" s="90" t="n">
        <f aca="false">SUM(AL15:AL44)</f>
        <v>3795.24318124527</v>
      </c>
      <c r="AM46" s="335"/>
      <c r="AN46" s="143" t="n">
        <f aca="false">SUM(AN15:AN44)</f>
        <v>0</v>
      </c>
      <c r="AO46" s="142"/>
      <c r="AP46" s="139"/>
      <c r="AQ46" s="139"/>
      <c r="AR46" s="96"/>
      <c r="AT46" s="1"/>
      <c r="AU46" s="97" t="n">
        <f aca="false">SUM(AU15:AU44)</f>
        <v>0.36</v>
      </c>
      <c r="AV46" s="98" t="n">
        <f aca="false">AVERAGE(AV15:AV44)</f>
        <v>59.7333333333333</v>
      </c>
      <c r="AW46" s="98" t="n">
        <f aca="false">AVERAGE(AW15:AW44)</f>
        <v>32.1666666666667</v>
      </c>
      <c r="AX46" s="333" t="s">
        <v>120</v>
      </c>
      <c r="AY46" s="355" t="n">
        <f aca="false">SUM(AY15:AY44)</f>
        <v>197.59511</v>
      </c>
    </row>
    <row r="47" customFormat="false" ht="12.95" hidden="false" customHeight="true" outlineLevel="0" collapsed="false">
      <c r="A47" s="11" t="s">
        <v>101</v>
      </c>
      <c r="B47" s="332"/>
      <c r="C47" s="90"/>
      <c r="D47" s="90" t="n">
        <f aca="false">SUM(D15:D44)</f>
        <v>73702</v>
      </c>
      <c r="E47" s="90"/>
      <c r="F47" s="333" t="n">
        <f aca="false">F46*$D$2</f>
        <v>73702</v>
      </c>
      <c r="G47" s="78" t="n">
        <f aca="false">G46*$D$2</f>
        <v>50729.996</v>
      </c>
      <c r="H47" s="78" t="n">
        <f aca="false">H46*$D$2</f>
        <v>7680.112</v>
      </c>
      <c r="I47" s="78" t="n">
        <f aca="false">I46*$D$2</f>
        <v>58410.108</v>
      </c>
      <c r="J47" s="78" t="n">
        <f aca="false">J46*$D$2</f>
        <v>22819.75685</v>
      </c>
      <c r="K47" s="78" t="n">
        <f aca="false">K46*$D$2</f>
        <v>81229.86485</v>
      </c>
      <c r="L47" s="78" t="n">
        <f aca="false">L46*$D$2</f>
        <v>22801.0263</v>
      </c>
      <c r="M47" s="93" t="n">
        <f aca="false">M46*$D$2</f>
        <v>4498.37965</v>
      </c>
      <c r="N47" s="90" t="n">
        <f aca="false">N46*$D$2</f>
        <v>112.154845485</v>
      </c>
      <c r="O47" s="90" t="n">
        <f aca="false">O46*$D$2</f>
        <v>3040.4972325</v>
      </c>
      <c r="P47" s="291" t="n">
        <f aca="false">P46*$D$2</f>
        <v>0</v>
      </c>
      <c r="Q47" s="90" t="n">
        <f aca="false">Q46*$D$2</f>
        <v>97.2335502</v>
      </c>
      <c r="R47" s="90" t="n">
        <f aca="false">R46*$D$2</f>
        <v>181.52992</v>
      </c>
      <c r="S47" s="90" t="n">
        <f aca="false">S46*$D$2</f>
        <v>1.011585</v>
      </c>
      <c r="T47" s="334" t="n">
        <f aca="false">T46*$D$2</f>
        <v>0</v>
      </c>
      <c r="U47" s="78" t="n">
        <f aca="false">U46*$D$2</f>
        <v>787.4495</v>
      </c>
      <c r="V47" s="78" t="n">
        <f aca="false">V46*$D$2</f>
        <v>24.1987</v>
      </c>
      <c r="W47" s="78" t="n">
        <f aca="false">W46*$D$2</f>
        <v>1877.600716815</v>
      </c>
      <c r="X47" s="78" t="n">
        <f aca="false">X46*$D$2</f>
        <v>1877.600716815</v>
      </c>
      <c r="Y47" s="142"/>
      <c r="Z47" s="78"/>
      <c r="AA47" s="142"/>
      <c r="AB47" s="142"/>
      <c r="AC47" s="92"/>
      <c r="AD47" s="78" t="n">
        <f aca="false">AD46*$D$2</f>
        <v>356.43495</v>
      </c>
      <c r="AE47" s="93" t="n">
        <f aca="false">AE46*$D$2</f>
        <v>101.1585</v>
      </c>
      <c r="AF47" s="94" t="n">
        <f aca="false">AF46*$D$2</f>
        <v>77.3565</v>
      </c>
      <c r="AG47" s="78" t="n">
        <f aca="false">AG46*$D$2</f>
        <v>1842.6715</v>
      </c>
      <c r="AH47" s="78"/>
      <c r="AI47" s="78" t="n">
        <f aca="false">AI46*$D$2</f>
        <v>0</v>
      </c>
      <c r="AJ47" s="78" t="n">
        <f aca="false">AJ46*$D$2</f>
        <v>7509.1343</v>
      </c>
      <c r="AK47" s="78" t="n">
        <f aca="false">AK46*$D$2</f>
        <v>18.73055</v>
      </c>
      <c r="AL47" s="90" t="n">
        <f aca="false">AL46*$D$2</f>
        <v>7527.86485</v>
      </c>
      <c r="AM47" s="335"/>
      <c r="AN47" s="143" t="n">
        <f aca="false">AN46*$D$2</f>
        <v>0</v>
      </c>
      <c r="AO47" s="142"/>
      <c r="AP47" s="139" t="n">
        <f aca="false">SUM(AP15:AP44)</f>
        <v>83.7320834304972</v>
      </c>
      <c r="AQ47" s="139"/>
      <c r="AR47" s="96"/>
      <c r="AT47" s="1"/>
      <c r="AU47" s="97"/>
      <c r="AV47" s="98" t="n">
        <f aca="false">MAX(AV15:AV44)</f>
        <v>72</v>
      </c>
      <c r="AW47" s="98" t="n">
        <f aca="false">MAX(AW15:AW44)</f>
        <v>44</v>
      </c>
      <c r="AX47" s="333" t="s">
        <v>102</v>
      </c>
      <c r="AY47" s="355" t="n">
        <f aca="false">AY46*$D$2</f>
        <v>391.929900685</v>
      </c>
    </row>
    <row r="48" customFormat="false" ht="3" hidden="false" customHeight="true" outlineLevel="0" collapsed="false">
      <c r="A48" s="104"/>
      <c r="B48" s="353"/>
      <c r="C48" s="114"/>
      <c r="D48" s="114"/>
      <c r="E48" s="114"/>
      <c r="F48" s="346"/>
      <c r="G48" s="114"/>
      <c r="H48" s="111"/>
      <c r="I48" s="114"/>
      <c r="J48" s="114"/>
      <c r="K48" s="114"/>
      <c r="L48" s="114"/>
      <c r="M48" s="146"/>
      <c r="N48" s="114"/>
      <c r="O48" s="114"/>
      <c r="P48" s="344"/>
      <c r="Q48" s="114"/>
      <c r="R48" s="114"/>
      <c r="S48" s="114"/>
      <c r="T48" s="345"/>
      <c r="U48" s="114"/>
      <c r="V48" s="114"/>
      <c r="W48" s="114"/>
      <c r="X48" s="114"/>
      <c r="Y48" s="118"/>
      <c r="Z48" s="114"/>
      <c r="AA48" s="118"/>
      <c r="AB48" s="118"/>
      <c r="AC48" s="113"/>
      <c r="AD48" s="114"/>
      <c r="AE48" s="146"/>
      <c r="AF48" s="147"/>
      <c r="AG48" s="114"/>
      <c r="AH48" s="111"/>
      <c r="AI48" s="114"/>
      <c r="AJ48" s="114"/>
      <c r="AK48" s="114"/>
      <c r="AL48" s="114"/>
      <c r="AM48" s="148"/>
      <c r="AN48" s="113"/>
      <c r="AO48" s="118"/>
      <c r="AP48" s="344"/>
      <c r="AQ48" s="344"/>
      <c r="AR48" s="344"/>
      <c r="AS48" s="344"/>
      <c r="AT48" s="344"/>
      <c r="AU48" s="148"/>
      <c r="AV48" s="114"/>
      <c r="AW48" s="114"/>
      <c r="AX48" s="346"/>
      <c r="AY48" s="347"/>
    </row>
    <row r="49" customFormat="false" ht="12.95" hidden="false" customHeight="true" outlineLevel="0" collapsed="false">
      <c r="A49" s="11" t="s">
        <v>103</v>
      </c>
      <c r="B49" s="332"/>
      <c r="C49" s="90"/>
      <c r="D49" s="90"/>
      <c r="E49" s="90"/>
      <c r="F49" s="333" t="n">
        <f aca="false">F46</f>
        <v>37157.5497857323</v>
      </c>
      <c r="G49" s="78" t="n">
        <f aca="false">G46</f>
        <v>25576</v>
      </c>
      <c r="H49" s="78" t="n">
        <f aca="false">H46</f>
        <v>3872</v>
      </c>
      <c r="I49" s="78" t="n">
        <f aca="false">I46</f>
        <v>29448</v>
      </c>
      <c r="J49" s="78" t="n">
        <f aca="false">J46</f>
        <v>11504.7929669776</v>
      </c>
      <c r="K49" s="78" t="n">
        <f aca="false">K46</f>
        <v>40952.7929669776</v>
      </c>
      <c r="L49" s="78" t="n">
        <f aca="false">L46</f>
        <v>11495.3497857323</v>
      </c>
      <c r="M49" s="93" t="n">
        <f aca="false">M46</f>
        <v>2267.9</v>
      </c>
      <c r="N49" s="90" t="n">
        <f aca="false">N46</f>
        <v>56.54391</v>
      </c>
      <c r="O49" s="90" t="n">
        <f aca="false">O12+O46</f>
        <v>1557.8115</v>
      </c>
      <c r="P49" s="291" t="n">
        <f aca="false">P12+P46</f>
        <v>0</v>
      </c>
      <c r="Q49" s="90"/>
      <c r="R49" s="90"/>
      <c r="S49" s="90"/>
      <c r="T49" s="334"/>
      <c r="U49" s="78" t="n">
        <f aca="false">U46</f>
        <v>397</v>
      </c>
      <c r="V49" s="78" t="n">
        <f aca="false">V46</f>
        <v>12.2</v>
      </c>
      <c r="W49" s="78" t="n">
        <f aca="false">W12+W46</f>
        <v>946.60989</v>
      </c>
      <c r="X49" s="78" t="n">
        <f aca="false">X12+X46</f>
        <v>946.60989</v>
      </c>
      <c r="Y49" s="78" t="n">
        <f aca="false">Y12+Y44</f>
        <v>15232.03366</v>
      </c>
      <c r="Z49" s="78"/>
      <c r="AA49" s="142"/>
      <c r="AB49" s="142"/>
      <c r="AC49" s="92"/>
      <c r="AD49" s="78" t="n">
        <f aca="false">AD46</f>
        <v>179.7</v>
      </c>
      <c r="AE49" s="93" t="n">
        <f aca="false">AE46</f>
        <v>51</v>
      </c>
      <c r="AF49" s="94" t="n">
        <f aca="false">AF46</f>
        <v>39</v>
      </c>
      <c r="AG49" s="78"/>
      <c r="AH49" s="78"/>
      <c r="AI49" s="78" t="n">
        <f aca="false">AI46</f>
        <v>0</v>
      </c>
      <c r="AJ49" s="78" t="n">
        <f aca="false">AJ46</f>
        <v>3785.8</v>
      </c>
      <c r="AK49" s="78" t="n">
        <f aca="false">AK46</f>
        <v>9.44318124527351</v>
      </c>
      <c r="AL49" s="90" t="n">
        <f aca="false">AL46</f>
        <v>3795.24318124527</v>
      </c>
      <c r="AM49" s="335"/>
      <c r="AN49" s="92"/>
      <c r="AO49" s="142"/>
      <c r="AP49" s="139"/>
      <c r="AQ49" s="139"/>
      <c r="AR49" s="96"/>
      <c r="AT49" s="1"/>
      <c r="AU49" s="97"/>
      <c r="AV49" s="98" t="n">
        <f aca="false">MIN(AV15:AV44)</f>
        <v>40</v>
      </c>
      <c r="AW49" s="98" t="n">
        <f aca="false">MIN(AW15:AW44)</f>
        <v>20</v>
      </c>
      <c r="AX49" s="333" t="s">
        <v>104</v>
      </c>
      <c r="AY49" s="355" t="n">
        <f aca="false">AY46</f>
        <v>197.59511</v>
      </c>
    </row>
    <row r="50" customFormat="false" ht="12.95" hidden="false" customHeight="true" outlineLevel="0" collapsed="false">
      <c r="A50" s="11" t="s">
        <v>105</v>
      </c>
      <c r="B50" s="332"/>
      <c r="C50" s="90"/>
      <c r="D50" s="90"/>
      <c r="E50" s="90"/>
      <c r="F50" s="333" t="n">
        <f aca="false">F49*$D$2</f>
        <v>73702</v>
      </c>
      <c r="G50" s="78" t="n">
        <f aca="false">G49*$D$2</f>
        <v>50729.996</v>
      </c>
      <c r="H50" s="78" t="n">
        <f aca="false">H49*$D$2</f>
        <v>7680.112</v>
      </c>
      <c r="I50" s="78" t="n">
        <f aca="false">I49*$D$2</f>
        <v>58410.108</v>
      </c>
      <c r="J50" s="78" t="n">
        <f aca="false">J49*$D$2</f>
        <v>22819.75685</v>
      </c>
      <c r="K50" s="78" t="n">
        <f aca="false">K49*$D$2</f>
        <v>81229.86485</v>
      </c>
      <c r="L50" s="78" t="n">
        <f aca="false">L49*$D$2</f>
        <v>22801.0263</v>
      </c>
      <c r="M50" s="93" t="n">
        <f aca="false">M49*$D$2</f>
        <v>4498.37965</v>
      </c>
      <c r="N50" s="90" t="n">
        <f aca="false">N49*$D$2</f>
        <v>112.154845485</v>
      </c>
      <c r="O50" s="90" t="n">
        <f aca="false">O49*$D$2</f>
        <v>3089.91911025</v>
      </c>
      <c r="P50" s="291" t="n">
        <f aca="false">P49*$D$2</f>
        <v>0</v>
      </c>
      <c r="Q50" s="90"/>
      <c r="R50" s="90"/>
      <c r="S50" s="90"/>
      <c r="T50" s="334"/>
      <c r="U50" s="78" t="n">
        <f aca="false">U49*$D$2</f>
        <v>787.4495</v>
      </c>
      <c r="V50" s="78" t="n">
        <f aca="false">V49*$D$2</f>
        <v>24.1987</v>
      </c>
      <c r="W50" s="78" t="n">
        <f aca="false">W49*$D$2</f>
        <v>1877.600716815</v>
      </c>
      <c r="X50" s="78" t="n">
        <f aca="false">X49*$D$2</f>
        <v>1877.600716815</v>
      </c>
      <c r="Y50" s="78" t="n">
        <f aca="false">Y49*$D$2</f>
        <v>30212.73876461</v>
      </c>
      <c r="Z50" s="78"/>
      <c r="AA50" s="142"/>
      <c r="AB50" s="142"/>
      <c r="AC50" s="92"/>
      <c r="AD50" s="78" t="n">
        <f aca="false">AD49*$D$2</f>
        <v>356.43495</v>
      </c>
      <c r="AE50" s="93" t="n">
        <f aca="false">AE49*$D$2</f>
        <v>101.1585</v>
      </c>
      <c r="AF50" s="94" t="n">
        <f aca="false">AF49*$D$2</f>
        <v>77.3565</v>
      </c>
      <c r="AG50" s="78"/>
      <c r="AH50" s="78"/>
      <c r="AI50" s="78" t="n">
        <f aca="false">AI49*$D$2</f>
        <v>0</v>
      </c>
      <c r="AJ50" s="78" t="n">
        <f aca="false">AJ49*$D$2</f>
        <v>7509.1343</v>
      </c>
      <c r="AK50" s="78" t="n">
        <f aca="false">AK49*$D$2</f>
        <v>18.73055</v>
      </c>
      <c r="AL50" s="90" t="n">
        <f aca="false">AL49*$D$2</f>
        <v>7527.86485</v>
      </c>
      <c r="AM50" s="335"/>
      <c r="AN50" s="92"/>
      <c r="AO50" s="142"/>
      <c r="AP50" s="139" t="n">
        <f aca="false">AP47</f>
        <v>83.7320834304972</v>
      </c>
      <c r="AQ50" s="139"/>
      <c r="AR50" s="96"/>
      <c r="AT50" s="1"/>
      <c r="AU50" s="97"/>
      <c r="AV50" s="98"/>
      <c r="AW50" s="98"/>
      <c r="AX50" s="276"/>
      <c r="AY50" s="355" t="n">
        <f aca="false">AY49*$D$2</f>
        <v>391.929900685</v>
      </c>
    </row>
    <row r="51" customFormat="false" ht="3" hidden="false" customHeight="true" outlineLevel="0" collapsed="false">
      <c r="A51" s="104"/>
      <c r="B51" s="353"/>
      <c r="C51" s="114"/>
      <c r="D51" s="114"/>
      <c r="E51" s="114"/>
      <c r="F51" s="346"/>
      <c r="G51" s="114"/>
      <c r="H51" s="111"/>
      <c r="I51" s="114"/>
      <c r="J51" s="114"/>
      <c r="K51" s="114"/>
      <c r="L51" s="114"/>
      <c r="M51" s="146"/>
      <c r="N51" s="114"/>
      <c r="O51" s="114"/>
      <c r="P51" s="344"/>
      <c r="Q51" s="114"/>
      <c r="R51" s="114"/>
      <c r="S51" s="114"/>
      <c r="T51" s="345"/>
      <c r="U51" s="114"/>
      <c r="V51" s="114"/>
      <c r="W51" s="114"/>
      <c r="X51" s="114"/>
      <c r="Y51" s="118"/>
      <c r="Z51" s="114"/>
      <c r="AA51" s="118"/>
      <c r="AB51" s="118"/>
      <c r="AC51" s="113"/>
      <c r="AD51" s="114"/>
      <c r="AE51" s="146"/>
      <c r="AF51" s="147"/>
      <c r="AG51" s="114"/>
      <c r="AH51" s="114"/>
      <c r="AI51" s="114"/>
      <c r="AJ51" s="114"/>
      <c r="AK51" s="114"/>
      <c r="AL51" s="114"/>
      <c r="AM51" s="148"/>
      <c r="AN51" s="113"/>
      <c r="AO51" s="118"/>
      <c r="AP51" s="344"/>
      <c r="AQ51" s="344"/>
      <c r="AR51" s="344"/>
      <c r="AS51" s="344"/>
      <c r="AT51" s="344"/>
      <c r="AU51" s="120"/>
      <c r="AV51" s="356"/>
      <c r="AW51" s="356"/>
      <c r="AX51" s="346"/>
      <c r="AY51" s="347"/>
    </row>
    <row r="52" customFormat="false" ht="12.95" hidden="false" customHeight="true" outlineLevel="0" collapsed="false">
      <c r="A52" s="11" t="s">
        <v>106</v>
      </c>
      <c r="B52" s="332"/>
      <c r="C52" s="90"/>
      <c r="D52" s="90"/>
      <c r="E52" s="90"/>
      <c r="F52" s="333" t="n">
        <f aca="false">F13+F46</f>
        <v>33221.0738593395</v>
      </c>
      <c r="G52" s="78" t="n">
        <f aca="false">G13+G46</f>
        <v>32279</v>
      </c>
      <c r="H52" s="78" t="n">
        <f aca="false">H13+H46</f>
        <v>4100.59</v>
      </c>
      <c r="I52" s="78" t="n">
        <f aca="false">I13+I46</f>
        <v>36379.59</v>
      </c>
      <c r="J52" s="78" t="n">
        <f aca="false">J13+J46</f>
        <v>13247.1585707083</v>
      </c>
      <c r="K52" s="78" t="n">
        <f aca="false">K13+K46</f>
        <v>49626.7485707083</v>
      </c>
      <c r="L52" s="78" t="n">
        <f aca="false">L13+L46</f>
        <v>12328.7838593396</v>
      </c>
      <c r="M52" s="93" t="n">
        <f aca="false">M13+M46</f>
        <v>2963.3</v>
      </c>
      <c r="N52" s="90" t="n">
        <f aca="false">N13+N46</f>
        <v>56.54391</v>
      </c>
      <c r="O52" s="90" t="n">
        <f aca="false">O13+O46</f>
        <v>1557.8115</v>
      </c>
      <c r="P52" s="291"/>
      <c r="Q52" s="90" t="n">
        <f aca="false">Q13+Q46</f>
        <v>295.28592</v>
      </c>
      <c r="R52" s="90" t="n">
        <f aca="false">R13+R46</f>
        <v>448.18</v>
      </c>
      <c r="S52" s="90" t="n">
        <f aca="false">S13+S46</f>
        <v>1.14</v>
      </c>
      <c r="T52" s="338" t="n">
        <f aca="false">T13+T46</f>
        <v>-22.57716</v>
      </c>
      <c r="U52" s="78" t="n">
        <f aca="false">U13+U46</f>
        <v>6788.6</v>
      </c>
      <c r="V52" s="78" t="n">
        <f aca="false">V13+V46</f>
        <v>52.7</v>
      </c>
      <c r="W52" s="78" t="n">
        <f aca="false">W13+W46</f>
        <v>7467.44467</v>
      </c>
      <c r="X52" s="78" t="n">
        <f aca="false">X13+X46</f>
        <v>7426.94467</v>
      </c>
      <c r="Y52" s="142"/>
      <c r="Z52" s="78"/>
      <c r="AA52" s="142"/>
      <c r="AB52" s="142"/>
      <c r="AC52" s="92"/>
      <c r="AD52" s="78"/>
      <c r="AE52" s="93"/>
      <c r="AF52" s="94"/>
      <c r="AG52" s="78" t="n">
        <f aca="false">AG13+AG46</f>
        <v>5503</v>
      </c>
      <c r="AH52" s="78" t="n">
        <f aca="false">AH44</f>
        <v>15102.2578774893</v>
      </c>
      <c r="AI52" s="78" t="n">
        <f aca="false">AI13+AI46</f>
        <v>0</v>
      </c>
      <c r="AJ52" s="78" t="n">
        <f aca="false">AJ13+AJ46</f>
        <v>15487.3</v>
      </c>
      <c r="AK52" s="78" t="n">
        <f aca="false">AK13+AK46</f>
        <v>918.374711368792</v>
      </c>
      <c r="AL52" s="90" t="n">
        <f aca="false">AL13+AL46</f>
        <v>16405.6747113688</v>
      </c>
      <c r="AM52" s="335"/>
      <c r="AN52" s="143" t="n">
        <f aca="false">AN13+AN46</f>
        <v>40.5</v>
      </c>
      <c r="AO52" s="142"/>
      <c r="AP52" s="139"/>
      <c r="AQ52" s="139"/>
      <c r="AR52" s="96"/>
      <c r="AT52" s="1"/>
      <c r="AU52" s="97" t="n">
        <f aca="false">AU13+AU46</f>
        <v>6.38</v>
      </c>
      <c r="AV52" s="98"/>
      <c r="AW52" s="98"/>
      <c r="AX52" s="276"/>
      <c r="AY52" s="355" t="n">
        <f aca="false">AY13+AY46</f>
        <v>779.34383</v>
      </c>
    </row>
    <row r="53" customFormat="false" ht="12.95" hidden="false" customHeight="true" outlineLevel="0" collapsed="false">
      <c r="A53" s="11" t="s">
        <v>107</v>
      </c>
      <c r="B53" s="357"/>
      <c r="C53" s="358"/>
      <c r="D53" s="358" t="n">
        <f aca="false">D13+D47</f>
        <v>65894</v>
      </c>
      <c r="E53" s="358" t="n">
        <f aca="false">E44</f>
        <v>173237</v>
      </c>
      <c r="F53" s="359" t="n">
        <f aca="false">F52*$D$2</f>
        <v>65894</v>
      </c>
      <c r="G53" s="78" t="n">
        <f aca="false">G52*$D$2</f>
        <v>64025.3965</v>
      </c>
      <c r="H53" s="78" t="n">
        <f aca="false">H52*$D$2</f>
        <v>8133.520265</v>
      </c>
      <c r="I53" s="78" t="n">
        <f aca="false">I52*$D$2</f>
        <v>72158.916765</v>
      </c>
      <c r="J53" s="78" t="n">
        <f aca="false">J52*$D$2</f>
        <v>26275.739025</v>
      </c>
      <c r="K53" s="78" t="n">
        <f aca="false">K52*$D$2</f>
        <v>98434.65579</v>
      </c>
      <c r="L53" s="78" t="n">
        <f aca="false">L52*$D$2</f>
        <v>24454.142785</v>
      </c>
      <c r="M53" s="93" t="n">
        <f aca="false">M52*$D$2</f>
        <v>5877.70555</v>
      </c>
      <c r="N53" s="90" t="n">
        <f aca="false">N52*$D$2</f>
        <v>112.154845485</v>
      </c>
      <c r="O53" s="90" t="n">
        <f aca="false">O52*$D$2</f>
        <v>3089.91911025</v>
      </c>
      <c r="P53" s="291"/>
      <c r="Q53" s="90" t="n">
        <f aca="false">Q52*$D$2</f>
        <v>585.69962232</v>
      </c>
      <c r="R53" s="90" t="n">
        <f aca="false">R52*$D$2</f>
        <v>888.96503</v>
      </c>
      <c r="S53" s="90" t="n">
        <f aca="false">S52*$D$2</f>
        <v>2.26119</v>
      </c>
      <c r="T53" s="338" t="n">
        <f aca="false">T52*$D$2</f>
        <v>-44.78179686</v>
      </c>
      <c r="U53" s="78" t="n">
        <f aca="false">U52*$D$2</f>
        <v>13465.1881</v>
      </c>
      <c r="V53" s="78" t="n">
        <f aca="false">V52*$D$2</f>
        <v>104.53045</v>
      </c>
      <c r="W53" s="78" t="n">
        <f aca="false">W52*$D$2</f>
        <v>14811.676502945</v>
      </c>
      <c r="X53" s="78" t="n">
        <f aca="false">X52*$D$2</f>
        <v>14731.344752945</v>
      </c>
      <c r="Y53" s="142"/>
      <c r="Z53" s="78"/>
      <c r="AA53" s="142"/>
      <c r="AB53" s="142"/>
      <c r="AC53" s="92"/>
      <c r="AD53" s="78"/>
      <c r="AE53" s="340"/>
      <c r="AF53" s="339"/>
      <c r="AG53" s="78" t="n">
        <f aca="false">AG52*$D$2</f>
        <v>10915.2005</v>
      </c>
      <c r="AH53" s="78" t="n">
        <f aca="false">AH52*$D$2</f>
        <v>29955.3285</v>
      </c>
      <c r="AI53" s="78" t="n">
        <f aca="false">AI52*$D$2</f>
        <v>0</v>
      </c>
      <c r="AJ53" s="78" t="n">
        <f aca="false">AJ52*$D$2</f>
        <v>30719.05955</v>
      </c>
      <c r="AK53" s="78" t="n">
        <f aca="false">AK52*$D$2</f>
        <v>1821.59624</v>
      </c>
      <c r="AL53" s="90" t="n">
        <f aca="false">AL52*$D$2</f>
        <v>32540.65579</v>
      </c>
      <c r="AM53" s="335" t="n">
        <f aca="false">AM44</f>
        <v>13318.4091</v>
      </c>
      <c r="AN53" s="143" t="n">
        <f aca="false">AN52*$D$2</f>
        <v>80.33175</v>
      </c>
      <c r="AO53" s="142"/>
      <c r="AP53" s="139" t="n">
        <f aca="false">AP47</f>
        <v>83.7320834304972</v>
      </c>
      <c r="AQ53" s="139"/>
      <c r="AR53" s="96"/>
      <c r="AT53" s="1"/>
      <c r="AU53" s="97"/>
      <c r="AV53" s="98"/>
      <c r="AW53" s="98"/>
      <c r="AX53" s="276"/>
      <c r="AY53" s="355" t="n">
        <f aca="false">AY52*$D$2</f>
        <v>1545.828486805</v>
      </c>
    </row>
    <row r="54" customFormat="false" ht="3" hidden="false" customHeight="true" outlineLevel="0" collapsed="false">
      <c r="A54" s="104"/>
      <c r="B54" s="138"/>
      <c r="C54" s="106"/>
      <c r="D54" s="104"/>
      <c r="E54" s="106"/>
      <c r="F54" s="107"/>
      <c r="G54" s="104"/>
      <c r="H54" s="104"/>
      <c r="I54" s="104"/>
      <c r="J54" s="104"/>
      <c r="K54" s="104"/>
      <c r="L54" s="104"/>
      <c r="M54" s="109"/>
      <c r="N54" s="104"/>
      <c r="O54" s="104"/>
      <c r="P54" s="110"/>
      <c r="Q54" s="104"/>
      <c r="R54" s="104"/>
      <c r="S54" s="104"/>
      <c r="T54" s="360"/>
      <c r="U54" s="104"/>
      <c r="V54" s="104"/>
      <c r="W54" s="104"/>
      <c r="X54" s="104"/>
      <c r="Y54" s="151"/>
      <c r="Z54" s="104"/>
      <c r="AA54" s="151"/>
      <c r="AB54" s="151"/>
      <c r="AC54" s="155"/>
      <c r="AD54" s="104"/>
      <c r="AE54" s="109"/>
      <c r="AF54" s="154"/>
      <c r="AG54" s="104"/>
      <c r="AH54" s="106"/>
      <c r="AI54" s="361"/>
      <c r="AJ54" s="104"/>
      <c r="AK54" s="104"/>
      <c r="AL54" s="104"/>
      <c r="AM54" s="362"/>
      <c r="AN54" s="155"/>
      <c r="AO54" s="151"/>
      <c r="AP54" s="110"/>
      <c r="AQ54" s="110"/>
      <c r="AR54" s="110"/>
      <c r="AS54" s="363"/>
      <c r="AT54" s="364"/>
      <c r="AU54" s="138"/>
      <c r="AV54" s="104"/>
      <c r="AW54" s="104"/>
      <c r="AX54" s="346"/>
      <c r="AY54" s="347"/>
    </row>
    <row r="55" customFormat="false" ht="14.1" hidden="false" customHeight="true" outlineLevel="0" collapsed="false">
      <c r="A55" s="160"/>
      <c r="B55" s="16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Q55" s="11"/>
      <c r="R55" s="11"/>
      <c r="S55" s="11"/>
      <c r="U55" s="11"/>
      <c r="V55" s="11"/>
      <c r="W55" s="11"/>
      <c r="X55" s="11"/>
      <c r="Y55" s="9"/>
      <c r="Z55" s="11"/>
      <c r="AA55" s="9"/>
      <c r="AB55" s="9"/>
      <c r="AC55" s="4"/>
      <c r="AD55" s="11"/>
      <c r="AE55" s="11"/>
      <c r="AF55" s="11"/>
      <c r="AG55" s="11"/>
      <c r="AH55" s="2"/>
      <c r="AI55" s="100"/>
      <c r="AJ55" s="11"/>
      <c r="AK55" s="11"/>
      <c r="AL55" s="26"/>
      <c r="AM55" s="2"/>
      <c r="AN55" s="4"/>
      <c r="AO55" s="365"/>
      <c r="AP55" s="65"/>
      <c r="AQ55" s="65"/>
      <c r="AR55" s="1"/>
      <c r="AS55" s="83"/>
      <c r="AT55" s="83"/>
      <c r="AU55" s="366"/>
      <c r="AV55" s="122"/>
      <c r="AW55" s="122"/>
    </row>
    <row r="56" customFormat="false" ht="11.1" hidden="false" customHeight="true" outlineLevel="0" collapsed="false">
      <c r="A56" s="11"/>
      <c r="B56" s="163"/>
      <c r="F56" s="11"/>
      <c r="G56" s="11"/>
      <c r="H56" s="11"/>
      <c r="I56" s="12"/>
      <c r="J56" s="11"/>
      <c r="K56" s="164"/>
      <c r="L56" s="11"/>
      <c r="M56" s="11"/>
      <c r="N56" s="11"/>
      <c r="O56" s="11"/>
      <c r="Q56" s="11"/>
      <c r="R56" s="11"/>
      <c r="S56" s="11"/>
      <c r="U56" s="11"/>
      <c r="V56" s="11"/>
      <c r="W56" s="11"/>
      <c r="X56" s="11"/>
      <c r="Y56" s="9"/>
      <c r="Z56" s="11"/>
      <c r="AA56" s="9"/>
      <c r="AB56" s="9"/>
      <c r="AC56" s="4"/>
      <c r="AD56" s="11"/>
      <c r="AE56" s="11"/>
      <c r="AF56" s="11"/>
      <c r="AG56" s="11"/>
      <c r="AH56" s="2"/>
      <c r="AI56" s="100"/>
      <c r="AJ56" s="11"/>
      <c r="AK56" s="11"/>
      <c r="AL56" s="125"/>
      <c r="AM56" s="2"/>
      <c r="AN56" s="4"/>
      <c r="AO56" s="365"/>
      <c r="AP56" s="65"/>
      <c r="AQ56" s="65"/>
      <c r="AR56" s="1"/>
      <c r="AS56" s="83"/>
      <c r="AT56" s="83"/>
      <c r="AU56" s="366"/>
      <c r="AV56" s="122"/>
      <c r="AW56" s="122"/>
    </row>
    <row r="57" customFormat="false" ht="11.1" hidden="false" customHeight="true" outlineLevel="0" collapsed="false">
      <c r="D57" s="2"/>
      <c r="H57" s="11"/>
      <c r="S57" s="4"/>
      <c r="W57" s="1"/>
      <c r="X57" s="1"/>
      <c r="Y57" s="9"/>
      <c r="Z57" s="1"/>
      <c r="AA57" s="9"/>
      <c r="AB57" s="9"/>
      <c r="AC57" s="4"/>
      <c r="AG57" s="1"/>
      <c r="AH57" s="2"/>
      <c r="AI57" s="100"/>
      <c r="AL57" s="26"/>
      <c r="AM57" s="2"/>
      <c r="AN57" s="4"/>
      <c r="AO57" s="365"/>
      <c r="AP57" s="65"/>
      <c r="AQ57" s="65"/>
      <c r="AR57" s="1"/>
      <c r="AS57" s="83"/>
      <c r="AT57" s="83"/>
      <c r="AU57" s="366"/>
      <c r="AV57" s="122"/>
      <c r="AW57" s="122"/>
    </row>
    <row r="58" customFormat="false" ht="11.1" hidden="false" customHeight="true" outlineLevel="0" collapsed="false">
      <c r="B58" s="166"/>
      <c r="C58" s="167"/>
      <c r="D58" s="167"/>
      <c r="E58" s="367"/>
      <c r="H58" s="169"/>
      <c r="K58" s="368"/>
      <c r="L58" s="169"/>
      <c r="O58" s="169"/>
      <c r="P58" s="8"/>
      <c r="Q58" s="169"/>
      <c r="R58" s="169"/>
      <c r="S58" s="26"/>
      <c r="T58" s="89"/>
      <c r="U58" s="26"/>
      <c r="V58" s="26"/>
      <c r="W58" s="86"/>
      <c r="X58" s="86"/>
      <c r="Y58" s="172"/>
      <c r="Z58" s="86"/>
      <c r="AB58" s="172"/>
      <c r="AC58" s="172"/>
      <c r="AD58" s="167"/>
      <c r="AE58" s="167"/>
      <c r="AF58" s="167"/>
      <c r="AH58" s="167"/>
      <c r="AI58" s="210"/>
      <c r="AM58" s="83"/>
      <c r="AN58" s="83"/>
      <c r="AO58" s="83"/>
    </row>
    <row r="59" customFormat="false" ht="11.1" hidden="false" customHeight="true" outlineLevel="0" collapsed="false">
      <c r="B59" s="8"/>
      <c r="C59" s="167"/>
      <c r="D59" s="167"/>
      <c r="E59" s="367"/>
      <c r="F59" s="369"/>
      <c r="G59" s="166"/>
      <c r="K59" s="164"/>
      <c r="Y59" s="2"/>
      <c r="AB59" s="2"/>
      <c r="AC59" s="2"/>
      <c r="AM59" s="83"/>
      <c r="AN59" s="83"/>
      <c r="AO59" s="83"/>
    </row>
    <row r="61" customFormat="false" ht="11.1" hidden="false" customHeight="true" outlineLevel="0" collapsed="false">
      <c r="B61" s="161"/>
    </row>
  </sheetData>
  <mergeCells count="1"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89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F29" activePane="bottomRight" state="frozen"/>
      <selection pane="topLeft" activeCell="A1" activeCellId="0" sqref="A1"/>
      <selection pane="topRight" activeCell="F1" activeCellId="0" sqref="F1"/>
      <selection pane="bottomLeft" activeCell="A29" activeCellId="0" sqref="A29"/>
      <selection pane="bottomRight" activeCell="AG38" activeCellId="0" sqref="AG38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99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7.32"/>
    <col collapsed="false" customWidth="true" hidden="false" outlineLevel="0" max="7" min="7" style="166" width="6.82"/>
    <col collapsed="false" customWidth="true" hidden="false" outlineLevel="0" max="8" min="8" style="169" width="6.32"/>
    <col collapsed="false" customWidth="true" hidden="false" outlineLevel="0" max="9" min="9" style="166" width="6.99"/>
    <col collapsed="false" customWidth="true" hidden="false" outlineLevel="0" max="10" min="10" style="166" width="6.32"/>
    <col collapsed="false" customWidth="true" hidden="false" outlineLevel="0" max="12" min="11" style="166" width="6.99"/>
    <col collapsed="false" customWidth="true" hidden="false" outlineLevel="0" max="13" min="13" style="169" width="6.32"/>
    <col collapsed="false" customWidth="true" hidden="false" outlineLevel="0" max="14" min="14" style="8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7" min="17" style="169" width="4.49"/>
    <col collapsed="false" customWidth="true" hidden="false" outlineLevel="0" max="18" min="18" style="169" width="4.82"/>
    <col collapsed="false" customWidth="true" hidden="false" outlineLevel="0" max="19" min="19" style="257" width="4.82"/>
    <col collapsed="false" customWidth="true" hidden="false" outlineLevel="0" max="20" min="20" style="8" width="4.82"/>
    <col collapsed="false" customWidth="true" hidden="false" outlineLevel="0" max="22" min="21" style="166" width="5.49"/>
    <col collapsed="false" customWidth="true" hidden="false" outlineLevel="0" max="24" min="23" style="167" width="6.32"/>
    <col collapsed="false" customWidth="true" hidden="false" outlineLevel="0" max="25" min="25" style="166" width="6.49"/>
    <col collapsed="false" customWidth="true" hidden="false" outlineLevel="0" max="26" min="26" style="167" width="6.32"/>
    <col collapsed="false" customWidth="true" hidden="false" outlineLevel="0" max="32" min="27" style="166" width="5.49"/>
    <col collapsed="false" customWidth="true" hidden="false" outlineLevel="0" max="33" min="33" style="172" width="5.82"/>
    <col collapsed="false" customWidth="true" hidden="false" outlineLevel="0" max="34" min="34" style="166" width="5.82"/>
    <col collapsed="false" customWidth="true" hidden="false" outlineLevel="0" max="35" min="35" style="311" width="5.82"/>
    <col collapsed="false" customWidth="true" hidden="false" outlineLevel="0" max="37" min="36" style="166" width="6.32"/>
    <col collapsed="false" customWidth="true" hidden="false" outlineLevel="0" max="38" min="38" style="8" width="6.99"/>
    <col collapsed="false" customWidth="true" hidden="false" outlineLevel="0" max="39" min="39" style="167" width="5.49"/>
    <col collapsed="false" customWidth="true" hidden="false" outlineLevel="0" max="40" min="40" style="166" width="5.49"/>
    <col collapsed="false" customWidth="true" hidden="false" outlineLevel="0" max="41" min="41" style="166" width="6.32"/>
    <col collapsed="false" customWidth="true" hidden="false" outlineLevel="0" max="42" min="42" style="310" width="6.32"/>
    <col collapsed="false" customWidth="true" hidden="false" outlineLevel="0" max="43" min="43" style="310" width="5.82"/>
    <col collapsed="false" customWidth="true" hidden="false" outlineLevel="0" max="44" min="44" style="166" width="5.82"/>
    <col collapsed="false" customWidth="true" hidden="false" outlineLevel="0" max="45" min="45" style="311" width="6.32"/>
    <col collapsed="false" customWidth="true" hidden="false" outlineLevel="0" max="46" min="46" style="170" width="5.82"/>
    <col collapsed="false" customWidth="true" hidden="false" outlineLevel="0" max="47" min="47" style="168" width="5.32"/>
    <col collapsed="false" customWidth="true" hidden="false" outlineLevel="0" max="48" min="48" style="172" width="3.82"/>
    <col collapsed="false" customWidth="true" hidden="false" outlineLevel="0" max="49" min="49" style="173" width="3.82"/>
    <col collapsed="false" customWidth="true" hidden="false" outlineLevel="0" max="50" min="50" style="166" width="4.32"/>
    <col collapsed="false" customWidth="true" hidden="false" outlineLevel="0" max="51" min="51" style="166" width="6.49"/>
    <col collapsed="false" customWidth="false" hidden="false" outlineLevel="0" max="257" min="52" style="174" width="9.32"/>
  </cols>
  <sheetData>
    <row r="1" customFormat="false" ht="14.1" hidden="false" customHeight="true" outlineLevel="0" collapsed="false">
      <c r="A1" s="175"/>
      <c r="B1" s="175"/>
      <c r="D1" s="175"/>
      <c r="F1" s="175"/>
      <c r="G1" s="175"/>
      <c r="I1" s="175"/>
      <c r="J1" s="175"/>
      <c r="K1" s="370" t="s">
        <v>0</v>
      </c>
      <c r="L1" s="175"/>
      <c r="M1" s="175"/>
      <c r="O1" s="175"/>
      <c r="Q1" s="175"/>
      <c r="R1" s="175"/>
      <c r="U1" s="175"/>
      <c r="V1" s="175"/>
      <c r="Y1" s="175"/>
      <c r="AA1" s="175"/>
      <c r="AB1" s="175"/>
      <c r="AC1" s="175"/>
      <c r="AD1" s="175"/>
      <c r="AE1" s="175"/>
      <c r="AF1" s="175"/>
      <c r="AH1" s="175"/>
      <c r="AJ1" s="175"/>
      <c r="AK1" s="175"/>
      <c r="AM1" s="210"/>
      <c r="AN1" s="178"/>
      <c r="AO1" s="178"/>
    </row>
    <row r="2" customFormat="false" ht="14.1" hidden="false" customHeight="true" outlineLevel="0" collapsed="false">
      <c r="A2" s="178" t="s">
        <v>1</v>
      </c>
      <c r="B2" s="175"/>
      <c r="D2" s="179" t="n">
        <v>1.9835</v>
      </c>
      <c r="F2" s="175"/>
      <c r="G2" s="175"/>
      <c r="I2" s="175"/>
      <c r="J2" s="175"/>
      <c r="K2" s="370" t="s">
        <v>121</v>
      </c>
      <c r="L2" s="180"/>
      <c r="M2" s="312"/>
      <c r="N2" s="310"/>
      <c r="O2" s="312"/>
      <c r="P2" s="310"/>
      <c r="Q2" s="312"/>
      <c r="R2" s="312"/>
      <c r="S2" s="371"/>
      <c r="T2" s="310"/>
      <c r="U2" s="312"/>
      <c r="V2" s="312"/>
      <c r="W2" s="80"/>
      <c r="X2" s="80"/>
      <c r="Y2" s="312"/>
      <c r="Z2" s="80"/>
      <c r="AA2" s="312"/>
      <c r="AB2" s="312"/>
      <c r="AC2" s="312"/>
      <c r="AD2" s="175"/>
      <c r="AE2" s="175"/>
      <c r="AF2" s="175"/>
      <c r="AH2" s="175"/>
      <c r="AJ2" s="175"/>
      <c r="AK2" s="175"/>
      <c r="AM2" s="210"/>
      <c r="AN2" s="178"/>
      <c r="AO2" s="178"/>
    </row>
    <row r="3" customFormat="false" ht="14.1" hidden="false" customHeight="true" outlineLevel="0" collapsed="false">
      <c r="A3" s="175"/>
      <c r="B3" s="175"/>
      <c r="D3" s="372"/>
      <c r="F3" s="175"/>
      <c r="G3" s="175"/>
      <c r="I3" s="175"/>
      <c r="J3" s="175"/>
      <c r="K3" s="175"/>
      <c r="L3" s="175"/>
      <c r="M3" s="175"/>
      <c r="O3" s="175"/>
      <c r="Q3" s="175"/>
      <c r="R3" s="175"/>
      <c r="U3" s="175"/>
      <c r="V3" s="175"/>
      <c r="Y3" s="175"/>
      <c r="AA3" s="175"/>
      <c r="AB3" s="175"/>
      <c r="AC3" s="175"/>
      <c r="AD3" s="175"/>
      <c r="AE3" s="175"/>
      <c r="AF3" s="175"/>
      <c r="AH3" s="175"/>
      <c r="AJ3" s="175"/>
      <c r="AK3" s="175"/>
      <c r="AM3" s="210"/>
      <c r="AN3" s="187"/>
      <c r="AO3" s="187"/>
    </row>
    <row r="4" s="166" customFormat="true" ht="14.1" hidden="false" customHeight="true" outlineLevel="0" collapsed="false">
      <c r="A4" s="373"/>
      <c r="B4" s="374"/>
      <c r="C4" s="375"/>
      <c r="D4" s="376" t="s">
        <v>3</v>
      </c>
      <c r="E4" s="375"/>
      <c r="F4" s="373"/>
      <c r="G4" s="374"/>
      <c r="H4" s="377"/>
      <c r="I4" s="373"/>
      <c r="J4" s="373"/>
      <c r="K4" s="373"/>
      <c r="L4" s="373"/>
      <c r="M4" s="373"/>
      <c r="N4" s="378"/>
      <c r="O4" s="373"/>
      <c r="P4" s="378"/>
      <c r="Q4" s="373"/>
      <c r="R4" s="373"/>
      <c r="S4" s="379"/>
      <c r="T4" s="378"/>
      <c r="U4" s="380" t="s">
        <v>4</v>
      </c>
      <c r="V4" s="373"/>
      <c r="W4" s="375"/>
      <c r="X4" s="375"/>
      <c r="Y4" s="373"/>
      <c r="Z4" s="375"/>
      <c r="AA4" s="373"/>
      <c r="AB4" s="373"/>
      <c r="AC4" s="373"/>
      <c r="AD4" s="373"/>
      <c r="AE4" s="373"/>
      <c r="AF4" s="373"/>
      <c r="AG4" s="381"/>
      <c r="AH4" s="373"/>
      <c r="AI4" s="382"/>
      <c r="AJ4" s="373"/>
      <c r="AK4" s="373"/>
      <c r="AL4" s="378"/>
      <c r="AM4" s="41"/>
      <c r="AN4" s="30"/>
      <c r="AO4" s="383" t="s">
        <v>5</v>
      </c>
      <c r="AP4" s="45"/>
      <c r="AQ4" s="45"/>
      <c r="AR4" s="46"/>
      <c r="AS4" s="382"/>
      <c r="AT4" s="382"/>
      <c r="AU4" s="384"/>
      <c r="AV4" s="385" t="s">
        <v>6</v>
      </c>
      <c r="AW4" s="386"/>
      <c r="AX4" s="387"/>
      <c r="AY4" s="388"/>
    </row>
    <row r="5" customFormat="false" ht="12.95" hidden="false" customHeight="true" outlineLevel="0" collapsed="false">
      <c r="A5" s="308" t="s">
        <v>7</v>
      </c>
      <c r="B5" s="389" t="s">
        <v>8</v>
      </c>
      <c r="C5" s="390" t="s">
        <v>8</v>
      </c>
      <c r="D5" s="308" t="s">
        <v>9</v>
      </c>
      <c r="E5" s="390" t="s">
        <v>10</v>
      </c>
      <c r="F5" s="308" t="s">
        <v>11</v>
      </c>
      <c r="G5" s="391" t="s">
        <v>12</v>
      </c>
      <c r="H5" s="392" t="s">
        <v>13</v>
      </c>
      <c r="I5" s="393" t="s">
        <v>14</v>
      </c>
      <c r="J5" s="393" t="s">
        <v>15</v>
      </c>
      <c r="K5" s="393" t="s">
        <v>16</v>
      </c>
      <c r="L5" s="308" t="s">
        <v>15</v>
      </c>
      <c r="M5" s="394" t="s">
        <v>17</v>
      </c>
      <c r="N5" s="394"/>
      <c r="O5" s="394"/>
      <c r="P5" s="394"/>
      <c r="Q5" s="394"/>
      <c r="R5" s="394"/>
      <c r="S5" s="394"/>
      <c r="T5" s="394"/>
      <c r="U5" s="308" t="s">
        <v>18</v>
      </c>
      <c r="V5" s="308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390" t="s">
        <v>21</v>
      </c>
      <c r="AC5" s="390" t="s">
        <v>20</v>
      </c>
      <c r="AD5" s="308" t="s">
        <v>22</v>
      </c>
      <c r="AE5" s="395" t="s">
        <v>122</v>
      </c>
      <c r="AF5" s="396"/>
      <c r="AG5" s="397" t="s">
        <v>24</v>
      </c>
      <c r="AH5" s="390" t="s">
        <v>123</v>
      </c>
      <c r="AI5" s="398" t="s">
        <v>26</v>
      </c>
      <c r="AJ5" s="308" t="s">
        <v>14</v>
      </c>
      <c r="AK5" s="308" t="s">
        <v>15</v>
      </c>
      <c r="AL5" s="308" t="s">
        <v>16</v>
      </c>
      <c r="AM5" s="64" t="s">
        <v>27</v>
      </c>
      <c r="AN5" s="59" t="s">
        <v>20</v>
      </c>
      <c r="AO5" s="65" t="s">
        <v>28</v>
      </c>
      <c r="AP5" s="65" t="s">
        <v>28</v>
      </c>
      <c r="AQ5" s="65" t="s">
        <v>29</v>
      </c>
      <c r="AR5" s="66" t="s">
        <v>30</v>
      </c>
      <c r="AS5" s="398" t="s">
        <v>31</v>
      </c>
      <c r="AT5" s="195" t="s">
        <v>32</v>
      </c>
      <c r="AU5" s="399" t="s">
        <v>33</v>
      </c>
      <c r="AV5" s="397" t="s">
        <v>34</v>
      </c>
      <c r="AW5" s="397" t="s">
        <v>35</v>
      </c>
      <c r="AX5" s="259"/>
      <c r="AY5" s="70" t="s">
        <v>16</v>
      </c>
    </row>
    <row r="6" customFormat="false" ht="12.95" hidden="false" customHeight="true" outlineLevel="0" collapsed="false">
      <c r="A6" s="400" t="s">
        <v>124</v>
      </c>
      <c r="B6" s="389" t="s">
        <v>37</v>
      </c>
      <c r="C6" s="390"/>
      <c r="D6" s="308" t="s">
        <v>38</v>
      </c>
      <c r="E6" s="390" t="s">
        <v>39</v>
      </c>
      <c r="F6" s="308" t="s">
        <v>40</v>
      </c>
      <c r="G6" s="391" t="s">
        <v>41</v>
      </c>
      <c r="H6" s="392" t="s">
        <v>42</v>
      </c>
      <c r="I6" s="393" t="s">
        <v>43</v>
      </c>
      <c r="J6" s="393" t="s">
        <v>43</v>
      </c>
      <c r="K6" s="393" t="s">
        <v>43</v>
      </c>
      <c r="L6" s="308" t="s">
        <v>44</v>
      </c>
      <c r="M6" s="401" t="s">
        <v>45</v>
      </c>
      <c r="N6" s="67" t="s">
        <v>46</v>
      </c>
      <c r="O6" s="308" t="s">
        <v>47</v>
      </c>
      <c r="P6" s="67" t="s">
        <v>48</v>
      </c>
      <c r="Q6" s="308" t="s">
        <v>49</v>
      </c>
      <c r="R6" s="308" t="s">
        <v>50</v>
      </c>
      <c r="S6" s="402" t="s">
        <v>51</v>
      </c>
      <c r="T6" s="403" t="s">
        <v>52</v>
      </c>
      <c r="U6" s="308" t="s">
        <v>53</v>
      </c>
      <c r="V6" s="308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390" t="s">
        <v>57</v>
      </c>
      <c r="AC6" s="390" t="s">
        <v>58</v>
      </c>
      <c r="AD6" s="308" t="s">
        <v>59</v>
      </c>
      <c r="AE6" s="401"/>
      <c r="AF6" s="404"/>
      <c r="AG6" s="397" t="s">
        <v>62</v>
      </c>
      <c r="AH6" s="390" t="s">
        <v>63</v>
      </c>
      <c r="AI6" s="398"/>
      <c r="AJ6" s="308" t="s">
        <v>64</v>
      </c>
      <c r="AK6" s="308" t="s">
        <v>64</v>
      </c>
      <c r="AL6" s="308" t="s">
        <v>64</v>
      </c>
      <c r="AM6" s="64" t="s">
        <v>65</v>
      </c>
      <c r="AN6" s="59" t="s">
        <v>66</v>
      </c>
      <c r="AO6" s="65" t="s">
        <v>67</v>
      </c>
      <c r="AP6" s="65" t="s">
        <v>67</v>
      </c>
      <c r="AQ6" s="65" t="s">
        <v>68</v>
      </c>
      <c r="AR6" s="66" t="s">
        <v>69</v>
      </c>
      <c r="AS6" s="398" t="s">
        <v>70</v>
      </c>
      <c r="AT6" s="195" t="s">
        <v>71</v>
      </c>
      <c r="AU6" s="405"/>
      <c r="AV6" s="397" t="s">
        <v>72</v>
      </c>
      <c r="AW6" s="397" t="s">
        <v>72</v>
      </c>
      <c r="AX6" s="259"/>
      <c r="AY6" s="70" t="s">
        <v>73</v>
      </c>
    </row>
    <row r="7" customFormat="false" ht="12.95" hidden="false" customHeight="true" outlineLevel="0" collapsed="false">
      <c r="A7" s="308"/>
      <c r="B7" s="389"/>
      <c r="C7" s="390"/>
      <c r="D7" s="308"/>
      <c r="E7" s="390"/>
      <c r="F7" s="308"/>
      <c r="G7" s="389"/>
      <c r="H7" s="398"/>
      <c r="I7" s="308"/>
      <c r="J7" s="308"/>
      <c r="K7" s="308"/>
      <c r="L7" s="404"/>
      <c r="M7" s="308"/>
      <c r="N7" s="67" t="s">
        <v>74</v>
      </c>
      <c r="O7" s="308" t="s">
        <v>75</v>
      </c>
      <c r="P7" s="67"/>
      <c r="Q7" s="308"/>
      <c r="R7" s="308"/>
      <c r="S7" s="402" t="s">
        <v>47</v>
      </c>
      <c r="T7" s="403" t="s">
        <v>26</v>
      </c>
      <c r="U7" s="308"/>
      <c r="V7" s="308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390"/>
      <c r="AC7" s="390"/>
      <c r="AD7" s="308"/>
      <c r="AE7" s="406"/>
      <c r="AF7" s="407"/>
      <c r="AG7" s="397"/>
      <c r="AH7" s="390"/>
      <c r="AI7" s="398"/>
      <c r="AJ7" s="308"/>
      <c r="AK7" s="308"/>
      <c r="AL7" s="308"/>
      <c r="AM7" s="64"/>
      <c r="AN7" s="59" t="s">
        <v>40</v>
      </c>
      <c r="AO7" s="65" t="s">
        <v>81</v>
      </c>
      <c r="AP7" s="65" t="s">
        <v>82</v>
      </c>
      <c r="AQ7" s="65" t="s">
        <v>83</v>
      </c>
      <c r="AR7" s="66" t="s">
        <v>84</v>
      </c>
      <c r="AS7" s="398" t="s">
        <v>85</v>
      </c>
      <c r="AT7" s="195" t="s">
        <v>86</v>
      </c>
      <c r="AU7" s="405"/>
      <c r="AV7" s="397"/>
      <c r="AW7" s="397"/>
      <c r="AX7" s="259"/>
      <c r="AY7" s="70" t="s">
        <v>87</v>
      </c>
    </row>
    <row r="8" customFormat="false" ht="12.95" hidden="false" customHeight="true" outlineLevel="0" collapsed="false">
      <c r="A8" s="308"/>
      <c r="B8" s="389"/>
      <c r="C8" s="390"/>
      <c r="D8" s="308"/>
      <c r="E8" s="390"/>
      <c r="F8" s="308"/>
      <c r="G8" s="389"/>
      <c r="H8" s="398"/>
      <c r="I8" s="308"/>
      <c r="J8" s="308"/>
      <c r="K8" s="308"/>
      <c r="L8" s="404"/>
      <c r="M8" s="308"/>
      <c r="N8" s="67"/>
      <c r="O8" s="308"/>
      <c r="P8" s="67"/>
      <c r="Q8" s="308"/>
      <c r="R8" s="308"/>
      <c r="S8" s="402"/>
      <c r="T8" s="403"/>
      <c r="U8" s="308"/>
      <c r="V8" s="308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390"/>
      <c r="AC8" s="390"/>
      <c r="AD8" s="308"/>
      <c r="AE8" s="406"/>
      <c r="AF8" s="407"/>
      <c r="AG8" s="397"/>
      <c r="AH8" s="390"/>
      <c r="AI8" s="398"/>
      <c r="AJ8" s="308"/>
      <c r="AK8" s="308"/>
      <c r="AL8" s="308"/>
      <c r="AM8" s="64"/>
      <c r="AN8" s="59"/>
      <c r="AO8" s="65"/>
      <c r="AP8" s="65"/>
      <c r="AQ8" s="65"/>
      <c r="AR8" s="66"/>
      <c r="AS8" s="398"/>
      <c r="AT8" s="195"/>
      <c r="AU8" s="405"/>
      <c r="AV8" s="397"/>
      <c r="AW8" s="397"/>
      <c r="AX8" s="259"/>
      <c r="AY8" s="70"/>
    </row>
    <row r="9" customFormat="false" ht="12.95" hidden="false" customHeight="true" outlineLevel="0" collapsed="false">
      <c r="A9" s="308"/>
      <c r="B9" s="389"/>
      <c r="C9" s="390"/>
      <c r="D9" s="308"/>
      <c r="E9" s="390"/>
      <c r="F9" s="308"/>
      <c r="G9" s="389"/>
      <c r="H9" s="398"/>
      <c r="I9" s="308"/>
      <c r="J9" s="308"/>
      <c r="K9" s="308"/>
      <c r="L9" s="404"/>
      <c r="M9" s="308"/>
      <c r="N9" s="67"/>
      <c r="O9" s="308"/>
      <c r="P9" s="67"/>
      <c r="Q9" s="308"/>
      <c r="R9" s="308"/>
      <c r="S9" s="402"/>
      <c r="T9" s="403"/>
      <c r="U9" s="308"/>
      <c r="V9" s="308"/>
      <c r="W9" s="63"/>
      <c r="X9" s="55" t="s">
        <v>88</v>
      </c>
      <c r="Y9" s="59"/>
      <c r="Z9" s="55" t="s">
        <v>88</v>
      </c>
      <c r="AA9" s="59" t="s">
        <v>91</v>
      </c>
      <c r="AB9" s="390"/>
      <c r="AC9" s="390"/>
      <c r="AD9" s="308"/>
      <c r="AE9" s="406"/>
      <c r="AF9" s="407"/>
      <c r="AG9" s="397"/>
      <c r="AH9" s="390"/>
      <c r="AI9" s="398"/>
      <c r="AJ9" s="308"/>
      <c r="AK9" s="308"/>
      <c r="AL9" s="308"/>
      <c r="AM9" s="64"/>
      <c r="AN9" s="59"/>
      <c r="AO9" s="65"/>
      <c r="AP9" s="65"/>
      <c r="AQ9" s="65"/>
      <c r="AR9" s="66"/>
      <c r="AS9" s="398"/>
      <c r="AT9" s="195"/>
      <c r="AU9" s="405"/>
      <c r="AV9" s="397"/>
      <c r="AW9" s="397"/>
      <c r="AX9" s="259"/>
      <c r="AY9" s="70"/>
    </row>
    <row r="10" customFormat="false" ht="12.95" hidden="false" customHeight="true" outlineLevel="0" collapsed="false">
      <c r="A10" s="308"/>
      <c r="B10" s="389"/>
      <c r="C10" s="390" t="s">
        <v>9</v>
      </c>
      <c r="D10" s="308"/>
      <c r="E10" s="390" t="s">
        <v>93</v>
      </c>
      <c r="F10" s="308"/>
      <c r="G10" s="389" t="s">
        <v>40</v>
      </c>
      <c r="H10" s="398" t="s">
        <v>40</v>
      </c>
      <c r="I10" s="398" t="s">
        <v>40</v>
      </c>
      <c r="J10" s="398" t="s">
        <v>40</v>
      </c>
      <c r="K10" s="398" t="s">
        <v>40</v>
      </c>
      <c r="L10" s="408" t="s">
        <v>40</v>
      </c>
      <c r="M10" s="398" t="s">
        <v>40</v>
      </c>
      <c r="N10" s="398" t="s">
        <v>40</v>
      </c>
      <c r="O10" s="398" t="s">
        <v>40</v>
      </c>
      <c r="P10" s="398" t="s">
        <v>40</v>
      </c>
      <c r="Q10" s="398" t="s">
        <v>40</v>
      </c>
      <c r="R10" s="398" t="s">
        <v>40</v>
      </c>
      <c r="S10" s="402" t="s">
        <v>61</v>
      </c>
      <c r="T10" s="408" t="s">
        <v>40</v>
      </c>
      <c r="U10" s="398" t="s">
        <v>40</v>
      </c>
      <c r="V10" s="398" t="s">
        <v>40</v>
      </c>
      <c r="W10" s="55" t="n">
        <v>153400</v>
      </c>
      <c r="X10" s="55" t="n">
        <v>150400</v>
      </c>
      <c r="Y10" s="56" t="s">
        <v>40</v>
      </c>
      <c r="Z10" s="55"/>
      <c r="AA10" s="55" t="n">
        <v>72000</v>
      </c>
      <c r="AB10" s="398" t="s">
        <v>40</v>
      </c>
      <c r="AC10" s="398" t="s">
        <v>40</v>
      </c>
      <c r="AD10" s="398" t="s">
        <v>40</v>
      </c>
      <c r="AE10" s="409" t="s">
        <v>40</v>
      </c>
      <c r="AF10" s="408" t="s">
        <v>40</v>
      </c>
      <c r="AG10" s="398" t="s">
        <v>40</v>
      </c>
      <c r="AH10" s="398" t="s">
        <v>40</v>
      </c>
      <c r="AI10" s="398" t="s">
        <v>40</v>
      </c>
      <c r="AJ10" s="398" t="s">
        <v>40</v>
      </c>
      <c r="AK10" s="398" t="s">
        <v>40</v>
      </c>
      <c r="AL10" s="398" t="s">
        <v>40</v>
      </c>
      <c r="AM10" s="64" t="s">
        <v>93</v>
      </c>
      <c r="AN10" s="59" t="s">
        <v>40</v>
      </c>
      <c r="AO10" s="59" t="s">
        <v>40</v>
      </c>
      <c r="AP10" s="65" t="s">
        <v>94</v>
      </c>
      <c r="AQ10" s="65" t="s">
        <v>40</v>
      </c>
      <c r="AR10" s="59" t="s">
        <v>40</v>
      </c>
      <c r="AS10" s="59" t="s">
        <v>40</v>
      </c>
      <c r="AT10" s="59" t="s">
        <v>40</v>
      </c>
      <c r="AU10" s="405"/>
      <c r="AV10" s="397"/>
      <c r="AW10" s="397"/>
      <c r="AX10" s="259"/>
      <c r="AY10" s="70" t="s">
        <v>95</v>
      </c>
    </row>
    <row r="11" customFormat="false" ht="12.95" hidden="false" customHeight="true" outlineLevel="0" collapsed="false">
      <c r="A11" s="308"/>
      <c r="B11" s="389"/>
      <c r="C11" s="390"/>
      <c r="D11" s="308"/>
      <c r="E11" s="390"/>
      <c r="F11" s="308"/>
      <c r="G11" s="389"/>
      <c r="H11" s="398"/>
      <c r="I11" s="308"/>
      <c r="J11" s="308"/>
      <c r="K11" s="308"/>
      <c r="L11" s="308"/>
      <c r="M11" s="401"/>
      <c r="N11" s="67" t="n">
        <v>1.03</v>
      </c>
      <c r="O11" s="402" t="n">
        <v>1.05</v>
      </c>
      <c r="P11" s="67" t="n">
        <v>1.02</v>
      </c>
      <c r="Q11" s="402" t="n">
        <v>1.02</v>
      </c>
      <c r="R11" s="402" t="n">
        <v>1.04</v>
      </c>
      <c r="S11" s="402" t="s">
        <v>40</v>
      </c>
      <c r="T11" s="403"/>
      <c r="U11" s="308"/>
      <c r="V11" s="308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390"/>
      <c r="AC11" s="390"/>
      <c r="AD11" s="308"/>
      <c r="AE11" s="406"/>
      <c r="AF11" s="407"/>
      <c r="AG11" s="397"/>
      <c r="AH11" s="390"/>
      <c r="AI11" s="398"/>
      <c r="AJ11" s="308"/>
      <c r="AK11" s="308"/>
      <c r="AL11" s="308"/>
      <c r="AM11" s="64"/>
      <c r="AN11" s="59"/>
      <c r="AO11" s="65"/>
      <c r="AP11" s="65"/>
      <c r="AQ11" s="65"/>
      <c r="AR11" s="83"/>
      <c r="AU11" s="405"/>
      <c r="AV11" s="397"/>
      <c r="AW11" s="397"/>
      <c r="AX11" s="259"/>
      <c r="AY11" s="70" t="s">
        <v>40</v>
      </c>
    </row>
    <row r="12" customFormat="false" ht="12.95" hidden="false" customHeight="true" outlineLevel="0" collapsed="false">
      <c r="A12" s="178" t="s">
        <v>97</v>
      </c>
      <c r="B12" s="198"/>
      <c r="C12" s="102"/>
      <c r="D12" s="102"/>
      <c r="E12" s="102"/>
      <c r="F12" s="102" t="n">
        <f aca="false">APR!F49</f>
        <v>37157.5497857323</v>
      </c>
      <c r="G12" s="352" t="n">
        <f aca="false">APR!G49</f>
        <v>25576</v>
      </c>
      <c r="H12" s="130" t="n">
        <f aca="false">APR!H49</f>
        <v>3872</v>
      </c>
      <c r="I12" s="102" t="n">
        <f aca="false">APR!I49</f>
        <v>29448</v>
      </c>
      <c r="J12" s="102" t="n">
        <f aca="false">APR!J49</f>
        <v>11504.7929669776</v>
      </c>
      <c r="K12" s="102" t="n">
        <f aca="false">APR!K49</f>
        <v>40952.7929669776</v>
      </c>
      <c r="L12" s="102" t="n">
        <f aca="false">APR!L49</f>
        <v>11495.3497857323</v>
      </c>
      <c r="M12" s="201" t="n">
        <f aca="false">APR!M49</f>
        <v>2267.9</v>
      </c>
      <c r="N12" s="130" t="n">
        <f aca="false">APR!N49</f>
        <v>56.54391</v>
      </c>
      <c r="O12" s="102" t="n">
        <f aca="false">APR!O49</f>
        <v>1557.8115</v>
      </c>
      <c r="P12" s="149" t="n">
        <f aca="false">APR!P49</f>
        <v>0</v>
      </c>
      <c r="Q12" s="102"/>
      <c r="R12" s="102"/>
      <c r="S12" s="283"/>
      <c r="T12" s="202"/>
      <c r="U12" s="102" t="n">
        <f aca="false">APR!U49</f>
        <v>397</v>
      </c>
      <c r="V12" s="102" t="n">
        <f aca="false">APR!V49</f>
        <v>12.2</v>
      </c>
      <c r="W12" s="102" t="n">
        <f aca="false">APR!W49</f>
        <v>946.60989</v>
      </c>
      <c r="X12" s="102" t="n">
        <f aca="false">APR!X49</f>
        <v>946.60989</v>
      </c>
      <c r="Y12" s="102" t="n">
        <f aca="false">APR!Y44</f>
        <v>15232.03366</v>
      </c>
      <c r="Z12" s="102"/>
      <c r="AA12" s="102" t="n">
        <f aca="false">APR!AA44</f>
        <v>31449.668981425</v>
      </c>
      <c r="AB12" s="102" t="n">
        <f aca="false">APR!AB44</f>
        <v>1676.96752728694</v>
      </c>
      <c r="AC12" s="102"/>
      <c r="AD12" s="102" t="n">
        <f aca="false">APR!AD49</f>
        <v>179.7</v>
      </c>
      <c r="AE12" s="201" t="n">
        <f aca="false">APR!AE49</f>
        <v>51</v>
      </c>
      <c r="AF12" s="203" t="n">
        <f aca="false">APR!AF49</f>
        <v>39</v>
      </c>
      <c r="AG12" s="200"/>
      <c r="AH12" s="102"/>
      <c r="AI12" s="130" t="n">
        <f aca="false">APR!AI49</f>
        <v>0</v>
      </c>
      <c r="AJ12" s="102" t="n">
        <f aca="false">APR!AJ49</f>
        <v>3785.8</v>
      </c>
      <c r="AK12" s="102" t="n">
        <f aca="false">APR!AK49</f>
        <v>9.44318124527351</v>
      </c>
      <c r="AL12" s="102" t="n">
        <f aca="false">APR!AL49</f>
        <v>3795.24318124527</v>
      </c>
      <c r="AM12" s="352"/>
      <c r="AN12" s="200"/>
      <c r="AO12" s="129"/>
      <c r="AP12" s="149" t="n">
        <f aca="false">APR!AP50</f>
        <v>83.7320834304972</v>
      </c>
      <c r="AQ12" s="149"/>
      <c r="AR12" s="102" t="n">
        <f aca="false">APR!AR49</f>
        <v>0</v>
      </c>
      <c r="AU12" s="207"/>
      <c r="AV12" s="200"/>
      <c r="AW12" s="200"/>
      <c r="AX12" s="259"/>
      <c r="AY12" s="410"/>
    </row>
    <row r="13" s="215" customFormat="true" ht="12.95" hidden="false" customHeight="true" outlineLevel="0" collapsed="false">
      <c r="A13" s="210" t="s">
        <v>98</v>
      </c>
      <c r="B13" s="101" t="n">
        <f aca="false">APR!B44</f>
        <v>6910.81</v>
      </c>
      <c r="C13" s="102" t="n">
        <f aca="false">APR!C44</f>
        <v>325237</v>
      </c>
      <c r="D13" s="102" t="n">
        <f aca="false">APR!D53</f>
        <v>65894</v>
      </c>
      <c r="E13" s="102" t="n">
        <f aca="false">APR!E53</f>
        <v>173237</v>
      </c>
      <c r="F13" s="102" t="n">
        <f aca="false">APR!F52</f>
        <v>33221.0738593395</v>
      </c>
      <c r="G13" s="352" t="n">
        <f aca="false">APR!G52</f>
        <v>32279</v>
      </c>
      <c r="H13" s="130" t="n">
        <f aca="false">APR!H52</f>
        <v>4100.59</v>
      </c>
      <c r="I13" s="102" t="n">
        <f aca="false">APR!I52</f>
        <v>36379.59</v>
      </c>
      <c r="J13" s="102" t="n">
        <f aca="false">APR!J52</f>
        <v>13247.1585707083</v>
      </c>
      <c r="K13" s="102" t="n">
        <f aca="false">APR!K52</f>
        <v>49626.7485707083</v>
      </c>
      <c r="L13" s="102" t="n">
        <f aca="false">APR!L52</f>
        <v>12328.7838593396</v>
      </c>
      <c r="M13" s="201" t="n">
        <f aca="false">APR!M52</f>
        <v>2963.3</v>
      </c>
      <c r="N13" s="130" t="n">
        <f aca="false">APR!N52</f>
        <v>56.54391</v>
      </c>
      <c r="O13" s="102" t="n">
        <f aca="false">APR!O52</f>
        <v>1557.8115</v>
      </c>
      <c r="P13" s="149"/>
      <c r="Q13" s="102" t="n">
        <f aca="false">APR!Q52</f>
        <v>295.28592</v>
      </c>
      <c r="R13" s="102" t="n">
        <f aca="false">APR!R52</f>
        <v>448.18</v>
      </c>
      <c r="S13" s="263" t="n">
        <f aca="false">APR!S52</f>
        <v>1.14</v>
      </c>
      <c r="T13" s="411" t="n">
        <f aca="false">APR!T52</f>
        <v>-22.57716</v>
      </c>
      <c r="U13" s="102" t="n">
        <f aca="false">APR!U52</f>
        <v>6788.6</v>
      </c>
      <c r="V13" s="102" t="n">
        <f aca="false">APR!V52</f>
        <v>52.7</v>
      </c>
      <c r="W13" s="102" t="n">
        <f aca="false">APR!W52</f>
        <v>7467.44467</v>
      </c>
      <c r="X13" s="78" t="n">
        <f aca="false">APR!X52</f>
        <v>7426.94467</v>
      </c>
      <c r="Y13" s="102"/>
      <c r="Z13" s="78"/>
      <c r="AA13" s="102"/>
      <c r="AB13" s="102"/>
      <c r="AC13" s="102"/>
      <c r="AD13" s="102"/>
      <c r="AE13" s="201"/>
      <c r="AF13" s="203"/>
      <c r="AG13" s="200" t="n">
        <f aca="false">APR!AG52</f>
        <v>5503</v>
      </c>
      <c r="AH13" s="102" t="n">
        <f aca="false">APR!AH52</f>
        <v>15102.2578774893</v>
      </c>
      <c r="AI13" s="130" t="n">
        <f aca="false">APR!AI52</f>
        <v>0</v>
      </c>
      <c r="AJ13" s="102" t="n">
        <f aca="false">APR!AJ52</f>
        <v>15487.3</v>
      </c>
      <c r="AK13" s="102" t="n">
        <f aca="false">APR!AK52</f>
        <v>918.374711368792</v>
      </c>
      <c r="AL13" s="102" t="n">
        <f aca="false">APR!AL52</f>
        <v>16405.6747113688</v>
      </c>
      <c r="AM13" s="412" t="n">
        <f aca="false">APR!AM53</f>
        <v>13318.4091</v>
      </c>
      <c r="AN13" s="319" t="n">
        <f aca="false">APR!AN52</f>
        <v>40.5</v>
      </c>
      <c r="AO13" s="102"/>
      <c r="AP13" s="149" t="n">
        <f aca="false">APR!AP53</f>
        <v>83.7320834304972</v>
      </c>
      <c r="AQ13" s="149"/>
      <c r="AR13" s="102" t="n">
        <f aca="false">APR!AR52</f>
        <v>0</v>
      </c>
      <c r="AS13" s="169"/>
      <c r="AT13" s="167"/>
      <c r="AU13" s="207" t="n">
        <f aca="false">APR!AU52</f>
        <v>6.38</v>
      </c>
      <c r="AV13" s="200"/>
      <c r="AW13" s="200"/>
      <c r="AX13" s="262"/>
      <c r="AY13" s="413" t="n">
        <f aca="false">APR!AY52</f>
        <v>779.34383</v>
      </c>
    </row>
    <row r="14" customFormat="false" ht="2.25" hidden="false" customHeight="true" outlineLevel="0" collapsed="false">
      <c r="A14" s="216"/>
      <c r="B14" s="217"/>
      <c r="C14" s="218"/>
      <c r="D14" s="219"/>
      <c r="E14" s="218"/>
      <c r="F14" s="219"/>
      <c r="G14" s="237"/>
      <c r="H14" s="225"/>
      <c r="I14" s="219"/>
      <c r="J14" s="219"/>
      <c r="K14" s="219"/>
      <c r="L14" s="219"/>
      <c r="M14" s="222"/>
      <c r="N14" s="223"/>
      <c r="O14" s="219"/>
      <c r="P14" s="223"/>
      <c r="Q14" s="219"/>
      <c r="R14" s="219"/>
      <c r="S14" s="414"/>
      <c r="T14" s="224"/>
      <c r="U14" s="219"/>
      <c r="V14" s="219"/>
      <c r="W14" s="219"/>
      <c r="X14" s="219"/>
      <c r="Y14" s="218"/>
      <c r="Z14" s="219"/>
      <c r="AA14" s="218"/>
      <c r="AB14" s="218"/>
      <c r="AC14" s="218"/>
      <c r="AD14" s="219"/>
      <c r="AE14" s="222"/>
      <c r="AF14" s="226"/>
      <c r="AG14" s="228"/>
      <c r="AH14" s="218"/>
      <c r="AI14" s="225"/>
      <c r="AJ14" s="219"/>
      <c r="AK14" s="219"/>
      <c r="AL14" s="219"/>
      <c r="AM14" s="245"/>
      <c r="AN14" s="228"/>
      <c r="AO14" s="228"/>
      <c r="AP14" s="223"/>
      <c r="AQ14" s="223"/>
      <c r="AR14" s="223"/>
      <c r="AS14" s="225"/>
      <c r="AT14" s="225"/>
      <c r="AU14" s="230"/>
      <c r="AV14" s="228"/>
      <c r="AW14" s="228"/>
      <c r="AX14" s="242"/>
      <c r="AY14" s="303"/>
    </row>
    <row r="15" customFormat="false" ht="12.95" hidden="false" customHeight="true" outlineLevel="0" collapsed="false">
      <c r="A15" s="173" t="n">
        <v>1</v>
      </c>
      <c r="B15" s="101" t="n">
        <v>6911.28</v>
      </c>
      <c r="C15" s="102" t="n">
        <v>327132</v>
      </c>
      <c r="D15" s="200" t="n">
        <f aca="false">C15-C13</f>
        <v>1895</v>
      </c>
      <c r="E15" s="102" t="n">
        <f aca="false">C15-152000</f>
        <v>175132</v>
      </c>
      <c r="F15" s="129" t="n">
        <f aca="false">D15/$D$2</f>
        <v>955.381900680615</v>
      </c>
      <c r="G15" s="1" t="n">
        <v>876</v>
      </c>
      <c r="H15" s="4" t="n">
        <v>45</v>
      </c>
      <c r="I15" s="129" t="n">
        <f aca="false">G15+H15</f>
        <v>921</v>
      </c>
      <c r="J15" s="130" t="n">
        <f aca="false">IF(L15&gt;0,L15,0)</f>
        <v>176.281900680615</v>
      </c>
      <c r="K15" s="129" t="n">
        <f aca="false">I15+J15</f>
        <v>1097.28190068062</v>
      </c>
      <c r="L15" s="129" t="n">
        <f aca="false">F15-(I15-AJ15)</f>
        <v>176.281900680615</v>
      </c>
      <c r="M15" s="233" t="n">
        <v>56</v>
      </c>
      <c r="N15" s="149" t="n">
        <f aca="false">1.8299*1.03</f>
        <v>1.884797</v>
      </c>
      <c r="O15" s="129" t="n">
        <f aca="false">(5.1+4.2)*1.05</f>
        <v>9.765</v>
      </c>
      <c r="P15" s="149" t="n">
        <v>0</v>
      </c>
      <c r="Q15" s="283" t="n">
        <f aca="false">2.217*1.02</f>
        <v>2.26134</v>
      </c>
      <c r="R15" s="283" t="n">
        <v>2.48</v>
      </c>
      <c r="S15" s="126" t="n">
        <v>0</v>
      </c>
      <c r="T15" s="334" t="n">
        <v>0</v>
      </c>
      <c r="U15" s="129" t="n">
        <v>22</v>
      </c>
      <c r="V15" s="129" t="n">
        <v>7.9</v>
      </c>
      <c r="W15" s="129" t="n">
        <f aca="false">M15-N15-O15-P15-Q15-R15-S15-T15+U15+V15-AS15+AQ15</f>
        <v>69.508863</v>
      </c>
      <c r="X15" s="129" t="n">
        <f aca="false">W15-AN15</f>
        <v>69.508863</v>
      </c>
      <c r="Y15" s="102" t="n">
        <f aca="false">Y12+AO15</f>
        <v>15957.524797</v>
      </c>
      <c r="Z15" s="129"/>
      <c r="AA15" s="102" t="n">
        <f aca="false">AA12+(X15+AO15)*1.9835</f>
        <v>33026.551481425</v>
      </c>
      <c r="AB15" s="102" t="n">
        <f aca="false">AB12-(APR!AP44/1.9835)</f>
        <v>1674.05886322914</v>
      </c>
      <c r="AC15" s="102"/>
      <c r="AD15" s="129" t="n">
        <v>0</v>
      </c>
      <c r="AE15" s="233" t="n">
        <v>1.7</v>
      </c>
      <c r="AF15" s="234" t="n">
        <v>1.3</v>
      </c>
      <c r="AG15" s="415" t="n">
        <v>56</v>
      </c>
      <c r="AH15" s="416" t="n">
        <f aca="false">AH13-AG15</f>
        <v>15046.2578774893</v>
      </c>
      <c r="AI15" s="92"/>
      <c r="AJ15" s="128" t="n">
        <f aca="false">N15+O15+P15+Q15+R15+S15+T15+W15+AD15+AG15+AS15-AQ15</f>
        <v>141.9</v>
      </c>
      <c r="AK15" s="129" t="n">
        <f aca="false">IF(L15&lt;0,L15*-1,0)</f>
        <v>0</v>
      </c>
      <c r="AL15" s="129" t="n">
        <f aca="false">AJ15+AK15</f>
        <v>141.9</v>
      </c>
      <c r="AM15" s="352" t="n">
        <f aca="false">AM13</f>
        <v>13318.4091</v>
      </c>
      <c r="AN15" s="200"/>
      <c r="AO15" s="142" t="n">
        <f aca="false">795-W15</f>
        <v>725.491137</v>
      </c>
      <c r="AP15" s="149" t="n">
        <f aca="false">47.3*(Y15*1.9835+AB15*1.9835)/E15</f>
        <v>9.44537403095979</v>
      </c>
      <c r="AQ15" s="149"/>
      <c r="AR15" s="206"/>
      <c r="AS15" s="169"/>
      <c r="AT15" s="166"/>
      <c r="AU15" s="207" t="n">
        <v>0</v>
      </c>
      <c r="AV15" s="200" t="n">
        <v>51</v>
      </c>
      <c r="AW15" s="200" t="n">
        <v>25</v>
      </c>
      <c r="AX15" s="259"/>
      <c r="AY15" s="235" t="n">
        <f aca="false">SUM(N15,P15:T15)</f>
        <v>6.626137</v>
      </c>
    </row>
    <row r="16" customFormat="false" ht="12.95" hidden="false" customHeight="true" outlineLevel="0" collapsed="false">
      <c r="A16" s="173" t="n">
        <f aca="false">A15+1</f>
        <v>2</v>
      </c>
      <c r="B16" s="101" t="n">
        <v>6911.64</v>
      </c>
      <c r="C16" s="102" t="n">
        <v>328588</v>
      </c>
      <c r="D16" s="200" t="n">
        <f aca="false">C16-C15</f>
        <v>1456</v>
      </c>
      <c r="E16" s="102" t="n">
        <f aca="false">C16-152000</f>
        <v>176588</v>
      </c>
      <c r="F16" s="129" t="n">
        <f aca="false">D16/$D$2</f>
        <v>734.055961683892</v>
      </c>
      <c r="G16" s="1" t="n">
        <v>776</v>
      </c>
      <c r="H16" s="4" t="n">
        <v>31</v>
      </c>
      <c r="I16" s="129" t="n">
        <f aca="false">G16+H16</f>
        <v>807</v>
      </c>
      <c r="J16" s="130" t="n">
        <f aca="false">IF(L16&gt;0,L16,0)</f>
        <v>75.955961683892</v>
      </c>
      <c r="K16" s="129" t="n">
        <f aca="false">I16+J16</f>
        <v>882.955961683892</v>
      </c>
      <c r="L16" s="129" t="n">
        <f aca="false">F16-(I16-AJ16)</f>
        <v>75.955961683892</v>
      </c>
      <c r="M16" s="233" t="n">
        <v>56</v>
      </c>
      <c r="N16" s="149" t="n">
        <f aca="false">1.8299*1.03</f>
        <v>1.884797</v>
      </c>
      <c r="O16" s="129" t="n">
        <f aca="false">(3.5+3.6)*1.05</f>
        <v>7.455</v>
      </c>
      <c r="P16" s="149" t="n">
        <v>0</v>
      </c>
      <c r="Q16" s="283" t="n">
        <f aca="false">2.217*1.02</f>
        <v>2.26134</v>
      </c>
      <c r="R16" s="283" t="n">
        <v>2.61</v>
      </c>
      <c r="S16" s="126" t="n">
        <v>0</v>
      </c>
      <c r="T16" s="334" t="n">
        <v>0</v>
      </c>
      <c r="U16" s="129" t="n">
        <v>22</v>
      </c>
      <c r="V16" s="129" t="n">
        <v>7.9</v>
      </c>
      <c r="W16" s="129" t="n">
        <f aca="false">M16-N16-O16-P16-Q16-R16-S16-T16+U16+V16-AS16+AQ16</f>
        <v>71.688863</v>
      </c>
      <c r="X16" s="129" t="n">
        <f aca="false">W16-AN16</f>
        <v>71.688863</v>
      </c>
      <c r="Y16" s="102" t="n">
        <f aca="false">Y15+AO16</f>
        <v>16680.835934</v>
      </c>
      <c r="Z16" s="129"/>
      <c r="AA16" s="102" t="n">
        <f aca="false">AA15+(X16+AO16)*1.9835</f>
        <v>34603.433981425</v>
      </c>
      <c r="AB16" s="102" t="n">
        <f aca="false">AB15-(AP15/1.9835)</f>
        <v>1669.29688993398</v>
      </c>
      <c r="AC16" s="102"/>
      <c r="AD16" s="129" t="n">
        <v>0</v>
      </c>
      <c r="AE16" s="233" t="n">
        <v>1.7</v>
      </c>
      <c r="AF16" s="234" t="n">
        <v>1.3</v>
      </c>
      <c r="AG16" s="415" t="n">
        <v>63</v>
      </c>
      <c r="AH16" s="416" t="n">
        <f aca="false">AH15-AG16</f>
        <v>14983.2578774893</v>
      </c>
      <c r="AI16" s="92"/>
      <c r="AJ16" s="128" t="n">
        <f aca="false">N16+O16+P16+Q16+R16+S16+T16+W16+AD16+AG16+AS16-AQ16</f>
        <v>148.9</v>
      </c>
      <c r="AK16" s="129" t="n">
        <f aca="false">IF(L16&lt;0,L16*-1,0)</f>
        <v>0</v>
      </c>
      <c r="AL16" s="129" t="n">
        <f aca="false">AJ16+AK16</f>
        <v>148.9</v>
      </c>
      <c r="AM16" s="352" t="n">
        <f aca="false">AM15</f>
        <v>13318.4091</v>
      </c>
      <c r="AN16" s="200"/>
      <c r="AO16" s="142" t="n">
        <f aca="false">795-W16</f>
        <v>723.311137</v>
      </c>
      <c r="AP16" s="149" t="n">
        <f aca="false">47.3*(Y16*1.9835+AB16*1.9835)/E16</f>
        <v>9.74925365246627</v>
      </c>
      <c r="AQ16" s="149"/>
      <c r="AR16" s="206"/>
      <c r="AS16" s="169"/>
      <c r="AT16" s="166"/>
      <c r="AU16" s="207" t="n">
        <v>0.03</v>
      </c>
      <c r="AV16" s="200" t="n">
        <v>45</v>
      </c>
      <c r="AW16" s="200" t="n">
        <v>28</v>
      </c>
      <c r="AX16" s="259"/>
      <c r="AY16" s="235" t="n">
        <f aca="false">SUM(N16,P16:T16)</f>
        <v>6.756137</v>
      </c>
    </row>
    <row r="17" customFormat="false" ht="12.95" hidden="false" customHeight="true" outlineLevel="0" collapsed="false">
      <c r="A17" s="173" t="n">
        <f aca="false">A16+1</f>
        <v>3</v>
      </c>
      <c r="B17" s="101" t="n">
        <v>6911.92</v>
      </c>
      <c r="C17" s="102" t="n">
        <v>329721</v>
      </c>
      <c r="D17" s="200" t="n">
        <f aca="false">C17-C16</f>
        <v>1133</v>
      </c>
      <c r="E17" s="102" t="n">
        <f aca="false">C17-152000</f>
        <v>177721</v>
      </c>
      <c r="F17" s="129" t="n">
        <f aca="false">D17/$D$2</f>
        <v>571.212503150996</v>
      </c>
      <c r="G17" s="1" t="n">
        <v>646</v>
      </c>
      <c r="H17" s="4" t="n">
        <v>15</v>
      </c>
      <c r="I17" s="129" t="n">
        <f aca="false">G17+H17</f>
        <v>661</v>
      </c>
      <c r="J17" s="130" t="n">
        <f aca="false">IF(L17&gt;0,L17,0)</f>
        <v>104.312503150996</v>
      </c>
      <c r="K17" s="129" t="n">
        <f aca="false">I17+J17</f>
        <v>765.312503150996</v>
      </c>
      <c r="L17" s="129" t="n">
        <f aca="false">F17-(I17-AJ17)</f>
        <v>104.312503150996</v>
      </c>
      <c r="M17" s="233" t="n">
        <v>71</v>
      </c>
      <c r="N17" s="149" t="n">
        <f aca="false">1.8299*1.03</f>
        <v>1.884797</v>
      </c>
      <c r="O17" s="129" t="n">
        <f aca="false">(3.1+2)*1.05</f>
        <v>5.355</v>
      </c>
      <c r="P17" s="149" t="n">
        <v>0</v>
      </c>
      <c r="Q17" s="283" t="n">
        <f aca="false">2.217*1.02</f>
        <v>2.26134</v>
      </c>
      <c r="R17" s="283" t="n">
        <v>3.09</v>
      </c>
      <c r="S17" s="126" t="n">
        <v>0</v>
      </c>
      <c r="T17" s="334" t="n">
        <v>0</v>
      </c>
      <c r="U17" s="129" t="n">
        <v>22</v>
      </c>
      <c r="V17" s="129" t="n">
        <v>9.1</v>
      </c>
      <c r="W17" s="129" t="n">
        <f aca="false">M17-N17-O17-P17-Q17-R17-S17-T17+U17+V17-AS17+AQ17</f>
        <v>89.508863</v>
      </c>
      <c r="X17" s="129" t="n">
        <f aca="false">W17-AN17</f>
        <v>89.508863</v>
      </c>
      <c r="Y17" s="102" t="n">
        <f aca="false">Y16+AO17</f>
        <v>17245.275731</v>
      </c>
      <c r="Z17" s="129"/>
      <c r="AA17" s="102" t="n">
        <f aca="false">AA16+(X17+AO17)*1.9835</f>
        <v>35900.541148535</v>
      </c>
      <c r="AB17" s="102" t="n">
        <f aca="false">AB16-(AP16/1.9835)</f>
        <v>1664.38171289719</v>
      </c>
      <c r="AC17" s="102"/>
      <c r="AD17" s="129" t="n">
        <v>25</v>
      </c>
      <c r="AE17" s="233" t="n">
        <v>1.7</v>
      </c>
      <c r="AF17" s="234" t="n">
        <v>1.3</v>
      </c>
      <c r="AG17" s="415" t="n">
        <v>67</v>
      </c>
      <c r="AH17" s="416" t="n">
        <f aca="false">AH16-AG17</f>
        <v>14916.2578774893</v>
      </c>
      <c r="AI17" s="92"/>
      <c r="AJ17" s="128" t="n">
        <f aca="false">N17+O17+P17+Q17+R17+S17+T17+W17+AD17+AG17+AS17-AQ17</f>
        <v>194.1</v>
      </c>
      <c r="AK17" s="129" t="n">
        <f aca="false">IF(L17&lt;0,L17*-1,0)</f>
        <v>0</v>
      </c>
      <c r="AL17" s="129" t="n">
        <f aca="false">AJ17+AK17</f>
        <v>194.1</v>
      </c>
      <c r="AM17" s="352" t="n">
        <f aca="false">AM16</f>
        <v>13318.4091</v>
      </c>
      <c r="AN17" s="200"/>
      <c r="AO17" s="142" t="n">
        <f aca="false">I17-Q17-R17-W17-AE17</f>
        <v>564.439797</v>
      </c>
      <c r="AP17" s="149" t="n">
        <f aca="false">47.3*(Y17*1.9835+AB17*1.9835)/E17</f>
        <v>9.9824756333837</v>
      </c>
      <c r="AQ17" s="149"/>
      <c r="AR17" s="206"/>
      <c r="AS17" s="169"/>
      <c r="AT17" s="166"/>
      <c r="AU17" s="207" t="n">
        <v>0</v>
      </c>
      <c r="AV17" s="200" t="n">
        <v>57</v>
      </c>
      <c r="AW17" s="200" t="n">
        <v>27</v>
      </c>
      <c r="AX17" s="259"/>
      <c r="AY17" s="235" t="n">
        <f aca="false">SUM(N17,P17:T17)</f>
        <v>7.236137</v>
      </c>
    </row>
    <row r="18" customFormat="false" ht="12.95" hidden="false" customHeight="true" outlineLevel="0" collapsed="false">
      <c r="A18" s="173" t="n">
        <f aca="false">A17+1</f>
        <v>4</v>
      </c>
      <c r="B18" s="101" t="n">
        <v>6912.19</v>
      </c>
      <c r="C18" s="102" t="n">
        <v>330819</v>
      </c>
      <c r="D18" s="200" t="n">
        <f aca="false">C18-C17</f>
        <v>1098</v>
      </c>
      <c r="E18" s="102" t="n">
        <f aca="false">C18-152000</f>
        <v>178819</v>
      </c>
      <c r="F18" s="129" t="n">
        <f aca="false">D18/$D$2</f>
        <v>553.566927148979</v>
      </c>
      <c r="G18" s="1" t="n">
        <v>684</v>
      </c>
      <c r="H18" s="4" t="n">
        <v>20</v>
      </c>
      <c r="I18" s="129" t="n">
        <f aca="false">G18+H18</f>
        <v>704</v>
      </c>
      <c r="J18" s="130" t="n">
        <f aca="false">IF(L18&gt;0,L18,0)</f>
        <v>86.5669271489791</v>
      </c>
      <c r="K18" s="129" t="n">
        <f aca="false">I18+J18</f>
        <v>790.566927148979</v>
      </c>
      <c r="L18" s="129" t="n">
        <f aca="false">F18-(I18-AJ18)</f>
        <v>86.5669271489791</v>
      </c>
      <c r="M18" s="233" t="n">
        <v>137</v>
      </c>
      <c r="N18" s="149" t="n">
        <f aca="false">1.8299*1.03</f>
        <v>1.884797</v>
      </c>
      <c r="O18" s="129" t="n">
        <f aca="false">(15+15)*1.05</f>
        <v>31.5</v>
      </c>
      <c r="P18" s="149" t="n">
        <v>0</v>
      </c>
      <c r="Q18" s="283" t="n">
        <f aca="false">2.217*1.02</f>
        <v>2.26134</v>
      </c>
      <c r="R18" s="283" t="n">
        <v>4.06</v>
      </c>
      <c r="S18" s="126" t="n">
        <v>0</v>
      </c>
      <c r="T18" s="334" t="n">
        <v>0</v>
      </c>
      <c r="U18" s="129" t="n">
        <v>23</v>
      </c>
      <c r="V18" s="129" t="n">
        <v>10</v>
      </c>
      <c r="W18" s="129" t="n">
        <f aca="false">M18-N18-O18-P18-Q18-R18-S18-T18+U18+V18-AS18+AQ18</f>
        <v>132.293863</v>
      </c>
      <c r="X18" s="129" t="n">
        <f aca="false">W18-AN18</f>
        <v>132.293863</v>
      </c>
      <c r="Y18" s="102" t="n">
        <f aca="false">Y17+AO18</f>
        <v>17808.960528</v>
      </c>
      <c r="Z18" s="129"/>
      <c r="AA18" s="102" t="n">
        <f aca="false">AA17+(X18+AO18)*1.9835</f>
        <v>37281.014820645</v>
      </c>
      <c r="AB18" s="102" t="n">
        <f aca="false">AB17-(AP17/1.9835)</f>
        <v>1659.34895482641</v>
      </c>
      <c r="AC18" s="102"/>
      <c r="AD18" s="129" t="n">
        <v>0</v>
      </c>
      <c r="AE18" s="233" t="n">
        <v>1.7</v>
      </c>
      <c r="AF18" s="234" t="n">
        <v>1.3</v>
      </c>
      <c r="AG18" s="415" t="n">
        <v>67</v>
      </c>
      <c r="AH18" s="416" t="n">
        <f aca="false">AH17-AG18</f>
        <v>14849.2578774893</v>
      </c>
      <c r="AI18" s="92"/>
      <c r="AJ18" s="128" t="n">
        <f aca="false">N18+O18+P18+Q18+R18+S18+T18+W18+AD18+AG18+AS18-AQ18</f>
        <v>237</v>
      </c>
      <c r="AK18" s="129" t="n">
        <f aca="false">IF(L18&lt;0,L18*-1,0)</f>
        <v>0</v>
      </c>
      <c r="AL18" s="129" t="n">
        <f aca="false">AJ18+AK18</f>
        <v>237</v>
      </c>
      <c r="AM18" s="352" t="n">
        <f aca="false">AM17</f>
        <v>13318.4091</v>
      </c>
      <c r="AN18" s="200"/>
      <c r="AO18" s="142" t="n">
        <f aca="false">I18-Q18-R18-W18-AE18</f>
        <v>563.684797</v>
      </c>
      <c r="AP18" s="149" t="n">
        <f aca="false">47.3*(Y18*1.9835+AB18*1.9835)/E18</f>
        <v>10.214283912445</v>
      </c>
      <c r="AQ18" s="149" t="n">
        <v>2</v>
      </c>
      <c r="AR18" s="206"/>
      <c r="AS18" s="169"/>
      <c r="AT18" s="166"/>
      <c r="AU18" s="207" t="n">
        <v>0</v>
      </c>
      <c r="AV18" s="200" t="n">
        <v>68</v>
      </c>
      <c r="AW18" s="200" t="n">
        <v>34</v>
      </c>
      <c r="AX18" s="259"/>
      <c r="AY18" s="235" t="n">
        <f aca="false">SUM(N18,P18:T18)</f>
        <v>8.206137</v>
      </c>
    </row>
    <row r="19" customFormat="false" ht="12.95" hidden="false" customHeight="true" outlineLevel="0" collapsed="false">
      <c r="A19" s="173" t="n">
        <f aca="false">A18+1</f>
        <v>5</v>
      </c>
      <c r="B19" s="101" t="n">
        <v>6912.65</v>
      </c>
      <c r="C19" s="102" t="n">
        <v>332694</v>
      </c>
      <c r="D19" s="200" t="n">
        <f aca="false">C19-C18</f>
        <v>1875</v>
      </c>
      <c r="E19" s="102" t="n">
        <f aca="false">C19-152000</f>
        <v>180694</v>
      </c>
      <c r="F19" s="129" t="n">
        <f aca="false">D19/$D$2</f>
        <v>945.298714393748</v>
      </c>
      <c r="G19" s="1" t="n">
        <v>1020</v>
      </c>
      <c r="H19" s="4" t="n">
        <v>79</v>
      </c>
      <c r="I19" s="129" t="n">
        <f aca="false">G19+H19</f>
        <v>1099</v>
      </c>
      <c r="J19" s="130" t="n">
        <f aca="false">IF(L19&gt;0,L19,0)</f>
        <v>157.498714393748</v>
      </c>
      <c r="K19" s="129" t="n">
        <f aca="false">I19+J19</f>
        <v>1256.49871439375</v>
      </c>
      <c r="L19" s="129" t="n">
        <f aca="false">F19-(I19-AJ19)</f>
        <v>157.498714393748</v>
      </c>
      <c r="M19" s="233" t="n">
        <v>201</v>
      </c>
      <c r="N19" s="149" t="n">
        <f aca="false">1.8299*1.03</f>
        <v>1.884797</v>
      </c>
      <c r="O19" s="129" t="n">
        <f aca="false">(44+44)*1.05</f>
        <v>92.4</v>
      </c>
      <c r="P19" s="149" t="n">
        <v>0</v>
      </c>
      <c r="Q19" s="283" t="n">
        <f aca="false">2.217*1.02</f>
        <v>2.26134</v>
      </c>
      <c r="R19" s="283" t="n">
        <v>4.2</v>
      </c>
      <c r="S19" s="126" t="n">
        <v>0.76</v>
      </c>
      <c r="T19" s="334" t="n">
        <v>0</v>
      </c>
      <c r="U19" s="129" t="n">
        <v>23</v>
      </c>
      <c r="V19" s="129" t="n">
        <v>15</v>
      </c>
      <c r="W19" s="129" t="n">
        <f aca="false">M19-N19-O19-P19-Q19-R19-S19-T19+U19+V19-AS19+AQ19</f>
        <v>140.493863</v>
      </c>
      <c r="X19" s="129" t="n">
        <f aca="false">W19-AN19</f>
        <v>140.493863</v>
      </c>
      <c r="Y19" s="102" t="n">
        <f aca="false">Y18+AO19</f>
        <v>18463.466665</v>
      </c>
      <c r="Z19" s="129"/>
      <c r="AA19" s="102" t="n">
        <f aca="false">AA18+(X19+AO19)*1.9835</f>
        <v>38857.897320645</v>
      </c>
      <c r="AB19" s="102" t="n">
        <f aca="false">AB18-(AP18/1.9835)</f>
        <v>1654.19932845261</v>
      </c>
      <c r="AC19" s="102"/>
      <c r="AD19" s="129" t="n">
        <v>5.2</v>
      </c>
      <c r="AE19" s="233" t="n">
        <v>1.7</v>
      </c>
      <c r="AF19" s="234" t="n">
        <v>1.3</v>
      </c>
      <c r="AG19" s="415" t="n">
        <v>67</v>
      </c>
      <c r="AH19" s="416" t="n">
        <f aca="false">AH18-AG19</f>
        <v>14782.2578774893</v>
      </c>
      <c r="AI19" s="92"/>
      <c r="AJ19" s="128" t="n">
        <f aca="false">N19+O19+P19+Q19+R19+S19+T19+W19+AD19+AG19+AS19-AQ19</f>
        <v>311.2</v>
      </c>
      <c r="AK19" s="129" t="n">
        <f aca="false">IF(L19&lt;0,L19*-1,0)</f>
        <v>0</v>
      </c>
      <c r="AL19" s="129" t="n">
        <f aca="false">AJ19+AK19</f>
        <v>311.2</v>
      </c>
      <c r="AM19" s="352" t="n">
        <f aca="false">AM18</f>
        <v>13318.4091</v>
      </c>
      <c r="AN19" s="200"/>
      <c r="AO19" s="142" t="n">
        <f aca="false">795-W19</f>
        <v>654.506137</v>
      </c>
      <c r="AP19" s="149" t="n">
        <f aca="false">47.3*(Y19*1.9835+AB19*1.9835)/E19</f>
        <v>10.4454512632186</v>
      </c>
      <c r="AQ19" s="149" t="n">
        <v>3</v>
      </c>
      <c r="AR19" s="206"/>
      <c r="AS19" s="0"/>
      <c r="AT19" s="166"/>
      <c r="AU19" s="207" t="n">
        <v>0</v>
      </c>
      <c r="AV19" s="200" t="n">
        <v>70</v>
      </c>
      <c r="AW19" s="200" t="n">
        <v>37</v>
      </c>
      <c r="AX19" s="259"/>
      <c r="AY19" s="235" t="n">
        <f aca="false">SUM(N19,P19:T19)</f>
        <v>9.106137</v>
      </c>
    </row>
    <row r="20" customFormat="false" ht="12.95" hidden="false" customHeight="true" outlineLevel="0" collapsed="false">
      <c r="A20" s="173" t="n">
        <f aca="false">A19+1</f>
        <v>6</v>
      </c>
      <c r="B20" s="101" t="n">
        <v>6913.28</v>
      </c>
      <c r="C20" s="102" t="n">
        <v>335272</v>
      </c>
      <c r="D20" s="200" t="n">
        <f aca="false">C20-C19</f>
        <v>2578</v>
      </c>
      <c r="E20" s="102" t="n">
        <f aca="false">C20-152000</f>
        <v>183272</v>
      </c>
      <c r="F20" s="129" t="n">
        <f aca="false">D20/$D$2</f>
        <v>1299.72271237711</v>
      </c>
      <c r="G20" s="1" t="n">
        <v>1440</v>
      </c>
      <c r="H20" s="4" t="n">
        <v>131</v>
      </c>
      <c r="I20" s="129" t="n">
        <f aca="false">G20+H20</f>
        <v>1571</v>
      </c>
      <c r="J20" s="130" t="n">
        <f aca="false">IF(L20&gt;0,L20,0)</f>
        <v>91.7227123771111</v>
      </c>
      <c r="K20" s="129" t="n">
        <f aca="false">I20+J20</f>
        <v>1662.72271237711</v>
      </c>
      <c r="L20" s="129" t="n">
        <f aca="false">F20-(I20-AJ20)</f>
        <v>91.7227123771111</v>
      </c>
      <c r="M20" s="233" t="n">
        <v>235</v>
      </c>
      <c r="N20" s="149" t="n">
        <f aca="false">1.8299*1.03</f>
        <v>1.884797</v>
      </c>
      <c r="O20" s="129" t="n">
        <f aca="false">(55+54)*1.05</f>
        <v>114.45</v>
      </c>
      <c r="P20" s="149" t="n">
        <v>0</v>
      </c>
      <c r="Q20" s="283" t="n">
        <f aca="false">2.217*1.02</f>
        <v>2.26134</v>
      </c>
      <c r="R20" s="283" t="n">
        <v>4.2</v>
      </c>
      <c r="S20" s="126" t="n">
        <v>0.71</v>
      </c>
      <c r="T20" s="334" t="n">
        <v>0</v>
      </c>
      <c r="U20" s="129" t="n">
        <v>23</v>
      </c>
      <c r="V20" s="129" t="n">
        <v>19</v>
      </c>
      <c r="W20" s="129" t="n">
        <f aca="false">M20-N20-O20-P20-Q20-R20-S20-T20+U20+V20-AS20+AQ20</f>
        <v>157.493863</v>
      </c>
      <c r="X20" s="129" t="n">
        <f aca="false">W20-AN20</f>
        <v>157.493863</v>
      </c>
      <c r="Y20" s="102" t="n">
        <f aca="false">Y19+AO20</f>
        <v>19100.972802</v>
      </c>
      <c r="Z20" s="129"/>
      <c r="AA20" s="102" t="n">
        <f aca="false">AA19+(X20+AO20)*1.9835</f>
        <v>40434.779820645</v>
      </c>
      <c r="AB20" s="102" t="n">
        <f aca="false">AB19-(AP19/1.9835)</f>
        <v>1648.93315690574</v>
      </c>
      <c r="AC20" s="102"/>
      <c r="AD20" s="129" t="n">
        <v>19</v>
      </c>
      <c r="AE20" s="233" t="n">
        <v>1.7</v>
      </c>
      <c r="AF20" s="234" t="n">
        <v>1.3</v>
      </c>
      <c r="AG20" s="415" t="n">
        <v>67</v>
      </c>
      <c r="AH20" s="416" t="n">
        <f aca="false">AH19-AG20</f>
        <v>14715.2578774893</v>
      </c>
      <c r="AI20" s="92"/>
      <c r="AJ20" s="128" t="n">
        <f aca="false">N20+O20+P20+Q20+R20+S20+T20+W20+AD20+AG20+AS20-AQ20</f>
        <v>363</v>
      </c>
      <c r="AK20" s="129" t="n">
        <f aca="false">IF(L20&lt;0,L20*-1,0)</f>
        <v>0</v>
      </c>
      <c r="AL20" s="129" t="n">
        <f aca="false">AJ20+AK20</f>
        <v>363</v>
      </c>
      <c r="AM20" s="352" t="n">
        <f aca="false">AM19</f>
        <v>13318.4091</v>
      </c>
      <c r="AN20" s="200"/>
      <c r="AO20" s="142" t="n">
        <f aca="false">795-W20</f>
        <v>637.506137</v>
      </c>
      <c r="AP20" s="149" t="n">
        <f aca="false">47.3*(Y20*1.9835+AB20*1.9835)/E20</f>
        <v>10.6221727247308</v>
      </c>
      <c r="AQ20" s="149" t="n">
        <v>4</v>
      </c>
      <c r="AR20" s="206"/>
      <c r="AS20" s="0"/>
      <c r="AT20" s="166"/>
      <c r="AU20" s="207" t="n">
        <v>0</v>
      </c>
      <c r="AV20" s="200" t="n">
        <v>69</v>
      </c>
      <c r="AW20" s="200" t="n">
        <v>40</v>
      </c>
      <c r="AX20" s="259"/>
      <c r="AY20" s="235" t="n">
        <f aca="false">SUM(N20,P20:T20)</f>
        <v>9.056137</v>
      </c>
    </row>
    <row r="21" customFormat="false" ht="12.95" hidden="false" customHeight="true" outlineLevel="0" collapsed="false">
      <c r="A21" s="173" t="n">
        <f aca="false">A20+1</f>
        <v>7</v>
      </c>
      <c r="B21" s="101" t="n">
        <v>6913.87</v>
      </c>
      <c r="C21" s="102" t="n">
        <v>337696</v>
      </c>
      <c r="D21" s="200" t="n">
        <f aca="false">C21-C20</f>
        <v>2424</v>
      </c>
      <c r="E21" s="102" t="n">
        <f aca="false">C21-152000</f>
        <v>185696</v>
      </c>
      <c r="F21" s="129" t="n">
        <f aca="false">D21/$D$2</f>
        <v>1222.08217796824</v>
      </c>
      <c r="G21" s="1" t="n">
        <v>1370</v>
      </c>
      <c r="H21" s="4" t="n">
        <v>119</v>
      </c>
      <c r="I21" s="129" t="n">
        <f aca="false">G21+H21</f>
        <v>1489</v>
      </c>
      <c r="J21" s="130" t="n">
        <f aca="false">IF(L21&gt;0,L21,0)</f>
        <v>104.082177968238</v>
      </c>
      <c r="K21" s="129" t="n">
        <f aca="false">I21+J21</f>
        <v>1593.08217796824</v>
      </c>
      <c r="L21" s="129" t="n">
        <f aca="false">F21-(I21-AJ21)</f>
        <v>104.082177968238</v>
      </c>
      <c r="M21" s="233" t="n">
        <v>230</v>
      </c>
      <c r="N21" s="149" t="n">
        <f aca="false">1.8299*1.03</f>
        <v>1.884797</v>
      </c>
      <c r="O21" s="129" t="n">
        <f aca="false">(52+51)*1.05</f>
        <v>108.15</v>
      </c>
      <c r="P21" s="149" t="n">
        <v>0</v>
      </c>
      <c r="Q21" s="283" t="n">
        <f aca="false">2.217*1.02</f>
        <v>2.26134</v>
      </c>
      <c r="R21" s="283" t="n">
        <v>4.2</v>
      </c>
      <c r="S21" s="126" t="n">
        <v>0.39</v>
      </c>
      <c r="T21" s="334" t="n">
        <v>0</v>
      </c>
      <c r="U21" s="129" t="n">
        <v>23</v>
      </c>
      <c r="V21" s="129" t="n">
        <v>34</v>
      </c>
      <c r="W21" s="129" t="n">
        <f aca="false">M21-N21-O21-P21-Q21-R21-S21-T21+U21+V21-AS21+AQ21</f>
        <v>176.113863</v>
      </c>
      <c r="X21" s="129" t="n">
        <f aca="false">W21-AN21</f>
        <v>176.113863</v>
      </c>
      <c r="Y21" s="102" t="n">
        <f aca="false">Y20+AO21</f>
        <v>19719.858939</v>
      </c>
      <c r="Z21" s="129"/>
      <c r="AA21" s="102" t="n">
        <f aca="false">AA20+(X21+AO21)*1.9835</f>
        <v>42011.662320645</v>
      </c>
      <c r="AB21" s="102" t="n">
        <f aca="false">AB20-(AP20/1.9835)</f>
        <v>1643.577889588</v>
      </c>
      <c r="AC21" s="102"/>
      <c r="AD21" s="129" t="n">
        <v>17</v>
      </c>
      <c r="AE21" s="233" t="n">
        <v>1.7</v>
      </c>
      <c r="AF21" s="234" t="n">
        <v>1.3</v>
      </c>
      <c r="AG21" s="415" t="n">
        <v>67</v>
      </c>
      <c r="AH21" s="416" t="n">
        <f aca="false">AH20-AG21</f>
        <v>14648.2578774893</v>
      </c>
      <c r="AI21" s="92"/>
      <c r="AJ21" s="128" t="n">
        <f aca="false">N21+O21+P21+Q21+R21+S21+T21+W21+AD21+AG21+AS21-AQ21</f>
        <v>371</v>
      </c>
      <c r="AK21" s="129" t="n">
        <f aca="false">IF(L21&lt;0,L21*-1,0)</f>
        <v>0</v>
      </c>
      <c r="AL21" s="129" t="n">
        <f aca="false">AJ21+AK21</f>
        <v>371</v>
      </c>
      <c r="AM21" s="352" t="n">
        <f aca="false">AM20</f>
        <v>13318.4091</v>
      </c>
      <c r="AN21" s="200"/>
      <c r="AO21" s="142" t="n">
        <f aca="false">795-W21</f>
        <v>618.886137</v>
      </c>
      <c r="AP21" s="149" t="n">
        <f aca="false">47.3*(Y21*1.9835+AB21*1.9835)/E21</f>
        <v>10.7934905959824</v>
      </c>
      <c r="AQ21" s="149" t="n">
        <v>6</v>
      </c>
      <c r="AR21" s="206"/>
      <c r="AS21" s="169"/>
      <c r="AT21" s="166"/>
      <c r="AU21" s="207" t="n">
        <v>0</v>
      </c>
      <c r="AV21" s="200" t="n">
        <v>60</v>
      </c>
      <c r="AW21" s="200" t="n">
        <v>28</v>
      </c>
      <c r="AX21" s="259"/>
      <c r="AY21" s="235" t="n">
        <f aca="false">SUM(N21,P21:T21)</f>
        <v>8.736137</v>
      </c>
    </row>
    <row r="22" customFormat="false" ht="12.95" hidden="false" customHeight="true" outlineLevel="0" collapsed="false">
      <c r="A22" s="173" t="n">
        <f aca="false">A21+1</f>
        <v>8</v>
      </c>
      <c r="B22" s="101" t="n">
        <v>6914.52</v>
      </c>
      <c r="C22" s="102" t="n">
        <v>340384</v>
      </c>
      <c r="D22" s="200" t="n">
        <f aca="false">C22-C21</f>
        <v>2688</v>
      </c>
      <c r="E22" s="102" t="n">
        <f aca="false">C22-152000</f>
        <v>188384</v>
      </c>
      <c r="F22" s="129" t="n">
        <f aca="false">D22/$D$2</f>
        <v>1355.18023695488</v>
      </c>
      <c r="G22" s="1" t="n">
        <v>1630</v>
      </c>
      <c r="H22" s="4" t="n">
        <v>113</v>
      </c>
      <c r="I22" s="129" t="n">
        <f aca="false">G22+H22</f>
        <v>1743</v>
      </c>
      <c r="J22" s="130" t="n">
        <f aca="false">IF(L22&gt;0,L22,0)</f>
        <v>0.280236954877864</v>
      </c>
      <c r="K22" s="129" t="n">
        <f aca="false">I22+J22</f>
        <v>1743.28023695488</v>
      </c>
      <c r="L22" s="129" t="n">
        <f aca="false">F22-(I22-AJ22)</f>
        <v>0.280236954877864</v>
      </c>
      <c r="M22" s="233" t="n">
        <v>244</v>
      </c>
      <c r="N22" s="149" t="n">
        <f aca="false">1.8299*1.03</f>
        <v>1.884797</v>
      </c>
      <c r="O22" s="129" t="n">
        <f aca="false">(51+50)*1.05</f>
        <v>106.05</v>
      </c>
      <c r="P22" s="149" t="n">
        <v>0</v>
      </c>
      <c r="Q22" s="283" t="n">
        <f aca="false">2.217*1.02</f>
        <v>2.26134</v>
      </c>
      <c r="R22" s="283" t="n">
        <v>4.2</v>
      </c>
      <c r="S22" s="126" t="n">
        <v>0.43</v>
      </c>
      <c r="T22" s="334" t="n">
        <v>0</v>
      </c>
      <c r="U22" s="129" t="n">
        <v>23</v>
      </c>
      <c r="V22" s="129" t="n">
        <v>45</v>
      </c>
      <c r="W22" s="129" t="n">
        <f aca="false">M22-N22-O22-P22-Q22-R22-S22-T22+U22+V22-AS22+AQ22</f>
        <v>205.173863</v>
      </c>
      <c r="X22" s="129" t="n">
        <f aca="false">W22-AN22</f>
        <v>205.173863</v>
      </c>
      <c r="Y22" s="102" t="n">
        <f aca="false">Y21+AO22</f>
        <v>20309.685076</v>
      </c>
      <c r="Z22" s="129"/>
      <c r="AA22" s="102" t="n">
        <f aca="false">AA21+(X22+AO22)*1.9835</f>
        <v>43588.544820645</v>
      </c>
      <c r="AB22" s="102" t="n">
        <f aca="false">AB21-(AP21/1.9835)</f>
        <v>1638.13625076976</v>
      </c>
      <c r="AC22" s="102"/>
      <c r="AD22" s="129" t="n">
        <v>9.1</v>
      </c>
      <c r="AE22" s="233" t="n">
        <v>1.7</v>
      </c>
      <c r="AF22" s="234" t="n">
        <v>1.3</v>
      </c>
      <c r="AG22" s="415" t="n">
        <v>67</v>
      </c>
      <c r="AH22" s="416" t="n">
        <f aca="false">AH21-AG22</f>
        <v>14581.2578774893</v>
      </c>
      <c r="AI22" s="92"/>
      <c r="AJ22" s="128" t="n">
        <f aca="false">N22+O22+P22+Q22+R22+S22+T22+W22+AD22+AG22+AS22-AQ22</f>
        <v>388.1</v>
      </c>
      <c r="AK22" s="129" t="n">
        <f aca="false">IF(L22&lt;0,L22*-1,0)</f>
        <v>0</v>
      </c>
      <c r="AL22" s="129" t="n">
        <f aca="false">AJ22+AK22</f>
        <v>388.1</v>
      </c>
      <c r="AM22" s="352" t="n">
        <f aca="false">AM21</f>
        <v>13318.4091</v>
      </c>
      <c r="AN22" s="200"/>
      <c r="AO22" s="142" t="n">
        <f aca="false">795-W22</f>
        <v>589.826137</v>
      </c>
      <c r="AP22" s="149" t="n">
        <f aca="false">47.3*(Y22*1.9835+AB22*1.9835)/E22</f>
        <v>10.9305180926084</v>
      </c>
      <c r="AQ22" s="149" t="n">
        <v>8</v>
      </c>
      <c r="AR22" s="206"/>
      <c r="AS22" s="169"/>
      <c r="AT22" s="166"/>
      <c r="AU22" s="207" t="n">
        <v>0</v>
      </c>
      <c r="AV22" s="200" t="n">
        <v>72</v>
      </c>
      <c r="AW22" s="200" t="n">
        <v>38</v>
      </c>
      <c r="AX22" s="259"/>
      <c r="AY22" s="235" t="n">
        <f aca="false">SUM(N22,P22:T22)</f>
        <v>8.776137</v>
      </c>
    </row>
    <row r="23" customFormat="false" ht="12.95" hidden="false" customHeight="true" outlineLevel="0" collapsed="false">
      <c r="A23" s="173" t="n">
        <f aca="false">A22+1</f>
        <v>9</v>
      </c>
      <c r="B23" s="101" t="n">
        <v>6915.2</v>
      </c>
      <c r="C23" s="102" t="n">
        <v>343207</v>
      </c>
      <c r="D23" s="200" t="n">
        <f aca="false">C23-C22</f>
        <v>2823</v>
      </c>
      <c r="E23" s="102" t="n">
        <f aca="false">C23-152000</f>
        <v>191207</v>
      </c>
      <c r="F23" s="129" t="n">
        <f aca="false">D23/$D$2</f>
        <v>1423.24174439123</v>
      </c>
      <c r="G23" s="1" t="n">
        <v>1750</v>
      </c>
      <c r="H23" s="4" t="n">
        <v>110</v>
      </c>
      <c r="I23" s="129" t="n">
        <f aca="false">G23+H23</f>
        <v>1860</v>
      </c>
      <c r="J23" s="130" t="n">
        <f aca="false">IF(L23&gt;0,L23,0)</f>
        <v>8.24174439122771</v>
      </c>
      <c r="K23" s="129" t="n">
        <f aca="false">I23+J23</f>
        <v>1868.24174439123</v>
      </c>
      <c r="L23" s="129" t="n">
        <f aca="false">F23-(I23-AJ23)</f>
        <v>8.24174439122771</v>
      </c>
      <c r="M23" s="233" t="n">
        <v>275</v>
      </c>
      <c r="N23" s="149" t="n">
        <f aca="false">1.8299*1.03</f>
        <v>1.884797</v>
      </c>
      <c r="O23" s="129" t="n">
        <f aca="false">(54+55)*1.05</f>
        <v>114.45</v>
      </c>
      <c r="P23" s="149" t="n">
        <v>0</v>
      </c>
      <c r="Q23" s="283" t="n">
        <f aca="false">2.217*1.02</f>
        <v>2.26134</v>
      </c>
      <c r="R23" s="283" t="n">
        <v>4.2</v>
      </c>
      <c r="S23" s="126" t="n">
        <v>0.94</v>
      </c>
      <c r="T23" s="334" t="n">
        <v>0</v>
      </c>
      <c r="U23" s="129" t="n">
        <v>23</v>
      </c>
      <c r="V23" s="129" t="n">
        <v>48</v>
      </c>
      <c r="W23" s="129" t="n">
        <f aca="false">M23-N23-O23-P23-Q23-R23-S23-T23+U23+V23-AS23+AQ23</f>
        <v>232.263863</v>
      </c>
      <c r="X23" s="129" t="n">
        <f aca="false">W23-AN23</f>
        <v>232.263863</v>
      </c>
      <c r="Y23" s="102" t="n">
        <f aca="false">Y22+AO23</f>
        <v>20872.421213</v>
      </c>
      <c r="Z23" s="129"/>
      <c r="AA23" s="102" t="n">
        <f aca="false">AA22+(X23+AO23)*1.9835</f>
        <v>45165.427320645</v>
      </c>
      <c r="AB23" s="102" t="n">
        <f aca="false">AB22-(AP22/1.9835)</f>
        <v>1632.62552826277</v>
      </c>
      <c r="AC23" s="102"/>
      <c r="AD23" s="129" t="n">
        <v>32</v>
      </c>
      <c r="AE23" s="233" t="n">
        <v>1.7</v>
      </c>
      <c r="AF23" s="234" t="n">
        <v>1.3</v>
      </c>
      <c r="AG23" s="415" t="n">
        <v>67</v>
      </c>
      <c r="AH23" s="416" t="n">
        <f aca="false">AH22-AG23</f>
        <v>14514.2578774893</v>
      </c>
      <c r="AI23" s="92"/>
      <c r="AJ23" s="128" t="n">
        <f aca="false">N23+O23+P23+Q23+R23+S23+T23+W23+AD23+AG23+AS23-AQ23</f>
        <v>445</v>
      </c>
      <c r="AK23" s="129" t="n">
        <f aca="false">IF(L23&lt;0,L23*-1,0)</f>
        <v>0</v>
      </c>
      <c r="AL23" s="129" t="n">
        <f aca="false">AJ23+AK23</f>
        <v>445</v>
      </c>
      <c r="AM23" s="352" t="n">
        <f aca="false">AM22</f>
        <v>13318.4091</v>
      </c>
      <c r="AN23" s="200"/>
      <c r="AO23" s="142" t="n">
        <f aca="false">795-W23</f>
        <v>562.736137</v>
      </c>
      <c r="AP23" s="149" t="n">
        <f aca="false">47.3*(Y23*1.9835+AB23*1.9835)/E23</f>
        <v>11.0425526157214</v>
      </c>
      <c r="AQ23" s="149" t="n">
        <v>10</v>
      </c>
      <c r="AR23" s="206"/>
      <c r="AS23" s="169"/>
      <c r="AT23" s="166"/>
      <c r="AU23" s="207" t="n">
        <v>0</v>
      </c>
      <c r="AV23" s="200" t="n">
        <v>75</v>
      </c>
      <c r="AW23" s="200" t="n">
        <v>38</v>
      </c>
      <c r="AX23" s="259"/>
      <c r="AY23" s="235" t="n">
        <f aca="false">SUM(N23,P23:T23)</f>
        <v>9.286137</v>
      </c>
    </row>
    <row r="24" customFormat="false" ht="12.95" hidden="false" customHeight="true" outlineLevel="0" collapsed="false">
      <c r="A24" s="173" t="n">
        <f aca="false">A23+1</f>
        <v>10</v>
      </c>
      <c r="B24" s="101" t="n">
        <v>6916.05</v>
      </c>
      <c r="C24" s="102" t="n">
        <v>346757</v>
      </c>
      <c r="D24" s="200" t="n">
        <f aca="false">C24-C23</f>
        <v>3550</v>
      </c>
      <c r="E24" s="102" t="n">
        <f aca="false">C24-152000</f>
        <v>194757</v>
      </c>
      <c r="F24" s="129" t="n">
        <f aca="false">D24/$D$2</f>
        <v>1789.76556591883</v>
      </c>
      <c r="G24" s="1" t="n">
        <v>1990</v>
      </c>
      <c r="H24" s="4" t="n">
        <v>135</v>
      </c>
      <c r="I24" s="129" t="n">
        <f aca="false">G24+H24</f>
        <v>2125</v>
      </c>
      <c r="J24" s="130" t="n">
        <f aca="false">IF(L24&gt;0,L24,0)</f>
        <v>108.76556591883</v>
      </c>
      <c r="K24" s="129" t="n">
        <f aca="false">I24+J24</f>
        <v>2233.76556591883</v>
      </c>
      <c r="L24" s="129" t="n">
        <f aca="false">F24-(I24-AJ24)</f>
        <v>108.76556591883</v>
      </c>
      <c r="M24" s="233" t="n">
        <v>281</v>
      </c>
      <c r="N24" s="149" t="n">
        <f aca="false">1.8299*1.03</f>
        <v>1.884797</v>
      </c>
      <c r="O24" s="129" t="n">
        <f aca="false">(52+52)*1.05</f>
        <v>109.2</v>
      </c>
      <c r="P24" s="149" t="n">
        <v>0</v>
      </c>
      <c r="Q24" s="283" t="n">
        <f aca="false">2.217*1.02</f>
        <v>2.26134</v>
      </c>
      <c r="R24" s="283" t="n">
        <v>4.2</v>
      </c>
      <c r="S24" s="126" t="n">
        <v>0.76</v>
      </c>
      <c r="T24" s="334" t="n">
        <v>0</v>
      </c>
      <c r="U24" s="129" t="n">
        <v>23</v>
      </c>
      <c r="V24" s="129" t="n">
        <v>48</v>
      </c>
      <c r="W24" s="129" t="n">
        <f aca="false">M24-N24-O24-P24-Q24-R24-S24-T24+U24+V24-AS24+AQ24</f>
        <v>245.693863</v>
      </c>
      <c r="X24" s="129" t="n">
        <f aca="false">W24-AN24</f>
        <v>245.693863</v>
      </c>
      <c r="Y24" s="102" t="n">
        <f aca="false">Y23+AO24</f>
        <v>21421.72735</v>
      </c>
      <c r="Z24" s="129"/>
      <c r="AA24" s="102" t="n">
        <f aca="false">AA23+(X24+AO24)*1.9835</f>
        <v>46742.309820645</v>
      </c>
      <c r="AB24" s="102" t="n">
        <f aca="false">AB23-(AP23/1.9835)</f>
        <v>1627.05832250743</v>
      </c>
      <c r="AC24" s="102"/>
      <c r="AD24" s="129" t="n">
        <v>30</v>
      </c>
      <c r="AE24" s="233" t="n">
        <v>1.7</v>
      </c>
      <c r="AF24" s="234" t="n">
        <v>1.3</v>
      </c>
      <c r="AG24" s="415" t="n">
        <v>62</v>
      </c>
      <c r="AH24" s="416" t="n">
        <f aca="false">AH23-AG24</f>
        <v>14452.2578774893</v>
      </c>
      <c r="AI24" s="92"/>
      <c r="AJ24" s="128" t="n">
        <f aca="false">N24+O24+P24+Q24+R24+S24+T24+W24+AD24+AG24+AS24-AQ24</f>
        <v>444</v>
      </c>
      <c r="AK24" s="129" t="n">
        <f aca="false">IF(L24&lt;0,L24*-1,0)</f>
        <v>0</v>
      </c>
      <c r="AL24" s="129" t="n">
        <f aca="false">AJ24+AK24</f>
        <v>444</v>
      </c>
      <c r="AM24" s="352" t="n">
        <f aca="false">AM23</f>
        <v>13318.4091</v>
      </c>
      <c r="AN24" s="200"/>
      <c r="AO24" s="142" t="n">
        <f aca="false">795-W24</f>
        <v>549.306137</v>
      </c>
      <c r="AP24" s="149" t="n">
        <f aca="false">47.3*(Y24*1.9835+AB24*1.9835)/E24</f>
        <v>11.1032039918519</v>
      </c>
      <c r="AQ24" s="149" t="n">
        <v>12</v>
      </c>
      <c r="AR24" s="206"/>
      <c r="AS24" s="169"/>
      <c r="AT24" s="166"/>
      <c r="AU24" s="207" t="n">
        <v>0</v>
      </c>
      <c r="AV24" s="200" t="n">
        <v>60</v>
      </c>
      <c r="AW24" s="200" t="n">
        <v>37</v>
      </c>
      <c r="AX24" s="259"/>
      <c r="AY24" s="235" t="n">
        <f aca="false">SUM(N24,P24:T24)</f>
        <v>9.106137</v>
      </c>
    </row>
    <row r="25" customFormat="false" ht="12.95" hidden="false" customHeight="true" outlineLevel="0" collapsed="false">
      <c r="A25" s="173" t="n">
        <f aca="false">A24+1</f>
        <v>11</v>
      </c>
      <c r="B25" s="101" t="n">
        <v>6916.71</v>
      </c>
      <c r="C25" s="102" t="n">
        <v>349534</v>
      </c>
      <c r="D25" s="200" t="n">
        <f aca="false">C25-C24</f>
        <v>2777</v>
      </c>
      <c r="E25" s="102" t="n">
        <f aca="false">C25-152000</f>
        <v>197534</v>
      </c>
      <c r="F25" s="129" t="n">
        <f aca="false">D25/$D$2</f>
        <v>1400.05041593143</v>
      </c>
      <c r="G25" s="1" t="n">
        <v>1690</v>
      </c>
      <c r="H25" s="4" t="n">
        <v>81</v>
      </c>
      <c r="I25" s="129" t="n">
        <f aca="false">G25+H25</f>
        <v>1771</v>
      </c>
      <c r="J25" s="130" t="n">
        <f aca="false">IF(L25&gt;0,L25,0)</f>
        <v>60.0504159314344</v>
      </c>
      <c r="K25" s="129" t="n">
        <f aca="false">I25+J25</f>
        <v>1831.05041593143</v>
      </c>
      <c r="L25" s="129" t="n">
        <f aca="false">F25-(I25-AJ25)</f>
        <v>60.0504159314344</v>
      </c>
      <c r="M25" s="233" t="n">
        <v>278</v>
      </c>
      <c r="N25" s="149" t="n">
        <f aca="false">1.8299*1.03</f>
        <v>1.884797</v>
      </c>
      <c r="O25" s="129" t="n">
        <f aca="false">(54+52)*1.05</f>
        <v>111.3</v>
      </c>
      <c r="P25" s="149" t="n">
        <v>0</v>
      </c>
      <c r="Q25" s="283" t="n">
        <f aca="false">2.217*1.02</f>
        <v>2.26134</v>
      </c>
      <c r="R25" s="283" t="n">
        <v>4.2</v>
      </c>
      <c r="S25" s="126" t="n">
        <v>0.85</v>
      </c>
      <c r="T25" s="334" t="n">
        <v>0</v>
      </c>
      <c r="U25" s="129" t="n">
        <v>23</v>
      </c>
      <c r="V25" s="129" t="n">
        <v>49</v>
      </c>
      <c r="W25" s="129" t="n">
        <f aca="false">M25-N25-O25-P25-Q25-R25-S25-T25+U25+V25-AS25+AQ25</f>
        <v>243.503863</v>
      </c>
      <c r="X25" s="129" t="n">
        <f aca="false">W25-AN25</f>
        <v>243.503863</v>
      </c>
      <c r="Y25" s="102" t="n">
        <f aca="false">Y24+AO25</f>
        <v>21973.223487</v>
      </c>
      <c r="Z25" s="129"/>
      <c r="AA25" s="102" t="n">
        <f aca="false">AA24+(X25+AO25)*1.9835</f>
        <v>48319.192320645</v>
      </c>
      <c r="AB25" s="102" t="n">
        <f aca="false">AB24-(AP24/1.9835)</f>
        <v>1621.46053879588</v>
      </c>
      <c r="AC25" s="102"/>
      <c r="AD25" s="129" t="n">
        <v>21</v>
      </c>
      <c r="AE25" s="233" t="n">
        <v>1.7</v>
      </c>
      <c r="AF25" s="234" t="n">
        <v>1.3</v>
      </c>
      <c r="AG25" s="415" t="n">
        <v>60</v>
      </c>
      <c r="AH25" s="416" t="n">
        <f aca="false">AH24-AG25</f>
        <v>14392.2578774893</v>
      </c>
      <c r="AI25" s="92"/>
      <c r="AJ25" s="128" t="n">
        <f aca="false">N25+O25+P25+Q25+R25+S25+T25+W25+AD25+AG25+AS25-AQ25</f>
        <v>431</v>
      </c>
      <c r="AK25" s="129" t="n">
        <f aca="false">IF(L25&lt;0,L25*-1,0)</f>
        <v>0</v>
      </c>
      <c r="AL25" s="129" t="n">
        <f aca="false">AJ25+AK25</f>
        <v>431</v>
      </c>
      <c r="AM25" s="352" t="n">
        <f aca="false">AM24</f>
        <v>13318.4091</v>
      </c>
      <c r="AN25" s="200"/>
      <c r="AO25" s="142" t="n">
        <f aca="false">795-W25</f>
        <v>551.496137</v>
      </c>
      <c r="AP25" s="149" t="n">
        <f aca="false">47.3*(Y25*1.9835+AB25*1.9835)/E25</f>
        <v>11.2063879519088</v>
      </c>
      <c r="AQ25" s="149" t="n">
        <v>14</v>
      </c>
      <c r="AR25" s="206"/>
      <c r="AS25" s="8"/>
      <c r="AT25" s="166"/>
      <c r="AU25" s="207" t="n">
        <v>0</v>
      </c>
      <c r="AV25" s="200" t="n">
        <v>58</v>
      </c>
      <c r="AW25" s="200" t="n">
        <v>30</v>
      </c>
      <c r="AX25" s="259"/>
      <c r="AY25" s="235" t="n">
        <f aca="false">SUM(N25,P25:T25)</f>
        <v>9.196137</v>
      </c>
    </row>
    <row r="26" customFormat="false" ht="12.95" hidden="false" customHeight="true" outlineLevel="0" collapsed="false">
      <c r="A26" s="173" t="n">
        <f aca="false">A25+1</f>
        <v>12</v>
      </c>
      <c r="B26" s="101" t="n">
        <v>6917.24</v>
      </c>
      <c r="C26" s="102" t="n">
        <v>351771</v>
      </c>
      <c r="D26" s="200" t="n">
        <f aca="false">C26-C25</f>
        <v>2237</v>
      </c>
      <c r="E26" s="102" t="n">
        <f aca="false">C26-152000</f>
        <v>199771</v>
      </c>
      <c r="F26" s="129" t="n">
        <f aca="false">D26/$D$2</f>
        <v>1127.80438618603</v>
      </c>
      <c r="G26" s="1" t="n">
        <v>1360</v>
      </c>
      <c r="H26" s="4" t="n">
        <v>44</v>
      </c>
      <c r="I26" s="129" t="n">
        <f aca="false">G26+H26</f>
        <v>1404</v>
      </c>
      <c r="J26" s="130" t="n">
        <f aca="false">IF(L26&gt;0,L26,0)</f>
        <v>138.704386186035</v>
      </c>
      <c r="K26" s="129" t="n">
        <f aca="false">I26+J26</f>
        <v>1542.70438618603</v>
      </c>
      <c r="L26" s="129" t="n">
        <f aca="false">F26-(I26-AJ26)</f>
        <v>138.704386186035</v>
      </c>
      <c r="M26" s="233" t="n">
        <v>278</v>
      </c>
      <c r="N26" s="149" t="n">
        <f aca="false">1.8299*1.03</f>
        <v>1.884797</v>
      </c>
      <c r="O26" s="129" t="n">
        <f aca="false">(52+51)*1.05</f>
        <v>108.15</v>
      </c>
      <c r="P26" s="149" t="n">
        <v>0</v>
      </c>
      <c r="Q26" s="283" t="n">
        <f aca="false">2.217*1.02</f>
        <v>2.26134</v>
      </c>
      <c r="R26" s="283" t="n">
        <v>4.2</v>
      </c>
      <c r="S26" s="126" t="n">
        <v>0.06</v>
      </c>
      <c r="T26" s="334" t="n">
        <v>0</v>
      </c>
      <c r="U26" s="129" t="n">
        <v>23</v>
      </c>
      <c r="V26" s="129" t="n">
        <v>49</v>
      </c>
      <c r="W26" s="129" t="n">
        <f aca="false">M26-N26-O26-P26-Q26-R26-S26-T26+U26+V26-AS26+AQ26</f>
        <v>248.443863</v>
      </c>
      <c r="X26" s="129" t="n">
        <f aca="false">W26-AN26</f>
        <v>248.443863</v>
      </c>
      <c r="Y26" s="102" t="n">
        <f aca="false">Y25+AO26</f>
        <v>22519.779624</v>
      </c>
      <c r="Z26" s="129"/>
      <c r="AA26" s="102" t="n">
        <f aca="false">AA25+(X26+AO26)*1.9835</f>
        <v>49896.074820645</v>
      </c>
      <c r="AB26" s="102" t="n">
        <f aca="false">AB25-(AP25/1.9835)</f>
        <v>1615.81073392978</v>
      </c>
      <c r="AC26" s="102"/>
      <c r="AD26" s="129" t="n">
        <v>4.9</v>
      </c>
      <c r="AE26" s="233" t="n">
        <v>1.7</v>
      </c>
      <c r="AF26" s="234" t="n">
        <v>1.3</v>
      </c>
      <c r="AG26" s="415" t="n">
        <v>60</v>
      </c>
      <c r="AH26" s="416" t="n">
        <f aca="false">AH25-AG26</f>
        <v>14332.2578774893</v>
      </c>
      <c r="AI26" s="92"/>
      <c r="AJ26" s="128" t="n">
        <f aca="false">N26+O26+P26+Q26+R26+S26+T26+W26+AD26+AG26+AS26-AQ26</f>
        <v>414.9</v>
      </c>
      <c r="AK26" s="129" t="n">
        <f aca="false">IF(L26&lt;0,L26*-1,0)</f>
        <v>0</v>
      </c>
      <c r="AL26" s="129" t="n">
        <f aca="false">AJ26+AK26</f>
        <v>414.9</v>
      </c>
      <c r="AM26" s="352" t="n">
        <f aca="false">AM25</f>
        <v>13318.4091</v>
      </c>
      <c r="AN26" s="200"/>
      <c r="AO26" s="142" t="n">
        <f aca="false">795-W26</f>
        <v>546.556137</v>
      </c>
      <c r="AP26" s="149" t="n">
        <f aca="false">47.3*(Y26*1.9835+AB26*1.9835)/E26</f>
        <v>11.3349296262486</v>
      </c>
      <c r="AQ26" s="149" t="n">
        <v>15</v>
      </c>
      <c r="AR26" s="206"/>
      <c r="AS26" s="8"/>
      <c r="AT26" s="166"/>
      <c r="AU26" s="207" t="n">
        <v>0</v>
      </c>
      <c r="AV26" s="200" t="n">
        <v>55</v>
      </c>
      <c r="AW26" s="200" t="n">
        <v>27</v>
      </c>
      <c r="AX26" s="259"/>
      <c r="AY26" s="235" t="n">
        <f aca="false">SUM(N26,P26:T26)</f>
        <v>8.406137</v>
      </c>
    </row>
    <row r="27" customFormat="false" ht="12.95" hidden="false" customHeight="true" outlineLevel="0" collapsed="false">
      <c r="A27" s="173" t="n">
        <f aca="false">A26+1</f>
        <v>13</v>
      </c>
      <c r="B27" s="101" t="n">
        <v>6917.66</v>
      </c>
      <c r="C27" s="102" t="n">
        <v>353552</v>
      </c>
      <c r="D27" s="200" t="n">
        <f aca="false">C27-C26</f>
        <v>1781</v>
      </c>
      <c r="E27" s="102" t="n">
        <f aca="false">C27-152000</f>
        <v>201552</v>
      </c>
      <c r="F27" s="129" t="n">
        <f aca="false">D27/$D$2</f>
        <v>897.907738845475</v>
      </c>
      <c r="G27" s="1" t="n">
        <v>1190</v>
      </c>
      <c r="H27" s="4" t="n">
        <v>28</v>
      </c>
      <c r="I27" s="129" t="n">
        <f aca="false">G27+H27</f>
        <v>1218</v>
      </c>
      <c r="J27" s="130" t="n">
        <f aca="false">IF(L27&gt;0,L27,0)</f>
        <v>117.907738845475</v>
      </c>
      <c r="K27" s="129" t="n">
        <f aca="false">I27+J27</f>
        <v>1335.90773884548</v>
      </c>
      <c r="L27" s="129" t="n">
        <f aca="false">F27-(I27-AJ27)</f>
        <v>117.907738845475</v>
      </c>
      <c r="M27" s="233" t="n">
        <v>274</v>
      </c>
      <c r="N27" s="149" t="n">
        <f aca="false">1.8299*1.03</f>
        <v>1.884797</v>
      </c>
      <c r="O27" s="129" t="n">
        <f aca="false">(47+46)*1.05</f>
        <v>97.65</v>
      </c>
      <c r="P27" s="149" t="n">
        <v>0</v>
      </c>
      <c r="Q27" s="283" t="n">
        <f aca="false">2.217*1.02</f>
        <v>2.26134</v>
      </c>
      <c r="R27" s="283" t="n">
        <v>4.2</v>
      </c>
      <c r="S27" s="126" t="n">
        <v>0.86</v>
      </c>
      <c r="T27" s="334" t="n">
        <v>0</v>
      </c>
      <c r="U27" s="129" t="n">
        <v>23</v>
      </c>
      <c r="V27" s="129" t="n">
        <v>51</v>
      </c>
      <c r="W27" s="129" t="n">
        <f aca="false">M27-N27-O27-P27-Q27-R27-S27-T27+U27+V27-AS27+AQ27</f>
        <v>257.143863</v>
      </c>
      <c r="X27" s="129" t="n">
        <f aca="false">W27-AN27</f>
        <v>257.143863</v>
      </c>
      <c r="Y27" s="102" t="n">
        <f aca="false">Y26+AO27</f>
        <v>23057.635761</v>
      </c>
      <c r="Z27" s="129"/>
      <c r="AA27" s="102" t="n">
        <f aca="false">AA26+(X27+AO27)*1.9835</f>
        <v>51472.957320645</v>
      </c>
      <c r="AB27" s="102" t="n">
        <f aca="false">AB26-(AP26/1.9835)</f>
        <v>1610.09612358128</v>
      </c>
      <c r="AC27" s="102"/>
      <c r="AD27" s="129" t="n">
        <v>30</v>
      </c>
      <c r="AE27" s="233" t="n">
        <v>1.7</v>
      </c>
      <c r="AF27" s="234" t="n">
        <v>1.3</v>
      </c>
      <c r="AG27" s="415" t="n">
        <v>60</v>
      </c>
      <c r="AH27" s="416" t="n">
        <f aca="false">AH26-AG27</f>
        <v>14272.2578774893</v>
      </c>
      <c r="AI27" s="92"/>
      <c r="AJ27" s="128" t="n">
        <f aca="false">N27+O27+P27+Q27+R27+S27+T27+W27+AD27+AG27+AS27-AQ27</f>
        <v>438</v>
      </c>
      <c r="AK27" s="129" t="n">
        <f aca="false">IF(L27&lt;0,L27*-1,0)</f>
        <v>0</v>
      </c>
      <c r="AL27" s="129" t="n">
        <f aca="false">AJ27+AK27</f>
        <v>438</v>
      </c>
      <c r="AM27" s="352" t="n">
        <f aca="false">AM26</f>
        <v>13318.4091</v>
      </c>
      <c r="AN27" s="200"/>
      <c r="AO27" s="142" t="n">
        <f aca="false">795-W27</f>
        <v>537.856137</v>
      </c>
      <c r="AP27" s="149" t="n">
        <f aca="false">47.3*(Y27*1.9835+AB27*1.9835)/E27</f>
        <v>11.482473530067</v>
      </c>
      <c r="AQ27" s="149" t="n">
        <v>16</v>
      </c>
      <c r="AR27" s="206"/>
      <c r="AS27" s="8"/>
      <c r="AT27" s="166"/>
      <c r="AU27" s="207" t="n">
        <v>0</v>
      </c>
      <c r="AV27" s="200" t="n">
        <v>53</v>
      </c>
      <c r="AW27" s="200" t="n">
        <v>36</v>
      </c>
      <c r="AX27" s="259"/>
      <c r="AY27" s="235" t="n">
        <f aca="false">SUM(N27,P27:T27)</f>
        <v>9.206137</v>
      </c>
    </row>
    <row r="28" customFormat="false" ht="12.95" hidden="false" customHeight="true" outlineLevel="0" collapsed="false">
      <c r="A28" s="173" t="n">
        <f aca="false">A27+1</f>
        <v>14</v>
      </c>
      <c r="B28" s="101" t="n">
        <v>6917.98</v>
      </c>
      <c r="C28" s="102" t="n">
        <v>354909</v>
      </c>
      <c r="D28" s="200" t="n">
        <f aca="false">C28-C27</f>
        <v>1357</v>
      </c>
      <c r="E28" s="102" t="n">
        <f aca="false">C28-152000</f>
        <v>202909</v>
      </c>
      <c r="F28" s="129" t="n">
        <f aca="false">D28/$D$2</f>
        <v>684.144189563902</v>
      </c>
      <c r="G28" s="1" t="n">
        <v>997</v>
      </c>
      <c r="H28" s="4" t="n">
        <v>12</v>
      </c>
      <c r="I28" s="129" t="n">
        <f aca="false">G28+H28</f>
        <v>1009</v>
      </c>
      <c r="J28" s="130" t="n">
        <f aca="false">IF(L28&gt;0,L28,0)</f>
        <v>123.144189563902</v>
      </c>
      <c r="K28" s="129" t="n">
        <f aca="false">I28+J28</f>
        <v>1132.1441895639</v>
      </c>
      <c r="L28" s="129" t="n">
        <f aca="false">F28-(I28-AJ28)</f>
        <v>123.144189563902</v>
      </c>
      <c r="M28" s="233" t="n">
        <v>260</v>
      </c>
      <c r="N28" s="149" t="n">
        <f aca="false">1.8299*1.03</f>
        <v>1.884797</v>
      </c>
      <c r="O28" s="129" t="n">
        <f aca="false">(33+32)*1.05</f>
        <v>68.25</v>
      </c>
      <c r="P28" s="149" t="n">
        <v>0</v>
      </c>
      <c r="Q28" s="283" t="n">
        <f aca="false">2.217*1.02</f>
        <v>2.26134</v>
      </c>
      <c r="R28" s="283" t="n">
        <v>4.2</v>
      </c>
      <c r="S28" s="126" t="n">
        <v>0.98</v>
      </c>
      <c r="T28" s="334" t="n">
        <v>0</v>
      </c>
      <c r="U28" s="129" t="n">
        <v>23</v>
      </c>
      <c r="V28" s="129" t="n">
        <v>52</v>
      </c>
      <c r="W28" s="129" t="n">
        <f aca="false">M28-N28-O28-P28-Q28-R28-S28-T28+U28+V28-AS28+AQ28</f>
        <v>275.423863</v>
      </c>
      <c r="X28" s="129" t="n">
        <f aca="false">W28-AN28</f>
        <v>275.423863</v>
      </c>
      <c r="Y28" s="102" t="n">
        <f aca="false">Y27+AO28</f>
        <v>23577.211898</v>
      </c>
      <c r="Z28" s="129"/>
      <c r="AA28" s="102" t="n">
        <f aca="false">AA27+(X28+AO28)*1.9835</f>
        <v>53049.839820645</v>
      </c>
      <c r="AB28" s="102" t="n">
        <f aca="false">AB27-(AP27/1.9835)</f>
        <v>1604.3071275994</v>
      </c>
      <c r="AC28" s="102"/>
      <c r="AD28" s="129" t="n">
        <v>53</v>
      </c>
      <c r="AE28" s="233" t="n">
        <v>1.7</v>
      </c>
      <c r="AF28" s="234" t="n">
        <v>1.3</v>
      </c>
      <c r="AG28" s="415" t="n">
        <v>60</v>
      </c>
      <c r="AH28" s="416" t="n">
        <f aca="false">AH27-AG28</f>
        <v>14212.2578774893</v>
      </c>
      <c r="AI28" s="92"/>
      <c r="AJ28" s="128" t="n">
        <f aca="false">N28+O28+P28+Q28+R28+S28+T28+W28+AD28+AG28+AS28-AQ28</f>
        <v>448</v>
      </c>
      <c r="AK28" s="129" t="n">
        <f aca="false">IF(L28&lt;0,L28*-1,0)</f>
        <v>0</v>
      </c>
      <c r="AL28" s="129" t="n">
        <f aca="false">AJ28+AK28</f>
        <v>448</v>
      </c>
      <c r="AM28" s="352" t="n">
        <f aca="false">AM27</f>
        <v>13318.4091</v>
      </c>
      <c r="AN28" s="200"/>
      <c r="AO28" s="142" t="n">
        <f aca="false">795-W28</f>
        <v>519.576137</v>
      </c>
      <c r="AP28" s="149" t="n">
        <f aca="false">47.3*(Y28*1.9835+AB28*1.9835)/E28</f>
        <v>11.6432429478149</v>
      </c>
      <c r="AQ28" s="149" t="n">
        <v>18</v>
      </c>
      <c r="AR28" s="206"/>
      <c r="AS28" s="8"/>
      <c r="AT28" s="166"/>
      <c r="AU28" s="207" t="n">
        <v>0</v>
      </c>
      <c r="AV28" s="200" t="n">
        <v>63</v>
      </c>
      <c r="AW28" s="200" t="n">
        <v>38</v>
      </c>
      <c r="AX28" s="259"/>
      <c r="AY28" s="235" t="n">
        <f aca="false">SUM(N28,P28:T28)</f>
        <v>9.326137</v>
      </c>
    </row>
    <row r="29" customFormat="false" ht="12.95" hidden="false" customHeight="true" outlineLevel="0" collapsed="false">
      <c r="A29" s="173" t="n">
        <f aca="false">A28+1</f>
        <v>15</v>
      </c>
      <c r="B29" s="101" t="n">
        <v>6918.25</v>
      </c>
      <c r="C29" s="102" t="n">
        <v>356062</v>
      </c>
      <c r="D29" s="200" t="n">
        <f aca="false">C29-C28</f>
        <v>1153</v>
      </c>
      <c r="E29" s="102" t="n">
        <f aca="false">C29-152000</f>
        <v>204062</v>
      </c>
      <c r="F29" s="129" t="n">
        <f aca="false">D29/$D$2</f>
        <v>581.295689437862</v>
      </c>
      <c r="G29" s="1" t="n">
        <v>918</v>
      </c>
      <c r="H29" s="4" t="n">
        <v>9.3</v>
      </c>
      <c r="I29" s="129" t="n">
        <f aca="false">G29+H29</f>
        <v>927.3</v>
      </c>
      <c r="J29" s="130" t="n">
        <f aca="false">IF(L29&gt;0,L29,0)</f>
        <v>107.995689437862</v>
      </c>
      <c r="K29" s="129" t="n">
        <f aca="false">I29+J29</f>
        <v>1035.29568943786</v>
      </c>
      <c r="L29" s="129" t="n">
        <f aca="false">F29-(I29-AJ29)</f>
        <v>107.995689437862</v>
      </c>
      <c r="M29" s="233" t="n">
        <v>253</v>
      </c>
      <c r="N29" s="149" t="n">
        <f aca="false">1.8299*1.03</f>
        <v>1.884797</v>
      </c>
      <c r="O29" s="129" t="n">
        <f aca="false">(27+26)*1.05</f>
        <v>55.65</v>
      </c>
      <c r="P29" s="149" t="n">
        <v>0</v>
      </c>
      <c r="Q29" s="283" t="n">
        <f aca="false">2.217*1.02</f>
        <v>2.26134</v>
      </c>
      <c r="R29" s="283" t="n">
        <v>4.2</v>
      </c>
      <c r="S29" s="126" t="n">
        <v>1.24</v>
      </c>
      <c r="T29" s="334" t="n">
        <v>0</v>
      </c>
      <c r="U29" s="129" t="n">
        <v>24</v>
      </c>
      <c r="V29" s="129" t="n">
        <v>54</v>
      </c>
      <c r="W29" s="129" t="n">
        <f aca="false">M29-N29-O29-P29-Q29-R29-S29-T29+U29+V29-AS29+AQ29</f>
        <v>284.763863</v>
      </c>
      <c r="X29" s="129" t="n">
        <f aca="false">W29-AN29</f>
        <v>284.763863</v>
      </c>
      <c r="Y29" s="102" t="n">
        <f aca="false">Y28+AO29</f>
        <v>24087.448035</v>
      </c>
      <c r="Z29" s="129"/>
      <c r="AA29" s="102" t="n">
        <f aca="false">AA28+(X29+AO29)*1.9835</f>
        <v>54626.722320645</v>
      </c>
      <c r="AB29" s="102" t="n">
        <f aca="false">AB28-(AP28/1.9835)</f>
        <v>1598.4370782181</v>
      </c>
      <c r="AC29" s="102"/>
      <c r="AD29" s="129" t="n">
        <v>63</v>
      </c>
      <c r="AE29" s="233" t="n">
        <v>1.7</v>
      </c>
      <c r="AF29" s="234" t="n">
        <v>1.3</v>
      </c>
      <c r="AG29" s="415" t="n">
        <v>60</v>
      </c>
      <c r="AH29" s="416" t="n">
        <f aca="false">AH28-AG29</f>
        <v>14152.2578774893</v>
      </c>
      <c r="AI29" s="92"/>
      <c r="AJ29" s="128" t="n">
        <f aca="false">N29+O29+P29+Q29+R29+S29+T29+W29+AD29+AG29+AS29-AQ29</f>
        <v>454</v>
      </c>
      <c r="AK29" s="129" t="n">
        <f aca="false">IF(L29&lt;0,L29*-1,0)</f>
        <v>0</v>
      </c>
      <c r="AL29" s="129" t="n">
        <f aca="false">AJ29+AK29</f>
        <v>454</v>
      </c>
      <c r="AM29" s="352" t="n">
        <f aca="false">AM28</f>
        <v>13318.4091</v>
      </c>
      <c r="AN29" s="200"/>
      <c r="AO29" s="142" t="n">
        <f aca="false">795-W29</f>
        <v>510.236137</v>
      </c>
      <c r="AP29" s="149" t="n">
        <f aca="false">47.3*(Y29*1.9835+AB29*1.9835)/E29</f>
        <v>11.8093431539131</v>
      </c>
      <c r="AQ29" s="149" t="n">
        <v>19</v>
      </c>
      <c r="AR29" s="206"/>
      <c r="AS29" s="8"/>
      <c r="AT29" s="166"/>
      <c r="AU29" s="207" t="n">
        <v>0</v>
      </c>
      <c r="AV29" s="200" t="n">
        <v>63</v>
      </c>
      <c r="AW29" s="200" t="n">
        <v>33</v>
      </c>
      <c r="AX29" s="259"/>
      <c r="AY29" s="235" t="n">
        <f aca="false">SUM(N29,P29:T29)</f>
        <v>9.586137</v>
      </c>
    </row>
    <row r="30" customFormat="false" ht="12.95" hidden="false" customHeight="true" outlineLevel="0" collapsed="false">
      <c r="A30" s="173" t="n">
        <f aca="false">A29+1</f>
        <v>16</v>
      </c>
      <c r="B30" s="101" t="n">
        <v>6918.52</v>
      </c>
      <c r="C30" s="102" t="n">
        <v>357216</v>
      </c>
      <c r="D30" s="200" t="n">
        <f aca="false">C30-C29</f>
        <v>1154</v>
      </c>
      <c r="E30" s="102" t="n">
        <f aca="false">C30-152000</f>
        <v>205216</v>
      </c>
      <c r="F30" s="129" t="n">
        <f aca="false">D30/$D$2</f>
        <v>581.799848752206</v>
      </c>
      <c r="G30" s="1" t="n">
        <v>939</v>
      </c>
      <c r="H30" s="4" t="n">
        <v>8.5</v>
      </c>
      <c r="I30" s="129" t="n">
        <f aca="false">G30+H30</f>
        <v>947.5</v>
      </c>
      <c r="J30" s="130" t="n">
        <f aca="false">IF(L30&gt;0,L30,0)</f>
        <v>136.299848752206</v>
      </c>
      <c r="K30" s="129" t="n">
        <f aca="false">I30+J30</f>
        <v>1083.79984875221</v>
      </c>
      <c r="L30" s="129" t="n">
        <f aca="false">F30-(I30-AJ30)</f>
        <v>136.299848752206</v>
      </c>
      <c r="M30" s="233" t="n">
        <v>283</v>
      </c>
      <c r="N30" s="149" t="n">
        <f aca="false">1.8299*1.03</f>
        <v>1.884797</v>
      </c>
      <c r="O30" s="129" t="n">
        <f aca="false">(34+33)*1.05</f>
        <v>70.35</v>
      </c>
      <c r="P30" s="149" t="n">
        <v>0</v>
      </c>
      <c r="Q30" s="283" t="n">
        <f aca="false">2.217*1.02</f>
        <v>2.26134</v>
      </c>
      <c r="R30" s="283" t="n">
        <v>4.2</v>
      </c>
      <c r="S30" s="126" t="n">
        <v>1.13</v>
      </c>
      <c r="T30" s="334" t="n">
        <v>0</v>
      </c>
      <c r="U30" s="129" t="n">
        <v>30</v>
      </c>
      <c r="V30" s="129" t="n">
        <v>66</v>
      </c>
      <c r="W30" s="129" t="n">
        <f aca="false">M30-N30-O30-P30-Q30-R30-S30-T30+U30+V30-AS30+AQ30</f>
        <v>319.173863</v>
      </c>
      <c r="X30" s="129" t="n">
        <f aca="false">W30-AN30</f>
        <v>319.173863</v>
      </c>
      <c r="Y30" s="102" t="n">
        <f aca="false">Y29+AO30</f>
        <v>24563.274172</v>
      </c>
      <c r="Z30" s="129"/>
      <c r="AA30" s="102" t="n">
        <f aca="false">AA29+(X30+AO30)*1.9835</f>
        <v>56203.604820645</v>
      </c>
      <c r="AB30" s="102" t="n">
        <f aca="false">AB29-(AP29/1.9835)</f>
        <v>1592.48328787077</v>
      </c>
      <c r="AC30" s="102"/>
      <c r="AD30" s="129" t="n">
        <v>63</v>
      </c>
      <c r="AE30" s="233" t="n">
        <v>1.7</v>
      </c>
      <c r="AF30" s="234" t="n">
        <v>1.3</v>
      </c>
      <c r="AG30" s="415" t="n">
        <v>60</v>
      </c>
      <c r="AH30" s="416" t="n">
        <f aca="false">AH29-AG30</f>
        <v>14092.2578774893</v>
      </c>
      <c r="AI30" s="92"/>
      <c r="AJ30" s="128" t="n">
        <f aca="false">N30+O30+P30+Q30+R30+S30+T30+W30+AD30+AG30+AS30-AQ30</f>
        <v>502</v>
      </c>
      <c r="AK30" s="129" t="n">
        <f aca="false">IF(L30&lt;0,L30*-1,0)</f>
        <v>0</v>
      </c>
      <c r="AL30" s="129" t="n">
        <f aca="false">AJ30+AK30</f>
        <v>502</v>
      </c>
      <c r="AM30" s="352" t="n">
        <f aca="false">AM29</f>
        <v>13318.4091</v>
      </c>
      <c r="AN30" s="200"/>
      <c r="AO30" s="142" t="n">
        <f aca="false">795-W30</f>
        <v>475.826137</v>
      </c>
      <c r="AP30" s="149" t="n">
        <f aca="false">47.3*(Y30*1.9835+AB30*1.9835)/E30</f>
        <v>11.9577488830999</v>
      </c>
      <c r="AQ30" s="149" t="n">
        <v>20</v>
      </c>
      <c r="AR30" s="206"/>
      <c r="AS30" s="8"/>
      <c r="AT30" s="166"/>
      <c r="AU30" s="207" t="n">
        <v>0</v>
      </c>
      <c r="AV30" s="200" t="n">
        <v>69</v>
      </c>
      <c r="AW30" s="200" t="n">
        <v>36</v>
      </c>
      <c r="AX30" s="259"/>
      <c r="AY30" s="235" t="n">
        <f aca="false">SUM(N30,P30:T30)</f>
        <v>9.476137</v>
      </c>
    </row>
    <row r="31" customFormat="false" ht="12.95" hidden="false" customHeight="true" outlineLevel="0" collapsed="false">
      <c r="A31" s="173" t="n">
        <f aca="false">A30+1</f>
        <v>17</v>
      </c>
      <c r="B31" s="101" t="n">
        <v>6918.95</v>
      </c>
      <c r="C31" s="102" t="n">
        <v>359053</v>
      </c>
      <c r="D31" s="200" t="n">
        <f aca="false">C31-C30</f>
        <v>1837</v>
      </c>
      <c r="E31" s="102" t="n">
        <f aca="false">C31-152000</f>
        <v>207053</v>
      </c>
      <c r="F31" s="129" t="n">
        <f aca="false">D31/$D$2</f>
        <v>926.140660448702</v>
      </c>
      <c r="G31" s="1" t="n">
        <v>1370</v>
      </c>
      <c r="H31" s="4" t="n">
        <v>21</v>
      </c>
      <c r="I31" s="129" t="n">
        <f aca="false">G31+H31</f>
        <v>1391</v>
      </c>
      <c r="J31" s="130" t="n">
        <f aca="false">IF(L31&gt;0,L31,0)</f>
        <v>145.140660448702</v>
      </c>
      <c r="K31" s="129" t="n">
        <f aca="false">I31+J31</f>
        <v>1536.1406604487</v>
      </c>
      <c r="L31" s="129" t="n">
        <f aca="false">F31-(I31-AJ31)</f>
        <v>145.140660448702</v>
      </c>
      <c r="M31" s="233" t="n">
        <v>313</v>
      </c>
      <c r="N31" s="149" t="n">
        <f aca="false">1.8299*1.03</f>
        <v>1.884797</v>
      </c>
      <c r="O31" s="129" t="n">
        <f aca="false">(46+45)*1.05</f>
        <v>95.55</v>
      </c>
      <c r="P31" s="149" t="n">
        <v>0</v>
      </c>
      <c r="Q31" s="283" t="n">
        <f aca="false">2.217*1.02</f>
        <v>2.26134</v>
      </c>
      <c r="R31" s="283" t="n">
        <v>4.2</v>
      </c>
      <c r="S31" s="126" t="n">
        <v>1.82</v>
      </c>
      <c r="T31" s="334" t="n">
        <v>0</v>
      </c>
      <c r="U31" s="129" t="n">
        <v>87</v>
      </c>
      <c r="V31" s="129" t="n">
        <v>66</v>
      </c>
      <c r="W31" s="129" t="n">
        <f aca="false">M31-N31-O31-P31-Q31-R31-S31-T31+U31+V31-AS31+AQ31</f>
        <v>380.283863</v>
      </c>
      <c r="X31" s="129" t="n">
        <f aca="false">W31-AN31</f>
        <v>380.283863</v>
      </c>
      <c r="Y31" s="102" t="n">
        <f aca="false">Y30+AO31</f>
        <v>24977.990309</v>
      </c>
      <c r="Z31" s="129"/>
      <c r="AA31" s="102" t="n">
        <f aca="false">AA30+(X31+AO31)*1.9835</f>
        <v>57780.487320645</v>
      </c>
      <c r="AB31" s="102" t="n">
        <f aca="false">AB30-(AP30/1.9835)</f>
        <v>1586.45467739278</v>
      </c>
      <c r="AC31" s="102"/>
      <c r="AD31" s="129" t="n">
        <v>84</v>
      </c>
      <c r="AE31" s="233" t="n">
        <v>1.7</v>
      </c>
      <c r="AF31" s="234" t="n">
        <v>1.3</v>
      </c>
      <c r="AG31" s="415" t="n">
        <v>60</v>
      </c>
      <c r="AH31" s="416" t="n">
        <f aca="false">AH30-AG31</f>
        <v>14032.2578774893</v>
      </c>
      <c r="AI31" s="92"/>
      <c r="AJ31" s="128" t="n">
        <f aca="false">N31+O31+P31+Q31+R31+S31+T31+W31+AD31+AG31+AS31-AQ31</f>
        <v>610</v>
      </c>
      <c r="AK31" s="129" t="n">
        <f aca="false">IF(L31&lt;0,L31*-1,0)</f>
        <v>0</v>
      </c>
      <c r="AL31" s="129" t="n">
        <f aca="false">AJ31+AK31</f>
        <v>610</v>
      </c>
      <c r="AM31" s="352" t="n">
        <f aca="false">AM30</f>
        <v>13318.4091</v>
      </c>
      <c r="AN31" s="200"/>
      <c r="AO31" s="142" t="n">
        <f aca="false">795-W31</f>
        <v>414.716137</v>
      </c>
      <c r="AP31" s="149" t="n">
        <f aca="false">47.3*(Y31*1.9835+AB31*1.9835)/E31</f>
        <v>12.0368421352172</v>
      </c>
      <c r="AQ31" s="149" t="n">
        <v>20</v>
      </c>
      <c r="AR31" s="206"/>
      <c r="AS31" s="8"/>
      <c r="AT31" s="166"/>
      <c r="AU31" s="207" t="n">
        <v>0</v>
      </c>
      <c r="AV31" s="200" t="n">
        <v>76</v>
      </c>
      <c r="AW31" s="200" t="n">
        <v>45</v>
      </c>
      <c r="AX31" s="259"/>
      <c r="AY31" s="235" t="n">
        <f aca="false">SUM(N31,P31:T31)</f>
        <v>10.166137</v>
      </c>
    </row>
    <row r="32" customFormat="false" ht="12.95" hidden="false" customHeight="true" outlineLevel="0" collapsed="false">
      <c r="A32" s="173" t="n">
        <f aca="false">A31+1</f>
        <v>18</v>
      </c>
      <c r="B32" s="101" t="n">
        <v>6919.48</v>
      </c>
      <c r="C32" s="102" t="n">
        <v>361334</v>
      </c>
      <c r="D32" s="200" t="n">
        <f aca="false">C32-C31</f>
        <v>2281</v>
      </c>
      <c r="E32" s="102" t="n">
        <f aca="false">C32-152000</f>
        <v>209334</v>
      </c>
      <c r="F32" s="129" t="n">
        <f aca="false">D32/$D$2</f>
        <v>1149.98739601714</v>
      </c>
      <c r="G32" s="1" t="n">
        <v>1710</v>
      </c>
      <c r="H32" s="4" t="n">
        <v>43</v>
      </c>
      <c r="I32" s="129" t="n">
        <f aca="false">G32+H32</f>
        <v>1753</v>
      </c>
      <c r="J32" s="130" t="n">
        <f aca="false">IF(L32&gt;0,L32,0)</f>
        <v>88.9873960171415</v>
      </c>
      <c r="K32" s="129" t="n">
        <f aca="false">I32+J32</f>
        <v>1841.98739601714</v>
      </c>
      <c r="L32" s="129" t="n">
        <f aca="false">F32-(I32-AJ32)</f>
        <v>88.9873960171415</v>
      </c>
      <c r="M32" s="233" t="n">
        <v>325</v>
      </c>
      <c r="N32" s="149" t="n">
        <f aca="false">1.8299*1.03</f>
        <v>1.884797</v>
      </c>
      <c r="O32" s="129" t="n">
        <f aca="false">(53+52)*1.05</f>
        <v>110.25</v>
      </c>
      <c r="P32" s="149" t="n">
        <v>0</v>
      </c>
      <c r="Q32" s="283" t="n">
        <f aca="false">2.217*1.02</f>
        <v>2.26134</v>
      </c>
      <c r="R32" s="283" t="n">
        <v>4.2</v>
      </c>
      <c r="S32" s="126" t="n">
        <v>2.21</v>
      </c>
      <c r="T32" s="334" t="n">
        <v>0</v>
      </c>
      <c r="U32" s="129" t="n">
        <v>136</v>
      </c>
      <c r="V32" s="129" t="n">
        <v>70</v>
      </c>
      <c r="W32" s="129" t="n">
        <f aca="false">M32-N32-O32-P32-Q32-R32-S32-T32+U32+V32-AS32+AQ32</f>
        <v>430.193863</v>
      </c>
      <c r="X32" s="129" t="n">
        <f aca="false">W32-AN32</f>
        <v>430.193863</v>
      </c>
      <c r="Y32" s="102" t="n">
        <f aca="false">Y31+AO32</f>
        <v>25342.796446</v>
      </c>
      <c r="Z32" s="129"/>
      <c r="AA32" s="102" t="n">
        <f aca="false">AA31+(X32+AO32)*1.9835-(AI32*1.9835)</f>
        <v>59357.369820645</v>
      </c>
      <c r="AB32" s="102" t="n">
        <f aca="false">AB31-(AP31/1.9835)</f>
        <v>1580.38619131503</v>
      </c>
      <c r="AC32" s="102"/>
      <c r="AD32" s="129" t="n">
        <v>101</v>
      </c>
      <c r="AE32" s="233" t="n">
        <v>1.7</v>
      </c>
      <c r="AF32" s="234" t="n">
        <v>1.3</v>
      </c>
      <c r="AG32" s="415" t="n">
        <v>60</v>
      </c>
      <c r="AH32" s="416" t="n">
        <f aca="false">AH31-AG32</f>
        <v>13972.2578774893</v>
      </c>
      <c r="AI32" s="92"/>
      <c r="AJ32" s="128" t="n">
        <f aca="false">N32+O32+P32+Q32+R32+S32+T32+W32+AD32+AG32+AS32-AQ32</f>
        <v>692</v>
      </c>
      <c r="AK32" s="129" t="n">
        <f aca="false">IF(L32&lt;0,L32*-1,0)</f>
        <v>0</v>
      </c>
      <c r="AL32" s="129" t="n">
        <f aca="false">AJ32+AK32</f>
        <v>692</v>
      </c>
      <c r="AM32" s="352" t="n">
        <f aca="false">AM31</f>
        <v>13318.4091</v>
      </c>
      <c r="AN32" s="200"/>
      <c r="AO32" s="142" t="n">
        <f aca="false">795-W32</f>
        <v>364.806137</v>
      </c>
      <c r="AP32" s="149" t="n">
        <f aca="false">47.3*(Y32*1.9835+AB32*1.9835)/E32</f>
        <v>12.066462588976</v>
      </c>
      <c r="AQ32" s="149" t="n">
        <v>20</v>
      </c>
      <c r="AR32" s="206"/>
      <c r="AS32" s="8"/>
      <c r="AT32" s="166"/>
      <c r="AU32" s="207" t="n">
        <v>0.01</v>
      </c>
      <c r="AV32" s="200" t="n">
        <v>63</v>
      </c>
      <c r="AW32" s="200" t="n">
        <v>41</v>
      </c>
      <c r="AX32" s="259"/>
      <c r="AY32" s="235" t="n">
        <f aca="false">SUM(N32,P32:T32)</f>
        <v>10.556137</v>
      </c>
    </row>
    <row r="33" customFormat="false" ht="12.95" hidden="false" customHeight="true" outlineLevel="0" collapsed="false">
      <c r="A33" s="173" t="n">
        <f aca="false">A32+1</f>
        <v>19</v>
      </c>
      <c r="B33" s="101" t="n">
        <v>6919.83</v>
      </c>
      <c r="C33" s="292" t="n">
        <v>362841</v>
      </c>
      <c r="D33" s="200" t="n">
        <f aca="false">C33-C32</f>
        <v>1507</v>
      </c>
      <c r="E33" s="102" t="n">
        <f aca="false">C33-152000</f>
        <v>210841</v>
      </c>
      <c r="F33" s="129" t="n">
        <f aca="false">D33/$D$2</f>
        <v>759.768086715402</v>
      </c>
      <c r="G33" s="1" t="n">
        <v>1460</v>
      </c>
      <c r="H33" s="4" t="n">
        <v>24</v>
      </c>
      <c r="I33" s="129" t="n">
        <f aca="false">G33+H33</f>
        <v>1484</v>
      </c>
      <c r="J33" s="130" t="n">
        <f aca="false">IF(L33&gt;0,L33,0)</f>
        <v>0</v>
      </c>
      <c r="K33" s="129" t="n">
        <f aca="false">I33+J33</f>
        <v>1484</v>
      </c>
      <c r="L33" s="129" t="n">
        <f aca="false">F33-(I33-AJ33)</f>
        <v>-27.2319132845978</v>
      </c>
      <c r="M33" s="233" t="n">
        <v>307</v>
      </c>
      <c r="N33" s="149" t="n">
        <f aca="false">1.8299*1.03</f>
        <v>1.884797</v>
      </c>
      <c r="O33" s="129" t="n">
        <f aca="false">(49+47)*1.05</f>
        <v>100.8</v>
      </c>
      <c r="P33" s="149" t="n">
        <v>0</v>
      </c>
      <c r="Q33" s="283" t="n">
        <f aca="false">2.217*1.02</f>
        <v>2.26134</v>
      </c>
      <c r="R33" s="283" t="n">
        <v>4.2</v>
      </c>
      <c r="S33" s="126" t="n">
        <v>1.81</v>
      </c>
      <c r="T33" s="334" t="n">
        <v>0</v>
      </c>
      <c r="U33" s="129" t="n">
        <v>133</v>
      </c>
      <c r="V33" s="129" t="n">
        <v>79</v>
      </c>
      <c r="W33" s="129" t="n">
        <f aca="false">M33-N33-O33-P33-Q33-R33-S33-T33+U33+V33-AS33+AQ33</f>
        <v>430.593863</v>
      </c>
      <c r="X33" s="129" t="n">
        <f aca="false">W33-AN33</f>
        <v>430.593863</v>
      </c>
      <c r="Y33" s="102" t="n">
        <f aca="false">Y32+AO33</f>
        <v>25707.202583</v>
      </c>
      <c r="Z33" s="129"/>
      <c r="AA33" s="102" t="n">
        <f aca="false">AA32+(X33+AO33)*1.9835-(AI33*1.9835)</f>
        <v>60934.252320645</v>
      </c>
      <c r="AB33" s="102" t="n">
        <f aca="false">AB32-(AP32/1.9835)</f>
        <v>1574.30277180962</v>
      </c>
      <c r="AC33" s="102"/>
      <c r="AD33" s="129" t="n">
        <v>118</v>
      </c>
      <c r="AE33" s="233" t="n">
        <v>1.7</v>
      </c>
      <c r="AF33" s="234" t="n">
        <v>1.3</v>
      </c>
      <c r="AG33" s="415" t="n">
        <v>60</v>
      </c>
      <c r="AH33" s="416" t="n">
        <f aca="false">AH32-AG33</f>
        <v>13912.2578774893</v>
      </c>
      <c r="AI33" s="92"/>
      <c r="AJ33" s="128" t="n">
        <f aca="false">N33+O33+P33+Q33+R33+S33+T33+W33+AD33+AG33+AS33-AQ33</f>
        <v>697</v>
      </c>
      <c r="AK33" s="129" t="n">
        <f aca="false">IF(L33&lt;0,L33*-1,0)</f>
        <v>27.2319132845978</v>
      </c>
      <c r="AL33" s="129" t="n">
        <f aca="false">AJ33+AK33</f>
        <v>724.231913284598</v>
      </c>
      <c r="AM33" s="352" t="n">
        <f aca="false">AM32</f>
        <v>13318.4091</v>
      </c>
      <c r="AN33" s="200"/>
      <c r="AO33" s="142" t="n">
        <f aca="false">795-W33</f>
        <v>364.406137</v>
      </c>
      <c r="AP33" s="149" t="n">
        <f aca="false">47.3*(Y33*1.9835+AB33*1.9835)/E33</f>
        <v>12.139662379285</v>
      </c>
      <c r="AQ33" s="149" t="n">
        <v>22.55</v>
      </c>
      <c r="AR33" s="206"/>
      <c r="AS33" s="8"/>
      <c r="AT33" s="166"/>
      <c r="AU33" s="207" t="n">
        <v>0</v>
      </c>
      <c r="AV33" s="200" t="n">
        <v>66</v>
      </c>
      <c r="AW33" s="200" t="n">
        <v>37</v>
      </c>
      <c r="AX33" s="259"/>
      <c r="AY33" s="235" t="n">
        <f aca="false">SUM(N33,P33:T33)</f>
        <v>10.156137</v>
      </c>
    </row>
    <row r="34" customFormat="false" ht="12.95" hidden="false" customHeight="true" outlineLevel="0" collapsed="false">
      <c r="A34" s="173" t="n">
        <f aca="false">A33+1</f>
        <v>20</v>
      </c>
      <c r="B34" s="101" t="n">
        <v>6920.16</v>
      </c>
      <c r="C34" s="102" t="n">
        <v>364268</v>
      </c>
      <c r="D34" s="200" t="n">
        <f aca="false">C34-C33</f>
        <v>1427</v>
      </c>
      <c r="E34" s="102" t="n">
        <f aca="false">C34-152000</f>
        <v>212268</v>
      </c>
      <c r="F34" s="129" t="n">
        <f aca="false">D34/$D$2</f>
        <v>719.435341567935</v>
      </c>
      <c r="G34" s="1" t="n">
        <v>1480</v>
      </c>
      <c r="H34" s="4" t="n">
        <v>22</v>
      </c>
      <c r="I34" s="129" t="n">
        <f aca="false">G34+H34</f>
        <v>1502</v>
      </c>
      <c r="J34" s="130" t="n">
        <f aca="false">IF(L34&gt;0,L34,0)</f>
        <v>0</v>
      </c>
      <c r="K34" s="129" t="n">
        <f aca="false">I34+J34</f>
        <v>1502</v>
      </c>
      <c r="L34" s="129" t="n">
        <f aca="false">F34-(I34-AJ34)</f>
        <v>-48.5646584320645</v>
      </c>
      <c r="M34" s="233" t="n">
        <v>318</v>
      </c>
      <c r="N34" s="149" t="n">
        <f aca="false">1.8299*1.03</f>
        <v>1.884797</v>
      </c>
      <c r="O34" s="129" t="n">
        <f aca="false">(50+47)*1.05</f>
        <v>101.85</v>
      </c>
      <c r="P34" s="149" t="n">
        <v>0</v>
      </c>
      <c r="Q34" s="283" t="n">
        <f aca="false">2.217*1.02</f>
        <v>2.26134</v>
      </c>
      <c r="R34" s="283" t="n">
        <v>4.2</v>
      </c>
      <c r="S34" s="126" t="n">
        <v>2.14</v>
      </c>
      <c r="T34" s="334" t="n">
        <v>0</v>
      </c>
      <c r="U34" s="129" t="n">
        <v>132</v>
      </c>
      <c r="V34" s="129" t="n">
        <v>80</v>
      </c>
      <c r="W34" s="129" t="n">
        <f aca="false">M34-N34-O34-P34-Q34-R34-S34-T34+U34+V34-AS34+AQ34</f>
        <v>440.213863</v>
      </c>
      <c r="X34" s="129" t="n">
        <f aca="false">W34-AN34</f>
        <v>440.213863</v>
      </c>
      <c r="Y34" s="102" t="n">
        <f aca="false">Y33+AO34</f>
        <v>26061.98872</v>
      </c>
      <c r="Z34" s="129"/>
      <c r="AA34" s="102" t="n">
        <f aca="false">AA33+(X34+AO34)*1.9835-(AI34*1.9835)</f>
        <v>62511.134820645</v>
      </c>
      <c r="AB34" s="102" t="n">
        <f aca="false">AB33-(AP33/1.9835)</f>
        <v>1568.18244794812</v>
      </c>
      <c r="AC34" s="102"/>
      <c r="AD34" s="129" t="n">
        <v>144</v>
      </c>
      <c r="AE34" s="233" t="n">
        <v>1.7</v>
      </c>
      <c r="AF34" s="234" t="n">
        <v>1.3</v>
      </c>
      <c r="AG34" s="415" t="n">
        <v>60</v>
      </c>
      <c r="AH34" s="416" t="n">
        <f aca="false">AH33-AG34</f>
        <v>13852.2578774893</v>
      </c>
      <c r="AI34" s="92"/>
      <c r="AJ34" s="128" t="n">
        <f aca="false">N34+O34+P34+Q34+R34+S34+T34+W34+AD34+AG34+AS34-AQ34</f>
        <v>734</v>
      </c>
      <c r="AK34" s="129" t="n">
        <f aca="false">IF(L34&lt;0,L34*-1,0)</f>
        <v>48.5646584320645</v>
      </c>
      <c r="AL34" s="129" t="n">
        <f aca="false">AJ34+AK34</f>
        <v>782.564658432065</v>
      </c>
      <c r="AM34" s="352" t="n">
        <f aca="false">AM33</f>
        <v>13318.4091</v>
      </c>
      <c r="AN34" s="200"/>
      <c r="AO34" s="142" t="n">
        <f aca="false">795-W34</f>
        <v>354.786137</v>
      </c>
      <c r="AP34" s="149" t="n">
        <f aca="false">47.3*(Y34*1.9835+AB34*1.9835)/E34</f>
        <v>12.2121573925409</v>
      </c>
      <c r="AQ34" s="149" t="n">
        <v>22.55</v>
      </c>
      <c r="AR34" s="206"/>
      <c r="AS34" s="8"/>
      <c r="AT34" s="166"/>
      <c r="AU34" s="207" t="n">
        <v>0</v>
      </c>
      <c r="AV34" s="200" t="n">
        <v>70</v>
      </c>
      <c r="AW34" s="200" t="n">
        <v>40</v>
      </c>
      <c r="AX34" s="259"/>
      <c r="AY34" s="235" t="n">
        <f aca="false">SUM(N34,P34:T34)</f>
        <v>10.486137</v>
      </c>
    </row>
    <row r="35" customFormat="false" ht="12.95" hidden="false" customHeight="true" outlineLevel="0" collapsed="false">
      <c r="A35" s="173" t="n">
        <f aca="false">A34+1</f>
        <v>21</v>
      </c>
      <c r="B35" s="417" t="n">
        <v>6920.71</v>
      </c>
      <c r="C35" s="102" t="n">
        <v>366656</v>
      </c>
      <c r="D35" s="200" t="n">
        <f aca="false">C35-C34</f>
        <v>2388</v>
      </c>
      <c r="E35" s="102" t="n">
        <f aca="false">C35-152000</f>
        <v>214656</v>
      </c>
      <c r="F35" s="129" t="n">
        <f aca="false">D35/$D$2</f>
        <v>1203.93244265188</v>
      </c>
      <c r="G35" s="1" t="n">
        <v>2060</v>
      </c>
      <c r="H35" s="4" t="n">
        <v>96</v>
      </c>
      <c r="I35" s="129" t="n">
        <f aca="false">G35+H35</f>
        <v>2156</v>
      </c>
      <c r="J35" s="130" t="n">
        <f aca="false">IF(L35&gt;0,L35,0)</f>
        <v>0</v>
      </c>
      <c r="K35" s="129" t="n">
        <f aca="false">I35+J35</f>
        <v>2156</v>
      </c>
      <c r="L35" s="129" t="n">
        <f aca="false">F35-(I35-AJ35)</f>
        <v>-174.067557348122</v>
      </c>
      <c r="M35" s="233" t="n">
        <v>343</v>
      </c>
      <c r="N35" s="149" t="n">
        <f aca="false">1.8299*1.03</f>
        <v>1.884797</v>
      </c>
      <c r="O35" s="129" t="n">
        <f aca="false">(51+49)*1.05</f>
        <v>105</v>
      </c>
      <c r="P35" s="149" t="n">
        <v>0</v>
      </c>
      <c r="Q35" s="283" t="n">
        <f aca="false">2.217*1.02</f>
        <v>2.26134</v>
      </c>
      <c r="R35" s="283" t="n">
        <v>4.2</v>
      </c>
      <c r="S35" s="126" t="n">
        <v>1.79</v>
      </c>
      <c r="T35" s="334" t="n">
        <v>0</v>
      </c>
      <c r="U35" s="129" t="n">
        <v>133</v>
      </c>
      <c r="V35" s="129" t="n">
        <v>78</v>
      </c>
      <c r="W35" s="129" t="n">
        <f aca="false">M35-N35-O35-P35-Q35-R35-S35-T35+U35+V35-AS35+AQ35</f>
        <v>461.413863</v>
      </c>
      <c r="X35" s="129" t="n">
        <f aca="false">W35-AN35</f>
        <v>461.413863</v>
      </c>
      <c r="Y35" s="102" t="n">
        <f aca="false">Y34+AO35</f>
        <v>26395.574857</v>
      </c>
      <c r="Z35" s="129"/>
      <c r="AA35" s="102" t="n">
        <f aca="false">AA34+(X35+AO35)*1.9835-(AI35*1.9835)</f>
        <v>64088.017320645</v>
      </c>
      <c r="AB35" s="102" t="n">
        <f aca="false">AB34-(AP34/1.9835)</f>
        <v>1562.02557505045</v>
      </c>
      <c r="AC35" s="102"/>
      <c r="AD35" s="129" t="n">
        <v>170</v>
      </c>
      <c r="AE35" s="233" t="n">
        <v>1.7</v>
      </c>
      <c r="AF35" s="234" t="n">
        <v>1.3</v>
      </c>
      <c r="AG35" s="415" t="n">
        <v>54</v>
      </c>
      <c r="AH35" s="416" t="n">
        <f aca="false">AH34-AG35</f>
        <v>13798.2578774893</v>
      </c>
      <c r="AI35" s="92"/>
      <c r="AJ35" s="128" t="n">
        <f aca="false">N35+O35+P35+Q35+R35+S35+T35+W35+AD35+AG35+AS35-AQ35</f>
        <v>778</v>
      </c>
      <c r="AK35" s="129" t="n">
        <f aca="false">IF(L35&lt;0,L35*-1,0)</f>
        <v>174.067557348122</v>
      </c>
      <c r="AL35" s="129" t="n">
        <f aca="false">AJ35+AK35</f>
        <v>952.067557348122</v>
      </c>
      <c r="AM35" s="352" t="n">
        <f aca="false">AM34</f>
        <v>13318.4091</v>
      </c>
      <c r="AN35" s="200"/>
      <c r="AO35" s="142" t="n">
        <f aca="false">795-W35</f>
        <v>333.586137</v>
      </c>
      <c r="AP35" s="149" t="n">
        <f aca="false">47.3*(Y35*1.9835+AB35*1.9835)/E35</f>
        <v>12.2194091551821</v>
      </c>
      <c r="AQ35" s="149" t="n">
        <v>22.55</v>
      </c>
      <c r="AR35" s="206"/>
      <c r="AS35" s="169"/>
      <c r="AT35" s="166"/>
      <c r="AU35" s="207" t="n">
        <v>0</v>
      </c>
      <c r="AV35" s="200" t="n">
        <v>78</v>
      </c>
      <c r="AW35" s="200" t="n">
        <v>45</v>
      </c>
      <c r="AX35" s="259"/>
      <c r="AY35" s="235" t="n">
        <f aca="false">SUM(N35,P35:T35)</f>
        <v>10.136137</v>
      </c>
    </row>
    <row r="36" customFormat="false" ht="12.95" hidden="false" customHeight="true" outlineLevel="0" collapsed="false">
      <c r="A36" s="173" t="n">
        <f aca="false">A35+1</f>
        <v>22</v>
      </c>
      <c r="B36" s="101" t="n">
        <v>6921.5</v>
      </c>
      <c r="C36" s="102" t="n">
        <v>370104</v>
      </c>
      <c r="D36" s="200" t="n">
        <f aca="false">C36-C35</f>
        <v>3448</v>
      </c>
      <c r="E36" s="102" t="n">
        <f aca="false">C36-152000</f>
        <v>218104</v>
      </c>
      <c r="F36" s="129" t="n">
        <f aca="false">D36/$D$2</f>
        <v>1738.34131585581</v>
      </c>
      <c r="G36" s="1" t="n">
        <v>2550</v>
      </c>
      <c r="H36" s="4" t="n">
        <v>110</v>
      </c>
      <c r="I36" s="129" t="n">
        <f aca="false">G36+H36</f>
        <v>2660</v>
      </c>
      <c r="J36" s="130" t="n">
        <f aca="false">IF(L36&gt;0,L36,0)</f>
        <v>0</v>
      </c>
      <c r="K36" s="129" t="n">
        <f aca="false">I36+J36</f>
        <v>2660</v>
      </c>
      <c r="L36" s="129" t="n">
        <f aca="false">F36-(I36-AJ36)</f>
        <v>-179.65868414419</v>
      </c>
      <c r="M36" s="233" t="n">
        <v>300</v>
      </c>
      <c r="N36" s="149" t="n">
        <f aca="false">1.8299*1.03</f>
        <v>1.884797</v>
      </c>
      <c r="O36" s="129" t="n">
        <f aca="false">(35+33)*1.05</f>
        <v>71.4</v>
      </c>
      <c r="P36" s="149" t="n">
        <v>0</v>
      </c>
      <c r="Q36" s="283" t="n">
        <f aca="false">2.217*1.02</f>
        <v>2.26134</v>
      </c>
      <c r="R36" s="283" t="n">
        <v>4.2</v>
      </c>
      <c r="S36" s="126" t="n">
        <v>1.3</v>
      </c>
      <c r="T36" s="334" t="n">
        <v>0</v>
      </c>
      <c r="U36" s="129" t="n">
        <v>133</v>
      </c>
      <c r="V36" s="129" t="n">
        <v>79</v>
      </c>
      <c r="W36" s="129" t="n">
        <f aca="false">M36-N36-O36-P36-Q36-R36-S36-T36+U36+V36-AS36+AQ36</f>
        <v>453.503863</v>
      </c>
      <c r="X36" s="129" t="n">
        <f aca="false">W36-AN36</f>
        <v>453.503863</v>
      </c>
      <c r="Y36" s="102" t="n">
        <f aca="false">Y35+AO36</f>
        <v>26737.070994</v>
      </c>
      <c r="Z36" s="129"/>
      <c r="AA36" s="102" t="n">
        <f aca="false">AA35+(X36+AO36)*1.9835-(AI36*1.9835)</f>
        <v>65664.899820645</v>
      </c>
      <c r="AB36" s="102" t="n">
        <f aca="false">AB35-(AP35/1.9835)</f>
        <v>1555.86504610909</v>
      </c>
      <c r="AC36" s="102"/>
      <c r="AD36" s="129" t="n">
        <v>176</v>
      </c>
      <c r="AE36" s="233" t="n">
        <v>1.7</v>
      </c>
      <c r="AF36" s="234" t="n">
        <v>1.3</v>
      </c>
      <c r="AG36" s="415" t="n">
        <v>54</v>
      </c>
      <c r="AH36" s="416" t="n">
        <f aca="false">AH35-AG36</f>
        <v>13744.2578774893</v>
      </c>
      <c r="AI36" s="92"/>
      <c r="AJ36" s="128" t="n">
        <f aca="false">N36+O36+P36+Q36+R36+S36+T36+W36+AD36+AG36+AS36-AQ36</f>
        <v>742</v>
      </c>
      <c r="AK36" s="129" t="n">
        <f aca="false">IF(L36&lt;0,L36*-1,0)</f>
        <v>179.65868414419</v>
      </c>
      <c r="AL36" s="129" t="n">
        <f aca="false">AJ36+AK36</f>
        <v>921.65868414419</v>
      </c>
      <c r="AM36" s="352" t="n">
        <f aca="false">AM35</f>
        <v>13318.4091</v>
      </c>
      <c r="AN36" s="200"/>
      <c r="AO36" s="142" t="n">
        <f aca="false">795-W36</f>
        <v>341.496137</v>
      </c>
      <c r="AP36" s="149" t="n">
        <f aca="false">47.3*(Y36*1.9835+AB36*1.9835)/E36</f>
        <v>12.1704807223243</v>
      </c>
      <c r="AQ36" s="149" t="n">
        <v>22.55</v>
      </c>
      <c r="AR36" s="206"/>
      <c r="AS36" s="169"/>
      <c r="AT36" s="166"/>
      <c r="AU36" s="207" t="n">
        <v>0</v>
      </c>
      <c r="AV36" s="200" t="n">
        <v>72</v>
      </c>
      <c r="AW36" s="200" t="n">
        <v>49</v>
      </c>
      <c r="AX36" s="259"/>
      <c r="AY36" s="235" t="n">
        <f aca="false">SUM(N36,P36:T36)</f>
        <v>9.646137</v>
      </c>
    </row>
    <row r="37" customFormat="false" ht="12.95" hidden="false" customHeight="true" outlineLevel="0" collapsed="false">
      <c r="A37" s="173" t="n">
        <f aca="false">A36+1</f>
        <v>23</v>
      </c>
      <c r="B37" s="101" t="n">
        <v>6922.19</v>
      </c>
      <c r="C37" s="102" t="n">
        <v>373132</v>
      </c>
      <c r="D37" s="200" t="n">
        <f aca="false">C37-C36</f>
        <v>3028</v>
      </c>
      <c r="E37" s="102" t="n">
        <f aca="false">C37-152000</f>
        <v>221132</v>
      </c>
      <c r="F37" s="129" t="n">
        <f aca="false">D37/$D$2</f>
        <v>1526.59440383161</v>
      </c>
      <c r="G37" s="1" t="n">
        <v>2220</v>
      </c>
      <c r="H37" s="4" t="n">
        <v>64</v>
      </c>
      <c r="I37" s="129" t="n">
        <f aca="false">G37+H37</f>
        <v>2284</v>
      </c>
      <c r="J37" s="130" t="n">
        <f aca="false">IF(L37&gt;0,L37,0)</f>
        <v>0</v>
      </c>
      <c r="K37" s="129" t="n">
        <f aca="false">I37+J37</f>
        <v>2284</v>
      </c>
      <c r="L37" s="129" t="n">
        <f aca="false">F37-(I37-AJ37)</f>
        <v>-37.4055961683891</v>
      </c>
      <c r="M37" s="233" t="n">
        <v>278</v>
      </c>
      <c r="N37" s="149" t="n">
        <f aca="false">1.8299*1.03</f>
        <v>1.884797</v>
      </c>
      <c r="O37" s="129" t="n">
        <f aca="false">(24+25)*1.05</f>
        <v>51.45</v>
      </c>
      <c r="P37" s="149" t="n">
        <v>0</v>
      </c>
      <c r="Q37" s="283" t="n">
        <f aca="false">2.217*1.02</f>
        <v>2.26134</v>
      </c>
      <c r="R37" s="283" t="n">
        <v>4.2</v>
      </c>
      <c r="S37" s="126" t="n">
        <v>0.78</v>
      </c>
      <c r="T37" s="334" t="n">
        <v>0</v>
      </c>
      <c r="U37" s="129" t="n">
        <v>134</v>
      </c>
      <c r="V37" s="129" t="n">
        <v>79</v>
      </c>
      <c r="W37" s="129" t="n">
        <f aca="false">M37-N37-O37-P37-Q37-R37-S37-T37+U37+V37-AS37+AQ37</f>
        <v>452.973863</v>
      </c>
      <c r="X37" s="129" t="n">
        <f aca="false">W37-AN37</f>
        <v>452.973863</v>
      </c>
      <c r="Y37" s="102" t="n">
        <f aca="false">Y36+AO37</f>
        <v>27079.097131</v>
      </c>
      <c r="Z37" s="129"/>
      <c r="AA37" s="102" t="n">
        <f aca="false">AA36+(X37+AO37)*1.9835-(AI37*1.9835)</f>
        <v>67241.782320645</v>
      </c>
      <c r="AB37" s="102" t="n">
        <f aca="false">AB36-(AP36/1.9835)</f>
        <v>1549.72918489289</v>
      </c>
      <c r="AC37" s="102"/>
      <c r="AD37" s="129" t="n">
        <v>175</v>
      </c>
      <c r="AE37" s="233" t="n">
        <v>1.7</v>
      </c>
      <c r="AF37" s="234" t="n">
        <v>1.3</v>
      </c>
      <c r="AG37" s="415" t="n">
        <v>54</v>
      </c>
      <c r="AH37" s="416" t="n">
        <f aca="false">AH36-AG37</f>
        <v>13690.2578774893</v>
      </c>
      <c r="AI37" s="92"/>
      <c r="AJ37" s="128" t="n">
        <f aca="false">N37+O37+P37+Q37+R37+S37+T37+W37+AD37+AG37+AS37-AQ37</f>
        <v>720</v>
      </c>
      <c r="AK37" s="129" t="n">
        <f aca="false">IF(L37&lt;0,L37*-1,0)</f>
        <v>37.4055961683891</v>
      </c>
      <c r="AL37" s="129" t="n">
        <f aca="false">AJ37+AK37</f>
        <v>757.405596168389</v>
      </c>
      <c r="AM37" s="352" t="n">
        <f aca="false">AM36</f>
        <v>13318.4091</v>
      </c>
      <c r="AN37" s="200"/>
      <c r="AO37" s="142" t="n">
        <f aca="false">795-W37</f>
        <v>342.026137</v>
      </c>
      <c r="AP37" s="149" t="n">
        <f aca="false">47.3*(Y37*1.9835+AB37*1.9835)/E37</f>
        <v>12.146336134007</v>
      </c>
      <c r="AQ37" s="149" t="n">
        <v>22.55</v>
      </c>
      <c r="AR37" s="206"/>
      <c r="AS37" s="169"/>
      <c r="AT37" s="166"/>
      <c r="AU37" s="207" t="n">
        <v>0</v>
      </c>
      <c r="AV37" s="200" t="n">
        <v>75</v>
      </c>
      <c r="AW37" s="200" t="n">
        <v>47</v>
      </c>
      <c r="AX37" s="259"/>
      <c r="AY37" s="235" t="n">
        <f aca="false">SUM(N37,P37:T37)</f>
        <v>9.126137</v>
      </c>
    </row>
    <row r="38" customFormat="false" ht="12.95" hidden="false" customHeight="true" outlineLevel="0" collapsed="false">
      <c r="A38" s="173" t="n">
        <f aca="false">A37+1</f>
        <v>24</v>
      </c>
      <c r="B38" s="101" t="n">
        <v>6922.78</v>
      </c>
      <c r="C38" s="102" t="n">
        <v>375737</v>
      </c>
      <c r="D38" s="200" t="n">
        <f aca="false">C38-C37</f>
        <v>2605</v>
      </c>
      <c r="E38" s="102" t="n">
        <f aca="false">C38-152000</f>
        <v>223737</v>
      </c>
      <c r="F38" s="129" t="n">
        <f aca="false">D38/$D$2</f>
        <v>1313.33501386438</v>
      </c>
      <c r="G38" s="1" t="n">
        <v>2130</v>
      </c>
      <c r="H38" s="4" t="n">
        <v>15</v>
      </c>
      <c r="I38" s="129" t="n">
        <f aca="false">G38+H38</f>
        <v>2145</v>
      </c>
      <c r="J38" s="130" t="n">
        <f aca="false">IF(L38&gt;0,L38,0)</f>
        <v>0</v>
      </c>
      <c r="K38" s="129" t="n">
        <f aca="false">I38+J38</f>
        <v>2145</v>
      </c>
      <c r="L38" s="129" t="n">
        <f aca="false">F38-(I38-AJ38)</f>
        <v>-28.6649861356188</v>
      </c>
      <c r="M38" s="233" t="n">
        <v>283</v>
      </c>
      <c r="N38" s="149" t="n">
        <f aca="false">1.8299*1.03</f>
        <v>1.884797</v>
      </c>
      <c r="O38" s="129" t="n">
        <f aca="false">(32+32)*1.05</f>
        <v>67.2</v>
      </c>
      <c r="P38" s="149" t="n">
        <v>0</v>
      </c>
      <c r="Q38" s="283" t="n">
        <f aca="false">2.217*1.02</f>
        <v>2.26134</v>
      </c>
      <c r="R38" s="283" t="n">
        <v>4.2</v>
      </c>
      <c r="S38" s="126" t="n">
        <v>1.87</v>
      </c>
      <c r="T38" s="334" t="n">
        <v>0</v>
      </c>
      <c r="U38" s="129" t="n">
        <v>135</v>
      </c>
      <c r="V38" s="129" t="n">
        <v>80</v>
      </c>
      <c r="W38" s="129" t="n">
        <f aca="false">M38-N38-O38-P38-Q38-R38-S38-T38+U38+V38-AS38+AQ38</f>
        <v>443.133863</v>
      </c>
      <c r="X38" s="129" t="n">
        <f aca="false">W38-AN38</f>
        <v>443.133863</v>
      </c>
      <c r="Y38" s="102" t="n">
        <f aca="false">Y37+AO38-AI38</f>
        <v>27271.963268</v>
      </c>
      <c r="Z38" s="129" t="n">
        <f aca="false">AI38</f>
        <v>159</v>
      </c>
      <c r="AA38" s="102" t="n">
        <f aca="false">AA37+(X38+AO38-Z38)*1.9835</f>
        <v>68503.288320645</v>
      </c>
      <c r="AB38" s="102" t="n">
        <f aca="false">AB37-(AP37/1.9835)</f>
        <v>1543.60549639579</v>
      </c>
      <c r="AC38" s="102"/>
      <c r="AD38" s="129" t="n">
        <v>146</v>
      </c>
      <c r="AE38" s="233" t="n">
        <v>1.7</v>
      </c>
      <c r="AF38" s="234" t="n">
        <v>1.3</v>
      </c>
      <c r="AG38" s="418" t="n">
        <v>159</v>
      </c>
      <c r="AH38" s="416" t="n">
        <f aca="false">AH37</f>
        <v>13690.2578774893</v>
      </c>
      <c r="AI38" s="419" t="n">
        <f aca="false">AG38</f>
        <v>159</v>
      </c>
      <c r="AJ38" s="128" t="n">
        <f aca="false">N38+O38+P38+Q38+R38+S38+T38+W38+AD38+AG38+AS38-AQ38</f>
        <v>803</v>
      </c>
      <c r="AK38" s="129" t="n">
        <f aca="false">IF(L38&lt;0,L38*-1,0)</f>
        <v>28.6649861356188</v>
      </c>
      <c r="AL38" s="129" t="n">
        <f aca="false">AJ38+AK38</f>
        <v>831.664986135619</v>
      </c>
      <c r="AM38" s="352" t="n">
        <f aca="false">AM37</f>
        <v>13318.4091</v>
      </c>
      <c r="AN38" s="200"/>
      <c r="AO38" s="142" t="n">
        <f aca="false">795-W38</f>
        <v>351.866137</v>
      </c>
      <c r="AP38" s="149" t="n">
        <f aca="false">47.3*(Y38*1.9835+AB38*1.9835)/E38</f>
        <v>12.083221346803</v>
      </c>
      <c r="AQ38" s="149" t="n">
        <v>22.55</v>
      </c>
      <c r="AR38" s="206"/>
      <c r="AS38" s="169"/>
      <c r="AT38" s="166"/>
      <c r="AU38" s="207" t="n">
        <v>0</v>
      </c>
      <c r="AV38" s="200" t="n">
        <v>54</v>
      </c>
      <c r="AW38" s="200" t="n">
        <v>35</v>
      </c>
      <c r="AX38" s="259"/>
      <c r="AY38" s="235" t="n">
        <f aca="false">SUM(N38,P38:T38)</f>
        <v>10.216137</v>
      </c>
    </row>
    <row r="39" customFormat="false" ht="12.95" hidden="false" customHeight="true" outlineLevel="0" collapsed="false">
      <c r="A39" s="173" t="n">
        <f aca="false">A38+1</f>
        <v>25</v>
      </c>
      <c r="B39" s="101" t="n">
        <v>6922.98</v>
      </c>
      <c r="C39" s="102" t="n">
        <v>376620</v>
      </c>
      <c r="D39" s="200" t="n">
        <f aca="false">C39-C38</f>
        <v>883</v>
      </c>
      <c r="E39" s="102" t="n">
        <f aca="false">C39-152000</f>
        <v>224620</v>
      </c>
      <c r="F39" s="129" t="n">
        <f aca="false">D39/$D$2</f>
        <v>445.172674565163</v>
      </c>
      <c r="G39" s="1" t="n">
        <v>1600</v>
      </c>
      <c r="H39" s="4" t="n">
        <v>5.9</v>
      </c>
      <c r="I39" s="129" t="n">
        <f aca="false">G39+H39</f>
        <v>1605.9</v>
      </c>
      <c r="J39" s="130" t="n">
        <f aca="false">IF(L39&gt;0,L39,0)</f>
        <v>48.2726745651625</v>
      </c>
      <c r="K39" s="129" t="n">
        <f aca="false">I39+J39</f>
        <v>1654.17267456516</v>
      </c>
      <c r="L39" s="129" t="n">
        <f aca="false">F39-(I39-AJ39)</f>
        <v>48.2726745651625</v>
      </c>
      <c r="M39" s="233" t="n">
        <v>288</v>
      </c>
      <c r="N39" s="149" t="n">
        <f aca="false">1.8299*1.03</f>
        <v>1.884797</v>
      </c>
      <c r="O39" s="129" t="n">
        <f aca="false">(33+32)*1.05</f>
        <v>68.25</v>
      </c>
      <c r="P39" s="149" t="n">
        <v>0</v>
      </c>
      <c r="Q39" s="283" t="n">
        <f aca="false">2.217*1.02</f>
        <v>2.26134</v>
      </c>
      <c r="R39" s="283" t="n">
        <v>4.2</v>
      </c>
      <c r="S39" s="126" t="n">
        <v>2.24</v>
      </c>
      <c r="T39" s="334" t="n">
        <v>0</v>
      </c>
      <c r="U39" s="129" t="n">
        <v>138</v>
      </c>
      <c r="V39" s="129" t="n">
        <v>79</v>
      </c>
      <c r="W39" s="129" t="n">
        <f aca="false">M39-N39-O39-P39-Q39-R39-S39-T39+U39+V39-AS39+AQ39</f>
        <v>448.713863</v>
      </c>
      <c r="X39" s="129" t="n">
        <f aca="false">W39-AN39</f>
        <v>448.713863</v>
      </c>
      <c r="Y39" s="102" t="n">
        <f aca="false">Y38+AO39-AI39</f>
        <v>27111.249405</v>
      </c>
      <c r="Z39" s="129" t="n">
        <f aca="false">AI39</f>
        <v>507</v>
      </c>
      <c r="AA39" s="102" t="n">
        <f aca="false">AA38+(X39+AO39-Z39)*1.9835</f>
        <v>69074.536320645</v>
      </c>
      <c r="AB39" s="102" t="n">
        <f aca="false">AB38-(AP38/1.9835)</f>
        <v>1537.51362780653</v>
      </c>
      <c r="AC39" s="102"/>
      <c r="AD39" s="129" t="n">
        <v>197</v>
      </c>
      <c r="AE39" s="233" t="n">
        <v>1.7</v>
      </c>
      <c r="AF39" s="234" t="n">
        <v>1.3</v>
      </c>
      <c r="AG39" s="418" t="n">
        <v>507</v>
      </c>
      <c r="AH39" s="416" t="n">
        <f aca="false">AH38</f>
        <v>13690.2578774893</v>
      </c>
      <c r="AI39" s="419" t="n">
        <f aca="false">AG39</f>
        <v>507</v>
      </c>
      <c r="AJ39" s="128" t="n">
        <f aca="false">N39+O39+P39+Q39+R39+S39+T39+W39+AD39+AG39+AS39-AQ39</f>
        <v>1209</v>
      </c>
      <c r="AK39" s="129" t="n">
        <f aca="false">IF(L39&lt;0,L39*-1,0)</f>
        <v>0</v>
      </c>
      <c r="AL39" s="129" t="n">
        <f aca="false">AJ39+AK39</f>
        <v>1209</v>
      </c>
      <c r="AM39" s="352" t="n">
        <f aca="false">AM38</f>
        <v>13318.4091</v>
      </c>
      <c r="AN39" s="200"/>
      <c r="AO39" s="142" t="n">
        <f aca="false">795-W39</f>
        <v>346.286137</v>
      </c>
      <c r="AP39" s="149" t="n">
        <f aca="false">47.3*(Y39*1.9835+AB39*1.9835)/E39</f>
        <v>11.9660495761488</v>
      </c>
      <c r="AQ39" s="149" t="n">
        <v>22.55</v>
      </c>
      <c r="AR39" s="206"/>
      <c r="AS39" s="169"/>
      <c r="AT39" s="166"/>
      <c r="AU39" s="207" t="n">
        <v>0</v>
      </c>
      <c r="AV39" s="200" t="n">
        <v>68</v>
      </c>
      <c r="AW39" s="200" t="n">
        <v>38</v>
      </c>
      <c r="AX39" s="259"/>
      <c r="AY39" s="235" t="n">
        <f aca="false">SUM(N39,P39:T39)</f>
        <v>10.586137</v>
      </c>
    </row>
    <row r="40" customFormat="false" ht="12.95" hidden="false" customHeight="true" outlineLevel="0" collapsed="false">
      <c r="A40" s="173" t="n">
        <f aca="false">A39+1</f>
        <v>26</v>
      </c>
      <c r="B40" s="101" t="n">
        <v>6923.03</v>
      </c>
      <c r="C40" s="102" t="n">
        <v>376842</v>
      </c>
      <c r="D40" s="200" t="n">
        <f aca="false">C40-C39</f>
        <v>222</v>
      </c>
      <c r="E40" s="102" t="n">
        <f aca="false">C40-152000</f>
        <v>224842</v>
      </c>
      <c r="F40" s="129" t="n">
        <f aca="false">D40/$D$2</f>
        <v>111.92336778422</v>
      </c>
      <c r="G40" s="1" t="n">
        <v>1640</v>
      </c>
      <c r="H40" s="4" t="n">
        <v>3.4</v>
      </c>
      <c r="I40" s="129" t="n">
        <f aca="false">G40+H40</f>
        <v>1643.4</v>
      </c>
      <c r="J40" s="130" t="n">
        <f aca="false">IF(L40&gt;0,L40,0)</f>
        <v>93.5233677842197</v>
      </c>
      <c r="K40" s="129" t="n">
        <f aca="false">I40+J40</f>
        <v>1736.92336778422</v>
      </c>
      <c r="L40" s="129" t="n">
        <f aca="false">F40-(I40-AJ40)</f>
        <v>93.5233677842197</v>
      </c>
      <c r="M40" s="233" t="n">
        <v>303</v>
      </c>
      <c r="N40" s="149" t="n">
        <f aca="false">1.8299*1.03</f>
        <v>1.884797</v>
      </c>
      <c r="O40" s="129" t="n">
        <f aca="false">(26+26)*1.05</f>
        <v>54.6</v>
      </c>
      <c r="P40" s="149" t="n">
        <v>0</v>
      </c>
      <c r="Q40" s="283" t="n">
        <f aca="false">2.217*1.02</f>
        <v>2.26134</v>
      </c>
      <c r="R40" s="283" t="n">
        <v>4.2</v>
      </c>
      <c r="S40" s="126" t="n">
        <v>2.38</v>
      </c>
      <c r="T40" s="334" t="n">
        <v>0</v>
      </c>
      <c r="U40" s="129" t="n">
        <v>261</v>
      </c>
      <c r="V40" s="129" t="n">
        <v>73</v>
      </c>
      <c r="W40" s="129" t="n">
        <f aca="false">M40-N40-O40-P40-Q40-R40-S40-T40+U40+V40-AS40+AQ40</f>
        <v>594.223863</v>
      </c>
      <c r="X40" s="129" t="n">
        <f aca="false">W40-AN40</f>
        <v>594.223863</v>
      </c>
      <c r="Y40" s="102" t="n">
        <f aca="false">Y39+AO40-AI40</f>
        <v>26563.025542</v>
      </c>
      <c r="Z40" s="129" t="n">
        <f aca="false">AI40</f>
        <v>749</v>
      </c>
      <c r="AA40" s="102" t="n">
        <f aca="false">AA39+(X40-109+AO40-Z40)*1.9835</f>
        <v>68949.575820645</v>
      </c>
      <c r="AB40" s="102" t="n">
        <f aca="false">AB39-(AP39/1.9835)</f>
        <v>1531.48083245682</v>
      </c>
      <c r="AC40" s="102"/>
      <c r="AD40" s="129" t="n">
        <v>239</v>
      </c>
      <c r="AE40" s="233" t="n">
        <v>1.7</v>
      </c>
      <c r="AF40" s="234" t="n">
        <v>1.3</v>
      </c>
      <c r="AG40" s="418" t="n">
        <v>749</v>
      </c>
      <c r="AH40" s="416" t="n">
        <f aca="false">AH39</f>
        <v>13690.2578774893</v>
      </c>
      <c r="AI40" s="419" t="n">
        <f aca="false">AG40</f>
        <v>749</v>
      </c>
      <c r="AJ40" s="128" t="n">
        <f aca="false">N40+O40+P40+Q40+R40+S40+T40+W40+AD40+AG40+AS40-AQ40</f>
        <v>1625</v>
      </c>
      <c r="AK40" s="129" t="n">
        <f aca="false">IF(L40&lt;0,L40*-1,0)</f>
        <v>0</v>
      </c>
      <c r="AL40" s="129" t="n">
        <f aca="false">AJ40+AK40</f>
        <v>1625</v>
      </c>
      <c r="AM40" s="352" t="n">
        <f aca="false">AM39+(133*1.9835)</f>
        <v>13582.2146</v>
      </c>
      <c r="AN40" s="200"/>
      <c r="AO40" s="142" t="n">
        <f aca="false">795-W40</f>
        <v>200.776137</v>
      </c>
      <c r="AP40" s="149" t="n">
        <f aca="false">47.3*(Y40*1.9835+AB40*1.9835)/E40</f>
        <v>11.722960770335</v>
      </c>
      <c r="AQ40" s="149" t="n">
        <v>22.55</v>
      </c>
      <c r="AR40" s="206"/>
      <c r="AS40" s="169"/>
      <c r="AT40" s="166"/>
      <c r="AU40" s="207" t="n">
        <v>0</v>
      </c>
      <c r="AV40" s="200" t="n">
        <v>77</v>
      </c>
      <c r="AW40" s="200" t="n">
        <v>42</v>
      </c>
      <c r="AX40" s="259"/>
      <c r="AY40" s="235" t="n">
        <f aca="false">SUM(N40,P40:T40)</f>
        <v>10.726137</v>
      </c>
    </row>
    <row r="41" customFormat="false" ht="12.95" hidden="false" customHeight="true" outlineLevel="0" collapsed="false">
      <c r="A41" s="173" t="n">
        <f aca="false">A40+1</f>
        <v>27</v>
      </c>
      <c r="B41" s="101" t="n">
        <v>6923.1</v>
      </c>
      <c r="C41" s="102" t="n">
        <v>377154</v>
      </c>
      <c r="D41" s="200" t="n">
        <f aca="false">C41-C40</f>
        <v>312</v>
      </c>
      <c r="E41" s="102" t="n">
        <f aca="false">C41-152000</f>
        <v>225154</v>
      </c>
      <c r="F41" s="129" t="n">
        <f aca="false">D41/$D$2</f>
        <v>157.29770607512</v>
      </c>
      <c r="G41" s="1" t="n">
        <v>1940</v>
      </c>
      <c r="H41" s="4" t="n">
        <v>2.9</v>
      </c>
      <c r="I41" s="129" t="n">
        <f aca="false">G41+H41</f>
        <v>1942.9</v>
      </c>
      <c r="J41" s="130" t="n">
        <f aca="false">IF(L41&gt;0,L41,0)</f>
        <v>22.3977060751197</v>
      </c>
      <c r="K41" s="129" t="n">
        <f aca="false">I41+J41</f>
        <v>1965.29770607512</v>
      </c>
      <c r="L41" s="129" t="n">
        <f aca="false">F41-(I41-AJ41)</f>
        <v>22.3977060751197</v>
      </c>
      <c r="M41" s="233" t="n">
        <v>335</v>
      </c>
      <c r="N41" s="149" t="n">
        <f aca="false">1.8299*1.03</f>
        <v>1.884797</v>
      </c>
      <c r="O41" s="129" t="n">
        <f aca="false">(39+37)*1.05</f>
        <v>79.8</v>
      </c>
      <c r="P41" s="149" t="n">
        <v>0.69</v>
      </c>
      <c r="Q41" s="283" t="n">
        <f aca="false">2.217*1.02</f>
        <v>2.26134</v>
      </c>
      <c r="R41" s="283" t="n">
        <v>4.2</v>
      </c>
      <c r="S41" s="126" t="n">
        <v>3.98</v>
      </c>
      <c r="T41" s="334" t="n">
        <v>0</v>
      </c>
      <c r="U41" s="129" t="n">
        <v>368</v>
      </c>
      <c r="V41" s="129" t="n">
        <v>71</v>
      </c>
      <c r="W41" s="129" t="n">
        <f aca="false">M41-N41-O41-P41-Q41-R41-S41-T41+U41+V41-AS41+AQ41</f>
        <v>703.733863</v>
      </c>
      <c r="X41" s="129" t="n">
        <f aca="false">W41-AN41</f>
        <v>703.733863</v>
      </c>
      <c r="Y41" s="102" t="n">
        <f aca="false">Y40+AO41-AI41</f>
        <v>25861.291679</v>
      </c>
      <c r="Z41" s="129" t="n">
        <f aca="false">AI41</f>
        <v>793</v>
      </c>
      <c r="AA41" s="102" t="n">
        <f aca="false">AA40+(X41-206+AO41-Z41)*1.9835</f>
        <v>68544.941820645</v>
      </c>
      <c r="AB41" s="102" t="n">
        <f aca="false">AB40-(AP40/1.9835)</f>
        <v>1525.57059259277</v>
      </c>
      <c r="AC41" s="102"/>
      <c r="AD41" s="129" t="n">
        <v>241</v>
      </c>
      <c r="AE41" s="233" t="n">
        <v>1.7</v>
      </c>
      <c r="AF41" s="234" t="n">
        <v>1.3</v>
      </c>
      <c r="AG41" s="418" t="n">
        <v>793</v>
      </c>
      <c r="AH41" s="416" t="n">
        <f aca="false">AH40</f>
        <v>13690.2578774893</v>
      </c>
      <c r="AI41" s="419" t="n">
        <f aca="false">AG41</f>
        <v>793</v>
      </c>
      <c r="AJ41" s="128" t="n">
        <f aca="false">N41+O41+P41+Q41+R41+S41+T41+W41+AD41+AG41+AS41-AQ41</f>
        <v>1808</v>
      </c>
      <c r="AK41" s="129" t="n">
        <f aca="false">IF(L41&lt;0,L41*-1,0)</f>
        <v>0</v>
      </c>
      <c r="AL41" s="129" t="n">
        <f aca="false">AJ41+AK41</f>
        <v>1808</v>
      </c>
      <c r="AM41" s="352" t="n">
        <f aca="false">AM40+(206*1.9835)</f>
        <v>13990.8156</v>
      </c>
      <c r="AN41" s="200"/>
      <c r="AO41" s="142" t="n">
        <f aca="false">795-W41</f>
        <v>91.2661370000001</v>
      </c>
      <c r="AP41" s="149" t="n">
        <f aca="false">47.3*(Y41*1.9835+AB41*1.9835)/E41</f>
        <v>11.4118474210221</v>
      </c>
      <c r="AQ41" s="149" t="n">
        <v>22.55</v>
      </c>
      <c r="AR41" s="206"/>
      <c r="AS41" s="169"/>
      <c r="AT41" s="166"/>
      <c r="AU41" s="207" t="n">
        <v>0</v>
      </c>
      <c r="AV41" s="200" t="n">
        <v>81</v>
      </c>
      <c r="AW41" s="200" t="n">
        <v>45</v>
      </c>
      <c r="AX41" s="259"/>
      <c r="AY41" s="235" t="n">
        <f aca="false">SUM(N41,P41:T41)</f>
        <v>13.016137</v>
      </c>
    </row>
    <row r="42" customFormat="false" ht="12.95" hidden="false" customHeight="true" outlineLevel="0" collapsed="false">
      <c r="A42" s="173" t="n">
        <v>28</v>
      </c>
      <c r="B42" s="101" t="n">
        <v>6923.36</v>
      </c>
      <c r="C42" s="102" t="n">
        <v>378311</v>
      </c>
      <c r="D42" s="200" t="n">
        <f aca="false">C42-C41</f>
        <v>1157</v>
      </c>
      <c r="E42" s="102" t="n">
        <f aca="false">C42-152000</f>
        <v>226311</v>
      </c>
      <c r="F42" s="129" t="n">
        <f aca="false">D42/$D$2</f>
        <v>583.312326695236</v>
      </c>
      <c r="G42" s="1" t="n">
        <v>2410</v>
      </c>
      <c r="H42" s="4" t="n">
        <v>2.8</v>
      </c>
      <c r="I42" s="129" t="n">
        <f aca="false">G42+H42</f>
        <v>2412.8</v>
      </c>
      <c r="J42" s="130" t="n">
        <f aca="false">IF(L42&gt;0,L42,0)</f>
        <v>0</v>
      </c>
      <c r="K42" s="129" t="n">
        <f aca="false">I42+J42</f>
        <v>2412.8</v>
      </c>
      <c r="L42" s="129" t="n">
        <f aca="false">F42-(I42-AJ42)</f>
        <v>-41.4876733047645</v>
      </c>
      <c r="M42" s="233" t="n">
        <v>322</v>
      </c>
      <c r="N42" s="149" t="n">
        <f aca="false">1.8299*1.03</f>
        <v>1.884797</v>
      </c>
      <c r="O42" s="129" t="n">
        <f aca="false">(38+35)*1.05</f>
        <v>76.65</v>
      </c>
      <c r="P42" s="149" t="n">
        <v>1.5</v>
      </c>
      <c r="Q42" s="283" t="n">
        <f aca="false">2.217*1.02</f>
        <v>2.26134</v>
      </c>
      <c r="R42" s="283" t="n">
        <v>4.2</v>
      </c>
      <c r="S42" s="126" t="n">
        <v>2.82</v>
      </c>
      <c r="T42" s="334" t="n">
        <v>0</v>
      </c>
      <c r="U42" s="129" t="n">
        <v>349</v>
      </c>
      <c r="V42" s="129" t="n">
        <v>75</v>
      </c>
      <c r="W42" s="129" t="n">
        <f aca="false">M42-N42-O42-P42-Q42-R42-S42-T42+U42+V42-AS42+AQ42</f>
        <v>679.233863</v>
      </c>
      <c r="X42" s="129" t="n">
        <f aca="false">W42-AN42</f>
        <v>679.233863</v>
      </c>
      <c r="Y42" s="102" t="n">
        <f aca="false">Y41+AO42-AI42</f>
        <v>25184.057816</v>
      </c>
      <c r="Z42" s="129" t="n">
        <f aca="false">AI42</f>
        <v>793</v>
      </c>
      <c r="AA42" s="102" t="n">
        <f aca="false">AA41+(X42-214+AO42-Z42)*1.9835</f>
        <v>68124.439820645</v>
      </c>
      <c r="AB42" s="102" t="n">
        <f aca="false">AB41-(AP41/1.9835)</f>
        <v>1519.8172034216</v>
      </c>
      <c r="AC42" s="102"/>
      <c r="AD42" s="129" t="n">
        <v>249</v>
      </c>
      <c r="AE42" s="233" t="n">
        <v>1.7</v>
      </c>
      <c r="AF42" s="234" t="n">
        <v>1.3</v>
      </c>
      <c r="AG42" s="418" t="n">
        <v>793</v>
      </c>
      <c r="AH42" s="416" t="n">
        <f aca="false">AH41</f>
        <v>13690.2578774893</v>
      </c>
      <c r="AI42" s="419" t="n">
        <f aca="false">AG42</f>
        <v>793</v>
      </c>
      <c r="AJ42" s="128" t="n">
        <f aca="false">N42+O42+P42+Q42+R42+S42+T42+W42+AD42+AG42+AS42-AQ42</f>
        <v>1788</v>
      </c>
      <c r="AK42" s="129" t="n">
        <f aca="false">IF(L42&lt;0,L42*-1,0)</f>
        <v>41.4876733047645</v>
      </c>
      <c r="AL42" s="129" t="n">
        <f aca="false">AJ42+AK42</f>
        <v>1829.48767330476</v>
      </c>
      <c r="AM42" s="352" t="n">
        <f aca="false">AM41+(214*1.9835)</f>
        <v>14415.2846</v>
      </c>
      <c r="AN42" s="200"/>
      <c r="AO42" s="142" t="n">
        <f aca="false">795-W42</f>
        <v>115.766137</v>
      </c>
      <c r="AP42" s="149" t="n">
        <f aca="false">47.3*(Y42*1.9835+AB42*1.9835)/E42</f>
        <v>11.0703657249465</v>
      </c>
      <c r="AQ42" s="149" t="n">
        <v>22.55</v>
      </c>
      <c r="AR42" s="206"/>
      <c r="AS42" s="169"/>
      <c r="AT42" s="166"/>
      <c r="AU42" s="207" t="n">
        <v>0</v>
      </c>
      <c r="AV42" s="200" t="n">
        <v>83</v>
      </c>
      <c r="AW42" s="200" t="n">
        <v>52</v>
      </c>
      <c r="AX42" s="259"/>
      <c r="AY42" s="235" t="n">
        <f aca="false">SUM(N42,P42:T42)</f>
        <v>12.666137</v>
      </c>
    </row>
    <row r="43" customFormat="false" ht="12.95" hidden="false" customHeight="true" outlineLevel="0" collapsed="false">
      <c r="A43" s="173" t="n">
        <v>29</v>
      </c>
      <c r="B43" s="101" t="n">
        <v>6923.78</v>
      </c>
      <c r="C43" s="102" t="n">
        <v>380181</v>
      </c>
      <c r="D43" s="200" t="n">
        <f aca="false">C43-C42</f>
        <v>1870</v>
      </c>
      <c r="E43" s="102" t="n">
        <f aca="false">C43-152000</f>
        <v>228181</v>
      </c>
      <c r="F43" s="129" t="n">
        <f aca="false">D43/$D$2</f>
        <v>942.777917822032</v>
      </c>
      <c r="G43" s="1" t="n">
        <v>2690</v>
      </c>
      <c r="H43" s="4" t="n">
        <v>3.9</v>
      </c>
      <c r="I43" s="129" t="n">
        <f aca="false">G43+H43</f>
        <v>2693.9</v>
      </c>
      <c r="J43" s="130" t="n">
        <f aca="false">IF(L43&gt;0,L43,0)</f>
        <v>34.8779178220317</v>
      </c>
      <c r="K43" s="129" t="n">
        <f aca="false">I43+J43</f>
        <v>2728.77791782203</v>
      </c>
      <c r="L43" s="129" t="n">
        <f aca="false">F43-(I43-AJ43)</f>
        <v>34.8779178220317</v>
      </c>
      <c r="M43" s="233" t="n">
        <v>314</v>
      </c>
      <c r="N43" s="149" t="n">
        <f aca="false">1.8299*1.03</f>
        <v>1.884797</v>
      </c>
      <c r="O43" s="129" t="n">
        <f aca="false">(24+26)*1.05</f>
        <v>52.5</v>
      </c>
      <c r="P43" s="149" t="n">
        <v>1.5</v>
      </c>
      <c r="Q43" s="283" t="n">
        <f aca="false">2.217*1.02</f>
        <v>2.26134</v>
      </c>
      <c r="R43" s="283" t="n">
        <v>4.2</v>
      </c>
      <c r="S43" s="126" t="n">
        <v>2.26</v>
      </c>
      <c r="T43" s="334" t="n">
        <v>0</v>
      </c>
      <c r="U43" s="129" t="n">
        <v>351</v>
      </c>
      <c r="V43" s="129" t="n">
        <v>76</v>
      </c>
      <c r="W43" s="129" t="n">
        <f aca="false">M43-N43-O43-P43-Q43-R43-S43-T43+U43+V43-AS43+AQ43</f>
        <v>698.943863</v>
      </c>
      <c r="X43" s="129" t="n">
        <f aca="false">W43-AN43</f>
        <v>698.943863</v>
      </c>
      <c r="Y43" s="102" t="n">
        <f aca="false">Y42+AO43-AI43</f>
        <v>24487.113953</v>
      </c>
      <c r="Z43" s="129" t="n">
        <f aca="false">AI43</f>
        <v>793</v>
      </c>
      <c r="AA43" s="102" t="n">
        <f aca="false">AA42+(X43-216+AO43-Z43)*1.9835</f>
        <v>67699.970820645</v>
      </c>
      <c r="AB43" s="102" t="n">
        <f aca="false">AB42-(AP42/1.9835)</f>
        <v>1514.23597542818</v>
      </c>
      <c r="AC43" s="102"/>
      <c r="AD43" s="129" t="n">
        <v>252</v>
      </c>
      <c r="AE43" s="233" t="n">
        <v>1.7</v>
      </c>
      <c r="AF43" s="234" t="n">
        <v>1.3</v>
      </c>
      <c r="AG43" s="418" t="n">
        <v>793</v>
      </c>
      <c r="AH43" s="416" t="n">
        <f aca="false">AH42</f>
        <v>13690.2578774893</v>
      </c>
      <c r="AI43" s="419" t="n">
        <f aca="false">AG43</f>
        <v>793</v>
      </c>
      <c r="AJ43" s="128" t="n">
        <f aca="false">N43+O43+P43+Q43+R43+S43+T43+W43+AD43+AG43+AS43-AQ43</f>
        <v>1786</v>
      </c>
      <c r="AK43" s="129" t="n">
        <f aca="false">IF(L43&lt;0,L43*-1,0)</f>
        <v>0</v>
      </c>
      <c r="AL43" s="129" t="n">
        <f aca="false">AJ43+AK43</f>
        <v>1786</v>
      </c>
      <c r="AM43" s="352" t="n">
        <f aca="false">AM42+(216*1.9835)</f>
        <v>14843.7206</v>
      </c>
      <c r="AN43" s="200"/>
      <c r="AO43" s="142" t="n">
        <f aca="false">795-W43</f>
        <v>96.056137</v>
      </c>
      <c r="AP43" s="149" t="n">
        <f aca="false">47.3*(Y43*1.9835+AB43*1.9835)/E43</f>
        <v>10.6907891089866</v>
      </c>
      <c r="AQ43" s="149" t="n">
        <v>22.55</v>
      </c>
      <c r="AR43" s="206"/>
      <c r="AS43" s="169"/>
      <c r="AT43" s="166"/>
      <c r="AU43" s="207" t="n">
        <v>0</v>
      </c>
      <c r="AV43" s="200" t="n">
        <v>68</v>
      </c>
      <c r="AW43" s="200" t="n">
        <v>43</v>
      </c>
      <c r="AX43" s="259"/>
      <c r="AY43" s="235" t="n">
        <f aca="false">SUM(N43,P43:T43)</f>
        <v>12.106137</v>
      </c>
    </row>
    <row r="44" customFormat="false" ht="12.95" hidden="false" customHeight="true" outlineLevel="0" collapsed="false">
      <c r="A44" s="173" t="n">
        <v>30</v>
      </c>
      <c r="B44" s="101" t="n">
        <v>6924.01</v>
      </c>
      <c r="C44" s="102" t="n">
        <v>381205</v>
      </c>
      <c r="D44" s="200" t="n">
        <f aca="false">C44-C43</f>
        <v>1024</v>
      </c>
      <c r="E44" s="102" t="n">
        <f aca="false">C44-152000</f>
        <v>229205</v>
      </c>
      <c r="F44" s="129" t="n">
        <f aca="false">D44/$D$2</f>
        <v>516.259137887572</v>
      </c>
      <c r="G44" s="1" t="n">
        <v>2260</v>
      </c>
      <c r="H44" s="4" t="n">
        <v>3.3</v>
      </c>
      <c r="I44" s="129" t="n">
        <f aca="false">G44+H44</f>
        <v>2263.3</v>
      </c>
      <c r="J44" s="130" t="n">
        <f aca="false">IF(L44&gt;0,L44,0)</f>
        <v>0</v>
      </c>
      <c r="K44" s="129" t="n">
        <f aca="false">I44+J44</f>
        <v>2263.3</v>
      </c>
      <c r="L44" s="129" t="n">
        <f aca="false">F44-(I44-AJ44)</f>
        <v>-14.0408621124277</v>
      </c>
      <c r="M44" s="233" t="n">
        <v>310</v>
      </c>
      <c r="N44" s="149" t="n">
        <f aca="false">1.8299*1.03</f>
        <v>1.884797</v>
      </c>
      <c r="O44" s="129" t="n">
        <f aca="false">(21+21)*1.05</f>
        <v>44.1</v>
      </c>
      <c r="P44" s="149" t="n">
        <v>1.5</v>
      </c>
      <c r="Q44" s="283" t="n">
        <f aca="false">2.217*1.02</f>
        <v>2.26134</v>
      </c>
      <c r="R44" s="283" t="n">
        <v>4.2</v>
      </c>
      <c r="S44" s="126" t="n">
        <v>2.6</v>
      </c>
      <c r="T44" s="334" t="n">
        <v>0</v>
      </c>
      <c r="U44" s="129" t="n">
        <v>224</v>
      </c>
      <c r="V44" s="129" t="n">
        <v>75</v>
      </c>
      <c r="W44" s="129" t="n">
        <f aca="false">M44-N44-O44-P44-Q44-R44-S44-T44+U44+V44-AS44+AQ44</f>
        <v>575.003863</v>
      </c>
      <c r="X44" s="129" t="n">
        <f aca="false">W44-AN44</f>
        <v>575.003863</v>
      </c>
      <c r="Y44" s="102" t="n">
        <f aca="false">Y43+AO44-AI44</f>
        <v>23575.113953</v>
      </c>
      <c r="Z44" s="129" t="n">
        <f aca="false">AI44</f>
        <v>912</v>
      </c>
      <c r="AA44" s="102" t="n">
        <f aca="false">AA43+(X44-88+AO44-Z44)*1.9835</f>
        <v>66856.9909829055</v>
      </c>
      <c r="AB44" s="102" t="n">
        <f aca="false">AB43-(AP43/1.9835)</f>
        <v>1508.8461145212</v>
      </c>
      <c r="AC44" s="102"/>
      <c r="AD44" s="129" t="n">
        <v>212</v>
      </c>
      <c r="AE44" s="233" t="n">
        <v>1.7</v>
      </c>
      <c r="AF44" s="234" t="n">
        <v>1.3</v>
      </c>
      <c r="AG44" s="418" t="n">
        <v>912</v>
      </c>
      <c r="AH44" s="416" t="n">
        <f aca="false">AH43</f>
        <v>13690.2578774893</v>
      </c>
      <c r="AI44" s="419" t="n">
        <f aca="false">AG44</f>
        <v>912</v>
      </c>
      <c r="AJ44" s="128" t="n">
        <f aca="false">N44+O44+P44+Q44+R44+S44+T44+W44+AD44+AG44+AS44-AQ44</f>
        <v>1733</v>
      </c>
      <c r="AK44" s="129" t="n">
        <f aca="false">IF(L44&lt;0,L44*-1,0)</f>
        <v>14.0408621124277</v>
      </c>
      <c r="AL44" s="129" t="n">
        <f aca="false">AJ44+AK44</f>
        <v>1747.04086211243</v>
      </c>
      <c r="AM44" s="352" t="n">
        <f aca="false">AM43+(64.3*1.9835)</f>
        <v>14971.25965</v>
      </c>
      <c r="AN44" s="200"/>
      <c r="AO44" s="142" t="n">
        <v>0</v>
      </c>
      <c r="AP44" s="149" t="n">
        <f aca="false">47.3*(Y44*1.9835+AB44*1.9835)/E44</f>
        <v>10.2675153061792</v>
      </c>
      <c r="AQ44" s="149" t="n">
        <v>22.55</v>
      </c>
      <c r="AR44" s="206"/>
      <c r="AS44" s="169"/>
      <c r="AT44" s="166"/>
      <c r="AU44" s="207" t="n">
        <v>0</v>
      </c>
      <c r="AV44" s="200" t="n">
        <v>70</v>
      </c>
      <c r="AW44" s="200" t="n">
        <v>38</v>
      </c>
      <c r="AX44" s="259"/>
      <c r="AY44" s="235" t="n">
        <f aca="false">SUM(N44,P44:T44)</f>
        <v>12.446137</v>
      </c>
    </row>
    <row r="45" customFormat="false" ht="12.95" hidden="false" customHeight="true" outlineLevel="0" collapsed="false">
      <c r="A45" s="173" t="n">
        <v>31</v>
      </c>
      <c r="B45" s="101" t="n">
        <v>6924.06</v>
      </c>
      <c r="C45" s="102" t="n">
        <v>381429</v>
      </c>
      <c r="D45" s="200" t="n">
        <f aca="false">C45-C44</f>
        <v>224</v>
      </c>
      <c r="E45" s="102" t="n">
        <f aca="false">C45-152000</f>
        <v>229429</v>
      </c>
      <c r="F45" s="129" t="n">
        <f aca="false">D45/$D$2</f>
        <v>112.931686412906</v>
      </c>
      <c r="G45" s="1" t="n">
        <v>1900</v>
      </c>
      <c r="H45" s="4" t="n">
        <v>2.9</v>
      </c>
      <c r="I45" s="129" t="n">
        <f aca="false">G45+H45</f>
        <v>1902.9</v>
      </c>
      <c r="J45" s="130" t="n">
        <f aca="false">IF(L45&gt;0,L45,0)</f>
        <v>20.0316864129066</v>
      </c>
      <c r="K45" s="129" t="n">
        <f aca="false">I45+J45</f>
        <v>1922.93168641291</v>
      </c>
      <c r="L45" s="129" t="n">
        <f aca="false">F45-(I45-AJ45)</f>
        <v>20.0316864129066</v>
      </c>
      <c r="M45" s="233" t="n">
        <v>319</v>
      </c>
      <c r="N45" s="149" t="n">
        <f aca="false">1.8299*1.03</f>
        <v>1.884797</v>
      </c>
      <c r="O45" s="129" t="n">
        <f aca="false">(29+29)*1.05</f>
        <v>60.9</v>
      </c>
      <c r="P45" s="149" t="n">
        <v>1.5</v>
      </c>
      <c r="Q45" s="283" t="n">
        <f aca="false">2.217*1.02</f>
        <v>2.26134</v>
      </c>
      <c r="R45" s="283" t="n">
        <v>4.2</v>
      </c>
      <c r="S45" s="126" t="n">
        <v>2.39</v>
      </c>
      <c r="T45" s="334" t="n">
        <v>0</v>
      </c>
      <c r="U45" s="129" t="n">
        <v>136</v>
      </c>
      <c r="V45" s="129" t="n">
        <v>75</v>
      </c>
      <c r="W45" s="129" t="n">
        <f aca="false">M45-N45-O45-P45-Q45-R45-S45-T45+U45+V45-AS45+AQ45</f>
        <v>479.415863</v>
      </c>
      <c r="X45" s="129" t="n">
        <f aca="false">W45-AN45</f>
        <v>479.415863</v>
      </c>
      <c r="Y45" s="102" t="n">
        <f aca="false">Y44+AO45-AI45</f>
        <v>22535.113953</v>
      </c>
      <c r="Z45" s="129" t="n">
        <f aca="false">AI45</f>
        <v>1040</v>
      </c>
      <c r="AA45" s="102" t="n">
        <f aca="false">AA44+(X45+AO45-Z45)*1.9835</f>
        <v>65745.072347166</v>
      </c>
      <c r="AB45" s="102" t="n">
        <f aca="false">AB44-(AP44/1.9835)</f>
        <v>1503.66965104443</v>
      </c>
      <c r="AC45" s="102"/>
      <c r="AD45" s="129" t="n">
        <v>240</v>
      </c>
      <c r="AE45" s="233" t="n">
        <v>1.7</v>
      </c>
      <c r="AF45" s="234" t="n">
        <v>1.3</v>
      </c>
      <c r="AG45" s="418" t="n">
        <v>1040</v>
      </c>
      <c r="AH45" s="416" t="n">
        <f aca="false">AH44</f>
        <v>13690.2578774893</v>
      </c>
      <c r="AI45" s="419" t="n">
        <f aca="false">AG45</f>
        <v>1040</v>
      </c>
      <c r="AJ45" s="128" t="n">
        <f aca="false">N45+O45+P45+Q45+R45+S45+T45+W45+AD45+AG45+AS45-AQ45</f>
        <v>1810</v>
      </c>
      <c r="AK45" s="129" t="n">
        <f aca="false">IF(L45&lt;0,L45*-1,0)</f>
        <v>0</v>
      </c>
      <c r="AL45" s="129" t="n">
        <f aca="false">AJ45+AK45</f>
        <v>1810</v>
      </c>
      <c r="AM45" s="352" t="n">
        <f aca="false">AM44</f>
        <v>14971.25965</v>
      </c>
      <c r="AN45" s="200"/>
      <c r="AO45" s="142" t="n">
        <v>0</v>
      </c>
      <c r="AP45" s="149" t="n">
        <f aca="false">47.3*(Y45*1.9835+AB45*1.9835)/E45</f>
        <v>9.83009061748439</v>
      </c>
      <c r="AQ45" s="149" t="n">
        <v>22.552</v>
      </c>
      <c r="AR45" s="206"/>
      <c r="AS45" s="169"/>
      <c r="AT45" s="166"/>
      <c r="AU45" s="207" t="n">
        <v>0</v>
      </c>
      <c r="AV45" s="200" t="n">
        <v>77</v>
      </c>
      <c r="AW45" s="200" t="n">
        <v>43</v>
      </c>
      <c r="AX45" s="259"/>
      <c r="AY45" s="235" t="n">
        <f aca="false">SUM(N45,P45:T45)</f>
        <v>12.236137</v>
      </c>
    </row>
    <row r="46" customFormat="false" ht="3" hidden="false" customHeight="true" outlineLevel="0" collapsed="false">
      <c r="A46" s="216"/>
      <c r="B46" s="237"/>
      <c r="C46" s="218"/>
      <c r="D46" s="219"/>
      <c r="E46" s="218"/>
      <c r="F46" s="219"/>
      <c r="G46" s="237"/>
      <c r="H46" s="225"/>
      <c r="I46" s="219"/>
      <c r="J46" s="219"/>
      <c r="K46" s="219"/>
      <c r="L46" s="219"/>
      <c r="M46" s="222"/>
      <c r="N46" s="223"/>
      <c r="O46" s="219"/>
      <c r="P46" s="223"/>
      <c r="Q46" s="219"/>
      <c r="R46" s="219"/>
      <c r="S46" s="414"/>
      <c r="T46" s="224"/>
      <c r="U46" s="219"/>
      <c r="V46" s="219"/>
      <c r="W46" s="219"/>
      <c r="X46" s="219"/>
      <c r="Y46" s="218"/>
      <c r="Z46" s="219"/>
      <c r="AA46" s="218"/>
      <c r="AB46" s="218"/>
      <c r="AC46" s="218"/>
      <c r="AD46" s="219"/>
      <c r="AE46" s="237"/>
      <c r="AF46" s="220"/>
      <c r="AG46" s="228"/>
      <c r="AH46" s="219"/>
      <c r="AI46" s="225"/>
      <c r="AJ46" s="219"/>
      <c r="AK46" s="219"/>
      <c r="AL46" s="219"/>
      <c r="AM46" s="245"/>
      <c r="AN46" s="228"/>
      <c r="AO46" s="228"/>
      <c r="AP46" s="223"/>
      <c r="AQ46" s="223"/>
      <c r="AR46" s="223"/>
      <c r="AS46" s="225"/>
      <c r="AT46" s="225"/>
      <c r="AU46" s="230"/>
      <c r="AV46" s="228"/>
      <c r="AW46" s="228"/>
      <c r="AX46" s="242"/>
      <c r="AY46" s="303"/>
    </row>
    <row r="47" customFormat="false" ht="12.95" hidden="false" customHeight="true" outlineLevel="0" collapsed="false">
      <c r="A47" s="175" t="s">
        <v>99</v>
      </c>
      <c r="B47" s="198"/>
      <c r="C47" s="102"/>
      <c r="D47" s="102"/>
      <c r="E47" s="102"/>
      <c r="F47" s="102" t="n">
        <f aca="false">SUM(F15:F45)</f>
        <v>28329.7201915805</v>
      </c>
      <c r="G47" s="352" t="n">
        <f aca="false">SUM(G15:G45)</f>
        <v>48696</v>
      </c>
      <c r="H47" s="130" t="n">
        <f aca="false">SUM(H15:H45)</f>
        <v>1400.9</v>
      </c>
      <c r="I47" s="102" t="n">
        <f aca="false">SUM(I15:I45)</f>
        <v>50096.9</v>
      </c>
      <c r="J47" s="102" t="n">
        <f aca="false">SUM(J15:J45)</f>
        <v>2051.04212251071</v>
      </c>
      <c r="K47" s="102" t="n">
        <f aca="false">SUM(K15:K45)</f>
        <v>52147.9421225107</v>
      </c>
      <c r="L47" s="102" t="n">
        <f aca="false">SUM(L15:L45)</f>
        <v>1499.92019158054</v>
      </c>
      <c r="M47" s="201" t="n">
        <f aca="false">SUM(M15:M45)</f>
        <v>8070</v>
      </c>
      <c r="N47" s="130" t="n">
        <f aca="false">SUM(N15:N45)</f>
        <v>58.428707</v>
      </c>
      <c r="O47" s="102" t="n">
        <f aca="false">SUM(O15:O45)</f>
        <v>2350.425</v>
      </c>
      <c r="P47" s="149" t="n">
        <f aca="false">SUM(P15:P45)</f>
        <v>6.69</v>
      </c>
      <c r="Q47" s="102" t="n">
        <f aca="false">SUM(Q15:Q45)</f>
        <v>70.10154</v>
      </c>
      <c r="R47" s="102" t="n">
        <f aca="false">SUM(R15:R45)</f>
        <v>125.64</v>
      </c>
      <c r="S47" s="283" t="n">
        <f aca="false">SUM(S15:S45)</f>
        <v>41.5</v>
      </c>
      <c r="T47" s="203" t="n">
        <f aca="false">SUM(T15:T45)</f>
        <v>0</v>
      </c>
      <c r="U47" s="102" t="n">
        <f aca="false">SUM(U15:U45)</f>
        <v>3223</v>
      </c>
      <c r="V47" s="102" t="n">
        <f aca="false">SUM(V15:V45)</f>
        <v>1699.9</v>
      </c>
      <c r="W47" s="102" t="n">
        <f aca="false">SUM(W15:W45)</f>
        <v>10820.266753</v>
      </c>
      <c r="X47" s="102" t="n">
        <f aca="false">SUM(X15:X45)</f>
        <v>10820.266753</v>
      </c>
      <c r="Y47" s="102"/>
      <c r="Z47" s="102" t="n">
        <f aca="false">SUM(Z15:Z45)</f>
        <v>5746</v>
      </c>
      <c r="AA47" s="102"/>
      <c r="AB47" s="102"/>
      <c r="AC47" s="102"/>
      <c r="AD47" s="102" t="n">
        <f aca="false">SUM(AD15:AD45)</f>
        <v>3116.2</v>
      </c>
      <c r="AE47" s="420" t="n">
        <f aca="false">SUM(AE15:AE45)</f>
        <v>52.7</v>
      </c>
      <c r="AF47" s="421" t="n">
        <f aca="false">SUM(AF15:AF45)</f>
        <v>40.3</v>
      </c>
      <c r="AG47" s="200" t="n">
        <f aca="false">SUM(AG15:AG45)</f>
        <v>7158</v>
      </c>
      <c r="AH47" s="102"/>
      <c r="AI47" s="130" t="n">
        <f aca="false">SUM(AI15:AI45)</f>
        <v>5746</v>
      </c>
      <c r="AJ47" s="102" t="n">
        <f aca="false">SUM(AJ15:AJ45)</f>
        <v>23267.1</v>
      </c>
      <c r="AK47" s="102" t="n">
        <f aca="false">SUM(AK15:AK45)</f>
        <v>551.121930930174</v>
      </c>
      <c r="AL47" s="102" t="n">
        <f aca="false">SUM(AL15:AL45)</f>
        <v>23818.2219309302</v>
      </c>
      <c r="AM47" s="352"/>
      <c r="AN47" s="102" t="n">
        <f aca="false">SUM(AN15:AN45)</f>
        <v>0</v>
      </c>
      <c r="AO47" s="129"/>
      <c r="AP47" s="149"/>
      <c r="AQ47" s="149" t="n">
        <f aca="false">SUM(AQ15:AQ45)</f>
        <v>480.152</v>
      </c>
      <c r="AR47" s="206" t="n">
        <f aca="false">SUM(AR15:AR45)</f>
        <v>0</v>
      </c>
      <c r="AS47" s="130" t="n">
        <f aca="false">SUM(AS15:AS45)</f>
        <v>0</v>
      </c>
      <c r="AT47" s="166"/>
      <c r="AU47" s="207" t="n">
        <f aca="false">SUM(AU15:AU45)</f>
        <v>0.04</v>
      </c>
      <c r="AV47" s="200" t="n">
        <f aca="false">AVERAGE(AV15:AV45)</f>
        <v>66.6451612903226</v>
      </c>
      <c r="AW47" s="200" t="n">
        <f aca="false">AVERAGE(AW15:AW45)</f>
        <v>37.8064516129032</v>
      </c>
      <c r="AX47" s="199" t="s">
        <v>120</v>
      </c>
      <c r="AY47" s="322" t="n">
        <f aca="false">SUM(AY15:AY45)</f>
        <v>302.360247</v>
      </c>
    </row>
    <row r="48" customFormat="false" ht="12.95" hidden="false" customHeight="true" outlineLevel="0" collapsed="false">
      <c r="A48" s="175" t="s">
        <v>101</v>
      </c>
      <c r="B48" s="198"/>
      <c r="C48" s="102"/>
      <c r="D48" s="102" t="n">
        <f aca="false">SUM(D15:D45)</f>
        <v>56192</v>
      </c>
      <c r="E48" s="102"/>
      <c r="F48" s="102" t="n">
        <f aca="false">F47*$D$2</f>
        <v>56192</v>
      </c>
      <c r="G48" s="352" t="n">
        <f aca="false">G47*$D$2</f>
        <v>96588.516</v>
      </c>
      <c r="H48" s="130" t="n">
        <f aca="false">H47*$D$2</f>
        <v>2778.68515</v>
      </c>
      <c r="I48" s="102" t="n">
        <f aca="false">I47*$D$2</f>
        <v>99367.20115</v>
      </c>
      <c r="J48" s="102" t="n">
        <f aca="false">J47*$D$2</f>
        <v>4068.24205</v>
      </c>
      <c r="K48" s="102" t="n">
        <f aca="false">K47*$D$2</f>
        <v>103435.4432</v>
      </c>
      <c r="L48" s="102" t="n">
        <f aca="false">L47*$D$2</f>
        <v>2975.0917</v>
      </c>
      <c r="M48" s="201" t="n">
        <f aca="false">M47*$D$2</f>
        <v>16006.845</v>
      </c>
      <c r="N48" s="200" t="n">
        <f aca="false">N47*$D$2</f>
        <v>115.8933403345</v>
      </c>
      <c r="O48" s="102" t="n">
        <f aca="false">O47*$D$2</f>
        <v>4662.0679875</v>
      </c>
      <c r="P48" s="149" t="n">
        <f aca="false">P47*$D$2</f>
        <v>13.269615</v>
      </c>
      <c r="Q48" s="102" t="n">
        <f aca="false">Q47*$D$2</f>
        <v>139.04640459</v>
      </c>
      <c r="R48" s="102" t="n">
        <f aca="false">R47*$D$2</f>
        <v>249.20694</v>
      </c>
      <c r="S48" s="129" t="n">
        <f aca="false">S47*$D$2</f>
        <v>82.31525</v>
      </c>
      <c r="T48" s="203" t="n">
        <f aca="false">T47*$D$2</f>
        <v>0</v>
      </c>
      <c r="U48" s="102" t="n">
        <f aca="false">U47*$D$2</f>
        <v>6392.8205</v>
      </c>
      <c r="V48" s="102" t="n">
        <f aca="false">V47*$D$2</f>
        <v>3371.75165</v>
      </c>
      <c r="W48" s="102" t="n">
        <f aca="false">W47*$D$2</f>
        <v>21461.9991045755</v>
      </c>
      <c r="X48" s="102" t="n">
        <f aca="false">X47*$D$2</f>
        <v>21461.9991045755</v>
      </c>
      <c r="Y48" s="102"/>
      <c r="Z48" s="102" t="n">
        <f aca="false">Z47*$D$2</f>
        <v>11397.191</v>
      </c>
      <c r="AA48" s="102"/>
      <c r="AB48" s="102"/>
      <c r="AC48" s="102"/>
      <c r="AD48" s="102" t="n">
        <f aca="false">AD47*$D$2</f>
        <v>6180.9827</v>
      </c>
      <c r="AE48" s="201" t="n">
        <f aca="false">AE47*$D$2</f>
        <v>104.53045</v>
      </c>
      <c r="AF48" s="203" t="n">
        <f aca="false">AF47*$D$2</f>
        <v>79.93505</v>
      </c>
      <c r="AG48" s="200" t="n">
        <f aca="false">AG47*$D$2</f>
        <v>14197.893</v>
      </c>
      <c r="AH48" s="102"/>
      <c r="AI48" s="422" t="n">
        <f aca="false">AI47*$D$2</f>
        <v>11397.191</v>
      </c>
      <c r="AJ48" s="423" t="n">
        <f aca="false">AJ47*$D$2</f>
        <v>46150.29285</v>
      </c>
      <c r="AK48" s="102" t="n">
        <f aca="false">AK47*$D$2</f>
        <v>1093.15035</v>
      </c>
      <c r="AL48" s="102" t="n">
        <f aca="false">AL47*$D$2</f>
        <v>47243.4432</v>
      </c>
      <c r="AM48" s="352"/>
      <c r="AN48" s="102" t="n">
        <f aca="false">AN47*$D$2</f>
        <v>0</v>
      </c>
      <c r="AO48" s="129"/>
      <c r="AP48" s="149" t="n">
        <f aca="false">SUM(AP15:AP45)</f>
        <v>347.797092985859</v>
      </c>
      <c r="AQ48" s="149" t="n">
        <f aca="false">AQ47*$D$2</f>
        <v>952.381492</v>
      </c>
      <c r="AR48" s="102" t="n">
        <f aca="false">AR47*$D$2</f>
        <v>0</v>
      </c>
      <c r="AS48" s="130" t="n">
        <f aca="false">AS47*$D$2</f>
        <v>0</v>
      </c>
      <c r="AT48" s="166"/>
      <c r="AU48" s="207"/>
      <c r="AV48" s="200" t="n">
        <f aca="false">MAX(AV15:AV45)</f>
        <v>83</v>
      </c>
      <c r="AW48" s="200" t="n">
        <f aca="false">MAX(AW15:AW45)</f>
        <v>52</v>
      </c>
      <c r="AX48" s="199" t="s">
        <v>102</v>
      </c>
      <c r="AY48" s="322" t="n">
        <f aca="false">AY47*$D$2</f>
        <v>599.7315499245</v>
      </c>
    </row>
    <row r="49" customFormat="false" ht="3" hidden="false" customHeight="true" outlineLevel="0" collapsed="false">
      <c r="A49" s="216"/>
      <c r="B49" s="237"/>
      <c r="C49" s="218"/>
      <c r="D49" s="218"/>
      <c r="E49" s="218"/>
      <c r="F49" s="218"/>
      <c r="G49" s="245"/>
      <c r="H49" s="225"/>
      <c r="I49" s="218"/>
      <c r="J49" s="218"/>
      <c r="K49" s="218"/>
      <c r="L49" s="218"/>
      <c r="M49" s="243"/>
      <c r="N49" s="223"/>
      <c r="O49" s="218"/>
      <c r="P49" s="223"/>
      <c r="Q49" s="218"/>
      <c r="R49" s="218"/>
      <c r="S49" s="414"/>
      <c r="T49" s="244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43"/>
      <c r="AF49" s="244"/>
      <c r="AG49" s="228"/>
      <c r="AH49" s="219"/>
      <c r="AI49" s="225"/>
      <c r="AJ49" s="218"/>
      <c r="AK49" s="218"/>
      <c r="AL49" s="218"/>
      <c r="AM49" s="245"/>
      <c r="AN49" s="218"/>
      <c r="AO49" s="218"/>
      <c r="AP49" s="223"/>
      <c r="AQ49" s="223"/>
      <c r="AR49" s="223"/>
      <c r="AS49" s="225"/>
      <c r="AT49" s="225"/>
      <c r="AU49" s="218"/>
      <c r="AV49" s="218"/>
      <c r="AW49" s="218"/>
      <c r="AX49" s="242"/>
      <c r="AY49" s="303"/>
    </row>
    <row r="50" customFormat="false" ht="12.95" hidden="false" customHeight="true" outlineLevel="0" collapsed="false">
      <c r="A50" s="175" t="s">
        <v>103</v>
      </c>
      <c r="B50" s="198"/>
      <c r="C50" s="102"/>
      <c r="D50" s="102"/>
      <c r="E50" s="102"/>
      <c r="F50" s="102" t="n">
        <f aca="false">F12+F47</f>
        <v>65487.2699773128</v>
      </c>
      <c r="G50" s="352" t="n">
        <f aca="false">G12+G47</f>
        <v>74272</v>
      </c>
      <c r="H50" s="130" t="n">
        <f aca="false">H12+H47</f>
        <v>5272.9</v>
      </c>
      <c r="I50" s="102" t="n">
        <f aca="false">I12+I47</f>
        <v>79544.9</v>
      </c>
      <c r="J50" s="102" t="n">
        <f aca="false">J12+J47</f>
        <v>13555.8350894883</v>
      </c>
      <c r="K50" s="102" t="n">
        <f aca="false">K12+K47</f>
        <v>93100.7350894883</v>
      </c>
      <c r="L50" s="102" t="n">
        <f aca="false">L12+L47</f>
        <v>12995.2699773128</v>
      </c>
      <c r="M50" s="201" t="n">
        <f aca="false">M12+M47</f>
        <v>10337.9</v>
      </c>
      <c r="N50" s="200" t="n">
        <f aca="false">N12+N47</f>
        <v>114.972617</v>
      </c>
      <c r="O50" s="102" t="n">
        <f aca="false">O12+O47</f>
        <v>3908.2365</v>
      </c>
      <c r="P50" s="149" t="n">
        <f aca="false">P12+P47</f>
        <v>6.69</v>
      </c>
      <c r="Q50" s="102"/>
      <c r="R50" s="102"/>
      <c r="S50" s="283"/>
      <c r="T50" s="203"/>
      <c r="U50" s="102" t="n">
        <f aca="false">U12+U47</f>
        <v>3620</v>
      </c>
      <c r="V50" s="102" t="n">
        <f aca="false">V12+V47</f>
        <v>1712.1</v>
      </c>
      <c r="W50" s="102" t="n">
        <f aca="false">W12+W47</f>
        <v>11766.876643</v>
      </c>
      <c r="X50" s="102" t="n">
        <f aca="false">X12+X47</f>
        <v>11766.876643</v>
      </c>
      <c r="Y50" s="78" t="n">
        <f aca="false">Y45</f>
        <v>22535.113953</v>
      </c>
      <c r="Z50" s="102" t="n">
        <f aca="false">Z12+Z47</f>
        <v>5746</v>
      </c>
      <c r="AA50" s="102"/>
      <c r="AB50" s="102"/>
      <c r="AC50" s="102"/>
      <c r="AD50" s="102" t="n">
        <f aca="false">AD12+AD47</f>
        <v>3295.9</v>
      </c>
      <c r="AE50" s="201" t="n">
        <f aca="false">AE12+AE47</f>
        <v>103.7</v>
      </c>
      <c r="AF50" s="203" t="n">
        <f aca="false">AF12+AF47</f>
        <v>79.3</v>
      </c>
      <c r="AG50" s="200"/>
      <c r="AH50" s="102"/>
      <c r="AI50" s="130" t="n">
        <f aca="false">AI12+AI47</f>
        <v>5746</v>
      </c>
      <c r="AJ50" s="102" t="n">
        <f aca="false">AJ12+AJ47</f>
        <v>27052.9</v>
      </c>
      <c r="AK50" s="102" t="n">
        <f aca="false">AK12+AK47</f>
        <v>560.565112175448</v>
      </c>
      <c r="AL50" s="102" t="n">
        <f aca="false">AL12+AL47</f>
        <v>27613.4651121755</v>
      </c>
      <c r="AM50" s="352"/>
      <c r="AN50" s="200"/>
      <c r="AO50" s="129"/>
      <c r="AP50" s="149"/>
      <c r="AQ50" s="149" t="n">
        <f aca="false">AQ12+AQ47</f>
        <v>480.152</v>
      </c>
      <c r="AR50" s="102" t="n">
        <f aca="false">AR12+AR47</f>
        <v>0</v>
      </c>
      <c r="AS50" s="130" t="n">
        <f aca="false">AS12+AS47</f>
        <v>0</v>
      </c>
      <c r="AT50" s="166"/>
      <c r="AU50" s="207"/>
      <c r="AV50" s="200" t="n">
        <f aca="false">MIN(AV15:AV45)</f>
        <v>45</v>
      </c>
      <c r="AW50" s="200" t="n">
        <f aca="false">MIN(AW15:AW45)</f>
        <v>25</v>
      </c>
      <c r="AX50" s="199" t="s">
        <v>104</v>
      </c>
      <c r="AY50" s="322" t="n">
        <f aca="false">AY12+AY47</f>
        <v>302.360247</v>
      </c>
    </row>
    <row r="51" customFormat="false" ht="12.95" hidden="false" customHeight="true" outlineLevel="0" collapsed="false">
      <c r="A51" s="175" t="s">
        <v>105</v>
      </c>
      <c r="B51" s="198"/>
      <c r="C51" s="102"/>
      <c r="D51" s="102"/>
      <c r="E51" s="102"/>
      <c r="F51" s="102" t="n">
        <f aca="false">F50*$D$2</f>
        <v>129894</v>
      </c>
      <c r="G51" s="352" t="n">
        <f aca="false">G50*$D$2</f>
        <v>147318.512</v>
      </c>
      <c r="H51" s="130" t="n">
        <f aca="false">H50*$D$2</f>
        <v>10458.79715</v>
      </c>
      <c r="I51" s="102" t="n">
        <f aca="false">I50*$D$2</f>
        <v>157777.30915</v>
      </c>
      <c r="J51" s="102" t="n">
        <f aca="false">J50*$D$2</f>
        <v>26887.9989</v>
      </c>
      <c r="K51" s="102" t="n">
        <f aca="false">K50*$D$2</f>
        <v>184665.30805</v>
      </c>
      <c r="L51" s="102" t="n">
        <f aca="false">L50*$D$2</f>
        <v>25776.118</v>
      </c>
      <c r="M51" s="201" t="n">
        <f aca="false">M50*$D$2</f>
        <v>20505.22465</v>
      </c>
      <c r="N51" s="200" t="n">
        <f aca="false">N50*$D$2</f>
        <v>228.0481858195</v>
      </c>
      <c r="O51" s="102" t="n">
        <f aca="false">O50*$D$2</f>
        <v>7751.98709775</v>
      </c>
      <c r="P51" s="149" t="n">
        <f aca="false">P50*$D$2</f>
        <v>13.269615</v>
      </c>
      <c r="Q51" s="102"/>
      <c r="R51" s="102"/>
      <c r="S51" s="283"/>
      <c r="T51" s="203"/>
      <c r="U51" s="102" t="n">
        <f aca="false">U50*$D$2</f>
        <v>7180.27</v>
      </c>
      <c r="V51" s="102" t="n">
        <f aca="false">V50*$D$2</f>
        <v>3395.95035</v>
      </c>
      <c r="W51" s="102" t="n">
        <f aca="false">W50*$D$2</f>
        <v>23339.5998213905</v>
      </c>
      <c r="X51" s="102" t="n">
        <f aca="false">X50*$D$2</f>
        <v>23339.5998213905</v>
      </c>
      <c r="Y51" s="78" t="n">
        <f aca="false">Y50*$D$2</f>
        <v>44698.3985257755</v>
      </c>
      <c r="Z51" s="102" t="n">
        <f aca="false">Z50*$D$2</f>
        <v>11397.191</v>
      </c>
      <c r="AA51" s="102"/>
      <c r="AB51" s="102"/>
      <c r="AC51" s="102"/>
      <c r="AD51" s="102" t="n">
        <f aca="false">AD50*$D$2</f>
        <v>6537.41765</v>
      </c>
      <c r="AE51" s="201" t="n">
        <f aca="false">AE50*$D$2</f>
        <v>205.68895</v>
      </c>
      <c r="AF51" s="203" t="n">
        <f aca="false">AF50*$D$2</f>
        <v>157.29155</v>
      </c>
      <c r="AG51" s="200"/>
      <c r="AH51" s="102"/>
      <c r="AI51" s="130" t="n">
        <f aca="false">AI50*$D$2</f>
        <v>11397.191</v>
      </c>
      <c r="AJ51" s="102" t="n">
        <f aca="false">AJ50*$D$2</f>
        <v>53659.42715</v>
      </c>
      <c r="AK51" s="102" t="n">
        <f aca="false">AK50*$D$2</f>
        <v>1111.8809</v>
      </c>
      <c r="AL51" s="102" t="n">
        <f aca="false">AL50*$D$2</f>
        <v>54771.30805</v>
      </c>
      <c r="AM51" s="352"/>
      <c r="AN51" s="200"/>
      <c r="AO51" s="129"/>
      <c r="AP51" s="149" t="n">
        <f aca="false">AP12+AP48</f>
        <v>431.529176416356</v>
      </c>
      <c r="AQ51" s="149" t="n">
        <f aca="false">AQ50*$D$2</f>
        <v>952.381492</v>
      </c>
      <c r="AR51" s="102" t="n">
        <f aca="false">AR50*$D$2</f>
        <v>0</v>
      </c>
      <c r="AS51" s="130" t="n">
        <f aca="false">AS50*$D$2</f>
        <v>0</v>
      </c>
      <c r="AT51" s="166"/>
      <c r="AU51" s="207"/>
      <c r="AV51" s="200"/>
      <c r="AW51" s="200"/>
      <c r="AX51" s="259"/>
      <c r="AY51" s="322" t="n">
        <f aca="false">AY50*$D$2</f>
        <v>599.7315499245</v>
      </c>
    </row>
    <row r="52" customFormat="false" ht="3" hidden="false" customHeight="true" outlineLevel="0" collapsed="false">
      <c r="A52" s="216"/>
      <c r="B52" s="237"/>
      <c r="C52" s="218"/>
      <c r="D52" s="218"/>
      <c r="E52" s="218"/>
      <c r="F52" s="218"/>
      <c r="G52" s="245"/>
      <c r="H52" s="225"/>
      <c r="I52" s="218"/>
      <c r="J52" s="218"/>
      <c r="K52" s="218"/>
      <c r="L52" s="218"/>
      <c r="M52" s="243"/>
      <c r="N52" s="225"/>
      <c r="O52" s="218"/>
      <c r="P52" s="223"/>
      <c r="Q52" s="218"/>
      <c r="R52" s="218"/>
      <c r="S52" s="414"/>
      <c r="T52" s="244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43"/>
      <c r="AF52" s="244"/>
      <c r="AG52" s="228"/>
      <c r="AH52" s="218"/>
      <c r="AI52" s="225"/>
      <c r="AJ52" s="218"/>
      <c r="AK52" s="218"/>
      <c r="AL52" s="218"/>
      <c r="AM52" s="245"/>
      <c r="AN52" s="248"/>
      <c r="AO52" s="248"/>
      <c r="AP52" s="223"/>
      <c r="AQ52" s="223"/>
      <c r="AR52" s="223"/>
      <c r="AS52" s="225"/>
      <c r="AT52" s="225"/>
      <c r="AU52" s="230"/>
      <c r="AV52" s="424"/>
      <c r="AW52" s="248"/>
      <c r="AX52" s="242"/>
      <c r="AY52" s="303"/>
    </row>
    <row r="53" customFormat="false" ht="12.95" hidden="false" customHeight="true" outlineLevel="0" collapsed="false">
      <c r="A53" s="175" t="s">
        <v>106</v>
      </c>
      <c r="B53" s="198"/>
      <c r="C53" s="102"/>
      <c r="D53" s="102"/>
      <c r="E53" s="102"/>
      <c r="F53" s="102" t="n">
        <f aca="false">F13+F47</f>
        <v>61550.7940509201</v>
      </c>
      <c r="G53" s="352" t="n">
        <f aca="false">G13+G47</f>
        <v>80975</v>
      </c>
      <c r="H53" s="130" t="n">
        <f aca="false">H13+H47</f>
        <v>5501.49</v>
      </c>
      <c r="I53" s="102" t="n">
        <f aca="false">I13+I47</f>
        <v>86476.49</v>
      </c>
      <c r="J53" s="102" t="n">
        <f aca="false">J13+J47</f>
        <v>15298.2006932191</v>
      </c>
      <c r="K53" s="102" t="n">
        <f aca="false">K13+K47</f>
        <v>101774.690693219</v>
      </c>
      <c r="L53" s="102" t="n">
        <f aca="false">L13+L47</f>
        <v>13828.7040509201</v>
      </c>
      <c r="M53" s="201" t="n">
        <f aca="false">M13+M47</f>
        <v>11033.3</v>
      </c>
      <c r="N53" s="200" t="n">
        <f aca="false">N13+N47</f>
        <v>114.972617</v>
      </c>
      <c r="O53" s="102" t="n">
        <f aca="false">O13+O47</f>
        <v>3908.2365</v>
      </c>
      <c r="P53" s="283" t="n">
        <f aca="false">P13+P47</f>
        <v>6.69</v>
      </c>
      <c r="Q53" s="102" t="n">
        <f aca="false">Q13+Q47</f>
        <v>365.38746</v>
      </c>
      <c r="R53" s="102" t="n">
        <f aca="false">R13+R47</f>
        <v>573.82</v>
      </c>
      <c r="S53" s="283" t="n">
        <f aca="false">S13+S47</f>
        <v>42.64</v>
      </c>
      <c r="T53" s="203" t="n">
        <f aca="false">T13+T47</f>
        <v>-22.57716</v>
      </c>
      <c r="U53" s="102" t="n">
        <f aca="false">U13+U47</f>
        <v>10011.6</v>
      </c>
      <c r="V53" s="102" t="n">
        <f aca="false">V13+V47</f>
        <v>1752.6</v>
      </c>
      <c r="W53" s="102" t="n">
        <f aca="false">W13+W47</f>
        <v>18287.711423</v>
      </c>
      <c r="X53" s="102" t="n">
        <f aca="false">X13+X47</f>
        <v>18247.211423</v>
      </c>
      <c r="Y53" s="102"/>
      <c r="Z53" s="102"/>
      <c r="AA53" s="102"/>
      <c r="AB53" s="102"/>
      <c r="AC53" s="102"/>
      <c r="AD53" s="102"/>
      <c r="AE53" s="420"/>
      <c r="AF53" s="421"/>
      <c r="AG53" s="200" t="n">
        <f aca="false">AG13+AG47</f>
        <v>12661</v>
      </c>
      <c r="AH53" s="102" t="n">
        <f aca="false">AH45</f>
        <v>13690.2578774893</v>
      </c>
      <c r="AI53" s="130" t="n">
        <f aca="false">AI13+AI47</f>
        <v>5746</v>
      </c>
      <c r="AJ53" s="102" t="n">
        <f aca="false">AJ13+AJ47</f>
        <v>38754.4</v>
      </c>
      <c r="AK53" s="102" t="n">
        <f aca="false">AK13+AK47</f>
        <v>1469.49664229897</v>
      </c>
      <c r="AL53" s="102" t="n">
        <f aca="false">AL13+AL47</f>
        <v>40223.896642299</v>
      </c>
      <c r="AM53" s="352"/>
      <c r="AN53" s="102" t="n">
        <f aca="false">AN13+AN47</f>
        <v>40.5</v>
      </c>
      <c r="AO53" s="129"/>
      <c r="AP53" s="149"/>
      <c r="AQ53" s="149" t="n">
        <f aca="false">AQ13+AQ47</f>
        <v>480.152</v>
      </c>
      <c r="AR53" s="102" t="n">
        <f aca="false">AR13+AR47</f>
        <v>0</v>
      </c>
      <c r="AS53" s="130"/>
      <c r="AT53" s="166"/>
      <c r="AU53" s="207" t="n">
        <f aca="false">AU13+AU47</f>
        <v>6.42</v>
      </c>
      <c r="AV53" s="200"/>
      <c r="AW53" s="200"/>
      <c r="AX53" s="259"/>
      <c r="AY53" s="322" t="n">
        <f aca="false">AY13+AY47</f>
        <v>1081.704077</v>
      </c>
    </row>
    <row r="54" customFormat="false" ht="12.95" hidden="false" customHeight="true" outlineLevel="0" collapsed="false">
      <c r="A54" s="175" t="s">
        <v>107</v>
      </c>
      <c r="B54" s="198"/>
      <c r="C54" s="102"/>
      <c r="D54" s="102" t="n">
        <f aca="false">D13+D48</f>
        <v>122086</v>
      </c>
      <c r="E54" s="102" t="n">
        <f aca="false">E45</f>
        <v>229429</v>
      </c>
      <c r="F54" s="102" t="n">
        <f aca="false">F53*$D$2</f>
        <v>122086</v>
      </c>
      <c r="G54" s="352" t="n">
        <f aca="false">G53*$D$2</f>
        <v>160613.9125</v>
      </c>
      <c r="H54" s="130" t="n">
        <f aca="false">H53*$D$2</f>
        <v>10912.205415</v>
      </c>
      <c r="I54" s="102" t="n">
        <f aca="false">I53*$D$2</f>
        <v>171526.117915</v>
      </c>
      <c r="J54" s="102" t="n">
        <f aca="false">J53*$D$2</f>
        <v>30343.981075</v>
      </c>
      <c r="K54" s="102" t="n">
        <f aca="false">K53*$D$2</f>
        <v>201870.09899</v>
      </c>
      <c r="L54" s="102" t="n">
        <f aca="false">L53*$D$2</f>
        <v>27429.234485</v>
      </c>
      <c r="M54" s="201" t="n">
        <f aca="false">M53*$D$2</f>
        <v>21884.55055</v>
      </c>
      <c r="N54" s="200" t="n">
        <f aca="false">N53*$D$2</f>
        <v>228.0481858195</v>
      </c>
      <c r="O54" s="102" t="n">
        <f aca="false">O53*$D$2</f>
        <v>7751.98709775</v>
      </c>
      <c r="P54" s="283" t="n">
        <f aca="false">P53*$D$2</f>
        <v>13.269615</v>
      </c>
      <c r="Q54" s="102" t="n">
        <f aca="false">Q53*$D$2</f>
        <v>724.74602691</v>
      </c>
      <c r="R54" s="102" t="n">
        <f aca="false">R53*$D$2</f>
        <v>1138.17197</v>
      </c>
      <c r="S54" s="283" t="n">
        <f aca="false">S53*$D$2</f>
        <v>84.57644</v>
      </c>
      <c r="T54" s="203" t="n">
        <f aca="false">T53*$D$2</f>
        <v>-44.78179686</v>
      </c>
      <c r="U54" s="102" t="n">
        <f aca="false">U53*$D$2</f>
        <v>19858.0086</v>
      </c>
      <c r="V54" s="102" t="n">
        <f aca="false">V53*$D$2</f>
        <v>3476.2821</v>
      </c>
      <c r="W54" s="102" t="n">
        <f aca="false">W53*$D$2</f>
        <v>36273.6756075205</v>
      </c>
      <c r="X54" s="102" t="n">
        <f aca="false">X53*$D$2</f>
        <v>36193.3438575205</v>
      </c>
      <c r="Y54" s="102"/>
      <c r="Z54" s="102"/>
      <c r="AA54" s="102"/>
      <c r="AB54" s="102"/>
      <c r="AC54" s="102"/>
      <c r="AD54" s="102"/>
      <c r="AE54" s="251"/>
      <c r="AF54" s="252"/>
      <c r="AG54" s="200" t="n">
        <f aca="false">AG53*$D$2</f>
        <v>25113.0935</v>
      </c>
      <c r="AH54" s="102" t="n">
        <f aca="false">AH53*$D$2</f>
        <v>27154.6265</v>
      </c>
      <c r="AI54" s="130" t="n">
        <f aca="false">AI53*$D$2</f>
        <v>11397.191</v>
      </c>
      <c r="AJ54" s="102" t="n">
        <f aca="false">AJ53*$D$2</f>
        <v>76869.3524</v>
      </c>
      <c r="AK54" s="102" t="n">
        <f aca="false">AK53*$D$2</f>
        <v>2914.74659</v>
      </c>
      <c r="AL54" s="102" t="n">
        <f aca="false">AL53*$D$2</f>
        <v>79784.09899</v>
      </c>
      <c r="AM54" s="352" t="n">
        <f aca="false">AM45</f>
        <v>14971.25965</v>
      </c>
      <c r="AN54" s="102" t="n">
        <f aca="false">AN53*$D$2</f>
        <v>80.33175</v>
      </c>
      <c r="AO54" s="129"/>
      <c r="AP54" s="149" t="n">
        <f aca="false">AP13+AP48</f>
        <v>431.529176416356</v>
      </c>
      <c r="AQ54" s="149" t="n">
        <f aca="false">AQ53*$D$2</f>
        <v>952.381492</v>
      </c>
      <c r="AR54" s="102" t="n">
        <f aca="false">AR53*$D$2</f>
        <v>0</v>
      </c>
      <c r="AS54" s="130"/>
      <c r="AT54" s="166"/>
      <c r="AU54" s="207"/>
      <c r="AV54" s="200"/>
      <c r="AW54" s="200"/>
      <c r="AX54" s="259"/>
      <c r="AY54" s="322" t="n">
        <f aca="false">AY53*$D$2</f>
        <v>2145.5600367295</v>
      </c>
    </row>
    <row r="55" customFormat="false" ht="3" hidden="false" customHeight="true" outlineLevel="0" collapsed="false">
      <c r="A55" s="216"/>
      <c r="B55" s="237"/>
      <c r="C55" s="218"/>
      <c r="D55" s="219"/>
      <c r="E55" s="218"/>
      <c r="F55" s="425"/>
      <c r="G55" s="426"/>
      <c r="H55" s="427"/>
      <c r="I55" s="219"/>
      <c r="J55" s="219"/>
      <c r="K55" s="219"/>
      <c r="L55" s="219"/>
      <c r="M55" s="222"/>
      <c r="N55" s="223"/>
      <c r="O55" s="219"/>
      <c r="P55" s="223"/>
      <c r="Q55" s="219"/>
      <c r="R55" s="219"/>
      <c r="S55" s="414"/>
      <c r="T55" s="224"/>
      <c r="U55" s="219"/>
      <c r="V55" s="219"/>
      <c r="W55" s="219"/>
      <c r="X55" s="219"/>
      <c r="Y55" s="218"/>
      <c r="Z55" s="219"/>
      <c r="AA55" s="218"/>
      <c r="AB55" s="218"/>
      <c r="AC55" s="218"/>
      <c r="AD55" s="219"/>
      <c r="AE55" s="222"/>
      <c r="AF55" s="226"/>
      <c r="AG55" s="228"/>
      <c r="AH55" s="218"/>
      <c r="AI55" s="225"/>
      <c r="AJ55" s="219"/>
      <c r="AK55" s="219"/>
      <c r="AL55" s="219"/>
      <c r="AM55" s="245"/>
      <c r="AN55" s="219"/>
      <c r="AO55" s="219"/>
      <c r="AP55" s="223"/>
      <c r="AQ55" s="223"/>
      <c r="AR55" s="223"/>
      <c r="AS55" s="225"/>
      <c r="AT55" s="225"/>
      <c r="AU55" s="219"/>
      <c r="AV55" s="219"/>
      <c r="AW55" s="219"/>
      <c r="AX55" s="242"/>
      <c r="AY55" s="303"/>
    </row>
    <row r="56" customFormat="false" ht="11.1" hidden="false" customHeight="true" outlineLevel="0" collapsed="false">
      <c r="A56" s="428"/>
      <c r="B56" s="255"/>
      <c r="D56" s="175"/>
      <c r="F56" s="429"/>
      <c r="G56" s="429"/>
      <c r="H56" s="430"/>
      <c r="I56" s="175"/>
      <c r="J56" s="175"/>
      <c r="K56" s="175"/>
      <c r="L56" s="175"/>
      <c r="M56" s="175"/>
      <c r="O56" s="175"/>
      <c r="Q56" s="175"/>
      <c r="R56" s="175"/>
      <c r="U56" s="175"/>
      <c r="V56" s="175"/>
      <c r="W56" s="175"/>
      <c r="X56" s="175"/>
      <c r="Y56" s="167"/>
      <c r="Z56" s="175"/>
      <c r="AA56" s="167"/>
      <c r="AB56" s="167"/>
      <c r="AC56" s="167"/>
      <c r="AD56" s="175"/>
      <c r="AE56" s="175"/>
      <c r="AF56" s="175"/>
      <c r="AH56" s="167"/>
      <c r="AJ56" s="175"/>
      <c r="AK56" s="175"/>
      <c r="AL56" s="175"/>
      <c r="AM56" s="80"/>
      <c r="AN56" s="173"/>
      <c r="AO56" s="178"/>
      <c r="AP56" s="67"/>
      <c r="AQ56" s="67"/>
      <c r="AW56" s="172"/>
    </row>
    <row r="57" customFormat="false" ht="11.1" hidden="false" customHeight="true" outlineLevel="0" collapsed="false">
      <c r="A57" s="175"/>
      <c r="B57" s="167"/>
      <c r="E57" s="367"/>
      <c r="F57" s="210"/>
      <c r="G57" s="170"/>
      <c r="I57" s="367"/>
      <c r="J57" s="175"/>
      <c r="K57" s="164"/>
      <c r="L57" s="175"/>
      <c r="M57" s="175"/>
      <c r="O57" s="26"/>
      <c r="P57" s="89"/>
      <c r="Q57" s="26"/>
      <c r="R57" s="26"/>
      <c r="U57" s="175"/>
      <c r="V57" s="167"/>
      <c r="W57" s="26"/>
      <c r="X57" s="26"/>
      <c r="Y57" s="167"/>
      <c r="Z57" s="26"/>
      <c r="AA57" s="167"/>
      <c r="AB57" s="167"/>
      <c r="AC57" s="167"/>
      <c r="AD57" s="167"/>
      <c r="AE57" s="167"/>
      <c r="AF57" s="167"/>
      <c r="AH57" s="431"/>
      <c r="AI57" s="432"/>
      <c r="AJ57" s="175"/>
      <c r="AK57" s="175"/>
      <c r="AM57" s="210"/>
      <c r="AN57" s="178"/>
      <c r="AO57" s="178"/>
    </row>
    <row r="59" customFormat="false" ht="11.1" hidden="false" customHeight="true" outlineLevel="0" collapsed="false">
      <c r="B59" s="8"/>
      <c r="D59" s="167"/>
      <c r="F59" s="369"/>
      <c r="AD59" s="167"/>
      <c r="AE59" s="167"/>
      <c r="AF59" s="167"/>
      <c r="AM59" s="210"/>
      <c r="AN59" s="170"/>
      <c r="AO59" s="170"/>
    </row>
    <row r="60" customFormat="false" ht="11.1" hidden="false" customHeight="true" outlineLevel="0" collapsed="false">
      <c r="B60" s="1"/>
      <c r="D60" s="1"/>
      <c r="G60" s="433"/>
      <c r="H60" s="434"/>
      <c r="I60" s="435"/>
      <c r="AM60" s="210"/>
      <c r="AN60" s="170"/>
      <c r="AO60" s="170"/>
    </row>
  </sheetData>
  <mergeCells count="1"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89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G28" activeCellId="0" sqref="AG28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99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4" width="6.32"/>
    <col collapsed="false" customWidth="true" hidden="false" outlineLevel="0" max="9" min="9" style="1" width="6.99"/>
    <col collapsed="false" customWidth="true" hidden="false" outlineLevel="0" max="10" min="10" style="1" width="6.32"/>
    <col collapsed="false" customWidth="true" hidden="false" outlineLevel="0" max="12" min="11" style="1" width="6.99"/>
    <col collapsed="false" customWidth="true" hidden="false" outlineLevel="0" max="13" min="13" style="4" width="6.32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7" min="17" style="4" width="4.49"/>
    <col collapsed="false" customWidth="true" hidden="false" outlineLevel="0" max="18" min="18" style="4" width="4.82"/>
    <col collapsed="false" customWidth="true" hidden="false" outlineLevel="0" max="19" min="19" style="1" width="4.82"/>
    <col collapsed="false" customWidth="true" hidden="false" outlineLevel="0" max="20" min="20" style="5" width="4.82"/>
    <col collapsed="false" customWidth="true" hidden="false" outlineLevel="0" max="22" min="21" style="1" width="5.49"/>
    <col collapsed="false" customWidth="true" hidden="false" outlineLevel="0" max="24" min="23" style="2" width="6.32"/>
    <col collapsed="false" customWidth="true" hidden="false" outlineLevel="0" max="25" min="25" style="1" width="5.49"/>
    <col collapsed="false" customWidth="true" hidden="false" outlineLevel="0" max="26" min="26" style="2" width="6.32"/>
    <col collapsed="false" customWidth="true" hidden="false" outlineLevel="0" max="27" min="27" style="166" width="5.49"/>
    <col collapsed="false" customWidth="true" hidden="false" outlineLevel="0" max="32" min="28" style="1" width="5.49"/>
    <col collapsed="false" customWidth="true" hidden="false" outlineLevel="0" max="33" min="33" style="2" width="6.32"/>
    <col collapsed="false" customWidth="true" hidden="false" outlineLevel="0" max="34" min="34" style="1" width="5.82"/>
    <col collapsed="false" customWidth="true" hidden="false" outlineLevel="0" max="35" min="35" style="83" width="6.32"/>
    <col collapsed="false" customWidth="true" hidden="false" outlineLevel="0" max="37" min="36" style="1" width="6.32"/>
    <col collapsed="false" customWidth="true" hidden="false" outlineLevel="0" max="38" min="38" style="5" width="6.99"/>
    <col collapsed="false" customWidth="true" hidden="false" outlineLevel="0" max="40" min="39" style="1" width="5.49"/>
    <col collapsed="false" customWidth="true" hidden="false" outlineLevel="0" max="41" min="41" style="1" width="6.32"/>
    <col collapsed="false" customWidth="true" hidden="false" outlineLevel="0" max="42" min="42" style="310" width="6.32"/>
    <col collapsed="false" customWidth="true" hidden="false" outlineLevel="0" max="43" min="43" style="256" width="6.32"/>
    <col collapsed="false" customWidth="true" hidden="false" outlineLevel="0" max="44" min="44" style="6" width="6.32"/>
    <col collapsed="false" customWidth="true" hidden="false" outlineLevel="0" max="45" min="45" style="1" width="6.32"/>
    <col collapsed="false" customWidth="true" hidden="false" outlineLevel="0" max="46" min="46" style="4" width="5.82"/>
    <col collapsed="false" customWidth="true" hidden="false" outlineLevel="0" max="47" min="47" style="3" width="5.32"/>
    <col collapsed="false" customWidth="true" hidden="false" outlineLevel="0" max="48" min="48" style="9" width="3.82"/>
    <col collapsed="false" customWidth="true" hidden="false" outlineLevel="0" max="49" min="49" style="10" width="3.82"/>
    <col collapsed="false" customWidth="true" hidden="false" outlineLevel="0" max="50" min="50" style="0" width="4.32"/>
    <col collapsed="false" customWidth="true" hidden="false" outlineLevel="0" max="51" min="51" style="0" width="6.49"/>
  </cols>
  <sheetData>
    <row r="1" customFormat="false" ht="14.1" hidden="false" customHeight="true" outlineLevel="0" collapsed="false">
      <c r="A1" s="11" t="s">
        <v>111</v>
      </c>
      <c r="B1" s="11"/>
      <c r="D1" s="11"/>
      <c r="F1" s="11"/>
      <c r="G1" s="11"/>
      <c r="I1" s="11"/>
      <c r="J1" s="11"/>
      <c r="K1" s="13" t="s">
        <v>0</v>
      </c>
      <c r="L1" s="11"/>
      <c r="M1" s="11"/>
      <c r="N1" s="11"/>
      <c r="S1" s="11"/>
      <c r="U1" s="11"/>
      <c r="V1" s="11"/>
      <c r="Y1" s="11"/>
      <c r="AA1" s="175"/>
      <c r="AB1" s="11"/>
      <c r="AC1" s="11"/>
      <c r="AD1" s="11"/>
      <c r="AE1" s="11"/>
      <c r="AF1" s="11"/>
      <c r="AH1" s="11"/>
      <c r="AI1" s="14"/>
      <c r="AJ1" s="11"/>
      <c r="AK1" s="11"/>
      <c r="AM1" s="14"/>
      <c r="AN1" s="14"/>
      <c r="AO1" s="14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I2" s="11"/>
      <c r="J2" s="11"/>
      <c r="K2" s="326" t="s">
        <v>125</v>
      </c>
      <c r="L2" s="327"/>
      <c r="M2" s="328"/>
      <c r="N2" s="328"/>
      <c r="O2" s="162"/>
      <c r="P2" s="6"/>
      <c r="Q2" s="162"/>
      <c r="R2" s="162"/>
      <c r="S2" s="328"/>
      <c r="T2" s="6"/>
      <c r="U2" s="328"/>
      <c r="V2" s="328"/>
      <c r="W2" s="329"/>
      <c r="X2" s="329"/>
      <c r="Y2" s="328"/>
      <c r="Z2" s="329"/>
      <c r="AA2" s="312"/>
      <c r="AB2" s="328"/>
      <c r="AC2" s="328"/>
      <c r="AD2" s="328"/>
      <c r="AE2" s="328"/>
      <c r="AF2" s="328"/>
      <c r="AG2" s="329"/>
      <c r="AH2" s="11"/>
      <c r="AI2" s="14"/>
      <c r="AJ2" s="11"/>
      <c r="AK2" s="11"/>
      <c r="AM2" s="14"/>
      <c r="AN2" s="14"/>
      <c r="AO2" s="14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22"/>
      <c r="P3" s="20"/>
      <c r="Q3" s="22"/>
      <c r="R3" s="22"/>
      <c r="S3" s="16"/>
      <c r="T3" s="20"/>
      <c r="U3" s="16"/>
      <c r="V3" s="16"/>
      <c r="W3" s="17"/>
      <c r="X3" s="17"/>
      <c r="Y3" s="16"/>
      <c r="Z3" s="86"/>
      <c r="AA3" s="175"/>
      <c r="AB3" s="16"/>
      <c r="AC3" s="16"/>
      <c r="AD3" s="16"/>
      <c r="AE3" s="16"/>
      <c r="AF3" s="16"/>
      <c r="AG3" s="17"/>
      <c r="AH3" s="16"/>
      <c r="AI3" s="330"/>
      <c r="AJ3" s="16"/>
      <c r="AK3" s="16"/>
      <c r="AL3" s="20"/>
      <c r="AM3" s="330"/>
      <c r="AN3" s="330"/>
      <c r="AO3" s="330"/>
      <c r="AU3" s="27"/>
      <c r="AV3" s="28"/>
      <c r="AW3" s="29"/>
    </row>
    <row r="4" s="166" customFormat="true" ht="14.1" hidden="false" customHeight="true" outlineLevel="0" collapsed="false">
      <c r="A4" s="373"/>
      <c r="B4" s="374"/>
      <c r="C4" s="375"/>
      <c r="D4" s="376" t="s">
        <v>3</v>
      </c>
      <c r="E4" s="375"/>
      <c r="F4" s="373"/>
      <c r="G4" s="374"/>
      <c r="H4" s="377"/>
      <c r="I4" s="373"/>
      <c r="J4" s="373"/>
      <c r="K4" s="373"/>
      <c r="L4" s="373"/>
      <c r="M4" s="373"/>
      <c r="N4" s="378"/>
      <c r="O4" s="373"/>
      <c r="P4" s="378"/>
      <c r="Q4" s="373"/>
      <c r="R4" s="373"/>
      <c r="S4" s="373"/>
      <c r="T4" s="378"/>
      <c r="U4" s="380" t="s">
        <v>4</v>
      </c>
      <c r="V4" s="373"/>
      <c r="W4" s="375"/>
      <c r="X4" s="375"/>
      <c r="Y4" s="373"/>
      <c r="Z4" s="375"/>
      <c r="AA4" s="373"/>
      <c r="AB4" s="373"/>
      <c r="AC4" s="373"/>
      <c r="AD4" s="373"/>
      <c r="AE4" s="373"/>
      <c r="AF4" s="373"/>
      <c r="AG4" s="381"/>
      <c r="AH4" s="373"/>
      <c r="AI4" s="436"/>
      <c r="AJ4" s="373"/>
      <c r="AK4" s="373"/>
      <c r="AL4" s="378"/>
      <c r="AM4" s="437"/>
      <c r="AN4" s="30"/>
      <c r="AO4" s="383" t="s">
        <v>5</v>
      </c>
      <c r="AP4" s="45"/>
      <c r="AQ4" s="438"/>
      <c r="AR4" s="46"/>
      <c r="AS4" s="382"/>
      <c r="AT4" s="382"/>
      <c r="AU4" s="384"/>
      <c r="AV4" s="385" t="s">
        <v>6</v>
      </c>
      <c r="AW4" s="386"/>
      <c r="AX4" s="387"/>
      <c r="AY4" s="388"/>
    </row>
    <row r="5" s="174" customFormat="true" ht="12.95" hidden="false" customHeight="true" outlineLevel="0" collapsed="false">
      <c r="A5" s="308" t="s">
        <v>7</v>
      </c>
      <c r="B5" s="389" t="s">
        <v>8</v>
      </c>
      <c r="C5" s="390" t="s">
        <v>8</v>
      </c>
      <c r="D5" s="308" t="s">
        <v>9</v>
      </c>
      <c r="E5" s="390" t="s">
        <v>10</v>
      </c>
      <c r="F5" s="308" t="s">
        <v>11</v>
      </c>
      <c r="G5" s="391" t="s">
        <v>12</v>
      </c>
      <c r="H5" s="392" t="s">
        <v>13</v>
      </c>
      <c r="I5" s="393" t="s">
        <v>14</v>
      </c>
      <c r="J5" s="393" t="s">
        <v>15</v>
      </c>
      <c r="K5" s="393" t="s">
        <v>16</v>
      </c>
      <c r="L5" s="308" t="s">
        <v>15</v>
      </c>
      <c r="M5" s="394" t="s">
        <v>17</v>
      </c>
      <c r="N5" s="394"/>
      <c r="O5" s="394"/>
      <c r="P5" s="394"/>
      <c r="Q5" s="394"/>
      <c r="R5" s="394"/>
      <c r="S5" s="394"/>
      <c r="T5" s="394"/>
      <c r="U5" s="308" t="s">
        <v>18</v>
      </c>
      <c r="V5" s="308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390" t="s">
        <v>21</v>
      </c>
      <c r="AC5" s="390" t="s">
        <v>20</v>
      </c>
      <c r="AD5" s="308" t="s">
        <v>22</v>
      </c>
      <c r="AE5" s="395" t="s">
        <v>122</v>
      </c>
      <c r="AF5" s="396"/>
      <c r="AG5" s="397" t="s">
        <v>24</v>
      </c>
      <c r="AH5" s="390" t="s">
        <v>123</v>
      </c>
      <c r="AI5" s="390" t="s">
        <v>26</v>
      </c>
      <c r="AJ5" s="308" t="s">
        <v>14</v>
      </c>
      <c r="AK5" s="308" t="s">
        <v>15</v>
      </c>
      <c r="AL5" s="308" t="s">
        <v>16</v>
      </c>
      <c r="AM5" s="439" t="s">
        <v>27</v>
      </c>
      <c r="AN5" s="59" t="s">
        <v>20</v>
      </c>
      <c r="AO5" s="65" t="s">
        <v>28</v>
      </c>
      <c r="AP5" s="65" t="s">
        <v>28</v>
      </c>
      <c r="AQ5" s="60" t="s">
        <v>29</v>
      </c>
      <c r="AR5" s="66" t="s">
        <v>30</v>
      </c>
      <c r="AS5" s="398" t="s">
        <v>31</v>
      </c>
      <c r="AT5" s="195" t="s">
        <v>32</v>
      </c>
      <c r="AU5" s="399" t="s">
        <v>33</v>
      </c>
      <c r="AV5" s="397" t="s">
        <v>34</v>
      </c>
      <c r="AW5" s="397" t="s">
        <v>35</v>
      </c>
      <c r="AX5" s="440"/>
      <c r="AY5" s="277" t="s">
        <v>16</v>
      </c>
    </row>
    <row r="6" s="174" customFormat="true" ht="12.95" hidden="false" customHeight="true" outlineLevel="0" collapsed="false">
      <c r="A6" s="400" t="s">
        <v>126</v>
      </c>
      <c r="B6" s="389" t="s">
        <v>37</v>
      </c>
      <c r="C6" s="390"/>
      <c r="D6" s="308" t="s">
        <v>38</v>
      </c>
      <c r="E6" s="390" t="s">
        <v>39</v>
      </c>
      <c r="F6" s="308" t="s">
        <v>40</v>
      </c>
      <c r="G6" s="391" t="s">
        <v>41</v>
      </c>
      <c r="H6" s="392" t="s">
        <v>42</v>
      </c>
      <c r="I6" s="393" t="s">
        <v>43</v>
      </c>
      <c r="J6" s="393" t="s">
        <v>43</v>
      </c>
      <c r="K6" s="393" t="s">
        <v>43</v>
      </c>
      <c r="L6" s="308" t="s">
        <v>44</v>
      </c>
      <c r="M6" s="401" t="s">
        <v>45</v>
      </c>
      <c r="N6" s="67" t="s">
        <v>46</v>
      </c>
      <c r="O6" s="308" t="s">
        <v>47</v>
      </c>
      <c r="P6" s="67" t="s">
        <v>48</v>
      </c>
      <c r="Q6" s="308" t="s">
        <v>49</v>
      </c>
      <c r="R6" s="308" t="s">
        <v>50</v>
      </c>
      <c r="S6" s="308" t="s">
        <v>51</v>
      </c>
      <c r="T6" s="403" t="s">
        <v>52</v>
      </c>
      <c r="U6" s="308" t="s">
        <v>53</v>
      </c>
      <c r="V6" s="308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390" t="s">
        <v>57</v>
      </c>
      <c r="AC6" s="390" t="s">
        <v>58</v>
      </c>
      <c r="AD6" s="308" t="s">
        <v>59</v>
      </c>
      <c r="AE6" s="401"/>
      <c r="AF6" s="404"/>
      <c r="AG6" s="397" t="s">
        <v>62</v>
      </c>
      <c r="AH6" s="390" t="s">
        <v>63</v>
      </c>
      <c r="AI6" s="390"/>
      <c r="AJ6" s="308" t="s">
        <v>64</v>
      </c>
      <c r="AK6" s="308" t="s">
        <v>64</v>
      </c>
      <c r="AL6" s="308" t="s">
        <v>64</v>
      </c>
      <c r="AM6" s="439" t="s">
        <v>65</v>
      </c>
      <c r="AN6" s="59" t="s">
        <v>66</v>
      </c>
      <c r="AO6" s="65" t="s">
        <v>67</v>
      </c>
      <c r="AP6" s="65" t="s">
        <v>67</v>
      </c>
      <c r="AQ6" s="60" t="s">
        <v>68</v>
      </c>
      <c r="AR6" s="66" t="s">
        <v>69</v>
      </c>
      <c r="AS6" s="398" t="s">
        <v>70</v>
      </c>
      <c r="AT6" s="195" t="s">
        <v>71</v>
      </c>
      <c r="AU6" s="405"/>
      <c r="AV6" s="397" t="s">
        <v>72</v>
      </c>
      <c r="AW6" s="397" t="s">
        <v>72</v>
      </c>
      <c r="AX6" s="440"/>
      <c r="AY6" s="277" t="s">
        <v>73</v>
      </c>
    </row>
    <row r="7" s="174" customFormat="true" ht="12.95" hidden="false" customHeight="true" outlineLevel="0" collapsed="false">
      <c r="A7" s="308"/>
      <c r="B7" s="389"/>
      <c r="C7" s="390"/>
      <c r="D7" s="308"/>
      <c r="E7" s="390"/>
      <c r="F7" s="308"/>
      <c r="G7" s="389"/>
      <c r="H7" s="398"/>
      <c r="I7" s="308"/>
      <c r="J7" s="308"/>
      <c r="K7" s="308"/>
      <c r="L7" s="308"/>
      <c r="M7" s="401"/>
      <c r="N7" s="67" t="s">
        <v>74</v>
      </c>
      <c r="O7" s="308" t="s">
        <v>75</v>
      </c>
      <c r="P7" s="67"/>
      <c r="Q7" s="308"/>
      <c r="R7" s="308"/>
      <c r="S7" s="308" t="s">
        <v>47</v>
      </c>
      <c r="T7" s="403" t="s">
        <v>26</v>
      </c>
      <c r="U7" s="308"/>
      <c r="V7" s="308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390"/>
      <c r="AC7" s="390"/>
      <c r="AD7" s="308"/>
      <c r="AE7" s="406"/>
      <c r="AF7" s="407"/>
      <c r="AG7" s="397"/>
      <c r="AH7" s="390"/>
      <c r="AI7" s="390"/>
      <c r="AJ7" s="308"/>
      <c r="AK7" s="308"/>
      <c r="AL7" s="308"/>
      <c r="AM7" s="439"/>
      <c r="AN7" s="59" t="s">
        <v>40</v>
      </c>
      <c r="AO7" s="65" t="s">
        <v>81</v>
      </c>
      <c r="AP7" s="65" t="s">
        <v>82</v>
      </c>
      <c r="AQ7" s="60" t="s">
        <v>83</v>
      </c>
      <c r="AR7" s="66" t="s">
        <v>84</v>
      </c>
      <c r="AS7" s="398" t="s">
        <v>85</v>
      </c>
      <c r="AT7" s="195" t="s">
        <v>86</v>
      </c>
      <c r="AU7" s="405"/>
      <c r="AV7" s="397"/>
      <c r="AW7" s="397"/>
      <c r="AX7" s="440"/>
      <c r="AY7" s="277" t="s">
        <v>87</v>
      </c>
    </row>
    <row r="8" s="174" customFormat="true" ht="12.95" hidden="false" customHeight="true" outlineLevel="0" collapsed="false">
      <c r="A8" s="308"/>
      <c r="B8" s="389"/>
      <c r="C8" s="390"/>
      <c r="D8" s="308"/>
      <c r="E8" s="390"/>
      <c r="F8" s="308"/>
      <c r="G8" s="389"/>
      <c r="H8" s="398"/>
      <c r="I8" s="308"/>
      <c r="J8" s="308"/>
      <c r="K8" s="308"/>
      <c r="L8" s="308"/>
      <c r="M8" s="308"/>
      <c r="N8" s="67"/>
      <c r="O8" s="308"/>
      <c r="P8" s="67"/>
      <c r="Q8" s="308"/>
      <c r="R8" s="308"/>
      <c r="S8" s="308"/>
      <c r="T8" s="67"/>
      <c r="U8" s="308"/>
      <c r="V8" s="308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390"/>
      <c r="AC8" s="390"/>
      <c r="AD8" s="308"/>
      <c r="AE8" s="406"/>
      <c r="AF8" s="407"/>
      <c r="AG8" s="397"/>
      <c r="AH8" s="390"/>
      <c r="AI8" s="390"/>
      <c r="AJ8" s="308"/>
      <c r="AK8" s="308"/>
      <c r="AL8" s="308"/>
      <c r="AM8" s="439"/>
      <c r="AN8" s="59"/>
      <c r="AO8" s="65"/>
      <c r="AP8" s="65"/>
      <c r="AQ8" s="60"/>
      <c r="AR8" s="66"/>
      <c r="AS8" s="398"/>
      <c r="AT8" s="195"/>
      <c r="AU8" s="405"/>
      <c r="AV8" s="397"/>
      <c r="AW8" s="397"/>
      <c r="AX8" s="440"/>
      <c r="AY8" s="277"/>
    </row>
    <row r="9" s="174" customFormat="true" ht="12.95" hidden="false" customHeight="true" outlineLevel="0" collapsed="false">
      <c r="A9" s="308"/>
      <c r="B9" s="389"/>
      <c r="C9" s="390"/>
      <c r="D9" s="308"/>
      <c r="E9" s="390"/>
      <c r="F9" s="308"/>
      <c r="G9" s="389"/>
      <c r="H9" s="398"/>
      <c r="I9" s="308"/>
      <c r="J9" s="308"/>
      <c r="K9" s="308"/>
      <c r="L9" s="308"/>
      <c r="M9" s="308"/>
      <c r="N9" s="67"/>
      <c r="O9" s="308"/>
      <c r="P9" s="67"/>
      <c r="Q9" s="308"/>
      <c r="R9" s="308"/>
      <c r="S9" s="308"/>
      <c r="T9" s="67"/>
      <c r="U9" s="308"/>
      <c r="V9" s="308"/>
      <c r="W9" s="63"/>
      <c r="X9" s="55" t="s">
        <v>88</v>
      </c>
      <c r="Y9" s="59"/>
      <c r="Z9" s="55" t="s">
        <v>88</v>
      </c>
      <c r="AA9" s="59" t="s">
        <v>91</v>
      </c>
      <c r="AB9" s="390"/>
      <c r="AC9" s="390"/>
      <c r="AD9" s="308"/>
      <c r="AE9" s="406"/>
      <c r="AF9" s="407"/>
      <c r="AG9" s="397"/>
      <c r="AH9" s="390"/>
      <c r="AI9" s="390"/>
      <c r="AJ9" s="308"/>
      <c r="AK9" s="308"/>
      <c r="AL9" s="308"/>
      <c r="AM9" s="439"/>
      <c r="AN9" s="59"/>
      <c r="AO9" s="65"/>
      <c r="AP9" s="65"/>
      <c r="AQ9" s="60"/>
      <c r="AR9" s="7" t="n">
        <v>1475</v>
      </c>
      <c r="AS9" s="398"/>
      <c r="AT9" s="195"/>
      <c r="AU9" s="405"/>
      <c r="AV9" s="397"/>
      <c r="AW9" s="397"/>
      <c r="AX9" s="440"/>
      <c r="AY9" s="277"/>
    </row>
    <row r="10" s="174" customFormat="true" ht="12.95" hidden="false" customHeight="true" outlineLevel="0" collapsed="false">
      <c r="A10" s="308"/>
      <c r="B10" s="389"/>
      <c r="C10" s="390" t="s">
        <v>9</v>
      </c>
      <c r="D10" s="308"/>
      <c r="E10" s="390" t="s">
        <v>93</v>
      </c>
      <c r="F10" s="308"/>
      <c r="G10" s="389" t="s">
        <v>40</v>
      </c>
      <c r="H10" s="398" t="s">
        <v>40</v>
      </c>
      <c r="I10" s="398" t="s">
        <v>40</v>
      </c>
      <c r="J10" s="398" t="s">
        <v>40</v>
      </c>
      <c r="K10" s="398" t="s">
        <v>40</v>
      </c>
      <c r="L10" s="398" t="s">
        <v>40</v>
      </c>
      <c r="M10" s="398" t="s">
        <v>40</v>
      </c>
      <c r="N10" s="398" t="s">
        <v>40</v>
      </c>
      <c r="O10" s="398" t="s">
        <v>40</v>
      </c>
      <c r="P10" s="398" t="s">
        <v>40</v>
      </c>
      <c r="Q10" s="398" t="s">
        <v>40</v>
      </c>
      <c r="R10" s="398" t="s">
        <v>40</v>
      </c>
      <c r="S10" s="308" t="s">
        <v>61</v>
      </c>
      <c r="T10" s="398" t="s">
        <v>40</v>
      </c>
      <c r="U10" s="398" t="s">
        <v>40</v>
      </c>
      <c r="V10" s="398" t="s">
        <v>40</v>
      </c>
      <c r="W10" s="55" t="n">
        <v>153400</v>
      </c>
      <c r="X10" s="55" t="n">
        <v>150400</v>
      </c>
      <c r="Y10" s="56" t="s">
        <v>40</v>
      </c>
      <c r="Z10" s="55"/>
      <c r="AA10" s="55" t="n">
        <v>72000</v>
      </c>
      <c r="AB10" s="398" t="s">
        <v>40</v>
      </c>
      <c r="AC10" s="398" t="s">
        <v>40</v>
      </c>
      <c r="AD10" s="398" t="s">
        <v>40</v>
      </c>
      <c r="AE10" s="409" t="s">
        <v>40</v>
      </c>
      <c r="AF10" s="408" t="s">
        <v>40</v>
      </c>
      <c r="AG10" s="398" t="s">
        <v>40</v>
      </c>
      <c r="AH10" s="398" t="s">
        <v>40</v>
      </c>
      <c r="AI10" s="398" t="s">
        <v>40</v>
      </c>
      <c r="AJ10" s="398" t="s">
        <v>40</v>
      </c>
      <c r="AK10" s="398" t="s">
        <v>40</v>
      </c>
      <c r="AL10" s="398" t="s">
        <v>40</v>
      </c>
      <c r="AM10" s="439" t="s">
        <v>93</v>
      </c>
      <c r="AN10" s="59" t="s">
        <v>40</v>
      </c>
      <c r="AO10" s="59" t="s">
        <v>40</v>
      </c>
      <c r="AP10" s="65" t="s">
        <v>94</v>
      </c>
      <c r="AQ10" s="60" t="s">
        <v>40</v>
      </c>
      <c r="AR10" s="59" t="s">
        <v>40</v>
      </c>
      <c r="AS10" s="59" t="s">
        <v>40</v>
      </c>
      <c r="AT10" s="59" t="s">
        <v>40</v>
      </c>
      <c r="AU10" s="405"/>
      <c r="AV10" s="397"/>
      <c r="AW10" s="397"/>
      <c r="AX10" s="280"/>
      <c r="AY10" s="277" t="s">
        <v>95</v>
      </c>
    </row>
    <row r="11" s="174" customFormat="true" ht="12.95" hidden="false" customHeight="true" outlineLevel="0" collapsed="false">
      <c r="A11" s="308"/>
      <c r="B11" s="389"/>
      <c r="C11" s="390"/>
      <c r="D11" s="308"/>
      <c r="E11" s="390"/>
      <c r="F11" s="308"/>
      <c r="G11" s="389"/>
      <c r="H11" s="398"/>
      <c r="I11" s="308"/>
      <c r="J11" s="308"/>
      <c r="K11" s="308"/>
      <c r="L11" s="308"/>
      <c r="M11" s="401"/>
      <c r="N11" s="67" t="n">
        <v>1.03</v>
      </c>
      <c r="O11" s="402" t="n">
        <v>1.05</v>
      </c>
      <c r="P11" s="67" t="n">
        <v>1.02</v>
      </c>
      <c r="Q11" s="402" t="n">
        <v>1.02</v>
      </c>
      <c r="R11" s="402" t="n">
        <v>1.04</v>
      </c>
      <c r="S11" s="398" t="s">
        <v>40</v>
      </c>
      <c r="T11" s="403"/>
      <c r="U11" s="308"/>
      <c r="V11" s="308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390"/>
      <c r="AC11" s="390"/>
      <c r="AD11" s="308"/>
      <c r="AE11" s="406"/>
      <c r="AF11" s="407"/>
      <c r="AG11" s="397"/>
      <c r="AH11" s="390"/>
      <c r="AI11" s="390"/>
      <c r="AJ11" s="308"/>
      <c r="AK11" s="308"/>
      <c r="AL11" s="308"/>
      <c r="AM11" s="439"/>
      <c r="AN11" s="59"/>
      <c r="AO11" s="65"/>
      <c r="AP11" s="65"/>
      <c r="AQ11" s="60"/>
      <c r="AR11" s="83"/>
      <c r="AS11" s="311"/>
      <c r="AT11" s="170"/>
      <c r="AU11" s="405"/>
      <c r="AV11" s="397"/>
      <c r="AW11" s="397"/>
      <c r="AX11" s="280"/>
      <c r="AY11" s="277" t="s">
        <v>40</v>
      </c>
    </row>
    <row r="12" customFormat="false" ht="12.95" hidden="false" customHeight="true" outlineLevel="0" collapsed="false">
      <c r="A12" s="11" t="s">
        <v>97</v>
      </c>
      <c r="B12" s="332"/>
      <c r="C12" s="90"/>
      <c r="D12" s="90"/>
      <c r="E12" s="90"/>
      <c r="F12" s="90" t="n">
        <f aca="false">MAY!F50</f>
        <v>65487.2699773128</v>
      </c>
      <c r="G12" s="90" t="n">
        <f aca="false">MAY!G50</f>
        <v>74272</v>
      </c>
      <c r="H12" s="90" t="n">
        <f aca="false">MAY!H50</f>
        <v>5272.9</v>
      </c>
      <c r="I12" s="90" t="n">
        <f aca="false">MAY!I50</f>
        <v>79544.9</v>
      </c>
      <c r="J12" s="90" t="n">
        <f aca="false">MAY!J50</f>
        <v>13555.8350894883</v>
      </c>
      <c r="K12" s="90" t="n">
        <f aca="false">MAY!K50</f>
        <v>93100.7350894883</v>
      </c>
      <c r="L12" s="90" t="n">
        <f aca="false">MAY!L50</f>
        <v>12995.2699773128</v>
      </c>
      <c r="M12" s="90" t="n">
        <f aca="false">MAY!M50</f>
        <v>10337.9</v>
      </c>
      <c r="N12" s="90" t="n">
        <f aca="false">MAY!N50</f>
        <v>114.972617</v>
      </c>
      <c r="O12" s="90" t="n">
        <f aca="false">MAY!O50</f>
        <v>3908.2365</v>
      </c>
      <c r="P12" s="291" t="n">
        <f aca="false">MAY!P50</f>
        <v>6.69</v>
      </c>
      <c r="Q12" s="143"/>
      <c r="R12" s="143"/>
      <c r="S12" s="90"/>
      <c r="T12" s="334"/>
      <c r="U12" s="90" t="n">
        <f aca="false">MAY!U50</f>
        <v>3620</v>
      </c>
      <c r="V12" s="90" t="n">
        <f aca="false">MAY!V50</f>
        <v>1712.1</v>
      </c>
      <c r="W12" s="90" t="n">
        <f aca="false">MAY!W50</f>
        <v>11766.876643</v>
      </c>
      <c r="X12" s="90" t="n">
        <f aca="false">MAY!X50</f>
        <v>11766.876643</v>
      </c>
      <c r="Y12" s="102" t="n">
        <f aca="false">MAY!Y45</f>
        <v>22535.113953</v>
      </c>
      <c r="Z12" s="102" t="n">
        <f aca="false">MAY!Z50</f>
        <v>5746</v>
      </c>
      <c r="AA12" s="102" t="n">
        <f aca="false">MAY!AA45</f>
        <v>65745.072347166</v>
      </c>
      <c r="AB12" s="102" t="n">
        <f aca="false">MAY!AB45</f>
        <v>1503.66965104443</v>
      </c>
      <c r="AC12" s="78"/>
      <c r="AD12" s="90" t="n">
        <f aca="false">MAY!AD50</f>
        <v>3295.9</v>
      </c>
      <c r="AE12" s="93" t="n">
        <f aca="false">MAY!AE50</f>
        <v>103.7</v>
      </c>
      <c r="AF12" s="94" t="n">
        <f aca="false">MAY!AF50</f>
        <v>79.3</v>
      </c>
      <c r="AG12" s="78"/>
      <c r="AH12" s="78"/>
      <c r="AI12" s="90" t="n">
        <f aca="false">MAY!AI50</f>
        <v>5746</v>
      </c>
      <c r="AJ12" s="90" t="n">
        <f aca="false">MAY!AJ50</f>
        <v>27052.9</v>
      </c>
      <c r="AK12" s="90" t="n">
        <f aca="false">MAY!AK50</f>
        <v>560.565112175448</v>
      </c>
      <c r="AL12" s="90" t="n">
        <f aca="false">MAY!AL50</f>
        <v>27613.4651121755</v>
      </c>
      <c r="AM12" s="441"/>
      <c r="AN12" s="142"/>
      <c r="AO12" s="78"/>
      <c r="AP12" s="90" t="n">
        <f aca="false">MAY!AP51</f>
        <v>431.529176416356</v>
      </c>
      <c r="AQ12" s="291" t="n">
        <f aca="false">MAY!AQ50</f>
        <v>480.152</v>
      </c>
      <c r="AR12" s="291" t="n">
        <f aca="false">MAY!AR50</f>
        <v>0</v>
      </c>
      <c r="AS12" s="90" t="n">
        <f aca="false">MAY!AS50</f>
        <v>0</v>
      </c>
      <c r="AT12" s="442"/>
      <c r="AU12" s="443"/>
      <c r="AV12" s="98"/>
      <c r="AW12" s="98"/>
      <c r="AX12" s="276"/>
      <c r="AY12" s="336"/>
    </row>
    <row r="13" s="103" customFormat="true" ht="12.95" hidden="false" customHeight="true" outlineLevel="0" collapsed="false">
      <c r="A13" s="2" t="s">
        <v>98</v>
      </c>
      <c r="B13" s="126" t="n">
        <f aca="false">MAY!B45</f>
        <v>6924.06</v>
      </c>
      <c r="C13" s="90" t="n">
        <f aca="false">MAY!C45</f>
        <v>381429</v>
      </c>
      <c r="D13" s="90" t="n">
        <f aca="false">MAY!D54</f>
        <v>122086</v>
      </c>
      <c r="E13" s="90" t="n">
        <f aca="false">MAY!E54</f>
        <v>229429</v>
      </c>
      <c r="F13" s="90" t="n">
        <f aca="false">MAY!F53</f>
        <v>61550.7940509201</v>
      </c>
      <c r="G13" s="90" t="n">
        <f aca="false">MAY!G53</f>
        <v>80975</v>
      </c>
      <c r="H13" s="90" t="n">
        <f aca="false">MAY!H53</f>
        <v>5501.49</v>
      </c>
      <c r="I13" s="90" t="n">
        <f aca="false">MAY!I53</f>
        <v>86476.49</v>
      </c>
      <c r="J13" s="90" t="n">
        <f aca="false">MAY!J53</f>
        <v>15298.2006932191</v>
      </c>
      <c r="K13" s="90" t="n">
        <f aca="false">MAY!K53</f>
        <v>101774.690693219</v>
      </c>
      <c r="L13" s="90" t="n">
        <f aca="false">MAY!L53</f>
        <v>13828.7040509201</v>
      </c>
      <c r="M13" s="90" t="n">
        <f aca="false">MAY!M53</f>
        <v>11033.3</v>
      </c>
      <c r="N13" s="90" t="n">
        <f aca="false">MAY!N53</f>
        <v>114.972617</v>
      </c>
      <c r="O13" s="90" t="n">
        <f aca="false">MAY!O53</f>
        <v>3908.2365</v>
      </c>
      <c r="P13" s="291"/>
      <c r="Q13" s="90" t="n">
        <f aca="false">MAY!Q53</f>
        <v>365.38746</v>
      </c>
      <c r="R13" s="90" t="n">
        <f aca="false">MAY!R53</f>
        <v>573.82</v>
      </c>
      <c r="S13" s="90" t="n">
        <f aca="false">MAY!S53</f>
        <v>42.64</v>
      </c>
      <c r="T13" s="444" t="n">
        <f aca="false">MAY!T53</f>
        <v>-22.57716</v>
      </c>
      <c r="U13" s="90" t="n">
        <f aca="false">MAY!U53</f>
        <v>10011.6</v>
      </c>
      <c r="V13" s="90" t="n">
        <f aca="false">MAY!V53</f>
        <v>1752.6</v>
      </c>
      <c r="W13" s="90" t="n">
        <f aca="false">MAY!W53</f>
        <v>18287.711423</v>
      </c>
      <c r="X13" s="90" t="n">
        <f aca="false">MAY!X53</f>
        <v>18247.211423</v>
      </c>
      <c r="Y13" s="78"/>
      <c r="Z13" s="90"/>
      <c r="AA13" s="102"/>
      <c r="AB13" s="78"/>
      <c r="AC13" s="78"/>
      <c r="AD13" s="90"/>
      <c r="AE13" s="340"/>
      <c r="AF13" s="339"/>
      <c r="AG13" s="90" t="n">
        <f aca="false">MAY!AG53</f>
        <v>12661</v>
      </c>
      <c r="AH13" s="90" t="n">
        <f aca="false">MAY!AH53</f>
        <v>13690.2578774893</v>
      </c>
      <c r="AI13" s="90" t="n">
        <f aca="false">MAY!AI53</f>
        <v>5746</v>
      </c>
      <c r="AJ13" s="90" t="n">
        <f aca="false">MAY!AJ53</f>
        <v>38754.4</v>
      </c>
      <c r="AK13" s="90" t="n">
        <f aca="false">MAY!AK53</f>
        <v>1469.49664229897</v>
      </c>
      <c r="AL13" s="90" t="n">
        <f aca="false">MAY!AL53</f>
        <v>40223.896642299</v>
      </c>
      <c r="AM13" s="335" t="n">
        <f aca="false">MAY!AM54</f>
        <v>14971.25965</v>
      </c>
      <c r="AN13" s="90" t="n">
        <f aca="false">MAY!AN53</f>
        <v>40.5</v>
      </c>
      <c r="AO13" s="128"/>
      <c r="AP13" s="90" t="n">
        <f aca="false">MAY!AP54</f>
        <v>431.529176416356</v>
      </c>
      <c r="AQ13" s="291" t="n">
        <f aca="false">MAY!AQ53</f>
        <v>480.152</v>
      </c>
      <c r="AR13" s="291" t="n">
        <f aca="false">MAY!AR53</f>
        <v>0</v>
      </c>
      <c r="AS13" s="90" t="n">
        <f aca="false">MAY!AS53</f>
        <v>0</v>
      </c>
      <c r="AT13" s="445"/>
      <c r="AU13" s="126" t="n">
        <f aca="false">MAY!AU53</f>
        <v>6.42</v>
      </c>
      <c r="AV13" s="98"/>
      <c r="AW13" s="98"/>
      <c r="AX13" s="341"/>
      <c r="AY13" s="355" t="n">
        <f aca="false">MAY!AY53</f>
        <v>1081.704077</v>
      </c>
    </row>
    <row r="14" customFormat="false" ht="3" hidden="false" customHeight="true" outlineLevel="0" collapsed="false">
      <c r="A14" s="104"/>
      <c r="B14" s="342"/>
      <c r="C14" s="114"/>
      <c r="D14" s="111"/>
      <c r="E14" s="114"/>
      <c r="F14" s="343"/>
      <c r="G14" s="111"/>
      <c r="H14" s="113"/>
      <c r="I14" s="111"/>
      <c r="J14" s="111"/>
      <c r="K14" s="111"/>
      <c r="L14" s="111"/>
      <c r="M14" s="115"/>
      <c r="N14" s="111"/>
      <c r="O14" s="113" t="n">
        <v>0</v>
      </c>
      <c r="P14" s="344"/>
      <c r="Q14" s="113"/>
      <c r="R14" s="113"/>
      <c r="S14" s="111"/>
      <c r="T14" s="345"/>
      <c r="U14" s="111"/>
      <c r="V14" s="111" t="n">
        <v>0</v>
      </c>
      <c r="W14" s="111"/>
      <c r="X14" s="111"/>
      <c r="Y14" s="114"/>
      <c r="Z14" s="111"/>
      <c r="AA14" s="218"/>
      <c r="AB14" s="114"/>
      <c r="AC14" s="114"/>
      <c r="AD14" s="111"/>
      <c r="AE14" s="115"/>
      <c r="AF14" s="116"/>
      <c r="AG14" s="111"/>
      <c r="AH14" s="114"/>
      <c r="AI14" s="114"/>
      <c r="AJ14" s="111"/>
      <c r="AK14" s="111"/>
      <c r="AL14" s="111"/>
      <c r="AM14" s="446"/>
      <c r="AN14" s="118"/>
      <c r="AO14" s="118"/>
      <c r="AP14" s="223"/>
      <c r="AQ14" s="225"/>
      <c r="AR14" s="223"/>
      <c r="AS14" s="228"/>
      <c r="AT14" s="225"/>
      <c r="AU14" s="120"/>
      <c r="AV14" s="118"/>
      <c r="AW14" s="118"/>
      <c r="AX14" s="346"/>
      <c r="AY14" s="347"/>
    </row>
    <row r="15" customFormat="false" ht="12.95" hidden="false" customHeight="true" outlineLevel="0" collapsed="false">
      <c r="A15" s="10" t="n">
        <v>1</v>
      </c>
      <c r="B15" s="337" t="n">
        <v>6924.08</v>
      </c>
      <c r="C15" s="90" t="n">
        <v>381519</v>
      </c>
      <c r="D15" s="98" t="n">
        <f aca="false">C15-C13</f>
        <v>90</v>
      </c>
      <c r="E15" s="90" t="n">
        <f aca="false">C15-152000</f>
        <v>229519</v>
      </c>
      <c r="F15" s="349" t="n">
        <f aca="false">D15/$D$2</f>
        <v>45.3743382908999</v>
      </c>
      <c r="G15" s="1" t="n">
        <v>1810</v>
      </c>
      <c r="H15" s="4" t="n">
        <v>2.6</v>
      </c>
      <c r="I15" s="128" t="n">
        <f aca="false">G15+H15</f>
        <v>1812.6</v>
      </c>
      <c r="J15" s="350" t="n">
        <f aca="false">IF(L15&gt;0,L15,0)</f>
        <v>14.7743382909</v>
      </c>
      <c r="K15" s="128" t="n">
        <f aca="false">I15+J15</f>
        <v>1827.3743382909</v>
      </c>
      <c r="L15" s="128" t="n">
        <f aca="false">F15-(I15-AJ15)</f>
        <v>14.7743382909</v>
      </c>
      <c r="M15" s="131" t="n">
        <v>344</v>
      </c>
      <c r="N15" s="149" t="n">
        <f aca="false">1.8299*1.03</f>
        <v>1.884797</v>
      </c>
      <c r="O15" s="130" t="n">
        <f aca="false">(36+35)*1.05</f>
        <v>74.55</v>
      </c>
      <c r="P15" s="149" t="n">
        <v>0.62</v>
      </c>
      <c r="Q15" s="149" t="n">
        <f aca="false">2.988*1.02</f>
        <v>3.04776</v>
      </c>
      <c r="R15" s="149" t="n">
        <v>4.2</v>
      </c>
      <c r="S15" s="291" t="n">
        <v>3.6</v>
      </c>
      <c r="T15" s="334" t="n">
        <v>0</v>
      </c>
      <c r="U15" s="128" t="n">
        <v>136</v>
      </c>
      <c r="V15" s="128" t="n">
        <v>76</v>
      </c>
      <c r="W15" s="129" t="n">
        <f aca="false">M15-N16-O15-P15-Q15-R15-S15-T15+U15+V15-AS15+AQ15</f>
        <v>494.397443</v>
      </c>
      <c r="X15" s="129" t="n">
        <f aca="false">W15-AN15</f>
        <v>494.397443</v>
      </c>
      <c r="Y15" s="102" t="n">
        <f aca="false">Y12+AO15-AI15</f>
        <v>21572.113953</v>
      </c>
      <c r="Z15" s="129" t="n">
        <f aca="false">AI15</f>
        <v>963</v>
      </c>
      <c r="AA15" s="102" t="n">
        <f aca="false">AA12+(X15+AO15-Z15)*1.9835</f>
        <v>64815.5991753565</v>
      </c>
      <c r="AB15" s="102" t="n">
        <f aca="false">AB12-(MAY!AP45/1.9835)</f>
        <v>1498.71371929879</v>
      </c>
      <c r="AC15" s="78"/>
      <c r="AD15" s="128" t="n">
        <v>263</v>
      </c>
      <c r="AE15" s="131" t="n">
        <v>1.7</v>
      </c>
      <c r="AF15" s="132" t="n">
        <v>1.3</v>
      </c>
      <c r="AG15" s="447" t="n">
        <v>963</v>
      </c>
      <c r="AH15" s="448" t="n">
        <f aca="false">AH13</f>
        <v>13690.2578774893</v>
      </c>
      <c r="AI15" s="447" t="n">
        <f aca="false">AG15</f>
        <v>963</v>
      </c>
      <c r="AJ15" s="128" t="n">
        <f aca="false">N16+O15+P15+Q15+R15+S15+T15+W15+AD15+AG15-AQ15</f>
        <v>1782</v>
      </c>
      <c r="AK15" s="128" t="n">
        <f aca="false">IF(L15&lt;0,L15*-1,0)</f>
        <v>0</v>
      </c>
      <c r="AL15" s="128" t="n">
        <f aca="false">AJ15+AK15</f>
        <v>1782</v>
      </c>
      <c r="AM15" s="441" t="n">
        <f aca="false">AM13</f>
        <v>14971.25965</v>
      </c>
      <c r="AN15" s="142"/>
      <c r="AO15" s="142" t="n">
        <v>0</v>
      </c>
      <c r="AP15" s="149" t="n">
        <f aca="false">64*(Y15*1.9835+AB15*1.9835)/E15</f>
        <v>12.7601773623634</v>
      </c>
      <c r="AQ15" s="130" t="n">
        <v>26.3</v>
      </c>
      <c r="AR15" s="139"/>
      <c r="AS15" s="11"/>
      <c r="AU15" s="97" t="n">
        <v>0</v>
      </c>
      <c r="AV15" s="98" t="n">
        <v>73</v>
      </c>
      <c r="AW15" s="98" t="n">
        <v>44</v>
      </c>
      <c r="AX15" s="276"/>
      <c r="AY15" s="235" t="n">
        <f aca="false">SUM(N16,P15:T15)</f>
        <v>13.352557</v>
      </c>
    </row>
    <row r="16" customFormat="false" ht="12.95" hidden="false" customHeight="true" outlineLevel="0" collapsed="false">
      <c r="A16" s="10" t="n">
        <f aca="false">A15+1</f>
        <v>2</v>
      </c>
      <c r="B16" s="337" t="n">
        <v>6924.08</v>
      </c>
      <c r="C16" s="90" t="n">
        <v>381519</v>
      </c>
      <c r="D16" s="98" t="n">
        <f aca="false">C16-C15</f>
        <v>0</v>
      </c>
      <c r="E16" s="90" t="n">
        <f aca="false">C16-152000</f>
        <v>229519</v>
      </c>
      <c r="F16" s="349" t="n">
        <f aca="false">D16/$D$2</f>
        <v>0</v>
      </c>
      <c r="G16" s="1" t="n">
        <v>1650</v>
      </c>
      <c r="H16" s="4" t="n">
        <v>1.8</v>
      </c>
      <c r="I16" s="128" t="n">
        <f aca="false">G16+H16</f>
        <v>1651.8</v>
      </c>
      <c r="J16" s="350" t="n">
        <f aca="false">IF(L16&gt;0,L16,0)</f>
        <v>0</v>
      </c>
      <c r="K16" s="128" t="n">
        <f aca="false">I16+J16</f>
        <v>1651.8</v>
      </c>
      <c r="L16" s="128" t="n">
        <f aca="false">F16-(I16-AJ16)</f>
        <v>-15.7999999999997</v>
      </c>
      <c r="M16" s="131" t="n">
        <v>344</v>
      </c>
      <c r="N16" s="149" t="n">
        <f aca="false">1.8299*1.03</f>
        <v>1.884797</v>
      </c>
      <c r="O16" s="351" t="n">
        <f aca="false">(40+39)*1.05</f>
        <v>82.95</v>
      </c>
      <c r="P16" s="149" t="n">
        <v>0</v>
      </c>
      <c r="Q16" s="149" t="n">
        <f aca="false">2.988*1.02</f>
        <v>3.04776</v>
      </c>
      <c r="R16" s="149" t="n">
        <v>4.2</v>
      </c>
      <c r="S16" s="291" t="n">
        <v>3.11</v>
      </c>
      <c r="T16" s="334" t="n">
        <v>0</v>
      </c>
      <c r="U16" s="128" t="n">
        <v>136</v>
      </c>
      <c r="V16" s="128" t="n">
        <v>77</v>
      </c>
      <c r="W16" s="129" t="n">
        <f aca="false">M16-N17-O16-P16-Q16-R16-S16-T16+U16+V16-AS16+AQ16</f>
        <v>488.107443</v>
      </c>
      <c r="X16" s="129" t="n">
        <f aca="false">W16-AN16</f>
        <v>488.107443</v>
      </c>
      <c r="Y16" s="102" t="n">
        <f aca="false">Y15+AO16-AI16</f>
        <v>20750.113953</v>
      </c>
      <c r="Z16" s="129" t="n">
        <f aca="false">AI16</f>
        <v>822</v>
      </c>
      <c r="AA16" s="102" t="n">
        <f aca="false">AA15+(X16+AO16-Z16)*1.9835</f>
        <v>64153.323288547</v>
      </c>
      <c r="AB16" s="102" t="n">
        <f aca="false">AB15-(AP15/1.9835)</f>
        <v>1492.28055702888</v>
      </c>
      <c r="AC16" s="102"/>
      <c r="AD16" s="128" t="n">
        <v>257</v>
      </c>
      <c r="AE16" s="131" t="n">
        <v>1.7</v>
      </c>
      <c r="AF16" s="132" t="n">
        <v>1.3</v>
      </c>
      <c r="AG16" s="447" t="n">
        <v>822</v>
      </c>
      <c r="AH16" s="448" t="n">
        <f aca="false">AH15</f>
        <v>13690.2578774893</v>
      </c>
      <c r="AI16" s="447" t="n">
        <f aca="false">AG16</f>
        <v>822</v>
      </c>
      <c r="AJ16" s="128" t="n">
        <f aca="false">N17+O16+P16+Q16+R16+S16+T16+W16+AD16+AG16-AQ16</f>
        <v>1636</v>
      </c>
      <c r="AK16" s="128" t="n">
        <f aca="false">IF(L16&lt;0,L16*-1,0)</f>
        <v>15.7999999999997</v>
      </c>
      <c r="AL16" s="128" t="n">
        <f aca="false">AJ16+AK16</f>
        <v>1651.8</v>
      </c>
      <c r="AM16" s="441" t="n">
        <f aca="false">AM15</f>
        <v>14971.25965</v>
      </c>
      <c r="AN16" s="142"/>
      <c r="AO16" s="142" t="n">
        <v>0</v>
      </c>
      <c r="AP16" s="149" t="n">
        <f aca="false">64*(Y16*1.9835+AB16*1.9835)/E16</f>
        <v>12.3019816602595</v>
      </c>
      <c r="AQ16" s="130" t="n">
        <v>26.3</v>
      </c>
      <c r="AR16" s="139"/>
      <c r="AS16" s="11"/>
      <c r="AU16" s="97" t="n">
        <v>0</v>
      </c>
      <c r="AV16" s="98" t="n">
        <v>76</v>
      </c>
      <c r="AW16" s="98" t="n">
        <v>48</v>
      </c>
      <c r="AX16" s="276"/>
      <c r="AY16" s="235" t="n">
        <f aca="false">SUM(N17,P16:T16)</f>
        <v>12.242557</v>
      </c>
    </row>
    <row r="17" customFormat="false" ht="12.95" hidden="false" customHeight="true" outlineLevel="0" collapsed="false">
      <c r="A17" s="10" t="n">
        <f aca="false">A16+1</f>
        <v>3</v>
      </c>
      <c r="B17" s="337" t="n">
        <v>6924.17</v>
      </c>
      <c r="C17" s="90" t="n">
        <v>381823</v>
      </c>
      <c r="D17" s="98" t="n">
        <f aca="false">C17-C16</f>
        <v>304</v>
      </c>
      <c r="E17" s="90" t="n">
        <f aca="false">C17-152000</f>
        <v>229823</v>
      </c>
      <c r="F17" s="349" t="n">
        <f aca="false">D17/$D$2</f>
        <v>153.264431560373</v>
      </c>
      <c r="G17" s="1" t="n">
        <v>1510</v>
      </c>
      <c r="H17" s="4" t="n">
        <v>0.87</v>
      </c>
      <c r="I17" s="128" t="n">
        <f aca="false">G17+H17</f>
        <v>1510.87</v>
      </c>
      <c r="J17" s="350" t="n">
        <f aca="false">IF(L17&gt;0,L17,0)</f>
        <v>64.3944315603732</v>
      </c>
      <c r="K17" s="128" t="n">
        <f aca="false">I17+J17</f>
        <v>1575.26443156037</v>
      </c>
      <c r="L17" s="128" t="n">
        <f aca="false">F17-(I17-AJ17)</f>
        <v>64.3944315603732</v>
      </c>
      <c r="M17" s="131" t="n">
        <v>339</v>
      </c>
      <c r="N17" s="149" t="n">
        <f aca="false">1.8299*1.03</f>
        <v>1.884797</v>
      </c>
      <c r="O17" s="143" t="n">
        <f aca="false">(42+39)*1.05</f>
        <v>85.05</v>
      </c>
      <c r="P17" s="291" t="n">
        <v>0</v>
      </c>
      <c r="Q17" s="149" t="n">
        <f aca="false">2.988*1.02</f>
        <v>3.04776</v>
      </c>
      <c r="R17" s="149" t="n">
        <v>4.2</v>
      </c>
      <c r="S17" s="291" t="n">
        <v>3.32</v>
      </c>
      <c r="T17" s="334" t="n">
        <v>0</v>
      </c>
      <c r="U17" s="128" t="n">
        <v>136</v>
      </c>
      <c r="V17" s="128" t="n">
        <v>77</v>
      </c>
      <c r="W17" s="129" t="n">
        <f aca="false">M17-N18-O17-P17-Q17-R17-S17-T17+U17+V17-AS17+AQ17</f>
        <v>480.797443</v>
      </c>
      <c r="X17" s="129" t="n">
        <f aca="false">W17-AN17</f>
        <v>480.797443</v>
      </c>
      <c r="Y17" s="102" t="n">
        <f aca="false">Y16+AO17-AI17</f>
        <v>20140.113953</v>
      </c>
      <c r="Z17" s="129" t="n">
        <f aca="false">AI17</f>
        <v>610</v>
      </c>
      <c r="AA17" s="102" t="n">
        <f aca="false">AA16+(X17+AO17-Z17)*1.9835</f>
        <v>63897.0500167375</v>
      </c>
      <c r="AB17" s="102" t="n">
        <f aca="false">AB16-(AP16/1.9835)</f>
        <v>1486.07839838998</v>
      </c>
      <c r="AC17" s="102"/>
      <c r="AD17" s="128" t="n">
        <v>260</v>
      </c>
      <c r="AE17" s="131" t="n">
        <v>1.7</v>
      </c>
      <c r="AF17" s="132" t="n">
        <v>1.3</v>
      </c>
      <c r="AG17" s="447" t="n">
        <v>610</v>
      </c>
      <c r="AH17" s="448" t="n">
        <f aca="false">AH16</f>
        <v>13690.2578774893</v>
      </c>
      <c r="AI17" s="447" t="n">
        <f aca="false">AG17</f>
        <v>610</v>
      </c>
      <c r="AJ17" s="128" t="n">
        <f aca="false">N18+O17+P17+Q17+R17+S17+T17+W17+AD17+AG17-AQ17</f>
        <v>1422</v>
      </c>
      <c r="AK17" s="128" t="n">
        <f aca="false">IF(L17&lt;0,L17*-1,0)</f>
        <v>0</v>
      </c>
      <c r="AL17" s="128" t="n">
        <f aca="false">AJ17+AK17</f>
        <v>1422</v>
      </c>
      <c r="AM17" s="441" t="n">
        <f aca="false">AM16</f>
        <v>14971.25965</v>
      </c>
      <c r="AN17" s="142"/>
      <c r="AO17" s="142" t="n">
        <v>0</v>
      </c>
      <c r="AP17" s="149" t="n">
        <f aca="false">64*(Y17*1.9835+AB17*1.9835)/E17</f>
        <v>11.9453464703483</v>
      </c>
      <c r="AQ17" s="130" t="n">
        <v>26.3</v>
      </c>
      <c r="AR17" s="139"/>
      <c r="AS17" s="11"/>
      <c r="AT17" s="0"/>
      <c r="AU17" s="97" t="n">
        <v>0</v>
      </c>
      <c r="AV17" s="98" t="n">
        <v>79</v>
      </c>
      <c r="AW17" s="98" t="n">
        <v>48</v>
      </c>
      <c r="AX17" s="276"/>
      <c r="AY17" s="235" t="n">
        <f aca="false">SUM(N17,P17:T17)</f>
        <v>12.452557</v>
      </c>
    </row>
    <row r="18" customFormat="false" ht="12.95" hidden="false" customHeight="true" outlineLevel="0" collapsed="false">
      <c r="A18" s="10" t="n">
        <f aca="false">A17+1</f>
        <v>4</v>
      </c>
      <c r="B18" s="337" t="n">
        <v>6924.28</v>
      </c>
      <c r="C18" s="90" t="n">
        <v>382416</v>
      </c>
      <c r="D18" s="98" t="n">
        <f aca="false">C18-C17</f>
        <v>593</v>
      </c>
      <c r="E18" s="90" t="n">
        <f aca="false">C18-152000</f>
        <v>230416</v>
      </c>
      <c r="F18" s="349" t="n">
        <f aca="false">D18/$D$2</f>
        <v>298.966473405596</v>
      </c>
      <c r="G18" s="1" t="n">
        <v>1590</v>
      </c>
      <c r="H18" s="4" t="n">
        <v>0.66</v>
      </c>
      <c r="I18" s="128" t="n">
        <f aca="false">G18+H18</f>
        <v>1590.66</v>
      </c>
      <c r="J18" s="350" t="n">
        <f aca="false">IF(L18&gt;0,L18,0)</f>
        <v>22.3064734055963</v>
      </c>
      <c r="K18" s="128" t="n">
        <f aca="false">I18+J18</f>
        <v>1612.9664734056</v>
      </c>
      <c r="L18" s="128" t="n">
        <f aca="false">F18-(I18-AJ18)</f>
        <v>22.3064734055963</v>
      </c>
      <c r="M18" s="131" t="n">
        <v>341</v>
      </c>
      <c r="N18" s="149" t="n">
        <f aca="false">1.8299*1.03</f>
        <v>1.884797</v>
      </c>
      <c r="O18" s="143" t="n">
        <f aca="false">(40+37)*1.05</f>
        <v>80.85</v>
      </c>
      <c r="P18" s="291" t="n">
        <v>0</v>
      </c>
      <c r="Q18" s="149" t="n">
        <f aca="false">2.988*1.02</f>
        <v>3.04776</v>
      </c>
      <c r="R18" s="149" t="n">
        <v>4.2</v>
      </c>
      <c r="S18" s="291" t="n">
        <v>3.54</v>
      </c>
      <c r="T18" s="334" t="n">
        <v>0</v>
      </c>
      <c r="U18" s="128" t="n">
        <v>136</v>
      </c>
      <c r="V18" s="128" t="n">
        <v>77</v>
      </c>
      <c r="W18" s="129" t="n">
        <f aca="false">M18-N19-O18-P18-Q18-R18-S18-T18+U18+V18-AS18+AQ18</f>
        <v>486.777443</v>
      </c>
      <c r="X18" s="129" t="n">
        <f aca="false">W18-AN18</f>
        <v>486.777443</v>
      </c>
      <c r="Y18" s="102" t="n">
        <f aca="false">Y17+AO18-AI18</f>
        <v>19654.113953</v>
      </c>
      <c r="Z18" s="129" t="n">
        <f aca="false">AI18</f>
        <v>486</v>
      </c>
      <c r="AA18" s="102" t="n">
        <f aca="false">AA17+(X18+AO18-Z18)*1.9835</f>
        <v>63898.592074928</v>
      </c>
      <c r="AB18" s="102" t="n">
        <f aca="false">AB17-(AP17/1.9835)</f>
        <v>1480.05604070389</v>
      </c>
      <c r="AC18" s="102"/>
      <c r="AD18" s="128" t="n">
        <v>274</v>
      </c>
      <c r="AE18" s="131" t="n">
        <v>1.7</v>
      </c>
      <c r="AF18" s="132" t="n">
        <v>1.3</v>
      </c>
      <c r="AG18" s="447" t="n">
        <v>486</v>
      </c>
      <c r="AH18" s="448" t="n">
        <f aca="false">AH17</f>
        <v>13690.2578774893</v>
      </c>
      <c r="AI18" s="447" t="n">
        <f aca="false">AG18</f>
        <v>486</v>
      </c>
      <c r="AJ18" s="128" t="n">
        <f aca="false">N19+O18+P18+Q18+R18+S18+T18+W18+AD18+AG18-AQ18</f>
        <v>1314</v>
      </c>
      <c r="AK18" s="128" t="n">
        <f aca="false">IF(L18&lt;0,L18*-1,0)</f>
        <v>0</v>
      </c>
      <c r="AL18" s="128" t="n">
        <f aca="false">AJ18+AK18</f>
        <v>1314</v>
      </c>
      <c r="AM18" s="441" t="n">
        <f aca="false">AM17</f>
        <v>14971.25965</v>
      </c>
      <c r="AN18" s="142"/>
      <c r="AO18" s="142" t="n">
        <v>0</v>
      </c>
      <c r="AP18" s="149" t="n">
        <f aca="false">64*(Y18*1.9835+AB18*1.9835)/E18</f>
        <v>11.6435320276402</v>
      </c>
      <c r="AQ18" s="130" t="n">
        <v>26.3</v>
      </c>
      <c r="AR18" s="139"/>
      <c r="AS18" s="11"/>
      <c r="AU18" s="97" t="n">
        <v>0</v>
      </c>
      <c r="AV18" s="98" t="n">
        <v>82</v>
      </c>
      <c r="AW18" s="98" t="n">
        <v>50</v>
      </c>
      <c r="AX18" s="276"/>
      <c r="AY18" s="235" t="n">
        <f aca="false">SUM(N18,P18:T18)</f>
        <v>12.672557</v>
      </c>
    </row>
    <row r="19" customFormat="false" ht="12.95" hidden="false" customHeight="true" outlineLevel="0" collapsed="false">
      <c r="A19" s="10" t="n">
        <f aca="false">A18+1</f>
        <v>5</v>
      </c>
      <c r="B19" s="337" t="n">
        <v>6924.26</v>
      </c>
      <c r="C19" s="90" t="n">
        <v>382326</v>
      </c>
      <c r="D19" s="98" t="n">
        <f aca="false">C19-C18</f>
        <v>-90</v>
      </c>
      <c r="E19" s="90" t="n">
        <f aca="false">C19-152000</f>
        <v>230326</v>
      </c>
      <c r="F19" s="349" t="n">
        <f aca="false">D19/$D$2</f>
        <v>-45.3743382908999</v>
      </c>
      <c r="G19" s="1" t="n">
        <v>1800</v>
      </c>
      <c r="H19" s="4" t="n">
        <v>0.57</v>
      </c>
      <c r="I19" s="128" t="n">
        <f aca="false">G19+H19</f>
        <v>1800.57</v>
      </c>
      <c r="J19" s="350" t="n">
        <f aca="false">IF(L19&gt;0,L19,0)</f>
        <v>25.0556617091004</v>
      </c>
      <c r="K19" s="128" t="n">
        <f aca="false">I19+J19</f>
        <v>1825.6256617091</v>
      </c>
      <c r="L19" s="128" t="n">
        <f aca="false">F19-(I19-AJ19)</f>
        <v>25.0556617091004</v>
      </c>
      <c r="M19" s="131" t="n">
        <v>349</v>
      </c>
      <c r="N19" s="149" t="n">
        <f aca="false">1.8299*1.03</f>
        <v>1.884797</v>
      </c>
      <c r="O19" s="143" t="n">
        <f aca="false">(40+41)*1.05</f>
        <v>85.05</v>
      </c>
      <c r="P19" s="291" t="n">
        <v>0</v>
      </c>
      <c r="Q19" s="149" t="n">
        <f aca="false">2.988*1.02</f>
        <v>3.04776</v>
      </c>
      <c r="R19" s="149" t="n">
        <v>4.2</v>
      </c>
      <c r="S19" s="291" t="n">
        <v>3.77</v>
      </c>
      <c r="T19" s="334" t="n">
        <v>0</v>
      </c>
      <c r="U19" s="128" t="n">
        <v>136</v>
      </c>
      <c r="V19" s="128" t="n">
        <v>79</v>
      </c>
      <c r="W19" s="129" t="n">
        <f aca="false">M19-N20-O19-P19-Q19-R19-S19-T19+U19+V19-AS19+AQ19</f>
        <v>492.347443</v>
      </c>
      <c r="X19" s="129" t="n">
        <f aca="false">W19-AN19</f>
        <v>492.347443</v>
      </c>
      <c r="Y19" s="102" t="n">
        <f aca="false">Y18+AO19-AI19</f>
        <v>18624.113953</v>
      </c>
      <c r="Z19" s="129" t="n">
        <f aca="false">AI19</f>
        <v>1030</v>
      </c>
      <c r="AA19" s="102" t="n">
        <f aca="false">AA18+(X19+AO19-Z19)*1.9835</f>
        <v>62832.1582281185</v>
      </c>
      <c r="AB19" s="102" t="n">
        <f aca="false">AB18-(AP18/1.9835)</f>
        <v>1474.1858455803</v>
      </c>
      <c r="AC19" s="102"/>
      <c r="AD19" s="128" t="n">
        <v>277</v>
      </c>
      <c r="AE19" s="131" t="n">
        <v>1.7</v>
      </c>
      <c r="AF19" s="132" t="n">
        <v>1.3</v>
      </c>
      <c r="AG19" s="447" t="n">
        <v>1030</v>
      </c>
      <c r="AH19" s="448" t="n">
        <f aca="false">AH18</f>
        <v>13690.2578774893</v>
      </c>
      <c r="AI19" s="447" t="n">
        <f aca="false">AG19</f>
        <v>1030</v>
      </c>
      <c r="AJ19" s="128" t="n">
        <f aca="false">N20+O19+P19+Q19+R19+S19+T19+W19+AD19+AG19-AQ19</f>
        <v>1871</v>
      </c>
      <c r="AK19" s="128" t="n">
        <f aca="false">IF(L19&lt;0,L19*-1,0)</f>
        <v>0</v>
      </c>
      <c r="AL19" s="128" t="n">
        <f aca="false">AJ19+AK19</f>
        <v>1871</v>
      </c>
      <c r="AM19" s="441" t="n">
        <f aca="false">AM18</f>
        <v>14971.25965</v>
      </c>
      <c r="AN19" s="142"/>
      <c r="AO19" s="142" t="n">
        <v>0</v>
      </c>
      <c r="AP19" s="149" t="n">
        <f aca="false">64*(Y19*1.9835+AB19*1.9835)/E19</f>
        <v>11.0771626721733</v>
      </c>
      <c r="AQ19" s="130" t="n">
        <v>26.3</v>
      </c>
      <c r="AR19" s="139"/>
      <c r="AS19" s="11"/>
      <c r="AU19" s="97" t="n">
        <v>0</v>
      </c>
      <c r="AV19" s="98" t="n">
        <v>88</v>
      </c>
      <c r="AW19" s="98" t="n">
        <v>52</v>
      </c>
      <c r="AX19" s="276"/>
      <c r="AY19" s="235" t="n">
        <f aca="false">SUM(N19,P19:T19)</f>
        <v>12.902557</v>
      </c>
    </row>
    <row r="20" customFormat="false" ht="12.95" hidden="false" customHeight="true" outlineLevel="0" collapsed="false">
      <c r="A20" s="10" t="n">
        <f aca="false">A19+1</f>
        <v>6</v>
      </c>
      <c r="B20" s="337" t="n">
        <v>6924.23</v>
      </c>
      <c r="C20" s="90" t="n">
        <v>382192</v>
      </c>
      <c r="D20" s="98" t="n">
        <f aca="false">C20-C19</f>
        <v>-134</v>
      </c>
      <c r="E20" s="90" t="n">
        <f aca="false">C20-152000</f>
        <v>230192</v>
      </c>
      <c r="F20" s="349" t="n">
        <f aca="false">D20/$D$2</f>
        <v>-67.5573481220066</v>
      </c>
      <c r="G20" s="1" t="n">
        <v>1960</v>
      </c>
      <c r="H20" s="4" t="n">
        <v>0.39</v>
      </c>
      <c r="I20" s="128" t="n">
        <f aca="false">G20+H20</f>
        <v>1960.39</v>
      </c>
      <c r="J20" s="350" t="n">
        <f aca="false">IF(L20&gt;0,L20,0)</f>
        <v>38.0526518779933</v>
      </c>
      <c r="K20" s="128" t="n">
        <f aca="false">I20+J20</f>
        <v>1998.44265187799</v>
      </c>
      <c r="L20" s="128" t="n">
        <f aca="false">F20-(I20-AJ20)</f>
        <v>38.0526518779933</v>
      </c>
      <c r="M20" s="131" t="n">
        <v>344</v>
      </c>
      <c r="N20" s="149" t="n">
        <f aca="false">1.8299*1.03</f>
        <v>1.884797</v>
      </c>
      <c r="O20" s="143" t="n">
        <f aca="false">(35+36)*1.05</f>
        <v>74.55</v>
      </c>
      <c r="P20" s="291" t="n">
        <v>0</v>
      </c>
      <c r="Q20" s="149" t="n">
        <f aca="false">2.988*1.02</f>
        <v>3.04776</v>
      </c>
      <c r="R20" s="149" t="n">
        <v>4.2</v>
      </c>
      <c r="S20" s="291" t="n">
        <v>3.28</v>
      </c>
      <c r="T20" s="334" t="n">
        <v>0</v>
      </c>
      <c r="U20" s="128" t="n">
        <v>136</v>
      </c>
      <c r="V20" s="128" t="n">
        <v>80</v>
      </c>
      <c r="W20" s="129" t="n">
        <f aca="false">M20-N21-O20-P20-Q20-R20-S20-T20+U20+V20-AS20+AQ20</f>
        <v>499.337443</v>
      </c>
      <c r="X20" s="129" t="n">
        <f aca="false">W20-AN20</f>
        <v>499.337443</v>
      </c>
      <c r="Y20" s="102" t="n">
        <f aca="false">Y19+AO20-AI20</f>
        <v>17354.113953</v>
      </c>
      <c r="Z20" s="129" t="n">
        <f aca="false">AI20</f>
        <v>1270</v>
      </c>
      <c r="AA20" s="102" t="n">
        <f aca="false">AA19+(X20+AO20-Z20)*1.9835</f>
        <v>61303.549046309</v>
      </c>
      <c r="AB20" s="102" t="n">
        <f aca="false">AB19-(AP19/1.9835)</f>
        <v>1468.60119084263</v>
      </c>
      <c r="AC20" s="102"/>
      <c r="AD20" s="128" t="n">
        <v>236</v>
      </c>
      <c r="AE20" s="131" t="n">
        <v>1.7</v>
      </c>
      <c r="AF20" s="132" t="n">
        <v>1.3</v>
      </c>
      <c r="AG20" s="447" t="n">
        <v>1270</v>
      </c>
      <c r="AH20" s="448" t="n">
        <f aca="false">AH19</f>
        <v>13690.2578774893</v>
      </c>
      <c r="AI20" s="447" t="n">
        <f aca="false">AG20</f>
        <v>1270</v>
      </c>
      <c r="AJ20" s="128" t="n">
        <f aca="false">N21+O20+P20+Q20+R20+S20+T20+W20+AD20+AG20-AQ20</f>
        <v>2066</v>
      </c>
      <c r="AK20" s="128" t="n">
        <f aca="false">IF(L20&lt;0,L20*-1,0)</f>
        <v>0</v>
      </c>
      <c r="AL20" s="128" t="n">
        <f aca="false">AJ20+AK20</f>
        <v>2066</v>
      </c>
      <c r="AM20" s="441" t="n">
        <f aca="false">AM19</f>
        <v>14971.25965</v>
      </c>
      <c r="AN20" s="142"/>
      <c r="AO20" s="142" t="n">
        <v>0</v>
      </c>
      <c r="AP20" s="149" t="n">
        <f aca="false">64*(Y20*1.9835+AB20*1.9835)/E20</f>
        <v>10.3801641726036</v>
      </c>
      <c r="AQ20" s="130" t="n">
        <v>26.3</v>
      </c>
      <c r="AR20" s="139"/>
      <c r="AS20" s="11"/>
      <c r="AU20" s="97" t="n">
        <v>0</v>
      </c>
      <c r="AV20" s="98" t="n">
        <v>91</v>
      </c>
      <c r="AW20" s="98" t="n">
        <v>58</v>
      </c>
      <c r="AX20" s="276"/>
      <c r="AY20" s="235" t="n">
        <f aca="false">SUM(N20,P20:T20)</f>
        <v>12.412557</v>
      </c>
    </row>
    <row r="21" customFormat="false" ht="12.95" hidden="false" customHeight="true" outlineLevel="0" collapsed="false">
      <c r="A21" s="10" t="n">
        <f aca="false">A20+1</f>
        <v>7</v>
      </c>
      <c r="B21" s="337" t="n">
        <v>6924.14</v>
      </c>
      <c r="C21" s="90" t="n">
        <v>381788</v>
      </c>
      <c r="D21" s="98" t="n">
        <f aca="false">C21-C20</f>
        <v>-404</v>
      </c>
      <c r="E21" s="90" t="n">
        <f aca="false">C21-152000</f>
        <v>229788</v>
      </c>
      <c r="F21" s="349" t="n">
        <f aca="false">D21/$D$2</f>
        <v>-203.680362994706</v>
      </c>
      <c r="G21" s="1" t="n">
        <v>1860</v>
      </c>
      <c r="H21" s="4" t="n">
        <v>0.47</v>
      </c>
      <c r="I21" s="128" t="n">
        <f aca="false">G21+H21</f>
        <v>1860.47</v>
      </c>
      <c r="J21" s="350" t="n">
        <f aca="false">IF(L21&gt;0,L21,0)</f>
        <v>0</v>
      </c>
      <c r="K21" s="128" t="n">
        <f aca="false">I21+J21</f>
        <v>1860.47</v>
      </c>
      <c r="L21" s="128" t="n">
        <f aca="false">F21-(I21-AJ21)</f>
        <v>-12.1503629947063</v>
      </c>
      <c r="M21" s="131" t="n">
        <v>342</v>
      </c>
      <c r="N21" s="149" t="n">
        <f aca="false">1.8299*1.03</f>
        <v>1.884797</v>
      </c>
      <c r="O21" s="143" t="n">
        <f aca="false">(34+35)*1.05</f>
        <v>72.45</v>
      </c>
      <c r="P21" s="291" t="n">
        <v>0</v>
      </c>
      <c r="Q21" s="149" t="n">
        <f aca="false">2.988*1.02</f>
        <v>3.04776</v>
      </c>
      <c r="R21" s="149" t="n">
        <v>4.2</v>
      </c>
      <c r="S21" s="291" t="n">
        <v>4.3</v>
      </c>
      <c r="T21" s="334" t="n">
        <v>0</v>
      </c>
      <c r="U21" s="128" t="n">
        <v>141</v>
      </c>
      <c r="V21" s="128" t="n">
        <v>79</v>
      </c>
      <c r="W21" s="129" t="n">
        <f aca="false">M21-N22-O21-P21-Q21-R21-S21-T21+U21+V21-AS21+AQ21</f>
        <v>502.417443</v>
      </c>
      <c r="X21" s="129" t="n">
        <f aca="false">W21-AN21</f>
        <v>502.417443</v>
      </c>
      <c r="Y21" s="102" t="n">
        <f aca="false">Y20+AO21-AI21</f>
        <v>16134.113953</v>
      </c>
      <c r="Z21" s="129" t="n">
        <f aca="false">AI21</f>
        <v>1220</v>
      </c>
      <c r="AA21" s="102" t="n">
        <f aca="false">AA20+(X21+AO21-Z21)*1.9835</f>
        <v>59880.2240444995</v>
      </c>
      <c r="AB21" s="102" t="n">
        <f aca="false">AB20-(AP20/1.9835)</f>
        <v>1463.3679343906</v>
      </c>
      <c r="AC21" s="102"/>
      <c r="AD21" s="128" t="n">
        <v>270</v>
      </c>
      <c r="AE21" s="131" t="n">
        <v>1.7</v>
      </c>
      <c r="AF21" s="132" t="n">
        <v>1.3</v>
      </c>
      <c r="AG21" s="447" t="n">
        <v>1220</v>
      </c>
      <c r="AH21" s="448" t="n">
        <f aca="false">AH20</f>
        <v>13690.2578774893</v>
      </c>
      <c r="AI21" s="447" t="n">
        <f aca="false">AG21</f>
        <v>1220</v>
      </c>
      <c r="AJ21" s="128" t="n">
        <f aca="false">N22+O21+P21+Q21+R21+S21+T21+W21+AD21+AG21-AQ21</f>
        <v>2052</v>
      </c>
      <c r="AK21" s="128" t="n">
        <f aca="false">IF(L21&lt;0,L21*-1,0)</f>
        <v>12.1503629947063</v>
      </c>
      <c r="AL21" s="128" t="n">
        <f aca="false">AJ21+AK21</f>
        <v>2064.15036299471</v>
      </c>
      <c r="AM21" s="441" t="n">
        <f aca="false">AM20</f>
        <v>14971.25965</v>
      </c>
      <c r="AN21" s="142"/>
      <c r="AO21" s="142" t="n">
        <v>0</v>
      </c>
      <c r="AP21" s="149" t="n">
        <f aca="false">64*(Y21*1.9835+AB21*1.9835)/E21</f>
        <v>9.7215465590584</v>
      </c>
      <c r="AQ21" s="130" t="n">
        <v>26.3</v>
      </c>
      <c r="AR21" s="139"/>
      <c r="AS21" s="11"/>
      <c r="AU21" s="97" t="n">
        <v>0</v>
      </c>
      <c r="AV21" s="98" t="n">
        <v>88</v>
      </c>
      <c r="AW21" s="98" t="n">
        <v>58</v>
      </c>
      <c r="AX21" s="276"/>
      <c r="AY21" s="235" t="n">
        <f aca="false">SUM(N21,P21:T21)</f>
        <v>13.432557</v>
      </c>
    </row>
    <row r="22" customFormat="false" ht="12.95" hidden="false" customHeight="true" outlineLevel="0" collapsed="false">
      <c r="A22" s="10" t="n">
        <f aca="false">A21+1</f>
        <v>8</v>
      </c>
      <c r="B22" s="337" t="n">
        <v>6924.14</v>
      </c>
      <c r="C22" s="90" t="n">
        <v>381788</v>
      </c>
      <c r="D22" s="98" t="n">
        <f aca="false">C22-C21</f>
        <v>0</v>
      </c>
      <c r="E22" s="90" t="n">
        <f aca="false">C22-152000</f>
        <v>229788</v>
      </c>
      <c r="F22" s="349" t="n">
        <f aca="false">D22/$D$2</f>
        <v>0</v>
      </c>
      <c r="G22" s="1" t="n">
        <v>1620</v>
      </c>
      <c r="H22" s="4" t="n">
        <v>0.34</v>
      </c>
      <c r="I22" s="128" t="n">
        <f aca="false">G22+H22</f>
        <v>1620.34</v>
      </c>
      <c r="J22" s="350" t="n">
        <f aca="false">IF(L22&gt;0,L22,0)</f>
        <v>27.6600000000003</v>
      </c>
      <c r="K22" s="128" t="n">
        <f aca="false">I22+J22</f>
        <v>1648</v>
      </c>
      <c r="L22" s="128" t="n">
        <f aca="false">F22-(I22-AJ22)</f>
        <v>27.6600000000003</v>
      </c>
      <c r="M22" s="131" t="n">
        <v>352</v>
      </c>
      <c r="N22" s="149" t="n">
        <f aca="false">1.8299*1.03</f>
        <v>1.884797</v>
      </c>
      <c r="O22" s="143" t="n">
        <f aca="false">(41+42)*1.05</f>
        <v>87.15</v>
      </c>
      <c r="P22" s="291" t="n">
        <v>0</v>
      </c>
      <c r="Q22" s="149" t="n">
        <f aca="false">2.988*1.02</f>
        <v>3.04776</v>
      </c>
      <c r="R22" s="149" t="n">
        <v>4.2</v>
      </c>
      <c r="S22" s="291" t="n">
        <v>4.92</v>
      </c>
      <c r="T22" s="334" t="n">
        <v>0</v>
      </c>
      <c r="U22" s="128" t="n">
        <v>141</v>
      </c>
      <c r="V22" s="128" t="n">
        <v>79</v>
      </c>
      <c r="W22" s="129" t="n">
        <f aca="false">M22-N23-O22-P22-Q22-R22-S22-T22+U22+V22-AS22+AQ22</f>
        <v>497.097443</v>
      </c>
      <c r="X22" s="129" t="n">
        <f aca="false">W22-AN22</f>
        <v>497.097443</v>
      </c>
      <c r="Y22" s="102" t="n">
        <f aca="false">Y21+AO22-AI22</f>
        <v>15345.113953</v>
      </c>
      <c r="Z22" s="129" t="n">
        <f aca="false">AI22</f>
        <v>789</v>
      </c>
      <c r="AA22" s="102" t="n">
        <f aca="false">AA21+(X22+AO22-Z22)*1.9835</f>
        <v>59301.23532269</v>
      </c>
      <c r="AB22" s="102" t="n">
        <f aca="false">AB21-(AP21/1.9835)</f>
        <v>1458.46672614303</v>
      </c>
      <c r="AC22" s="102"/>
      <c r="AD22" s="128" t="n">
        <v>287</v>
      </c>
      <c r="AE22" s="131" t="n">
        <v>1.7</v>
      </c>
      <c r="AF22" s="132" t="n">
        <v>1.3</v>
      </c>
      <c r="AG22" s="447" t="n">
        <v>789</v>
      </c>
      <c r="AH22" s="448" t="n">
        <f aca="false">AH21</f>
        <v>13690.2578774893</v>
      </c>
      <c r="AI22" s="447" t="n">
        <f aca="false">AG22</f>
        <v>789</v>
      </c>
      <c r="AJ22" s="128" t="n">
        <f aca="false">N23+O22+P22+Q22+R22+S22+T22+W22+AD22+AG22-AQ22</f>
        <v>1648</v>
      </c>
      <c r="AK22" s="128" t="n">
        <f aca="false">IF(L22&lt;0,L22*-1,0)</f>
        <v>0</v>
      </c>
      <c r="AL22" s="128" t="n">
        <f aca="false">AJ22+AK22</f>
        <v>1648</v>
      </c>
      <c r="AM22" s="441" t="n">
        <f aca="false">AM21</f>
        <v>14971.25965</v>
      </c>
      <c r="AN22" s="142"/>
      <c r="AO22" s="142" t="n">
        <v>0</v>
      </c>
      <c r="AP22" s="149" t="n">
        <f aca="false">64*(Y22*1.9835+AB22*1.9835)/E22</f>
        <v>9.28296406136583</v>
      </c>
      <c r="AQ22" s="130" t="n">
        <v>26.3</v>
      </c>
      <c r="AR22" s="139"/>
      <c r="AS22" s="11"/>
      <c r="AU22" s="97" t="n">
        <v>0</v>
      </c>
      <c r="AV22" s="98" t="n">
        <v>86</v>
      </c>
      <c r="AW22" s="98" t="n">
        <v>52</v>
      </c>
      <c r="AX22" s="276"/>
      <c r="AY22" s="235" t="n">
        <f aca="false">SUM(N22,P22:T22)</f>
        <v>14.052557</v>
      </c>
    </row>
    <row r="23" customFormat="false" ht="12.95" hidden="false" customHeight="true" outlineLevel="0" collapsed="false">
      <c r="A23" s="10" t="n">
        <f aca="false">A22+1</f>
        <v>9</v>
      </c>
      <c r="B23" s="337" t="n">
        <v>6924.14</v>
      </c>
      <c r="C23" s="90" t="n">
        <v>381788</v>
      </c>
      <c r="D23" s="98" t="n">
        <f aca="false">C23-C22</f>
        <v>0</v>
      </c>
      <c r="E23" s="90" t="n">
        <f aca="false">C23-152000</f>
        <v>229788</v>
      </c>
      <c r="F23" s="349" t="n">
        <f aca="false">D23/$D$2</f>
        <v>0</v>
      </c>
      <c r="G23" s="1" t="n">
        <v>1420</v>
      </c>
      <c r="H23" s="4" t="n">
        <v>0.32</v>
      </c>
      <c r="I23" s="128" t="n">
        <f aca="false">G23+H23</f>
        <v>1420.32</v>
      </c>
      <c r="J23" s="350" t="n">
        <f aca="false">IF(L23&gt;0,L23,0)</f>
        <v>55.6800000000001</v>
      </c>
      <c r="K23" s="128" t="n">
        <f aca="false">I23+J23</f>
        <v>1476</v>
      </c>
      <c r="L23" s="128" t="n">
        <f aca="false">F23-(I23-AJ23)</f>
        <v>55.6800000000001</v>
      </c>
      <c r="M23" s="131" t="n">
        <v>359</v>
      </c>
      <c r="N23" s="149" t="n">
        <f aca="false">1.8299*1.03</f>
        <v>1.884797</v>
      </c>
      <c r="O23" s="143" t="n">
        <f aca="false">(49+48)*1.05</f>
        <v>101.85</v>
      </c>
      <c r="P23" s="291" t="n">
        <v>0</v>
      </c>
      <c r="Q23" s="149" t="n">
        <f aca="false">2.988*1.02</f>
        <v>3.04776</v>
      </c>
      <c r="R23" s="149" t="n">
        <v>4.2</v>
      </c>
      <c r="S23" s="291" t="n">
        <v>3.88</v>
      </c>
      <c r="T23" s="334" t="n">
        <v>0</v>
      </c>
      <c r="U23" s="128" t="n">
        <v>140</v>
      </c>
      <c r="V23" s="128" t="n">
        <v>79</v>
      </c>
      <c r="W23" s="129" t="n">
        <f aca="false">M23-N24-O23-P23-Q23-R23-S23-T23+U23+V23-AS23+AQ23</f>
        <v>489.437443</v>
      </c>
      <c r="X23" s="129" t="n">
        <f aca="false">W23-AN23</f>
        <v>489.437443</v>
      </c>
      <c r="Y23" s="102" t="n">
        <f aca="false">Y22+AO23-AI23</f>
        <v>14726.113953</v>
      </c>
      <c r="Z23" s="129" t="n">
        <f aca="false">AI23</f>
        <v>619</v>
      </c>
      <c r="AA23" s="102" t="n">
        <f aca="false">AA22+(X23+AO23-Z23)*1.9835</f>
        <v>59044.2479908805</v>
      </c>
      <c r="AB23" s="102" t="n">
        <f aca="false">AB22-(AP22/1.9835)</f>
        <v>1453.78663334678</v>
      </c>
      <c r="AC23" s="102"/>
      <c r="AD23" s="128" t="n">
        <v>279</v>
      </c>
      <c r="AE23" s="131" t="n">
        <v>1.7</v>
      </c>
      <c r="AF23" s="132" t="n">
        <v>1.3</v>
      </c>
      <c r="AG23" s="447" t="n">
        <v>619</v>
      </c>
      <c r="AH23" s="448" t="n">
        <f aca="false">AH22</f>
        <v>13690.2578774893</v>
      </c>
      <c r="AI23" s="447" t="n">
        <f aca="false">AG23</f>
        <v>619</v>
      </c>
      <c r="AJ23" s="128" t="n">
        <f aca="false">N24+O23+P23+Q23+R23+S23+T23+W23+AD23+AG23-AQ23</f>
        <v>1476</v>
      </c>
      <c r="AK23" s="128" t="n">
        <f aca="false">IF(L23&lt;0,L23*-1,0)</f>
        <v>0</v>
      </c>
      <c r="AL23" s="128" t="n">
        <f aca="false">AJ23+AK23</f>
        <v>1476</v>
      </c>
      <c r="AM23" s="441" t="n">
        <f aca="false">AM22</f>
        <v>14971.25965</v>
      </c>
      <c r="AN23" s="142"/>
      <c r="AO23" s="142" t="n">
        <v>0</v>
      </c>
      <c r="AP23" s="149" t="n">
        <f aca="false">64*(Y23*1.9835+AB23*1.9835)/E23</f>
        <v>8.93841845541632</v>
      </c>
      <c r="AQ23" s="130" t="n">
        <v>26.3</v>
      </c>
      <c r="AR23" s="139"/>
      <c r="AS23" s="11"/>
      <c r="AU23" s="97" t="n">
        <v>0</v>
      </c>
      <c r="AV23" s="98" t="n">
        <v>86</v>
      </c>
      <c r="AW23" s="98" t="n">
        <v>53</v>
      </c>
      <c r="AX23" s="276"/>
      <c r="AY23" s="235" t="n">
        <f aca="false">SUM(N23,P23:T23)</f>
        <v>13.012557</v>
      </c>
    </row>
    <row r="24" customFormat="false" ht="12.95" hidden="false" customHeight="true" outlineLevel="0" collapsed="false">
      <c r="A24" s="10" t="n">
        <f aca="false">A23+1</f>
        <v>10</v>
      </c>
      <c r="B24" s="337" t="n">
        <v>6924.14</v>
      </c>
      <c r="C24" s="90" t="n">
        <v>381788</v>
      </c>
      <c r="D24" s="98" t="n">
        <f aca="false">C24-C23</f>
        <v>0</v>
      </c>
      <c r="E24" s="90" t="n">
        <f aca="false">C24-152000</f>
        <v>229788</v>
      </c>
      <c r="F24" s="349" t="n">
        <f aca="false">D24/$D$2</f>
        <v>0</v>
      </c>
      <c r="G24" s="1" t="n">
        <v>1260</v>
      </c>
      <c r="H24" s="4" t="n">
        <v>0.12</v>
      </c>
      <c r="I24" s="128" t="n">
        <f aca="false">G24+H24</f>
        <v>1260.12</v>
      </c>
      <c r="J24" s="350" t="n">
        <f aca="false">IF(L24&gt;0,L24,0)</f>
        <v>0</v>
      </c>
      <c r="K24" s="128" t="n">
        <f aca="false">I24+J24</f>
        <v>1260.12</v>
      </c>
      <c r="L24" s="128" t="n">
        <f aca="false">F24-(I24-AJ24)</f>
        <v>-4.11999999999989</v>
      </c>
      <c r="M24" s="131" t="n">
        <v>343</v>
      </c>
      <c r="N24" s="149" t="n">
        <f aca="false">1.8299*1.03</f>
        <v>1.884797</v>
      </c>
      <c r="O24" s="143" t="n">
        <f aca="false">(46+46)*1.05</f>
        <v>96.6</v>
      </c>
      <c r="P24" s="291" t="n">
        <v>0</v>
      </c>
      <c r="Q24" s="149" t="n">
        <f aca="false">2.988*1.02</f>
        <v>3.04776</v>
      </c>
      <c r="R24" s="149" t="n">
        <v>4.2</v>
      </c>
      <c r="S24" s="291" t="n">
        <v>4.64</v>
      </c>
      <c r="T24" s="334" t="n">
        <v>0</v>
      </c>
      <c r="U24" s="128" t="n">
        <v>140</v>
      </c>
      <c r="V24" s="128" t="n">
        <v>81</v>
      </c>
      <c r="W24" s="129" t="n">
        <f aca="false">M24-N25-O24-P24-Q24-R24-S24-T24+U24+V24-AS24+AQ24</f>
        <v>479.927443</v>
      </c>
      <c r="X24" s="129" t="n">
        <f aca="false">W24-AN24</f>
        <v>479.927443</v>
      </c>
      <c r="Y24" s="102" t="n">
        <f aca="false">Y23+AO24-AI24</f>
        <v>14297.113953</v>
      </c>
      <c r="Z24" s="129" t="n">
        <f aca="false">AI24</f>
        <v>429</v>
      </c>
      <c r="AA24" s="102" t="n">
        <f aca="false">AA23+(X24+AO24-Z24)*1.9835</f>
        <v>59145.262574071</v>
      </c>
      <c r="AB24" s="102" t="n">
        <f aca="false">AB23-(AP23/1.9835)</f>
        <v>1449.28024642698</v>
      </c>
      <c r="AC24" s="102"/>
      <c r="AD24" s="128" t="n">
        <v>263</v>
      </c>
      <c r="AE24" s="131" t="n">
        <v>1.7</v>
      </c>
      <c r="AF24" s="132" t="n">
        <v>1.3</v>
      </c>
      <c r="AG24" s="447" t="n">
        <v>429</v>
      </c>
      <c r="AH24" s="448" t="n">
        <f aca="false">AH23</f>
        <v>13690.2578774893</v>
      </c>
      <c r="AI24" s="447" t="n">
        <f aca="false">AG24</f>
        <v>429</v>
      </c>
      <c r="AJ24" s="128" t="n">
        <f aca="false">N25+O24+P24+Q24+R24+S24+T24+W24+AD24+AG24-AQ24</f>
        <v>1256</v>
      </c>
      <c r="AK24" s="128" t="n">
        <f aca="false">IF(L24&lt;0,L24*-1,0)</f>
        <v>4.11999999999989</v>
      </c>
      <c r="AL24" s="128" t="n">
        <f aca="false">AJ24+AK24</f>
        <v>1260.12</v>
      </c>
      <c r="AM24" s="441" t="n">
        <f aca="false">AM23</f>
        <v>14971.25965</v>
      </c>
      <c r="AN24" s="142"/>
      <c r="AO24" s="142" t="n">
        <v>0</v>
      </c>
      <c r="AP24" s="149" t="n">
        <f aca="false">64*(Y24*1.9835+AB24*1.9835)/E24</f>
        <v>8.6989323430817</v>
      </c>
      <c r="AQ24" s="130" t="n">
        <v>26.3</v>
      </c>
      <c r="AR24" s="139"/>
      <c r="AS24" s="11"/>
      <c r="AU24" s="97" t="n">
        <v>0</v>
      </c>
      <c r="AV24" s="98" t="n">
        <v>86</v>
      </c>
      <c r="AW24" s="98" t="n">
        <v>52</v>
      </c>
      <c r="AX24" s="276"/>
      <c r="AY24" s="235" t="n">
        <f aca="false">SUM(N24,P24:T24)</f>
        <v>13.772557</v>
      </c>
    </row>
    <row r="25" customFormat="false" ht="12.95" hidden="false" customHeight="true" outlineLevel="0" collapsed="false">
      <c r="A25" s="10" t="n">
        <f aca="false">A24+1</f>
        <v>11</v>
      </c>
      <c r="B25" s="337" t="n">
        <v>6924.14</v>
      </c>
      <c r="C25" s="90" t="n">
        <v>381788</v>
      </c>
      <c r="D25" s="98" t="n">
        <f aca="false">C25-C24</f>
        <v>0</v>
      </c>
      <c r="E25" s="90" t="n">
        <f aca="false">C25-152000</f>
        <v>229788</v>
      </c>
      <c r="F25" s="349" t="n">
        <f aca="false">D25/$D$2</f>
        <v>0</v>
      </c>
      <c r="G25" s="1" t="n">
        <v>1050</v>
      </c>
      <c r="H25" s="4" t="n">
        <v>0.13</v>
      </c>
      <c r="I25" s="128" t="n">
        <f aca="false">G25+H25</f>
        <v>1050.13</v>
      </c>
      <c r="J25" s="350" t="n">
        <f aca="false">IF(L25&gt;0,L25,0)</f>
        <v>0</v>
      </c>
      <c r="K25" s="128" t="n">
        <f aca="false">I25+J25</f>
        <v>1050.13</v>
      </c>
      <c r="L25" s="128" t="n">
        <f aca="false">F25-(I25-AJ25)</f>
        <v>-6.12999999999988</v>
      </c>
      <c r="M25" s="131" t="n">
        <v>347</v>
      </c>
      <c r="N25" s="149" t="n">
        <f aca="false">1.8299*1.03</f>
        <v>1.884797</v>
      </c>
      <c r="O25" s="143" t="n">
        <f aca="false">(53+49)*1.05</f>
        <v>107.1</v>
      </c>
      <c r="P25" s="291" t="n">
        <v>0</v>
      </c>
      <c r="Q25" s="149" t="n">
        <f aca="false">2.988*1.02</f>
        <v>3.04776</v>
      </c>
      <c r="R25" s="149" t="n">
        <v>4.2</v>
      </c>
      <c r="S25" s="291" t="n">
        <v>3.93</v>
      </c>
      <c r="T25" s="334" t="n">
        <v>0</v>
      </c>
      <c r="U25" s="128" t="n">
        <v>141</v>
      </c>
      <c r="V25" s="128" t="n">
        <v>82</v>
      </c>
      <c r="W25" s="129" t="n">
        <f aca="false">M25-N26-O25-P25-Q25-R25-S25-T25+U25+V25-AS25+AQ25</f>
        <v>476.137443</v>
      </c>
      <c r="X25" s="129" t="n">
        <f aca="false">W25-AN25</f>
        <v>476.137443</v>
      </c>
      <c r="Y25" s="102" t="n">
        <f aca="false">Y24+AO25-AI25</f>
        <v>14053.113953</v>
      </c>
      <c r="Z25" s="129" t="n">
        <f aca="false">AI25</f>
        <v>244</v>
      </c>
      <c r="AA25" s="102" t="n">
        <f aca="false">AA24+(X25+AO25-Z25)*1.9835</f>
        <v>59605.7071922615</v>
      </c>
      <c r="AB25" s="102" t="n">
        <f aca="false">AB24-(AP24/1.9835)</f>
        <v>1444.89459866137</v>
      </c>
      <c r="AC25" s="102"/>
      <c r="AD25" s="128" t="n">
        <v>230</v>
      </c>
      <c r="AE25" s="131" t="n">
        <v>1.7</v>
      </c>
      <c r="AF25" s="132" t="n">
        <v>1.3</v>
      </c>
      <c r="AG25" s="447" t="n">
        <v>244</v>
      </c>
      <c r="AH25" s="448" t="n">
        <f aca="false">AH24</f>
        <v>13690.2578774893</v>
      </c>
      <c r="AI25" s="447" t="n">
        <f aca="false">AG25</f>
        <v>244</v>
      </c>
      <c r="AJ25" s="128" t="n">
        <f aca="false">N26+O25+P25+Q25+R25+S25+T25+W25+AD25+AG25-AQ25</f>
        <v>1044</v>
      </c>
      <c r="AK25" s="128" t="n">
        <f aca="false">IF(L25&lt;0,L25*-1,0)</f>
        <v>6.12999999999988</v>
      </c>
      <c r="AL25" s="128" t="n">
        <f aca="false">AJ25+AK25</f>
        <v>1050.13</v>
      </c>
      <c r="AM25" s="441" t="n">
        <f aca="false">AM24</f>
        <v>14971.25965</v>
      </c>
      <c r="AN25" s="142"/>
      <c r="AO25" s="142" t="n">
        <v>0</v>
      </c>
      <c r="AP25" s="149" t="n">
        <f aca="false">64*(Y25*1.9835+AB25*1.9835)/E25</f>
        <v>8.56171426524492</v>
      </c>
      <c r="AQ25" s="130" t="n">
        <v>26.3</v>
      </c>
      <c r="AR25" s="139"/>
      <c r="AS25" s="11"/>
      <c r="AU25" s="97" t="n">
        <v>0.01</v>
      </c>
      <c r="AV25" s="98" t="n">
        <v>76</v>
      </c>
      <c r="AW25" s="98" t="n">
        <v>51</v>
      </c>
      <c r="AX25" s="276"/>
      <c r="AY25" s="235" t="n">
        <f aca="false">SUM(N25,P25:T25)</f>
        <v>13.062557</v>
      </c>
    </row>
    <row r="26" customFormat="false" ht="12.95" hidden="false" customHeight="true" outlineLevel="0" collapsed="false">
      <c r="A26" s="10" t="n">
        <f aca="false">A25+1</f>
        <v>12</v>
      </c>
      <c r="B26" s="337" t="n">
        <v>6924.25</v>
      </c>
      <c r="C26" s="90" t="n">
        <v>382281</v>
      </c>
      <c r="D26" s="98" t="n">
        <f aca="false">C26-C25</f>
        <v>493</v>
      </c>
      <c r="E26" s="90" t="n">
        <f aca="false">C26-152000</f>
        <v>230281</v>
      </c>
      <c r="F26" s="349" t="n">
        <f aca="false">D26/$D$2</f>
        <v>248.550541971263</v>
      </c>
      <c r="G26" s="1" t="n">
        <v>986</v>
      </c>
      <c r="H26" s="4" t="n">
        <v>0.22</v>
      </c>
      <c r="I26" s="128" t="n">
        <f aca="false">G26+H26</f>
        <v>986.22</v>
      </c>
      <c r="J26" s="350" t="n">
        <f aca="false">IF(L26&gt;0,L26,0)</f>
        <v>2.33054197126299</v>
      </c>
      <c r="K26" s="128" t="n">
        <f aca="false">I26+J26</f>
        <v>988.550541971263</v>
      </c>
      <c r="L26" s="128" t="n">
        <f aca="false">F26-(I26-AJ26)</f>
        <v>2.33054197126299</v>
      </c>
      <c r="M26" s="131" t="n">
        <v>301</v>
      </c>
      <c r="N26" s="149" t="n">
        <f aca="false">1.8299*1.03</f>
        <v>1.884797</v>
      </c>
      <c r="O26" s="143" t="n">
        <f aca="false">(46+45)*1.05</f>
        <v>95.55</v>
      </c>
      <c r="P26" s="291" t="n">
        <v>0</v>
      </c>
      <c r="Q26" s="149" t="n">
        <f aca="false">2.988*1.02</f>
        <v>3.04776</v>
      </c>
      <c r="R26" s="149" t="n">
        <v>4.2</v>
      </c>
      <c r="S26" s="291" t="n">
        <v>0.48</v>
      </c>
      <c r="T26" s="334" t="n">
        <v>0</v>
      </c>
      <c r="U26" s="128" t="n">
        <v>139</v>
      </c>
      <c r="V26" s="128" t="n">
        <v>66</v>
      </c>
      <c r="W26" s="129" t="n">
        <f aca="false">M26-N27-O26-P26-Q26-R26-S26-T26+U26+V26-AS26+AQ26</f>
        <v>427.137443</v>
      </c>
      <c r="X26" s="129" t="n">
        <f aca="false">W26-AN26</f>
        <v>427.137443</v>
      </c>
      <c r="Y26" s="102" t="n">
        <f aca="false">Y25+AO26-AI26</f>
        <v>13955.113953</v>
      </c>
      <c r="Z26" s="129" t="n">
        <f aca="false">AI26</f>
        <v>98</v>
      </c>
      <c r="AA26" s="102" t="n">
        <f aca="false">AA25+(X26+AO26-Z26)*1.9835</f>
        <v>60258.551310452</v>
      </c>
      <c r="AB26" s="102" t="n">
        <f aca="false">AB25-(AP25/1.9835)</f>
        <v>1440.5781306678</v>
      </c>
      <c r="AC26" s="102"/>
      <c r="AD26" s="128" t="n">
        <v>136</v>
      </c>
      <c r="AE26" s="131" t="n">
        <v>1.7</v>
      </c>
      <c r="AF26" s="132" t="n">
        <v>1.3</v>
      </c>
      <c r="AG26" s="447" t="n">
        <v>98</v>
      </c>
      <c r="AH26" s="448" t="n">
        <f aca="false">AH25</f>
        <v>13690.2578774893</v>
      </c>
      <c r="AI26" s="447" t="n">
        <f aca="false">AG26</f>
        <v>98</v>
      </c>
      <c r="AJ26" s="128" t="n">
        <f aca="false">N27+O26+P26+Q26+R26+S26+T26+W26+AD26+AG26-AQ26</f>
        <v>740</v>
      </c>
      <c r="AK26" s="128" t="n">
        <f aca="false">IF(L26&lt;0,L26*-1,0)</f>
        <v>0</v>
      </c>
      <c r="AL26" s="128" t="n">
        <f aca="false">AJ26+AK26</f>
        <v>740</v>
      </c>
      <c r="AM26" s="441" t="n">
        <f aca="false">AM25</f>
        <v>14971.25965</v>
      </c>
      <c r="AN26" s="142"/>
      <c r="AO26" s="142" t="n">
        <v>0</v>
      </c>
      <c r="AP26" s="149" t="n">
        <f aca="false">64*(Y26*1.9835+AB26*1.9835)/E26</f>
        <v>8.48698214732924</v>
      </c>
      <c r="AQ26" s="130" t="n">
        <v>26.3</v>
      </c>
      <c r="AR26" s="139"/>
      <c r="AS26" s="11"/>
      <c r="AU26" s="97" t="n">
        <v>0.23</v>
      </c>
      <c r="AV26" s="98" t="n">
        <v>61</v>
      </c>
      <c r="AW26" s="98" t="n">
        <v>44</v>
      </c>
      <c r="AX26" s="276"/>
      <c r="AY26" s="235" t="n">
        <f aca="false">SUM(N26,P26:T26)</f>
        <v>9.612557</v>
      </c>
    </row>
    <row r="27" customFormat="false" ht="12.95" hidden="false" customHeight="true" outlineLevel="0" collapsed="false">
      <c r="A27" s="10" t="n">
        <f aca="false">A26+1</f>
        <v>13</v>
      </c>
      <c r="B27" s="337" t="n">
        <v>6924.31</v>
      </c>
      <c r="C27" s="90" t="n">
        <v>382551</v>
      </c>
      <c r="D27" s="98" t="n">
        <f aca="false">C27-C26</f>
        <v>270</v>
      </c>
      <c r="E27" s="90" t="n">
        <f aca="false">C27-152000</f>
        <v>230551</v>
      </c>
      <c r="F27" s="349" t="n">
        <f aca="false">D27/$D$2</f>
        <v>136.1230148727</v>
      </c>
      <c r="G27" s="1" t="n">
        <v>860</v>
      </c>
      <c r="H27" s="4" t="n">
        <v>0.26</v>
      </c>
      <c r="I27" s="128" t="n">
        <f aca="false">G27+H27</f>
        <v>860.26</v>
      </c>
      <c r="J27" s="350" t="n">
        <f aca="false">IF(L27&gt;0,L27,0)</f>
        <v>4.86301487269978</v>
      </c>
      <c r="K27" s="128" t="n">
        <f aca="false">I27+J27</f>
        <v>865.1230148727</v>
      </c>
      <c r="L27" s="128" t="n">
        <f aca="false">F27-(I27-AJ27)</f>
        <v>4.86301487269978</v>
      </c>
      <c r="M27" s="131" t="n">
        <v>284</v>
      </c>
      <c r="N27" s="149" t="n">
        <f aca="false">1.8299*1.03</f>
        <v>1.884797</v>
      </c>
      <c r="O27" s="143" t="n">
        <f aca="false">(46+46)*1.05</f>
        <v>96.6</v>
      </c>
      <c r="P27" s="291" t="n">
        <v>0</v>
      </c>
      <c r="Q27" s="149" t="n">
        <f aca="false">2.988*1.02</f>
        <v>3.04776</v>
      </c>
      <c r="R27" s="149" t="n">
        <v>3.47</v>
      </c>
      <c r="S27" s="291" t="n">
        <v>0</v>
      </c>
      <c r="T27" s="334" t="n">
        <v>0</v>
      </c>
      <c r="U27" s="128" t="n">
        <v>138</v>
      </c>
      <c r="V27" s="128" t="n">
        <v>82</v>
      </c>
      <c r="W27" s="129" t="n">
        <f aca="false">M27-N28-O27-P27-Q27-R27-S27-T27+U27+V27-AS27+AQ27</f>
        <v>425.297443</v>
      </c>
      <c r="X27" s="129" t="n">
        <f aca="false">W27-AN27</f>
        <v>425.297443</v>
      </c>
      <c r="Y27" s="102" t="n">
        <f aca="false">Y26+AO27-AI27</f>
        <v>13867.113953</v>
      </c>
      <c r="Z27" s="129" t="n">
        <f aca="false">AI27</f>
        <v>88</v>
      </c>
      <c r="AA27" s="102" t="n">
        <f aca="false">AA26+(X27+AO27-Z27)*1.9835</f>
        <v>60927.5807886425</v>
      </c>
      <c r="AB27" s="102" t="n">
        <f aca="false">AB26-(AP26/1.9835)</f>
        <v>1436.29933956756</v>
      </c>
      <c r="AC27" s="102"/>
      <c r="AD27" s="128" t="n">
        <v>137</v>
      </c>
      <c r="AE27" s="131" t="n">
        <v>1.7</v>
      </c>
      <c r="AF27" s="132" t="n">
        <v>1.3</v>
      </c>
      <c r="AG27" s="447" t="n">
        <v>88</v>
      </c>
      <c r="AH27" s="448" t="n">
        <f aca="false">AH26</f>
        <v>13690.2578774893</v>
      </c>
      <c r="AI27" s="447" t="n">
        <f aca="false">AG27</f>
        <v>88</v>
      </c>
      <c r="AJ27" s="128" t="n">
        <f aca="false">N28+O27+P27+Q27+R27+S27+T27+W27+AD27+AG27-AQ27</f>
        <v>729</v>
      </c>
      <c r="AK27" s="128" t="n">
        <f aca="false">IF(L27&lt;0,L27*-1,0)</f>
        <v>0</v>
      </c>
      <c r="AL27" s="128" t="n">
        <f aca="false">AJ27+AK27</f>
        <v>729</v>
      </c>
      <c r="AM27" s="441" t="n">
        <f aca="false">AM26</f>
        <v>14971.25965</v>
      </c>
      <c r="AN27" s="142"/>
      <c r="AO27" s="142" t="n">
        <v>0</v>
      </c>
      <c r="AP27" s="149" t="n">
        <f aca="false">64*(Y27*1.9835+AB27*1.9835)/E27</f>
        <v>8.42623322827355</v>
      </c>
      <c r="AQ27" s="130" t="n">
        <v>26.3</v>
      </c>
      <c r="AR27" s="139"/>
      <c r="AS27" s="11"/>
      <c r="AU27" s="97" t="n">
        <v>0</v>
      </c>
      <c r="AV27" s="98" t="n">
        <v>64</v>
      </c>
      <c r="AW27" s="98" t="n">
        <v>40</v>
      </c>
      <c r="AX27" s="276"/>
      <c r="AY27" s="235" t="n">
        <f aca="false">SUM(N27,P27:T27)</f>
        <v>8.402557</v>
      </c>
    </row>
    <row r="28" customFormat="false" ht="12.95" hidden="false" customHeight="true" outlineLevel="0" collapsed="false">
      <c r="A28" s="10" t="n">
        <f aca="false">A27+1</f>
        <v>14</v>
      </c>
      <c r="B28" s="337" t="n">
        <v>6924.27</v>
      </c>
      <c r="C28" s="90" t="n">
        <v>382371</v>
      </c>
      <c r="D28" s="98" t="n">
        <f aca="false">C28-C27</f>
        <v>-180</v>
      </c>
      <c r="E28" s="90" t="n">
        <f aca="false">C28-152000</f>
        <v>230371</v>
      </c>
      <c r="F28" s="349" t="n">
        <f aca="false">D28/$D$2</f>
        <v>-90.7486765817998</v>
      </c>
      <c r="G28" s="1" t="n">
        <v>690</v>
      </c>
      <c r="H28" s="4" t="n">
        <v>0.32</v>
      </c>
      <c r="I28" s="128" t="n">
        <f aca="false">G28+H28</f>
        <v>690.32</v>
      </c>
      <c r="J28" s="350" t="n">
        <f aca="false">IF(L28&gt;0,L28,0)</f>
        <v>0</v>
      </c>
      <c r="K28" s="128" t="n">
        <f aca="false">I28+J28</f>
        <v>690.32</v>
      </c>
      <c r="L28" s="128" t="n">
        <f aca="false">F28-(I28-AJ28)</f>
        <v>-9.06867658179989</v>
      </c>
      <c r="M28" s="131" t="n">
        <v>299</v>
      </c>
      <c r="N28" s="149" t="n">
        <f aca="false">1.8299*1.03</f>
        <v>1.884797</v>
      </c>
      <c r="O28" s="143" t="n">
        <f aca="false">(50+51)*1.05</f>
        <v>106.05</v>
      </c>
      <c r="P28" s="291" t="n">
        <v>0</v>
      </c>
      <c r="Q28" s="149" t="n">
        <f aca="false">2.988*1.02</f>
        <v>3.04776</v>
      </c>
      <c r="R28" s="149" t="n">
        <v>4.2</v>
      </c>
      <c r="S28" s="291" t="n">
        <v>3.02</v>
      </c>
      <c r="T28" s="334" t="n">
        <v>0</v>
      </c>
      <c r="U28" s="128" t="n">
        <v>138</v>
      </c>
      <c r="V28" s="128" t="n">
        <v>80</v>
      </c>
      <c r="W28" s="129" t="n">
        <f aca="false">M28-N29-O28-P28-Q28-R28-S28-T28+U28+V28-AS28+AQ28</f>
        <v>425.097443</v>
      </c>
      <c r="X28" s="129" t="n">
        <f aca="false">W28-AN28</f>
        <v>425.097443</v>
      </c>
      <c r="Y28" s="102" t="n">
        <f aca="false">Y27+AO28-AI28</f>
        <v>13788.113953</v>
      </c>
      <c r="Z28" s="129" t="n">
        <f aca="false">AI28</f>
        <v>79</v>
      </c>
      <c r="AA28" s="102" t="n">
        <f aca="false">AA27+(X28+AO28-Z28)*1.9835</f>
        <v>61614.065066833</v>
      </c>
      <c r="AB28" s="102" t="n">
        <f aca="false">AB27-(AP27/1.9835)</f>
        <v>1432.0511756007</v>
      </c>
      <c r="AC28" s="102"/>
      <c r="AD28" s="128" t="n">
        <v>176</v>
      </c>
      <c r="AE28" s="131" t="n">
        <v>1.7</v>
      </c>
      <c r="AF28" s="132" t="n">
        <v>1.3</v>
      </c>
      <c r="AG28" s="447" t="n">
        <v>79</v>
      </c>
      <c r="AH28" s="448" t="n">
        <f aca="false">AH27</f>
        <v>13690.2578774893</v>
      </c>
      <c r="AI28" s="447" t="n">
        <f aca="false">AG28</f>
        <v>79</v>
      </c>
      <c r="AJ28" s="128" t="n">
        <f aca="false">N29+O28+P28+Q28+R28+S28+T28+W28+AD28+AG28-AQ28</f>
        <v>772</v>
      </c>
      <c r="AK28" s="128" t="n">
        <f aca="false">IF(L28&lt;0,L28*-1,0)</f>
        <v>9.06867658179989</v>
      </c>
      <c r="AL28" s="128" t="n">
        <f aca="false">AJ28+AK28</f>
        <v>781.0686765818</v>
      </c>
      <c r="AM28" s="441" t="n">
        <f aca="false">AM27</f>
        <v>14971.25965</v>
      </c>
      <c r="AN28" s="142"/>
      <c r="AO28" s="142" t="n">
        <v>0</v>
      </c>
      <c r="AP28" s="149" t="n">
        <f aca="false">64*(Y28*1.9835+AB28*1.9835)/E28</f>
        <v>8.38694385180898</v>
      </c>
      <c r="AQ28" s="130" t="n">
        <v>26.3</v>
      </c>
      <c r="AR28" s="139"/>
      <c r="AS28" s="11"/>
      <c r="AU28" s="97" t="n">
        <v>0</v>
      </c>
      <c r="AV28" s="98" t="n">
        <v>69</v>
      </c>
      <c r="AW28" s="98" t="n">
        <v>44</v>
      </c>
      <c r="AX28" s="276"/>
      <c r="AY28" s="235" t="n">
        <f aca="false">SUM(N28,P28:T28)</f>
        <v>12.152557</v>
      </c>
    </row>
    <row r="29" customFormat="false" ht="12.95" hidden="false" customHeight="true" outlineLevel="0" collapsed="false">
      <c r="A29" s="10" t="n">
        <f aca="false">A28+1</f>
        <v>15</v>
      </c>
      <c r="B29" s="337" t="n">
        <v>6924.18</v>
      </c>
      <c r="C29" s="90" t="n">
        <v>381967</v>
      </c>
      <c r="D29" s="98" t="n">
        <f aca="false">C29-C28</f>
        <v>-404</v>
      </c>
      <c r="E29" s="90" t="n">
        <f aca="false">C29-152000</f>
        <v>229967</v>
      </c>
      <c r="F29" s="349" t="n">
        <f aca="false">D29/$D$2</f>
        <v>-203.680362994706</v>
      </c>
      <c r="G29" s="1" t="n">
        <v>599</v>
      </c>
      <c r="H29" s="4" t="n">
        <v>0.29</v>
      </c>
      <c r="I29" s="128" t="n">
        <f aca="false">G29+H29</f>
        <v>599.29</v>
      </c>
      <c r="J29" s="350" t="n">
        <f aca="false">IF(L29&gt;0,L29,0)</f>
        <v>0</v>
      </c>
      <c r="K29" s="128" t="n">
        <f aca="false">I29+J29</f>
        <v>599.29</v>
      </c>
      <c r="L29" s="128" t="n">
        <f aca="false">F29-(I29-AJ29)</f>
        <v>-56.9703629947062</v>
      </c>
      <c r="M29" s="131" t="n">
        <v>280</v>
      </c>
      <c r="N29" s="149" t="n">
        <f aca="false">1.8299*1.03</f>
        <v>1.884797</v>
      </c>
      <c r="O29" s="143" t="n">
        <f aca="false">(46+45)*1.05</f>
        <v>95.55</v>
      </c>
      <c r="P29" s="291" t="n">
        <v>0</v>
      </c>
      <c r="Q29" s="149" t="n">
        <f aca="false">2.988*1.02</f>
        <v>3.04776</v>
      </c>
      <c r="R29" s="149" t="n">
        <v>4.2</v>
      </c>
      <c r="S29" s="291" t="n">
        <v>3.24</v>
      </c>
      <c r="T29" s="334" t="n">
        <v>0</v>
      </c>
      <c r="U29" s="128" t="n">
        <v>138</v>
      </c>
      <c r="V29" s="128" t="n">
        <v>73</v>
      </c>
      <c r="W29" s="129" t="n">
        <f aca="false">M29-N30-O29-P29-Q29-R29-S29-T29+U29+V29-AS29+AQ29</f>
        <v>409.377443</v>
      </c>
      <c r="X29" s="129" t="n">
        <f aca="false">W29-AN29</f>
        <v>409.377443</v>
      </c>
      <c r="Y29" s="102" t="n">
        <f aca="false">Y28+AO29</f>
        <v>13788.113953</v>
      </c>
      <c r="Z29" s="129" t="n">
        <f aca="false">AI29</f>
        <v>0</v>
      </c>
      <c r="AA29" s="102" t="n">
        <f aca="false">AA28+(X29+AO29)*1.9835</f>
        <v>62426.0652250235</v>
      </c>
      <c r="AB29" s="102" t="n">
        <f aca="false">AB28-(AP28/1.9835)</f>
        <v>1427.82281973893</v>
      </c>
      <c r="AC29" s="102"/>
      <c r="AD29" s="128" t="n">
        <v>180</v>
      </c>
      <c r="AE29" s="131" t="n">
        <v>1.7</v>
      </c>
      <c r="AF29" s="132" t="n">
        <v>1.3</v>
      </c>
      <c r="AG29" s="449" t="n">
        <v>75</v>
      </c>
      <c r="AH29" s="448" t="n">
        <f aca="false">AH28-AG29</f>
        <v>13615.2578774893</v>
      </c>
      <c r="AI29" s="78"/>
      <c r="AJ29" s="128" t="n">
        <f aca="false">N30+O29+P29+Q29+R29+S29+T29+W29+AD29+AG29-AQ29</f>
        <v>746</v>
      </c>
      <c r="AK29" s="128" t="n">
        <f aca="false">IF(L29&lt;0,L29*-1,0)</f>
        <v>56.9703629947062</v>
      </c>
      <c r="AL29" s="128" t="n">
        <f aca="false">AJ29+AK29</f>
        <v>802.970362994706</v>
      </c>
      <c r="AM29" s="441" t="n">
        <f aca="false">AM28</f>
        <v>14971.25965</v>
      </c>
      <c r="AN29" s="142"/>
      <c r="AO29" s="142" t="n">
        <v>0</v>
      </c>
      <c r="AP29" s="149" t="n">
        <f aca="false">64*(Y29*1.9835+AB29*1.9835)/E29</f>
        <v>8.39934372183213</v>
      </c>
      <c r="AQ29" s="130" t="n">
        <v>26.3</v>
      </c>
      <c r="AR29" s="139"/>
      <c r="AS29" s="11"/>
      <c r="AU29" s="97" t="n">
        <v>0</v>
      </c>
      <c r="AV29" s="98" t="n">
        <v>76</v>
      </c>
      <c r="AW29" s="98" t="n">
        <v>46</v>
      </c>
      <c r="AX29" s="276"/>
      <c r="AY29" s="235" t="n">
        <f aca="false">SUM(N29,P29:T29)</f>
        <v>12.372557</v>
      </c>
    </row>
    <row r="30" customFormat="false" ht="12.95" hidden="false" customHeight="true" outlineLevel="0" collapsed="false">
      <c r="A30" s="10" t="n">
        <f aca="false">A29+1</f>
        <v>16</v>
      </c>
      <c r="B30" s="337" t="n">
        <v>6924.07</v>
      </c>
      <c r="C30" s="90" t="n">
        <v>381474</v>
      </c>
      <c r="D30" s="98" t="n">
        <f aca="false">C30-C29</f>
        <v>-493</v>
      </c>
      <c r="E30" s="90" t="n">
        <f aca="false">C30-152000</f>
        <v>229474</v>
      </c>
      <c r="F30" s="349" t="n">
        <f aca="false">D30/$D$2</f>
        <v>-248.550541971263</v>
      </c>
      <c r="G30" s="1" t="n">
        <v>544</v>
      </c>
      <c r="H30" s="4" t="n">
        <v>0.13</v>
      </c>
      <c r="I30" s="128" t="n">
        <f aca="false">G30+H30</f>
        <v>544.13</v>
      </c>
      <c r="J30" s="350" t="n">
        <f aca="false">IF(L30&gt;0,L30,0)</f>
        <v>0</v>
      </c>
      <c r="K30" s="128" t="n">
        <f aca="false">I30+J30</f>
        <v>544.13</v>
      </c>
      <c r="L30" s="128" t="n">
        <f aca="false">F30-(I30-AJ30)</f>
        <v>-4.68054197126278</v>
      </c>
      <c r="M30" s="131" t="n">
        <v>312</v>
      </c>
      <c r="N30" s="149" t="n">
        <f aca="false">1.8299*1.03</f>
        <v>1.884797</v>
      </c>
      <c r="O30" s="143" t="n">
        <f aca="false">(49+49)*1.05</f>
        <v>102.9</v>
      </c>
      <c r="P30" s="291" t="n">
        <v>0</v>
      </c>
      <c r="Q30" s="149" t="n">
        <f aca="false">2.988*1.02</f>
        <v>3.04776</v>
      </c>
      <c r="R30" s="149" t="n">
        <v>4.2</v>
      </c>
      <c r="S30" s="291" t="n">
        <v>3.13</v>
      </c>
      <c r="T30" s="334" t="n">
        <v>0</v>
      </c>
      <c r="U30" s="128" t="n">
        <v>138</v>
      </c>
      <c r="V30" s="128" t="n">
        <v>71</v>
      </c>
      <c r="W30" s="129" t="n">
        <f aca="false">M30-N31-O30-P30-Q30-R30-S30-T30+U30+V30-AS30+AQ30</f>
        <v>432.137443</v>
      </c>
      <c r="X30" s="129" t="n">
        <f aca="false">W30-AN30</f>
        <v>432.137443</v>
      </c>
      <c r="Y30" s="102" t="n">
        <f aca="false">Y29+AO30</f>
        <v>13788.113953</v>
      </c>
      <c r="Z30" s="129"/>
      <c r="AA30" s="102" t="n">
        <f aca="false">AA29+(X30+AO30)*1.9835</f>
        <v>63283.209843214</v>
      </c>
      <c r="AB30" s="102" t="n">
        <f aca="false">AB29-(AP29/1.9835)</f>
        <v>1423.5882123672</v>
      </c>
      <c r="AC30" s="102"/>
      <c r="AD30" s="128" t="n">
        <v>192</v>
      </c>
      <c r="AE30" s="131" t="n">
        <v>1.7</v>
      </c>
      <c r="AF30" s="132" t="n">
        <v>1.3</v>
      </c>
      <c r="AG30" s="449" t="n">
        <v>75</v>
      </c>
      <c r="AH30" s="448" t="n">
        <f aca="false">AH29-AG30</f>
        <v>13540.2578774893</v>
      </c>
      <c r="AI30" s="78"/>
      <c r="AJ30" s="128" t="n">
        <f aca="false">N31+O30+P30+Q30+R30+S30+T30+W30+AD30+AG30-AQ30</f>
        <v>788</v>
      </c>
      <c r="AK30" s="128" t="n">
        <f aca="false">IF(L30&lt;0,L30*-1,0)</f>
        <v>4.68054197126278</v>
      </c>
      <c r="AL30" s="128" t="n">
        <f aca="false">AJ30+AK30</f>
        <v>792.680541971263</v>
      </c>
      <c r="AM30" s="441" t="n">
        <f aca="false">AM29</f>
        <v>14971.25965</v>
      </c>
      <c r="AN30" s="142"/>
      <c r="AO30" s="142" t="n">
        <v>0</v>
      </c>
      <c r="AP30" s="149" t="n">
        <f aca="false">64*(Y30*1.9835+AB30*1.9835)/E30</f>
        <v>8.41504623478204</v>
      </c>
      <c r="AQ30" s="130" t="n">
        <v>26.3</v>
      </c>
      <c r="AR30" s="139"/>
      <c r="AS30" s="11"/>
      <c r="AU30" s="97" t="n">
        <v>0</v>
      </c>
      <c r="AV30" s="98" t="n">
        <v>82</v>
      </c>
      <c r="AW30" s="98" t="n">
        <v>51</v>
      </c>
      <c r="AX30" s="276"/>
      <c r="AY30" s="235" t="n">
        <f aca="false">SUM(N30,P30:T30)</f>
        <v>12.262557</v>
      </c>
    </row>
    <row r="31" customFormat="false" ht="12.95" hidden="false" customHeight="true" outlineLevel="0" collapsed="false">
      <c r="A31" s="10" t="n">
        <f aca="false">A30+1</f>
        <v>17</v>
      </c>
      <c r="B31" s="337" t="n">
        <v>6923.93</v>
      </c>
      <c r="C31" s="90" t="n">
        <v>380848</v>
      </c>
      <c r="D31" s="98" t="n">
        <f aca="false">C31-C30</f>
        <v>-626</v>
      </c>
      <c r="E31" s="90" t="n">
        <f aca="false">C31-152000</f>
        <v>228848</v>
      </c>
      <c r="F31" s="349" t="n">
        <f aca="false">D31/$D$2</f>
        <v>-315.603730778926</v>
      </c>
      <c r="G31" s="1" t="n">
        <v>510</v>
      </c>
      <c r="H31" s="4" t="n">
        <v>0.1</v>
      </c>
      <c r="I31" s="128" t="n">
        <f aca="false">G31+H31</f>
        <v>510.1</v>
      </c>
      <c r="J31" s="350" t="n">
        <f aca="false">IF(L31&gt;0,L31,0)</f>
        <v>0</v>
      </c>
      <c r="K31" s="128" t="n">
        <f aca="false">I31+J31</f>
        <v>510.1</v>
      </c>
      <c r="L31" s="128" t="n">
        <f aca="false">F31-(I31-AJ31)</f>
        <v>-88.7037307789261</v>
      </c>
      <c r="M31" s="131" t="n">
        <v>282</v>
      </c>
      <c r="N31" s="149" t="n">
        <f aca="false">1.8299*1.03</f>
        <v>1.884797</v>
      </c>
      <c r="O31" s="143" t="n">
        <f aca="false">(36+36)*1.05</f>
        <v>75.6</v>
      </c>
      <c r="P31" s="291" t="n">
        <v>0</v>
      </c>
      <c r="Q31" s="149" t="n">
        <f aca="false">2.988*1.02</f>
        <v>3.04776</v>
      </c>
      <c r="R31" s="149" t="n">
        <v>4.2</v>
      </c>
      <c r="S31" s="291" t="n">
        <v>4.18</v>
      </c>
      <c r="T31" s="334" t="n">
        <v>0</v>
      </c>
      <c r="U31" s="128" t="n">
        <v>138</v>
      </c>
      <c r="V31" s="128" t="n">
        <v>71</v>
      </c>
      <c r="W31" s="129" t="n">
        <f aca="false">M31-N32-O31-P31-Q31-R31-S31-T31+U31+V31-AS31+AQ31</f>
        <v>428.387443</v>
      </c>
      <c r="X31" s="129" t="n">
        <f aca="false">W31-AN31</f>
        <v>428.387443</v>
      </c>
      <c r="Y31" s="102" t="n">
        <f aca="false">Y30+AO31</f>
        <v>13860.87875</v>
      </c>
      <c r="Z31" s="129"/>
      <c r="AA31" s="102" t="n">
        <f aca="false">AA30+(X31+AO31)*1.9835</f>
        <v>64277.245311254</v>
      </c>
      <c r="AB31" s="102" t="n">
        <f aca="false">AB30-(AP30/1.9835)</f>
        <v>1419.34568842731</v>
      </c>
      <c r="AC31" s="102"/>
      <c r="AD31" s="128" t="n">
        <v>171</v>
      </c>
      <c r="AE31" s="131" t="n">
        <v>1.7</v>
      </c>
      <c r="AF31" s="132" t="n">
        <v>1.3</v>
      </c>
      <c r="AG31" s="449" t="n">
        <v>75</v>
      </c>
      <c r="AH31" s="448" t="n">
        <f aca="false">AH30-AG31</f>
        <v>13465.2578774893</v>
      </c>
      <c r="AI31" s="78"/>
      <c r="AJ31" s="128" t="n">
        <f aca="false">N32+O31+P31+Q31+R31+S31+T31+W31+AD31+AG31-AQ31</f>
        <v>737</v>
      </c>
      <c r="AK31" s="128" t="n">
        <f aca="false">IF(L31&lt;0,L31*-1,0)</f>
        <v>88.7037307789261</v>
      </c>
      <c r="AL31" s="128" t="n">
        <f aca="false">AJ31+AK31</f>
        <v>825.703730778926</v>
      </c>
      <c r="AM31" s="441" t="n">
        <f aca="false">AM30</f>
        <v>14971.25965</v>
      </c>
      <c r="AN31" s="142"/>
      <c r="AO31" s="92" t="n">
        <f aca="false">I31-Q31-R31-W31-AE31</f>
        <v>72.764797</v>
      </c>
      <c r="AP31" s="149" t="n">
        <f aca="false">64*(Y31*1.9835+AB31*1.9835)/E31</f>
        <v>8.47607499786634</v>
      </c>
      <c r="AQ31" s="130" t="n">
        <v>26.3</v>
      </c>
      <c r="AR31" s="139"/>
      <c r="AS31" s="11"/>
      <c r="AU31" s="97" t="n">
        <v>0</v>
      </c>
      <c r="AV31" s="98" t="n">
        <v>83</v>
      </c>
      <c r="AW31" s="98" t="n">
        <v>47</v>
      </c>
      <c r="AX31" s="276"/>
      <c r="AY31" s="235" t="n">
        <f aca="false">SUM(N31,P31:T31)</f>
        <v>13.312557</v>
      </c>
    </row>
    <row r="32" customFormat="false" ht="12.95" hidden="false" customHeight="true" outlineLevel="0" collapsed="false">
      <c r="A32" s="10" t="n">
        <f aca="false">A31+1</f>
        <v>18</v>
      </c>
      <c r="B32" s="337" t="n">
        <v>6923.79</v>
      </c>
      <c r="C32" s="90" t="n">
        <v>380225</v>
      </c>
      <c r="D32" s="98" t="n">
        <f aca="false">C32-C31</f>
        <v>-623</v>
      </c>
      <c r="E32" s="90" t="n">
        <f aca="false">C32-152000</f>
        <v>228225</v>
      </c>
      <c r="F32" s="349" t="n">
        <f aca="false">D32/$D$2</f>
        <v>-314.091252835896</v>
      </c>
      <c r="G32" s="1" t="n">
        <v>474</v>
      </c>
      <c r="H32" s="4" t="n">
        <v>0.1</v>
      </c>
      <c r="I32" s="128" t="n">
        <f aca="false">G32+H32</f>
        <v>474.1</v>
      </c>
      <c r="J32" s="350" t="n">
        <f aca="false">IF(L32&gt;0,L32,0)</f>
        <v>0</v>
      </c>
      <c r="K32" s="128" t="n">
        <f aca="false">I32+J32</f>
        <v>474.1</v>
      </c>
      <c r="L32" s="128" t="n">
        <f aca="false">F32-(I32-AJ32)</f>
        <v>-11.191252835896</v>
      </c>
      <c r="M32" s="131" t="n">
        <v>304</v>
      </c>
      <c r="N32" s="149" t="n">
        <f aca="false">1.8299*1.03</f>
        <v>1.884797</v>
      </c>
      <c r="O32" s="143" t="n">
        <f aca="false">(41+39)*1.05</f>
        <v>84</v>
      </c>
      <c r="P32" s="291" t="n">
        <v>0</v>
      </c>
      <c r="Q32" s="149" t="n">
        <f aca="false">2.988*1.02</f>
        <v>3.04776</v>
      </c>
      <c r="R32" s="149" t="n">
        <v>4.2</v>
      </c>
      <c r="S32" s="291" t="n">
        <v>3.57</v>
      </c>
      <c r="T32" s="334" t="n">
        <v>0</v>
      </c>
      <c r="U32" s="128" t="n">
        <v>158</v>
      </c>
      <c r="V32" s="128" t="n">
        <v>71</v>
      </c>
      <c r="W32" s="129" t="n">
        <f aca="false">M32-N33-O32-P32-Q32-R32-S32-T32+U32+V32-AS32+AQ32</f>
        <v>462.597443</v>
      </c>
      <c r="X32" s="129" t="n">
        <f aca="false">W32-AN32</f>
        <v>462.597443</v>
      </c>
      <c r="Y32" s="102" t="n">
        <f aca="false">Y31+AO32</f>
        <v>13863.433547</v>
      </c>
      <c r="Z32" s="129"/>
      <c r="AA32" s="102" t="n">
        <f aca="false">AA31+(X32+AO32)*1.9835</f>
        <v>65199.874779294</v>
      </c>
      <c r="AB32" s="102" t="n">
        <f aca="false">AB31-(AP31/1.9835)</f>
        <v>1415.07239626806</v>
      </c>
      <c r="AC32" s="102"/>
      <c r="AD32" s="128" t="n">
        <v>172</v>
      </c>
      <c r="AE32" s="131" t="n">
        <v>1.7</v>
      </c>
      <c r="AF32" s="132" t="n">
        <v>1.3</v>
      </c>
      <c r="AG32" s="449" t="n">
        <v>72</v>
      </c>
      <c r="AH32" s="448" t="n">
        <f aca="false">AH31-AG32</f>
        <v>13393.2578774893</v>
      </c>
      <c r="AI32" s="78"/>
      <c r="AJ32" s="128" t="n">
        <f aca="false">N33+O32+P32+Q32+R32+S32+T32+W32+AD32+AG32-AQ32</f>
        <v>777</v>
      </c>
      <c r="AK32" s="128" t="n">
        <f aca="false">IF(L32&lt;0,L32*-1,0)</f>
        <v>11.191252835896</v>
      </c>
      <c r="AL32" s="128" t="n">
        <f aca="false">AJ32+AK32</f>
        <v>788.191252835896</v>
      </c>
      <c r="AM32" s="441" t="n">
        <f aca="false">AM31</f>
        <v>14971.25965</v>
      </c>
      <c r="AN32" s="142"/>
      <c r="AO32" s="92" t="n">
        <f aca="false">I32-Q32-R32-W32-AE32</f>
        <v>2.554797</v>
      </c>
      <c r="AP32" s="149" t="n">
        <f aca="false">64*(Y32*1.9835+AB32*1.9835)/E32</f>
        <v>8.49825680123659</v>
      </c>
      <c r="AQ32" s="130" t="n">
        <v>26.3</v>
      </c>
      <c r="AR32" s="139"/>
      <c r="AS32" s="11"/>
      <c r="AU32" s="97" t="n">
        <v>0</v>
      </c>
      <c r="AV32" s="98" t="n">
        <v>86</v>
      </c>
      <c r="AW32" s="98" t="n">
        <v>50</v>
      </c>
      <c r="AX32" s="276"/>
      <c r="AY32" s="235" t="n">
        <f aca="false">SUM(N32,P32:T32)</f>
        <v>12.702557</v>
      </c>
    </row>
    <row r="33" customFormat="false" ht="12.95" hidden="false" customHeight="true" outlineLevel="0" collapsed="false">
      <c r="A33" s="10" t="n">
        <f aca="false">A32+1</f>
        <v>19</v>
      </c>
      <c r="B33" s="337" t="n">
        <v>6923.61</v>
      </c>
      <c r="C33" s="90" t="n">
        <v>379424</v>
      </c>
      <c r="D33" s="98" t="n">
        <f aca="false">C33-C32</f>
        <v>-801</v>
      </c>
      <c r="E33" s="90" t="n">
        <f aca="false">C33-152000</f>
        <v>227424</v>
      </c>
      <c r="F33" s="349" t="n">
        <f aca="false">D33/$D$2</f>
        <v>-403.831610789009</v>
      </c>
      <c r="G33" s="1" t="n">
        <v>420</v>
      </c>
      <c r="H33" s="4" t="n">
        <v>0.09</v>
      </c>
      <c r="I33" s="128" t="n">
        <f aca="false">G33+H33</f>
        <v>420.09</v>
      </c>
      <c r="J33" s="350" t="n">
        <f aca="false">IF(L33&gt;0,L33,0)</f>
        <v>0</v>
      </c>
      <c r="K33" s="128" t="n">
        <f aca="false">I33+J33</f>
        <v>420.09</v>
      </c>
      <c r="L33" s="128" t="n">
        <f aca="false">F33-(I33-AJ33)</f>
        <v>-24.9216107890093</v>
      </c>
      <c r="M33" s="131" t="n">
        <v>331</v>
      </c>
      <c r="N33" s="149" t="n">
        <f aca="false">1.8299*1.03</f>
        <v>1.884797</v>
      </c>
      <c r="O33" s="143" t="n">
        <f aca="false">(51+49)*1.05</f>
        <v>105</v>
      </c>
      <c r="P33" s="291" t="n">
        <v>0</v>
      </c>
      <c r="Q33" s="149" t="n">
        <f aca="false">2.988*1.02</f>
        <v>3.04776</v>
      </c>
      <c r="R33" s="149" t="n">
        <v>4.2</v>
      </c>
      <c r="S33" s="291" t="n">
        <v>3.27</v>
      </c>
      <c r="T33" s="334" t="n">
        <v>0</v>
      </c>
      <c r="U33" s="128" t="n">
        <v>175</v>
      </c>
      <c r="V33" s="128" t="n">
        <v>71</v>
      </c>
      <c r="W33" s="129" t="n">
        <f aca="false">M33-N34-O33-P33-Q33-R33-S33-T33+U33+V33-AS33+AQ33</f>
        <v>485.897443</v>
      </c>
      <c r="X33" s="129" t="n">
        <f aca="false">W33-AN33</f>
        <v>485.897443</v>
      </c>
      <c r="Y33" s="102" t="n">
        <f aca="false">Y32+AO33</f>
        <v>13788.678344</v>
      </c>
      <c r="Z33" s="129" t="n">
        <f aca="false">(-AO33)</f>
        <v>74.755203</v>
      </c>
      <c r="AA33" s="102" t="n">
        <f aca="false">AA32+(X33+AO33)*1.9835</f>
        <v>66015.375412334</v>
      </c>
      <c r="AB33" s="102" t="n">
        <f aca="false">AB32-(AP32/1.9835)</f>
        <v>1410.78792094603</v>
      </c>
      <c r="AC33" s="102"/>
      <c r="AD33" s="128" t="n">
        <v>152</v>
      </c>
      <c r="AE33" s="131" t="n">
        <v>1.7</v>
      </c>
      <c r="AF33" s="132" t="n">
        <v>1.3</v>
      </c>
      <c r="AG33" s="449" t="n">
        <v>70</v>
      </c>
      <c r="AH33" s="448" t="n">
        <f aca="false">AH32-AG33</f>
        <v>13323.2578774893</v>
      </c>
      <c r="AI33" s="78"/>
      <c r="AJ33" s="128" t="n">
        <f aca="false">N34+O33+P33+Q33+R33+S33+T33+W33+AD33+AG33-AQ33</f>
        <v>799</v>
      </c>
      <c r="AK33" s="128" t="n">
        <f aca="false">IF(L33&lt;0,L33*-1,0)</f>
        <v>24.9216107890093</v>
      </c>
      <c r="AL33" s="128" t="n">
        <f aca="false">AJ33+AK33</f>
        <v>823.921610789009</v>
      </c>
      <c r="AM33" s="441" t="n">
        <f aca="false">AM32</f>
        <v>14971.25965</v>
      </c>
      <c r="AN33" s="142"/>
      <c r="AO33" s="92" t="n">
        <f aca="false">I33-Q33-R33-W33-AE33</f>
        <v>-74.755203</v>
      </c>
      <c r="AP33" s="149" t="n">
        <f aca="false">64*(Y33*1.9835+AB33*1.9835)/E33</f>
        <v>8.48406960363598</v>
      </c>
      <c r="AQ33" s="130" t="n">
        <v>26.3</v>
      </c>
      <c r="AR33" s="139"/>
      <c r="AS33" s="11"/>
      <c r="AU33" s="97" t="n">
        <v>0</v>
      </c>
      <c r="AV33" s="98" t="n">
        <v>87</v>
      </c>
      <c r="AW33" s="98" t="n">
        <v>48</v>
      </c>
      <c r="AX33" s="276"/>
      <c r="AY33" s="235" t="n">
        <f aca="false">SUM(N33,P33:T33)</f>
        <v>12.402557</v>
      </c>
    </row>
    <row r="34" customFormat="false" ht="12.95" hidden="false" customHeight="true" outlineLevel="0" collapsed="false">
      <c r="A34" s="10" t="n">
        <f aca="false">A33+1</f>
        <v>20</v>
      </c>
      <c r="B34" s="337" t="n">
        <v>6923.42</v>
      </c>
      <c r="C34" s="90" t="n">
        <v>378578</v>
      </c>
      <c r="D34" s="98" t="n">
        <f aca="false">C34-C33</f>
        <v>-846</v>
      </c>
      <c r="E34" s="90" t="n">
        <f aca="false">C34-152000</f>
        <v>226578</v>
      </c>
      <c r="F34" s="349" t="n">
        <f aca="false">D34/$D$2</f>
        <v>-426.518779934459</v>
      </c>
      <c r="G34" s="1" t="n">
        <v>387</v>
      </c>
      <c r="H34" s="4" t="n">
        <v>0.07</v>
      </c>
      <c r="I34" s="128" t="n">
        <f aca="false">G34+H34</f>
        <v>387.07</v>
      </c>
      <c r="J34" s="350" t="n">
        <f aca="false">IF(L34&gt;0,L34,0)</f>
        <v>0</v>
      </c>
      <c r="K34" s="128" t="n">
        <f aca="false">I34+J34</f>
        <v>387.07</v>
      </c>
      <c r="L34" s="128" t="n">
        <f aca="false">F34-(I34-AJ34)</f>
        <v>-60.5887799344593</v>
      </c>
      <c r="M34" s="131" t="n">
        <v>330</v>
      </c>
      <c r="N34" s="149" t="n">
        <f aca="false">1.8299*1.03</f>
        <v>1.884797</v>
      </c>
      <c r="O34" s="92" t="n">
        <f aca="false">(51+51)*1.05</f>
        <v>107.1</v>
      </c>
      <c r="P34" s="291" t="n">
        <v>0</v>
      </c>
      <c r="Q34" s="149" t="n">
        <f aca="false">2.988*1.02</f>
        <v>3.04776</v>
      </c>
      <c r="R34" s="149" t="n">
        <v>4.2</v>
      </c>
      <c r="S34" s="291" t="n">
        <v>3.46</v>
      </c>
      <c r="T34" s="334" t="n">
        <v>0</v>
      </c>
      <c r="U34" s="128" t="n">
        <v>174</v>
      </c>
      <c r="V34" s="128" t="n">
        <v>71</v>
      </c>
      <c r="W34" s="129" t="n">
        <f aca="false">M34-N35-O34-P34-Q34-R34-S34-T34+U34+V34-AS34+AQ34</f>
        <v>481.607443</v>
      </c>
      <c r="X34" s="129" t="n">
        <f aca="false">W34-AN34</f>
        <v>481.607443</v>
      </c>
      <c r="Y34" s="102" t="n">
        <f aca="false">Y33+AO34</f>
        <v>13685.193141</v>
      </c>
      <c r="Z34" s="129" t="n">
        <f aca="false">(-AO34)</f>
        <v>103.485203</v>
      </c>
      <c r="AA34" s="102" t="n">
        <f aca="false">AA33+(X34+AO34)*1.9835</f>
        <v>66765.380875374</v>
      </c>
      <c r="AB34" s="102" t="n">
        <f aca="false">AB33-(AP33/1.9835)</f>
        <v>1406.51059823182</v>
      </c>
      <c r="AC34" s="102"/>
      <c r="AD34" s="128" t="n">
        <v>108</v>
      </c>
      <c r="AE34" s="131" t="n">
        <v>1.7</v>
      </c>
      <c r="AF34" s="132" t="n">
        <v>1.3</v>
      </c>
      <c r="AG34" s="449" t="n">
        <v>70</v>
      </c>
      <c r="AH34" s="448" t="n">
        <f aca="false">AH33-AG34</f>
        <v>13253.2578774893</v>
      </c>
      <c r="AI34" s="78"/>
      <c r="AJ34" s="128" t="n">
        <f aca="false">N35+O34+P34+Q34+R34+S34+T34+W34+AD34+AG34-AQ34</f>
        <v>753</v>
      </c>
      <c r="AK34" s="128" t="n">
        <f aca="false">IF(L34&lt;0,L34*-1,0)</f>
        <v>60.5887799344593</v>
      </c>
      <c r="AL34" s="128" t="n">
        <f aca="false">AJ34+AK34</f>
        <v>813.588779934459</v>
      </c>
      <c r="AM34" s="441" t="n">
        <f aca="false">AM33</f>
        <v>14971.25965</v>
      </c>
      <c r="AN34" s="142"/>
      <c r="AO34" s="92" t="n">
        <f aca="false">I34-Q34-R34-W34-AE34</f>
        <v>-103.485203</v>
      </c>
      <c r="AP34" s="149" t="n">
        <f aca="false">64*(Y34*1.9835+AB34*1.9835)/E34</f>
        <v>8.4553718343045</v>
      </c>
      <c r="AQ34" s="130" t="n">
        <v>26.3</v>
      </c>
      <c r="AR34" s="139"/>
      <c r="AS34" s="11"/>
      <c r="AU34" s="97" t="n">
        <v>0</v>
      </c>
      <c r="AV34" s="98" t="n">
        <v>87</v>
      </c>
      <c r="AW34" s="98" t="n">
        <v>52</v>
      </c>
      <c r="AX34" s="276"/>
      <c r="AY34" s="235" t="n">
        <f aca="false">SUM(N34,P34:T34)</f>
        <v>12.592557</v>
      </c>
    </row>
    <row r="35" customFormat="false" ht="12.95" hidden="false" customHeight="true" outlineLevel="0" collapsed="false">
      <c r="A35" s="10" t="n">
        <f aca="false">A34+1</f>
        <v>21</v>
      </c>
      <c r="B35" s="337" t="n">
        <v>6923.22</v>
      </c>
      <c r="C35" s="90" t="n">
        <v>377688</v>
      </c>
      <c r="D35" s="98" t="n">
        <f aca="false">C35-C34</f>
        <v>-890</v>
      </c>
      <c r="E35" s="90" t="n">
        <f aca="false">C35-152000</f>
        <v>225688</v>
      </c>
      <c r="F35" s="349" t="n">
        <f aca="false">D35/$D$2</f>
        <v>-448.701789765566</v>
      </c>
      <c r="G35" s="1" t="n">
        <v>351</v>
      </c>
      <c r="H35" s="4" t="n">
        <v>0.05</v>
      </c>
      <c r="I35" s="128" t="n">
        <f aca="false">G35+H35</f>
        <v>351.05</v>
      </c>
      <c r="J35" s="350" t="n">
        <f aca="false">IF(L35&gt;0,L35,0)</f>
        <v>0</v>
      </c>
      <c r="K35" s="128" t="n">
        <f aca="false">I35+J35</f>
        <v>351.05</v>
      </c>
      <c r="L35" s="128" t="n">
        <f aca="false">F35-(I35-AJ35)</f>
        <v>-70.751789765566</v>
      </c>
      <c r="M35" s="131" t="n">
        <v>303</v>
      </c>
      <c r="N35" s="149" t="n">
        <f aca="false">1.8299*1.03</f>
        <v>1.884797</v>
      </c>
      <c r="O35" s="143" t="n">
        <f aca="false">(49+46)*1.05</f>
        <v>99.75</v>
      </c>
      <c r="P35" s="291" t="n">
        <v>0</v>
      </c>
      <c r="Q35" s="149" t="n">
        <f aca="false">2.988*1.02</f>
        <v>3.04776</v>
      </c>
      <c r="R35" s="149" t="n">
        <v>4.2</v>
      </c>
      <c r="S35" s="291" t="n">
        <v>4.52</v>
      </c>
      <c r="T35" s="334" t="n">
        <v>0</v>
      </c>
      <c r="U35" s="128" t="n">
        <v>171</v>
      </c>
      <c r="V35" s="128" t="n">
        <v>71</v>
      </c>
      <c r="W35" s="129" t="n">
        <f aca="false">M35-N36-O35-P35-Q35-R35-S35-T35+U35+V35-AS35+AQ35</f>
        <v>457.897443</v>
      </c>
      <c r="X35" s="129" t="n">
        <f aca="false">W35-AN35</f>
        <v>457.897443</v>
      </c>
      <c r="Y35" s="102" t="n">
        <f aca="false">Y34+AO35</f>
        <v>13569.397938</v>
      </c>
      <c r="Z35" s="129" t="n">
        <f aca="false">(-AO35)</f>
        <v>115.795203</v>
      </c>
      <c r="AA35" s="102" t="n">
        <f aca="false">AA34+(X35+AO35)*1.9835</f>
        <v>67443.940668414</v>
      </c>
      <c r="AB35" s="102" t="n">
        <f aca="false">AB34-(AP34/1.9835)</f>
        <v>1402.24774376532</v>
      </c>
      <c r="AC35" s="102"/>
      <c r="AD35" s="128" t="n">
        <v>114</v>
      </c>
      <c r="AE35" s="131" t="n">
        <v>1.7</v>
      </c>
      <c r="AF35" s="132" t="n">
        <v>1.3</v>
      </c>
      <c r="AG35" s="449" t="n">
        <v>70</v>
      </c>
      <c r="AH35" s="448" t="n">
        <f aca="false">AH34-AG35</f>
        <v>13183.2578774893</v>
      </c>
      <c r="AI35" s="78"/>
      <c r="AJ35" s="128" t="n">
        <f aca="false">N36+O35+P35+Q35+R35+S35+T35+W35+AD35+AG35-AQ35</f>
        <v>729</v>
      </c>
      <c r="AK35" s="128" t="n">
        <f aca="false">IF(L35&lt;0,L35*-1,0)</f>
        <v>70.751789765566</v>
      </c>
      <c r="AL35" s="128" t="n">
        <f aca="false">AJ35+AK35</f>
        <v>799.751789765566</v>
      </c>
      <c r="AM35" s="441" t="n">
        <f aca="false">AM34</f>
        <v>14971.25965</v>
      </c>
      <c r="AN35" s="142"/>
      <c r="AO35" s="92" t="n">
        <f aca="false">I35-Q35-R35-W35-AE35</f>
        <v>-115.795203</v>
      </c>
      <c r="AP35" s="149" t="n">
        <f aca="false">64*(Y35*1.9835+AB35*1.9835)/E35</f>
        <v>8.42118583808628</v>
      </c>
      <c r="AQ35" s="130" t="n">
        <v>26.3</v>
      </c>
      <c r="AR35" s="139"/>
      <c r="AS35" s="11"/>
      <c r="AU35" s="97" t="n">
        <v>0</v>
      </c>
      <c r="AV35" s="98" t="n">
        <v>86</v>
      </c>
      <c r="AW35" s="98" t="n">
        <v>47</v>
      </c>
      <c r="AX35" s="276"/>
      <c r="AY35" s="235" t="n">
        <f aca="false">SUM(N35,P35:T35)</f>
        <v>13.652557</v>
      </c>
    </row>
    <row r="36" customFormat="false" ht="12.95" hidden="false" customHeight="true" outlineLevel="0" collapsed="false">
      <c r="A36" s="10" t="n">
        <f aca="false">A35+1</f>
        <v>22</v>
      </c>
      <c r="B36" s="337" t="n">
        <v>6923.02</v>
      </c>
      <c r="C36" s="90" t="n">
        <v>376798</v>
      </c>
      <c r="D36" s="98" t="n">
        <f aca="false">C36-C35</f>
        <v>-890</v>
      </c>
      <c r="E36" s="90" t="n">
        <f aca="false">C36-152000</f>
        <v>224798</v>
      </c>
      <c r="F36" s="349" t="n">
        <f aca="false">D36/$D$2</f>
        <v>-448.701789765566</v>
      </c>
      <c r="G36" s="1" t="n">
        <v>323</v>
      </c>
      <c r="H36" s="4" t="n">
        <v>0.04</v>
      </c>
      <c r="I36" s="128" t="n">
        <f aca="false">G36+H36</f>
        <v>323.04</v>
      </c>
      <c r="J36" s="350" t="n">
        <f aca="false">IF(L36&gt;0,L36,0)</f>
        <v>0</v>
      </c>
      <c r="K36" s="128" t="n">
        <f aca="false">I36+J36</f>
        <v>323.04</v>
      </c>
      <c r="L36" s="128" t="n">
        <f aca="false">F36-(I36-AJ36)</f>
        <v>-17.7417897655658</v>
      </c>
      <c r="M36" s="131" t="n">
        <v>327</v>
      </c>
      <c r="N36" s="149" t="n">
        <f aca="false">1.8299*1.03</f>
        <v>1.884797</v>
      </c>
      <c r="O36" s="143" t="n">
        <f aca="false">(52+52)*1.05</f>
        <v>109.2</v>
      </c>
      <c r="P36" s="291" t="n">
        <v>0</v>
      </c>
      <c r="Q36" s="149" t="n">
        <f aca="false">2.988*1.02</f>
        <v>3.04776</v>
      </c>
      <c r="R36" s="149" t="n">
        <v>4.2</v>
      </c>
      <c r="S36" s="291" t="n">
        <v>3.41</v>
      </c>
      <c r="T36" s="334" t="n">
        <v>0</v>
      </c>
      <c r="U36" s="128" t="n">
        <v>171</v>
      </c>
      <c r="V36" s="128" t="n">
        <v>75</v>
      </c>
      <c r="W36" s="129" t="n">
        <f aca="false">M36-N37-O36-P36-Q36-R36-S36-T36+U36+V36-AS36+AQ36</f>
        <v>477.557443</v>
      </c>
      <c r="X36" s="129" t="n">
        <f aca="false">W36-AN36</f>
        <v>477.557443</v>
      </c>
      <c r="Y36" s="102" t="n">
        <f aca="false">Y35+AO36</f>
        <v>13405.932735</v>
      </c>
      <c r="Z36" s="129" t="n">
        <f aca="false">(-AO36)</f>
        <v>163.465203</v>
      </c>
      <c r="AA36" s="102" t="n">
        <f aca="false">AA35+(X36+AO36)*1.9835</f>
        <v>68066.942626454</v>
      </c>
      <c r="AB36" s="102" t="n">
        <f aca="false">AB35-(AP35/1.9835)</f>
        <v>1398.00212448724</v>
      </c>
      <c r="AC36" s="102"/>
      <c r="AD36" s="128" t="n">
        <v>111</v>
      </c>
      <c r="AE36" s="131" t="n">
        <v>1.7</v>
      </c>
      <c r="AF36" s="132" t="n">
        <v>1.3</v>
      </c>
      <c r="AG36" s="449" t="n">
        <v>70</v>
      </c>
      <c r="AH36" s="448" t="n">
        <f aca="false">AH35-AG36</f>
        <v>13113.2578774893</v>
      </c>
      <c r="AI36" s="78"/>
      <c r="AJ36" s="128" t="n">
        <f aca="false">N37+O36+P36+Q36+R36+S36+T36+W36+AD36+AG36-AQ36</f>
        <v>754</v>
      </c>
      <c r="AK36" s="128" t="n">
        <f aca="false">IF(L36&lt;0,L36*-1,0)</f>
        <v>17.7417897655658</v>
      </c>
      <c r="AL36" s="128" t="n">
        <f aca="false">AJ36+AK36</f>
        <v>771.741789765566</v>
      </c>
      <c r="AM36" s="441" t="n">
        <f aca="false">AM35</f>
        <v>14971.25965</v>
      </c>
      <c r="AN36" s="142"/>
      <c r="AO36" s="92" t="n">
        <f aca="false">I36-Q36-R36-W36-AE36</f>
        <v>-163.465203</v>
      </c>
      <c r="AP36" s="149" t="n">
        <f aca="false">64*(Y36*1.9835+AB36*1.9835)/E36</f>
        <v>8.35981951264134</v>
      </c>
      <c r="AQ36" s="130" t="n">
        <v>26.3</v>
      </c>
      <c r="AR36" s="139"/>
      <c r="AS36" s="11"/>
      <c r="AU36" s="97" t="n">
        <v>0</v>
      </c>
      <c r="AV36" s="98" t="n">
        <v>86</v>
      </c>
      <c r="AW36" s="98" t="n">
        <v>50</v>
      </c>
      <c r="AX36" s="276"/>
      <c r="AY36" s="235" t="n">
        <f aca="false">SUM(N36,P36:T36)</f>
        <v>12.542557</v>
      </c>
    </row>
    <row r="37" customFormat="false" ht="12.95" hidden="false" customHeight="true" outlineLevel="0" collapsed="false">
      <c r="A37" s="10" t="n">
        <f aca="false">A36+1</f>
        <v>23</v>
      </c>
      <c r="B37" s="337" t="n">
        <v>6922.8</v>
      </c>
      <c r="C37" s="90" t="n">
        <v>375826</v>
      </c>
      <c r="D37" s="98" t="n">
        <f aca="false">C37-C36</f>
        <v>-972</v>
      </c>
      <c r="E37" s="90" t="n">
        <f aca="false">C37-152000</f>
        <v>223826</v>
      </c>
      <c r="F37" s="349" t="n">
        <f aca="false">D37/$D$2</f>
        <v>-490.042853541719</v>
      </c>
      <c r="G37" s="1" t="n">
        <v>297</v>
      </c>
      <c r="H37" s="4" t="n">
        <v>0.03</v>
      </c>
      <c r="I37" s="128" t="n">
        <f aca="false">G37+H37</f>
        <v>297.03</v>
      </c>
      <c r="J37" s="350" t="n">
        <f aca="false">IF(L37&gt;0,L37,0)</f>
        <v>0</v>
      </c>
      <c r="K37" s="128" t="n">
        <f aca="false">I37+J37</f>
        <v>297.03</v>
      </c>
      <c r="L37" s="128" t="n">
        <f aca="false">F37-(I37-AJ37)</f>
        <v>-24.0728535417192</v>
      </c>
      <c r="M37" s="131" t="n">
        <v>334</v>
      </c>
      <c r="N37" s="149" t="n">
        <f aca="false">1.8299*1.03</f>
        <v>1.884797</v>
      </c>
      <c r="O37" s="143" t="n">
        <f aca="false">(49+48)*1.05</f>
        <v>101.85</v>
      </c>
      <c r="P37" s="291" t="n">
        <v>0</v>
      </c>
      <c r="Q37" s="149" t="n">
        <f aca="false">2.988*1.02</f>
        <v>3.04776</v>
      </c>
      <c r="R37" s="149" t="n">
        <v>4.2</v>
      </c>
      <c r="S37" s="291" t="n">
        <v>3.62</v>
      </c>
      <c r="T37" s="334" t="n">
        <v>0</v>
      </c>
      <c r="U37" s="128" t="n">
        <v>171</v>
      </c>
      <c r="V37" s="128" t="n">
        <v>75</v>
      </c>
      <c r="W37" s="129" t="n">
        <f aca="false">M37-N38-O37-P37-Q37-R37-S37-T37+U37+V37-AS37+AQ37</f>
        <v>491.697443</v>
      </c>
      <c r="X37" s="129" t="n">
        <f aca="false">W37-AN37</f>
        <v>491.697443</v>
      </c>
      <c r="Y37" s="102" t="n">
        <f aca="false">Y36+AO37</f>
        <v>13202.317532</v>
      </c>
      <c r="Z37" s="129" t="n">
        <f aca="false">(-AO37)</f>
        <v>203.615203</v>
      </c>
      <c r="AA37" s="102" t="n">
        <f aca="false">AA36+(X37+AO37)*1.9835</f>
        <v>68638.353749494</v>
      </c>
      <c r="AB37" s="102" t="n">
        <f aca="false">AB36-(AP36/1.9835)</f>
        <v>1393.78744361371</v>
      </c>
      <c r="AC37" s="102"/>
      <c r="AD37" s="128" t="n">
        <v>113</v>
      </c>
      <c r="AE37" s="131" t="n">
        <v>1.7</v>
      </c>
      <c r="AF37" s="132" t="n">
        <v>1.3</v>
      </c>
      <c r="AG37" s="449" t="n">
        <v>70</v>
      </c>
      <c r="AH37" s="448" t="n">
        <f aca="false">AH36-AG37</f>
        <v>13043.2578774893</v>
      </c>
      <c r="AI37" s="78"/>
      <c r="AJ37" s="128" t="n">
        <f aca="false">N38+O37+P37+Q37+R37+S37+T37+W37+AD37+AG37-AQ37</f>
        <v>763</v>
      </c>
      <c r="AK37" s="128" t="n">
        <f aca="false">IF(L37&lt;0,L37*-1,0)</f>
        <v>24.0728535417192</v>
      </c>
      <c r="AL37" s="128" t="n">
        <f aca="false">AJ37+AK37</f>
        <v>787.072853541719</v>
      </c>
      <c r="AM37" s="441" t="n">
        <f aca="false">AM36</f>
        <v>14971.25965</v>
      </c>
      <c r="AN37" s="142"/>
      <c r="AO37" s="92" t="n">
        <f aca="false">I37-Q37-R37-W37-AE37</f>
        <v>-203.615203</v>
      </c>
      <c r="AP37" s="149" t="n">
        <f aca="false">64*(Y37*1.9835+AB37*1.9835)/E37</f>
        <v>8.27825163307348</v>
      </c>
      <c r="AQ37" s="130" t="n">
        <v>26.3</v>
      </c>
      <c r="AR37" s="139"/>
      <c r="AS37" s="11"/>
      <c r="AU37" s="97" t="n">
        <v>0</v>
      </c>
      <c r="AV37" s="98" t="n">
        <v>92</v>
      </c>
      <c r="AW37" s="98" t="n">
        <v>54</v>
      </c>
      <c r="AX37" s="276"/>
      <c r="AY37" s="235" t="n">
        <f aca="false">SUM(N37,P37:T37)</f>
        <v>12.752557</v>
      </c>
    </row>
    <row r="38" customFormat="false" ht="12.95" hidden="false" customHeight="true" outlineLevel="0" collapsed="false">
      <c r="A38" s="10" t="n">
        <f aca="false">A37+1</f>
        <v>24</v>
      </c>
      <c r="B38" s="337" t="n">
        <v>6922.55</v>
      </c>
      <c r="C38" s="90" t="n">
        <v>374722</v>
      </c>
      <c r="D38" s="98" t="n">
        <f aca="false">C38-C37</f>
        <v>-1104</v>
      </c>
      <c r="E38" s="90" t="n">
        <f aca="false">C38-152000</f>
        <v>222722</v>
      </c>
      <c r="F38" s="349" t="n">
        <f aca="false">D38/$D$2</f>
        <v>-556.591883035039</v>
      </c>
      <c r="G38" s="1" t="n">
        <v>281</v>
      </c>
      <c r="H38" s="4" t="n">
        <v>0.02</v>
      </c>
      <c r="I38" s="128" t="n">
        <f aca="false">G38+H38</f>
        <v>281.02</v>
      </c>
      <c r="J38" s="350" t="n">
        <f aca="false">IF(L38&gt;0,L38,0)</f>
        <v>0</v>
      </c>
      <c r="K38" s="128" t="n">
        <f aca="false">I38+J38</f>
        <v>281.02</v>
      </c>
      <c r="L38" s="128" t="n">
        <f aca="false">F38-(I38-AJ38)</f>
        <v>-69.6118830350389</v>
      </c>
      <c r="M38" s="131" t="n">
        <v>311</v>
      </c>
      <c r="N38" s="149" t="n">
        <f aca="false">1.8299*1.03</f>
        <v>1.884797</v>
      </c>
      <c r="O38" s="143" t="n">
        <f aca="false">(42+42)*1.05</f>
        <v>88.2</v>
      </c>
      <c r="P38" s="291" t="n">
        <v>0</v>
      </c>
      <c r="Q38" s="149" t="n">
        <f aca="false">2.988*1.02</f>
        <v>3.04776</v>
      </c>
      <c r="R38" s="149" t="n">
        <v>4.2</v>
      </c>
      <c r="S38" s="291" t="n">
        <v>4.39</v>
      </c>
      <c r="T38" s="334" t="n">
        <v>0</v>
      </c>
      <c r="U38" s="128" t="n">
        <v>170</v>
      </c>
      <c r="V38" s="128" t="n">
        <v>75</v>
      </c>
      <c r="W38" s="129" t="n">
        <f aca="false">M38-N39-O38-P38-Q38-R38-S38-T38+U38+V38-AS38+AQ38</f>
        <v>480.577443</v>
      </c>
      <c r="X38" s="129" t="n">
        <f aca="false">W38-AN38</f>
        <v>480.577443</v>
      </c>
      <c r="Y38" s="102" t="n">
        <f aca="false">Y37+AO38</f>
        <v>12993.812329</v>
      </c>
      <c r="Z38" s="129" t="n">
        <f aca="false">(-AO38)</f>
        <v>208.505203</v>
      </c>
      <c r="AA38" s="102" t="n">
        <f aca="false">AA37+(X38+AO38)*1.9835</f>
        <v>69178.009037534</v>
      </c>
      <c r="AB38" s="102" t="n">
        <f aca="false">AB37-(AP37/1.9835)</f>
        <v>1389.61388594642</v>
      </c>
      <c r="AC38" s="102"/>
      <c r="AD38" s="128" t="n">
        <v>138</v>
      </c>
      <c r="AE38" s="131" t="n">
        <v>1.7</v>
      </c>
      <c r="AF38" s="132" t="n">
        <v>1.3</v>
      </c>
      <c r="AG38" s="449" t="n">
        <v>74</v>
      </c>
      <c r="AH38" s="448" t="n">
        <f aca="false">AH37-AG38</f>
        <v>12969.2578774893</v>
      </c>
      <c r="AI38" s="78"/>
      <c r="AJ38" s="128" t="n">
        <f aca="false">N39+O38+P38+Q38+R38+S38+T38+W38+AD38+AG38-AQ38</f>
        <v>768</v>
      </c>
      <c r="AK38" s="128" t="n">
        <f aca="false">IF(L38&lt;0,L38*-1,0)</f>
        <v>69.6118830350389</v>
      </c>
      <c r="AL38" s="128" t="n">
        <f aca="false">AJ38+AK38</f>
        <v>837.611883035039</v>
      </c>
      <c r="AM38" s="441" t="n">
        <f aca="false">AM37</f>
        <v>14971.25965</v>
      </c>
      <c r="AN38" s="142"/>
      <c r="AO38" s="92" t="n">
        <f aca="false">I38-Q38-R38-W38-AE38</f>
        <v>-208.505203</v>
      </c>
      <c r="AP38" s="149" t="n">
        <f aca="false">64*(Y38*1.9835+AB38*1.9835)/E38</f>
        <v>8.19806600798375</v>
      </c>
      <c r="AQ38" s="130" t="n">
        <v>26.3</v>
      </c>
      <c r="AR38" s="139"/>
      <c r="AS38" s="11"/>
      <c r="AU38" s="97" t="n">
        <v>0</v>
      </c>
      <c r="AV38" s="98" t="n">
        <v>93</v>
      </c>
      <c r="AW38" s="98" t="n">
        <v>55</v>
      </c>
      <c r="AX38" s="276"/>
      <c r="AY38" s="235" t="n">
        <f aca="false">SUM(N38,P38:T38)</f>
        <v>13.522557</v>
      </c>
    </row>
    <row r="39" customFormat="false" ht="12.95" hidden="false" customHeight="true" outlineLevel="0" collapsed="false">
      <c r="A39" s="10" t="n">
        <f aca="false">A38+1</f>
        <v>25</v>
      </c>
      <c r="B39" s="337" t="n">
        <v>6922.3</v>
      </c>
      <c r="C39" s="90" t="n">
        <v>373618</v>
      </c>
      <c r="D39" s="98" t="n">
        <f aca="false">C39-C38</f>
        <v>-1104</v>
      </c>
      <c r="E39" s="90" t="n">
        <f aca="false">C39-152000</f>
        <v>221618</v>
      </c>
      <c r="F39" s="349" t="n">
        <f aca="false">D39/$D$2</f>
        <v>-556.591883035039</v>
      </c>
      <c r="G39" s="1" t="n">
        <v>269</v>
      </c>
      <c r="H39" s="4" t="n">
        <v>0.02</v>
      </c>
      <c r="I39" s="128" t="n">
        <f aca="false">G39+H39</f>
        <v>269.02</v>
      </c>
      <c r="J39" s="350" t="n">
        <f aca="false">IF(L39&gt;0,L39,0)</f>
        <v>0</v>
      </c>
      <c r="K39" s="128" t="n">
        <f aca="false">I39+J39</f>
        <v>269.02</v>
      </c>
      <c r="L39" s="128" t="n">
        <f aca="false">F39-(I39-AJ39)</f>
        <v>-26.6118830350389</v>
      </c>
      <c r="M39" s="131" t="n">
        <v>335</v>
      </c>
      <c r="N39" s="149" t="n">
        <f aca="false">1.8299*1.03</f>
        <v>1.884797</v>
      </c>
      <c r="O39" s="143" t="n">
        <f aca="false">(42+43)*1.05</f>
        <v>89.25</v>
      </c>
      <c r="P39" s="291" t="n">
        <v>0</v>
      </c>
      <c r="Q39" s="149" t="n">
        <f aca="false">2.988*1.02</f>
        <v>3.04776</v>
      </c>
      <c r="R39" s="149" t="n">
        <v>4.2</v>
      </c>
      <c r="S39" s="291" t="n">
        <v>4.55</v>
      </c>
      <c r="T39" s="334" t="n">
        <v>0</v>
      </c>
      <c r="U39" s="128" t="n">
        <v>170</v>
      </c>
      <c r="V39" s="128" t="n">
        <v>75</v>
      </c>
      <c r="W39" s="129" t="n">
        <f aca="false">M39-N40-O39-P39-Q39-R39-S39-T39+U39+V39-AS39+AQ39</f>
        <v>503.367443</v>
      </c>
      <c r="X39" s="129" t="n">
        <f aca="false">W39-AN39</f>
        <v>503.367443</v>
      </c>
      <c r="Y39" s="102" t="n">
        <f aca="false">Y38+AO39</f>
        <v>12750.517126</v>
      </c>
      <c r="Z39" s="129" t="n">
        <f aca="false">(-AO39)</f>
        <v>243.295203</v>
      </c>
      <c r="AA39" s="102" t="n">
        <f aca="false">AA38+(X39+AO39)*1.9835</f>
        <v>69693.862325574</v>
      </c>
      <c r="AB39" s="102" t="n">
        <f aca="false">AB38-(AP38/1.9835)</f>
        <v>1385.48075460889</v>
      </c>
      <c r="AC39" s="102"/>
      <c r="AD39" s="128" t="n">
        <v>143</v>
      </c>
      <c r="AE39" s="131" t="n">
        <v>1.7</v>
      </c>
      <c r="AF39" s="132" t="n">
        <v>1.3</v>
      </c>
      <c r="AG39" s="449" t="n">
        <v>76</v>
      </c>
      <c r="AH39" s="448" t="n">
        <f aca="false">AH38-AG39</f>
        <v>12893.2578774893</v>
      </c>
      <c r="AI39" s="78"/>
      <c r="AJ39" s="128" t="n">
        <f aca="false">N40+O39+P39+Q39+R39+S39+T39+W39+AD39+AG39-AQ39</f>
        <v>799</v>
      </c>
      <c r="AK39" s="128" t="n">
        <f aca="false">IF(L39&lt;0,L39*-1,0)</f>
        <v>26.6118830350389</v>
      </c>
      <c r="AL39" s="128" t="n">
        <f aca="false">AJ39+AK39</f>
        <v>825.611883035039</v>
      </c>
      <c r="AM39" s="441" t="n">
        <f aca="false">AM38</f>
        <v>14971.25965</v>
      </c>
      <c r="AN39" s="142"/>
      <c r="AO39" s="92" t="n">
        <f aca="false">I39-Q39-R39-W39-AE39</f>
        <v>-243.295203</v>
      </c>
      <c r="AP39" s="149" t="n">
        <f aca="false">64*(Y39*1.9835+AB39*1.9835)/E39</f>
        <v>8.09717674086046</v>
      </c>
      <c r="AQ39" s="130" t="n">
        <v>26.3</v>
      </c>
      <c r="AR39" s="139"/>
      <c r="AS39" s="11"/>
      <c r="AU39" s="97" t="n">
        <v>0</v>
      </c>
      <c r="AV39" s="98" t="n">
        <v>87</v>
      </c>
      <c r="AW39" s="98" t="n">
        <v>57</v>
      </c>
      <c r="AX39" s="276"/>
      <c r="AY39" s="235" t="n">
        <f aca="false">SUM(N39,P39:T39)</f>
        <v>13.682557</v>
      </c>
    </row>
    <row r="40" customFormat="false" ht="12.95" hidden="false" customHeight="true" outlineLevel="0" collapsed="false">
      <c r="A40" s="10" t="n">
        <f aca="false">A39+1</f>
        <v>26</v>
      </c>
      <c r="B40" s="337" t="n">
        <v>6922.05</v>
      </c>
      <c r="C40" s="90" t="n">
        <v>372514</v>
      </c>
      <c r="D40" s="98" t="n">
        <f aca="false">C40-C39</f>
        <v>-1104</v>
      </c>
      <c r="E40" s="90" t="n">
        <f aca="false">C40-152000</f>
        <v>220514</v>
      </c>
      <c r="F40" s="349" t="n">
        <f aca="false">D40/$D$2</f>
        <v>-556.591883035039</v>
      </c>
      <c r="G40" s="1" t="n">
        <v>254</v>
      </c>
      <c r="H40" s="4" t="n">
        <v>0.06</v>
      </c>
      <c r="I40" s="128" t="n">
        <f aca="false">G40+H40</f>
        <v>254.06</v>
      </c>
      <c r="J40" s="350" t="n">
        <f aca="false">IF(L40&gt;0,L40,0)</f>
        <v>0</v>
      </c>
      <c r="K40" s="128" t="n">
        <f aca="false">I40+J40</f>
        <v>254.06</v>
      </c>
      <c r="L40" s="128" t="n">
        <f aca="false">F40-(I40-AJ40)</f>
        <v>-20.651883035039</v>
      </c>
      <c r="M40" s="131" t="n">
        <v>328</v>
      </c>
      <c r="N40" s="149" t="n">
        <f aca="false">1.8299*1.03</f>
        <v>1.884797</v>
      </c>
      <c r="O40" s="4" t="n">
        <f aca="false">(44+45)*1.05</f>
        <v>93.45</v>
      </c>
      <c r="P40" s="291" t="n">
        <v>0</v>
      </c>
      <c r="Q40" s="149" t="n">
        <f aca="false">2.988*1.02</f>
        <v>3.04776</v>
      </c>
      <c r="R40" s="149" t="n">
        <v>4.2</v>
      </c>
      <c r="S40" s="291" t="n">
        <v>2.82</v>
      </c>
      <c r="T40" s="334" t="n">
        <v>0</v>
      </c>
      <c r="U40" s="128" t="n">
        <v>170</v>
      </c>
      <c r="V40" s="128" t="n">
        <v>75</v>
      </c>
      <c r="W40" s="129" t="n">
        <f aca="false">M40-N41-O40-P40-Q40-R40-S40-T40+U40+V40-AS40+AQ40</f>
        <v>493.897443</v>
      </c>
      <c r="X40" s="129" t="n">
        <f aca="false">W40-AN40</f>
        <v>493.897443</v>
      </c>
      <c r="Y40" s="102" t="n">
        <f aca="false">Y39+AO40</f>
        <v>12501.731923</v>
      </c>
      <c r="Z40" s="129" t="n">
        <f aca="false">(-AO40)</f>
        <v>248.785203</v>
      </c>
      <c r="AA40" s="102" t="n">
        <f aca="false">AA39+(X40+AO40)*1.9835</f>
        <v>70180.042453614</v>
      </c>
      <c r="AB40" s="102" t="n">
        <f aca="false">AB39-(AP39/1.9835)</f>
        <v>1381.3984875351</v>
      </c>
      <c r="AC40" s="102"/>
      <c r="AD40" s="450" t="n">
        <v>141</v>
      </c>
      <c r="AE40" s="131" t="n">
        <v>1.7</v>
      </c>
      <c r="AF40" s="132" t="n">
        <v>1.3</v>
      </c>
      <c r="AG40" s="449" t="n">
        <v>76</v>
      </c>
      <c r="AH40" s="448" t="n">
        <f aca="false">AH39-AG40</f>
        <v>12817.2578774893</v>
      </c>
      <c r="AI40" s="78"/>
      <c r="AJ40" s="128" t="n">
        <f aca="false">N41+O40+P40+Q40+R40+S40+T40+W40+AD40+AG40-AQ40</f>
        <v>790</v>
      </c>
      <c r="AK40" s="128" t="n">
        <f aca="false">IF(L40&lt;0,L40*-1,0)</f>
        <v>20.651883035039</v>
      </c>
      <c r="AL40" s="128" t="n">
        <f aca="false">AJ40+AK40</f>
        <v>810.651883035039</v>
      </c>
      <c r="AM40" s="441" t="n">
        <f aca="false">AM39</f>
        <v>14971.25965</v>
      </c>
      <c r="AN40" s="142"/>
      <c r="AO40" s="92" t="n">
        <f aca="false">I40-Q40-R40-W40-AE40</f>
        <v>-248.785203</v>
      </c>
      <c r="AP40" s="149" t="n">
        <f aca="false">64*(Y40*1.9835+AB40*1.9835)/E40</f>
        <v>7.99214610788869</v>
      </c>
      <c r="AQ40" s="130" t="n">
        <v>26.3</v>
      </c>
      <c r="AR40" s="139"/>
      <c r="AS40" s="4"/>
      <c r="AU40" s="97" t="n">
        <v>0</v>
      </c>
      <c r="AV40" s="98" t="n">
        <v>88</v>
      </c>
      <c r="AW40" s="98" t="n">
        <v>58</v>
      </c>
      <c r="AX40" s="276"/>
      <c r="AY40" s="235" t="n">
        <f aca="false">SUM(N40,P40:T40)</f>
        <v>11.952557</v>
      </c>
    </row>
    <row r="41" customFormat="false" ht="12.95" hidden="false" customHeight="true" outlineLevel="0" collapsed="false">
      <c r="A41" s="10" t="n">
        <f aca="false">A40+1</f>
        <v>27</v>
      </c>
      <c r="B41" s="337" t="n">
        <v>6921.8</v>
      </c>
      <c r="C41" s="90" t="n">
        <v>371418</v>
      </c>
      <c r="D41" s="98" t="n">
        <f aca="false">C41-C40</f>
        <v>-1096</v>
      </c>
      <c r="E41" s="90" t="n">
        <f aca="false">C41-152000</f>
        <v>219418</v>
      </c>
      <c r="F41" s="349" t="n">
        <f aca="false">D41/$D$2</f>
        <v>-552.558608520292</v>
      </c>
      <c r="G41" s="1" t="n">
        <v>241</v>
      </c>
      <c r="H41" s="4" t="n">
        <v>0.23</v>
      </c>
      <c r="I41" s="128" t="n">
        <f aca="false">G41+H41</f>
        <v>241.23</v>
      </c>
      <c r="J41" s="350" t="n">
        <f aca="false">IF(L41&gt;0,L41,0)</f>
        <v>0</v>
      </c>
      <c r="K41" s="128" t="n">
        <f aca="false">I41+J41</f>
        <v>241.23</v>
      </c>
      <c r="L41" s="128" t="n">
        <f aca="false">F41-(I41-AJ41)</f>
        <v>-14.7886085202924</v>
      </c>
      <c r="M41" s="131" t="n">
        <v>321</v>
      </c>
      <c r="N41" s="149" t="n">
        <f aca="false">1.8299*1.03</f>
        <v>1.884797</v>
      </c>
      <c r="O41" s="143" t="n">
        <f aca="false">(44+44)*1.05</f>
        <v>92.4</v>
      </c>
      <c r="P41" s="291" t="n">
        <v>0</v>
      </c>
      <c r="Q41" s="149" t="n">
        <f aca="false">2.988*1.02</f>
        <v>3.04776</v>
      </c>
      <c r="R41" s="149" t="n">
        <v>4.2</v>
      </c>
      <c r="S41" s="291" t="n">
        <v>4.43</v>
      </c>
      <c r="T41" s="334" t="n">
        <v>0</v>
      </c>
      <c r="U41" s="128" t="n">
        <v>169</v>
      </c>
      <c r="V41" s="128" t="n">
        <v>75</v>
      </c>
      <c r="W41" s="129" t="n">
        <f aca="false">M41-N42-O41-P41-Q41-R41-S41-T41+U41+V41-AS41+AQ41</f>
        <v>485.337443</v>
      </c>
      <c r="X41" s="129" t="n">
        <f aca="false">W41-AN41</f>
        <v>485.337443</v>
      </c>
      <c r="Y41" s="102" t="n">
        <f aca="false">Y40+AO41</f>
        <v>12248.67672</v>
      </c>
      <c r="Z41" s="129" t="n">
        <f aca="false">(-AO41)</f>
        <v>253.055203</v>
      </c>
      <c r="AA41" s="102" t="n">
        <f aca="false">AA40+(X41+AO41)*1.9835</f>
        <v>70640.774276654</v>
      </c>
      <c r="AB41" s="102" t="n">
        <f aca="false">AB40-(AP40/1.9835)</f>
        <v>1377.36917263322</v>
      </c>
      <c r="AC41" s="102"/>
      <c r="AD41" s="128" t="n">
        <v>138</v>
      </c>
      <c r="AE41" s="131" t="n">
        <v>1.7</v>
      </c>
      <c r="AF41" s="132" t="n">
        <v>1.3</v>
      </c>
      <c r="AG41" s="449" t="n">
        <v>76</v>
      </c>
      <c r="AH41" s="448" t="n">
        <f aca="false">AH40-AG41</f>
        <v>12741.2578774893</v>
      </c>
      <c r="AI41" s="78"/>
      <c r="AJ41" s="128" t="n">
        <f aca="false">N42+O41+P41+Q41+R41+S41+T41+W41+AD41+AG41-AQ41</f>
        <v>779</v>
      </c>
      <c r="AK41" s="128" t="n">
        <f aca="false">IF(L41&lt;0,L41*-1,0)</f>
        <v>14.7886085202924</v>
      </c>
      <c r="AL41" s="128" t="n">
        <f aca="false">AJ41+AK41</f>
        <v>793.788608520292</v>
      </c>
      <c r="AM41" s="441" t="n">
        <f aca="false">AM40</f>
        <v>14971.25965</v>
      </c>
      <c r="AN41" s="142"/>
      <c r="AO41" s="92" t="n">
        <f aca="false">I41-Q41-R41-W41-AE41</f>
        <v>-253.055203</v>
      </c>
      <c r="AP41" s="149" t="n">
        <f aca="false">64*(Y41*1.9835+AB41*1.9835)/E41</f>
        <v>7.88333122074958</v>
      </c>
      <c r="AQ41" s="130" t="n">
        <v>26.3</v>
      </c>
      <c r="AR41" s="139"/>
      <c r="AS41" s="11"/>
      <c r="AU41" s="97" t="n">
        <v>0</v>
      </c>
      <c r="AV41" s="98" t="n">
        <v>89</v>
      </c>
      <c r="AW41" s="98" t="n">
        <v>52</v>
      </c>
      <c r="AX41" s="276"/>
      <c r="AY41" s="235" t="n">
        <f aca="false">SUM(N41,P41:T41)</f>
        <v>13.562557</v>
      </c>
    </row>
    <row r="42" customFormat="false" ht="12.95" hidden="false" customHeight="true" outlineLevel="0" collapsed="false">
      <c r="A42" s="10" t="n">
        <f aca="false">A41+1</f>
        <v>28</v>
      </c>
      <c r="B42" s="337" t="n">
        <v>6921.53</v>
      </c>
      <c r="C42" s="90" t="n">
        <v>370236</v>
      </c>
      <c r="D42" s="98" t="n">
        <f aca="false">C42-C41</f>
        <v>-1182</v>
      </c>
      <c r="E42" s="90" t="n">
        <f aca="false">C42-152000</f>
        <v>218236</v>
      </c>
      <c r="F42" s="349" t="n">
        <f aca="false">D42/$D$2</f>
        <v>-595.916309553819</v>
      </c>
      <c r="G42" s="1" t="n">
        <v>225</v>
      </c>
      <c r="H42" s="4" t="n">
        <v>0.28</v>
      </c>
      <c r="I42" s="128" t="n">
        <f aca="false">G42+H42</f>
        <v>225.28</v>
      </c>
      <c r="J42" s="350" t="n">
        <f aca="false">IF(L42&gt;0,L42,0)</f>
        <v>0</v>
      </c>
      <c r="K42" s="128" t="n">
        <f aca="false">I42+J42</f>
        <v>225.28</v>
      </c>
      <c r="L42" s="128" t="n">
        <f aca="false">F42-(I42-AJ42)</f>
        <v>-8.19630955381888</v>
      </c>
      <c r="M42" s="131" t="n">
        <v>327</v>
      </c>
      <c r="N42" s="149" t="n">
        <f aca="false">1.8299*1.03</f>
        <v>1.884797</v>
      </c>
      <c r="O42" s="143" t="n">
        <f aca="false">(44+45)*1.05</f>
        <v>93.45</v>
      </c>
      <c r="P42" s="291" t="n">
        <v>0</v>
      </c>
      <c r="Q42" s="149" t="n">
        <f aca="false">2.988*1.02</f>
        <v>3.04776</v>
      </c>
      <c r="R42" s="149" t="n">
        <v>4.2</v>
      </c>
      <c r="S42" s="291" t="n">
        <v>4.47</v>
      </c>
      <c r="T42" s="334" t="n">
        <v>0</v>
      </c>
      <c r="U42" s="128" t="n">
        <v>171</v>
      </c>
      <c r="V42" s="128" t="n">
        <v>75</v>
      </c>
      <c r="W42" s="129" t="n">
        <f aca="false">M42-N43-O42-P42-Q42-R42-S42-T42+U42+V42-AS42+AQ42</f>
        <v>492.247443</v>
      </c>
      <c r="X42" s="129" t="n">
        <f aca="false">W42-AN42</f>
        <v>492.247443</v>
      </c>
      <c r="Y42" s="102" t="n">
        <f aca="false">Y41+AO42</f>
        <v>11972.761517</v>
      </c>
      <c r="Z42" s="129" t="n">
        <f aca="false">(-AO42)</f>
        <v>275.915203</v>
      </c>
      <c r="AA42" s="102" t="n">
        <f aca="false">AA41+(X42+AO42)*1.9835</f>
        <v>71069.869274694</v>
      </c>
      <c r="AB42" s="102" t="n">
        <f aca="false">AB41-(AP41/1.9835)+AR42</f>
        <v>1389.19471777022</v>
      </c>
      <c r="AC42" s="102"/>
      <c r="AD42" s="128" t="n">
        <v>164</v>
      </c>
      <c r="AE42" s="131" t="n">
        <v>1.7</v>
      </c>
      <c r="AF42" s="132" t="n">
        <v>1.3</v>
      </c>
      <c r="AG42" s="449" t="n">
        <v>76</v>
      </c>
      <c r="AH42" s="448" t="n">
        <f aca="false">AH41-AG42</f>
        <v>12665.2578774893</v>
      </c>
      <c r="AI42" s="78"/>
      <c r="AJ42" s="128" t="n">
        <f aca="false">N43+O42+P42+Q42+R42+S42+T42+W42+AD42+AG42-AQ42</f>
        <v>813</v>
      </c>
      <c r="AK42" s="128" t="n">
        <f aca="false">IF(L42&lt;0,L42*-1,0)</f>
        <v>8.19630955381888</v>
      </c>
      <c r="AL42" s="128" t="n">
        <f aca="false">AJ42+AK42</f>
        <v>821.196309553819</v>
      </c>
      <c r="AM42" s="441" t="n">
        <f aca="false">AM41</f>
        <v>14971.25965</v>
      </c>
      <c r="AN42" s="142"/>
      <c r="AO42" s="92" t="n">
        <f aca="false">I42-Q42-R42-W42-AE42</f>
        <v>-275.915203</v>
      </c>
      <c r="AP42" s="149" t="n">
        <f aca="false">64*(Y42*1.9835+AB42*1.9835)/E42</f>
        <v>7.77241230716596</v>
      </c>
      <c r="AQ42" s="130" t="n">
        <v>26.3</v>
      </c>
      <c r="AR42" s="139" t="n">
        <v>15.8</v>
      </c>
      <c r="AS42" s="11"/>
      <c r="AU42" s="97" t="n">
        <v>0</v>
      </c>
      <c r="AV42" s="98" t="n">
        <v>85</v>
      </c>
      <c r="AW42" s="98" t="n">
        <v>52</v>
      </c>
      <c r="AX42" s="276"/>
      <c r="AY42" s="235" t="n">
        <f aca="false">SUM(N42,P42:T42)</f>
        <v>13.602557</v>
      </c>
    </row>
    <row r="43" customFormat="false" ht="12.95" hidden="false" customHeight="true" outlineLevel="0" collapsed="false">
      <c r="A43" s="10" t="n">
        <f aca="false">A42+1</f>
        <v>29</v>
      </c>
      <c r="B43" s="337" t="n">
        <v>6921.24</v>
      </c>
      <c r="C43" s="90" t="n">
        <v>368966</v>
      </c>
      <c r="D43" s="98" t="n">
        <f aca="false">C43-C42</f>
        <v>-1270</v>
      </c>
      <c r="E43" s="90" t="n">
        <f aca="false">C43-152000</f>
        <v>216966</v>
      </c>
      <c r="F43" s="349" t="n">
        <f aca="false">D43/$D$2</f>
        <v>-640.282329216032</v>
      </c>
      <c r="G43" s="1" t="n">
        <v>239</v>
      </c>
      <c r="H43" s="4" t="n">
        <v>0.34</v>
      </c>
      <c r="I43" s="128" t="n">
        <f aca="false">G43+H43</f>
        <v>239.34</v>
      </c>
      <c r="J43" s="350" t="n">
        <f aca="false">IF(L43&gt;0,L43,0)</f>
        <v>0</v>
      </c>
      <c r="K43" s="128" t="n">
        <f aca="false">I43+J43</f>
        <v>239.34</v>
      </c>
      <c r="L43" s="128" t="n">
        <f aca="false">F43-(I43-AJ43)</f>
        <v>-40.6223292160323</v>
      </c>
      <c r="M43" s="131" t="n">
        <v>316</v>
      </c>
      <c r="N43" s="149" t="n">
        <f aca="false">1.8299*1.03</f>
        <v>1.884797</v>
      </c>
      <c r="O43" s="143" t="n">
        <f aca="false">(38+39)*1.05</f>
        <v>80.85</v>
      </c>
      <c r="P43" s="291" t="n">
        <v>0</v>
      </c>
      <c r="Q43" s="149" t="n">
        <f aca="false">2.988*1.02</f>
        <v>3.04776</v>
      </c>
      <c r="R43" s="149" t="n">
        <v>4.2</v>
      </c>
      <c r="S43" s="291" t="n">
        <v>2.65</v>
      </c>
      <c r="T43" s="334" t="n">
        <v>0</v>
      </c>
      <c r="U43" s="128" t="n">
        <v>173</v>
      </c>
      <c r="V43" s="128" t="n">
        <v>75</v>
      </c>
      <c r="W43" s="129" t="n">
        <f aca="false">M43-N44-O43-P43-Q43-R43-S43-T43+U43+V43-AS43+AQ43</f>
        <v>497.667443</v>
      </c>
      <c r="X43" s="129" t="n">
        <f aca="false">W43-AN43</f>
        <v>497.667443</v>
      </c>
      <c r="Y43" s="102" t="n">
        <f aca="false">Y42+AO43</f>
        <v>11705.486314</v>
      </c>
      <c r="Z43" s="129" t="n">
        <f aca="false">(-AO43)</f>
        <v>267.275203</v>
      </c>
      <c r="AA43" s="102" t="n">
        <f aca="false">AA42+(X43+AO43)*1.9835</f>
        <v>71526.852282734</v>
      </c>
      <c r="AB43" s="102" t="n">
        <f aca="false">AB42-(AP42/1.9835)+AR43</f>
        <v>1414.47618371065</v>
      </c>
      <c r="AC43" s="102"/>
      <c r="AD43" s="128" t="n">
        <v>200</v>
      </c>
      <c r="AE43" s="131" t="n">
        <v>1.7</v>
      </c>
      <c r="AF43" s="132" t="n">
        <v>1.3</v>
      </c>
      <c r="AG43" s="449" t="n">
        <v>75</v>
      </c>
      <c r="AH43" s="448" t="n">
        <f aca="false">AH42-AG43</f>
        <v>12590.2578774893</v>
      </c>
      <c r="AI43" s="78"/>
      <c r="AJ43" s="128" t="n">
        <f aca="false">N44+O43+P43+Q43+R43+S43+T43+W43+AD43+AG43-AQ43</f>
        <v>839</v>
      </c>
      <c r="AK43" s="128" t="n">
        <f aca="false">IF(L43&lt;0,L43*-1,0)</f>
        <v>40.6223292160323</v>
      </c>
      <c r="AL43" s="128" t="n">
        <f aca="false">AJ43+AK43</f>
        <v>879.622329216032</v>
      </c>
      <c r="AM43" s="441" t="n">
        <f aca="false">AM42</f>
        <v>14971.25965</v>
      </c>
      <c r="AN43" s="142"/>
      <c r="AO43" s="92" t="n">
        <f aca="false">I43-Q43-R43-W43-AE43</f>
        <v>-267.275203</v>
      </c>
      <c r="AP43" s="149" t="n">
        <f aca="false">64*(Y43*1.9835+AB43*1.9835)/E43</f>
        <v>7.67632034194012</v>
      </c>
      <c r="AQ43" s="130" t="n">
        <v>26.3</v>
      </c>
      <c r="AR43" s="139" t="n">
        <v>29.2</v>
      </c>
      <c r="AS43" s="11"/>
      <c r="AU43" s="97" t="n">
        <v>0</v>
      </c>
      <c r="AV43" s="98" t="n">
        <v>90</v>
      </c>
      <c r="AW43" s="98" t="n">
        <v>58</v>
      </c>
      <c r="AX43" s="276"/>
      <c r="AY43" s="235" t="n">
        <f aca="false">SUM(N43,P43:T43)</f>
        <v>11.782557</v>
      </c>
    </row>
    <row r="44" customFormat="false" ht="12.95" hidden="false" customHeight="true" outlineLevel="0" collapsed="false">
      <c r="A44" s="10" t="n">
        <v>30</v>
      </c>
      <c r="B44" s="337" t="n">
        <v>6920.95</v>
      </c>
      <c r="C44" s="90" t="n">
        <v>367698</v>
      </c>
      <c r="D44" s="98" t="n">
        <f aca="false">C44-C43</f>
        <v>-1268</v>
      </c>
      <c r="E44" s="90" t="n">
        <f aca="false">C44-152000</f>
        <v>215698</v>
      </c>
      <c r="F44" s="349" t="n">
        <f aca="false">D44/$D$2</f>
        <v>-639.274010587346</v>
      </c>
      <c r="G44" s="1" t="n">
        <v>222</v>
      </c>
      <c r="H44" s="4" t="n">
        <v>0.43</v>
      </c>
      <c r="I44" s="128" t="n">
        <f aca="false">G44+H44</f>
        <v>222.43</v>
      </c>
      <c r="J44" s="350" t="n">
        <f aca="false">IF(L44&gt;0,L44,0)</f>
        <v>3.29598941265431</v>
      </c>
      <c r="K44" s="128" t="n">
        <f aca="false">I44+J44</f>
        <v>225.725989412654</v>
      </c>
      <c r="L44" s="128" t="n">
        <f aca="false">F44-(I44-AJ44)</f>
        <v>3.29598941265431</v>
      </c>
      <c r="M44" s="131" t="n">
        <v>339</v>
      </c>
      <c r="N44" s="149" t="n">
        <f aca="false">1.8299*1.03</f>
        <v>1.884797</v>
      </c>
      <c r="O44" s="143" t="n">
        <f aca="false">(43+44)*1.05</f>
        <v>91.35</v>
      </c>
      <c r="P44" s="291" t="n">
        <v>0</v>
      </c>
      <c r="Q44" s="149" t="n">
        <f aca="false">2.988*1.02</f>
        <v>3.04776</v>
      </c>
      <c r="R44" s="149" t="n">
        <v>4.2</v>
      </c>
      <c r="S44" s="291" t="n">
        <v>3.81</v>
      </c>
      <c r="T44" s="334" t="n">
        <v>0</v>
      </c>
      <c r="U44" s="128" t="n">
        <v>174</v>
      </c>
      <c r="V44" s="128" t="n">
        <v>76</v>
      </c>
      <c r="W44" s="129" t="n">
        <f aca="false">M44-N45-O44-P44-Q44-R44-S44-T44+U44+V44-AS44+AQ44</f>
        <v>512.91224</v>
      </c>
      <c r="X44" s="129" t="n">
        <f aca="false">W44-AN44</f>
        <v>512.91224</v>
      </c>
      <c r="Y44" s="102" t="n">
        <f aca="false">Y43+AO44</f>
        <v>11406.056314</v>
      </c>
      <c r="Z44" s="129" t="n">
        <f aca="false">(-AO44)</f>
        <v>299.43</v>
      </c>
      <c r="AA44" s="102" t="n">
        <f aca="false">AA43+(X44+AO44)*1.9835</f>
        <v>71950.294305774</v>
      </c>
      <c r="AB44" s="102" t="n">
        <f aca="false">AB43-(AP43/1.9835)+AR44</f>
        <v>1439.80609531038</v>
      </c>
      <c r="AC44" s="102"/>
      <c r="AD44" s="128" t="n">
        <v>201</v>
      </c>
      <c r="AE44" s="131" t="n">
        <v>1.7</v>
      </c>
      <c r="AF44" s="132" t="n">
        <v>1.3</v>
      </c>
      <c r="AG44" s="449" t="n">
        <v>75</v>
      </c>
      <c r="AH44" s="448" t="n">
        <f aca="false">AH43-AG44</f>
        <v>12515.2578774893</v>
      </c>
      <c r="AI44" s="78"/>
      <c r="AJ44" s="128" t="n">
        <f aca="false">N45+O44+P44+Q44+R44+S44+T44+W44+AD44+AG44-AQ44</f>
        <v>865</v>
      </c>
      <c r="AK44" s="128" t="n">
        <f aca="false">IF(L44&lt;0,L44*-1,0)</f>
        <v>0</v>
      </c>
      <c r="AL44" s="128" t="n">
        <f aca="false">AJ44+AK44</f>
        <v>865</v>
      </c>
      <c r="AM44" s="441" t="n">
        <f aca="false">AM43</f>
        <v>14971.25965</v>
      </c>
      <c r="AN44" s="142"/>
      <c r="AO44" s="92" t="n">
        <f aca="false">I44-Q44-R44-W44-AE44</f>
        <v>-299.43</v>
      </c>
      <c r="AP44" s="149" t="n">
        <f aca="false">64*(Y44*1.9835+AB44*1.9835)/E44</f>
        <v>7.56013109851503</v>
      </c>
      <c r="AQ44" s="130" t="n">
        <v>26.32</v>
      </c>
      <c r="AR44" s="139" t="n">
        <v>29.2</v>
      </c>
      <c r="AS44" s="11"/>
      <c r="AU44" s="97" t="n">
        <v>0</v>
      </c>
      <c r="AV44" s="98" t="n">
        <v>88</v>
      </c>
      <c r="AW44" s="98" t="n">
        <v>60</v>
      </c>
      <c r="AX44" s="276"/>
      <c r="AY44" s="235" t="n">
        <f aca="false">SUM(N44,P44:T44)</f>
        <v>12.942557</v>
      </c>
    </row>
    <row r="45" customFormat="false" ht="3" hidden="false" customHeight="true" outlineLevel="0" collapsed="false">
      <c r="A45" s="104"/>
      <c r="B45" s="353"/>
      <c r="C45" s="114"/>
      <c r="D45" s="111"/>
      <c r="E45" s="114"/>
      <c r="F45" s="343"/>
      <c r="G45" s="111"/>
      <c r="H45" s="113"/>
      <c r="I45" s="111"/>
      <c r="J45" s="111"/>
      <c r="K45" s="111"/>
      <c r="L45" s="111"/>
      <c r="M45" s="115"/>
      <c r="N45" s="111"/>
      <c r="O45" s="113"/>
      <c r="P45" s="344"/>
      <c r="Q45" s="113"/>
      <c r="R45" s="113"/>
      <c r="S45" s="111"/>
      <c r="T45" s="345"/>
      <c r="U45" s="111"/>
      <c r="V45" s="111"/>
      <c r="W45" s="111"/>
      <c r="X45" s="111"/>
      <c r="Y45" s="114"/>
      <c r="Z45" s="111"/>
      <c r="AA45" s="218"/>
      <c r="AB45" s="114"/>
      <c r="AC45" s="114"/>
      <c r="AD45" s="111"/>
      <c r="AE45" s="115"/>
      <c r="AF45" s="116"/>
      <c r="AG45" s="111"/>
      <c r="AH45" s="451"/>
      <c r="AI45" s="111"/>
      <c r="AJ45" s="111"/>
      <c r="AK45" s="111"/>
      <c r="AL45" s="111"/>
      <c r="AM45" s="446"/>
      <c r="AN45" s="118"/>
      <c r="AO45" s="118"/>
      <c r="AP45" s="223"/>
      <c r="AQ45" s="225"/>
      <c r="AR45" s="223"/>
      <c r="AS45" s="228"/>
      <c r="AT45" s="225"/>
      <c r="AU45" s="120"/>
      <c r="AV45" s="118"/>
      <c r="AW45" s="118"/>
      <c r="AX45" s="346"/>
      <c r="AY45" s="347"/>
    </row>
    <row r="46" customFormat="false" ht="12.95" hidden="false" customHeight="true" outlineLevel="0" collapsed="false">
      <c r="A46" s="11" t="s">
        <v>99</v>
      </c>
      <c r="B46" s="332"/>
      <c r="C46" s="90"/>
      <c r="D46" s="90"/>
      <c r="E46" s="90"/>
      <c r="F46" s="333" t="n">
        <f aca="false">SUM(F15:F44)</f>
        <v>-6922.6115452483</v>
      </c>
      <c r="G46" s="78" t="n">
        <f aca="false">SUM(G15:G44)</f>
        <v>25702</v>
      </c>
      <c r="H46" s="142" t="n">
        <f aca="false">SUM(H15:H44)</f>
        <v>11.35</v>
      </c>
      <c r="I46" s="78" t="n">
        <f aca="false">SUM(I15:I44)</f>
        <v>25713.35</v>
      </c>
      <c r="J46" s="78" t="n">
        <f aca="false">SUM(J15:J44)</f>
        <v>258.413103100581</v>
      </c>
      <c r="K46" s="78" t="n">
        <f aca="false">SUM(K15:K44)</f>
        <v>25971.7631031006</v>
      </c>
      <c r="L46" s="78" t="n">
        <f aca="false">SUM(L15:L44)</f>
        <v>-328.961545248296</v>
      </c>
      <c r="M46" s="93" t="n">
        <f aca="false">SUM(M15:M44)</f>
        <v>9768</v>
      </c>
      <c r="N46" s="90" t="n">
        <f aca="false">SUM(N16:N44)</f>
        <v>54.659113</v>
      </c>
      <c r="O46" s="98" t="n">
        <f aca="false">SUM(O15:O44)</f>
        <v>2756.25</v>
      </c>
      <c r="P46" s="291" t="n">
        <f aca="false">SUM(P15:P44)</f>
        <v>0.62</v>
      </c>
      <c r="Q46" s="98" t="n">
        <f aca="false">SUM(Q15:Q44)</f>
        <v>91.4328</v>
      </c>
      <c r="R46" s="98" t="n">
        <f aca="false">SUM(R15:R44)</f>
        <v>125.27</v>
      </c>
      <c r="S46" s="98" t="n">
        <f aca="false">SUM(S15:S44)</f>
        <v>105.31</v>
      </c>
      <c r="T46" s="338" t="n">
        <f aca="false">SUM(T15:T44)</f>
        <v>0</v>
      </c>
      <c r="U46" s="78" t="n">
        <f aca="false">SUM(U15:U44)</f>
        <v>4565</v>
      </c>
      <c r="V46" s="78" t="n">
        <f aca="false">SUM(V15:V44)</f>
        <v>2269</v>
      </c>
      <c r="W46" s="78" t="n">
        <f aca="false">SUM(W15:W44)</f>
        <v>14257.478087</v>
      </c>
      <c r="X46" s="78" t="n">
        <f aca="false">SUM(X15:X44)</f>
        <v>14257.478087</v>
      </c>
      <c r="Y46" s="78"/>
      <c r="Z46" s="78" t="n">
        <f aca="false">SUM(Z15:Z44)</f>
        <v>11204.377233</v>
      </c>
      <c r="AA46" s="102"/>
      <c r="AB46" s="78"/>
      <c r="AC46" s="78"/>
      <c r="AD46" s="78" t="n">
        <f aca="false">SUM(AD15:AD44)</f>
        <v>5783</v>
      </c>
      <c r="AE46" s="93" t="n">
        <f aca="false">SUM(AE15:AE44)</f>
        <v>51</v>
      </c>
      <c r="AF46" s="94" t="n">
        <f aca="false">SUM(AF15:AF44)</f>
        <v>39</v>
      </c>
      <c r="AG46" s="78" t="n">
        <f aca="false">SUM(AG15:AG44)</f>
        <v>9922</v>
      </c>
      <c r="AH46" s="78"/>
      <c r="AI46" s="78" t="n">
        <f aca="false">SUM(AI15:AI44)</f>
        <v>8747</v>
      </c>
      <c r="AJ46" s="78" t="n">
        <f aca="false">SUM(AJ15:AJ44)</f>
        <v>32307</v>
      </c>
      <c r="AK46" s="78" t="n">
        <f aca="false">SUM(AK15:AK44)</f>
        <v>587.374648348877</v>
      </c>
      <c r="AL46" s="78" t="n">
        <f aca="false">SUM(AL15:AL44)</f>
        <v>32894.3746483489</v>
      </c>
      <c r="AM46" s="441"/>
      <c r="AN46" s="78" t="n">
        <f aca="false">SUM(AN15:AN44)</f>
        <v>0</v>
      </c>
      <c r="AO46" s="128"/>
      <c r="AP46" s="149"/>
      <c r="AQ46" s="78" t="n">
        <f aca="false">SUM(AQ15:AQ44)</f>
        <v>789.02</v>
      </c>
      <c r="AR46" s="139" t="n">
        <f aca="false">SUM(AR15:AR44)</f>
        <v>74.2</v>
      </c>
      <c r="AS46" s="142" t="n">
        <f aca="false">SUM(AS15:AS44)</f>
        <v>0</v>
      </c>
      <c r="AT46" s="92" t="n">
        <f aca="false">SUM(AT15:AT44)</f>
        <v>0</v>
      </c>
      <c r="AU46" s="97" t="n">
        <f aca="false">SUM(AU15:AU44)</f>
        <v>0.24</v>
      </c>
      <c r="AV46" s="98" t="n">
        <f aca="false">AVERAGE(AV15:AV44)</f>
        <v>83</v>
      </c>
      <c r="AW46" s="98" t="n">
        <f aca="false">AVERAGE(AW15:AW44)</f>
        <v>51.0333333333333</v>
      </c>
      <c r="AX46" s="452" t="s">
        <v>120</v>
      </c>
      <c r="AY46" s="355" t="n">
        <f aca="false">SUM(AY15:AY44)</f>
        <v>379.17671</v>
      </c>
    </row>
    <row r="47" customFormat="false" ht="12.95" hidden="false" customHeight="true" outlineLevel="0" collapsed="false">
      <c r="A47" s="11" t="s">
        <v>101</v>
      </c>
      <c r="B47" s="332"/>
      <c r="C47" s="90"/>
      <c r="D47" s="90" t="n">
        <f aca="false">SUM(D15:D44)</f>
        <v>-13731</v>
      </c>
      <c r="E47" s="90"/>
      <c r="F47" s="333" t="n">
        <f aca="false">F46*$D$2</f>
        <v>-13731</v>
      </c>
      <c r="G47" s="78" t="n">
        <f aca="false">G46*$D$2</f>
        <v>50979.917</v>
      </c>
      <c r="H47" s="142" t="n">
        <f aca="false">H46*$D$2</f>
        <v>22.512725</v>
      </c>
      <c r="I47" s="78" t="n">
        <f aca="false">I46*$D$2</f>
        <v>51002.429725</v>
      </c>
      <c r="J47" s="78" t="n">
        <f aca="false">J46*$D$2</f>
        <v>512.562390000002</v>
      </c>
      <c r="K47" s="78" t="n">
        <f aca="false">K46*$D$2</f>
        <v>51514.992115</v>
      </c>
      <c r="L47" s="78" t="n">
        <f aca="false">L46*$D$2</f>
        <v>-652.495224999995</v>
      </c>
      <c r="M47" s="93" t="n">
        <f aca="false">M46*$D$2</f>
        <v>19374.828</v>
      </c>
      <c r="N47" s="90" t="n">
        <f aca="false">N46*$D$2</f>
        <v>108.4163506355</v>
      </c>
      <c r="O47" s="98" t="n">
        <f aca="false">O46*$D$2</f>
        <v>5467.021875</v>
      </c>
      <c r="P47" s="291" t="n">
        <f aca="false">P46*$D$2</f>
        <v>1.22977</v>
      </c>
      <c r="Q47" s="98" t="n">
        <f aca="false">Q46*$D$2</f>
        <v>181.3569588</v>
      </c>
      <c r="R47" s="98" t="n">
        <f aca="false">R46*$D$2</f>
        <v>248.473045</v>
      </c>
      <c r="S47" s="98" t="n">
        <f aca="false">S46*$D$2</f>
        <v>208.882385</v>
      </c>
      <c r="T47" s="338" t="n">
        <f aca="false">T46*$D$2</f>
        <v>0</v>
      </c>
      <c r="U47" s="78" t="n">
        <f aca="false">U46*$D$2</f>
        <v>9054.6775</v>
      </c>
      <c r="V47" s="78" t="n">
        <f aca="false">V46*$D$2</f>
        <v>4500.5615</v>
      </c>
      <c r="W47" s="78" t="n">
        <f aca="false">W46*$D$2</f>
        <v>28279.7077855645</v>
      </c>
      <c r="X47" s="78" t="n">
        <f aca="false">X46*$D$2</f>
        <v>28279.7077855645</v>
      </c>
      <c r="Y47" s="78"/>
      <c r="Z47" s="78" t="n">
        <f aca="false">Z46*$D$2</f>
        <v>22223.8822416555</v>
      </c>
      <c r="AA47" s="102"/>
      <c r="AB47" s="78"/>
      <c r="AC47" s="78"/>
      <c r="AD47" s="78" t="n">
        <f aca="false">AD46*$D$2</f>
        <v>11470.5805</v>
      </c>
      <c r="AE47" s="93" t="n">
        <f aca="false">AE46*$D$2</f>
        <v>101.1585</v>
      </c>
      <c r="AF47" s="94" t="n">
        <f aca="false">AF46*$D$2</f>
        <v>77.3565</v>
      </c>
      <c r="AG47" s="78" t="n">
        <f aca="false">AG46*$D$2</f>
        <v>19680.287</v>
      </c>
      <c r="AH47" s="78"/>
      <c r="AI47" s="78" t="n">
        <f aca="false">AI46*$D$2</f>
        <v>17349.6745</v>
      </c>
      <c r="AJ47" s="78" t="n">
        <f aca="false">AJ46*$D$2</f>
        <v>64080.9345</v>
      </c>
      <c r="AK47" s="78" t="n">
        <f aca="false">AK46*$D$2</f>
        <v>1165.057615</v>
      </c>
      <c r="AL47" s="78" t="n">
        <f aca="false">AL46*$D$2</f>
        <v>65245.992115</v>
      </c>
      <c r="AM47" s="441"/>
      <c r="AN47" s="78" t="n">
        <f aca="false">AN46*$D$2</f>
        <v>0</v>
      </c>
      <c r="AO47" s="128"/>
      <c r="AP47" s="149" t="n">
        <f aca="false">SUM(AP15:AP44)</f>
        <v>271.579103279529</v>
      </c>
      <c r="AQ47" s="78" t="n">
        <f aca="false">AQ46*$D$2</f>
        <v>1565.02117</v>
      </c>
      <c r="AR47" s="149" t="n">
        <f aca="false">AR46*$D$2</f>
        <v>147.1757</v>
      </c>
      <c r="AS47" s="200" t="n">
        <f aca="false">AS46*$D$2</f>
        <v>0</v>
      </c>
      <c r="AT47" s="130" t="n">
        <f aca="false">AT46*$D$2</f>
        <v>0</v>
      </c>
      <c r="AU47" s="97"/>
      <c r="AV47" s="98" t="n">
        <f aca="false">MAX(AV15:AV44)</f>
        <v>93</v>
      </c>
      <c r="AW47" s="98" t="n">
        <f aca="false">MAX(AW15:AW44)</f>
        <v>60</v>
      </c>
      <c r="AX47" s="452" t="s">
        <v>102</v>
      </c>
      <c r="AY47" s="355" t="n">
        <f aca="false">AY46*$D$2</f>
        <v>752.097004285</v>
      </c>
    </row>
    <row r="48" customFormat="false" ht="3" hidden="false" customHeight="true" outlineLevel="0" collapsed="false">
      <c r="A48" s="104"/>
      <c r="B48" s="353"/>
      <c r="C48" s="114"/>
      <c r="D48" s="114"/>
      <c r="E48" s="114"/>
      <c r="F48" s="346"/>
      <c r="G48" s="114"/>
      <c r="H48" s="118"/>
      <c r="I48" s="114"/>
      <c r="J48" s="114"/>
      <c r="K48" s="114"/>
      <c r="L48" s="114"/>
      <c r="M48" s="146"/>
      <c r="N48" s="114"/>
      <c r="O48" s="118"/>
      <c r="P48" s="344"/>
      <c r="Q48" s="113"/>
      <c r="R48" s="113"/>
      <c r="S48" s="114"/>
      <c r="T48" s="147"/>
      <c r="U48" s="114"/>
      <c r="V48" s="114"/>
      <c r="W48" s="114"/>
      <c r="X48" s="114"/>
      <c r="Y48" s="114"/>
      <c r="Z48" s="114"/>
      <c r="AA48" s="218"/>
      <c r="AB48" s="114"/>
      <c r="AC48" s="114"/>
      <c r="AD48" s="114"/>
      <c r="AE48" s="146"/>
      <c r="AF48" s="147"/>
      <c r="AG48" s="114"/>
      <c r="AH48" s="111"/>
      <c r="AI48" s="114"/>
      <c r="AJ48" s="114"/>
      <c r="AK48" s="114"/>
      <c r="AL48" s="114"/>
      <c r="AM48" s="148"/>
      <c r="AN48" s="114"/>
      <c r="AO48" s="114"/>
      <c r="AP48" s="223"/>
      <c r="AQ48" s="114"/>
      <c r="AR48" s="223"/>
      <c r="AS48" s="228"/>
      <c r="AT48" s="225"/>
      <c r="AU48" s="148"/>
      <c r="AV48" s="114"/>
      <c r="AW48" s="114"/>
      <c r="AX48" s="346"/>
      <c r="AY48" s="347"/>
    </row>
    <row r="49" customFormat="false" ht="12.95" hidden="false" customHeight="true" outlineLevel="0" collapsed="false">
      <c r="A49" s="11" t="s">
        <v>103</v>
      </c>
      <c r="B49" s="332"/>
      <c r="C49" s="90"/>
      <c r="D49" s="90"/>
      <c r="E49" s="90"/>
      <c r="F49" s="333" t="n">
        <f aca="false">F12+F46</f>
        <v>58564.6584320645</v>
      </c>
      <c r="G49" s="78" t="n">
        <f aca="false">G12+G46</f>
        <v>99974</v>
      </c>
      <c r="H49" s="142" t="n">
        <f aca="false">H12+H46</f>
        <v>5284.25</v>
      </c>
      <c r="I49" s="78" t="n">
        <f aca="false">I12+I46</f>
        <v>105258.25</v>
      </c>
      <c r="J49" s="78" t="n">
        <f aca="false">J12+J46</f>
        <v>13814.2481925889</v>
      </c>
      <c r="K49" s="78" t="n">
        <f aca="false">K12+K46</f>
        <v>119072.498192589</v>
      </c>
      <c r="L49" s="78" t="n">
        <f aca="false">L12+L46</f>
        <v>12666.3084320645</v>
      </c>
      <c r="M49" s="93" t="n">
        <f aca="false">M12+M46</f>
        <v>20105.9</v>
      </c>
      <c r="N49" s="90" t="n">
        <f aca="false">N12+N46</f>
        <v>169.63173</v>
      </c>
      <c r="O49" s="98" t="n">
        <f aca="false">O12+O46</f>
        <v>6664.4865</v>
      </c>
      <c r="P49" s="291" t="n">
        <f aca="false">P12+P46</f>
        <v>7.31</v>
      </c>
      <c r="Q49" s="143"/>
      <c r="R49" s="143"/>
      <c r="S49" s="90"/>
      <c r="T49" s="94"/>
      <c r="U49" s="78" t="n">
        <f aca="false">U12+U46</f>
        <v>8185</v>
      </c>
      <c r="V49" s="78" t="n">
        <f aca="false">V12+V46</f>
        <v>3981.1</v>
      </c>
      <c r="W49" s="78" t="n">
        <f aca="false">W12+W46</f>
        <v>26024.35473</v>
      </c>
      <c r="X49" s="78" t="n">
        <f aca="false">X12+X46</f>
        <v>26024.35473</v>
      </c>
      <c r="Y49" s="78" t="n">
        <f aca="false">Y44</f>
        <v>11406.056314</v>
      </c>
      <c r="Z49" s="78" t="n">
        <f aca="false">Z12+Z46</f>
        <v>16950.377233</v>
      </c>
      <c r="AA49" s="102"/>
      <c r="AB49" s="453"/>
      <c r="AC49" s="453"/>
      <c r="AD49" s="78" t="n">
        <f aca="false">AD12+AD46</f>
        <v>9078.9</v>
      </c>
      <c r="AE49" s="93" t="n">
        <f aca="false">AE12+AE46</f>
        <v>154.7</v>
      </c>
      <c r="AF49" s="94" t="n">
        <f aca="false">AF12+AF46</f>
        <v>118.3</v>
      </c>
      <c r="AG49" s="78"/>
      <c r="AH49" s="453"/>
      <c r="AI49" s="78" t="n">
        <f aca="false">AI12+AI46</f>
        <v>14493</v>
      </c>
      <c r="AJ49" s="78" t="n">
        <f aca="false">AJ12+AJ46</f>
        <v>59359.9</v>
      </c>
      <c r="AK49" s="78" t="n">
        <f aca="false">AK12+AK46</f>
        <v>1147.93976052432</v>
      </c>
      <c r="AL49" s="78" t="n">
        <f aca="false">AL12+AL46</f>
        <v>60507.8397605243</v>
      </c>
      <c r="AM49" s="441"/>
      <c r="AN49" s="142"/>
      <c r="AO49" s="128"/>
      <c r="AP49" s="149"/>
      <c r="AQ49" s="78" t="n">
        <f aca="false">AQ12+AQ46</f>
        <v>1269.172</v>
      </c>
      <c r="AR49" s="149" t="n">
        <f aca="false">AR12+AR46</f>
        <v>74.2</v>
      </c>
      <c r="AS49" s="149" t="n">
        <f aca="false">AS12+AS46</f>
        <v>0</v>
      </c>
      <c r="AT49" s="130" t="n">
        <f aca="false">AT12+AT46</f>
        <v>0</v>
      </c>
      <c r="AU49" s="97"/>
      <c r="AV49" s="98" t="n">
        <f aca="false">MIN(AV15:AV44)</f>
        <v>61</v>
      </c>
      <c r="AW49" s="98" t="n">
        <f aca="false">MIN(AW15:AW44)</f>
        <v>40</v>
      </c>
      <c r="AX49" s="452" t="s">
        <v>104</v>
      </c>
      <c r="AY49" s="355" t="n">
        <f aca="false">AY12+AY46</f>
        <v>379.17671</v>
      </c>
    </row>
    <row r="50" customFormat="false" ht="12.95" hidden="false" customHeight="true" outlineLevel="0" collapsed="false">
      <c r="A50" s="11" t="s">
        <v>105</v>
      </c>
      <c r="B50" s="332"/>
      <c r="C50" s="90"/>
      <c r="D50" s="90"/>
      <c r="E50" s="90"/>
      <c r="F50" s="333" t="n">
        <f aca="false">F49*$D$2</f>
        <v>116163</v>
      </c>
      <c r="G50" s="78" t="n">
        <f aca="false">G49*$D$2</f>
        <v>198298.429</v>
      </c>
      <c r="H50" s="142" t="n">
        <f aca="false">H49*$D$2</f>
        <v>10481.309875</v>
      </c>
      <c r="I50" s="78" t="n">
        <f aca="false">I49*$D$2</f>
        <v>208779.738875</v>
      </c>
      <c r="J50" s="78" t="n">
        <f aca="false">J49*$D$2</f>
        <v>27400.56129</v>
      </c>
      <c r="K50" s="78" t="n">
        <f aca="false">K49*$D$2</f>
        <v>236180.300165</v>
      </c>
      <c r="L50" s="78" t="n">
        <f aca="false">L49*$D$2</f>
        <v>25123.622775</v>
      </c>
      <c r="M50" s="93" t="n">
        <f aca="false">M49*$D$2</f>
        <v>39880.05265</v>
      </c>
      <c r="N50" s="90" t="n">
        <f aca="false">N49*$D$2</f>
        <v>336.464536455</v>
      </c>
      <c r="O50" s="98" t="n">
        <f aca="false">O49*$D$2</f>
        <v>13219.00897275</v>
      </c>
      <c r="P50" s="291" t="n">
        <f aca="false">P49*$D$2</f>
        <v>14.499385</v>
      </c>
      <c r="Q50" s="143"/>
      <c r="R50" s="143"/>
      <c r="S50" s="90"/>
      <c r="T50" s="94"/>
      <c r="U50" s="78" t="n">
        <f aca="false">U49*$D$2</f>
        <v>16234.9475</v>
      </c>
      <c r="V50" s="78" t="n">
        <f aca="false">V49*$D$2</f>
        <v>7896.51185</v>
      </c>
      <c r="W50" s="78" t="n">
        <f aca="false">W49*$D$2</f>
        <v>51619.307606955</v>
      </c>
      <c r="X50" s="78" t="n">
        <f aca="false">X49*$D$2</f>
        <v>51619.307606955</v>
      </c>
      <c r="Y50" s="78" t="n">
        <f aca="false">Y49*$D$2</f>
        <v>22623.912698819</v>
      </c>
      <c r="Z50" s="78" t="n">
        <f aca="false">Z49*$D$2</f>
        <v>33621.0732416555</v>
      </c>
      <c r="AA50" s="102"/>
      <c r="AB50" s="78"/>
      <c r="AC50" s="78"/>
      <c r="AD50" s="78" t="n">
        <f aca="false">AD49*$D$2</f>
        <v>18007.99815</v>
      </c>
      <c r="AE50" s="93" t="n">
        <f aca="false">AE49*$D$2</f>
        <v>306.84745</v>
      </c>
      <c r="AF50" s="94" t="n">
        <f aca="false">AF49*$D$2</f>
        <v>234.64805</v>
      </c>
      <c r="AG50" s="78"/>
      <c r="AH50" s="78"/>
      <c r="AI50" s="78" t="n">
        <f aca="false">AI49*$D$2</f>
        <v>28746.8655</v>
      </c>
      <c r="AJ50" s="78" t="n">
        <f aca="false">AJ49*$D$2</f>
        <v>117740.36165</v>
      </c>
      <c r="AK50" s="78" t="n">
        <f aca="false">AK49*$D$2</f>
        <v>2276.938515</v>
      </c>
      <c r="AL50" s="78" t="n">
        <f aca="false">AL49*$D$2</f>
        <v>120017.300165</v>
      </c>
      <c r="AM50" s="441"/>
      <c r="AN50" s="142"/>
      <c r="AO50" s="128"/>
      <c r="AP50" s="149" t="n">
        <f aca="false">AP12+AP47</f>
        <v>703.108279695885</v>
      </c>
      <c r="AQ50" s="78" t="n">
        <f aca="false">AQ49*$D$2</f>
        <v>2517.402662</v>
      </c>
      <c r="AR50" s="139" t="n">
        <f aca="false">AR49*$D$2</f>
        <v>147.1757</v>
      </c>
      <c r="AS50" s="142" t="n">
        <f aca="false">AS49*$D$2</f>
        <v>0</v>
      </c>
      <c r="AT50" s="92" t="n">
        <f aca="false">AT49*$D$2</f>
        <v>0</v>
      </c>
      <c r="AU50" s="97"/>
      <c r="AV50" s="98"/>
      <c r="AW50" s="98"/>
      <c r="AX50" s="276"/>
      <c r="AY50" s="355" t="n">
        <f aca="false">AY49*$D$2</f>
        <v>752.097004285</v>
      </c>
    </row>
    <row r="51" customFormat="false" ht="3" hidden="false" customHeight="true" outlineLevel="0" collapsed="false">
      <c r="A51" s="104"/>
      <c r="B51" s="353"/>
      <c r="C51" s="114"/>
      <c r="D51" s="114"/>
      <c r="E51" s="114"/>
      <c r="F51" s="346"/>
      <c r="G51" s="114"/>
      <c r="H51" s="118"/>
      <c r="I51" s="114"/>
      <c r="J51" s="114"/>
      <c r="K51" s="114"/>
      <c r="L51" s="114"/>
      <c r="M51" s="146"/>
      <c r="N51" s="114"/>
      <c r="O51" s="118"/>
      <c r="P51" s="344"/>
      <c r="Q51" s="113"/>
      <c r="R51" s="113"/>
      <c r="S51" s="114"/>
      <c r="T51" s="147"/>
      <c r="U51" s="114"/>
      <c r="V51" s="114"/>
      <c r="W51" s="114"/>
      <c r="X51" s="114"/>
      <c r="Y51" s="114"/>
      <c r="Z51" s="114"/>
      <c r="AA51" s="218"/>
      <c r="AB51" s="114"/>
      <c r="AC51" s="114"/>
      <c r="AD51" s="114"/>
      <c r="AE51" s="146"/>
      <c r="AF51" s="147"/>
      <c r="AG51" s="114"/>
      <c r="AH51" s="114"/>
      <c r="AI51" s="114"/>
      <c r="AJ51" s="114"/>
      <c r="AK51" s="114"/>
      <c r="AL51" s="114"/>
      <c r="AM51" s="120"/>
      <c r="AN51" s="356"/>
      <c r="AO51" s="356"/>
      <c r="AP51" s="223"/>
      <c r="AQ51" s="114"/>
      <c r="AR51" s="223"/>
      <c r="AS51" s="228"/>
      <c r="AT51" s="225"/>
      <c r="AU51" s="120"/>
      <c r="AV51" s="356"/>
      <c r="AW51" s="356"/>
      <c r="AX51" s="346"/>
      <c r="AY51" s="347"/>
    </row>
    <row r="52" customFormat="false" ht="12.95" hidden="false" customHeight="true" outlineLevel="0" collapsed="false">
      <c r="A52" s="11" t="s">
        <v>106</v>
      </c>
      <c r="B52" s="332"/>
      <c r="C52" s="90"/>
      <c r="D52" s="90"/>
      <c r="E52" s="90"/>
      <c r="F52" s="333" t="n">
        <f aca="false">F13+F46</f>
        <v>54628.1825056718</v>
      </c>
      <c r="G52" s="78" t="n">
        <f aca="false">G13+G46</f>
        <v>106677</v>
      </c>
      <c r="H52" s="142" t="n">
        <f aca="false">H13+H46</f>
        <v>5512.84</v>
      </c>
      <c r="I52" s="78" t="n">
        <f aca="false">I13+I46</f>
        <v>112189.84</v>
      </c>
      <c r="J52" s="78" t="n">
        <f aca="false">J13+J46</f>
        <v>15556.6137963196</v>
      </c>
      <c r="K52" s="78" t="n">
        <f aca="false">K13+K46</f>
        <v>127746.45379632</v>
      </c>
      <c r="L52" s="78" t="n">
        <f aca="false">L13+L46</f>
        <v>13499.7425056718</v>
      </c>
      <c r="M52" s="93" t="n">
        <f aca="false">M13+M46</f>
        <v>20801.3</v>
      </c>
      <c r="N52" s="90" t="n">
        <f aca="false">N13+N46</f>
        <v>169.63173</v>
      </c>
      <c r="O52" s="98" t="n">
        <f aca="false">O13+O46</f>
        <v>6664.4865</v>
      </c>
      <c r="P52" s="291"/>
      <c r="Q52" s="98" t="n">
        <f aca="false">Q13+Q46</f>
        <v>456.82026</v>
      </c>
      <c r="R52" s="98" t="n">
        <f aca="false">R13+R46</f>
        <v>699.09</v>
      </c>
      <c r="S52" s="98" t="n">
        <f aca="false">S13+S46</f>
        <v>147.95</v>
      </c>
      <c r="T52" s="338" t="n">
        <f aca="false">T13+T46</f>
        <v>-22.57716</v>
      </c>
      <c r="U52" s="78" t="n">
        <f aca="false">U13+U46</f>
        <v>14576.6</v>
      </c>
      <c r="V52" s="78" t="n">
        <f aca="false">V13+V46</f>
        <v>4021.6</v>
      </c>
      <c r="W52" s="78" t="n">
        <f aca="false">W13+W46</f>
        <v>32545.18951</v>
      </c>
      <c r="X52" s="78" t="n">
        <f aca="false">X13+X46</f>
        <v>32504.68951</v>
      </c>
      <c r="Y52" s="78"/>
      <c r="Z52" s="78"/>
      <c r="AA52" s="102"/>
      <c r="AB52" s="78"/>
      <c r="AC52" s="78"/>
      <c r="AD52" s="78"/>
      <c r="AE52" s="93"/>
      <c r="AF52" s="94"/>
      <c r="AG52" s="78" t="n">
        <f aca="false">AG13+AG46</f>
        <v>22583</v>
      </c>
      <c r="AH52" s="78" t="n">
        <f aca="false">AH44</f>
        <v>12515.2578774893</v>
      </c>
      <c r="AI52" s="78" t="n">
        <f aca="false">AI13+AI46</f>
        <v>14493</v>
      </c>
      <c r="AJ52" s="78" t="n">
        <f aca="false">AJ13+AJ46</f>
        <v>71061.4</v>
      </c>
      <c r="AK52" s="78" t="n">
        <f aca="false">AK13+AK46</f>
        <v>2056.87129064784</v>
      </c>
      <c r="AL52" s="78" t="n">
        <f aca="false">AL13+AL46</f>
        <v>73118.2712906479</v>
      </c>
      <c r="AM52" s="441"/>
      <c r="AN52" s="78" t="n">
        <f aca="false">AN13+AN46</f>
        <v>40.5</v>
      </c>
      <c r="AO52" s="128"/>
      <c r="AP52" s="149"/>
      <c r="AQ52" s="78" t="n">
        <f aca="false">AQ13+AQ46</f>
        <v>1269.172</v>
      </c>
      <c r="AR52" s="139" t="n">
        <f aca="false">AR13+AR46</f>
        <v>74.2</v>
      </c>
      <c r="AS52" s="142"/>
      <c r="AU52" s="97" t="n">
        <f aca="false">AU13+AU46</f>
        <v>6.66</v>
      </c>
      <c r="AV52" s="98"/>
      <c r="AW52" s="98"/>
      <c r="AX52" s="276"/>
      <c r="AY52" s="355" t="n">
        <f aca="false">AY13+AY46</f>
        <v>1460.880787</v>
      </c>
    </row>
    <row r="53" customFormat="false" ht="12.95" hidden="false" customHeight="true" outlineLevel="0" collapsed="false">
      <c r="A53" s="11" t="s">
        <v>107</v>
      </c>
      <c r="B53" s="332"/>
      <c r="C53" s="90"/>
      <c r="D53" s="90" t="n">
        <f aca="false">D13+D47</f>
        <v>108355</v>
      </c>
      <c r="E53" s="90" t="n">
        <f aca="false">E44</f>
        <v>215698</v>
      </c>
      <c r="F53" s="333" t="n">
        <f aca="false">F52*$D$2</f>
        <v>108355</v>
      </c>
      <c r="G53" s="78" t="n">
        <f aca="false">G52*$D$2</f>
        <v>211593.8295</v>
      </c>
      <c r="H53" s="142" t="n">
        <f aca="false">H52*$D$2</f>
        <v>10934.71814</v>
      </c>
      <c r="I53" s="78" t="n">
        <f aca="false">I52*$D$2</f>
        <v>222528.54764</v>
      </c>
      <c r="J53" s="78" t="n">
        <f aca="false">J52*$D$2</f>
        <v>30856.543465</v>
      </c>
      <c r="K53" s="78" t="n">
        <f aca="false">K52*$D$2</f>
        <v>253385.091105</v>
      </c>
      <c r="L53" s="78" t="n">
        <f aca="false">L52*$D$2</f>
        <v>26776.73926</v>
      </c>
      <c r="M53" s="93" t="n">
        <f aca="false">M52*$D$2</f>
        <v>41259.37855</v>
      </c>
      <c r="N53" s="90" t="n">
        <f aca="false">N52*$D$2</f>
        <v>336.464536455</v>
      </c>
      <c r="O53" s="98" t="n">
        <f aca="false">O52*$D$2</f>
        <v>13219.00897275</v>
      </c>
      <c r="P53" s="291"/>
      <c r="Q53" s="98" t="n">
        <f aca="false">Q52*$D$2</f>
        <v>906.10298571</v>
      </c>
      <c r="R53" s="98" t="n">
        <f aca="false">R52*$D$2</f>
        <v>1386.645015</v>
      </c>
      <c r="S53" s="98" t="n">
        <f aca="false">S52*$D$2</f>
        <v>293.458825</v>
      </c>
      <c r="T53" s="338" t="n">
        <f aca="false">T52*$D$2</f>
        <v>-44.78179686</v>
      </c>
      <c r="U53" s="78" t="n">
        <f aca="false">U52*$D$2</f>
        <v>28912.6861</v>
      </c>
      <c r="V53" s="78" t="n">
        <f aca="false">V52*$D$2</f>
        <v>7976.8436</v>
      </c>
      <c r="W53" s="78" t="n">
        <f aca="false">W52*$D$2</f>
        <v>64553.383393085</v>
      </c>
      <c r="X53" s="78" t="n">
        <f aca="false">X52*$D$2</f>
        <v>64473.051643085</v>
      </c>
      <c r="Y53" s="78"/>
      <c r="Z53" s="78"/>
      <c r="AA53" s="102"/>
      <c r="AB53" s="78"/>
      <c r="AC53" s="78"/>
      <c r="AD53" s="78"/>
      <c r="AE53" s="93"/>
      <c r="AF53" s="94"/>
      <c r="AG53" s="78" t="n">
        <f aca="false">AG52*$D$2</f>
        <v>44793.3805</v>
      </c>
      <c r="AH53" s="78" t="n">
        <f aca="false">AH52*$D$2</f>
        <v>24824.014</v>
      </c>
      <c r="AI53" s="78" t="n">
        <f aca="false">AI52*$D$2</f>
        <v>28746.8655</v>
      </c>
      <c r="AJ53" s="78" t="n">
        <f aca="false">AJ52*$D$2</f>
        <v>140950.2869</v>
      </c>
      <c r="AK53" s="78" t="n">
        <f aca="false">AK52*$D$2</f>
        <v>4079.804205</v>
      </c>
      <c r="AL53" s="78" t="n">
        <f aca="false">AL52*$D$2</f>
        <v>145030.091105</v>
      </c>
      <c r="AM53" s="441" t="n">
        <f aca="false">AM44</f>
        <v>14971.25965</v>
      </c>
      <c r="AN53" s="78" t="n">
        <f aca="false">AN52*$D$2</f>
        <v>80.33175</v>
      </c>
      <c r="AO53" s="128"/>
      <c r="AP53" s="149" t="n">
        <f aca="false">AP13+AP47</f>
        <v>703.108279695885</v>
      </c>
      <c r="AQ53" s="78" t="n">
        <f aca="false">AQ52*$D$2</f>
        <v>2517.402662</v>
      </c>
      <c r="AR53" s="139" t="n">
        <f aca="false">AR52*$D$2</f>
        <v>147.1757</v>
      </c>
      <c r="AS53" s="142"/>
      <c r="AU53" s="97"/>
      <c r="AV53" s="98"/>
      <c r="AW53" s="98"/>
      <c r="AX53" s="276"/>
      <c r="AY53" s="355" t="n">
        <f aca="false">AY52*$D$2</f>
        <v>2897.6570410145</v>
      </c>
    </row>
    <row r="54" customFormat="false" ht="3" hidden="false" customHeight="true" outlineLevel="0" collapsed="false">
      <c r="A54" s="104"/>
      <c r="B54" s="353"/>
      <c r="C54" s="114"/>
      <c r="D54" s="111"/>
      <c r="E54" s="114"/>
      <c r="F54" s="343"/>
      <c r="G54" s="111"/>
      <c r="H54" s="113"/>
      <c r="I54" s="111"/>
      <c r="J54" s="111"/>
      <c r="K54" s="454"/>
      <c r="L54" s="111"/>
      <c r="M54" s="115"/>
      <c r="N54" s="111"/>
      <c r="O54" s="113"/>
      <c r="P54" s="344"/>
      <c r="Q54" s="113"/>
      <c r="R54" s="113"/>
      <c r="S54" s="111"/>
      <c r="T54" s="345"/>
      <c r="U54" s="111"/>
      <c r="V54" s="111"/>
      <c r="W54" s="111"/>
      <c r="X54" s="111"/>
      <c r="Y54" s="114"/>
      <c r="Z54" s="111"/>
      <c r="AA54" s="218"/>
      <c r="AB54" s="114"/>
      <c r="AC54" s="114"/>
      <c r="AD54" s="111"/>
      <c r="AE54" s="109"/>
      <c r="AF54" s="154"/>
      <c r="AG54" s="111"/>
      <c r="AH54" s="114"/>
      <c r="AI54" s="455"/>
      <c r="AJ54" s="111"/>
      <c r="AK54" s="111"/>
      <c r="AL54" s="111"/>
      <c r="AM54" s="353"/>
      <c r="AN54" s="111"/>
      <c r="AO54" s="111"/>
      <c r="AP54" s="223"/>
      <c r="AQ54" s="225"/>
      <c r="AR54" s="223"/>
      <c r="AS54" s="223"/>
      <c r="AT54" s="225"/>
      <c r="AU54" s="353"/>
      <c r="AV54" s="111"/>
      <c r="AW54" s="111"/>
      <c r="AX54" s="346"/>
      <c r="AY54" s="347"/>
    </row>
    <row r="55" customFormat="false" ht="14.1" hidden="false" customHeight="true" outlineLevel="0" collapsed="false">
      <c r="A55" s="160"/>
      <c r="B55" s="163"/>
      <c r="D55" s="11"/>
      <c r="E55" s="456"/>
      <c r="I55" s="11"/>
      <c r="J55" s="11"/>
      <c r="K55" s="457"/>
      <c r="L55" s="167"/>
      <c r="M55" s="11"/>
      <c r="N55" s="11"/>
      <c r="Q55" s="458" t="s">
        <v>127</v>
      </c>
      <c r="S55" s="11"/>
      <c r="U55" s="11"/>
      <c r="V55" s="11"/>
      <c r="W55" s="11"/>
      <c r="X55" s="11"/>
      <c r="Z55" s="11"/>
      <c r="AA55" s="167"/>
      <c r="AD55" s="11"/>
      <c r="AE55" s="11"/>
      <c r="AF55" s="11"/>
      <c r="AG55" s="11"/>
      <c r="AH55" s="456"/>
      <c r="AI55" s="459"/>
      <c r="AJ55" s="11"/>
      <c r="AK55" s="11"/>
      <c r="AL55" s="11"/>
      <c r="AM55" s="10"/>
      <c r="AN55" s="10"/>
      <c r="AO55" s="14"/>
      <c r="AP55" s="67"/>
      <c r="AQ55" s="398"/>
      <c r="AW55" s="9"/>
    </row>
    <row r="56" customFormat="false" ht="11.1" hidden="false" customHeight="true" outlineLevel="0" collapsed="false">
      <c r="A56" s="11"/>
      <c r="B56" s="163"/>
      <c r="E56" s="367"/>
      <c r="F56" s="178"/>
      <c r="I56" s="12"/>
      <c r="J56" s="11"/>
      <c r="K56" s="164"/>
      <c r="L56" s="169"/>
      <c r="M56" s="11"/>
      <c r="N56" s="11"/>
      <c r="S56" s="125"/>
      <c r="T56" s="89"/>
      <c r="U56" s="26"/>
      <c r="V56" s="125"/>
      <c r="W56" s="460"/>
      <c r="X56" s="460"/>
      <c r="Y56" s="167"/>
      <c r="Z56" s="460"/>
      <c r="AA56" s="167"/>
      <c r="AB56" s="167"/>
      <c r="AC56" s="167"/>
      <c r="AD56" s="26"/>
      <c r="AE56" s="26"/>
      <c r="AF56" s="26"/>
      <c r="AG56" s="11"/>
      <c r="AH56" s="2"/>
      <c r="AI56" s="100"/>
      <c r="AJ56" s="11"/>
      <c r="AK56" s="11"/>
      <c r="AL56" s="11"/>
      <c r="AM56" s="10"/>
      <c r="AN56" s="10"/>
      <c r="AO56" s="14"/>
      <c r="AW56" s="9"/>
    </row>
    <row r="57" customFormat="false" ht="11.1" hidden="false" customHeight="true" outlineLevel="0" collapsed="false">
      <c r="B57" s="167"/>
      <c r="C57" s="167"/>
      <c r="D57" s="166"/>
      <c r="E57" s="367"/>
      <c r="F57" s="210"/>
      <c r="K57" s="368"/>
      <c r="L57" s="431"/>
      <c r="M57" s="461"/>
      <c r="N57" s="461"/>
      <c r="O57" s="462"/>
      <c r="P57" s="463"/>
      <c r="Q57" s="462"/>
      <c r="R57" s="462"/>
      <c r="S57" s="26"/>
      <c r="T57" s="89"/>
      <c r="U57" s="26"/>
      <c r="V57" s="125"/>
      <c r="W57" s="86"/>
      <c r="X57" s="86"/>
      <c r="Y57" s="167"/>
      <c r="Z57" s="86"/>
      <c r="AB57" s="167"/>
      <c r="AC57" s="167"/>
      <c r="AD57" s="167"/>
      <c r="AE57" s="167"/>
      <c r="AF57" s="167"/>
      <c r="AH57" s="26"/>
      <c r="AI57" s="464"/>
      <c r="AM57" s="83"/>
      <c r="AN57" s="83"/>
      <c r="AO57" s="83"/>
    </row>
    <row r="58" customFormat="false" ht="11.1" hidden="false" customHeight="true" outlineLevel="0" collapsed="false">
      <c r="B58" s="166"/>
      <c r="C58" s="167"/>
      <c r="D58" s="167"/>
      <c r="E58" s="367"/>
      <c r="H58" s="169"/>
      <c r="K58" s="368"/>
      <c r="L58" s="169"/>
      <c r="O58" s="169"/>
      <c r="P58" s="8"/>
      <c r="Q58" s="169"/>
      <c r="R58" s="169"/>
      <c r="S58" s="26"/>
      <c r="T58" s="89"/>
      <c r="U58" s="26"/>
      <c r="V58" s="26"/>
      <c r="W58" s="86"/>
      <c r="X58" s="86"/>
      <c r="Y58" s="172"/>
      <c r="Z58" s="86"/>
      <c r="AB58" s="172"/>
      <c r="AC58" s="172"/>
      <c r="AD58" s="167"/>
      <c r="AE58" s="167"/>
      <c r="AF58" s="167"/>
      <c r="AH58" s="167"/>
      <c r="AI58" s="210"/>
      <c r="AM58" s="83"/>
      <c r="AN58" s="83"/>
      <c r="AO58" s="83"/>
    </row>
    <row r="59" customFormat="false" ht="11.1" hidden="false" customHeight="true" outlineLevel="0" collapsed="false">
      <c r="B59" s="8"/>
      <c r="C59" s="167"/>
      <c r="D59" s="167"/>
      <c r="E59" s="367"/>
      <c r="F59" s="369"/>
      <c r="G59" s="166"/>
      <c r="K59" s="164"/>
      <c r="Y59" s="2"/>
      <c r="AB59" s="2"/>
      <c r="AC59" s="2"/>
      <c r="AM59" s="83"/>
      <c r="AN59" s="83"/>
      <c r="AO59" s="83"/>
    </row>
    <row r="61" customFormat="false" ht="11.1" hidden="false" customHeight="true" outlineLevel="0" collapsed="false">
      <c r="B61" s="161"/>
    </row>
  </sheetData>
  <mergeCells count="1"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89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G14" activePane="bottomRight" state="frozen"/>
      <selection pane="topLeft" activeCell="A1" activeCellId="0" sqref="A1"/>
      <selection pane="topRight" activeCell="G1" activeCellId="0" sqref="G1"/>
      <selection pane="bottomLeft" activeCell="A14" activeCellId="0" sqref="A14"/>
      <selection pane="bottomRight" activeCell="AJ23" activeCellId="0" sqref="AJ23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32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8.82"/>
    <col collapsed="false" customWidth="true" hidden="false" outlineLevel="0" max="7" min="7" style="166" width="6.82"/>
    <col collapsed="false" customWidth="true" hidden="false" outlineLevel="0" max="8" min="8" style="169" width="5.66"/>
    <col collapsed="false" customWidth="true" hidden="false" outlineLevel="0" max="11" min="9" style="166" width="6.32"/>
    <col collapsed="false" customWidth="true" hidden="false" outlineLevel="0" max="12" min="12" style="166" width="8.82"/>
    <col collapsed="false" customWidth="true" hidden="false" outlineLevel="0" max="13" min="13" style="169" width="5.49"/>
    <col collapsed="false" customWidth="true" hidden="false" outlineLevel="0" max="14" min="14" style="169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7" min="17" style="169" width="4.66"/>
    <col collapsed="false" customWidth="true" hidden="false" outlineLevel="0" max="18" min="18" style="169" width="4.99"/>
    <col collapsed="false" customWidth="true" hidden="false" outlineLevel="0" max="19" min="19" style="166" width="4.32"/>
    <col collapsed="false" customWidth="true" hidden="false" outlineLevel="0" max="20" min="20" style="8" width="5.49"/>
    <col collapsed="false" customWidth="true" hidden="false" outlineLevel="0" max="22" min="21" style="166" width="5.49"/>
    <col collapsed="false" customWidth="true" hidden="false" outlineLevel="0" max="24" min="23" style="167" width="6.32"/>
    <col collapsed="false" customWidth="true" hidden="false" outlineLevel="0" max="25" min="25" style="166" width="5.49"/>
    <col collapsed="false" customWidth="true" hidden="false" outlineLevel="0" max="26" min="26" style="167" width="6.32"/>
    <col collapsed="false" customWidth="true" hidden="false" outlineLevel="0" max="28" min="27" style="166" width="5.49"/>
    <col collapsed="false" customWidth="true" hidden="false" outlineLevel="0" max="29" min="29" style="172" width="5.49"/>
    <col collapsed="false" customWidth="true" hidden="false" outlineLevel="0" max="32" min="30" style="166" width="5.49"/>
    <col collapsed="false" customWidth="true" hidden="false" outlineLevel="0" max="33" min="33" style="167" width="6.49"/>
    <col collapsed="false" customWidth="true" hidden="false" outlineLevel="0" max="34" min="34" style="166" width="6.82"/>
    <col collapsed="false" customWidth="true" hidden="false" outlineLevel="0" max="35" min="35" style="170" width="6.32"/>
    <col collapsed="false" customWidth="true" hidden="false" outlineLevel="0" max="36" min="36" style="166" width="6.32"/>
    <col collapsed="false" customWidth="true" hidden="false" outlineLevel="0" max="37" min="37" style="166" width="8.16"/>
    <col collapsed="false" customWidth="true" hidden="false" outlineLevel="0" max="38" min="38" style="8" width="8.16"/>
    <col collapsed="false" customWidth="true" hidden="false" outlineLevel="0" max="40" min="39" style="166" width="5.49"/>
    <col collapsed="false" customWidth="true" hidden="false" outlineLevel="0" max="41" min="41" style="169" width="6.32"/>
    <col collapsed="false" customWidth="true" hidden="false" outlineLevel="0" max="44" min="42" style="310" width="6.32"/>
    <col collapsed="false" customWidth="true" hidden="false" outlineLevel="0" max="45" min="45" style="369" width="6.82"/>
    <col collapsed="false" customWidth="true" hidden="false" outlineLevel="0" max="46" min="46" style="169" width="4.99"/>
    <col collapsed="false" customWidth="true" hidden="false" outlineLevel="0" max="47" min="47" style="172" width="5.32"/>
    <col collapsed="false" customWidth="true" hidden="false" outlineLevel="0" max="48" min="48" style="172" width="3.82"/>
    <col collapsed="false" customWidth="true" hidden="false" outlineLevel="0" max="49" min="49" style="173" width="3.82"/>
    <col collapsed="false" customWidth="true" hidden="false" outlineLevel="0" max="50" min="50" style="174" width="4.32"/>
    <col collapsed="false" customWidth="true" hidden="false" outlineLevel="0" max="51" min="51" style="174" width="6.49"/>
    <col collapsed="false" customWidth="false" hidden="false" outlineLevel="0" max="257" min="52" style="174" width="9.32"/>
  </cols>
  <sheetData>
    <row r="1" customFormat="false" ht="14.1" hidden="false" customHeight="true" outlineLevel="0" collapsed="false">
      <c r="A1" s="11"/>
      <c r="B1" s="11"/>
      <c r="C1" s="2"/>
      <c r="D1" s="11"/>
      <c r="E1" s="2"/>
      <c r="F1" s="11"/>
      <c r="G1" s="11"/>
      <c r="H1" s="4"/>
      <c r="I1" s="11"/>
      <c r="J1" s="11"/>
      <c r="K1" s="13" t="s">
        <v>0</v>
      </c>
      <c r="L1" s="11"/>
      <c r="M1" s="11"/>
      <c r="N1" s="11"/>
      <c r="O1" s="11"/>
      <c r="P1" s="5"/>
      <c r="Q1" s="11"/>
      <c r="R1" s="11"/>
      <c r="S1" s="11"/>
      <c r="T1" s="5"/>
      <c r="U1" s="11"/>
      <c r="V1" s="11"/>
      <c r="W1" s="2"/>
      <c r="X1" s="2"/>
      <c r="Y1" s="11"/>
      <c r="Z1" s="2"/>
      <c r="AA1" s="11"/>
      <c r="AB1" s="11"/>
      <c r="AC1" s="9"/>
      <c r="AD1" s="11"/>
      <c r="AE1" s="11"/>
      <c r="AF1" s="11"/>
      <c r="AG1" s="2"/>
      <c r="AH1" s="11"/>
      <c r="AI1" s="14"/>
      <c r="AJ1" s="11"/>
      <c r="AK1" s="11"/>
      <c r="AL1" s="5"/>
      <c r="AM1" s="14"/>
      <c r="AN1" s="14"/>
      <c r="AO1" s="465"/>
      <c r="AR1" s="6"/>
      <c r="AS1" s="84"/>
      <c r="AT1" s="4"/>
      <c r="AU1" s="3"/>
      <c r="AV1" s="9"/>
      <c r="AW1" s="1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4.1" hidden="false" customHeight="true" outlineLevel="0" collapsed="false">
      <c r="A2" s="14" t="s">
        <v>1</v>
      </c>
      <c r="B2" s="11"/>
      <c r="C2" s="2"/>
      <c r="D2" s="15" t="n">
        <v>1.9835</v>
      </c>
      <c r="E2" s="2"/>
      <c r="F2" s="11"/>
      <c r="G2" s="11"/>
      <c r="H2" s="4"/>
      <c r="I2" s="11"/>
      <c r="J2" s="11"/>
      <c r="K2" s="326" t="s">
        <v>128</v>
      </c>
      <c r="L2" s="327"/>
      <c r="M2" s="328"/>
      <c r="N2" s="328"/>
      <c r="O2" s="328"/>
      <c r="P2" s="6"/>
      <c r="Q2" s="328"/>
      <c r="R2" s="328"/>
      <c r="S2" s="328"/>
      <c r="T2" s="6"/>
      <c r="U2" s="328"/>
      <c r="V2" s="328"/>
      <c r="W2" s="329"/>
      <c r="X2" s="329"/>
      <c r="Y2" s="328"/>
      <c r="Z2" s="329"/>
      <c r="AA2" s="328"/>
      <c r="AB2" s="328"/>
      <c r="AC2" s="10"/>
      <c r="AD2" s="328"/>
      <c r="AE2" s="328"/>
      <c r="AF2" s="328"/>
      <c r="AG2" s="329"/>
      <c r="AH2" s="11"/>
      <c r="AI2" s="14"/>
      <c r="AJ2" s="11"/>
      <c r="AK2" s="11"/>
      <c r="AL2" s="5"/>
      <c r="AM2" s="14"/>
      <c r="AN2" s="14"/>
      <c r="AO2" s="465"/>
      <c r="AR2" s="6"/>
      <c r="AS2" s="84"/>
      <c r="AT2" s="4"/>
      <c r="AU2" s="3"/>
      <c r="AV2" s="9"/>
      <c r="AW2" s="1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16"/>
      <c r="P3" s="20"/>
      <c r="Q3" s="16"/>
      <c r="R3" s="16"/>
      <c r="S3" s="16"/>
      <c r="T3" s="20"/>
      <c r="U3" s="16"/>
      <c r="V3" s="16"/>
      <c r="W3" s="17"/>
      <c r="X3" s="17"/>
      <c r="Y3" s="16"/>
      <c r="Z3" s="17"/>
      <c r="AA3" s="16"/>
      <c r="AB3" s="16"/>
      <c r="AC3" s="28"/>
      <c r="AD3" s="16"/>
      <c r="AE3" s="16"/>
      <c r="AF3" s="16"/>
      <c r="AG3" s="17"/>
      <c r="AH3" s="16"/>
      <c r="AI3" s="330"/>
      <c r="AJ3" s="16"/>
      <c r="AK3" s="16"/>
      <c r="AL3" s="20"/>
      <c r="AM3" s="330"/>
      <c r="AN3" s="330"/>
      <c r="AO3" s="466"/>
      <c r="AR3" s="6"/>
      <c r="AS3" s="84"/>
      <c r="AT3" s="4"/>
      <c r="AU3" s="27"/>
      <c r="AV3" s="28"/>
      <c r="AW3" s="29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" customFormat="true" ht="14.1" hidden="false" customHeight="true" outlineLevel="0" collapsed="false">
      <c r="A4" s="11"/>
      <c r="B4" s="32"/>
      <c r="C4" s="33"/>
      <c r="D4" s="34" t="s">
        <v>3</v>
      </c>
      <c r="E4" s="33"/>
      <c r="F4" s="31"/>
      <c r="G4" s="11"/>
      <c r="H4" s="4"/>
      <c r="I4" s="11"/>
      <c r="J4" s="11"/>
      <c r="K4" s="11"/>
      <c r="L4" s="11"/>
      <c r="M4" s="11"/>
      <c r="N4" s="11"/>
      <c r="O4" s="11"/>
      <c r="P4" s="5"/>
      <c r="Q4" s="11"/>
      <c r="R4" s="11"/>
      <c r="S4" s="11"/>
      <c r="T4" s="5"/>
      <c r="U4" s="467" t="s">
        <v>4</v>
      </c>
      <c r="V4" s="11"/>
      <c r="W4" s="2"/>
      <c r="X4" s="2"/>
      <c r="Y4" s="11"/>
      <c r="Z4" s="2"/>
      <c r="AA4" s="11"/>
      <c r="AB4" s="11"/>
      <c r="AC4" s="9"/>
      <c r="AD4" s="11"/>
      <c r="AE4" s="11"/>
      <c r="AF4" s="11"/>
      <c r="AG4" s="2"/>
      <c r="AH4" s="11"/>
      <c r="AI4" s="14"/>
      <c r="AJ4" s="11"/>
      <c r="AK4" s="11"/>
      <c r="AL4" s="5"/>
      <c r="AM4" s="437"/>
      <c r="AN4" s="51"/>
      <c r="AO4" s="468" t="s">
        <v>5</v>
      </c>
      <c r="AP4" s="45"/>
      <c r="AQ4" s="45"/>
      <c r="AR4" s="36"/>
      <c r="AS4" s="48"/>
      <c r="AT4" s="469"/>
      <c r="AU4" s="49"/>
      <c r="AV4" s="50" t="s">
        <v>6</v>
      </c>
      <c r="AW4" s="51"/>
      <c r="AX4" s="275"/>
      <c r="AY4" s="315"/>
    </row>
    <row r="5" customFormat="false" ht="12.95" hidden="false" customHeight="true" outlineLevel="0" collapsed="false">
      <c r="A5" s="308" t="s">
        <v>7</v>
      </c>
      <c r="B5" s="389" t="s">
        <v>8</v>
      </c>
      <c r="C5" s="390" t="s">
        <v>8</v>
      </c>
      <c r="D5" s="308" t="s">
        <v>9</v>
      </c>
      <c r="E5" s="390" t="s">
        <v>10</v>
      </c>
      <c r="F5" s="308" t="s">
        <v>11</v>
      </c>
      <c r="G5" s="391" t="s">
        <v>12</v>
      </c>
      <c r="H5" s="392" t="s">
        <v>13</v>
      </c>
      <c r="I5" s="393" t="s">
        <v>14</v>
      </c>
      <c r="J5" s="393" t="s">
        <v>15</v>
      </c>
      <c r="K5" s="393" t="s">
        <v>16</v>
      </c>
      <c r="L5" s="308" t="s">
        <v>15</v>
      </c>
      <c r="M5" s="394" t="s">
        <v>17</v>
      </c>
      <c r="N5" s="394"/>
      <c r="O5" s="394"/>
      <c r="P5" s="394"/>
      <c r="Q5" s="394"/>
      <c r="R5" s="394"/>
      <c r="S5" s="394"/>
      <c r="T5" s="394"/>
      <c r="U5" s="308" t="s">
        <v>18</v>
      </c>
      <c r="V5" s="308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390" t="s">
        <v>21</v>
      </c>
      <c r="AC5" s="397" t="s">
        <v>20</v>
      </c>
      <c r="AD5" s="308" t="s">
        <v>22</v>
      </c>
      <c r="AE5" s="395" t="s">
        <v>122</v>
      </c>
      <c r="AF5" s="396"/>
      <c r="AG5" s="397" t="s">
        <v>24</v>
      </c>
      <c r="AH5" s="390" t="s">
        <v>123</v>
      </c>
      <c r="AI5" s="390" t="s">
        <v>26</v>
      </c>
      <c r="AJ5" s="308" t="s">
        <v>14</v>
      </c>
      <c r="AK5" s="308" t="s">
        <v>15</v>
      </c>
      <c r="AL5" s="308" t="s">
        <v>16</v>
      </c>
      <c r="AM5" s="439" t="s">
        <v>27</v>
      </c>
      <c r="AN5" s="59" t="s">
        <v>20</v>
      </c>
      <c r="AO5" s="65" t="s">
        <v>28</v>
      </c>
      <c r="AP5" s="65" t="s">
        <v>28</v>
      </c>
      <c r="AQ5" s="60" t="s">
        <v>29</v>
      </c>
      <c r="AR5" s="66" t="s">
        <v>30</v>
      </c>
      <c r="AS5" s="398" t="s">
        <v>31</v>
      </c>
      <c r="AT5" s="195" t="s">
        <v>32</v>
      </c>
      <c r="AU5" s="399" t="s">
        <v>33</v>
      </c>
      <c r="AV5" s="397" t="s">
        <v>34</v>
      </c>
      <c r="AW5" s="397" t="s">
        <v>35</v>
      </c>
      <c r="AX5" s="280"/>
      <c r="AY5" s="277" t="s">
        <v>16</v>
      </c>
    </row>
    <row r="6" customFormat="false" ht="12.95" hidden="false" customHeight="true" outlineLevel="0" collapsed="false">
      <c r="A6" s="400" t="s">
        <v>129</v>
      </c>
      <c r="B6" s="389" t="s">
        <v>37</v>
      </c>
      <c r="C6" s="390"/>
      <c r="D6" s="308" t="s">
        <v>38</v>
      </c>
      <c r="E6" s="390" t="s">
        <v>39</v>
      </c>
      <c r="F6" s="308" t="s">
        <v>40</v>
      </c>
      <c r="G6" s="391" t="s">
        <v>41</v>
      </c>
      <c r="H6" s="392" t="s">
        <v>42</v>
      </c>
      <c r="I6" s="393" t="s">
        <v>43</v>
      </c>
      <c r="J6" s="393" t="s">
        <v>43</v>
      </c>
      <c r="K6" s="393" t="s">
        <v>43</v>
      </c>
      <c r="L6" s="308" t="s">
        <v>44</v>
      </c>
      <c r="M6" s="401" t="s">
        <v>45</v>
      </c>
      <c r="N6" s="67" t="s">
        <v>46</v>
      </c>
      <c r="O6" s="308" t="s">
        <v>47</v>
      </c>
      <c r="P6" s="67" t="s">
        <v>48</v>
      </c>
      <c r="Q6" s="308" t="s">
        <v>49</v>
      </c>
      <c r="R6" s="308" t="s">
        <v>50</v>
      </c>
      <c r="S6" s="308" t="s">
        <v>51</v>
      </c>
      <c r="T6" s="403" t="s">
        <v>52</v>
      </c>
      <c r="U6" s="308" t="s">
        <v>53</v>
      </c>
      <c r="V6" s="308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390" t="s">
        <v>57</v>
      </c>
      <c r="AC6" s="397" t="s">
        <v>58</v>
      </c>
      <c r="AD6" s="308" t="s">
        <v>59</v>
      </c>
      <c r="AE6" s="401"/>
      <c r="AF6" s="404"/>
      <c r="AG6" s="397" t="s">
        <v>62</v>
      </c>
      <c r="AH6" s="390" t="s">
        <v>63</v>
      </c>
      <c r="AI6" s="390"/>
      <c r="AJ6" s="308" t="s">
        <v>64</v>
      </c>
      <c r="AK6" s="308" t="s">
        <v>64</v>
      </c>
      <c r="AL6" s="308" t="s">
        <v>64</v>
      </c>
      <c r="AM6" s="439" t="s">
        <v>65</v>
      </c>
      <c r="AN6" s="59" t="s">
        <v>66</v>
      </c>
      <c r="AO6" s="65" t="s">
        <v>67</v>
      </c>
      <c r="AP6" s="65" t="s">
        <v>67</v>
      </c>
      <c r="AQ6" s="60" t="s">
        <v>68</v>
      </c>
      <c r="AR6" s="66" t="s">
        <v>69</v>
      </c>
      <c r="AS6" s="398" t="s">
        <v>70</v>
      </c>
      <c r="AT6" s="195" t="s">
        <v>71</v>
      </c>
      <c r="AU6" s="405"/>
      <c r="AV6" s="397" t="s">
        <v>72</v>
      </c>
      <c r="AW6" s="397" t="s">
        <v>72</v>
      </c>
      <c r="AX6" s="280"/>
      <c r="AY6" s="277" t="s">
        <v>73</v>
      </c>
    </row>
    <row r="7" customFormat="false" ht="12.95" hidden="false" customHeight="true" outlineLevel="0" collapsed="false">
      <c r="A7" s="308"/>
      <c r="B7" s="389"/>
      <c r="C7" s="390"/>
      <c r="D7" s="308"/>
      <c r="E7" s="390"/>
      <c r="F7" s="308"/>
      <c r="G7" s="389"/>
      <c r="H7" s="398"/>
      <c r="I7" s="308"/>
      <c r="J7" s="308"/>
      <c r="K7" s="308"/>
      <c r="L7" s="308"/>
      <c r="M7" s="401"/>
      <c r="N7" s="67" t="s">
        <v>74</v>
      </c>
      <c r="O7" s="308" t="s">
        <v>75</v>
      </c>
      <c r="P7" s="67"/>
      <c r="Q7" s="308"/>
      <c r="R7" s="308"/>
      <c r="S7" s="308" t="s">
        <v>47</v>
      </c>
      <c r="T7" s="403" t="s">
        <v>26</v>
      </c>
      <c r="U7" s="308"/>
      <c r="V7" s="308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390"/>
      <c r="AC7" s="397"/>
      <c r="AD7" s="308"/>
      <c r="AE7" s="406"/>
      <c r="AF7" s="407"/>
      <c r="AG7" s="397"/>
      <c r="AH7" s="390"/>
      <c r="AI7" s="390"/>
      <c r="AJ7" s="308"/>
      <c r="AK7" s="308"/>
      <c r="AL7" s="308"/>
      <c r="AM7" s="439"/>
      <c r="AN7" s="59" t="s">
        <v>40</v>
      </c>
      <c r="AO7" s="65" t="s">
        <v>81</v>
      </c>
      <c r="AP7" s="65" t="s">
        <v>82</v>
      </c>
      <c r="AQ7" s="60" t="s">
        <v>83</v>
      </c>
      <c r="AR7" s="66" t="s">
        <v>84</v>
      </c>
      <c r="AS7" s="398" t="s">
        <v>85</v>
      </c>
      <c r="AT7" s="195" t="s">
        <v>86</v>
      </c>
      <c r="AU7" s="405"/>
      <c r="AV7" s="397"/>
      <c r="AW7" s="397"/>
      <c r="AX7" s="280"/>
      <c r="AY7" s="277" t="s">
        <v>87</v>
      </c>
    </row>
    <row r="8" customFormat="false" ht="12.95" hidden="false" customHeight="true" outlineLevel="0" collapsed="false">
      <c r="A8" s="308"/>
      <c r="B8" s="389"/>
      <c r="C8" s="390"/>
      <c r="D8" s="308"/>
      <c r="E8" s="390"/>
      <c r="F8" s="308"/>
      <c r="G8" s="389"/>
      <c r="H8" s="398"/>
      <c r="I8" s="308"/>
      <c r="J8" s="308"/>
      <c r="K8" s="308"/>
      <c r="L8" s="308"/>
      <c r="M8" s="401"/>
      <c r="N8" s="67"/>
      <c r="O8" s="308"/>
      <c r="P8" s="67"/>
      <c r="Q8" s="308"/>
      <c r="R8" s="308"/>
      <c r="S8" s="308"/>
      <c r="T8" s="403"/>
      <c r="U8" s="308"/>
      <c r="V8" s="308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390"/>
      <c r="AC8" s="397"/>
      <c r="AD8" s="308"/>
      <c r="AE8" s="406"/>
      <c r="AF8" s="407"/>
      <c r="AG8" s="397"/>
      <c r="AH8" s="390"/>
      <c r="AI8" s="390"/>
      <c r="AJ8" s="308"/>
      <c r="AK8" s="308"/>
      <c r="AL8" s="308"/>
      <c r="AM8" s="439"/>
      <c r="AN8" s="59"/>
      <c r="AO8" s="65"/>
      <c r="AP8" s="65"/>
      <c r="AQ8" s="60"/>
      <c r="AR8" s="66"/>
      <c r="AS8" s="398"/>
      <c r="AT8" s="195"/>
      <c r="AU8" s="405"/>
      <c r="AV8" s="397"/>
      <c r="AW8" s="397"/>
      <c r="AX8" s="280"/>
      <c r="AY8" s="277"/>
    </row>
    <row r="9" customFormat="false" ht="12.95" hidden="false" customHeight="true" outlineLevel="0" collapsed="false">
      <c r="A9" s="308"/>
      <c r="B9" s="389"/>
      <c r="C9" s="390"/>
      <c r="D9" s="308"/>
      <c r="E9" s="390"/>
      <c r="F9" s="308"/>
      <c r="G9" s="389"/>
      <c r="H9" s="398"/>
      <c r="I9" s="308"/>
      <c r="J9" s="308"/>
      <c r="K9" s="308"/>
      <c r="L9" s="308"/>
      <c r="M9" s="401"/>
      <c r="N9" s="67"/>
      <c r="O9" s="308"/>
      <c r="P9" s="67"/>
      <c r="Q9" s="308"/>
      <c r="R9" s="308"/>
      <c r="S9" s="308"/>
      <c r="T9" s="403"/>
      <c r="U9" s="308"/>
      <c r="V9" s="308"/>
      <c r="W9" s="63"/>
      <c r="X9" s="55" t="s">
        <v>88</v>
      </c>
      <c r="Y9" s="59"/>
      <c r="Z9" s="55" t="s">
        <v>88</v>
      </c>
      <c r="AA9" s="59" t="s">
        <v>91</v>
      </c>
      <c r="AB9" s="390"/>
      <c r="AC9" s="397"/>
      <c r="AD9" s="308"/>
      <c r="AE9" s="406"/>
      <c r="AF9" s="407"/>
      <c r="AG9" s="397"/>
      <c r="AH9" s="390"/>
      <c r="AI9" s="390"/>
      <c r="AJ9" s="308"/>
      <c r="AK9" s="308"/>
      <c r="AL9" s="308"/>
      <c r="AM9" s="439"/>
      <c r="AN9" s="59"/>
      <c r="AO9" s="65"/>
      <c r="AP9" s="65"/>
      <c r="AQ9" s="60"/>
      <c r="AR9" s="66"/>
      <c r="AS9" s="398"/>
      <c r="AT9" s="195"/>
      <c r="AU9" s="405"/>
      <c r="AV9" s="397"/>
      <c r="AW9" s="397"/>
      <c r="AX9" s="280"/>
      <c r="AY9" s="277"/>
    </row>
    <row r="10" customFormat="false" ht="12.95" hidden="false" customHeight="true" outlineLevel="0" collapsed="false">
      <c r="A10" s="308"/>
      <c r="B10" s="389"/>
      <c r="C10" s="390" t="s">
        <v>9</v>
      </c>
      <c r="D10" s="308"/>
      <c r="E10" s="390" t="s">
        <v>93</v>
      </c>
      <c r="F10" s="308"/>
      <c r="G10" s="389" t="s">
        <v>40</v>
      </c>
      <c r="H10" s="398" t="s">
        <v>40</v>
      </c>
      <c r="I10" s="398" t="s">
        <v>40</v>
      </c>
      <c r="J10" s="398" t="s">
        <v>40</v>
      </c>
      <c r="K10" s="398" t="s">
        <v>40</v>
      </c>
      <c r="L10" s="398" t="s">
        <v>40</v>
      </c>
      <c r="M10" s="409" t="s">
        <v>40</v>
      </c>
      <c r="N10" s="398" t="s">
        <v>40</v>
      </c>
      <c r="O10" s="398" t="s">
        <v>40</v>
      </c>
      <c r="P10" s="398" t="s">
        <v>40</v>
      </c>
      <c r="Q10" s="398" t="s">
        <v>40</v>
      </c>
      <c r="R10" s="398" t="s">
        <v>40</v>
      </c>
      <c r="S10" s="308" t="s">
        <v>61</v>
      </c>
      <c r="T10" s="408" t="s">
        <v>40</v>
      </c>
      <c r="U10" s="398" t="s">
        <v>40</v>
      </c>
      <c r="V10" s="398" t="s">
        <v>40</v>
      </c>
      <c r="W10" s="55" t="n">
        <v>153400</v>
      </c>
      <c r="X10" s="55" t="n">
        <v>150400</v>
      </c>
      <c r="Y10" s="56" t="s">
        <v>40</v>
      </c>
      <c r="Z10" s="55"/>
      <c r="AA10" s="55" t="n">
        <v>72000</v>
      </c>
      <c r="AB10" s="398" t="s">
        <v>40</v>
      </c>
      <c r="AC10" s="397" t="s">
        <v>40</v>
      </c>
      <c r="AD10" s="398" t="s">
        <v>40</v>
      </c>
      <c r="AE10" s="409" t="s">
        <v>40</v>
      </c>
      <c r="AF10" s="408" t="s">
        <v>40</v>
      </c>
      <c r="AG10" s="398" t="s">
        <v>40</v>
      </c>
      <c r="AH10" s="398" t="s">
        <v>40</v>
      </c>
      <c r="AI10" s="398" t="s">
        <v>40</v>
      </c>
      <c r="AJ10" s="398" t="s">
        <v>40</v>
      </c>
      <c r="AK10" s="398" t="s">
        <v>40</v>
      </c>
      <c r="AL10" s="398" t="s">
        <v>40</v>
      </c>
      <c r="AM10" s="439" t="s">
        <v>93</v>
      </c>
      <c r="AN10" s="59" t="s">
        <v>40</v>
      </c>
      <c r="AO10" s="59" t="s">
        <v>40</v>
      </c>
      <c r="AP10" s="65" t="s">
        <v>94</v>
      </c>
      <c r="AQ10" s="60" t="s">
        <v>40</v>
      </c>
      <c r="AR10" s="59" t="s">
        <v>40</v>
      </c>
      <c r="AS10" s="59" t="s">
        <v>40</v>
      </c>
      <c r="AT10" s="59" t="s">
        <v>40</v>
      </c>
      <c r="AU10" s="405"/>
      <c r="AV10" s="397"/>
      <c r="AW10" s="397"/>
      <c r="AX10" s="280"/>
      <c r="AY10" s="277" t="s">
        <v>95</v>
      </c>
    </row>
    <row r="11" customFormat="false" ht="12.95" hidden="false" customHeight="true" outlineLevel="0" collapsed="false">
      <c r="A11" s="308"/>
      <c r="B11" s="389"/>
      <c r="C11" s="390"/>
      <c r="D11" s="308"/>
      <c r="E11" s="390"/>
      <c r="F11" s="308"/>
      <c r="G11" s="389"/>
      <c r="H11" s="398"/>
      <c r="I11" s="308"/>
      <c r="J11" s="308"/>
      <c r="K11" s="308"/>
      <c r="L11" s="308"/>
      <c r="M11" s="401"/>
      <c r="N11" s="67" t="n">
        <v>1.03</v>
      </c>
      <c r="O11" s="402" t="n">
        <v>1.05</v>
      </c>
      <c r="P11" s="67" t="n">
        <v>1.02</v>
      </c>
      <c r="Q11" s="402" t="n">
        <v>1.02</v>
      </c>
      <c r="R11" s="402" t="n">
        <v>1.04</v>
      </c>
      <c r="S11" s="398" t="s">
        <v>40</v>
      </c>
      <c r="T11" s="403"/>
      <c r="U11" s="308"/>
      <c r="V11" s="308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390"/>
      <c r="AC11" s="397"/>
      <c r="AD11" s="308"/>
      <c r="AE11" s="406"/>
      <c r="AF11" s="407"/>
      <c r="AG11" s="397"/>
      <c r="AH11" s="390"/>
      <c r="AI11" s="390"/>
      <c r="AJ11" s="308"/>
      <c r="AK11" s="308"/>
      <c r="AL11" s="308"/>
      <c r="AM11" s="439"/>
      <c r="AN11" s="59"/>
      <c r="AO11" s="65"/>
      <c r="AP11" s="65"/>
      <c r="AQ11" s="60"/>
      <c r="AR11" s="83"/>
      <c r="AS11" s="311"/>
      <c r="AT11" s="170"/>
      <c r="AU11" s="405"/>
      <c r="AV11" s="397"/>
      <c r="AW11" s="397"/>
      <c r="AX11" s="280"/>
      <c r="AY11" s="277" t="s">
        <v>40</v>
      </c>
    </row>
    <row r="12" s="215" customFormat="true" ht="12.95" hidden="false" customHeight="true" outlineLevel="0" collapsed="false">
      <c r="A12" s="178" t="s">
        <v>97</v>
      </c>
      <c r="B12" s="198"/>
      <c r="C12" s="102"/>
      <c r="D12" s="102"/>
      <c r="E12" s="102"/>
      <c r="F12" s="102" t="n">
        <f aca="false">JUN!F49</f>
        <v>58564.6584320645</v>
      </c>
      <c r="G12" s="102" t="n">
        <f aca="false">JUN!G49</f>
        <v>99974</v>
      </c>
      <c r="H12" s="102" t="n">
        <f aca="false">JUN!H49</f>
        <v>5284.25</v>
      </c>
      <c r="I12" s="102" t="n">
        <f aca="false">JUN!I49</f>
        <v>105258.25</v>
      </c>
      <c r="J12" s="102" t="n">
        <f aca="false">JUN!J49</f>
        <v>13814.2481925889</v>
      </c>
      <c r="K12" s="102" t="n">
        <f aca="false">JUN!K49</f>
        <v>119072.498192589</v>
      </c>
      <c r="L12" s="102" t="n">
        <f aca="false">JUN!L49</f>
        <v>12666.3084320645</v>
      </c>
      <c r="M12" s="102" t="n">
        <f aca="false">JUN!M49</f>
        <v>20105.9</v>
      </c>
      <c r="N12" s="102" t="n">
        <f aca="false">JUN!N49</f>
        <v>169.63173</v>
      </c>
      <c r="O12" s="102" t="n">
        <f aca="false">JUN!O49</f>
        <v>6664.4865</v>
      </c>
      <c r="P12" s="283" t="n">
        <f aca="false">JUN!P49</f>
        <v>7.31</v>
      </c>
      <c r="Q12" s="102"/>
      <c r="R12" s="102"/>
      <c r="S12" s="102"/>
      <c r="T12" s="202"/>
      <c r="U12" s="102" t="n">
        <f aca="false">JUN!U49</f>
        <v>8185</v>
      </c>
      <c r="V12" s="102" t="n">
        <f aca="false">JUN!V49</f>
        <v>3981.1</v>
      </c>
      <c r="W12" s="102" t="n">
        <f aca="false">JUN!W49</f>
        <v>26024.35473</v>
      </c>
      <c r="X12" s="102" t="n">
        <f aca="false">JUN!X49</f>
        <v>26024.35473</v>
      </c>
      <c r="Y12" s="102" t="n">
        <f aca="false">JUN!Y44</f>
        <v>11406.056314</v>
      </c>
      <c r="Z12" s="102"/>
      <c r="AA12" s="102"/>
      <c r="AB12" s="102" t="n">
        <f aca="false">JUN!AB44</f>
        <v>1439.80609531038</v>
      </c>
      <c r="AC12" s="200" t="n">
        <f aca="false">AC11/1.9835</f>
        <v>0</v>
      </c>
      <c r="AD12" s="102" t="n">
        <f aca="false">JUN!AD49</f>
        <v>9078.9</v>
      </c>
      <c r="AE12" s="102" t="n">
        <f aca="false">JUN!AE49</f>
        <v>154.7</v>
      </c>
      <c r="AF12" s="102" t="n">
        <f aca="false">JUN!AF49</f>
        <v>118.3</v>
      </c>
      <c r="AG12" s="102"/>
      <c r="AH12" s="102"/>
      <c r="AI12" s="102" t="n">
        <f aca="false">JUN!AI49</f>
        <v>14493</v>
      </c>
      <c r="AJ12" s="102" t="n">
        <f aca="false">JUN!AJ49</f>
        <v>59359.9</v>
      </c>
      <c r="AK12" s="102" t="n">
        <f aca="false">JUN!AK49</f>
        <v>1147.93976052432</v>
      </c>
      <c r="AL12" s="102" t="n">
        <f aca="false">JUN!AL49</f>
        <v>60507.8397605243</v>
      </c>
      <c r="AM12" s="205"/>
      <c r="AN12" s="200"/>
      <c r="AO12" s="130"/>
      <c r="AP12" s="102" t="n">
        <f aca="false">JUN!AP50</f>
        <v>703.108279695885</v>
      </c>
      <c r="AQ12" s="102" t="n">
        <f aca="false">JUN!AQ49</f>
        <v>1269.172</v>
      </c>
      <c r="AR12" s="102" t="n">
        <f aca="false">JUN!AR49</f>
        <v>74.2</v>
      </c>
      <c r="AS12" s="102" t="n">
        <f aca="false">JUN!AS49</f>
        <v>0</v>
      </c>
      <c r="AT12" s="102" t="n">
        <f aca="false">JUN!AT49</f>
        <v>0</v>
      </c>
      <c r="AU12" s="149"/>
      <c r="AV12" s="200"/>
      <c r="AW12" s="200"/>
      <c r="AX12" s="280"/>
      <c r="AY12" s="318"/>
    </row>
    <row r="13" customFormat="false" ht="12.95" hidden="false" customHeight="true" outlineLevel="0" collapsed="false">
      <c r="A13" s="210" t="s">
        <v>98</v>
      </c>
      <c r="B13" s="283" t="n">
        <f aca="false">JUN!B44</f>
        <v>6920.95</v>
      </c>
      <c r="C13" s="102" t="n">
        <f aca="false">JUN!C44</f>
        <v>367698</v>
      </c>
      <c r="D13" s="102" t="n">
        <f aca="false">JUN!D53</f>
        <v>108355</v>
      </c>
      <c r="E13" s="102" t="n">
        <f aca="false">JUN!E53</f>
        <v>215698</v>
      </c>
      <c r="F13" s="102" t="n">
        <f aca="false">JUN!F52</f>
        <v>54628.1825056718</v>
      </c>
      <c r="G13" s="102" t="n">
        <f aca="false">JUN!G52</f>
        <v>106677</v>
      </c>
      <c r="H13" s="102" t="n">
        <f aca="false">JUN!H52</f>
        <v>5512.84</v>
      </c>
      <c r="I13" s="102" t="n">
        <f aca="false">JUN!I52</f>
        <v>112189.84</v>
      </c>
      <c r="J13" s="102" t="n">
        <f aca="false">JUN!J52</f>
        <v>15556.6137963196</v>
      </c>
      <c r="K13" s="102" t="n">
        <f aca="false">JUN!K52</f>
        <v>127746.45379632</v>
      </c>
      <c r="L13" s="102" t="n">
        <f aca="false">JUN!L52</f>
        <v>13499.7425056718</v>
      </c>
      <c r="M13" s="102" t="n">
        <f aca="false">JUN!M52</f>
        <v>20801.3</v>
      </c>
      <c r="N13" s="102" t="n">
        <f aca="false">JUN!N52</f>
        <v>169.63173</v>
      </c>
      <c r="O13" s="102" t="n">
        <f aca="false">JUN!O52</f>
        <v>6664.4865</v>
      </c>
      <c r="P13" s="102" t="n">
        <f aca="false">JUN!P52</f>
        <v>0</v>
      </c>
      <c r="Q13" s="102" t="n">
        <f aca="false">JUN!Q52</f>
        <v>456.82026</v>
      </c>
      <c r="R13" s="102" t="n">
        <f aca="false">JUN!R52</f>
        <v>699.09</v>
      </c>
      <c r="S13" s="102" t="n">
        <f aca="false">JUN!S52</f>
        <v>147.95</v>
      </c>
      <c r="T13" s="283" t="n">
        <f aca="false">JUN!T52</f>
        <v>-22.57716</v>
      </c>
      <c r="U13" s="102" t="n">
        <f aca="false">JUN!U52</f>
        <v>14576.6</v>
      </c>
      <c r="V13" s="102" t="n">
        <f aca="false">JUN!V52</f>
        <v>4021.6</v>
      </c>
      <c r="W13" s="102" t="n">
        <f aca="false">JUN!W52</f>
        <v>32545.18951</v>
      </c>
      <c r="X13" s="102" t="n">
        <f aca="false">JUN!X52</f>
        <v>32504.68951</v>
      </c>
      <c r="Y13" s="102"/>
      <c r="Z13" s="102"/>
      <c r="AA13" s="102"/>
      <c r="AB13" s="102"/>
      <c r="AC13" s="200"/>
      <c r="AD13" s="102" t="n">
        <f aca="false">JUN!AD50</f>
        <v>18007.99815</v>
      </c>
      <c r="AE13" s="201"/>
      <c r="AF13" s="203"/>
      <c r="AG13" s="102" t="n">
        <f aca="false">JUN!AG52</f>
        <v>22583</v>
      </c>
      <c r="AH13" s="102" t="n">
        <f aca="false">JUN!AH52</f>
        <v>12515.2578774893</v>
      </c>
      <c r="AI13" s="102" t="n">
        <f aca="false">JUN!AI52</f>
        <v>14493</v>
      </c>
      <c r="AJ13" s="102" t="n">
        <f aca="false">JUN!AJ52</f>
        <v>71061.4</v>
      </c>
      <c r="AK13" s="102" t="n">
        <f aca="false">JUN!AK52</f>
        <v>2056.87129064784</v>
      </c>
      <c r="AL13" s="102" t="n">
        <f aca="false">JUN!AL52</f>
        <v>73118.2712906479</v>
      </c>
      <c r="AM13" s="102" t="n">
        <f aca="false">JUN!AM53</f>
        <v>14971.25965</v>
      </c>
      <c r="AN13" s="102" t="n">
        <f aca="false">JUN!AN52</f>
        <v>40.5</v>
      </c>
      <c r="AO13" s="130"/>
      <c r="AP13" s="102" t="n">
        <f aca="false">JUN!AP53</f>
        <v>703.108279695885</v>
      </c>
      <c r="AQ13" s="102" t="n">
        <f aca="false">JUN!AQ52</f>
        <v>1269.172</v>
      </c>
      <c r="AR13" s="102" t="n">
        <f aca="false">JUN!AR52</f>
        <v>74.2</v>
      </c>
      <c r="AS13" s="149"/>
      <c r="AT13" s="470"/>
      <c r="AU13" s="283" t="n">
        <f aca="false">JUN!AU52</f>
        <v>6.66</v>
      </c>
      <c r="AV13" s="200"/>
      <c r="AW13" s="200"/>
      <c r="AX13" s="284"/>
      <c r="AY13" s="102" t="n">
        <f aca="false">JUN!AY52</f>
        <v>1460.880787</v>
      </c>
    </row>
    <row r="14" customFormat="false" ht="3" hidden="false" customHeight="true" outlineLevel="0" collapsed="false">
      <c r="A14" s="216"/>
      <c r="B14" s="217"/>
      <c r="C14" s="218"/>
      <c r="D14" s="219"/>
      <c r="E14" s="218"/>
      <c r="F14" s="220"/>
      <c r="G14" s="219"/>
      <c r="H14" s="225"/>
      <c r="I14" s="219"/>
      <c r="J14" s="219"/>
      <c r="K14" s="219"/>
      <c r="L14" s="219"/>
      <c r="M14" s="222"/>
      <c r="N14" s="219"/>
      <c r="O14" s="219"/>
      <c r="P14" s="223"/>
      <c r="Q14" s="219"/>
      <c r="R14" s="219"/>
      <c r="S14" s="219"/>
      <c r="T14" s="224"/>
      <c r="U14" s="219"/>
      <c r="V14" s="219"/>
      <c r="W14" s="219"/>
      <c r="X14" s="219"/>
      <c r="Y14" s="218"/>
      <c r="Z14" s="219"/>
      <c r="AA14" s="218"/>
      <c r="AB14" s="218"/>
      <c r="AC14" s="228"/>
      <c r="AD14" s="219"/>
      <c r="AE14" s="222"/>
      <c r="AF14" s="226"/>
      <c r="AG14" s="219"/>
      <c r="AH14" s="218"/>
      <c r="AI14" s="218"/>
      <c r="AJ14" s="219"/>
      <c r="AK14" s="219"/>
      <c r="AL14" s="219"/>
      <c r="AM14" s="227"/>
      <c r="AN14" s="228"/>
      <c r="AO14" s="225"/>
      <c r="AP14" s="223"/>
      <c r="AQ14" s="223"/>
      <c r="AR14" s="223"/>
      <c r="AS14" s="223"/>
      <c r="AT14" s="225"/>
      <c r="AU14" s="471"/>
      <c r="AV14" s="228"/>
      <c r="AW14" s="228"/>
      <c r="AX14" s="242"/>
      <c r="AY14" s="303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2.95" hidden="false" customHeight="true" outlineLevel="0" collapsed="false">
      <c r="A15" s="173" t="n">
        <v>1</v>
      </c>
      <c r="B15" s="101" t="n">
        <v>6920.64</v>
      </c>
      <c r="C15" s="102" t="n">
        <v>366352</v>
      </c>
      <c r="D15" s="200" t="n">
        <f aca="false">C15-C13</f>
        <v>-1346</v>
      </c>
      <c r="E15" s="102" t="n">
        <f aca="false">C15-152000</f>
        <v>214352</v>
      </c>
      <c r="F15" s="231" t="n">
        <f aca="false">D15/$D$2</f>
        <v>-678.598437106126</v>
      </c>
      <c r="G15" s="1" t="n">
        <v>205</v>
      </c>
      <c r="H15" s="4" t="n">
        <v>0.48</v>
      </c>
      <c r="I15" s="129" t="n">
        <f aca="false">G15+H15</f>
        <v>205.48</v>
      </c>
      <c r="J15" s="130" t="n">
        <f aca="false">IF(L15&gt;0,L15,0)</f>
        <v>0</v>
      </c>
      <c r="K15" s="129" t="n">
        <f aca="false">I15+J15</f>
        <v>205.48</v>
      </c>
      <c r="L15" s="129" t="n">
        <f aca="false">F15-(I15-AJ15)</f>
        <v>-11.0784371061254</v>
      </c>
      <c r="M15" s="233" t="n">
        <v>348</v>
      </c>
      <c r="N15" s="149" t="n">
        <f aca="false">1.8299*1.03</f>
        <v>1.884797</v>
      </c>
      <c r="O15" s="129" t="n">
        <f aca="false">(47+47)*1.05</f>
        <v>98.7</v>
      </c>
      <c r="P15" s="149" t="n">
        <v>0</v>
      </c>
      <c r="Q15" s="149" t="n">
        <f aca="false">2.32*1.02</f>
        <v>2.3664</v>
      </c>
      <c r="R15" s="149" t="n">
        <v>4.2</v>
      </c>
      <c r="S15" s="291" t="n">
        <v>396</v>
      </c>
      <c r="T15" s="334" t="n">
        <v>0</v>
      </c>
      <c r="U15" s="0" t="n">
        <v>173</v>
      </c>
      <c r="V15" s="129" t="n">
        <v>75</v>
      </c>
      <c r="W15" s="129" t="n">
        <f aca="false">M15-N15-O15-P15-Q15-R15-S15-T15+U15+V15-AS15+AQ15</f>
        <v>129.561803</v>
      </c>
      <c r="X15" s="129" t="n">
        <f aca="false">W15-AN15</f>
        <v>129.561803</v>
      </c>
      <c r="Y15" s="102" t="n">
        <f aca="false">Y12+AO15</f>
        <v>11473.708111</v>
      </c>
      <c r="Z15" s="129" t="n">
        <f aca="false">(-AO15)</f>
        <v>-67.651797</v>
      </c>
      <c r="AA15" s="102"/>
      <c r="AB15" s="102" t="n">
        <f aca="false">AB12-(JUN!AP44/1.9835)+AR15</f>
        <v>1465.1945847994</v>
      </c>
      <c r="AC15" s="200"/>
      <c r="AD15" s="129" t="n">
        <v>202</v>
      </c>
      <c r="AE15" s="233" t="n">
        <v>1.7</v>
      </c>
      <c r="AF15" s="234" t="n">
        <v>1.3</v>
      </c>
      <c r="AG15" s="472" t="n">
        <v>75</v>
      </c>
      <c r="AH15" s="416" t="n">
        <f aca="false">AH13-AG15</f>
        <v>12440.2578774893</v>
      </c>
      <c r="AI15" s="102"/>
      <c r="AJ15" s="128" t="n">
        <f aca="false">N15+O15+P15+Q15+R16+S15+T15+W15+AD15+AG15-AQ15</f>
        <v>873</v>
      </c>
      <c r="AK15" s="129" t="n">
        <f aca="false">IF(L15&lt;0,L15*-1,0)</f>
        <v>11.0784371061254</v>
      </c>
      <c r="AL15" s="129" t="n">
        <f aca="false">AJ15+AK15</f>
        <v>884.078437106126</v>
      </c>
      <c r="AM15" s="205" t="n">
        <f aca="false">AM13</f>
        <v>14971.25965</v>
      </c>
      <c r="AN15" s="200"/>
      <c r="AO15" s="92" t="n">
        <f aca="false">I15-Q15-R15-W15-AE15</f>
        <v>67.651797</v>
      </c>
      <c r="AP15" s="149" t="n">
        <f aca="false">60.3*(Y15*1.9835+A15*1.9835)/E15</f>
        <v>6.40270693696145</v>
      </c>
      <c r="AQ15" s="149" t="n">
        <v>36.713</v>
      </c>
      <c r="AR15" s="139" t="n">
        <v>29.2</v>
      </c>
      <c r="AS15" s="5"/>
      <c r="AT15" s="4"/>
      <c r="AU15" s="307" t="n">
        <v>0</v>
      </c>
      <c r="AV15" s="473" t="n">
        <v>87</v>
      </c>
      <c r="AW15" s="473" t="n">
        <v>60</v>
      </c>
      <c r="AX15" s="276"/>
      <c r="AY15" s="235" t="n">
        <f aca="false">SUM(N15,P15:T15)</f>
        <v>404.451197</v>
      </c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73" t="n">
        <f aca="false">A15+1</f>
        <v>2</v>
      </c>
      <c r="B16" s="101" t="n">
        <v>6920.33</v>
      </c>
      <c r="C16" s="102" t="n">
        <v>365006</v>
      </c>
      <c r="D16" s="200" t="n">
        <f aca="false">C16-C15</f>
        <v>-1346</v>
      </c>
      <c r="E16" s="102" t="n">
        <f aca="false">C16-152000</f>
        <v>213006</v>
      </c>
      <c r="F16" s="231" t="n">
        <f aca="false">D16/$D$2</f>
        <v>-678.598437106126</v>
      </c>
      <c r="G16" s="1" t="n">
        <v>210</v>
      </c>
      <c r="H16" s="4" t="n">
        <v>0.76</v>
      </c>
      <c r="I16" s="129" t="n">
        <f aca="false">G16+H16</f>
        <v>210.76</v>
      </c>
      <c r="J16" s="130" t="n">
        <f aca="false">IF(L16&gt;0,L16,0)</f>
        <v>0</v>
      </c>
      <c r="K16" s="129" t="n">
        <f aca="false">I16+J16</f>
        <v>210.76</v>
      </c>
      <c r="L16" s="129" t="n">
        <f aca="false">F16-(I16-AJ16)</f>
        <v>-23.3584371061254</v>
      </c>
      <c r="M16" s="233" t="n">
        <v>338</v>
      </c>
      <c r="N16" s="149" t="n">
        <f aca="false">1.8299*1.03</f>
        <v>1.884797</v>
      </c>
      <c r="O16" s="129" t="n">
        <f aca="false">(47+48)*1.05</f>
        <v>99.75</v>
      </c>
      <c r="P16" s="149" t="n">
        <v>0</v>
      </c>
      <c r="Q16" s="149" t="n">
        <f aca="false">2.936*1.02</f>
        <v>2.99472</v>
      </c>
      <c r="R16" s="149" t="n">
        <v>4.2</v>
      </c>
      <c r="S16" s="291" t="n">
        <v>2.43</v>
      </c>
      <c r="T16" s="334" t="n">
        <v>0</v>
      </c>
      <c r="U16" s="0" t="n">
        <v>173</v>
      </c>
      <c r="V16" s="129" t="n">
        <v>75</v>
      </c>
      <c r="W16" s="129" t="n">
        <f aca="false">M16-N16-O16-P16-Q16-R16-S16-T16+U16+V16-AS16+AQ16</f>
        <v>511.453483</v>
      </c>
      <c r="X16" s="129" t="n">
        <f aca="false">W16-AN16</f>
        <v>511.453483</v>
      </c>
      <c r="Y16" s="102" t="n">
        <f aca="false">Y15+AO16</f>
        <v>11164.119908</v>
      </c>
      <c r="Z16" s="129" t="n">
        <f aca="false">(-AO16)</f>
        <v>309.588203</v>
      </c>
      <c r="AA16" s="102"/>
      <c r="AB16" s="102" t="n">
        <f aca="false">AB15-(AP15/1.9835)+AR16</f>
        <v>1491.16660046012</v>
      </c>
      <c r="AC16" s="200"/>
      <c r="AD16" s="129" t="n">
        <v>205</v>
      </c>
      <c r="AE16" s="233" t="n">
        <v>1.7</v>
      </c>
      <c r="AF16" s="234" t="n">
        <v>1.3</v>
      </c>
      <c r="AG16" s="472" t="n">
        <v>75</v>
      </c>
      <c r="AH16" s="416" t="n">
        <f aca="false">AH15-AG16</f>
        <v>12365.2578774893</v>
      </c>
      <c r="AI16" s="102"/>
      <c r="AJ16" s="128" t="n">
        <f aca="false">N16+O16+P16+Q16+R17+S16+T16+W16+AD16+AG16-AQ16</f>
        <v>866</v>
      </c>
      <c r="AK16" s="129" t="n">
        <f aca="false">IF(L16&lt;0,L16*-1,0)</f>
        <v>23.3584371061254</v>
      </c>
      <c r="AL16" s="129" t="n">
        <f aca="false">AJ16+AK16</f>
        <v>889.358437106126</v>
      </c>
      <c r="AM16" s="205" t="n">
        <f aca="false">AM15</f>
        <v>14971.25965</v>
      </c>
      <c r="AN16" s="200"/>
      <c r="AO16" s="92" t="n">
        <f aca="false">I16-Q16-R16-W16-AE16</f>
        <v>-309.588203</v>
      </c>
      <c r="AP16" s="149" t="n">
        <f aca="false">60.3*(Y16*1.9835+A16*1.9835)/E16</f>
        <v>6.26989065989848</v>
      </c>
      <c r="AQ16" s="149" t="n">
        <v>36.713</v>
      </c>
      <c r="AR16" s="139" t="n">
        <v>29.2</v>
      </c>
      <c r="AS16" s="5"/>
      <c r="AT16" s="4"/>
      <c r="AU16" s="307" t="n">
        <v>0.07</v>
      </c>
      <c r="AV16" s="200" t="n">
        <v>87</v>
      </c>
      <c r="AW16" s="200" t="n">
        <v>59</v>
      </c>
      <c r="AX16" s="276"/>
      <c r="AY16" s="235" t="n">
        <f aca="false">SUM(N16,P16:T16)</f>
        <v>11.509517</v>
      </c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73" t="n">
        <f aca="false">A16+1</f>
        <v>3</v>
      </c>
      <c r="B17" s="101" t="n">
        <v>6920.07</v>
      </c>
      <c r="C17" s="102" t="n">
        <v>363877</v>
      </c>
      <c r="D17" s="200" t="n">
        <f aca="false">C17-C16</f>
        <v>-1129</v>
      </c>
      <c r="E17" s="102" t="n">
        <f aca="false">C17-152000</f>
        <v>211877</v>
      </c>
      <c r="F17" s="231" t="n">
        <f aca="false">D17/$D$2</f>
        <v>-569.195865893622</v>
      </c>
      <c r="G17" s="1" t="n">
        <v>252</v>
      </c>
      <c r="H17" s="4" t="n">
        <v>0.68</v>
      </c>
      <c r="I17" s="129" t="n">
        <f aca="false">G17+H17</f>
        <v>252.68</v>
      </c>
      <c r="J17" s="130" t="n">
        <f aca="false">IF(L17&gt;0,L17,0)</f>
        <v>20.1241341063778</v>
      </c>
      <c r="K17" s="129" t="n">
        <f aca="false">I17+J17</f>
        <v>272.804134106378</v>
      </c>
      <c r="L17" s="129" t="n">
        <f aca="false">F17-(I17-AJ17)</f>
        <v>20.1241341063778</v>
      </c>
      <c r="M17" s="233" t="n">
        <v>317</v>
      </c>
      <c r="N17" s="149" t="n">
        <f aca="false">1.8299*1.03</f>
        <v>1.884797</v>
      </c>
      <c r="O17" s="129" t="n">
        <f aca="false">(39+40)*1.05</f>
        <v>82.95</v>
      </c>
      <c r="P17" s="149" t="n">
        <v>0</v>
      </c>
      <c r="Q17" s="149" t="n">
        <f aca="false">2.936*1.02</f>
        <v>2.99472</v>
      </c>
      <c r="R17" s="149" t="n">
        <v>4.2</v>
      </c>
      <c r="S17" s="291" t="n">
        <v>1.81</v>
      </c>
      <c r="T17" s="334" t="n">
        <v>0</v>
      </c>
      <c r="U17" s="0" t="n">
        <v>172</v>
      </c>
      <c r="V17" s="129" t="n">
        <v>77</v>
      </c>
      <c r="W17" s="129" t="n">
        <f aca="false">M17-N17-O17-P17-Q17-R17-S17-T17+U17+V17-AS17+AQ17</f>
        <v>508.873483</v>
      </c>
      <c r="X17" s="129" t="n">
        <f aca="false">W17-AN17</f>
        <v>508.873483</v>
      </c>
      <c r="Y17" s="102" t="n">
        <f aca="false">Y16+AO17</f>
        <v>10899.031705</v>
      </c>
      <c r="Z17" s="129" t="n">
        <f aca="false">(-AO17)</f>
        <v>265.088203</v>
      </c>
      <c r="AA17" s="102"/>
      <c r="AB17" s="102" t="n">
        <f aca="false">AB16-(AP16/1.9835)+AR17</f>
        <v>1517.20557668402</v>
      </c>
      <c r="AC17" s="200"/>
      <c r="AD17" s="129" t="n">
        <v>201</v>
      </c>
      <c r="AE17" s="233" t="n">
        <v>1.7</v>
      </c>
      <c r="AF17" s="234" t="n">
        <v>1.3</v>
      </c>
      <c r="AG17" s="472" t="n">
        <v>75</v>
      </c>
      <c r="AH17" s="416" t="n">
        <f aca="false">AH16-AG17</f>
        <v>12290.2578774893</v>
      </c>
      <c r="AI17" s="102"/>
      <c r="AJ17" s="128" t="n">
        <f aca="false">N17+O17+P17+Q17+R18+S17+T17+W17+AD17+AG17-AQ17</f>
        <v>842</v>
      </c>
      <c r="AK17" s="129" t="n">
        <f aca="false">IF(L17&lt;0,L17*-1,0)</f>
        <v>0</v>
      </c>
      <c r="AL17" s="129" t="n">
        <f aca="false">AJ17+AK17</f>
        <v>842</v>
      </c>
      <c r="AM17" s="205" t="n">
        <f aca="false">AM16</f>
        <v>14971.25965</v>
      </c>
      <c r="AN17" s="200"/>
      <c r="AO17" s="92" t="n">
        <f aca="false">I17-Q17-R17-W17-AE17</f>
        <v>-265.088203</v>
      </c>
      <c r="AP17" s="149" t="n">
        <f aca="false">60.3*(Y17*1.9835+A17*1.9835+A17*1.9835)/E17</f>
        <v>6.15591528258428</v>
      </c>
      <c r="AQ17" s="149" t="n">
        <v>36.713</v>
      </c>
      <c r="AR17" s="139" t="n">
        <v>29.2</v>
      </c>
      <c r="AS17" s="5"/>
      <c r="AT17" s="4"/>
      <c r="AU17" s="307" t="n">
        <v>0</v>
      </c>
      <c r="AV17" s="200" t="n">
        <v>88</v>
      </c>
      <c r="AW17" s="200" t="n">
        <v>57</v>
      </c>
      <c r="AX17" s="276"/>
      <c r="AY17" s="235" t="n">
        <f aca="false">SUM(N17,P17:T17)</f>
        <v>10.889517</v>
      </c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73" t="n">
        <f aca="false">A17+1</f>
        <v>4</v>
      </c>
      <c r="B18" s="101" t="n">
        <v>6919.77</v>
      </c>
      <c r="C18" s="102" t="n">
        <v>362583</v>
      </c>
      <c r="D18" s="200" t="n">
        <f aca="false">C18-C17</f>
        <v>-1294</v>
      </c>
      <c r="E18" s="102" t="n">
        <f aca="false">C18-152000</f>
        <v>210583</v>
      </c>
      <c r="F18" s="231" t="n">
        <f aca="false">D18/$D$2</f>
        <v>-652.382152760272</v>
      </c>
      <c r="G18" s="1" t="n">
        <v>219</v>
      </c>
      <c r="H18" s="4" t="n">
        <v>0.61</v>
      </c>
      <c r="I18" s="129" t="n">
        <f aca="false">G18+H18</f>
        <v>219.61</v>
      </c>
      <c r="J18" s="130" t="n">
        <f aca="false">IF(L18&gt;0,L18,0)</f>
        <v>0</v>
      </c>
      <c r="K18" s="129" t="n">
        <f aca="false">I18+J18</f>
        <v>219.61</v>
      </c>
      <c r="L18" s="129" t="n">
        <f aca="false">F18-(I18-AJ18)</f>
        <v>-47.9921527602722</v>
      </c>
      <c r="M18" s="233" t="n">
        <v>314</v>
      </c>
      <c r="N18" s="149" t="n">
        <f aca="false">1.8299*1.03</f>
        <v>1.884797</v>
      </c>
      <c r="O18" s="129" t="n">
        <f aca="false">(39+41)*1.05</f>
        <v>84</v>
      </c>
      <c r="P18" s="149" t="n">
        <v>0</v>
      </c>
      <c r="Q18" s="149" t="n">
        <f aca="false">2.936*1.02</f>
        <v>2.99472</v>
      </c>
      <c r="R18" s="149" t="n">
        <v>4.2</v>
      </c>
      <c r="S18" s="291" t="n">
        <v>2</v>
      </c>
      <c r="T18" s="334" t="n">
        <v>0</v>
      </c>
      <c r="U18" s="0" t="n">
        <v>172</v>
      </c>
      <c r="V18" s="129" t="n">
        <v>77</v>
      </c>
      <c r="W18" s="129" t="n">
        <f aca="false">M18-N18-O18-P18-Q18-R18-S18-T18+U18+V18-AS18+AQ18</f>
        <v>504.633483</v>
      </c>
      <c r="X18" s="129" t="n">
        <f aca="false">W18-AN18</f>
        <v>504.633483</v>
      </c>
      <c r="Y18" s="102" t="n">
        <f aca="false">Y17+AO18</f>
        <v>10605.113502</v>
      </c>
      <c r="Z18" s="129" t="n">
        <f aca="false">(-AO18)</f>
        <v>293.918203</v>
      </c>
      <c r="AA18" s="102"/>
      <c r="AB18" s="102" t="n">
        <f aca="false">AB17-(AP17/1.9835)+AR18</f>
        <v>1543.302014656</v>
      </c>
      <c r="AC18" s="200"/>
      <c r="AD18" s="129" t="n">
        <v>186</v>
      </c>
      <c r="AE18" s="233" t="n">
        <v>1.7</v>
      </c>
      <c r="AF18" s="234" t="n">
        <v>1.3</v>
      </c>
      <c r="AG18" s="472" t="n">
        <v>75</v>
      </c>
      <c r="AH18" s="416" t="n">
        <f aca="false">AH17-AG18</f>
        <v>12215.2578774893</v>
      </c>
      <c r="AI18" s="102"/>
      <c r="AJ18" s="128" t="n">
        <f aca="false">N18+O18+P18+Q18+R19+S18+T18+W18+AD18+AG18-AQ18</f>
        <v>824</v>
      </c>
      <c r="AK18" s="129" t="n">
        <f aca="false">IF(L18&lt;0,L18*-1,0)</f>
        <v>47.9921527602722</v>
      </c>
      <c r="AL18" s="129" t="n">
        <f aca="false">AJ18+AK18</f>
        <v>871.992152760272</v>
      </c>
      <c r="AM18" s="205" t="n">
        <f aca="false">AM17</f>
        <v>14971.25965</v>
      </c>
      <c r="AN18" s="200"/>
      <c r="AO18" s="92" t="n">
        <f aca="false">I18-Q18-R18-W18-AE18</f>
        <v>-293.918203</v>
      </c>
      <c r="AP18" s="149" t="n">
        <f aca="false">60.3*(Y18*1.9835+A18*1.9835+A18*1.9835)/E18</f>
        <v>6.02794133934071</v>
      </c>
      <c r="AQ18" s="149" t="n">
        <v>36.713</v>
      </c>
      <c r="AR18" s="139" t="n">
        <v>29.2</v>
      </c>
      <c r="AS18" s="5"/>
      <c r="AT18" s="4"/>
      <c r="AU18" s="307" t="n">
        <v>0</v>
      </c>
      <c r="AV18" s="200" t="n">
        <v>85</v>
      </c>
      <c r="AW18" s="200" t="n">
        <v>49</v>
      </c>
      <c r="AX18" s="276"/>
      <c r="AY18" s="235" t="n">
        <f aca="false">SUM(N18,P18:T18)</f>
        <v>11.079517</v>
      </c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73" t="n">
        <f aca="false">A18+1</f>
        <v>5</v>
      </c>
      <c r="B19" s="101" t="n">
        <v>6919.45</v>
      </c>
      <c r="C19" s="102" t="n">
        <v>361205</v>
      </c>
      <c r="D19" s="200" t="n">
        <f aca="false">C19-C18</f>
        <v>-1378</v>
      </c>
      <c r="E19" s="102" t="n">
        <f aca="false">C19-152000</f>
        <v>209205</v>
      </c>
      <c r="F19" s="231" t="n">
        <f aca="false">D19/$D$2</f>
        <v>-694.731535165112</v>
      </c>
      <c r="G19" s="1" t="n">
        <v>192</v>
      </c>
      <c r="H19" s="4" t="n">
        <v>0.59</v>
      </c>
      <c r="I19" s="129" t="n">
        <f aca="false">G19+H19</f>
        <v>192.59</v>
      </c>
      <c r="J19" s="130" t="n">
        <f aca="false">IF(L19&gt;0,L19,0)</f>
        <v>0</v>
      </c>
      <c r="K19" s="129" t="n">
        <f aca="false">I19+J19</f>
        <v>192.59</v>
      </c>
      <c r="L19" s="129" t="n">
        <f aca="false">F19-(I19-AJ19)</f>
        <v>-23.3215351651122</v>
      </c>
      <c r="M19" s="233" t="n">
        <v>317</v>
      </c>
      <c r="N19" s="149" t="n">
        <f aca="false">1.8299*1.03</f>
        <v>1.884797</v>
      </c>
      <c r="O19" s="129" t="n">
        <f aca="false">(36+36)*1.05</f>
        <v>75.6</v>
      </c>
      <c r="P19" s="149" t="n">
        <v>0</v>
      </c>
      <c r="Q19" s="149" t="n">
        <f aca="false">2.936*1.02</f>
        <v>2.99472</v>
      </c>
      <c r="R19" s="149" t="n">
        <v>4.2</v>
      </c>
      <c r="S19" s="291" t="n">
        <v>2.14</v>
      </c>
      <c r="T19" s="334" t="n">
        <v>0</v>
      </c>
      <c r="U19" s="0" t="n">
        <v>171</v>
      </c>
      <c r="V19" s="129" t="n">
        <v>76</v>
      </c>
      <c r="W19" s="129" t="n">
        <f aca="false">M19-N19-O19-P19-Q19-R19-S19-T19+U19+V19-AS19+AQ19</f>
        <v>513.893483</v>
      </c>
      <c r="X19" s="129" t="n">
        <f aca="false">W19-AN19</f>
        <v>513.893483</v>
      </c>
      <c r="Y19" s="102" t="n">
        <f aca="false">Y18+AO19</f>
        <v>10274.915299</v>
      </c>
      <c r="Z19" s="129" t="n">
        <f aca="false">(-AO19)</f>
        <v>330.198203</v>
      </c>
      <c r="AA19" s="102"/>
      <c r="AB19" s="102" t="n">
        <f aca="false">AB18-(AP18/1.9835)+AR19</f>
        <v>1569.46297188345</v>
      </c>
      <c r="AC19" s="200"/>
      <c r="AD19" s="129" t="n">
        <v>225</v>
      </c>
      <c r="AE19" s="233" t="n">
        <v>1.7</v>
      </c>
      <c r="AF19" s="234" t="n">
        <v>1.3</v>
      </c>
      <c r="AG19" s="472" t="n">
        <v>75</v>
      </c>
      <c r="AH19" s="416" t="n">
        <f aca="false">AH18-AG19</f>
        <v>12140.2578774893</v>
      </c>
      <c r="AI19" s="102"/>
      <c r="AJ19" s="128" t="n">
        <f aca="false">N19+O19+P19+Q19+R20+S19+T19+W19+AD19+AG19-AQ19</f>
        <v>864</v>
      </c>
      <c r="AK19" s="129" t="n">
        <f aca="false">IF(L19&lt;0,L19*-1,0)</f>
        <v>23.3215351651122</v>
      </c>
      <c r="AL19" s="129" t="n">
        <f aca="false">AJ19+AK19</f>
        <v>887.321535165112</v>
      </c>
      <c r="AM19" s="205" t="n">
        <f aca="false">AM18</f>
        <v>14971.25965</v>
      </c>
      <c r="AN19" s="200"/>
      <c r="AO19" s="92" t="n">
        <f aca="false">I19-Q19-R19-W19-AE19</f>
        <v>-330.198203</v>
      </c>
      <c r="AP19" s="149" t="n">
        <f aca="false">60.3*(Y19*1.9835+A19*1.9835+A19*1.9835)/E19</f>
        <v>5.88001151302626</v>
      </c>
      <c r="AQ19" s="149" t="n">
        <v>36.713</v>
      </c>
      <c r="AR19" s="139" t="n">
        <v>29.2</v>
      </c>
      <c r="AS19" s="5"/>
      <c r="AT19" s="4"/>
      <c r="AU19" s="307" t="n">
        <v>0</v>
      </c>
      <c r="AV19" s="200" t="n">
        <v>84</v>
      </c>
      <c r="AW19" s="200" t="n">
        <v>45</v>
      </c>
      <c r="AX19" s="276"/>
      <c r="AY19" s="235" t="n">
        <f aca="false">SUM(N19,P19:T19)</f>
        <v>11.219517</v>
      </c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73" t="n">
        <f aca="false">A19+1</f>
        <v>6</v>
      </c>
      <c r="B20" s="101" t="n">
        <v>6919.09</v>
      </c>
      <c r="C20" s="102" t="n">
        <v>359654</v>
      </c>
      <c r="D20" s="200" t="n">
        <f aca="false">C20-C19</f>
        <v>-1551</v>
      </c>
      <c r="E20" s="102" t="n">
        <f aca="false">C20-152000</f>
        <v>207654</v>
      </c>
      <c r="F20" s="231" t="n">
        <f aca="false">D20/$D$2</f>
        <v>-781.951096546509</v>
      </c>
      <c r="G20" s="1" t="n">
        <v>176</v>
      </c>
      <c r="H20" s="4" t="n">
        <v>0.16</v>
      </c>
      <c r="I20" s="129" t="n">
        <f aca="false">G20+H20</f>
        <v>176.16</v>
      </c>
      <c r="J20" s="130" t="n">
        <f aca="false">IF(L20&gt;0,L20,0)</f>
        <v>0</v>
      </c>
      <c r="K20" s="129" t="n">
        <f aca="false">I20+J20</f>
        <v>176.16</v>
      </c>
      <c r="L20" s="129" t="n">
        <f aca="false">F20-(I20-AJ20)</f>
        <v>-37.1110965465086</v>
      </c>
      <c r="M20" s="233" t="n">
        <v>348</v>
      </c>
      <c r="N20" s="149" t="n">
        <f aca="false">1.8299*1.03</f>
        <v>1.884797</v>
      </c>
      <c r="O20" s="129" t="n">
        <f aca="false">(41+40)*1.05</f>
        <v>85.05</v>
      </c>
      <c r="P20" s="149" t="n">
        <v>0</v>
      </c>
      <c r="Q20" s="149" t="n">
        <f aca="false">2.936*1.02</f>
        <v>2.99472</v>
      </c>
      <c r="R20" s="149" t="n">
        <v>4.2</v>
      </c>
      <c r="S20" s="291" t="n">
        <v>4.01</v>
      </c>
      <c r="T20" s="334" t="n">
        <v>0</v>
      </c>
      <c r="U20" s="0" t="n">
        <v>172</v>
      </c>
      <c r="V20" s="129" t="n">
        <v>77</v>
      </c>
      <c r="W20" s="129" t="n">
        <f aca="false">M20-N20-O20-P20-Q20-R20-S20-T20+U20+V20-AS20+AQ20</f>
        <v>535.573483</v>
      </c>
      <c r="X20" s="129" t="n">
        <f aca="false">W20-AN20</f>
        <v>535.573483</v>
      </c>
      <c r="Y20" s="102" t="n">
        <f aca="false">Y19-(W20-I20)-Q20-R20-AE20</f>
        <v>9906.607096</v>
      </c>
      <c r="Z20" s="129" t="n">
        <f aca="false">(-AO20)</f>
        <v>368.308203</v>
      </c>
      <c r="AA20" s="102"/>
      <c r="AB20" s="102" t="n">
        <f aca="false">AB19-(AP19/1.9835)+AR20</f>
        <v>1595.69850931072</v>
      </c>
      <c r="AC20" s="200"/>
      <c r="AD20" s="129" t="n">
        <v>249</v>
      </c>
      <c r="AE20" s="233" t="n">
        <v>1.7</v>
      </c>
      <c r="AF20" s="234" t="n">
        <v>1.3</v>
      </c>
      <c r="AG20" s="472" t="n">
        <v>75</v>
      </c>
      <c r="AH20" s="416" t="n">
        <f aca="false">AH19-AG20</f>
        <v>12065.2578774893</v>
      </c>
      <c r="AI20" s="102"/>
      <c r="AJ20" s="128" t="n">
        <f aca="false">N20+O20+P20+Q20+R21+S20+T20+W20+AD20+AG20-AQ20</f>
        <v>921</v>
      </c>
      <c r="AK20" s="129" t="n">
        <f aca="false">IF(L20&lt;0,L20*-1,0)</f>
        <v>37.1110965465086</v>
      </c>
      <c r="AL20" s="129" t="n">
        <f aca="false">AJ20+AK20</f>
        <v>958.111096546509</v>
      </c>
      <c r="AM20" s="205" t="n">
        <f aca="false">AM19</f>
        <v>14971.25965</v>
      </c>
      <c r="AN20" s="200"/>
      <c r="AO20" s="92" t="n">
        <f aca="false">I20-Q20-R20-W20-AE20</f>
        <v>-368.308203</v>
      </c>
      <c r="AP20" s="149" t="n">
        <f aca="false">60.3*(Y20*1.9835+A20*1.9835+A20*1.9835)/E20</f>
        <v>5.71294315374341</v>
      </c>
      <c r="AQ20" s="149" t="n">
        <v>36.713</v>
      </c>
      <c r="AR20" s="139" t="n">
        <v>29.2</v>
      </c>
      <c r="AS20" s="5"/>
      <c r="AT20" s="4"/>
      <c r="AU20" s="307" t="n">
        <v>0</v>
      </c>
      <c r="AV20" s="200" t="n">
        <v>90</v>
      </c>
      <c r="AW20" s="200" t="n">
        <v>56</v>
      </c>
      <c r="AX20" s="276"/>
      <c r="AY20" s="235" t="n">
        <f aca="false">SUM(N20,P20:T20)</f>
        <v>13.089517</v>
      </c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73" t="n">
        <f aca="false">A20+1</f>
        <v>7</v>
      </c>
      <c r="B21" s="101" t="n">
        <v>6918.73</v>
      </c>
      <c r="C21" s="102" t="n">
        <v>358113</v>
      </c>
      <c r="D21" s="200" t="n">
        <f aca="false">C21-C20</f>
        <v>-1541</v>
      </c>
      <c r="E21" s="102" t="n">
        <f aca="false">C21-152000</f>
        <v>206113</v>
      </c>
      <c r="F21" s="231" t="n">
        <f aca="false">D21/$D$2</f>
        <v>-776.909503403075</v>
      </c>
      <c r="G21" s="1" t="n">
        <v>162</v>
      </c>
      <c r="H21" s="4" t="n">
        <v>0.09</v>
      </c>
      <c r="I21" s="129" t="n">
        <f aca="false">G21+H21</f>
        <v>162.09</v>
      </c>
      <c r="J21" s="130" t="n">
        <f aca="false">IF(L21&gt;0,L21,0)</f>
        <v>0</v>
      </c>
      <c r="K21" s="129" t="n">
        <f aca="false">I21+J21</f>
        <v>162.09</v>
      </c>
      <c r="L21" s="129" t="n">
        <f aca="false">F21-(I21-AJ21)</f>
        <v>-37.9995034030754</v>
      </c>
      <c r="M21" s="233" t="n">
        <v>329</v>
      </c>
      <c r="N21" s="149" t="n">
        <f aca="false">1.8299*1.03</f>
        <v>1.884797</v>
      </c>
      <c r="O21" s="129" t="n">
        <f aca="false">(42+40)*1.05</f>
        <v>86.1</v>
      </c>
      <c r="P21" s="149" t="n">
        <v>0</v>
      </c>
      <c r="Q21" s="149" t="n">
        <f aca="false">2.936*1.02</f>
        <v>2.99472</v>
      </c>
      <c r="R21" s="149" t="n">
        <v>4.2</v>
      </c>
      <c r="S21" s="291" t="n">
        <v>4.13</v>
      </c>
      <c r="T21" s="334" t="n">
        <v>0</v>
      </c>
      <c r="U21" s="0" t="n">
        <v>172</v>
      </c>
      <c r="V21" s="129" t="n">
        <v>79</v>
      </c>
      <c r="W21" s="129" t="n">
        <f aca="false">M21-N21-O21-P21-Q21-R21-S21-T21+U21+V21-AS21+AQ21</f>
        <v>517.403483</v>
      </c>
      <c r="X21" s="129" t="n">
        <f aca="false">W21-AN21</f>
        <v>517.403483</v>
      </c>
      <c r="Y21" s="102" t="n">
        <f aca="false">Y20-(W21-I21)-Q21-R21-AE21</f>
        <v>9542.39889299999</v>
      </c>
      <c r="Z21" s="129" t="n">
        <f aca="false">(-AO21)</f>
        <v>364.208203</v>
      </c>
      <c r="AA21" s="102"/>
      <c r="AB21" s="102" t="n">
        <f aca="false">AB20-(AP20/1.9835)+AR21</f>
        <v>1622.01827580744</v>
      </c>
      <c r="AC21" s="200"/>
      <c r="AD21" s="129" t="n">
        <v>246</v>
      </c>
      <c r="AE21" s="233" t="n">
        <v>1.7</v>
      </c>
      <c r="AF21" s="234" t="n">
        <v>1.3</v>
      </c>
      <c r="AG21" s="472" t="n">
        <v>75</v>
      </c>
      <c r="AH21" s="416" t="n">
        <f aca="false">AH20-AG21</f>
        <v>11990.2578774893</v>
      </c>
      <c r="AI21" s="102"/>
      <c r="AJ21" s="128" t="n">
        <f aca="false">N21+O21+P21+Q21+R22+S21+T21+W21+AD21+AG21-AQ21</f>
        <v>901</v>
      </c>
      <c r="AK21" s="129" t="n">
        <f aca="false">IF(L21&lt;0,L21*-1,0)</f>
        <v>37.9995034030754</v>
      </c>
      <c r="AL21" s="129" t="n">
        <f aca="false">AJ21+AK21</f>
        <v>938.999503403075</v>
      </c>
      <c r="AM21" s="205" t="n">
        <f aca="false">AM20</f>
        <v>14971.25965</v>
      </c>
      <c r="AN21" s="200"/>
      <c r="AO21" s="92" t="n">
        <f aca="false">I21-Q21-R21-W21-AE21</f>
        <v>-364.208203</v>
      </c>
      <c r="AP21" s="149" t="n">
        <f aca="false">60.3*(Y21*1.9835+A21*1.9835+A21*1.9835)/E21</f>
        <v>5.54547053032661</v>
      </c>
      <c r="AQ21" s="149" t="n">
        <v>36.713</v>
      </c>
      <c r="AR21" s="139" t="n">
        <v>29.2</v>
      </c>
      <c r="AS21" s="5"/>
      <c r="AT21" s="4"/>
      <c r="AU21" s="307" t="n">
        <v>0</v>
      </c>
      <c r="AV21" s="473" t="n">
        <v>89</v>
      </c>
      <c r="AW21" s="473" t="n">
        <v>58</v>
      </c>
      <c r="AX21" s="276"/>
      <c r="AY21" s="235" t="n">
        <f aca="false">SUM(N21,P21:T21)</f>
        <v>13.209517</v>
      </c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73" t="n">
        <f aca="false">A21+1</f>
        <v>8</v>
      </c>
      <c r="B22" s="101" t="n">
        <v>6918.37</v>
      </c>
      <c r="C22" s="102" t="n">
        <v>356575</v>
      </c>
      <c r="D22" s="200" t="n">
        <f aca="false">C22-C21</f>
        <v>-1538</v>
      </c>
      <c r="E22" s="102" t="n">
        <f aca="false">C22-152000</f>
        <v>204575</v>
      </c>
      <c r="F22" s="231" t="n">
        <f aca="false">D22/$D$2</f>
        <v>-775.397025460045</v>
      </c>
      <c r="G22" s="1" t="n">
        <v>162</v>
      </c>
      <c r="H22" s="4" t="n">
        <v>0.1</v>
      </c>
      <c r="I22" s="129" t="n">
        <f aca="false">G22+H22</f>
        <v>162.1</v>
      </c>
      <c r="J22" s="130" t="n">
        <f aca="false">IF(L22&gt;0,L22,0)</f>
        <v>0</v>
      </c>
      <c r="K22" s="129" t="n">
        <f aca="false">I22+J22</f>
        <v>162.1</v>
      </c>
      <c r="L22" s="129" t="n">
        <f aca="false">F22-(I22-AJ22)</f>
        <v>-27.4970254600454</v>
      </c>
      <c r="M22" s="233" t="n">
        <v>333</v>
      </c>
      <c r="N22" s="149" t="n">
        <f aca="false">1.8299*1.03</f>
        <v>1.884797</v>
      </c>
      <c r="O22" s="129" t="n">
        <f aca="false">(42+38)*1.05</f>
        <v>84</v>
      </c>
      <c r="P22" s="149" t="n">
        <v>0</v>
      </c>
      <c r="Q22" s="149" t="n">
        <f aca="false">2.936*1.02</f>
        <v>2.99472</v>
      </c>
      <c r="R22" s="149" t="n">
        <v>4.2</v>
      </c>
      <c r="S22" s="291" t="n">
        <v>3.87</v>
      </c>
      <c r="T22" s="334" t="n">
        <v>0</v>
      </c>
      <c r="U22" s="0" t="n">
        <v>172</v>
      </c>
      <c r="V22" s="129" t="n">
        <v>79</v>
      </c>
      <c r="W22" s="129" t="n">
        <f aca="false">M22-N22-O22-P22-Q22-R22-S22-T22+U22+V22-AS22+AQ22</f>
        <v>523.763483</v>
      </c>
      <c r="X22" s="129" t="n">
        <f aca="false">W22-AN22</f>
        <v>523.763483</v>
      </c>
      <c r="Y22" s="102" t="n">
        <f aca="false">Y21-(W22-I22)-Q22-R22-AE22</f>
        <v>9171.84068999999</v>
      </c>
      <c r="Z22" s="129" t="n">
        <f aca="false">(-AO22)</f>
        <v>370.558203</v>
      </c>
      <c r="AA22" s="102"/>
      <c r="AB22" s="102" t="n">
        <f aca="false">AB21-(AP21/1.9835)+AR22</f>
        <v>1648.42247518716</v>
      </c>
      <c r="AC22" s="200"/>
      <c r="AD22" s="129" t="n">
        <v>250</v>
      </c>
      <c r="AE22" s="233" t="n">
        <v>1.7</v>
      </c>
      <c r="AF22" s="234" t="n">
        <v>1.3</v>
      </c>
      <c r="AG22" s="472" t="n">
        <v>76</v>
      </c>
      <c r="AH22" s="416" t="n">
        <f aca="false">AH21-AG22</f>
        <v>11914.2578774893</v>
      </c>
      <c r="AI22" s="102"/>
      <c r="AJ22" s="128" t="n">
        <f aca="false">N22+O22+P22+Q22+R23+S22+T22+W22+AD22+AG22-AQ22</f>
        <v>910</v>
      </c>
      <c r="AK22" s="129" t="n">
        <f aca="false">IF(L22&lt;0,L22*-1,0)</f>
        <v>27.4970254600454</v>
      </c>
      <c r="AL22" s="129" t="n">
        <f aca="false">AJ22+AK22</f>
        <v>937.497025460045</v>
      </c>
      <c r="AM22" s="205" t="n">
        <f aca="false">AM21</f>
        <v>14971.25965</v>
      </c>
      <c r="AN22" s="200"/>
      <c r="AO22" s="92" t="n">
        <f aca="false">I22-Q22-R22-W22-AE22</f>
        <v>-370.558203</v>
      </c>
      <c r="AP22" s="149" t="n">
        <f aca="false">60.3*(Y22*1.9835+A22*1.9835+A22*1.9835)/E22</f>
        <v>5.37168346630567</v>
      </c>
      <c r="AQ22" s="149" t="n">
        <v>36.713</v>
      </c>
      <c r="AR22" s="139" t="n">
        <v>29.2</v>
      </c>
      <c r="AS22" s="5"/>
      <c r="AT22" s="4"/>
      <c r="AU22" s="307" t="n">
        <v>0</v>
      </c>
      <c r="AV22" s="200" t="n">
        <v>87</v>
      </c>
      <c r="AW22" s="200" t="n">
        <v>57</v>
      </c>
      <c r="AX22" s="276"/>
      <c r="AY22" s="235" t="n">
        <f aca="false">SUM(N22,P22:T22)</f>
        <v>12.949517</v>
      </c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73" t="n">
        <f aca="false">A22+1</f>
        <v>9</v>
      </c>
      <c r="B23" s="101" t="n">
        <v>6918.02</v>
      </c>
      <c r="C23" s="102" t="n">
        <v>355079</v>
      </c>
      <c r="D23" s="200" t="n">
        <f aca="false">C23-C22</f>
        <v>-1496</v>
      </c>
      <c r="E23" s="102" t="n">
        <f aca="false">C23-152000</f>
        <v>203079</v>
      </c>
      <c r="F23" s="231" t="n">
        <f aca="false">D23/$D$2</f>
        <v>-754.222334257625</v>
      </c>
      <c r="G23" s="1" t="n">
        <v>169</v>
      </c>
      <c r="H23" s="4" t="n">
        <v>0.08</v>
      </c>
      <c r="I23" s="129" t="n">
        <f aca="false">G23+H23</f>
        <v>169.08</v>
      </c>
      <c r="J23" s="130" t="n">
        <f aca="false">IF(L23&gt;0,L23,0)</f>
        <v>0</v>
      </c>
      <c r="K23" s="129" t="n">
        <f aca="false">I23+J23</f>
        <v>169.08</v>
      </c>
      <c r="L23" s="129" t="n">
        <f aca="false">F23-(I23-AJ23)</f>
        <v>-38.3023342576254</v>
      </c>
      <c r="M23" s="233" t="n">
        <v>316</v>
      </c>
      <c r="N23" s="149" t="n">
        <f aca="false">1.8299*1.03</f>
        <v>1.884797</v>
      </c>
      <c r="O23" s="129" t="n">
        <f aca="false">(45+43)*1.05</f>
        <v>92.4</v>
      </c>
      <c r="P23" s="149" t="n">
        <v>0</v>
      </c>
      <c r="Q23" s="149" t="n">
        <f aca="false">2.936*1.02</f>
        <v>2.99472</v>
      </c>
      <c r="R23" s="149" t="n">
        <v>4.2</v>
      </c>
      <c r="S23" s="291" t="n">
        <v>3.15</v>
      </c>
      <c r="T23" s="334" t="n">
        <v>0</v>
      </c>
      <c r="U23" s="0" t="n">
        <v>171</v>
      </c>
      <c r="V23" s="129" t="n">
        <v>78</v>
      </c>
      <c r="W23" s="129" t="n">
        <f aca="false">M23-N23-O23-P23-Q23-R23-S23-T23+U23+V23-AS23+AQ23</f>
        <v>497.083483</v>
      </c>
      <c r="X23" s="129" t="n">
        <f aca="false">W23-AN23</f>
        <v>497.083483</v>
      </c>
      <c r="Y23" s="102" t="n">
        <f aca="false">Y22-(W23-I23)-Q23-R23-AE23</f>
        <v>8834.94248699999</v>
      </c>
      <c r="Z23" s="129" t="n">
        <f aca="false">(-AO23)</f>
        <v>336.898203</v>
      </c>
      <c r="AA23" s="102"/>
      <c r="AB23" s="102" t="n">
        <f aca="false">AB22-(AP22/1.9835)+AR23</f>
        <v>1674.91429093392</v>
      </c>
      <c r="AC23" s="200"/>
      <c r="AD23" s="129" t="n">
        <v>245</v>
      </c>
      <c r="AE23" s="233" t="n">
        <v>1.7</v>
      </c>
      <c r="AF23" s="234" t="n">
        <v>1.3</v>
      </c>
      <c r="AG23" s="472" t="n">
        <v>75</v>
      </c>
      <c r="AH23" s="416" t="n">
        <f aca="false">AH22-AG23</f>
        <v>11839.2578774893</v>
      </c>
      <c r="AI23" s="102"/>
      <c r="AJ23" s="128" t="n">
        <f aca="false">N23+O23+P23+Q23+R24+S23+T23+W23+AD23+AG23-AQ23</f>
        <v>885</v>
      </c>
      <c r="AK23" s="129" t="n">
        <f aca="false">IF(L23&lt;0,L23*-1,0)</f>
        <v>38.3023342576254</v>
      </c>
      <c r="AL23" s="129" t="n">
        <f aca="false">AJ23+AK23</f>
        <v>923.302334257626</v>
      </c>
      <c r="AM23" s="205" t="n">
        <f aca="false">AM22</f>
        <v>14971.25965</v>
      </c>
      <c r="AN23" s="200"/>
      <c r="AO23" s="92" t="n">
        <f aca="false">I23-Q23-R23-W23-AE23</f>
        <v>-336.898203</v>
      </c>
      <c r="AP23" s="149" t="n">
        <f aca="false">60.3*(Y23*1.9835+A23*1.9835+A23*1.9835)/E23</f>
        <v>5.21401340761358</v>
      </c>
      <c r="AQ23" s="149" t="n">
        <v>36.713</v>
      </c>
      <c r="AR23" s="139" t="n">
        <v>29.2</v>
      </c>
      <c r="AS23" s="5"/>
      <c r="AT23" s="4"/>
      <c r="AU23" s="307" t="n">
        <v>0</v>
      </c>
      <c r="AV23" s="206" t="n">
        <v>86</v>
      </c>
      <c r="AW23" s="200" t="n">
        <v>58</v>
      </c>
      <c r="AX23" s="276"/>
      <c r="AY23" s="235" t="n">
        <f aca="false">SUM(N23,P23:T23)</f>
        <v>12.229517</v>
      </c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73" t="n">
        <f aca="false">A23+1</f>
        <v>10</v>
      </c>
      <c r="B24" s="101" t="n">
        <v>6917.65</v>
      </c>
      <c r="C24" s="102" t="n">
        <v>353510</v>
      </c>
      <c r="D24" s="200" t="n">
        <f aca="false">C24-C23</f>
        <v>-1569</v>
      </c>
      <c r="E24" s="102" t="n">
        <f aca="false">C24-152000</f>
        <v>201510</v>
      </c>
      <c r="F24" s="231" t="n">
        <f aca="false">D24/$D$2</f>
        <v>-791.025964204689</v>
      </c>
      <c r="G24" s="1" t="n">
        <v>158</v>
      </c>
      <c r="H24" s="4" t="n">
        <v>0.12</v>
      </c>
      <c r="I24" s="129" t="n">
        <f aca="false">G24+H24</f>
        <v>158.12</v>
      </c>
      <c r="J24" s="130" t="n">
        <f aca="false">IF(L24&gt;0,L24,0)</f>
        <v>0</v>
      </c>
      <c r="K24" s="129" t="n">
        <f aca="false">I24+J24</f>
        <v>158.12</v>
      </c>
      <c r="L24" s="129" t="n">
        <f aca="false">F24-(I24-AJ24)</f>
        <v>-36.1459642046885</v>
      </c>
      <c r="M24" s="233" t="n">
        <v>321</v>
      </c>
      <c r="N24" s="149" t="n">
        <f aca="false">1.8299*1.03</f>
        <v>1.884797</v>
      </c>
      <c r="O24" s="129" t="n">
        <f aca="false">(44+45)*1.05</f>
        <v>93.45</v>
      </c>
      <c r="P24" s="149" t="n">
        <v>0</v>
      </c>
      <c r="Q24" s="149" t="n">
        <f aca="false">2.936*1.02</f>
        <v>2.99472</v>
      </c>
      <c r="R24" s="149" t="n">
        <v>4.2</v>
      </c>
      <c r="S24" s="291" t="n">
        <v>1.84</v>
      </c>
      <c r="T24" s="334" t="n">
        <v>0</v>
      </c>
      <c r="U24" s="0" t="n">
        <v>170</v>
      </c>
      <c r="V24" s="129" t="n">
        <v>77</v>
      </c>
      <c r="W24" s="129" t="n">
        <f aca="false">M24-N24-O24-P24-Q24-R24-S24-T24+U24+V24-AS24+AQ24</f>
        <v>500.343483</v>
      </c>
      <c r="X24" s="129" t="n">
        <f aca="false">W24-AN24</f>
        <v>500.343483</v>
      </c>
      <c r="Y24" s="102" t="n">
        <f aca="false">Y23-(W24-I24)-Q24-R24-AE24</f>
        <v>8483.82428399999</v>
      </c>
      <c r="Z24" s="129" t="n">
        <f aca="false">(-AO24)</f>
        <v>351.118203</v>
      </c>
      <c r="AA24" s="102"/>
      <c r="AB24" s="102" t="n">
        <f aca="false">AB23-(AP23/1.9835)+AR24</f>
        <v>1701.48559750936</v>
      </c>
      <c r="AC24" s="200"/>
      <c r="AD24" s="129" t="n">
        <v>270</v>
      </c>
      <c r="AE24" s="233" t="n">
        <v>1.7</v>
      </c>
      <c r="AF24" s="234" t="n">
        <v>1.3</v>
      </c>
      <c r="AG24" s="472" t="n">
        <v>75</v>
      </c>
      <c r="AH24" s="416" t="n">
        <f aca="false">AH23-AG24</f>
        <v>11764.2578774893</v>
      </c>
      <c r="AI24" s="102"/>
      <c r="AJ24" s="128" t="n">
        <f aca="false">N24+O24+P24+Q24+R25+S24+T24+W24+AD24+AG24-AQ24</f>
        <v>913</v>
      </c>
      <c r="AK24" s="129" t="n">
        <f aca="false">IF(L24&lt;0,L24*-1,0)</f>
        <v>36.1459642046885</v>
      </c>
      <c r="AL24" s="129" t="n">
        <f aca="false">AJ24+AK24</f>
        <v>949.145964204689</v>
      </c>
      <c r="AM24" s="205" t="n">
        <f aca="false">AM23</f>
        <v>14971.25965</v>
      </c>
      <c r="AN24" s="200"/>
      <c r="AO24" s="92" t="n">
        <f aca="false">I24-Q24-R24-W24-AE24</f>
        <v>-351.118203</v>
      </c>
      <c r="AP24" s="149" t="n">
        <f aca="false">60.3*(Y24*1.9835+A24*1.9835+A24*1.9835)/E24</f>
        <v>5.04739382005376</v>
      </c>
      <c r="AQ24" s="149" t="n">
        <v>36.713</v>
      </c>
      <c r="AR24" s="139" t="n">
        <v>29.2</v>
      </c>
      <c r="AS24" s="5"/>
      <c r="AT24" s="4"/>
      <c r="AU24" s="307" t="n">
        <v>0</v>
      </c>
      <c r="AV24" s="200" t="n">
        <v>87</v>
      </c>
      <c r="AW24" s="200" t="n">
        <v>58</v>
      </c>
      <c r="AX24" s="276"/>
      <c r="AY24" s="235" t="n">
        <f aca="false">SUM(N24,P24:T24)</f>
        <v>10.919517</v>
      </c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73" t="n">
        <f aca="false">A24+1</f>
        <v>11</v>
      </c>
      <c r="B25" s="101" t="n">
        <v>6917.28</v>
      </c>
      <c r="C25" s="102" t="n">
        <v>351941</v>
      </c>
      <c r="D25" s="200" t="n">
        <f aca="false">C25-C24</f>
        <v>-1569</v>
      </c>
      <c r="E25" s="102" t="n">
        <f aca="false">C25-152000</f>
        <v>199941</v>
      </c>
      <c r="F25" s="231" t="n">
        <f aca="false">D25/$D$2</f>
        <v>-791.025964204689</v>
      </c>
      <c r="G25" s="1" t="n">
        <v>148</v>
      </c>
      <c r="H25" s="4" t="n">
        <v>0.4</v>
      </c>
      <c r="I25" s="129" t="n">
        <f aca="false">G25+H25</f>
        <v>148.4</v>
      </c>
      <c r="J25" s="130" t="n">
        <f aca="false">IF(L25&gt;0,L25,0)</f>
        <v>0</v>
      </c>
      <c r="K25" s="129" t="n">
        <f aca="false">I25+J25</f>
        <v>148.4</v>
      </c>
      <c r="L25" s="129" t="n">
        <f aca="false">F25-(I25-AJ25)</f>
        <v>-37.4259642046886</v>
      </c>
      <c r="M25" s="233" t="n">
        <v>346</v>
      </c>
      <c r="N25" s="149" t="n">
        <f aca="false">1.8299*1.03</f>
        <v>1.884797</v>
      </c>
      <c r="O25" s="129" t="n">
        <f aca="false">(46+46)*1.05</f>
        <v>96.6</v>
      </c>
      <c r="P25" s="149" t="n">
        <v>0</v>
      </c>
      <c r="Q25" s="149" t="n">
        <f aca="false">2.936*1.02</f>
        <v>2.99472</v>
      </c>
      <c r="R25" s="149" t="n">
        <v>4.2</v>
      </c>
      <c r="S25" s="291" t="n">
        <v>2.7</v>
      </c>
      <c r="T25" s="334" t="n">
        <v>0</v>
      </c>
      <c r="U25" s="0" t="n">
        <v>173</v>
      </c>
      <c r="V25" s="129" t="n">
        <v>78</v>
      </c>
      <c r="W25" s="129" t="n">
        <f aca="false">M25-N25-O25-P25-Q25-R25-S25-T25+U25+V25-AS25+AQ25</f>
        <v>525.333483</v>
      </c>
      <c r="X25" s="129" t="n">
        <f aca="false">W25-AN25</f>
        <v>525.333483</v>
      </c>
      <c r="Y25" s="102" t="n">
        <f aca="false">Y24-(W25-I25)-Q25-R25-AE25</f>
        <v>8097.99608099999</v>
      </c>
      <c r="Z25" s="129" t="n">
        <f aca="false">(-AO25)</f>
        <v>385.828203</v>
      </c>
      <c r="AA25" s="102"/>
      <c r="AB25" s="102" t="n">
        <f aca="false">AB24-(AP24/1.9835)+AR25</f>
        <v>1728.14090690182</v>
      </c>
      <c r="AC25" s="200"/>
      <c r="AD25" s="129" t="n">
        <v>231</v>
      </c>
      <c r="AE25" s="233" t="n">
        <v>1.7</v>
      </c>
      <c r="AF25" s="234" t="n">
        <v>1.3</v>
      </c>
      <c r="AG25" s="472" t="n">
        <v>74</v>
      </c>
      <c r="AH25" s="416" t="n">
        <f aca="false">AH24-AG25</f>
        <v>11690.2578774893</v>
      </c>
      <c r="AI25" s="102"/>
      <c r="AJ25" s="128" t="n">
        <f aca="false">N25+O25+P25+Q25+R26+S25+T25+W25+AD25+AG25-AQ25</f>
        <v>902</v>
      </c>
      <c r="AK25" s="129" t="n">
        <f aca="false">IF(L25&lt;0,L25*-1,0)</f>
        <v>37.4259642046886</v>
      </c>
      <c r="AL25" s="129" t="n">
        <f aca="false">AJ25+AK25</f>
        <v>939.425964204689</v>
      </c>
      <c r="AM25" s="205" t="n">
        <f aca="false">AM24</f>
        <v>14971.25965</v>
      </c>
      <c r="AN25" s="200"/>
      <c r="AO25" s="92" t="n">
        <f aca="false">I25-Q25-R25-W25-AE25</f>
        <v>-385.828203</v>
      </c>
      <c r="AP25" s="149" t="n">
        <f aca="false">60.3*(Y25*1.9835+A25*1.9835+A25*1.9835)/E25</f>
        <v>4.85739561804636</v>
      </c>
      <c r="AQ25" s="149" t="n">
        <v>36.713</v>
      </c>
      <c r="AR25" s="139" t="n">
        <v>29.2</v>
      </c>
      <c r="AS25" s="5"/>
      <c r="AT25" s="4"/>
      <c r="AU25" s="307" t="n">
        <v>0</v>
      </c>
      <c r="AV25" s="200" t="n">
        <v>90</v>
      </c>
      <c r="AW25" s="200" t="n">
        <v>56</v>
      </c>
      <c r="AX25" s="276"/>
      <c r="AY25" s="235" t="n">
        <f aca="false">SUM(N25,P25:T25)</f>
        <v>11.779517</v>
      </c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73" t="n">
        <f aca="false">A25+1</f>
        <v>12</v>
      </c>
      <c r="B26" s="101" t="n">
        <v>6916.91</v>
      </c>
      <c r="C26" s="102" t="n">
        <v>350375</v>
      </c>
      <c r="D26" s="200" t="n">
        <f aca="false">C26-C25</f>
        <v>-1566</v>
      </c>
      <c r="E26" s="102" t="n">
        <f aca="false">C26-152000</f>
        <v>198375</v>
      </c>
      <c r="F26" s="231" t="n">
        <f aca="false">D26/$D$2</f>
        <v>-789.513486261659</v>
      </c>
      <c r="G26" s="1" t="n">
        <v>144</v>
      </c>
      <c r="H26" s="4" t="n">
        <v>0.48</v>
      </c>
      <c r="I26" s="129" t="n">
        <f aca="false">G26+H26</f>
        <v>144.48</v>
      </c>
      <c r="J26" s="130" t="n">
        <f aca="false">IF(L26&gt;0,L26,0)</f>
        <v>0</v>
      </c>
      <c r="K26" s="129" t="n">
        <f aca="false">I26+J26</f>
        <v>144.48</v>
      </c>
      <c r="L26" s="129" t="n">
        <f aca="false">F26-(I26-AJ26)</f>
        <v>-13.9934862616585</v>
      </c>
      <c r="M26" s="233" t="n">
        <v>326</v>
      </c>
      <c r="N26" s="149" t="n">
        <f aca="false">1.8299*1.03</f>
        <v>1.884797</v>
      </c>
      <c r="O26" s="129" t="n">
        <f aca="false">(44+44)*1.05</f>
        <v>92.4</v>
      </c>
      <c r="P26" s="149" t="n">
        <v>0</v>
      </c>
      <c r="Q26" s="149" t="n">
        <f aca="false">2.936*1.02</f>
        <v>2.99472</v>
      </c>
      <c r="R26" s="149" t="n">
        <v>4.2</v>
      </c>
      <c r="S26" s="291" t="n">
        <v>4.24</v>
      </c>
      <c r="T26" s="334" t="n">
        <v>0</v>
      </c>
      <c r="U26" s="0" t="n">
        <v>172</v>
      </c>
      <c r="V26" s="129" t="n">
        <v>79</v>
      </c>
      <c r="W26" s="129" t="n">
        <f aca="false">M26-N26-O26-P26-Q26-R26-S26-T26+U26+V26-AS26+AQ26</f>
        <v>507.993483</v>
      </c>
      <c r="X26" s="129" t="n">
        <f aca="false">W26-AN26</f>
        <v>507.993483</v>
      </c>
      <c r="Y26" s="102" t="n">
        <f aca="false">Y25-(W26-I26)-Q26-R26-AE26</f>
        <v>7725.58787799999</v>
      </c>
      <c r="Z26" s="129" t="n">
        <f aca="false">(-AO26)</f>
        <v>372.408203</v>
      </c>
      <c r="AA26" s="102"/>
      <c r="AB26" s="102" t="n">
        <f aca="false">AB25-(AP25/1.9835)+AR26</f>
        <v>1754.89200565753</v>
      </c>
      <c r="AC26" s="200"/>
      <c r="AD26" s="129" t="n">
        <v>269</v>
      </c>
      <c r="AE26" s="233" t="n">
        <v>1.7</v>
      </c>
      <c r="AF26" s="234" t="n">
        <v>1.3</v>
      </c>
      <c r="AG26" s="472" t="n">
        <v>74</v>
      </c>
      <c r="AH26" s="416" t="n">
        <f aca="false">AH25-AG26</f>
        <v>11616.2578774893</v>
      </c>
      <c r="AI26" s="102"/>
      <c r="AJ26" s="128" t="n">
        <f aca="false">N26+O26+P26+Q26+R27+S26+T26+W26+AD26+AG26-AQ26</f>
        <v>920</v>
      </c>
      <c r="AK26" s="129" t="n">
        <f aca="false">IF(L26&lt;0,L26*-1,0)</f>
        <v>13.9934862616585</v>
      </c>
      <c r="AL26" s="129" t="n">
        <f aca="false">AJ26+AK26</f>
        <v>933.993486261659</v>
      </c>
      <c r="AM26" s="205" t="n">
        <f aca="false">AM25</f>
        <v>14971.25965</v>
      </c>
      <c r="AN26" s="200"/>
      <c r="AO26" s="92" t="n">
        <f aca="false">I26-Q26-R26-W26-AE26</f>
        <v>-372.408203</v>
      </c>
      <c r="AP26" s="149" t="n">
        <f aca="false">60.3*(Y26*1.9835+A26*1.9835+A26*1.9835)/E26</f>
        <v>4.67241258035328</v>
      </c>
      <c r="AQ26" s="149" t="n">
        <v>36.713</v>
      </c>
      <c r="AR26" s="139" t="n">
        <v>29.2</v>
      </c>
      <c r="AS26" s="5"/>
      <c r="AT26" s="4"/>
      <c r="AU26" s="307" t="n">
        <v>0</v>
      </c>
      <c r="AV26" s="200" t="n">
        <v>92</v>
      </c>
      <c r="AW26" s="200" t="n">
        <v>58</v>
      </c>
      <c r="AX26" s="276"/>
      <c r="AY26" s="235" t="n">
        <f aca="false">SUM(N26,P26:T26)</f>
        <v>13.319517</v>
      </c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73" t="n">
        <f aca="false">A26+1</f>
        <v>13</v>
      </c>
      <c r="B27" s="101" t="n">
        <v>6916.51</v>
      </c>
      <c r="C27" s="102" t="n">
        <v>348692</v>
      </c>
      <c r="D27" s="200" t="n">
        <f aca="false">C27-C26</f>
        <v>-1683</v>
      </c>
      <c r="E27" s="102" t="n">
        <f aca="false">C27-152000</f>
        <v>196692</v>
      </c>
      <c r="F27" s="231" t="n">
        <f aca="false">D27/$D$2</f>
        <v>-848.500126039829</v>
      </c>
      <c r="G27" s="1" t="n">
        <v>135</v>
      </c>
      <c r="H27" s="4" t="n">
        <v>0.54</v>
      </c>
      <c r="I27" s="129" t="n">
        <f aca="false">G27+H27</f>
        <v>135.54</v>
      </c>
      <c r="J27" s="130" t="n">
        <f aca="false">IF(L27&gt;0,L27,0)</f>
        <v>0</v>
      </c>
      <c r="K27" s="129" t="n">
        <f aca="false">I27+J27</f>
        <v>135.54</v>
      </c>
      <c r="L27" s="129" t="n">
        <f aca="false">F27-(I27-AJ27)</f>
        <v>-28.0401260398286</v>
      </c>
      <c r="M27" s="233" t="n">
        <v>339</v>
      </c>
      <c r="N27" s="149" t="n">
        <f aca="false">1.8299*1.03</f>
        <v>1.884797</v>
      </c>
      <c r="O27" s="129" t="n">
        <f aca="false">(47+47)*1.05</f>
        <v>98.7</v>
      </c>
      <c r="P27" s="149" t="n">
        <v>0</v>
      </c>
      <c r="Q27" s="149" t="n">
        <f aca="false">2.936*1.02</f>
        <v>2.99472</v>
      </c>
      <c r="R27" s="149" t="n">
        <v>4.2</v>
      </c>
      <c r="S27" s="291" t="n">
        <v>4.47</v>
      </c>
      <c r="T27" s="334" t="n">
        <v>0</v>
      </c>
      <c r="U27" s="0" t="n">
        <v>173</v>
      </c>
      <c r="V27" s="129" t="n">
        <v>78</v>
      </c>
      <c r="W27" s="129" t="n">
        <f aca="false">M27-N27-O27-P27-Q27-R27-S27-T27+U27+V27-AS27+AQ27</f>
        <v>514.463483</v>
      </c>
      <c r="X27" s="129" t="n">
        <f aca="false">W27-AN27</f>
        <v>514.463483</v>
      </c>
      <c r="Y27" s="102" t="n">
        <f aca="false">Y26-(W27-I27)-Q27-R27-AE27</f>
        <v>7337.76967499999</v>
      </c>
      <c r="Z27" s="129" t="n">
        <f aca="false">(-AO27)</f>
        <v>387.818203</v>
      </c>
      <c r="AA27" s="102"/>
      <c r="AB27" s="102" t="n">
        <f aca="false">AB26-(AP26/1.9835)+AR27</f>
        <v>1781.73636533469</v>
      </c>
      <c r="AC27" s="200"/>
      <c r="AD27" s="129" t="n">
        <v>293</v>
      </c>
      <c r="AE27" s="233" t="n">
        <v>1.7</v>
      </c>
      <c r="AF27" s="234" t="n">
        <v>1.3</v>
      </c>
      <c r="AG27" s="472" t="n">
        <v>73</v>
      </c>
      <c r="AH27" s="416" t="n">
        <f aca="false">AH26-AG27</f>
        <v>11543.2578774893</v>
      </c>
      <c r="AI27" s="102"/>
      <c r="AJ27" s="128" t="n">
        <f aca="false">N27+O27+P27+Q27+R28+S27+T27+W27+AD27+AG27-AQ27</f>
        <v>956</v>
      </c>
      <c r="AK27" s="129" t="n">
        <f aca="false">IF(L27&lt;0,L27*-1,0)</f>
        <v>28.0401260398286</v>
      </c>
      <c r="AL27" s="129" t="n">
        <f aca="false">AJ27+AK27</f>
        <v>984.040126039829</v>
      </c>
      <c r="AM27" s="205" t="n">
        <f aca="false">AM26</f>
        <v>14971.25965</v>
      </c>
      <c r="AN27" s="200"/>
      <c r="AO27" s="92" t="n">
        <f aca="false">I27-Q27-R27-W27-AE27</f>
        <v>-387.818203</v>
      </c>
      <c r="AP27" s="149" t="n">
        <f aca="false">60.3*(Y27*1.9835+A27*1.9835+A27*1.9835)/E27</f>
        <v>4.4777827271412</v>
      </c>
      <c r="AQ27" s="149" t="n">
        <v>36.713</v>
      </c>
      <c r="AR27" s="139" t="n">
        <v>29.2</v>
      </c>
      <c r="AS27" s="5"/>
      <c r="AT27" s="4"/>
      <c r="AU27" s="307" t="n">
        <v>0</v>
      </c>
      <c r="AV27" s="200" t="n">
        <v>94</v>
      </c>
      <c r="AW27" s="200" t="n">
        <v>62</v>
      </c>
      <c r="AX27" s="276"/>
      <c r="AY27" s="235" t="n">
        <f aca="false">SUM(N27,P27:T27)</f>
        <v>13.549517</v>
      </c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73" t="n">
        <f aca="false">A27+1</f>
        <v>14</v>
      </c>
      <c r="B28" s="101" t="n">
        <v>6916.12</v>
      </c>
      <c r="C28" s="102" t="n">
        <v>347051</v>
      </c>
      <c r="D28" s="200" t="n">
        <f aca="false">C28-C27</f>
        <v>-1641</v>
      </c>
      <c r="E28" s="102" t="n">
        <f aca="false">C28-152000</f>
        <v>195051</v>
      </c>
      <c r="F28" s="231" t="n">
        <f aca="false">D28/$D$2</f>
        <v>-827.325434837409</v>
      </c>
      <c r="G28" s="1" t="n">
        <v>137</v>
      </c>
      <c r="H28" s="4" t="n">
        <v>0.55</v>
      </c>
      <c r="I28" s="129" t="n">
        <f aca="false">G28+H28</f>
        <v>137.55</v>
      </c>
      <c r="J28" s="130" t="n">
        <f aca="false">IF(L28&gt;0,L28,0)</f>
        <v>0</v>
      </c>
      <c r="K28" s="129" t="n">
        <f aca="false">I28+J28</f>
        <v>137.55</v>
      </c>
      <c r="L28" s="129" t="n">
        <f aca="false">F28-(I28-AJ28)</f>
        <v>-24.8754348374085</v>
      </c>
      <c r="M28" s="233" t="n">
        <v>322</v>
      </c>
      <c r="N28" s="149" t="n">
        <f aca="false">1.8299*1.03</f>
        <v>1.884797</v>
      </c>
      <c r="O28" s="129" t="n">
        <f aca="false">(48+48)*1.05</f>
        <v>100.8</v>
      </c>
      <c r="P28" s="149" t="n">
        <v>0</v>
      </c>
      <c r="Q28" s="149" t="n">
        <f aca="false">2.936*1.02</f>
        <v>2.99472</v>
      </c>
      <c r="R28" s="149" t="n">
        <v>4.2</v>
      </c>
      <c r="S28" s="291" t="n">
        <v>3.8</v>
      </c>
      <c r="T28" s="334" t="n">
        <v>0</v>
      </c>
      <c r="U28" s="0" t="n">
        <v>173</v>
      </c>
      <c r="V28" s="129" t="n">
        <v>78</v>
      </c>
      <c r="W28" s="129" t="n">
        <f aca="false">M28-N28-O28-P28-Q28-R28-S28-T28+U28+V28-AS28+AQ28</f>
        <v>496.033483</v>
      </c>
      <c r="X28" s="129" t="n">
        <f aca="false">W28-AN28</f>
        <v>496.033483</v>
      </c>
      <c r="Y28" s="102" t="n">
        <f aca="false">Y27-(W28-I28)-Q28-R28-AE28</f>
        <v>6970.39147199999</v>
      </c>
      <c r="Z28" s="129" t="n">
        <f aca="false">(-AO28)</f>
        <v>367.378203</v>
      </c>
      <c r="AA28" s="102"/>
      <c r="AB28" s="102" t="n">
        <f aca="false">AB27-(AP27/1.9835)+AR28</f>
        <v>1808.6788494652</v>
      </c>
      <c r="AC28" s="200"/>
      <c r="AD28" s="129" t="n">
        <v>294</v>
      </c>
      <c r="AE28" s="233" t="n">
        <v>1.7</v>
      </c>
      <c r="AF28" s="234" t="n">
        <v>1.3</v>
      </c>
      <c r="AG28" s="472" t="n">
        <v>73</v>
      </c>
      <c r="AH28" s="416" t="n">
        <f aca="false">AH27-AG28</f>
        <v>11470.2578774893</v>
      </c>
      <c r="AI28" s="102"/>
      <c r="AJ28" s="128" t="n">
        <f aca="false">N28+O28+P28+Q28+R29+S28+T28+W28+AD28+AG28-AQ28</f>
        <v>940</v>
      </c>
      <c r="AK28" s="129" t="n">
        <f aca="false">IF(L28&lt;0,L28*-1,0)</f>
        <v>24.8754348374085</v>
      </c>
      <c r="AL28" s="129" t="n">
        <f aca="false">AJ28+AK28</f>
        <v>964.875434837409</v>
      </c>
      <c r="AM28" s="205" t="n">
        <f aca="false">AM27</f>
        <v>14971.25965</v>
      </c>
      <c r="AN28" s="200"/>
      <c r="AO28" s="92" t="n">
        <f aca="false">I28-Q28-R28-W28-AE28</f>
        <v>-367.378203</v>
      </c>
      <c r="AP28" s="149" t="n">
        <f aca="false">60.3*(Y28*1.9835+A28*1.9835+A28*1.9835)/E28</f>
        <v>4.29140564225834</v>
      </c>
      <c r="AQ28" s="149" t="n">
        <v>36.713</v>
      </c>
      <c r="AR28" s="139" t="n">
        <v>29.2</v>
      </c>
      <c r="AS28" s="5"/>
      <c r="AT28" s="4"/>
      <c r="AU28" s="307" t="n">
        <v>0</v>
      </c>
      <c r="AV28" s="200" t="n">
        <v>93</v>
      </c>
      <c r="AW28" s="200" t="n">
        <v>63</v>
      </c>
      <c r="AX28" s="276"/>
      <c r="AY28" s="235" t="n">
        <f aca="false">SUM(N28,P28:T28)</f>
        <v>12.879517</v>
      </c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73" t="n">
        <f aca="false">A28+1</f>
        <v>15</v>
      </c>
      <c r="B29" s="101" t="n">
        <v>6915.7</v>
      </c>
      <c r="C29" s="102" t="n">
        <v>345294</v>
      </c>
      <c r="D29" s="200" t="n">
        <f aca="false">C29-C28</f>
        <v>-1757</v>
      </c>
      <c r="E29" s="102" t="n">
        <f aca="false">C29-152000</f>
        <v>193294</v>
      </c>
      <c r="F29" s="231" t="n">
        <f aca="false">D29/$D$2</f>
        <v>-885.807915301235</v>
      </c>
      <c r="G29" s="1" t="n">
        <v>130</v>
      </c>
      <c r="H29" s="4" t="n">
        <v>0.25</v>
      </c>
      <c r="I29" s="129" t="n">
        <f aca="false">G29+H29</f>
        <v>130.25</v>
      </c>
      <c r="J29" s="130" t="n">
        <f aca="false">IF(L29&gt;0,L29,0)</f>
        <v>0</v>
      </c>
      <c r="K29" s="129" t="n">
        <f aca="false">I29+J29</f>
        <v>130.25</v>
      </c>
      <c r="L29" s="129" t="n">
        <f aca="false">F29-(I29-AJ29)</f>
        <v>-40.0579153012351</v>
      </c>
      <c r="M29" s="233" t="n">
        <v>345</v>
      </c>
      <c r="N29" s="149" t="n">
        <f aca="false">1.8299*1.03</f>
        <v>1.884797</v>
      </c>
      <c r="O29" s="129" t="n">
        <f aca="false">(48+49)*1.05</f>
        <v>101.85</v>
      </c>
      <c r="P29" s="149" t="n">
        <v>0</v>
      </c>
      <c r="Q29" s="149" t="n">
        <f aca="false">2.936*1.02</f>
        <v>2.99472</v>
      </c>
      <c r="R29" s="149" t="n">
        <v>4.2</v>
      </c>
      <c r="S29" s="291" t="n">
        <v>3.84</v>
      </c>
      <c r="T29" s="334" t="n">
        <v>0</v>
      </c>
      <c r="U29" s="0" t="n">
        <v>173</v>
      </c>
      <c r="V29" s="129" t="n">
        <v>79</v>
      </c>
      <c r="W29" s="129" t="n">
        <f aca="false">M29-N29-O29-P29-Q29-R29-S29-T29+U29+V29-AS29+AQ29</f>
        <v>518.943483</v>
      </c>
      <c r="X29" s="129" t="n">
        <f aca="false">W29-AN29</f>
        <v>518.943483</v>
      </c>
      <c r="Y29" s="102" t="n">
        <f aca="false">Y28-(W29-I29)-Q29-R29-AE29</f>
        <v>6572.80326899999</v>
      </c>
      <c r="Z29" s="129" t="n">
        <f aca="false">(-AO29)</f>
        <v>397.588203</v>
      </c>
      <c r="AA29" s="102"/>
      <c r="AB29" s="102" t="n">
        <f aca="false">AB28-(AP28/1.9835)+AR29</f>
        <v>1835.71529733903</v>
      </c>
      <c r="AC29" s="200"/>
      <c r="AD29" s="129" t="n">
        <v>307</v>
      </c>
      <c r="AE29" s="233" t="n">
        <v>1.7</v>
      </c>
      <c r="AF29" s="234" t="n">
        <v>1.3</v>
      </c>
      <c r="AG29" s="472" t="n">
        <v>72</v>
      </c>
      <c r="AH29" s="416" t="n">
        <f aca="false">AH28-AG29</f>
        <v>11398.2578774893</v>
      </c>
      <c r="AI29" s="102"/>
      <c r="AJ29" s="128" t="n">
        <f aca="false">N29+O29+P29+Q29+R30+S29+T29+W29+AD29+AG29-AQ29</f>
        <v>976</v>
      </c>
      <c r="AK29" s="129" t="n">
        <f aca="false">IF(L29&lt;0,L29*-1,0)</f>
        <v>40.0579153012351</v>
      </c>
      <c r="AL29" s="129" t="n">
        <f aca="false">AJ29+AK29</f>
        <v>1016.05791530124</v>
      </c>
      <c r="AM29" s="205" t="n">
        <f aca="false">AM28</f>
        <v>14971.25965</v>
      </c>
      <c r="AN29" s="200"/>
      <c r="AO29" s="92" t="n">
        <f aca="false">I29-Q29-R29-W29-AE29</f>
        <v>-397.588203</v>
      </c>
      <c r="AP29" s="149" t="n">
        <f aca="false">60.3*(Y29*1.9835+A29*1.9835+A29*1.9835)/E29</f>
        <v>4.08563439697511</v>
      </c>
      <c r="AQ29" s="149" t="n">
        <v>36.713</v>
      </c>
      <c r="AR29" s="139" t="n">
        <v>29.2</v>
      </c>
      <c r="AS29" s="5"/>
      <c r="AT29" s="4"/>
      <c r="AU29" s="307" t="n">
        <v>0</v>
      </c>
      <c r="AV29" s="206" t="n">
        <v>96</v>
      </c>
      <c r="AW29" s="200" t="n">
        <v>64</v>
      </c>
      <c r="AX29" s="276"/>
      <c r="AY29" s="235" t="n">
        <f aca="false">SUM(N29,P29:T29)</f>
        <v>12.919517</v>
      </c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73" t="n">
        <f aca="false">A29+1</f>
        <v>16</v>
      </c>
      <c r="B30" s="101" t="n">
        <v>6915.29</v>
      </c>
      <c r="C30" s="102" t="n">
        <v>343583</v>
      </c>
      <c r="D30" s="200" t="n">
        <f aca="false">C30-C29</f>
        <v>-1711</v>
      </c>
      <c r="E30" s="102" t="n">
        <f aca="false">C30-152000</f>
        <v>191583</v>
      </c>
      <c r="F30" s="231" t="n">
        <f aca="false">D30/$D$2</f>
        <v>-862.616586841442</v>
      </c>
      <c r="G30" s="1" t="n">
        <v>120</v>
      </c>
      <c r="H30" s="4" t="n">
        <v>0.3</v>
      </c>
      <c r="I30" s="129" t="n">
        <f aca="false">G30+H30</f>
        <v>120.3</v>
      </c>
      <c r="J30" s="130" t="n">
        <f aca="false">IF(L30&gt;0,L30,0)</f>
        <v>0</v>
      </c>
      <c r="K30" s="129" t="n">
        <f aca="false">I30+J30</f>
        <v>120.3</v>
      </c>
      <c r="L30" s="129" t="n">
        <f aca="false">F30-(I30-AJ30)</f>
        <v>-16.9165868414418</v>
      </c>
      <c r="M30" s="233" t="n">
        <v>333</v>
      </c>
      <c r="N30" s="149" t="n">
        <f aca="false">1.8299*1.03</f>
        <v>1.884797</v>
      </c>
      <c r="O30" s="129" t="n">
        <f aca="false">(46+47)*1.05</f>
        <v>97.65</v>
      </c>
      <c r="P30" s="149" t="n">
        <v>0</v>
      </c>
      <c r="Q30" s="149" t="n">
        <f aca="false">2.936*1.02</f>
        <v>2.99472</v>
      </c>
      <c r="R30" s="149" t="n">
        <v>4.2</v>
      </c>
      <c r="S30" s="291" t="n">
        <v>4.59</v>
      </c>
      <c r="T30" s="334" t="n">
        <v>0</v>
      </c>
      <c r="U30" s="0" t="n">
        <v>173</v>
      </c>
      <c r="V30" s="129" t="n">
        <v>80</v>
      </c>
      <c r="W30" s="129" t="n">
        <f aca="false">M30-N30-O30-P30-Q30-R30-S30-T30+U30+V30-AS30+AQ30</f>
        <v>511.393483</v>
      </c>
      <c r="X30" s="129" t="n">
        <f aca="false">W30-AN30</f>
        <v>511.393483</v>
      </c>
      <c r="Y30" s="102" t="n">
        <f aca="false">Y29-(W30-I30)-Q30-R30-AE30</f>
        <v>6172.81506599999</v>
      </c>
      <c r="Z30" s="129" t="n">
        <f aca="false">(-AO30)</f>
        <v>399.988203</v>
      </c>
      <c r="AA30" s="102"/>
      <c r="AB30" s="102" t="n">
        <f aca="false">AB29-(AP29/1.9835)+AR30</f>
        <v>1862.85548670279</v>
      </c>
      <c r="AC30" s="200"/>
      <c r="AD30" s="129" t="n">
        <v>308</v>
      </c>
      <c r="AE30" s="233" t="n">
        <v>1.7</v>
      </c>
      <c r="AF30" s="234" t="n">
        <v>1.3</v>
      </c>
      <c r="AG30" s="472" t="n">
        <v>72</v>
      </c>
      <c r="AH30" s="416" t="n">
        <f aca="false">AH29-AG30</f>
        <v>11326.2578774893</v>
      </c>
      <c r="AI30" s="102"/>
      <c r="AJ30" s="128" t="n">
        <f aca="false">N30+O30+P30+Q30+R31+S30+T30+W30+AD30+AG30-AQ30</f>
        <v>966</v>
      </c>
      <c r="AK30" s="129" t="n">
        <f aca="false">IF(L30&lt;0,L30*-1,0)</f>
        <v>16.9165868414418</v>
      </c>
      <c r="AL30" s="129" t="n">
        <f aca="false">AJ30+AK30</f>
        <v>982.916586841442</v>
      </c>
      <c r="AM30" s="205" t="n">
        <f aca="false">AM29</f>
        <v>14971.25965</v>
      </c>
      <c r="AN30" s="200"/>
      <c r="AO30" s="92" t="n">
        <f aca="false">I30-Q30-R30-W30-AE30</f>
        <v>-399.988203</v>
      </c>
      <c r="AP30" s="149" t="n">
        <f aca="false">60.3*(Y30*1.9835+A30*1.9835+A30*1.9835)/E30</f>
        <v>3.87365902094488</v>
      </c>
      <c r="AQ30" s="149" t="n">
        <v>36.713</v>
      </c>
      <c r="AR30" s="139" t="n">
        <v>29.2</v>
      </c>
      <c r="AS30" s="5"/>
      <c r="AT30" s="4"/>
      <c r="AU30" s="307" t="n">
        <v>0</v>
      </c>
      <c r="AV30" s="206" t="n">
        <v>99</v>
      </c>
      <c r="AW30" s="200" t="n">
        <v>65</v>
      </c>
      <c r="AX30" s="276"/>
      <c r="AY30" s="235" t="n">
        <f aca="false">SUM(N30,P30:T30)</f>
        <v>13.669517</v>
      </c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73" t="n">
        <f aca="false">A30+1</f>
        <v>17</v>
      </c>
      <c r="B31" s="101" t="n">
        <v>6914.86</v>
      </c>
      <c r="C31" s="102" t="n">
        <v>341792</v>
      </c>
      <c r="D31" s="200" t="n">
        <f aca="false">C31-C30</f>
        <v>-1791</v>
      </c>
      <c r="E31" s="102" t="n">
        <f aca="false">C31-152000</f>
        <v>189792</v>
      </c>
      <c r="F31" s="231" t="n">
        <f aca="false">D31/$D$2</f>
        <v>-902.949331988908</v>
      </c>
      <c r="G31" s="1" t="n">
        <v>112</v>
      </c>
      <c r="H31" s="4" t="n">
        <v>0.61</v>
      </c>
      <c r="I31" s="129" t="n">
        <f aca="false">G31+H31</f>
        <v>112.61</v>
      </c>
      <c r="J31" s="130" t="n">
        <f aca="false">IF(L31&gt;0,L31,0)</f>
        <v>0</v>
      </c>
      <c r="K31" s="129" t="n">
        <f aca="false">I31+J31</f>
        <v>112.61</v>
      </c>
      <c r="L31" s="129" t="n">
        <f aca="false">F31-(I31-AJ31)</f>
        <v>-41.5593319889084</v>
      </c>
      <c r="M31" s="233" t="n">
        <v>337</v>
      </c>
      <c r="N31" s="149" t="n">
        <f aca="false">1.8299*1.03</f>
        <v>1.884797</v>
      </c>
      <c r="O31" s="129" t="n">
        <f aca="false">(49+48)*1.05</f>
        <v>101.85</v>
      </c>
      <c r="P31" s="149" t="n">
        <v>0</v>
      </c>
      <c r="Q31" s="149" t="n">
        <f aca="false">2.936*1.02</f>
        <v>2.99472</v>
      </c>
      <c r="R31" s="149" t="n">
        <v>4.2</v>
      </c>
      <c r="S31" s="291" t="n">
        <v>4.05</v>
      </c>
      <c r="T31" s="334" t="n">
        <v>0</v>
      </c>
      <c r="U31" s="0" t="n">
        <v>172</v>
      </c>
      <c r="V31" s="129" t="n">
        <v>81</v>
      </c>
      <c r="W31" s="129" t="n">
        <f aca="false">M31-N31-O31-P31-Q31-R31-S31-T31+U31+V31-AS31+AQ31</f>
        <v>511.733483</v>
      </c>
      <c r="X31" s="129" t="n">
        <f aca="false">W31-AN31</f>
        <v>511.733483</v>
      </c>
      <c r="Y31" s="102" t="n">
        <f aca="false">Y30-(W31-I31)-Q31-R31-AE31</f>
        <v>5764.79686299999</v>
      </c>
      <c r="Z31" s="129" t="n">
        <f aca="false">(-AO31)</f>
        <v>408.018203</v>
      </c>
      <c r="AA31" s="102"/>
      <c r="AB31" s="102" t="n">
        <f aca="false">AB30-(AP30/1.9835)+AR31</f>
        <v>1890.10254542679</v>
      </c>
      <c r="AC31" s="200"/>
      <c r="AD31" s="129" t="n">
        <v>312</v>
      </c>
      <c r="AE31" s="233" t="n">
        <v>1.7</v>
      </c>
      <c r="AF31" s="234" t="n">
        <v>1.3</v>
      </c>
      <c r="AG31" s="472" t="n">
        <v>72</v>
      </c>
      <c r="AH31" s="416" t="n">
        <f aca="false">AH30-AG31</f>
        <v>11254.2578774893</v>
      </c>
      <c r="AI31" s="102"/>
      <c r="AJ31" s="128" t="n">
        <f aca="false">N31+O31+P31+Q31+R32+S31+T31+W31+AD31+AG31-AQ31</f>
        <v>974</v>
      </c>
      <c r="AK31" s="129" t="n">
        <f aca="false">IF(L31&lt;0,L31*-1,0)</f>
        <v>41.5593319889084</v>
      </c>
      <c r="AL31" s="129" t="n">
        <f aca="false">AJ31+AK31</f>
        <v>1015.55933198891</v>
      </c>
      <c r="AM31" s="205" t="n">
        <f aca="false">AM30</f>
        <v>14971.25965</v>
      </c>
      <c r="AN31" s="200"/>
      <c r="AO31" s="92" t="n">
        <f aca="false">I31-Q31-R31-W31-AE31</f>
        <v>-408.018203</v>
      </c>
      <c r="AP31" s="149" t="n">
        <f aca="false">60.3*(Y31*1.9835+A31*1.9835+A31*1.9835)/E31</f>
        <v>3.65434469703126</v>
      </c>
      <c r="AQ31" s="149" t="n">
        <v>36.713</v>
      </c>
      <c r="AR31" s="139" t="n">
        <v>29.2</v>
      </c>
      <c r="AS31" s="5"/>
      <c r="AT31" s="4"/>
      <c r="AU31" s="307" t="n">
        <v>0</v>
      </c>
      <c r="AV31" s="206" t="n">
        <v>98</v>
      </c>
      <c r="AW31" s="200" t="n">
        <v>64</v>
      </c>
      <c r="AX31" s="276"/>
      <c r="AY31" s="235" t="n">
        <f aca="false">SUM(N31,P31:T31)</f>
        <v>13.129517</v>
      </c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73" t="n">
        <f aca="false">A31+1</f>
        <v>18</v>
      </c>
      <c r="B32" s="101" t="n">
        <v>6914.45</v>
      </c>
      <c r="C32" s="102" t="n">
        <v>340094</v>
      </c>
      <c r="D32" s="200" t="n">
        <f aca="false">C32-C31</f>
        <v>-1698</v>
      </c>
      <c r="E32" s="102" t="n">
        <f aca="false">C32-152000</f>
        <v>188094</v>
      </c>
      <c r="F32" s="231" t="n">
        <f aca="false">D32/$D$2</f>
        <v>-856.062515754979</v>
      </c>
      <c r="G32" s="1" t="n">
        <v>107</v>
      </c>
      <c r="H32" s="4" t="n">
        <v>0.39</v>
      </c>
      <c r="I32" s="129" t="n">
        <f aca="false">G32+H32</f>
        <v>107.39</v>
      </c>
      <c r="J32" s="130" t="n">
        <f aca="false">IF(L32&gt;0,L32,0)</f>
        <v>0</v>
      </c>
      <c r="K32" s="129" t="n">
        <f aca="false">I32+J32</f>
        <v>107.39</v>
      </c>
      <c r="L32" s="129" t="n">
        <f aca="false">F32-(I32-AJ32)</f>
        <v>-25.4525157549785</v>
      </c>
      <c r="M32" s="233" t="n">
        <v>345</v>
      </c>
      <c r="N32" s="149" t="n">
        <f aca="false">1.8299*1.03</f>
        <v>1.884797</v>
      </c>
      <c r="O32" s="129" t="n">
        <f aca="false">(50+52)*1.05</f>
        <v>107.1</v>
      </c>
      <c r="P32" s="149" t="n">
        <v>0</v>
      </c>
      <c r="Q32" s="149" t="n">
        <f aca="false">2.936*1.02</f>
        <v>2.99472</v>
      </c>
      <c r="R32" s="149" t="n">
        <v>4.2</v>
      </c>
      <c r="S32" s="291" t="n">
        <v>4.26</v>
      </c>
      <c r="T32" s="334" t="n">
        <v>0</v>
      </c>
      <c r="U32" s="0" t="n">
        <v>173</v>
      </c>
      <c r="V32" s="129" t="n">
        <v>82</v>
      </c>
      <c r="W32" s="129" t="n">
        <f aca="false">M32-N32-O32-P32-Q32-R32-S32-T32+U32+V32-AS32+AQ32</f>
        <v>516.273483</v>
      </c>
      <c r="X32" s="129" t="n">
        <f aca="false">W32-AN32</f>
        <v>516.273483</v>
      </c>
      <c r="Y32" s="102" t="n">
        <f aca="false">Y31-(W32-I32)-Q32-R32-AE32</f>
        <v>5347.01865999999</v>
      </c>
      <c r="Z32" s="129" t="n">
        <f aca="false">(-AO32)</f>
        <v>417.778203</v>
      </c>
      <c r="AA32" s="102"/>
      <c r="AB32" s="102" t="n">
        <f aca="false">AB31-(AP31/1.9835)+AR32</f>
        <v>1917.46017350996</v>
      </c>
      <c r="AC32" s="200"/>
      <c r="AD32" s="129" t="n">
        <v>266</v>
      </c>
      <c r="AE32" s="233" t="n">
        <v>1.7</v>
      </c>
      <c r="AF32" s="234" t="n">
        <v>1.3</v>
      </c>
      <c r="AG32" s="472" t="n">
        <v>72</v>
      </c>
      <c r="AH32" s="416" t="n">
        <f aca="false">AH31-AG32</f>
        <v>11182.2578774893</v>
      </c>
      <c r="AI32" s="102"/>
      <c r="AJ32" s="128" t="n">
        <f aca="false">N32+O32+P32+Q32+R33+S32+T32+W32+AD32+AG32-AQ32</f>
        <v>938</v>
      </c>
      <c r="AK32" s="129" t="n">
        <f aca="false">IF(L32&lt;0,L32*-1,0)</f>
        <v>25.4525157549785</v>
      </c>
      <c r="AL32" s="129" t="n">
        <f aca="false">AJ32+AK32</f>
        <v>963.452515754979</v>
      </c>
      <c r="AM32" s="205" t="n">
        <f aca="false">AM31</f>
        <v>14971.25965</v>
      </c>
      <c r="AN32" s="200"/>
      <c r="AO32" s="92" t="n">
        <f aca="false">I32-Q32-R32-W32-AE32</f>
        <v>-417.778203</v>
      </c>
      <c r="AP32" s="149" t="n">
        <f aca="false">60.3*(Y32*1.9835+A32*1.9835+A32*1.9835)/E32</f>
        <v>3.42294924867477</v>
      </c>
      <c r="AQ32" s="149" t="n">
        <v>36.713</v>
      </c>
      <c r="AR32" s="139" t="n">
        <v>29.2</v>
      </c>
      <c r="AS32" s="5"/>
      <c r="AT32" s="4"/>
      <c r="AU32" s="307" t="n">
        <v>0</v>
      </c>
      <c r="AV32" s="206" t="n">
        <v>99</v>
      </c>
      <c r="AW32" s="200" t="n">
        <v>68</v>
      </c>
      <c r="AX32" s="276"/>
      <c r="AY32" s="235" t="n">
        <f aca="false">SUM(N32,P32:T32)</f>
        <v>13.339517</v>
      </c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73" t="n">
        <f aca="false">A32+1</f>
        <v>19</v>
      </c>
      <c r="B33" s="101" t="n">
        <v>6914.03</v>
      </c>
      <c r="C33" s="102" t="n">
        <v>338355</v>
      </c>
      <c r="D33" s="200" t="n">
        <f aca="false">C33-C32</f>
        <v>-1739</v>
      </c>
      <c r="E33" s="102" t="n">
        <f aca="false">C33-152000</f>
        <v>186355</v>
      </c>
      <c r="F33" s="231" t="n">
        <f aca="false">D33/$D$2</f>
        <v>-876.733047643055</v>
      </c>
      <c r="G33" s="1" t="n">
        <v>108</v>
      </c>
      <c r="H33" s="4" t="n">
        <v>0.16</v>
      </c>
      <c r="I33" s="129" t="n">
        <f aca="false">G33+H33</f>
        <v>108.16</v>
      </c>
      <c r="J33" s="130" t="n">
        <f aca="false">IF(L33&gt;0,L33,0)</f>
        <v>0</v>
      </c>
      <c r="K33" s="129" t="n">
        <f aca="false">I33+J33</f>
        <v>108.16</v>
      </c>
      <c r="L33" s="129" t="n">
        <f aca="false">F33-(I33-AJ33)</f>
        <v>-35.8930476430551</v>
      </c>
      <c r="M33" s="233" t="n">
        <v>337</v>
      </c>
      <c r="N33" s="149" t="n">
        <f aca="false">1.8299*1.03</f>
        <v>1.884797</v>
      </c>
      <c r="O33" s="129" t="n">
        <f aca="false">(50+51)*1.05</f>
        <v>106.05</v>
      </c>
      <c r="P33" s="149" t="n">
        <v>0</v>
      </c>
      <c r="Q33" s="149" t="n">
        <f aca="false">2.936*1.02</f>
        <v>2.99472</v>
      </c>
      <c r="R33" s="149" t="n">
        <v>4.2</v>
      </c>
      <c r="S33" s="291" t="n">
        <v>4.6</v>
      </c>
      <c r="T33" s="334" t="n">
        <v>0</v>
      </c>
      <c r="U33" s="0" t="n">
        <v>149</v>
      </c>
      <c r="V33" s="129" t="n">
        <v>85</v>
      </c>
      <c r="W33" s="129" t="n">
        <f aca="false">M33-N33-O33-P33-Q33-R33-S33-T33+U33+V33-AS33+AQ33</f>
        <v>487.983483</v>
      </c>
      <c r="X33" s="129" t="n">
        <f aca="false">W33-AN33</f>
        <v>487.983483</v>
      </c>
      <c r="Y33" s="102" t="n">
        <f aca="false">Y32-(W33-I33)-Q33-R33-AE33</f>
        <v>4958.30045699999</v>
      </c>
      <c r="Z33" s="129" t="n">
        <f aca="false">(-AO33)</f>
        <v>388.718203</v>
      </c>
      <c r="AA33" s="102"/>
      <c r="AB33" s="102" t="n">
        <f aca="false">AB32-(AP32/1.9835)+AR33</f>
        <v>1944.93446176372</v>
      </c>
      <c r="AC33" s="200"/>
      <c r="AD33" s="129" t="n">
        <v>307</v>
      </c>
      <c r="AE33" s="233" t="n">
        <v>1.7</v>
      </c>
      <c r="AF33" s="234" t="n">
        <v>1.3</v>
      </c>
      <c r="AG33" s="472" t="n">
        <v>71</v>
      </c>
      <c r="AH33" s="416" t="n">
        <f aca="false">AH32-AG33</f>
        <v>11111.2578774893</v>
      </c>
      <c r="AI33" s="102"/>
      <c r="AJ33" s="128" t="n">
        <f aca="false">N33+O33+P33+Q33+R34+S33+T33+W33+AD33+AG33-AQ33</f>
        <v>949</v>
      </c>
      <c r="AK33" s="129" t="n">
        <f aca="false">IF(L33&lt;0,L33*-1,0)</f>
        <v>35.8930476430551</v>
      </c>
      <c r="AL33" s="129" t="n">
        <f aca="false">AJ33+AK33</f>
        <v>984.893047643055</v>
      </c>
      <c r="AM33" s="205" t="n">
        <f aca="false">AM32</f>
        <v>14971.25965</v>
      </c>
      <c r="AN33" s="200"/>
      <c r="AO33" s="92" t="n">
        <f aca="false">I33-Q33-R33-W33-AE33</f>
        <v>-388.718203</v>
      </c>
      <c r="AP33" s="149" t="n">
        <f aca="false">60.3*(Y33*1.9835+A33*1.9835+A33*1.9835)/E33</f>
        <v>3.20669027380272</v>
      </c>
      <c r="AQ33" s="149" t="n">
        <v>36.713</v>
      </c>
      <c r="AR33" s="139" t="n">
        <v>29.2</v>
      </c>
      <c r="AS33" s="5"/>
      <c r="AT33" s="4"/>
      <c r="AU33" s="307" t="n">
        <v>0</v>
      </c>
      <c r="AV33" s="206" t="n">
        <v>97</v>
      </c>
      <c r="AW33" s="200" t="n">
        <v>63</v>
      </c>
      <c r="AX33" s="276"/>
      <c r="AY33" s="235" t="n">
        <f aca="false">SUM(N33,P33:T33)</f>
        <v>13.679517</v>
      </c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73" t="n">
        <f aca="false">A33+1</f>
        <v>20</v>
      </c>
      <c r="B34" s="101" t="n">
        <v>6913.62</v>
      </c>
      <c r="C34" s="102" t="n">
        <v>336669</v>
      </c>
      <c r="D34" s="200" t="n">
        <f aca="false">C34-C33</f>
        <v>-1686</v>
      </c>
      <c r="E34" s="102" t="n">
        <f aca="false">C34-152000</f>
        <v>184669</v>
      </c>
      <c r="F34" s="231" t="n">
        <f aca="false">D34/$D$2</f>
        <v>-850.012603982859</v>
      </c>
      <c r="G34" s="1" t="n">
        <v>104</v>
      </c>
      <c r="H34" s="4" t="n">
        <v>0.17</v>
      </c>
      <c r="I34" s="129" t="n">
        <f aca="false">G34+H34</f>
        <v>104.17</v>
      </c>
      <c r="J34" s="130" t="n">
        <f aca="false">IF(L34&gt;0,L34,0)</f>
        <v>0</v>
      </c>
      <c r="K34" s="129" t="n">
        <f aca="false">I34+J34</f>
        <v>104.17</v>
      </c>
      <c r="L34" s="129" t="n">
        <f aca="false">F34-(I34-AJ34)</f>
        <v>-30.1826039828584</v>
      </c>
      <c r="M34" s="233" t="n">
        <v>339</v>
      </c>
      <c r="N34" s="149" t="n">
        <f aca="false">1.8299*1.03</f>
        <v>1.884797</v>
      </c>
      <c r="O34" s="129" t="n">
        <f aca="false">(49+50)*1.05</f>
        <v>103.95</v>
      </c>
      <c r="P34" s="149" t="n">
        <v>0</v>
      </c>
      <c r="Q34" s="149" t="n">
        <f aca="false">2.936*1.02</f>
        <v>2.99472</v>
      </c>
      <c r="R34" s="149" t="n">
        <v>4.2</v>
      </c>
      <c r="S34" s="291" t="n">
        <v>5.19</v>
      </c>
      <c r="T34" s="334" t="n">
        <v>0</v>
      </c>
      <c r="U34" s="0" t="n">
        <v>107</v>
      </c>
      <c r="V34" s="129" t="n">
        <v>89</v>
      </c>
      <c r="W34" s="129" t="n">
        <f aca="false">M34-N34-O34-P34-Q34-R34-S34-T34+U34+V34-AS34+AQ34</f>
        <v>453.493483</v>
      </c>
      <c r="X34" s="129" t="n">
        <f aca="false">W34-AN34</f>
        <v>453.493483</v>
      </c>
      <c r="Y34" s="102" t="n">
        <f aca="false">Y33-(W34-I34)-Q34-R34-AE34</f>
        <v>4600.08225399999</v>
      </c>
      <c r="Z34" s="129" t="n">
        <f aca="false">(-AO34)</f>
        <v>358.218203</v>
      </c>
      <c r="AA34" s="102"/>
      <c r="AB34" s="102" t="n">
        <f aca="false">AB33-(AP33/1.9835)+AR34</f>
        <v>1972.51777899397</v>
      </c>
      <c r="AC34" s="200"/>
      <c r="AD34" s="129" t="n">
        <v>319</v>
      </c>
      <c r="AE34" s="233" t="n">
        <v>1.7</v>
      </c>
      <c r="AF34" s="234" t="n">
        <v>1.3</v>
      </c>
      <c r="AG34" s="472" t="n">
        <v>70</v>
      </c>
      <c r="AH34" s="416" t="n">
        <f aca="false">AH33-AG34</f>
        <v>11041.2578774893</v>
      </c>
      <c r="AI34" s="102"/>
      <c r="AJ34" s="128" t="n">
        <f aca="false">N34+O34+P34+Q34+R35+S34+T34+W34+AD34+AG34-AQ34</f>
        <v>924</v>
      </c>
      <c r="AK34" s="129" t="n">
        <f aca="false">IF(L34&lt;0,L34*-1,0)</f>
        <v>30.1826039828584</v>
      </c>
      <c r="AL34" s="129" t="n">
        <f aca="false">AJ34+AK34</f>
        <v>954.182603982859</v>
      </c>
      <c r="AM34" s="205" t="n">
        <f aca="false">AM33</f>
        <v>14971.25965</v>
      </c>
      <c r="AN34" s="200"/>
      <c r="AO34" s="92" t="n">
        <f aca="false">I34-Q34-R34-W34-AE34</f>
        <v>-358.218203</v>
      </c>
      <c r="AP34" s="149" t="n">
        <f aca="false">60.3*(Y34*1.9835+A34*1.9835+A34*1.9835)/E34</f>
        <v>3.00525410325383</v>
      </c>
      <c r="AQ34" s="149" t="n">
        <v>36.713</v>
      </c>
      <c r="AR34" s="139" t="n">
        <v>29.2</v>
      </c>
      <c r="AS34" s="5"/>
      <c r="AT34" s="4"/>
      <c r="AU34" s="307" t="n">
        <v>0</v>
      </c>
      <c r="AV34" s="206" t="n">
        <v>96</v>
      </c>
      <c r="AW34" s="200" t="n">
        <v>61</v>
      </c>
      <c r="AX34" s="276"/>
      <c r="AY34" s="235" t="n">
        <f aca="false">SUM(N34,P34:T34)</f>
        <v>14.269517</v>
      </c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73" t="n">
        <f aca="false">A34+1</f>
        <v>21</v>
      </c>
      <c r="B35" s="101" t="n">
        <v>6913.26</v>
      </c>
      <c r="C35" s="102" t="n">
        <v>335190</v>
      </c>
      <c r="D35" s="200" t="n">
        <f aca="false">C35-C34</f>
        <v>-1479</v>
      </c>
      <c r="E35" s="102" t="n">
        <f aca="false">C35-152000</f>
        <v>183190</v>
      </c>
      <c r="F35" s="231" t="n">
        <f aca="false">D35/$D$2</f>
        <v>-745.651625913789</v>
      </c>
      <c r="G35" s="1" t="n">
        <v>110</v>
      </c>
      <c r="H35" s="4" t="n">
        <v>0.17</v>
      </c>
      <c r="I35" s="129" t="n">
        <f aca="false">G35+H35</f>
        <v>110.17</v>
      </c>
      <c r="J35" s="130" t="n">
        <f aca="false">IF(L35&gt;0,L35,0)</f>
        <v>32.1783740862113</v>
      </c>
      <c r="K35" s="129" t="n">
        <f aca="false">I35+J35</f>
        <v>142.348374086211</v>
      </c>
      <c r="L35" s="129" t="n">
        <f aca="false">F35-(I35-AJ35)</f>
        <v>32.1783740862113</v>
      </c>
      <c r="M35" s="233" t="n">
        <v>338</v>
      </c>
      <c r="N35" s="149" t="n">
        <f aca="false">1.8299*1.03</f>
        <v>1.884797</v>
      </c>
      <c r="O35" s="129" t="n">
        <f aca="false">(49+48)*1.05</f>
        <v>101.85</v>
      </c>
      <c r="P35" s="149" t="n">
        <v>0</v>
      </c>
      <c r="Q35" s="149" t="n">
        <f aca="false">2.936*1.02</f>
        <v>2.99472</v>
      </c>
      <c r="R35" s="149" t="n">
        <v>4.2</v>
      </c>
      <c r="S35" s="291" t="n">
        <v>1.52</v>
      </c>
      <c r="T35" s="334" t="n">
        <v>0</v>
      </c>
      <c r="U35" s="0" t="n">
        <v>97</v>
      </c>
      <c r="V35" s="129" t="n">
        <v>92</v>
      </c>
      <c r="W35" s="129" t="n">
        <f aca="false">M35-N35-O35-P35-Q35-R35-S35-T35+U35+V35-AS35+AQ35</f>
        <v>451.263483</v>
      </c>
      <c r="X35" s="129" t="n">
        <f aca="false">W35-AN35</f>
        <v>451.263483</v>
      </c>
      <c r="Y35" s="102" t="n">
        <f aca="false">Y34-(W35-I35)-Q35-R35-AE35</f>
        <v>4250.09405099999</v>
      </c>
      <c r="Z35" s="129" t="n">
        <f aca="false">(-AO35)</f>
        <v>349.988203</v>
      </c>
      <c r="AA35" s="102"/>
      <c r="AB35" s="102" t="n">
        <f aca="false">AB34-(AP34/1.9835)+AR35</f>
        <v>2000.20265214584</v>
      </c>
      <c r="AC35" s="200"/>
      <c r="AD35" s="129" t="n">
        <v>293</v>
      </c>
      <c r="AE35" s="233" t="n">
        <v>1.7</v>
      </c>
      <c r="AF35" s="234" t="n">
        <v>1.3</v>
      </c>
      <c r="AG35" s="472" t="n">
        <v>68</v>
      </c>
      <c r="AH35" s="416" t="n">
        <f aca="false">AH34-AG35</f>
        <v>10973.2578774893</v>
      </c>
      <c r="AI35" s="102"/>
      <c r="AJ35" s="128" t="n">
        <f aca="false">N35+O35+P35+Q35+R36+S35+T35+W35+AD35+AG35-AQ35</f>
        <v>888</v>
      </c>
      <c r="AK35" s="129" t="n">
        <f aca="false">IF(L35&lt;0,L35*-1,0)</f>
        <v>0</v>
      </c>
      <c r="AL35" s="129" t="n">
        <f aca="false">AJ35+AK35</f>
        <v>888</v>
      </c>
      <c r="AM35" s="205" t="n">
        <f aca="false">AM34</f>
        <v>14971.25965</v>
      </c>
      <c r="AN35" s="200"/>
      <c r="AO35" s="92" t="n">
        <f aca="false">I35-Q35-R35-W35-AE35</f>
        <v>-349.988203</v>
      </c>
      <c r="AP35" s="149" t="n">
        <f aca="false">60.3*(Y35*1.9835+A35*1.9835+A35*1.9835)/E35</f>
        <v>2.80231521139012</v>
      </c>
      <c r="AQ35" s="149" t="n">
        <v>36.713</v>
      </c>
      <c r="AR35" s="139" t="n">
        <v>29.2</v>
      </c>
      <c r="AS35" s="5"/>
      <c r="AT35" s="4"/>
      <c r="AU35" s="307" t="n">
        <v>0</v>
      </c>
      <c r="AV35" s="200" t="n">
        <v>92</v>
      </c>
      <c r="AW35" s="200" t="n">
        <v>66</v>
      </c>
      <c r="AX35" s="276"/>
      <c r="AY35" s="235" t="n">
        <f aca="false">SUM(N35,P35:T35)</f>
        <v>10.599517</v>
      </c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73" t="n">
        <f aca="false">A35+1</f>
        <v>22</v>
      </c>
      <c r="B36" s="101" t="n">
        <v>6912.93</v>
      </c>
      <c r="C36" s="102" t="n">
        <v>333836</v>
      </c>
      <c r="D36" s="200" t="n">
        <f aca="false">C36-C35</f>
        <v>-1354</v>
      </c>
      <c r="E36" s="102" t="n">
        <f aca="false">C36-152000</f>
        <v>181836</v>
      </c>
      <c r="F36" s="231" t="n">
        <f aca="false">D36/$D$2</f>
        <v>-682.631711620872</v>
      </c>
      <c r="G36" s="1" t="n">
        <v>165</v>
      </c>
      <c r="H36" s="4" t="n">
        <v>0.66</v>
      </c>
      <c r="I36" s="129" t="n">
        <f aca="false">G36+H36</f>
        <v>165.66</v>
      </c>
      <c r="J36" s="130" t="n">
        <f aca="false">IF(L36&gt;0,L36,0)</f>
        <v>11.7082883791279</v>
      </c>
      <c r="K36" s="129" t="n">
        <f aca="false">I36+J36</f>
        <v>177.368288379128</v>
      </c>
      <c r="L36" s="129" t="n">
        <f aca="false">F36-(I36-AJ36)</f>
        <v>11.7082883791279</v>
      </c>
      <c r="M36" s="233" t="n">
        <v>308</v>
      </c>
      <c r="N36" s="149" t="n">
        <f aca="false">1.8299*1.03</f>
        <v>1.884797</v>
      </c>
      <c r="O36" s="129" t="n">
        <f aca="false">(49+49)*1.05</f>
        <v>102.9</v>
      </c>
      <c r="P36" s="149" t="n">
        <v>0</v>
      </c>
      <c r="Q36" s="149" t="n">
        <f aca="false">2.936*1.02</f>
        <v>2.99472</v>
      </c>
      <c r="R36" s="149" t="n">
        <v>4.2</v>
      </c>
      <c r="S36" s="291" t="n">
        <v>1.07</v>
      </c>
      <c r="T36" s="334" t="n">
        <v>0</v>
      </c>
      <c r="U36" s="0" t="n">
        <v>97</v>
      </c>
      <c r="V36" s="129" t="n">
        <v>92</v>
      </c>
      <c r="W36" s="129" t="n">
        <f aca="false">M36-N36-O36-P36-Q36-R36-S36-T36+U36+V36-AS36+AQ36</f>
        <v>420.663483</v>
      </c>
      <c r="X36" s="129" t="n">
        <f aca="false">W36-AN36</f>
        <v>420.663483</v>
      </c>
      <c r="Y36" s="102" t="n">
        <f aca="false">Y35-(W36-I36)-Q36-R36-AE36</f>
        <v>3986.19584799999</v>
      </c>
      <c r="Z36" s="129" t="n">
        <f aca="false">(-AO36)</f>
        <v>263.898203</v>
      </c>
      <c r="AA36" s="102"/>
      <c r="AB36" s="102" t="n">
        <f aca="false">AB35-(AP35/1.9835)+AR36</f>
        <v>2027.98983883029</v>
      </c>
      <c r="AC36" s="200"/>
      <c r="AD36" s="129" t="n">
        <v>295</v>
      </c>
      <c r="AE36" s="233" t="n">
        <v>1.7</v>
      </c>
      <c r="AF36" s="234" t="n">
        <v>1.3</v>
      </c>
      <c r="AG36" s="472" t="n">
        <v>68</v>
      </c>
      <c r="AH36" s="416" t="n">
        <f aca="false">AH35-AG36</f>
        <v>10905.2578774893</v>
      </c>
      <c r="AI36" s="102"/>
      <c r="AJ36" s="128" t="n">
        <f aca="false">N36+O36+P36+Q36+R37+S36+T36+W36+AD36+AG36-AQ36</f>
        <v>860</v>
      </c>
      <c r="AK36" s="129" t="n">
        <f aca="false">IF(L36&lt;0,L36*-1,0)</f>
        <v>0</v>
      </c>
      <c r="AL36" s="129" t="n">
        <f aca="false">AJ36+AK36</f>
        <v>860</v>
      </c>
      <c r="AM36" s="205" t="n">
        <f aca="false">AM35</f>
        <v>14971.25965</v>
      </c>
      <c r="AN36" s="200"/>
      <c r="AO36" s="92" t="n">
        <f aca="false">I36-Q36-R36-W36-AE36</f>
        <v>-263.898203</v>
      </c>
      <c r="AP36" s="149" t="n">
        <f aca="false">60.3*(Y36*1.9835+A36*1.9835+A36*1.9835)/E36</f>
        <v>2.65091497783625</v>
      </c>
      <c r="AQ36" s="149" t="n">
        <v>36.713</v>
      </c>
      <c r="AR36" s="139" t="n">
        <v>29.2</v>
      </c>
      <c r="AS36" s="5"/>
      <c r="AT36" s="4"/>
      <c r="AU36" s="307" t="n">
        <v>0.12</v>
      </c>
      <c r="AV36" s="200" t="n">
        <v>84</v>
      </c>
      <c r="AW36" s="200" t="n">
        <v>62</v>
      </c>
      <c r="AX36" s="276"/>
      <c r="AY36" s="235" t="n">
        <f aca="false">SUM(N36,P36:T36)</f>
        <v>10.149517</v>
      </c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73" t="n">
        <f aca="false">A36+1</f>
        <v>23</v>
      </c>
      <c r="B37" s="101" t="n">
        <v>6912.61</v>
      </c>
      <c r="C37" s="102" t="n">
        <v>332531</v>
      </c>
      <c r="D37" s="200" t="n">
        <f aca="false">C37-C36</f>
        <v>-1305</v>
      </c>
      <c r="E37" s="102" t="n">
        <f aca="false">C37-152000</f>
        <v>180531</v>
      </c>
      <c r="F37" s="231" t="n">
        <f aca="false">D37/$D$2</f>
        <v>-657.927905218049</v>
      </c>
      <c r="G37" s="1" t="n">
        <v>204</v>
      </c>
      <c r="H37" s="4" t="n">
        <v>0.61</v>
      </c>
      <c r="I37" s="129" t="n">
        <f aca="false">G37+H37</f>
        <v>204.61</v>
      </c>
      <c r="J37" s="130" t="n">
        <f aca="false">IF(L37&gt;0,L37,0)</f>
        <v>0</v>
      </c>
      <c r="K37" s="129" t="n">
        <f aca="false">I37+J37</f>
        <v>204.61</v>
      </c>
      <c r="L37" s="129" t="n">
        <f aca="false">F37-(I37-AJ37)</f>
        <v>-40.5379052180489</v>
      </c>
      <c r="M37" s="233" t="n">
        <v>273</v>
      </c>
      <c r="N37" s="149" t="n">
        <f aca="false">1.8299*1.03</f>
        <v>1.884797</v>
      </c>
      <c r="O37" s="129" t="n">
        <f aca="false">(47+46)*1.05</f>
        <v>97.65</v>
      </c>
      <c r="P37" s="149" t="n">
        <v>0</v>
      </c>
      <c r="Q37" s="149" t="n">
        <f aca="false">2.936*1.02</f>
        <v>2.99472</v>
      </c>
      <c r="R37" s="149" t="n">
        <v>4.2</v>
      </c>
      <c r="S37" s="291" t="n">
        <v>1.47</v>
      </c>
      <c r="T37" s="334" t="n">
        <v>0</v>
      </c>
      <c r="U37" s="0" t="n">
        <v>97</v>
      </c>
      <c r="V37" s="129" t="n">
        <v>91</v>
      </c>
      <c r="W37" s="129" t="n">
        <f aca="false">M37-N37-O37-P37-Q37-R37-S37-T37+U37+V37-AS37+AQ37</f>
        <v>389.513483</v>
      </c>
      <c r="X37" s="129" t="n">
        <f aca="false">W37-AN37</f>
        <v>389.513483</v>
      </c>
      <c r="Y37" s="102" t="n">
        <f aca="false">Y36-(W37-I37)-Q37-R37-AE37</f>
        <v>3792.39764499999</v>
      </c>
      <c r="Z37" s="129" t="n">
        <f aca="false">(-AO37)</f>
        <v>193.798203</v>
      </c>
      <c r="AA37" s="102"/>
      <c r="AB37" s="102" t="n">
        <f aca="false">AB36-(AP36/1.9835)+AR37</f>
        <v>2053.69335535269</v>
      </c>
      <c r="AC37" s="200"/>
      <c r="AD37" s="129" t="n">
        <v>289</v>
      </c>
      <c r="AE37" s="233" t="n">
        <v>1.7</v>
      </c>
      <c r="AF37" s="234" t="n">
        <v>1.3</v>
      </c>
      <c r="AG37" s="472" t="n">
        <v>72</v>
      </c>
      <c r="AH37" s="416" t="n">
        <f aca="false">AH36-AG37</f>
        <v>10833.2578774893</v>
      </c>
      <c r="AI37" s="102"/>
      <c r="AJ37" s="128" t="n">
        <f aca="false">N37+O37+P37+Q37+R38+S37+T37+W37+AD37+AG37-AQ37</f>
        <v>822</v>
      </c>
      <c r="AK37" s="129" t="n">
        <f aca="false">IF(L37&lt;0,L37*-1,0)</f>
        <v>40.5379052180489</v>
      </c>
      <c r="AL37" s="129" t="n">
        <f aca="false">AJ37+AK37</f>
        <v>862.537905218049</v>
      </c>
      <c r="AM37" s="205" t="n">
        <f aca="false">AM36</f>
        <v>14971.25965</v>
      </c>
      <c r="AN37" s="200"/>
      <c r="AO37" s="92" t="n">
        <f aca="false">I37-Q37-R37-W37-AE37</f>
        <v>-193.798203</v>
      </c>
      <c r="AP37" s="149" t="n">
        <f aca="false">60.3*(Y37*1.9835+A37*1.9835+A37*1.9835)/E37</f>
        <v>2.54300780613915</v>
      </c>
      <c r="AQ37" s="149" t="n">
        <v>36.713</v>
      </c>
      <c r="AR37" s="139" t="n">
        <v>27.04</v>
      </c>
      <c r="AS37" s="5"/>
      <c r="AT37" s="4"/>
      <c r="AU37" s="307" t="n">
        <v>0</v>
      </c>
      <c r="AV37" s="200" t="n">
        <v>88</v>
      </c>
      <c r="AW37" s="206" t="n">
        <v>54</v>
      </c>
      <c r="AX37" s="276"/>
      <c r="AY37" s="235" t="n">
        <f aca="false">SUM(N37,P37:T37)</f>
        <v>10.549517</v>
      </c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73" t="n">
        <f aca="false">A37+1</f>
        <v>24</v>
      </c>
      <c r="B38" s="101" t="n">
        <v>6912.33</v>
      </c>
      <c r="C38" s="102" t="n">
        <v>331390</v>
      </c>
      <c r="D38" s="200" t="n">
        <f aca="false">C38-C37</f>
        <v>-1141</v>
      </c>
      <c r="E38" s="102" t="n">
        <f aca="false">C38-152000</f>
        <v>179390</v>
      </c>
      <c r="F38" s="231" t="n">
        <f aca="false">D38/$D$2</f>
        <v>-575.245777665742</v>
      </c>
      <c r="G38" s="1" t="n">
        <v>192</v>
      </c>
      <c r="H38" s="4" t="n">
        <v>0.55</v>
      </c>
      <c r="I38" s="129" t="n">
        <f aca="false">G38+H38</f>
        <v>192.55</v>
      </c>
      <c r="J38" s="130" t="n">
        <f aca="false">IF(L38&gt;0,L38,0)</f>
        <v>0</v>
      </c>
      <c r="K38" s="129" t="n">
        <f aca="false">I38+J38</f>
        <v>192.55</v>
      </c>
      <c r="L38" s="129" t="n">
        <f aca="false">F38-(I38-AJ38)</f>
        <v>-8.79577766574232</v>
      </c>
      <c r="M38" s="233" t="n">
        <v>244</v>
      </c>
      <c r="N38" s="149" t="n">
        <f aca="false">1.8299*1.03</f>
        <v>1.884797</v>
      </c>
      <c r="O38" s="129" t="n">
        <f aca="false">(37+37)*1.05</f>
        <v>77.7</v>
      </c>
      <c r="P38" s="149" t="n">
        <v>0</v>
      </c>
      <c r="Q38" s="149" t="n">
        <f aca="false">2.936*1.02</f>
        <v>2.99472</v>
      </c>
      <c r="R38" s="149" t="n">
        <v>4.2</v>
      </c>
      <c r="S38" s="291" t="n">
        <v>0.94</v>
      </c>
      <c r="T38" s="334" t="n">
        <v>0</v>
      </c>
      <c r="U38" s="0" t="n">
        <v>98</v>
      </c>
      <c r="V38" s="129" t="n">
        <v>93</v>
      </c>
      <c r="W38" s="129" t="n">
        <f aca="false">M38-N38-O38-P38-Q38-R38-S38-T38+U38+V38-AS38+AQ38</f>
        <v>383.993483</v>
      </c>
      <c r="X38" s="129" t="n">
        <f aca="false">W38-AN38</f>
        <v>383.993483</v>
      </c>
      <c r="Y38" s="102" t="n">
        <f aca="false">Y37-(W38-I38)-Q38-R38-AE38</f>
        <v>3592.05944199999</v>
      </c>
      <c r="Z38" s="129" t="n">
        <f aca="false">(-AO38)</f>
        <v>200.338203</v>
      </c>
      <c r="AA38" s="102"/>
      <c r="AB38" s="102" t="n">
        <f aca="false">AB37-(AP37/1.9835)+AR38</f>
        <v>2052.41127428077</v>
      </c>
      <c r="AC38" s="200"/>
      <c r="AD38" s="129" t="n">
        <v>249</v>
      </c>
      <c r="AE38" s="233" t="n">
        <v>1.7</v>
      </c>
      <c r="AF38" s="234" t="n">
        <v>1.3</v>
      </c>
      <c r="AG38" s="472" t="n">
        <v>75</v>
      </c>
      <c r="AH38" s="416" t="n">
        <f aca="false">AH37-AG38</f>
        <v>10758.2578774893</v>
      </c>
      <c r="AI38" s="102"/>
      <c r="AJ38" s="128" t="n">
        <f aca="false">N38+O38+P38+Q38+R39+S38+T38+W38+AD38+AG38-AQ38</f>
        <v>759</v>
      </c>
      <c r="AK38" s="129" t="n">
        <f aca="false">IF(L38&lt;0,L38*-1,0)</f>
        <v>8.79577766574232</v>
      </c>
      <c r="AL38" s="129" t="n">
        <f aca="false">AJ38+AK38</f>
        <v>767.795777665742</v>
      </c>
      <c r="AM38" s="205" t="n">
        <f aca="false">AM37</f>
        <v>14971.25965</v>
      </c>
      <c r="AN38" s="200"/>
      <c r="AO38" s="92" t="n">
        <f aca="false">I38-Q38-R38-W38-AE38</f>
        <v>-200.338203</v>
      </c>
      <c r="AP38" s="149" t="n">
        <f aca="false">60.3*(Y38*1.9835+A38*1.9835+A38*1.9835)/E38</f>
        <v>2.42694404126976</v>
      </c>
      <c r="AQ38" s="149" t="n">
        <v>36.713</v>
      </c>
      <c r="AR38" s="139"/>
      <c r="AS38" s="5"/>
      <c r="AT38" s="4"/>
      <c r="AU38" s="307" t="n">
        <v>0.01</v>
      </c>
      <c r="AV38" s="200" t="n">
        <v>88</v>
      </c>
      <c r="AW38" s="206" t="n">
        <v>55</v>
      </c>
      <c r="AX38" s="276"/>
      <c r="AY38" s="235" t="n">
        <f aca="false">SUM(N38,P38:T38)</f>
        <v>10.019517</v>
      </c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73" t="n">
        <f aca="false">A38+1</f>
        <v>25</v>
      </c>
      <c r="B39" s="101" t="n">
        <v>6912.13</v>
      </c>
      <c r="C39" s="102" t="n">
        <v>330574</v>
      </c>
      <c r="D39" s="200" t="n">
        <f aca="false">C39-C38</f>
        <v>-816</v>
      </c>
      <c r="E39" s="102" t="n">
        <f aca="false">C39-152000</f>
        <v>178574</v>
      </c>
      <c r="F39" s="231" t="n">
        <f aca="false">D39/$D$2</f>
        <v>-411.394000504159</v>
      </c>
      <c r="G39" s="1" t="n">
        <v>184</v>
      </c>
      <c r="H39" s="4" t="n">
        <v>0.94</v>
      </c>
      <c r="I39" s="129" t="n">
        <f aca="false">G39+H39</f>
        <v>184.94</v>
      </c>
      <c r="J39" s="130" t="n">
        <f aca="false">IF(L39&gt;0,L39,0)</f>
        <v>96.6659994958408</v>
      </c>
      <c r="K39" s="129" t="n">
        <f aca="false">I39+J39</f>
        <v>281.605999495841</v>
      </c>
      <c r="L39" s="129" t="n">
        <f aca="false">F39-(I39-AJ39)</f>
        <v>96.6659994958408</v>
      </c>
      <c r="M39" s="233" t="n">
        <v>253</v>
      </c>
      <c r="N39" s="149" t="n">
        <f aca="false">1.8299*1.03</f>
        <v>1.884797</v>
      </c>
      <c r="O39" s="129" t="n">
        <f aca="false">(44+45)*1.05</f>
        <v>93.45</v>
      </c>
      <c r="P39" s="149" t="n">
        <v>0</v>
      </c>
      <c r="Q39" s="149" t="n">
        <f aca="false">2.936*1.02</f>
        <v>2.99472</v>
      </c>
      <c r="R39" s="149" t="n">
        <v>4.2</v>
      </c>
      <c r="S39" s="291" t="n">
        <v>1.03</v>
      </c>
      <c r="T39" s="334" t="n">
        <v>0</v>
      </c>
      <c r="U39" s="0" t="n">
        <v>98</v>
      </c>
      <c r="V39" s="129" t="n">
        <v>93</v>
      </c>
      <c r="W39" s="129" t="n">
        <f aca="false">M39-N39-O39-P39-Q39-R39-S39-T39+U39+V39-AS39+AQ39</f>
        <v>377.153483</v>
      </c>
      <c r="X39" s="129" t="n">
        <f aca="false">W39-AN39</f>
        <v>377.153483</v>
      </c>
      <c r="Y39" s="102" t="n">
        <f aca="false">Y38-(W39-I39)-Q39-R39-AE39</f>
        <v>3390.95123899999</v>
      </c>
      <c r="Z39" s="129" t="n">
        <f aca="false">(-AO39)</f>
        <v>201.108203</v>
      </c>
      <c r="AA39" s="102"/>
      <c r="AB39" s="102" t="n">
        <f aca="false">AB38-(AP38/1.9835)+AR39</f>
        <v>2051.18770783698</v>
      </c>
      <c r="AC39" s="200"/>
      <c r="AD39" s="129" t="n">
        <v>174</v>
      </c>
      <c r="AE39" s="233" t="n">
        <v>1.7</v>
      </c>
      <c r="AF39" s="234" t="n">
        <v>1.3</v>
      </c>
      <c r="AG39" s="472" t="n">
        <v>75</v>
      </c>
      <c r="AH39" s="416" t="n">
        <f aca="false">AH38-AG39</f>
        <v>10683.2578774893</v>
      </c>
      <c r="AI39" s="102"/>
      <c r="AJ39" s="128" t="n">
        <f aca="false">N39+O39+P39+Q39+R40+S39+T39+W39+AD39+AG39-AQ39</f>
        <v>693</v>
      </c>
      <c r="AK39" s="129" t="n">
        <f aca="false">IF(L39&lt;0,L39*-1,0)</f>
        <v>0</v>
      </c>
      <c r="AL39" s="129" t="n">
        <f aca="false">AJ39+AK39</f>
        <v>693</v>
      </c>
      <c r="AM39" s="205" t="n">
        <f aca="false">AM38</f>
        <v>14971.25965</v>
      </c>
      <c r="AN39" s="200"/>
      <c r="AO39" s="92" t="n">
        <f aca="false">I39-Q39-R39-W39-AE39</f>
        <v>-201.108203</v>
      </c>
      <c r="AP39" s="149" t="n">
        <f aca="false">60.3*(Y39*1.9835+A39*1.9835+A39*1.9835)/E39</f>
        <v>2.30467562460468</v>
      </c>
      <c r="AQ39" s="149" t="n">
        <v>36.713</v>
      </c>
      <c r="AR39" s="139"/>
      <c r="AS39" s="5"/>
      <c r="AT39" s="4"/>
      <c r="AU39" s="307" t="n">
        <v>0.65</v>
      </c>
      <c r="AV39" s="200" t="n">
        <v>86</v>
      </c>
      <c r="AW39" s="206" t="n">
        <v>57</v>
      </c>
      <c r="AX39" s="276"/>
      <c r="AY39" s="235" t="n">
        <f aca="false">SUM(N39,P39:T39)</f>
        <v>10.109517</v>
      </c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73" t="n">
        <f aca="false">A39+1</f>
        <v>26</v>
      </c>
      <c r="B40" s="101" t="n">
        <v>6911.86</v>
      </c>
      <c r="C40" s="102" t="n">
        <v>329478</v>
      </c>
      <c r="D40" s="200" t="n">
        <f aca="false">C40-C39</f>
        <v>-1096</v>
      </c>
      <c r="E40" s="102" t="n">
        <f aca="false">C40-152000</f>
        <v>177478</v>
      </c>
      <c r="F40" s="231" t="n">
        <f aca="false">D40/$D$2</f>
        <v>-552.558608520292</v>
      </c>
      <c r="G40" s="1" t="n">
        <v>168</v>
      </c>
      <c r="H40" s="4" t="n">
        <v>0.6</v>
      </c>
      <c r="I40" s="129" t="n">
        <f aca="false">G40+H40</f>
        <v>168.6</v>
      </c>
      <c r="J40" s="130" t="n">
        <f aca="false">IF(L40&gt;0,L40,0)</f>
        <v>0</v>
      </c>
      <c r="K40" s="129" t="n">
        <f aca="false">I40+J40</f>
        <v>168.6</v>
      </c>
      <c r="L40" s="129" t="n">
        <f aca="false">F40-(I40-AJ40)</f>
        <v>-53.1586085202924</v>
      </c>
      <c r="M40" s="233" t="n">
        <v>221</v>
      </c>
      <c r="N40" s="149" t="n">
        <f aca="false">1.8299*1.03</f>
        <v>1.884797</v>
      </c>
      <c r="O40" s="129" t="n">
        <f aca="false">(42+44)*1.05</f>
        <v>90.3</v>
      </c>
      <c r="P40" s="149" t="n">
        <v>0</v>
      </c>
      <c r="Q40" s="149" t="n">
        <f aca="false">2.936*1.02</f>
        <v>2.99472</v>
      </c>
      <c r="R40" s="149" t="n">
        <v>4.2</v>
      </c>
      <c r="S40" s="291" t="n">
        <v>1.72</v>
      </c>
      <c r="T40" s="334" t="n">
        <v>0</v>
      </c>
      <c r="U40" s="0" t="n">
        <v>93</v>
      </c>
      <c r="V40" s="129" t="n">
        <v>90</v>
      </c>
      <c r="W40" s="129" t="n">
        <f aca="false">M40-N40-O40-P40-Q40-R40-S40-T40+U40+V40-AS40+AQ40</f>
        <v>339.613483</v>
      </c>
      <c r="X40" s="129" t="n">
        <f aca="false">W40-AN40</f>
        <v>339.613483</v>
      </c>
      <c r="Y40" s="102" t="n">
        <f aca="false">Y39-(W40-I40)-Q40-R40-AE40</f>
        <v>3211.04303599999</v>
      </c>
      <c r="Z40" s="129" t="n">
        <f aca="false">(-AO40)</f>
        <v>179.908203</v>
      </c>
      <c r="AA40" s="102"/>
      <c r="AB40" s="102" t="n">
        <f aca="false">AB39-(AP39/1.9835)+AR40</f>
        <v>2050.02578415429</v>
      </c>
      <c r="AC40" s="200"/>
      <c r="AD40" s="129" t="n">
        <v>189</v>
      </c>
      <c r="AE40" s="233" t="n">
        <v>1.7</v>
      </c>
      <c r="AF40" s="234" t="n">
        <v>1.3</v>
      </c>
      <c r="AG40" s="472" t="n">
        <v>75</v>
      </c>
      <c r="AH40" s="416" t="n">
        <f aca="false">AH39-AG40</f>
        <v>10608.2578774893</v>
      </c>
      <c r="AI40" s="102"/>
      <c r="AJ40" s="128" t="n">
        <f aca="false">N40+O40+P40+Q40+R41+S40+T40+W40+AD40+AG40-AQ40</f>
        <v>668</v>
      </c>
      <c r="AK40" s="129" t="n">
        <f aca="false">IF(L40&lt;0,L40*-1,0)</f>
        <v>53.1586085202924</v>
      </c>
      <c r="AL40" s="129" t="n">
        <f aca="false">AJ40+AK40</f>
        <v>721.158608520292</v>
      </c>
      <c r="AM40" s="205" t="n">
        <f aca="false">AM39</f>
        <v>14971.25965</v>
      </c>
      <c r="AN40" s="200"/>
      <c r="AO40" s="92" t="n">
        <f aca="false">I40-Q40-R40-W40-AE40</f>
        <v>-179.908203</v>
      </c>
      <c r="AP40" s="149" t="n">
        <f aca="false">60.3*(Y40*1.9835+A40*1.9835+A40*1.9835)/E40</f>
        <v>2.19901297892094</v>
      </c>
      <c r="AQ40" s="149" t="n">
        <v>36.713</v>
      </c>
      <c r="AR40" s="139"/>
      <c r="AS40" s="5"/>
      <c r="AT40" s="4"/>
      <c r="AU40" s="307" t="n">
        <v>0.01</v>
      </c>
      <c r="AV40" s="200" t="n">
        <v>86</v>
      </c>
      <c r="AW40" s="200" t="n">
        <v>60</v>
      </c>
      <c r="AX40" s="276"/>
      <c r="AY40" s="235" t="n">
        <f aca="false">SUM(N40,P40:T40)</f>
        <v>10.799517</v>
      </c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73" t="n">
        <f aca="false">A40+1</f>
        <v>27</v>
      </c>
      <c r="B41" s="101" t="n">
        <v>6911.64</v>
      </c>
      <c r="C41" s="102" t="n">
        <v>328588</v>
      </c>
      <c r="D41" s="200" t="n">
        <f aca="false">C41-C40</f>
        <v>-890</v>
      </c>
      <c r="E41" s="102" t="n">
        <f aca="false">C41-152000</f>
        <v>176588</v>
      </c>
      <c r="F41" s="231" t="n">
        <f aca="false">D41/$D$2</f>
        <v>-448.701789765566</v>
      </c>
      <c r="G41" s="1" t="n">
        <v>187</v>
      </c>
      <c r="H41" s="4" t="n">
        <v>0.25</v>
      </c>
      <c r="I41" s="129" t="n">
        <f aca="false">G41+H41</f>
        <v>187.25</v>
      </c>
      <c r="J41" s="130" t="n">
        <f aca="false">IF(L41&gt;0,L41,0)</f>
        <v>33.0482102344342</v>
      </c>
      <c r="K41" s="129" t="n">
        <f aca="false">I41+J41</f>
        <v>220.298210234434</v>
      </c>
      <c r="L41" s="129" t="n">
        <f aca="false">F41-(I41-AJ41)</f>
        <v>33.0482102344342</v>
      </c>
      <c r="M41" s="233" t="n">
        <v>220</v>
      </c>
      <c r="N41" s="149" t="n">
        <f aca="false">1.8299*1.03</f>
        <v>1.884797</v>
      </c>
      <c r="O41" s="129" t="n">
        <f aca="false">(33+33)*1.05</f>
        <v>69.3</v>
      </c>
      <c r="P41" s="149" t="n">
        <v>0</v>
      </c>
      <c r="Q41" s="149" t="n">
        <f aca="false">2.936*1.02</f>
        <v>2.99472</v>
      </c>
      <c r="R41" s="149" t="n">
        <v>4.2</v>
      </c>
      <c r="S41" s="291" t="n">
        <v>1.36</v>
      </c>
      <c r="T41" s="334" t="n">
        <v>0</v>
      </c>
      <c r="U41" s="0" t="n">
        <v>93</v>
      </c>
      <c r="V41" s="129" t="n">
        <v>90</v>
      </c>
      <c r="W41" s="129" t="n">
        <f aca="false">M41-N41-O41-P41-Q41-R41-S41-T41+U41+V41-AS41+AQ41</f>
        <v>359.973483</v>
      </c>
      <c r="X41" s="129" t="n">
        <f aca="false">W41-AN41</f>
        <v>359.973483</v>
      </c>
      <c r="Y41" s="102" t="n">
        <f aca="false">Y40-(W41-I41)-Q41-R41-AE41</f>
        <v>3029.42483299999</v>
      </c>
      <c r="Z41" s="129" t="n">
        <f aca="false">(-AO41)</f>
        <v>181.618203</v>
      </c>
      <c r="AA41" s="102"/>
      <c r="AB41" s="102" t="n">
        <f aca="false">AB40-(AP40/1.9835)+AR41</f>
        <v>2048.91713127861</v>
      </c>
      <c r="AC41" s="200"/>
      <c r="AD41" s="129" t="n">
        <v>190</v>
      </c>
      <c r="AE41" s="233" t="n">
        <v>1.7</v>
      </c>
      <c r="AF41" s="234" t="n">
        <v>1.3</v>
      </c>
      <c r="AG41" s="472" t="n">
        <v>76</v>
      </c>
      <c r="AH41" s="416" t="n">
        <f aca="false">AH40-AG41</f>
        <v>10532.2578774893</v>
      </c>
      <c r="AI41" s="102"/>
      <c r="AJ41" s="128" t="n">
        <f aca="false">N41+O41+P41+Q41+R42+S41+T41+W41+AD41+AG41-AQ41</f>
        <v>669</v>
      </c>
      <c r="AK41" s="129" t="n">
        <f aca="false">IF(L41&lt;0,L41*-1,0)</f>
        <v>0</v>
      </c>
      <c r="AL41" s="129" t="n">
        <f aca="false">AJ41+AK41</f>
        <v>669</v>
      </c>
      <c r="AM41" s="205" t="n">
        <f aca="false">AM40</f>
        <v>14971.25965</v>
      </c>
      <c r="AN41" s="200"/>
      <c r="AO41" s="92" t="n">
        <f aca="false">I41-Q41-R41-W41-AE41</f>
        <v>-181.618203</v>
      </c>
      <c r="AP41" s="149" t="n">
        <f aca="false">60.3*(Y41*1.9835+A41*1.9835+A41*1.9835)/E41</f>
        <v>2.08843851973071</v>
      </c>
      <c r="AQ41" s="149" t="n">
        <v>36.713</v>
      </c>
      <c r="AR41" s="139"/>
      <c r="AS41" s="5"/>
      <c r="AT41" s="4"/>
      <c r="AU41" s="307" t="n">
        <v>0</v>
      </c>
      <c r="AV41" s="200" t="n">
        <v>88</v>
      </c>
      <c r="AW41" s="200" t="n">
        <v>58</v>
      </c>
      <c r="AX41" s="276"/>
      <c r="AY41" s="235" t="n">
        <f aca="false">SUM(N41,P41:T41)</f>
        <v>10.439517</v>
      </c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173" t="n">
        <f aca="false">A41+1</f>
        <v>28</v>
      </c>
      <c r="B42" s="101" t="n">
        <v>6911.45</v>
      </c>
      <c r="C42" s="102" t="n">
        <v>327820</v>
      </c>
      <c r="D42" s="200" t="n">
        <f aca="false">C42-C41</f>
        <v>-768</v>
      </c>
      <c r="E42" s="102" t="n">
        <f aca="false">C42-152000</f>
        <v>175820</v>
      </c>
      <c r="F42" s="231" t="n">
        <f aca="false">D42/$D$2</f>
        <v>-387.194353415679</v>
      </c>
      <c r="G42" s="1" t="n">
        <v>174</v>
      </c>
      <c r="H42" s="4" t="n">
        <v>0.25</v>
      </c>
      <c r="I42" s="129" t="n">
        <f aca="false">G42+H42</f>
        <v>174.25</v>
      </c>
      <c r="J42" s="130" t="n">
        <f aca="false">IF(L42&gt;0,L42,0)</f>
        <v>15.5556465843206</v>
      </c>
      <c r="K42" s="129" t="n">
        <f aca="false">I42+J42</f>
        <v>189.805646584321</v>
      </c>
      <c r="L42" s="129" t="n">
        <f aca="false">F42-(I42-AJ42)</f>
        <v>15.5556465843206</v>
      </c>
      <c r="M42" s="233" t="n">
        <v>175</v>
      </c>
      <c r="N42" s="149" t="n">
        <f aca="false">1.8299*1.03</f>
        <v>1.884797</v>
      </c>
      <c r="O42" s="129" t="n">
        <f aca="false">(29+29)*1.05</f>
        <v>60.9</v>
      </c>
      <c r="P42" s="149" t="n">
        <v>0</v>
      </c>
      <c r="Q42" s="149" t="n">
        <f aca="false">2.936*1.02</f>
        <v>2.99472</v>
      </c>
      <c r="R42" s="149" t="n">
        <v>4.2</v>
      </c>
      <c r="S42" s="291" t="n">
        <v>2.33</v>
      </c>
      <c r="T42" s="334" t="n">
        <v>0</v>
      </c>
      <c r="U42" s="0" t="n">
        <v>94</v>
      </c>
      <c r="V42" s="129" t="n">
        <v>88</v>
      </c>
      <c r="W42" s="129" t="n">
        <f aca="false">M42-N42-O42-P42-Q42-R42-S42-T42+U42+V42-AS42+AQ42</f>
        <v>321.403483</v>
      </c>
      <c r="X42" s="129" t="n">
        <f aca="false">W42-AN42</f>
        <v>321.403483</v>
      </c>
      <c r="Y42" s="102" t="n">
        <f aca="false">Y41-(W42-I42)-Q42-R42-AE42</f>
        <v>2873.37662999999</v>
      </c>
      <c r="Z42" s="129" t="n">
        <f aca="false">(-AO42)</f>
        <v>156.048203</v>
      </c>
      <c r="AA42" s="102"/>
      <c r="AB42" s="102" t="n">
        <f aca="false">AB41-(AP41/1.9835)+AR42</f>
        <v>2047.86422554645</v>
      </c>
      <c r="AC42" s="200"/>
      <c r="AD42" s="129" t="n">
        <v>144</v>
      </c>
      <c r="AE42" s="233" t="n">
        <v>1.7</v>
      </c>
      <c r="AF42" s="234" t="n">
        <v>1.3</v>
      </c>
      <c r="AG42" s="472" t="n">
        <v>76</v>
      </c>
      <c r="AH42" s="416" t="n">
        <f aca="false">AH41-AG42</f>
        <v>10456.2578774893</v>
      </c>
      <c r="AI42" s="102"/>
      <c r="AJ42" s="128" t="n">
        <f aca="false">N42+O42+P42+Q42+R43+S42+T42+W42+AD42+AG42-AQ42</f>
        <v>577</v>
      </c>
      <c r="AK42" s="129" t="n">
        <f aca="false">IF(L42&lt;0,L42*-1,0)</f>
        <v>0</v>
      </c>
      <c r="AL42" s="129" t="n">
        <f aca="false">AJ42+AK42</f>
        <v>577</v>
      </c>
      <c r="AM42" s="205" t="n">
        <f aca="false">AM41</f>
        <v>14971.25965</v>
      </c>
      <c r="AN42" s="200"/>
      <c r="AO42" s="92" t="n">
        <f aca="false">I42-Q42-R42-W42-AE42</f>
        <v>-156.048203</v>
      </c>
      <c r="AP42" s="149" t="n">
        <f aca="false">60.3*(Y42*1.9835+A42*1.9835+A42*1.9835)/E42</f>
        <v>1.99276668353988</v>
      </c>
      <c r="AQ42" s="149" t="n">
        <v>36.713</v>
      </c>
      <c r="AR42" s="139"/>
      <c r="AS42" s="5"/>
      <c r="AT42" s="4"/>
      <c r="AU42" s="307" t="n">
        <v>0.13</v>
      </c>
      <c r="AV42" s="200" t="n">
        <v>90</v>
      </c>
      <c r="AW42" s="200" t="n">
        <v>57</v>
      </c>
      <c r="AX42" s="276"/>
      <c r="AY42" s="235" t="n">
        <f aca="false">SUM(N42,P42:T42)</f>
        <v>11.409517</v>
      </c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12.95" hidden="false" customHeight="true" outlineLevel="0" collapsed="false">
      <c r="A43" s="173" t="n">
        <f aca="false">A42+1</f>
        <v>29</v>
      </c>
      <c r="B43" s="101" t="n">
        <v>6911.25</v>
      </c>
      <c r="C43" s="102" t="n">
        <v>327011</v>
      </c>
      <c r="D43" s="200" t="n">
        <f aca="false">C43-C42</f>
        <v>-809</v>
      </c>
      <c r="E43" s="102" t="n">
        <f aca="false">C43-152000</f>
        <v>175011</v>
      </c>
      <c r="F43" s="231" t="n">
        <f aca="false">D43/$D$2</f>
        <v>-407.864885303756</v>
      </c>
      <c r="G43" s="1" t="n">
        <v>203</v>
      </c>
      <c r="H43" s="4" t="n">
        <v>0.53</v>
      </c>
      <c r="I43" s="129" t="n">
        <f aca="false">G43+H43</f>
        <v>203.53</v>
      </c>
      <c r="J43" s="130" t="n">
        <f aca="false">IF(L43&gt;0,L43,0)</f>
        <v>0</v>
      </c>
      <c r="K43" s="129" t="n">
        <f aca="false">I43+J43</f>
        <v>203.53</v>
      </c>
      <c r="L43" s="129" t="n">
        <f aca="false">F43-(I43-AJ43)</f>
        <v>-8.39488530375581</v>
      </c>
      <c r="M43" s="233" t="n">
        <v>188</v>
      </c>
      <c r="N43" s="149" t="n">
        <f aca="false">1.8299*1.03</f>
        <v>1.884797</v>
      </c>
      <c r="O43" s="129" t="n">
        <f aca="false">(36+37)*1.05</f>
        <v>76.65</v>
      </c>
      <c r="P43" s="149" t="n">
        <v>0</v>
      </c>
      <c r="Q43" s="149" t="n">
        <f aca="false">2.936*1.02</f>
        <v>2.99472</v>
      </c>
      <c r="R43" s="149" t="n">
        <v>4.2</v>
      </c>
      <c r="S43" s="291" t="n">
        <v>0.75</v>
      </c>
      <c r="T43" s="334" t="n">
        <v>0</v>
      </c>
      <c r="U43" s="0" t="n">
        <v>93</v>
      </c>
      <c r="V43" s="129" t="n">
        <v>83</v>
      </c>
      <c r="W43" s="129" t="n">
        <f aca="false">M43-N43-O43-P43-Q43-R43-S43-T43+U43+V43-AS43+AQ43</f>
        <v>314.233483</v>
      </c>
      <c r="X43" s="129" t="n">
        <f aca="false">W43-AN43</f>
        <v>314.233483</v>
      </c>
      <c r="Y43" s="102" t="n">
        <f aca="false">Y42-(W43-I43)-Q43-R43-AE43</f>
        <v>2753.77842699999</v>
      </c>
      <c r="Z43" s="129" t="n">
        <f aca="false">(-AO43)</f>
        <v>119.598203</v>
      </c>
      <c r="AA43" s="102"/>
      <c r="AB43" s="102" t="n">
        <f aca="false">AB42-(AP42/1.9835)+AR43</f>
        <v>2046.85955366163</v>
      </c>
      <c r="AC43" s="200"/>
      <c r="AD43" s="129" t="n">
        <v>163</v>
      </c>
      <c r="AE43" s="233" t="n">
        <v>1.7</v>
      </c>
      <c r="AF43" s="234" t="n">
        <v>1.3</v>
      </c>
      <c r="AG43" s="472" t="n">
        <v>76</v>
      </c>
      <c r="AH43" s="416" t="n">
        <f aca="false">AH42-AG43</f>
        <v>10380.2578774893</v>
      </c>
      <c r="AI43" s="102"/>
      <c r="AJ43" s="128" t="n">
        <f aca="false">N43+O43+P43+Q43+R44+S43+T43+W43+AD43+AG43-AQ43</f>
        <v>603</v>
      </c>
      <c r="AK43" s="129" t="n">
        <f aca="false">IF(L43&lt;0,L43*-1,0)</f>
        <v>8.39488530375581</v>
      </c>
      <c r="AL43" s="129" t="n">
        <f aca="false">AJ43+AK43</f>
        <v>611.394885303756</v>
      </c>
      <c r="AM43" s="205" t="n">
        <f aca="false">AM42</f>
        <v>14971.25965</v>
      </c>
      <c r="AN43" s="200"/>
      <c r="AO43" s="92" t="n">
        <f aca="false">I43-Q43-R43-W43-AE43</f>
        <v>-119.598203</v>
      </c>
      <c r="AP43" s="149" t="n">
        <f aca="false">60.3*(Y43*1.9835+A43*1.9835+A43*1.9835)/E43</f>
        <v>1.92161006651157</v>
      </c>
      <c r="AQ43" s="149" t="n">
        <v>36.713</v>
      </c>
      <c r="AR43" s="139"/>
      <c r="AS43" s="5"/>
      <c r="AT43" s="4"/>
      <c r="AU43" s="307" t="n">
        <v>0.01</v>
      </c>
      <c r="AV43" s="206" t="n">
        <v>85</v>
      </c>
      <c r="AW43" s="200" t="n">
        <v>60</v>
      </c>
      <c r="AX43" s="276"/>
      <c r="AY43" s="235" t="n">
        <f aca="false">SUM(N43,P43:T43)</f>
        <v>9.829517</v>
      </c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</row>
    <row r="44" customFormat="false" ht="12.95" hidden="false" customHeight="true" outlineLevel="0" collapsed="false">
      <c r="A44" s="173" t="n">
        <v>30</v>
      </c>
      <c r="B44" s="101" t="n">
        <v>6911.11</v>
      </c>
      <c r="C44" s="102" t="n">
        <v>326444</v>
      </c>
      <c r="D44" s="200" t="n">
        <f aca="false">C44-C43</f>
        <v>-567</v>
      </c>
      <c r="E44" s="102" t="n">
        <f aca="false">C44-152000</f>
        <v>174444</v>
      </c>
      <c r="F44" s="231" t="n">
        <f aca="false">D44/$D$2</f>
        <v>-285.858331232669</v>
      </c>
      <c r="G44" s="1" t="n">
        <v>244</v>
      </c>
      <c r="H44" s="4" t="n">
        <v>0.87</v>
      </c>
      <c r="I44" s="129" t="n">
        <f aca="false">G44+H44</f>
        <v>244.87</v>
      </c>
      <c r="J44" s="130" t="n">
        <f aca="false">IF(L44&gt;0,L44,0)</f>
        <v>93.2716687673305</v>
      </c>
      <c r="K44" s="129" t="n">
        <f aca="false">I44+J44</f>
        <v>338.14166876733</v>
      </c>
      <c r="L44" s="129" t="n">
        <f aca="false">F44-(I44-AJ44)</f>
        <v>93.2716687673305</v>
      </c>
      <c r="M44" s="233" t="n">
        <v>218</v>
      </c>
      <c r="N44" s="149" t="n">
        <f aca="false">1.8299*1.03</f>
        <v>1.884797</v>
      </c>
      <c r="O44" s="129" t="n">
        <f aca="false">(39+40)*1.05</f>
        <v>82.95</v>
      </c>
      <c r="P44" s="149" t="n">
        <v>0</v>
      </c>
      <c r="Q44" s="149" t="n">
        <f aca="false">2.936*1.02</f>
        <v>2.99472</v>
      </c>
      <c r="R44" s="149" t="n">
        <v>4.2</v>
      </c>
      <c r="S44" s="291" t="n">
        <v>1.58</v>
      </c>
      <c r="T44" s="334" t="n">
        <v>0</v>
      </c>
      <c r="U44" s="0" t="n">
        <v>94</v>
      </c>
      <c r="V44" s="129" t="n">
        <v>79</v>
      </c>
      <c r="W44" s="129" t="n">
        <f aca="false">M44-N44-O44-P44-Q44-R44-S44-T44+U44+V44-AS44+AQ44</f>
        <v>334.115483</v>
      </c>
      <c r="X44" s="129" t="n">
        <f aca="false">W44-AN44</f>
        <v>334.115483</v>
      </c>
      <c r="Y44" s="102" t="n">
        <f aca="false">Y43-(W44-I44)-Q44-R44-AE44</f>
        <v>2655.63822399999</v>
      </c>
      <c r="Z44" s="129" t="n">
        <f aca="false">(-AO44)</f>
        <v>98.140203</v>
      </c>
      <c r="AA44" s="102"/>
      <c r="AB44" s="102" t="n">
        <f aca="false">AB43-(AP43/1.9835)+AR44</f>
        <v>2045.89075604806</v>
      </c>
      <c r="AC44" s="0"/>
      <c r="AD44" s="129" t="n">
        <v>157</v>
      </c>
      <c r="AE44" s="233" t="n">
        <v>1.7</v>
      </c>
      <c r="AF44" s="234" t="n">
        <v>1.3</v>
      </c>
      <c r="AG44" s="472" t="n">
        <v>76</v>
      </c>
      <c r="AH44" s="416" t="n">
        <f aca="false">AH43-AG44</f>
        <v>10304.2578774893</v>
      </c>
      <c r="AI44" s="102"/>
      <c r="AJ44" s="128" t="n">
        <f aca="false">N44+O44+P44+Q44+R45+S44+T44+W44+AD44+AG44-AQ44</f>
        <v>624</v>
      </c>
      <c r="AK44" s="129" t="n">
        <f aca="false">IF(L44&lt;0,L44*-1,0)</f>
        <v>0</v>
      </c>
      <c r="AL44" s="129" t="n">
        <f aca="false">AJ44+AK44</f>
        <v>624</v>
      </c>
      <c r="AM44" s="205" t="n">
        <f aca="false">AM43</f>
        <v>14971.25965</v>
      </c>
      <c r="AN44" s="200"/>
      <c r="AO44" s="92" t="n">
        <f aca="false">I44-Q44-R44-W44-AE44</f>
        <v>-98.140203</v>
      </c>
      <c r="AP44" s="149" t="n">
        <f aca="false">60.3*(Y44*1.9835+A44*1.9835+A44*1.9835)/E44</f>
        <v>1.86193876294645</v>
      </c>
      <c r="AQ44" s="149" t="n">
        <v>36.725</v>
      </c>
      <c r="AR44" s="139"/>
      <c r="AS44" s="5"/>
      <c r="AT44" s="4"/>
      <c r="AU44" s="307" t="n">
        <v>0.68</v>
      </c>
      <c r="AV44" s="206" t="n">
        <v>86</v>
      </c>
      <c r="AW44" s="200" t="n">
        <v>59</v>
      </c>
      <c r="AX44" s="276"/>
      <c r="AY44" s="235" t="n">
        <f aca="false">SUM(N44,P44:T44)</f>
        <v>10.659517</v>
      </c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</row>
    <row r="45" customFormat="false" ht="13.5" hidden="false" customHeight="true" outlineLevel="0" collapsed="false">
      <c r="A45" s="173" t="n">
        <v>31</v>
      </c>
      <c r="B45" s="101" t="n">
        <v>6910.99</v>
      </c>
      <c r="C45" s="102" t="n">
        <v>325959</v>
      </c>
      <c r="D45" s="200" t="n">
        <f aca="false">C45-C44</f>
        <v>-485</v>
      </c>
      <c r="E45" s="102" t="n">
        <f aca="false">C45-152000</f>
        <v>173959</v>
      </c>
      <c r="F45" s="231" t="n">
        <f aca="false">D45/$D$2</f>
        <v>-244.517267456516</v>
      </c>
      <c r="G45" s="1" t="n">
        <v>365</v>
      </c>
      <c r="H45" s="4" t="n">
        <v>1</v>
      </c>
      <c r="I45" s="129" t="n">
        <f aca="false">G45+H45</f>
        <v>366</v>
      </c>
      <c r="J45" s="130" t="n">
        <f aca="false">IF(L45&gt;0,L45,0)</f>
        <v>0</v>
      </c>
      <c r="K45" s="129" t="n">
        <f aca="false">I45+J45</f>
        <v>366</v>
      </c>
      <c r="L45" s="129" t="n">
        <f aca="false">F45-(I45-AJ45)</f>
        <v>-52.7172674565162</v>
      </c>
      <c r="M45" s="233" t="n">
        <v>192</v>
      </c>
      <c r="N45" s="149" t="n">
        <f aca="false">1.8299*1.03</f>
        <v>1.884797</v>
      </c>
      <c r="O45" s="129" t="n">
        <f aca="false">(33+35)*1.05</f>
        <v>71.4</v>
      </c>
      <c r="P45" s="149" t="n">
        <v>0</v>
      </c>
      <c r="Q45" s="149" t="n">
        <f aca="false">2.936*1.02</f>
        <v>2.99472</v>
      </c>
      <c r="R45" s="149" t="n">
        <v>4.2</v>
      </c>
      <c r="S45" s="291" t="n">
        <v>1.14</v>
      </c>
      <c r="T45" s="334" t="n">
        <v>0</v>
      </c>
      <c r="U45" s="0" t="n">
        <v>93</v>
      </c>
      <c r="V45" s="129" t="n">
        <v>75</v>
      </c>
      <c r="W45" s="129" t="n">
        <f aca="false">M45-N45-O45-P45-Q45-R45-S45-T45+U45+V45-AS45+AQ45</f>
        <v>308.380483</v>
      </c>
      <c r="X45" s="129" t="n">
        <f aca="false">W45-AN45</f>
        <v>308.380483</v>
      </c>
      <c r="Y45" s="102" t="n">
        <f aca="false">Y44</f>
        <v>2655.63822399999</v>
      </c>
      <c r="Z45" s="129" t="n">
        <v>0</v>
      </c>
      <c r="AA45" s="102"/>
      <c r="AB45" s="102" t="n">
        <f aca="false">AB44-(AP44/1.9835)+AR45</f>
        <v>2044.95204227799</v>
      </c>
      <c r="AC45" s="200"/>
      <c r="AD45" s="129" t="n">
        <v>126</v>
      </c>
      <c r="AE45" s="233" t="n">
        <v>1.7</v>
      </c>
      <c r="AF45" s="234" t="n">
        <v>1.3</v>
      </c>
      <c r="AG45" s="472" t="n">
        <v>76</v>
      </c>
      <c r="AH45" s="416" t="n">
        <f aca="false">AH44-AG45</f>
        <v>10228.2578774893</v>
      </c>
      <c r="AI45" s="102"/>
      <c r="AJ45" s="128" t="n">
        <f aca="false">N45+O45+P45+Q45+R46+S45+T45+W45+AD45+AG45-AQ45</f>
        <v>557.8</v>
      </c>
      <c r="AK45" s="129" t="n">
        <f aca="false">IF(L45&lt;0,L45*-1,0)</f>
        <v>52.7172674565162</v>
      </c>
      <c r="AL45" s="129" t="n">
        <f aca="false">AJ45+AK45</f>
        <v>610.517267456516</v>
      </c>
      <c r="AM45" s="205" t="n">
        <f aca="false">AM44</f>
        <v>14971.25965</v>
      </c>
      <c r="AN45" s="200"/>
      <c r="AO45" s="92"/>
      <c r="AP45" s="149" t="n">
        <f aca="false">60.3*(Y45*1.9835+A45*1.9835+A45*1.9835)/E45</f>
        <v>1.86850496762703</v>
      </c>
      <c r="AQ45" s="149" t="n">
        <v>30</v>
      </c>
      <c r="AR45" s="139"/>
      <c r="AS45" s="5"/>
      <c r="AT45" s="4"/>
      <c r="AU45" s="307" t="n">
        <v>0.01</v>
      </c>
      <c r="AV45" s="206" t="n">
        <v>82</v>
      </c>
      <c r="AW45" s="200" t="n">
        <v>59</v>
      </c>
      <c r="AX45" s="276"/>
      <c r="AY45" s="235" t="n">
        <f aca="false">SUM(N45,P45:T45)</f>
        <v>10.219517</v>
      </c>
    </row>
    <row r="46" customFormat="false" ht="3" hidden="false" customHeight="true" outlineLevel="0" collapsed="false">
      <c r="A46" s="216"/>
      <c r="B46" s="237"/>
      <c r="C46" s="218"/>
      <c r="D46" s="219"/>
      <c r="E46" s="218"/>
      <c r="F46" s="220"/>
      <c r="G46" s="219"/>
      <c r="H46" s="225"/>
      <c r="I46" s="219"/>
      <c r="J46" s="219"/>
      <c r="K46" s="219"/>
      <c r="L46" s="219"/>
      <c r="M46" s="222"/>
      <c r="N46" s="219"/>
      <c r="O46" s="219"/>
      <c r="P46" s="223"/>
      <c r="Q46" s="219"/>
      <c r="R46" s="219"/>
      <c r="S46" s="219"/>
      <c r="T46" s="224"/>
      <c r="U46" s="219"/>
      <c r="V46" s="219"/>
      <c r="W46" s="219"/>
      <c r="X46" s="219"/>
      <c r="Y46" s="218"/>
      <c r="Z46" s="219"/>
      <c r="AA46" s="218"/>
      <c r="AB46" s="218"/>
      <c r="AC46" s="228"/>
      <c r="AD46" s="219"/>
      <c r="AE46" s="222"/>
      <c r="AF46" s="226"/>
      <c r="AG46" s="219"/>
      <c r="AH46" s="219"/>
      <c r="AI46" s="219"/>
      <c r="AJ46" s="219"/>
      <c r="AK46" s="219"/>
      <c r="AL46" s="219"/>
      <c r="AM46" s="227"/>
      <c r="AN46" s="228"/>
      <c r="AO46" s="225"/>
      <c r="AP46" s="225"/>
      <c r="AQ46" s="225"/>
      <c r="AR46" s="223"/>
      <c r="AS46" s="223"/>
      <c r="AT46" s="225"/>
      <c r="AU46" s="471"/>
      <c r="AV46" s="228"/>
      <c r="AW46" s="228"/>
      <c r="AX46" s="242"/>
      <c r="AY46" s="303"/>
    </row>
    <row r="47" customFormat="false" ht="12.95" hidden="false" customHeight="true" outlineLevel="0" collapsed="false">
      <c r="A47" s="175" t="s">
        <v>99</v>
      </c>
      <c r="B47" s="198"/>
      <c r="C47" s="102"/>
      <c r="D47" s="102"/>
      <c r="E47" s="102"/>
      <c r="F47" s="199" t="n">
        <f aca="false">SUM(F15:F45)</f>
        <v>-21043.1056213764</v>
      </c>
      <c r="G47" s="102" t="n">
        <f aca="false">SUM(G15:G45)</f>
        <v>5346</v>
      </c>
      <c r="H47" s="200" t="n">
        <f aca="false">SUM(H15:H45)</f>
        <v>13.95</v>
      </c>
      <c r="I47" s="102" t="n">
        <f aca="false">SUM(I15:I45)</f>
        <v>5359.95</v>
      </c>
      <c r="J47" s="102" t="n">
        <f aca="false">SUM(J15:J45)</f>
        <v>302.552321653643</v>
      </c>
      <c r="K47" s="102" t="n">
        <f aca="false">SUM(K15:K45)</f>
        <v>5662.50232165364</v>
      </c>
      <c r="L47" s="102" t="n">
        <f aca="false">SUM(L15:L45)</f>
        <v>-438.255621376353</v>
      </c>
      <c r="M47" s="201" t="n">
        <f aca="false">SUM(M15:M45)</f>
        <v>9280</v>
      </c>
      <c r="N47" s="102" t="n">
        <f aca="false">SUM(N15:N45)</f>
        <v>58.428707</v>
      </c>
      <c r="O47" s="102" t="n">
        <f aca="false">SUM(O15:O45)</f>
        <v>2814</v>
      </c>
      <c r="P47" s="149" t="n">
        <f aca="false">SUM(P15:P45)</f>
        <v>0</v>
      </c>
      <c r="Q47" s="102" t="n">
        <f aca="false">SUM(Q15:Q45)</f>
        <v>92.208</v>
      </c>
      <c r="R47" s="102" t="n">
        <f aca="false">SUM(R16:R45)</f>
        <v>126</v>
      </c>
      <c r="S47" s="102" t="n">
        <f aca="false">SUM(S15:S45)</f>
        <v>478.03</v>
      </c>
      <c r="T47" s="202" t="n">
        <f aca="false">SUM(T15:T45)</f>
        <v>0</v>
      </c>
      <c r="U47" s="102" t="n">
        <f aca="false">SUM(U15:U45)</f>
        <v>4403</v>
      </c>
      <c r="V47" s="102" t="n">
        <f aca="false">SUM(V15:V45)</f>
        <v>2545</v>
      </c>
      <c r="W47" s="102" t="n">
        <f aca="false">SUM(W15:W45)</f>
        <v>13786.535293</v>
      </c>
      <c r="X47" s="102" t="n">
        <f aca="false">SUM(X15:X45)</f>
        <v>13786.535293</v>
      </c>
      <c r="Y47" s="102"/>
      <c r="Z47" s="102"/>
      <c r="AA47" s="102"/>
      <c r="AB47" s="102"/>
      <c r="AC47" s="102" t="n">
        <f aca="false">SUM(AC15:AC45)</f>
        <v>0</v>
      </c>
      <c r="AD47" s="102" t="n">
        <f aca="false">SUM(AD15:AD45)</f>
        <v>7454</v>
      </c>
      <c r="AE47" s="420" t="n">
        <f aca="false">SUM(AE15:AE45)</f>
        <v>52.7</v>
      </c>
      <c r="AF47" s="421" t="n">
        <f aca="false">SUM(AF15:AF45)</f>
        <v>40.3</v>
      </c>
      <c r="AG47" s="102" t="n">
        <f aca="false">SUM(AG15:AG45)</f>
        <v>2287</v>
      </c>
      <c r="AH47" s="102"/>
      <c r="AI47" s="102" t="n">
        <f aca="false">SUM(AI15:AI45)</f>
        <v>0</v>
      </c>
      <c r="AJ47" s="102" t="n">
        <f aca="false">SUM(AJ15:AJ45)</f>
        <v>25964.8</v>
      </c>
      <c r="AK47" s="102" t="n">
        <f aca="false">SUM(AK15:AK45)</f>
        <v>740.807943029996</v>
      </c>
      <c r="AL47" s="102" t="n">
        <f aca="false">SUM(AL15:AL45)</f>
        <v>26705.60794303</v>
      </c>
      <c r="AM47" s="205"/>
      <c r="AN47" s="102" t="n">
        <f aca="false">SUM(AN15:AN45)</f>
        <v>0</v>
      </c>
      <c r="AO47" s="130" t="n">
        <f aca="false">AO45</f>
        <v>0</v>
      </c>
      <c r="AP47" s="474"/>
      <c r="AQ47" s="149" t="n">
        <f aca="false">SUM(AQ15:AQ45)</f>
        <v>1131.402</v>
      </c>
      <c r="AR47" s="149" t="n">
        <f aca="false">SUM(AR15:AR45)</f>
        <v>669.44</v>
      </c>
      <c r="AS47" s="149" t="n">
        <f aca="false">SUM(AS15:AS45)</f>
        <v>0</v>
      </c>
      <c r="AT47" s="130" t="n">
        <f aca="false">SUM(AT15:AT45)</f>
        <v>0</v>
      </c>
      <c r="AU47" s="307" t="n">
        <f aca="false">SUM(AU15:AU46)</f>
        <v>1.69</v>
      </c>
      <c r="AV47" s="200" t="n">
        <f aca="false">AVERAGE(AV15:AV45)</f>
        <v>89.6451612903226</v>
      </c>
      <c r="AW47" s="200" t="n">
        <f aca="false">AVERAGE(AW15:AW45)</f>
        <v>58.9677419354839</v>
      </c>
      <c r="AX47" s="208" t="s">
        <v>120</v>
      </c>
      <c r="AY47" s="322" t="n">
        <f aca="false">SUM(AY15:AY45)</f>
        <v>758.866707</v>
      </c>
    </row>
    <row r="48" customFormat="false" ht="12.95" hidden="false" customHeight="true" outlineLevel="0" collapsed="false">
      <c r="A48" s="175" t="s">
        <v>101</v>
      </c>
      <c r="B48" s="198"/>
      <c r="C48" s="102"/>
      <c r="D48" s="102" t="n">
        <f aca="false">SUM(D15:D45)</f>
        <v>-41739</v>
      </c>
      <c r="E48" s="102"/>
      <c r="F48" s="199" t="n">
        <f aca="false">F47*$D$2</f>
        <v>-41739</v>
      </c>
      <c r="G48" s="102" t="n">
        <f aca="false">G47*$D$2</f>
        <v>10603.791</v>
      </c>
      <c r="H48" s="200" t="n">
        <f aca="false">H47*$D$2</f>
        <v>27.669825</v>
      </c>
      <c r="I48" s="102" t="n">
        <f aca="false">I47*$D$2</f>
        <v>10631.460825</v>
      </c>
      <c r="J48" s="102" t="n">
        <f aca="false">J47*$D$2</f>
        <v>600.112530000001</v>
      </c>
      <c r="K48" s="102" t="n">
        <f aca="false">K47*$D$2</f>
        <v>11231.573355</v>
      </c>
      <c r="L48" s="102" t="n">
        <f aca="false">L47*$D$2</f>
        <v>-869.280024999996</v>
      </c>
      <c r="M48" s="201" t="n">
        <f aca="false">M47*$D$2</f>
        <v>18406.88</v>
      </c>
      <c r="N48" s="102" t="n">
        <f aca="false">N47*$D$2</f>
        <v>115.8933403345</v>
      </c>
      <c r="O48" s="102" t="n">
        <f aca="false">O47*$D$2</f>
        <v>5581.569</v>
      </c>
      <c r="P48" s="149" t="n">
        <f aca="false">P47*$D$2</f>
        <v>0</v>
      </c>
      <c r="Q48" s="102" t="n">
        <f aca="false">Q47*$D$2</f>
        <v>182.894568</v>
      </c>
      <c r="R48" s="102" t="n">
        <f aca="false">R47*$D$2</f>
        <v>249.921</v>
      </c>
      <c r="S48" s="102" t="n">
        <f aca="false">S47*$D$2</f>
        <v>948.172505</v>
      </c>
      <c r="T48" s="202" t="n">
        <f aca="false">T47*$D$2</f>
        <v>0</v>
      </c>
      <c r="U48" s="102" t="n">
        <f aca="false">U47*$D$2</f>
        <v>8733.3505</v>
      </c>
      <c r="V48" s="102" t="n">
        <f aca="false">V47*$D$2</f>
        <v>5048.0075</v>
      </c>
      <c r="W48" s="102" t="n">
        <f aca="false">W47*$D$2</f>
        <v>27345.5927536655</v>
      </c>
      <c r="X48" s="102" t="n">
        <f aca="false">X47*$D$2</f>
        <v>27345.5927536655</v>
      </c>
      <c r="Y48" s="102"/>
      <c r="Z48" s="102"/>
      <c r="AA48" s="102"/>
      <c r="AB48" s="102"/>
      <c r="AC48" s="102" t="n">
        <f aca="false">AC47*$D$2</f>
        <v>0</v>
      </c>
      <c r="AD48" s="102" t="n">
        <f aca="false">AD47*$D$2</f>
        <v>14785.009</v>
      </c>
      <c r="AE48" s="201" t="n">
        <f aca="false">AE47*$D$2</f>
        <v>104.53045</v>
      </c>
      <c r="AF48" s="203" t="n">
        <f aca="false">AF47*$D$2</f>
        <v>79.93505</v>
      </c>
      <c r="AG48" s="102" t="n">
        <f aca="false">AG47*$D$2</f>
        <v>4536.2645</v>
      </c>
      <c r="AH48" s="102"/>
      <c r="AI48" s="102" t="n">
        <f aca="false">AI47*$D$2</f>
        <v>0</v>
      </c>
      <c r="AJ48" s="102" t="n">
        <f aca="false">AJ47*$D$2</f>
        <v>51501.1808</v>
      </c>
      <c r="AK48" s="102" t="n">
        <f aca="false">AK47*$D$2</f>
        <v>1469.392555</v>
      </c>
      <c r="AL48" s="102" t="n">
        <f aca="false">AL47*$D$2</f>
        <v>52970.573355</v>
      </c>
      <c r="AM48" s="205"/>
      <c r="AN48" s="102" t="n">
        <f aca="false">AN47*$D$2</f>
        <v>0</v>
      </c>
      <c r="AO48" s="130" t="n">
        <f aca="false">AO47*$D$2</f>
        <v>0</v>
      </c>
      <c r="AP48" s="474" t="n">
        <f aca="false">SUM(AP15:AP45)</f>
        <v>121.835628058852</v>
      </c>
      <c r="AQ48" s="130" t="n">
        <f aca="false">AQ47*$D$2</f>
        <v>2244.135867</v>
      </c>
      <c r="AR48" s="130" t="n">
        <f aca="false">AR47*$D$2</f>
        <v>1327.83424</v>
      </c>
      <c r="AS48" s="149" t="n">
        <f aca="false">AS47*$D$2</f>
        <v>0</v>
      </c>
      <c r="AT48" s="130" t="n">
        <f aca="false">AT47*$D$2</f>
        <v>0</v>
      </c>
      <c r="AU48" s="307"/>
      <c r="AV48" s="200" t="n">
        <f aca="false">MAX(AV15:AV45)</f>
        <v>99</v>
      </c>
      <c r="AW48" s="200" t="n">
        <f aca="false">MAX(AW15:AW45)</f>
        <v>68</v>
      </c>
      <c r="AX48" s="208" t="s">
        <v>102</v>
      </c>
      <c r="AY48" s="322" t="n">
        <f aca="false">AY47*$D$2</f>
        <v>1505.2121133345</v>
      </c>
    </row>
    <row r="49" customFormat="false" ht="3" hidden="false" customHeight="true" outlineLevel="0" collapsed="false">
      <c r="A49" s="216"/>
      <c r="B49" s="237"/>
      <c r="C49" s="218"/>
      <c r="D49" s="218"/>
      <c r="E49" s="218"/>
      <c r="F49" s="242"/>
      <c r="G49" s="218"/>
      <c r="H49" s="228"/>
      <c r="I49" s="218"/>
      <c r="J49" s="218"/>
      <c r="K49" s="218"/>
      <c r="L49" s="218"/>
      <c r="M49" s="243"/>
      <c r="N49" s="218"/>
      <c r="O49" s="218"/>
      <c r="P49" s="223"/>
      <c r="Q49" s="218"/>
      <c r="R49" s="218"/>
      <c r="S49" s="218"/>
      <c r="T49" s="224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43"/>
      <c r="AF49" s="244"/>
      <c r="AG49" s="218"/>
      <c r="AH49" s="219"/>
      <c r="AI49" s="218"/>
      <c r="AJ49" s="218"/>
      <c r="AK49" s="218"/>
      <c r="AL49" s="218"/>
      <c r="AM49" s="245"/>
      <c r="AN49" s="218"/>
      <c r="AO49" s="225"/>
      <c r="AP49" s="223"/>
      <c r="AQ49" s="223"/>
      <c r="AR49" s="223"/>
      <c r="AS49" s="223"/>
      <c r="AT49" s="225"/>
      <c r="AU49" s="245"/>
      <c r="AV49" s="218"/>
      <c r="AW49" s="218"/>
      <c r="AX49" s="242"/>
      <c r="AY49" s="303"/>
    </row>
    <row r="50" customFormat="false" ht="12.95" hidden="false" customHeight="true" outlineLevel="0" collapsed="false">
      <c r="A50" s="175" t="s">
        <v>103</v>
      </c>
      <c r="B50" s="198"/>
      <c r="C50" s="102"/>
      <c r="D50" s="102"/>
      <c r="E50" s="102"/>
      <c r="F50" s="199" t="n">
        <f aca="false">F12+F47</f>
        <v>37521.5528106882</v>
      </c>
      <c r="G50" s="102" t="n">
        <f aca="false">G12+G47</f>
        <v>105320</v>
      </c>
      <c r="H50" s="200" t="n">
        <f aca="false">H12+H47</f>
        <v>5298.2</v>
      </c>
      <c r="I50" s="102" t="n">
        <f aca="false">I12+I47</f>
        <v>110618.2</v>
      </c>
      <c r="J50" s="102" t="n">
        <f aca="false">J12+J47</f>
        <v>14116.8005142425</v>
      </c>
      <c r="K50" s="102" t="n">
        <f aca="false">K12+K47</f>
        <v>124735.000514243</v>
      </c>
      <c r="L50" s="102" t="n">
        <f aca="false">L12+L47</f>
        <v>12228.0528106882</v>
      </c>
      <c r="M50" s="201" t="n">
        <f aca="false">M12+M47</f>
        <v>29385.9</v>
      </c>
      <c r="N50" s="102" t="n">
        <f aca="false">N12+N47</f>
        <v>228.060437</v>
      </c>
      <c r="O50" s="102" t="n">
        <f aca="false">O12+O47</f>
        <v>9478.4865</v>
      </c>
      <c r="P50" s="149" t="n">
        <f aca="false">P12+P47</f>
        <v>7.31</v>
      </c>
      <c r="Q50" s="102"/>
      <c r="R50" s="102"/>
      <c r="S50" s="102"/>
      <c r="T50" s="202"/>
      <c r="U50" s="102" t="n">
        <f aca="false">U12+U47</f>
        <v>12588</v>
      </c>
      <c r="V50" s="102" t="n">
        <f aca="false">V12+V47</f>
        <v>6526.1</v>
      </c>
      <c r="W50" s="102" t="n">
        <f aca="false">W12+W47</f>
        <v>39810.890023</v>
      </c>
      <c r="X50" s="102" t="n">
        <f aca="false">X12+X47</f>
        <v>39810.890023</v>
      </c>
      <c r="Y50" s="78" t="n">
        <f aca="false">Y45</f>
        <v>2655.63822399999</v>
      </c>
      <c r="Z50" s="102"/>
      <c r="AA50" s="423"/>
      <c r="AB50" s="423" t="n">
        <f aca="false">AB45</f>
        <v>2044.95204227799</v>
      </c>
      <c r="AC50" s="102" t="n">
        <f aca="false">AC12+AC47</f>
        <v>0</v>
      </c>
      <c r="AD50" s="102" t="n">
        <f aca="false">AD12+AD47</f>
        <v>16532.9</v>
      </c>
      <c r="AE50" s="201" t="n">
        <f aca="false">AE12+AE47</f>
        <v>207.4</v>
      </c>
      <c r="AF50" s="203" t="n">
        <f aca="false">AF12+AF47</f>
        <v>158.6</v>
      </c>
      <c r="AG50" s="102"/>
      <c r="AH50" s="423"/>
      <c r="AI50" s="102" t="n">
        <f aca="false">AI12+AI47</f>
        <v>14493</v>
      </c>
      <c r="AJ50" s="102" t="n">
        <f aca="false">AJ12+AJ47</f>
        <v>85324.7</v>
      </c>
      <c r="AK50" s="102" t="n">
        <f aca="false">AK12+AK47</f>
        <v>1888.74770355432</v>
      </c>
      <c r="AL50" s="102" t="n">
        <f aca="false">AL12+AL47</f>
        <v>87213.4477035543</v>
      </c>
      <c r="AM50" s="205"/>
      <c r="AN50" s="200"/>
      <c r="AO50" s="130" t="n">
        <f aca="false">AO47</f>
        <v>0</v>
      </c>
      <c r="AP50" s="474"/>
      <c r="AQ50" s="149" t="n">
        <f aca="false">AQ12+AQ47</f>
        <v>2400.574</v>
      </c>
      <c r="AR50" s="149" t="n">
        <f aca="false">AR12+AR47</f>
        <v>743.64</v>
      </c>
      <c r="AS50" s="149" t="n">
        <f aca="false">AS12+AS47</f>
        <v>0</v>
      </c>
      <c r="AT50" s="130" t="n">
        <f aca="false">AT12+AT47</f>
        <v>0</v>
      </c>
      <c r="AU50" s="307"/>
      <c r="AV50" s="200" t="n">
        <f aca="false">MIN(AV15:AV45)</f>
        <v>82</v>
      </c>
      <c r="AW50" s="200" t="n">
        <f aca="false">MIN(AW15:AW45)</f>
        <v>45</v>
      </c>
      <c r="AX50" s="208" t="s">
        <v>104</v>
      </c>
      <c r="AY50" s="322" t="n">
        <f aca="false">AY12+AY47</f>
        <v>758.866707</v>
      </c>
    </row>
    <row r="51" customFormat="false" ht="12.95" hidden="false" customHeight="true" outlineLevel="0" collapsed="false">
      <c r="A51" s="175" t="s">
        <v>105</v>
      </c>
      <c r="B51" s="198"/>
      <c r="C51" s="102"/>
      <c r="D51" s="102"/>
      <c r="E51" s="102"/>
      <c r="F51" s="199" t="n">
        <f aca="false">F50*$D$2</f>
        <v>74424</v>
      </c>
      <c r="G51" s="102" t="n">
        <f aca="false">G50*$D$2</f>
        <v>208902.22</v>
      </c>
      <c r="H51" s="200" t="n">
        <f aca="false">H50*$D$2</f>
        <v>10508.9797</v>
      </c>
      <c r="I51" s="102" t="n">
        <f aca="false">I50*$D$2</f>
        <v>219411.1997</v>
      </c>
      <c r="J51" s="102" t="n">
        <f aca="false">J50*$D$2</f>
        <v>28000.67382</v>
      </c>
      <c r="K51" s="102" t="n">
        <f aca="false">K50*$D$2</f>
        <v>247411.87352</v>
      </c>
      <c r="L51" s="102" t="n">
        <f aca="false">L50*$D$2</f>
        <v>24254.34275</v>
      </c>
      <c r="M51" s="201" t="n">
        <f aca="false">M50*$D$2</f>
        <v>58286.93265</v>
      </c>
      <c r="N51" s="102" t="n">
        <f aca="false">N50*$D$2</f>
        <v>452.3578767895</v>
      </c>
      <c r="O51" s="102" t="n">
        <f aca="false">O50*$D$2</f>
        <v>18800.57797275</v>
      </c>
      <c r="P51" s="149" t="n">
        <f aca="false">P50*$D$2</f>
        <v>14.499385</v>
      </c>
      <c r="Q51" s="102"/>
      <c r="R51" s="102"/>
      <c r="S51" s="102"/>
      <c r="T51" s="202"/>
      <c r="U51" s="102" t="n">
        <f aca="false">U50*$D$2</f>
        <v>24968.298</v>
      </c>
      <c r="V51" s="102" t="n">
        <f aca="false">V50*$D$2</f>
        <v>12944.51935</v>
      </c>
      <c r="W51" s="102" t="n">
        <f aca="false">W50*$D$2</f>
        <v>78964.9003606205</v>
      </c>
      <c r="X51" s="102" t="n">
        <f aca="false">X50*$D$2</f>
        <v>78964.9003606205</v>
      </c>
      <c r="Y51" s="78" t="n">
        <f aca="false">Y50*$D$2</f>
        <v>5267.45841730399</v>
      </c>
      <c r="Z51" s="102"/>
      <c r="AA51" s="102" t="n">
        <f aca="false">AA12</f>
        <v>0</v>
      </c>
      <c r="AB51" s="102" t="n">
        <f aca="false">AB50*$D$2</f>
        <v>4056.16237585839</v>
      </c>
      <c r="AC51" s="102" t="n">
        <f aca="false">AC50*$D$2</f>
        <v>0</v>
      </c>
      <c r="AD51" s="102" t="n">
        <f aca="false">AD50*$D$2</f>
        <v>32793.00715</v>
      </c>
      <c r="AE51" s="201" t="n">
        <f aca="false">AE50*$D$2</f>
        <v>411.3779</v>
      </c>
      <c r="AF51" s="203" t="n">
        <f aca="false">AF50*$D$2</f>
        <v>314.5831</v>
      </c>
      <c r="AG51" s="102"/>
      <c r="AH51" s="102"/>
      <c r="AI51" s="102" t="n">
        <f aca="false">AI50*$D$2</f>
        <v>28746.8655</v>
      </c>
      <c r="AJ51" s="102" t="n">
        <f aca="false">AJ50*$D$2</f>
        <v>169241.54245</v>
      </c>
      <c r="AK51" s="102" t="n">
        <f aca="false">AK50*$D$2</f>
        <v>3746.33106999999</v>
      </c>
      <c r="AL51" s="102" t="n">
        <f aca="false">AL50*$D$2</f>
        <v>172987.87352</v>
      </c>
      <c r="AM51" s="205"/>
      <c r="AN51" s="200"/>
      <c r="AO51" s="130" t="n">
        <f aca="false">AO50*$D$2</f>
        <v>0</v>
      </c>
      <c r="AP51" s="474" t="n">
        <f aca="false">AP12+AP48</f>
        <v>824.943907754738</v>
      </c>
      <c r="AQ51" s="149" t="n">
        <f aca="false">AQ50*$D$2</f>
        <v>4761.538529</v>
      </c>
      <c r="AR51" s="149" t="n">
        <f aca="false">AR50*$D$2</f>
        <v>1475.00994</v>
      </c>
      <c r="AS51" s="149" t="n">
        <f aca="false">AS50*$D$2</f>
        <v>0</v>
      </c>
      <c r="AT51" s="130" t="n">
        <f aca="false">AT50*$D$2</f>
        <v>0</v>
      </c>
      <c r="AU51" s="307"/>
      <c r="AV51" s="200"/>
      <c r="AW51" s="200"/>
      <c r="AX51" s="280"/>
      <c r="AY51" s="322" t="n">
        <f aca="false">AY50*$D$2</f>
        <v>1505.2121133345</v>
      </c>
    </row>
    <row r="52" customFormat="false" ht="3" hidden="false" customHeight="true" outlineLevel="0" collapsed="false">
      <c r="A52" s="216"/>
      <c r="B52" s="237"/>
      <c r="C52" s="218"/>
      <c r="D52" s="218"/>
      <c r="E52" s="218"/>
      <c r="F52" s="242"/>
      <c r="G52" s="218"/>
      <c r="H52" s="228"/>
      <c r="I52" s="218"/>
      <c r="J52" s="218"/>
      <c r="K52" s="218"/>
      <c r="L52" s="218"/>
      <c r="M52" s="243"/>
      <c r="N52" s="218"/>
      <c r="O52" s="218"/>
      <c r="P52" s="223"/>
      <c r="Q52" s="218"/>
      <c r="R52" s="218"/>
      <c r="S52" s="218"/>
      <c r="T52" s="224"/>
      <c r="U52" s="218"/>
      <c r="V52" s="218"/>
      <c r="W52" s="218"/>
      <c r="X52" s="218"/>
      <c r="Y52" s="218"/>
      <c r="Z52" s="218"/>
      <c r="AA52" s="218"/>
      <c r="AB52" s="218"/>
      <c r="AC52" s="228"/>
      <c r="AD52" s="218"/>
      <c r="AE52" s="243"/>
      <c r="AF52" s="244"/>
      <c r="AG52" s="218"/>
      <c r="AH52" s="218"/>
      <c r="AI52" s="218"/>
      <c r="AJ52" s="218"/>
      <c r="AK52" s="218"/>
      <c r="AL52" s="218"/>
      <c r="AM52" s="245"/>
      <c r="AN52" s="218"/>
      <c r="AO52" s="225"/>
      <c r="AP52" s="223"/>
      <c r="AQ52" s="223"/>
      <c r="AR52" s="223"/>
      <c r="AS52" s="223"/>
      <c r="AT52" s="225"/>
      <c r="AU52" s="471"/>
      <c r="AV52" s="218"/>
      <c r="AW52" s="218"/>
      <c r="AX52" s="242"/>
      <c r="AY52" s="303"/>
    </row>
    <row r="53" customFormat="false" ht="12.95" hidden="false" customHeight="true" outlineLevel="0" collapsed="false">
      <c r="A53" s="175" t="s">
        <v>106</v>
      </c>
      <c r="B53" s="198"/>
      <c r="C53" s="102"/>
      <c r="D53" s="102"/>
      <c r="E53" s="102"/>
      <c r="F53" s="199" t="n">
        <f aca="false">F13+F47</f>
        <v>33585.0768842954</v>
      </c>
      <c r="G53" s="102" t="n">
        <f aca="false">G13+G47</f>
        <v>112023</v>
      </c>
      <c r="H53" s="200" t="n">
        <f aca="false">H13+H47</f>
        <v>5526.79</v>
      </c>
      <c r="I53" s="102" t="n">
        <f aca="false">I13+I47</f>
        <v>117549.79</v>
      </c>
      <c r="J53" s="102" t="n">
        <f aca="false">J13+J47</f>
        <v>15859.1661179733</v>
      </c>
      <c r="K53" s="102" t="n">
        <f aca="false">K13+K47</f>
        <v>133408.956117973</v>
      </c>
      <c r="L53" s="102" t="n">
        <f aca="false">L13+L47</f>
        <v>13061.4868842954</v>
      </c>
      <c r="M53" s="201" t="n">
        <f aca="false">M13+M47</f>
        <v>30081.3</v>
      </c>
      <c r="N53" s="102" t="n">
        <f aca="false">N13+N47</f>
        <v>228.060437</v>
      </c>
      <c r="O53" s="102" t="n">
        <f aca="false">O13+O47</f>
        <v>9478.4865</v>
      </c>
      <c r="P53" s="149"/>
      <c r="Q53" s="102" t="n">
        <f aca="false">Q13+Q47</f>
        <v>549.02826</v>
      </c>
      <c r="R53" s="102" t="n">
        <f aca="false">R13+R47</f>
        <v>825.09</v>
      </c>
      <c r="S53" s="102" t="n">
        <f aca="false">S13+S47</f>
        <v>625.98</v>
      </c>
      <c r="T53" s="202" t="n">
        <f aca="false">T13+T47</f>
        <v>-22.57716</v>
      </c>
      <c r="U53" s="102" t="n">
        <f aca="false">U13+U47</f>
        <v>18979.6</v>
      </c>
      <c r="V53" s="102" t="n">
        <f aca="false">V13+V47</f>
        <v>6566.6</v>
      </c>
      <c r="W53" s="102" t="n">
        <f aca="false">W13+W47</f>
        <v>46331.724803</v>
      </c>
      <c r="X53" s="102" t="n">
        <f aca="false">X13+X47</f>
        <v>46291.224803</v>
      </c>
      <c r="Y53" s="102"/>
      <c r="Z53" s="102"/>
      <c r="AA53" s="102"/>
      <c r="AB53" s="102"/>
      <c r="AC53" s="200"/>
      <c r="AD53" s="102"/>
      <c r="AE53" s="201"/>
      <c r="AF53" s="203"/>
      <c r="AG53" s="102" t="n">
        <f aca="false">AG13+AG47</f>
        <v>24870</v>
      </c>
      <c r="AH53" s="102" t="n">
        <f aca="false">AH45</f>
        <v>10228.2578774893</v>
      </c>
      <c r="AI53" s="102" t="n">
        <f aca="false">AI13+AI47</f>
        <v>14493</v>
      </c>
      <c r="AJ53" s="102" t="n">
        <f aca="false">AJ13+AJ47</f>
        <v>97026.2</v>
      </c>
      <c r="AK53" s="102" t="n">
        <f aca="false">AK13+AK47</f>
        <v>2797.67923367784</v>
      </c>
      <c r="AL53" s="102" t="n">
        <f aca="false">AL13+AL47</f>
        <v>99823.8792336779</v>
      </c>
      <c r="AM53" s="205"/>
      <c r="AN53" s="102" t="n">
        <f aca="false">AN13+AN47</f>
        <v>40.5</v>
      </c>
      <c r="AO53" s="130"/>
      <c r="AP53" s="474"/>
      <c r="AQ53" s="474"/>
      <c r="AR53" s="474"/>
      <c r="AS53" s="474"/>
      <c r="AU53" s="307" t="n">
        <f aca="false">AU13+AU47</f>
        <v>8.35</v>
      </c>
      <c r="AV53" s="200"/>
      <c r="AW53" s="200"/>
      <c r="AX53" s="280"/>
      <c r="AY53" s="322" t="n">
        <f aca="false">AY13+AY47</f>
        <v>2219.747494</v>
      </c>
    </row>
    <row r="54" customFormat="false" ht="12.95" hidden="false" customHeight="true" outlineLevel="0" collapsed="false">
      <c r="A54" s="175" t="s">
        <v>107</v>
      </c>
      <c r="B54" s="198"/>
      <c r="C54" s="102"/>
      <c r="D54" s="102" t="n">
        <f aca="false">D13+D48</f>
        <v>66616</v>
      </c>
      <c r="E54" s="102" t="n">
        <f aca="false">E45</f>
        <v>173959</v>
      </c>
      <c r="F54" s="199" t="n">
        <f aca="false">F53*$D$2</f>
        <v>66616</v>
      </c>
      <c r="G54" s="102" t="n">
        <f aca="false">G53*$D$2</f>
        <v>222197.6205</v>
      </c>
      <c r="H54" s="200" t="n">
        <f aca="false">H53*$D$2</f>
        <v>10962.387965</v>
      </c>
      <c r="I54" s="102" t="n">
        <f aca="false">I53*$D$2</f>
        <v>233160.008465</v>
      </c>
      <c r="J54" s="102" t="n">
        <f aca="false">J53*$D$2</f>
        <v>31456.655995</v>
      </c>
      <c r="K54" s="102" t="n">
        <f aca="false">K53*$D$2</f>
        <v>264616.66446</v>
      </c>
      <c r="L54" s="102" t="n">
        <f aca="false">L53*$D$2</f>
        <v>25907.459235</v>
      </c>
      <c r="M54" s="201" t="n">
        <f aca="false">M53*$D$2</f>
        <v>59666.25855</v>
      </c>
      <c r="N54" s="102" t="n">
        <f aca="false">N53*$D$2</f>
        <v>452.3578767895</v>
      </c>
      <c r="O54" s="102" t="n">
        <f aca="false">O53*$D$2</f>
        <v>18800.57797275</v>
      </c>
      <c r="P54" s="149"/>
      <c r="Q54" s="102" t="n">
        <f aca="false">Q53*$D$2</f>
        <v>1088.99755371</v>
      </c>
      <c r="R54" s="102" t="n">
        <f aca="false">R53*$D$2</f>
        <v>1636.566015</v>
      </c>
      <c r="S54" s="211" t="n">
        <f aca="false">S53*$D$2</f>
        <v>1241.63133</v>
      </c>
      <c r="T54" s="411" t="n">
        <f aca="false">T53*$D$2</f>
        <v>-44.78179686</v>
      </c>
      <c r="U54" s="102" t="n">
        <f aca="false">U53*$D$2</f>
        <v>37646.0366</v>
      </c>
      <c r="V54" s="102" t="n">
        <f aca="false">V53*$D$2</f>
        <v>13024.8511</v>
      </c>
      <c r="W54" s="102" t="n">
        <f aca="false">W53*$D$2</f>
        <v>91898.9761467505</v>
      </c>
      <c r="X54" s="102" t="n">
        <f aca="false">X53*$D$2</f>
        <v>91818.6443967505</v>
      </c>
      <c r="Y54" s="102"/>
      <c r="Z54" s="102"/>
      <c r="AA54" s="102"/>
      <c r="AB54" s="102"/>
      <c r="AC54" s="200"/>
      <c r="AD54" s="102"/>
      <c r="AE54" s="251"/>
      <c r="AF54" s="252"/>
      <c r="AG54" s="102" t="n">
        <f aca="false">AG53*$D$2</f>
        <v>49329.645</v>
      </c>
      <c r="AH54" s="102" t="n">
        <f aca="false">AH53*$D$2</f>
        <v>20287.7495</v>
      </c>
      <c r="AI54" s="102" t="n">
        <f aca="false">AI53*$D$2</f>
        <v>28746.8655</v>
      </c>
      <c r="AJ54" s="102" t="n">
        <f aca="false">AJ53*$D$2</f>
        <v>192451.4677</v>
      </c>
      <c r="AK54" s="102" t="n">
        <f aca="false">AK53*$D$2</f>
        <v>5549.19675999999</v>
      </c>
      <c r="AL54" s="102" t="n">
        <f aca="false">AL53*$D$2</f>
        <v>198000.66446</v>
      </c>
      <c r="AM54" s="205" t="n">
        <f aca="false">AM45</f>
        <v>14971.25965</v>
      </c>
      <c r="AN54" s="102" t="n">
        <f aca="false">AN53*$D$2</f>
        <v>80.33175</v>
      </c>
      <c r="AO54" s="130"/>
      <c r="AP54" s="474" t="n">
        <f aca="false">AP13+AP48</f>
        <v>824.943907754738</v>
      </c>
      <c r="AQ54" s="149"/>
      <c r="AR54" s="149"/>
      <c r="AS54" s="149"/>
      <c r="AU54" s="307"/>
      <c r="AV54" s="200"/>
      <c r="AW54" s="200"/>
      <c r="AX54" s="280"/>
      <c r="AY54" s="322" t="n">
        <f aca="false">AY53*$D$2</f>
        <v>4402.869154349</v>
      </c>
    </row>
    <row r="55" customFormat="false" ht="3" hidden="false" customHeight="true" outlineLevel="0" collapsed="false">
      <c r="A55" s="216"/>
      <c r="B55" s="475"/>
      <c r="C55" s="476"/>
      <c r="D55" s="216"/>
      <c r="E55" s="476"/>
      <c r="F55" s="477"/>
      <c r="G55" s="216"/>
      <c r="H55" s="478"/>
      <c r="I55" s="216"/>
      <c r="J55" s="216"/>
      <c r="K55" s="216"/>
      <c r="L55" s="216"/>
      <c r="M55" s="479"/>
      <c r="N55" s="216"/>
      <c r="O55" s="216"/>
      <c r="P55" s="480"/>
      <c r="Q55" s="216"/>
      <c r="R55" s="216"/>
      <c r="S55" s="216"/>
      <c r="T55" s="481"/>
      <c r="U55" s="216"/>
      <c r="V55" s="216"/>
      <c r="W55" s="216"/>
      <c r="X55" s="216"/>
      <c r="Y55" s="476"/>
      <c r="Z55" s="216"/>
      <c r="AA55" s="476"/>
      <c r="AB55" s="476"/>
      <c r="AC55" s="482"/>
      <c r="AD55" s="216"/>
      <c r="AE55" s="222"/>
      <c r="AF55" s="226"/>
      <c r="AG55" s="216"/>
      <c r="AH55" s="476"/>
      <c r="AI55" s="476"/>
      <c r="AJ55" s="216"/>
      <c r="AK55" s="216"/>
      <c r="AL55" s="216"/>
      <c r="AM55" s="237"/>
      <c r="AN55" s="219"/>
      <c r="AO55" s="225"/>
      <c r="AP55" s="225"/>
      <c r="AQ55" s="225"/>
      <c r="AR55" s="223"/>
      <c r="AS55" s="223"/>
      <c r="AT55" s="225"/>
      <c r="AU55" s="475"/>
      <c r="AV55" s="216"/>
      <c r="AW55" s="216"/>
      <c r="AX55" s="242"/>
      <c r="AY55" s="303"/>
    </row>
    <row r="56" customFormat="false" ht="11.1" hidden="false" customHeight="true" outlineLevel="0" collapsed="false">
      <c r="A56" s="175"/>
      <c r="B56" s="163"/>
      <c r="C56" s="2"/>
      <c r="D56" s="11"/>
      <c r="E56" s="456"/>
      <c r="F56" s="1"/>
      <c r="G56" s="1"/>
      <c r="H56" s="4"/>
      <c r="I56" s="11"/>
      <c r="J56" s="11"/>
      <c r="K56" s="457"/>
      <c r="L56" s="167"/>
      <c r="M56" s="11"/>
      <c r="N56" s="11"/>
      <c r="O56" s="11"/>
      <c r="P56" s="5"/>
      <c r="Q56" s="11"/>
      <c r="R56" s="11"/>
      <c r="S56" s="11"/>
      <c r="T56" s="5"/>
      <c r="U56" s="11"/>
      <c r="V56" s="11"/>
      <c r="W56" s="11"/>
      <c r="X56" s="11"/>
      <c r="Y56" s="1"/>
      <c r="Z56" s="11"/>
      <c r="AA56" s="1"/>
      <c r="AB56" s="1"/>
      <c r="AC56" s="9"/>
      <c r="AD56" s="11"/>
      <c r="AE56" s="11"/>
      <c r="AF56" s="11"/>
      <c r="AG56" s="11"/>
      <c r="AH56" s="456"/>
      <c r="AI56" s="459"/>
      <c r="AJ56" s="456"/>
      <c r="AK56" s="175"/>
      <c r="AL56" s="175"/>
      <c r="AM56" s="173"/>
      <c r="AN56" s="173"/>
      <c r="AO56" s="311"/>
      <c r="AU56" s="8"/>
      <c r="AW56" s="172"/>
    </row>
    <row r="57" customFormat="false" ht="11.1" hidden="false" customHeight="true" outlineLevel="0" collapsed="false">
      <c r="A57" s="175"/>
      <c r="B57" s="163"/>
      <c r="C57" s="2"/>
      <c r="D57" s="1"/>
      <c r="E57" s="367"/>
      <c r="F57" s="178"/>
      <c r="G57" s="1"/>
      <c r="H57" s="4"/>
      <c r="I57" s="12"/>
      <c r="J57" s="11"/>
      <c r="K57" s="164"/>
      <c r="L57" s="169"/>
      <c r="M57" s="11"/>
      <c r="N57" s="11"/>
      <c r="O57" s="11"/>
      <c r="P57" s="5"/>
      <c r="Q57" s="11"/>
      <c r="R57" s="11"/>
      <c r="S57" s="125"/>
      <c r="T57" s="89"/>
      <c r="U57" s="26"/>
      <c r="V57" s="125"/>
      <c r="W57" s="460"/>
      <c r="X57" s="460"/>
      <c r="Y57" s="167"/>
      <c r="Z57" s="460"/>
      <c r="AA57" s="167"/>
      <c r="AB57" s="167"/>
      <c r="AD57" s="26"/>
      <c r="AE57" s="26"/>
      <c r="AF57" s="26"/>
      <c r="AG57" s="125"/>
      <c r="AH57" s="86"/>
      <c r="AI57" s="368"/>
      <c r="AJ57" s="2"/>
      <c r="AK57" s="175"/>
      <c r="AM57" s="178"/>
      <c r="AN57" s="178"/>
      <c r="AO57" s="311"/>
    </row>
    <row r="58" customFormat="false" ht="11.1" hidden="false" customHeight="true" outlineLevel="0" collapsed="false">
      <c r="B58" s="167"/>
      <c r="E58" s="367"/>
      <c r="F58" s="210"/>
      <c r="G58" s="1"/>
      <c r="H58" s="4"/>
      <c r="I58" s="1"/>
      <c r="J58" s="1"/>
      <c r="K58" s="368"/>
      <c r="L58" s="431"/>
      <c r="M58" s="461"/>
      <c r="N58" s="461"/>
      <c r="O58" s="367"/>
      <c r="P58" s="463"/>
      <c r="Q58" s="367"/>
      <c r="R58" s="367"/>
      <c r="S58" s="26"/>
      <c r="T58" s="89"/>
      <c r="U58" s="26"/>
      <c r="V58" s="125"/>
      <c r="W58" s="86"/>
      <c r="X58" s="86"/>
      <c r="Y58" s="167"/>
      <c r="Z58" s="86"/>
      <c r="AA58" s="167"/>
      <c r="AB58" s="167"/>
      <c r="AD58" s="167"/>
      <c r="AE58" s="167"/>
      <c r="AF58" s="167"/>
      <c r="AG58" s="86"/>
      <c r="AH58" s="26"/>
      <c r="AI58" s="464"/>
      <c r="AJ58" s="26"/>
      <c r="AM58" s="170"/>
      <c r="AN58" s="170"/>
      <c r="AO58" s="311"/>
    </row>
    <row r="59" customFormat="false" ht="11.1" hidden="false" customHeight="true" outlineLevel="0" collapsed="false">
      <c r="G59" s="258"/>
      <c r="AM59" s="170"/>
      <c r="AN59" s="170"/>
      <c r="AO59" s="311"/>
    </row>
  </sheetData>
  <mergeCells count="1"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88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J29" activeCellId="0" sqref="J29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32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7.32"/>
    <col collapsed="false" customWidth="true" hidden="false" outlineLevel="0" max="7" min="7" style="166" width="6.82"/>
    <col collapsed="false" customWidth="true" hidden="false" outlineLevel="0" max="8" min="8" style="176" width="5.66"/>
    <col collapsed="false" customWidth="true" hidden="false" outlineLevel="0" max="11" min="9" style="166" width="6.32"/>
    <col collapsed="false" customWidth="true" hidden="false" outlineLevel="0" max="12" min="12" style="166" width="7.16"/>
    <col collapsed="false" customWidth="true" hidden="false" outlineLevel="0" max="13" min="13" style="169" width="5.49"/>
    <col collapsed="false" customWidth="true" hidden="false" outlineLevel="0" max="14" min="14" style="169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9" min="17" style="166" width="4.32"/>
    <col collapsed="false" customWidth="true" hidden="false" outlineLevel="0" max="20" min="20" style="8" width="5.49"/>
    <col collapsed="false" customWidth="true" hidden="false" outlineLevel="0" max="21" min="21" style="166" width="5.49"/>
    <col collapsed="false" customWidth="true" hidden="false" outlineLevel="0" max="22" min="22" style="167" width="5.49"/>
    <col collapsed="false" customWidth="true" hidden="false" outlineLevel="0" max="24" min="23" style="166" width="6.32"/>
    <col collapsed="false" customWidth="true" hidden="false" outlineLevel="0" max="25" min="25" style="166" width="5.49"/>
    <col collapsed="false" customWidth="true" hidden="false" outlineLevel="0" max="26" min="26" style="166" width="6.32"/>
    <col collapsed="false" customWidth="true" hidden="false" outlineLevel="0" max="27" min="27" style="166" width="5.49"/>
    <col collapsed="false" customWidth="true" hidden="false" outlineLevel="0" max="29" min="28" style="167" width="6.32"/>
    <col collapsed="false" customWidth="true" hidden="false" outlineLevel="0" max="32" min="30" style="166" width="5.49"/>
    <col collapsed="false" customWidth="true" hidden="false" outlineLevel="0" max="33" min="33" style="166" width="6.32"/>
    <col collapsed="false" customWidth="true" hidden="false" outlineLevel="0" max="34" min="34" style="166" width="5.49"/>
    <col collapsed="false" customWidth="true" hidden="false" outlineLevel="0" max="35" min="35" style="170" width="6.32"/>
    <col collapsed="false" customWidth="true" hidden="false" outlineLevel="0" max="36" min="36" style="8" width="6.32"/>
    <col collapsed="false" customWidth="true" hidden="false" outlineLevel="0" max="37" min="37" style="168" width="6.99"/>
    <col collapsed="false" customWidth="true" hidden="false" outlineLevel="0" max="38" min="38" style="172" width="6.99"/>
    <col collapsed="false" customWidth="true" hidden="false" outlineLevel="0" max="40" min="39" style="369" width="5.49"/>
    <col collapsed="false" customWidth="true" hidden="false" outlineLevel="0" max="41" min="41" style="397" width="6.32"/>
    <col collapsed="false" customWidth="true" hidden="false" outlineLevel="0" max="44" min="42" style="170" width="6.32"/>
    <col collapsed="false" customWidth="true" hidden="false" outlineLevel="0" max="45" min="45" style="170" width="5.82"/>
    <col collapsed="false" customWidth="true" hidden="false" outlineLevel="0" max="46" min="46" style="311" width="4.99"/>
    <col collapsed="false" customWidth="true" hidden="false" outlineLevel="0" max="47" min="47" style="173" width="5.32"/>
    <col collapsed="false" customWidth="true" hidden="false" outlineLevel="0" max="49" min="48" style="166" width="3.82"/>
    <col collapsed="false" customWidth="true" hidden="false" outlineLevel="0" max="50" min="50" style="174" width="4.32"/>
    <col collapsed="false" customWidth="true" hidden="false" outlineLevel="0" max="51" min="51" style="174" width="6.49"/>
    <col collapsed="false" customWidth="false" hidden="false" outlineLevel="0" max="257" min="52" style="174" width="9.32"/>
  </cols>
  <sheetData>
    <row r="1" customFormat="false" ht="14.1" hidden="false" customHeight="true" outlineLevel="0" collapsed="false">
      <c r="A1" s="175"/>
      <c r="B1" s="175"/>
      <c r="D1" s="175"/>
      <c r="F1" s="175"/>
      <c r="G1" s="175"/>
      <c r="I1" s="175"/>
      <c r="J1" s="175"/>
      <c r="K1" s="177" t="s">
        <v>0</v>
      </c>
      <c r="L1" s="175"/>
      <c r="M1" s="175"/>
      <c r="N1" s="175"/>
      <c r="O1" s="175"/>
      <c r="Q1" s="8"/>
      <c r="R1" s="8"/>
      <c r="S1" s="8"/>
      <c r="U1" s="175"/>
      <c r="V1" s="175"/>
      <c r="W1" s="167"/>
      <c r="X1" s="167"/>
      <c r="Y1" s="175"/>
      <c r="Z1" s="167"/>
      <c r="AA1" s="175"/>
      <c r="AB1" s="175"/>
      <c r="AC1" s="175"/>
      <c r="AD1" s="175"/>
      <c r="AE1" s="175"/>
      <c r="AF1" s="175"/>
      <c r="AG1" s="167"/>
      <c r="AH1" s="175"/>
      <c r="AI1" s="178"/>
      <c r="AJ1" s="175"/>
      <c r="AK1" s="175"/>
      <c r="AL1" s="8"/>
      <c r="AM1" s="178"/>
      <c r="AN1" s="178"/>
      <c r="AP1" s="369"/>
      <c r="AQ1" s="369"/>
      <c r="AR1" s="398"/>
      <c r="AU1" s="168"/>
      <c r="AV1" s="172"/>
      <c r="AW1" s="173"/>
    </row>
    <row r="2" customFormat="false" ht="14.1" hidden="false" customHeight="true" outlineLevel="0" collapsed="false">
      <c r="A2" s="178" t="s">
        <v>1</v>
      </c>
      <c r="B2" s="175"/>
      <c r="D2" s="179" t="n">
        <v>1.9835</v>
      </c>
      <c r="F2" s="175"/>
      <c r="G2" s="175"/>
      <c r="I2" s="175"/>
      <c r="J2" s="175"/>
      <c r="K2" s="180" t="s">
        <v>130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312" t="s">
        <v>111</v>
      </c>
      <c r="Z2" s="312"/>
      <c r="AA2" s="312"/>
      <c r="AB2" s="312"/>
      <c r="AC2" s="312"/>
      <c r="AD2" s="175"/>
      <c r="AE2" s="175"/>
      <c r="AF2" s="175"/>
      <c r="AG2" s="167"/>
      <c r="AH2" s="175"/>
      <c r="AI2" s="178"/>
      <c r="AJ2" s="175"/>
      <c r="AK2" s="175"/>
      <c r="AL2" s="8"/>
      <c r="AM2" s="178"/>
      <c r="AN2" s="178"/>
      <c r="AP2" s="369"/>
      <c r="AQ2" s="369"/>
      <c r="AR2" s="398"/>
      <c r="AU2" s="168"/>
      <c r="AV2" s="172"/>
      <c r="AW2" s="173"/>
    </row>
    <row r="3" customFormat="false" ht="14.1" hidden="false" customHeight="true" outlineLevel="0" collapsed="false">
      <c r="A3" s="181"/>
      <c r="B3" s="181"/>
      <c r="C3" s="182"/>
      <c r="D3" s="183"/>
      <c r="E3" s="182"/>
      <c r="F3" s="181"/>
      <c r="G3" s="181"/>
      <c r="H3" s="184"/>
      <c r="I3" s="181"/>
      <c r="J3" s="181"/>
      <c r="K3" s="181"/>
      <c r="L3" s="181"/>
      <c r="M3" s="181"/>
      <c r="N3" s="181"/>
      <c r="O3" s="182"/>
      <c r="P3" s="185"/>
      <c r="Q3" s="185"/>
      <c r="R3" s="185"/>
      <c r="S3" s="185"/>
      <c r="T3" s="185"/>
      <c r="U3" s="181"/>
      <c r="V3" s="181"/>
      <c r="W3" s="182"/>
      <c r="X3" s="182"/>
      <c r="Y3" s="181"/>
      <c r="Z3" s="182"/>
      <c r="AA3" s="181"/>
      <c r="AB3" s="181"/>
      <c r="AC3" s="181"/>
      <c r="AD3" s="181"/>
      <c r="AE3" s="181"/>
      <c r="AF3" s="181"/>
      <c r="AG3" s="182"/>
      <c r="AH3" s="181"/>
      <c r="AI3" s="187"/>
      <c r="AJ3" s="181"/>
      <c r="AK3" s="181"/>
      <c r="AL3" s="185"/>
      <c r="AM3" s="187"/>
      <c r="AN3" s="187"/>
      <c r="AO3" s="483"/>
      <c r="AP3" s="484"/>
      <c r="AQ3" s="369"/>
      <c r="AR3" s="398"/>
      <c r="AU3" s="190"/>
      <c r="AV3" s="191"/>
      <c r="AW3" s="192"/>
    </row>
    <row r="4" s="166" customFormat="true" ht="14.1" hidden="false" customHeight="true" outlineLevel="0" collapsed="false">
      <c r="A4" s="175"/>
      <c r="B4" s="374"/>
      <c r="C4" s="375"/>
      <c r="D4" s="376" t="s">
        <v>3</v>
      </c>
      <c r="E4" s="375"/>
      <c r="F4" s="485"/>
      <c r="G4" s="175"/>
      <c r="H4" s="176"/>
      <c r="I4" s="175"/>
      <c r="J4" s="175"/>
      <c r="K4" s="175"/>
      <c r="L4" s="175"/>
      <c r="M4" s="175"/>
      <c r="N4" s="175"/>
      <c r="O4" s="175"/>
      <c r="P4" s="8"/>
      <c r="Q4" s="8"/>
      <c r="R4" s="8"/>
      <c r="S4" s="8"/>
      <c r="T4" s="8"/>
      <c r="U4" s="383" t="s">
        <v>4</v>
      </c>
      <c r="V4" s="175"/>
      <c r="W4" s="167"/>
      <c r="X4" s="167"/>
      <c r="Y4" s="175"/>
      <c r="Z4" s="167"/>
      <c r="AA4" s="175"/>
      <c r="AB4" s="175"/>
      <c r="AC4" s="175"/>
      <c r="AD4" s="175"/>
      <c r="AE4" s="175"/>
      <c r="AF4" s="175"/>
      <c r="AG4" s="167"/>
      <c r="AH4" s="175"/>
      <c r="AI4" s="178"/>
      <c r="AJ4" s="175"/>
      <c r="AK4" s="175"/>
      <c r="AL4" s="8"/>
      <c r="AM4" s="486"/>
      <c r="AN4" s="178"/>
      <c r="AO4" s="487" t="s">
        <v>5</v>
      </c>
      <c r="AP4" s="488"/>
      <c r="AQ4" s="489"/>
      <c r="AR4" s="490"/>
      <c r="AS4" s="491"/>
      <c r="AT4" s="382"/>
      <c r="AU4" s="384"/>
      <c r="AV4" s="385" t="s">
        <v>6</v>
      </c>
      <c r="AW4" s="386"/>
      <c r="AX4" s="387"/>
      <c r="AY4" s="388"/>
    </row>
    <row r="5" customFormat="false" ht="12.95" hidden="false" customHeight="true" outlineLevel="0" collapsed="false">
      <c r="A5" s="308" t="s">
        <v>7</v>
      </c>
      <c r="B5" s="389" t="s">
        <v>8</v>
      </c>
      <c r="C5" s="390" t="s">
        <v>8</v>
      </c>
      <c r="D5" s="308" t="s">
        <v>9</v>
      </c>
      <c r="E5" s="390" t="s">
        <v>10</v>
      </c>
      <c r="F5" s="308" t="s">
        <v>11</v>
      </c>
      <c r="G5" s="391" t="s">
        <v>12</v>
      </c>
      <c r="H5" s="392" t="s">
        <v>13</v>
      </c>
      <c r="I5" s="393" t="s">
        <v>14</v>
      </c>
      <c r="J5" s="393" t="s">
        <v>15</v>
      </c>
      <c r="K5" s="393" t="s">
        <v>16</v>
      </c>
      <c r="L5" s="308" t="s">
        <v>15</v>
      </c>
      <c r="M5" s="394" t="s">
        <v>17</v>
      </c>
      <c r="N5" s="394"/>
      <c r="O5" s="394"/>
      <c r="P5" s="394"/>
      <c r="Q5" s="394"/>
      <c r="R5" s="394"/>
      <c r="S5" s="394"/>
      <c r="T5" s="394"/>
      <c r="U5" s="308" t="s">
        <v>18</v>
      </c>
      <c r="V5" s="308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390" t="s">
        <v>21</v>
      </c>
      <c r="AC5" s="390" t="s">
        <v>20</v>
      </c>
      <c r="AD5" s="308" t="s">
        <v>22</v>
      </c>
      <c r="AE5" s="395" t="s">
        <v>122</v>
      </c>
      <c r="AF5" s="396"/>
      <c r="AG5" s="397" t="s">
        <v>24</v>
      </c>
      <c r="AH5" s="390" t="s">
        <v>123</v>
      </c>
      <c r="AI5" s="390" t="s">
        <v>26</v>
      </c>
      <c r="AJ5" s="308" t="s">
        <v>14</v>
      </c>
      <c r="AK5" s="308" t="s">
        <v>15</v>
      </c>
      <c r="AL5" s="308" t="s">
        <v>16</v>
      </c>
      <c r="AM5" s="439" t="s">
        <v>27</v>
      </c>
      <c r="AN5" s="59" t="s">
        <v>20</v>
      </c>
      <c r="AO5" s="65" t="s">
        <v>28</v>
      </c>
      <c r="AP5" s="65" t="s">
        <v>28</v>
      </c>
      <c r="AQ5" s="60" t="s">
        <v>29</v>
      </c>
      <c r="AR5" s="66" t="s">
        <v>30</v>
      </c>
      <c r="AS5" s="398" t="s">
        <v>31</v>
      </c>
      <c r="AT5" s="195" t="s">
        <v>32</v>
      </c>
      <c r="AU5" s="399" t="s">
        <v>33</v>
      </c>
      <c r="AV5" s="397" t="s">
        <v>34</v>
      </c>
      <c r="AW5" s="397" t="s">
        <v>35</v>
      </c>
      <c r="AX5" s="280"/>
      <c r="AY5" s="277" t="s">
        <v>16</v>
      </c>
    </row>
    <row r="6" customFormat="false" ht="12.95" hidden="false" customHeight="true" outlineLevel="0" collapsed="false">
      <c r="A6" s="400" t="s">
        <v>131</v>
      </c>
      <c r="B6" s="389" t="s">
        <v>37</v>
      </c>
      <c r="C6" s="390"/>
      <c r="D6" s="308" t="s">
        <v>38</v>
      </c>
      <c r="E6" s="390" t="s">
        <v>39</v>
      </c>
      <c r="F6" s="308" t="s">
        <v>40</v>
      </c>
      <c r="G6" s="391" t="s">
        <v>41</v>
      </c>
      <c r="H6" s="392" t="s">
        <v>42</v>
      </c>
      <c r="I6" s="393" t="s">
        <v>43</v>
      </c>
      <c r="J6" s="393" t="s">
        <v>43</v>
      </c>
      <c r="K6" s="393" t="s">
        <v>43</v>
      </c>
      <c r="L6" s="308" t="s">
        <v>44</v>
      </c>
      <c r="M6" s="401" t="s">
        <v>45</v>
      </c>
      <c r="N6" s="67" t="s">
        <v>46</v>
      </c>
      <c r="O6" s="308" t="s">
        <v>47</v>
      </c>
      <c r="P6" s="67" t="s">
        <v>48</v>
      </c>
      <c r="Q6" s="308" t="s">
        <v>49</v>
      </c>
      <c r="R6" s="308" t="s">
        <v>50</v>
      </c>
      <c r="S6" s="308" t="s">
        <v>51</v>
      </c>
      <c r="T6" s="403" t="s">
        <v>52</v>
      </c>
      <c r="U6" s="308" t="s">
        <v>53</v>
      </c>
      <c r="V6" s="308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390" t="s">
        <v>57</v>
      </c>
      <c r="AC6" s="390" t="s">
        <v>58</v>
      </c>
      <c r="AD6" s="308" t="s">
        <v>59</v>
      </c>
      <c r="AE6" s="401"/>
      <c r="AF6" s="404"/>
      <c r="AG6" s="397" t="s">
        <v>62</v>
      </c>
      <c r="AH6" s="390" t="s">
        <v>63</v>
      </c>
      <c r="AI6" s="390"/>
      <c r="AJ6" s="308" t="s">
        <v>64</v>
      </c>
      <c r="AK6" s="308" t="s">
        <v>64</v>
      </c>
      <c r="AL6" s="308" t="s">
        <v>64</v>
      </c>
      <c r="AM6" s="439" t="s">
        <v>65</v>
      </c>
      <c r="AN6" s="59" t="s">
        <v>66</v>
      </c>
      <c r="AO6" s="65" t="s">
        <v>67</v>
      </c>
      <c r="AP6" s="65" t="s">
        <v>67</v>
      </c>
      <c r="AQ6" s="60" t="s">
        <v>68</v>
      </c>
      <c r="AR6" s="66" t="s">
        <v>69</v>
      </c>
      <c r="AS6" s="398" t="s">
        <v>70</v>
      </c>
      <c r="AT6" s="195" t="s">
        <v>71</v>
      </c>
      <c r="AU6" s="405"/>
      <c r="AV6" s="397" t="s">
        <v>72</v>
      </c>
      <c r="AW6" s="397" t="s">
        <v>72</v>
      </c>
      <c r="AX6" s="280"/>
      <c r="AY6" s="277" t="s">
        <v>73</v>
      </c>
    </row>
    <row r="7" customFormat="false" ht="12.95" hidden="false" customHeight="true" outlineLevel="0" collapsed="false">
      <c r="A7" s="308"/>
      <c r="B7" s="389"/>
      <c r="C7" s="390"/>
      <c r="D7" s="308"/>
      <c r="E7" s="390"/>
      <c r="F7" s="308"/>
      <c r="G7" s="389"/>
      <c r="H7" s="398"/>
      <c r="I7" s="308"/>
      <c r="J7" s="308"/>
      <c r="K7" s="308"/>
      <c r="L7" s="308"/>
      <c r="M7" s="401"/>
      <c r="N7" s="67" t="s">
        <v>74</v>
      </c>
      <c r="O7" s="308" t="s">
        <v>75</v>
      </c>
      <c r="P7" s="67"/>
      <c r="Q7" s="308"/>
      <c r="R7" s="308"/>
      <c r="S7" s="308" t="s">
        <v>47</v>
      </c>
      <c r="T7" s="403" t="s">
        <v>26</v>
      </c>
      <c r="U7" s="308"/>
      <c r="V7" s="308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390"/>
      <c r="AC7" s="390"/>
      <c r="AD7" s="308"/>
      <c r="AE7" s="406"/>
      <c r="AF7" s="407"/>
      <c r="AG7" s="397"/>
      <c r="AH7" s="390"/>
      <c r="AI7" s="390"/>
      <c r="AJ7" s="308"/>
      <c r="AK7" s="308"/>
      <c r="AL7" s="308"/>
      <c r="AM7" s="439"/>
      <c r="AN7" s="59" t="s">
        <v>40</v>
      </c>
      <c r="AO7" s="65" t="s">
        <v>81</v>
      </c>
      <c r="AP7" s="65" t="s">
        <v>82</v>
      </c>
      <c r="AQ7" s="60" t="s">
        <v>83</v>
      </c>
      <c r="AR7" s="66" t="s">
        <v>84</v>
      </c>
      <c r="AS7" s="398" t="s">
        <v>85</v>
      </c>
      <c r="AT7" s="195" t="s">
        <v>86</v>
      </c>
      <c r="AU7" s="405"/>
      <c r="AV7" s="397"/>
      <c r="AW7" s="397"/>
      <c r="AX7" s="280"/>
      <c r="AY7" s="277" t="s">
        <v>95</v>
      </c>
    </row>
    <row r="8" customFormat="false" ht="12.95" hidden="false" customHeight="true" outlineLevel="0" collapsed="false">
      <c r="A8" s="308"/>
      <c r="B8" s="389"/>
      <c r="C8" s="390"/>
      <c r="D8" s="308"/>
      <c r="E8" s="390"/>
      <c r="F8" s="308"/>
      <c r="G8" s="389"/>
      <c r="H8" s="398"/>
      <c r="I8" s="308"/>
      <c r="J8" s="308"/>
      <c r="K8" s="308"/>
      <c r="L8" s="308"/>
      <c r="M8" s="401"/>
      <c r="N8" s="67"/>
      <c r="O8" s="390" t="n">
        <v>24517</v>
      </c>
      <c r="P8" s="67"/>
      <c r="Q8" s="308"/>
      <c r="R8" s="308"/>
      <c r="S8" s="308"/>
      <c r="T8" s="403"/>
      <c r="U8" s="308"/>
      <c r="V8" s="308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390"/>
      <c r="AC8" s="390"/>
      <c r="AD8" s="308"/>
      <c r="AE8" s="406"/>
      <c r="AF8" s="407"/>
      <c r="AG8" s="397"/>
      <c r="AH8" s="390"/>
      <c r="AI8" s="390"/>
      <c r="AJ8" s="308"/>
      <c r="AK8" s="308"/>
      <c r="AL8" s="308"/>
      <c r="AM8" s="439"/>
      <c r="AN8" s="59"/>
      <c r="AO8" s="65"/>
      <c r="AP8" s="65"/>
      <c r="AQ8" s="60"/>
      <c r="AR8" s="66"/>
      <c r="AS8" s="398"/>
      <c r="AT8" s="195"/>
      <c r="AU8" s="405"/>
      <c r="AV8" s="397"/>
      <c r="AW8" s="397"/>
      <c r="AX8" s="280"/>
      <c r="AY8" s="277"/>
    </row>
    <row r="9" customFormat="false" ht="12.95" hidden="false" customHeight="true" outlineLevel="0" collapsed="false">
      <c r="A9" s="308"/>
      <c r="B9" s="389"/>
      <c r="C9" s="390"/>
      <c r="D9" s="308"/>
      <c r="E9" s="390"/>
      <c r="F9" s="308"/>
      <c r="G9" s="389"/>
      <c r="H9" s="398"/>
      <c r="I9" s="308"/>
      <c r="J9" s="308"/>
      <c r="K9" s="308"/>
      <c r="L9" s="308"/>
      <c r="M9" s="401"/>
      <c r="N9" s="67"/>
      <c r="O9" s="390"/>
      <c r="P9" s="67"/>
      <c r="Q9" s="308"/>
      <c r="R9" s="308"/>
      <c r="S9" s="308"/>
      <c r="T9" s="403"/>
      <c r="U9" s="308"/>
      <c r="V9" s="308"/>
      <c r="W9" s="63"/>
      <c r="X9" s="55" t="s">
        <v>88</v>
      </c>
      <c r="Y9" s="59"/>
      <c r="Z9" s="55" t="s">
        <v>88</v>
      </c>
      <c r="AA9" s="59" t="s">
        <v>91</v>
      </c>
      <c r="AB9" s="390"/>
      <c r="AC9" s="390"/>
      <c r="AD9" s="308"/>
      <c r="AE9" s="406"/>
      <c r="AF9" s="407"/>
      <c r="AG9" s="397"/>
      <c r="AH9" s="390"/>
      <c r="AI9" s="390"/>
      <c r="AJ9" s="308"/>
      <c r="AK9" s="308"/>
      <c r="AL9" s="308"/>
      <c r="AM9" s="439"/>
      <c r="AN9" s="59"/>
      <c r="AO9" s="65"/>
      <c r="AP9" s="65"/>
      <c r="AQ9" s="60"/>
      <c r="AR9" s="66"/>
      <c r="AS9" s="398"/>
      <c r="AT9" s="195"/>
      <c r="AU9" s="405"/>
      <c r="AV9" s="397"/>
      <c r="AW9" s="397"/>
      <c r="AX9" s="280"/>
      <c r="AY9" s="277"/>
    </row>
    <row r="10" customFormat="false" ht="12.95" hidden="false" customHeight="true" outlineLevel="0" collapsed="false">
      <c r="A10" s="308"/>
      <c r="B10" s="389"/>
      <c r="C10" s="390" t="s">
        <v>9</v>
      </c>
      <c r="D10" s="308"/>
      <c r="E10" s="390" t="s">
        <v>93</v>
      </c>
      <c r="F10" s="308"/>
      <c r="G10" s="389" t="s">
        <v>40</v>
      </c>
      <c r="H10" s="398" t="s">
        <v>40</v>
      </c>
      <c r="I10" s="398" t="s">
        <v>40</v>
      </c>
      <c r="J10" s="398" t="s">
        <v>40</v>
      </c>
      <c r="K10" s="398" t="s">
        <v>40</v>
      </c>
      <c r="L10" s="398" t="s">
        <v>40</v>
      </c>
      <c r="M10" s="409" t="s">
        <v>40</v>
      </c>
      <c r="N10" s="398" t="s">
        <v>40</v>
      </c>
      <c r="O10" s="398" t="s">
        <v>40</v>
      </c>
      <c r="P10" s="398" t="s">
        <v>40</v>
      </c>
      <c r="Q10" s="398" t="s">
        <v>40</v>
      </c>
      <c r="R10" s="398" t="s">
        <v>40</v>
      </c>
      <c r="S10" s="308" t="s">
        <v>61</v>
      </c>
      <c r="T10" s="408" t="s">
        <v>40</v>
      </c>
      <c r="U10" s="398" t="s">
        <v>40</v>
      </c>
      <c r="V10" s="398" t="s">
        <v>40</v>
      </c>
      <c r="W10" s="55" t="n">
        <v>153400</v>
      </c>
      <c r="X10" s="55" t="n">
        <v>150400</v>
      </c>
      <c r="Y10" s="56" t="s">
        <v>40</v>
      </c>
      <c r="Z10" s="55"/>
      <c r="AA10" s="55" t="n">
        <v>72000</v>
      </c>
      <c r="AB10" s="398" t="s">
        <v>40</v>
      </c>
      <c r="AC10" s="398" t="s">
        <v>40</v>
      </c>
      <c r="AD10" s="398" t="s">
        <v>40</v>
      </c>
      <c r="AE10" s="409" t="s">
        <v>40</v>
      </c>
      <c r="AF10" s="408" t="s">
        <v>40</v>
      </c>
      <c r="AG10" s="398" t="s">
        <v>40</v>
      </c>
      <c r="AH10" s="398" t="s">
        <v>40</v>
      </c>
      <c r="AI10" s="398" t="s">
        <v>40</v>
      </c>
      <c r="AJ10" s="398" t="s">
        <v>40</v>
      </c>
      <c r="AK10" s="398" t="s">
        <v>40</v>
      </c>
      <c r="AL10" s="398" t="s">
        <v>40</v>
      </c>
      <c r="AM10" s="439" t="s">
        <v>93</v>
      </c>
      <c r="AN10" s="59" t="s">
        <v>40</v>
      </c>
      <c r="AO10" s="59" t="s">
        <v>40</v>
      </c>
      <c r="AP10" s="65" t="s">
        <v>94</v>
      </c>
      <c r="AQ10" s="60" t="s">
        <v>40</v>
      </c>
      <c r="AR10" s="59" t="s">
        <v>40</v>
      </c>
      <c r="AS10" s="59" t="s">
        <v>40</v>
      </c>
      <c r="AT10" s="59" t="s">
        <v>40</v>
      </c>
      <c r="AU10" s="405"/>
      <c r="AV10" s="397"/>
      <c r="AW10" s="397"/>
      <c r="AX10" s="280"/>
      <c r="AY10" s="277" t="s">
        <v>40</v>
      </c>
    </row>
    <row r="11" customFormat="false" ht="12.95" hidden="false" customHeight="true" outlineLevel="0" collapsed="false">
      <c r="A11" s="308"/>
      <c r="B11" s="389"/>
      <c r="C11" s="390"/>
      <c r="D11" s="308"/>
      <c r="E11" s="390"/>
      <c r="F11" s="308"/>
      <c r="G11" s="389"/>
      <c r="H11" s="398"/>
      <c r="I11" s="308"/>
      <c r="J11" s="308"/>
      <c r="K11" s="308"/>
      <c r="L11" s="308"/>
      <c r="M11" s="401"/>
      <c r="N11" s="67" t="n">
        <v>1.03</v>
      </c>
      <c r="O11" s="402" t="n">
        <v>1.05</v>
      </c>
      <c r="P11" s="67" t="n">
        <v>1.02</v>
      </c>
      <c r="Q11" s="402" t="n">
        <v>1.02</v>
      </c>
      <c r="R11" s="402" t="n">
        <v>1.04</v>
      </c>
      <c r="S11" s="398" t="s">
        <v>40</v>
      </c>
      <c r="T11" s="403"/>
      <c r="U11" s="308"/>
      <c r="V11" s="308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390"/>
      <c r="AC11" s="390"/>
      <c r="AD11" s="308"/>
      <c r="AE11" s="406"/>
      <c r="AF11" s="407"/>
      <c r="AG11" s="397"/>
      <c r="AH11" s="390"/>
      <c r="AI11" s="390"/>
      <c r="AJ11" s="308"/>
      <c r="AK11" s="308"/>
      <c r="AL11" s="308"/>
      <c r="AM11" s="439"/>
      <c r="AN11" s="59"/>
      <c r="AO11" s="65"/>
      <c r="AP11" s="65"/>
      <c r="AQ11" s="60"/>
      <c r="AR11" s="83"/>
      <c r="AS11" s="311"/>
      <c r="AT11" s="170"/>
      <c r="AU11" s="405"/>
      <c r="AV11" s="397"/>
      <c r="AW11" s="397"/>
      <c r="AX11" s="280"/>
      <c r="AY11" s="318"/>
    </row>
    <row r="12" customFormat="false" ht="12.95" hidden="false" customHeight="true" outlineLevel="0" collapsed="false">
      <c r="A12" s="178" t="s">
        <v>97</v>
      </c>
      <c r="B12" s="492"/>
      <c r="D12" s="167"/>
      <c r="F12" s="262" t="n">
        <f aca="false">JUL!F50</f>
        <v>37521.5528106882</v>
      </c>
      <c r="G12" s="167" t="n">
        <f aca="false">JUL!G50</f>
        <v>105320</v>
      </c>
      <c r="H12" s="167" t="n">
        <f aca="false">JUL!H50</f>
        <v>5298.2</v>
      </c>
      <c r="I12" s="167" t="n">
        <f aca="false">JUL!I50</f>
        <v>110618.2</v>
      </c>
      <c r="J12" s="167" t="n">
        <f aca="false">JUL!J50</f>
        <v>14116.8005142425</v>
      </c>
      <c r="K12" s="167" t="n">
        <f aca="false">JUL!K50</f>
        <v>124735.000514243</v>
      </c>
      <c r="L12" s="167" t="n">
        <f aca="false">JUL!L50</f>
        <v>12228.0528106882</v>
      </c>
      <c r="M12" s="167" t="n">
        <f aca="false">JUL!M50</f>
        <v>29385.9</v>
      </c>
      <c r="N12" s="167" t="n">
        <f aca="false">JUL!N50</f>
        <v>228.060437</v>
      </c>
      <c r="O12" s="167" t="n">
        <f aca="false">JUL!O50</f>
        <v>9478.4865</v>
      </c>
      <c r="P12" s="257" t="n">
        <f aca="false">JUL!P50</f>
        <v>7.31</v>
      </c>
      <c r="Q12" s="8"/>
      <c r="R12" s="8"/>
      <c r="S12" s="8"/>
      <c r="T12" s="493"/>
      <c r="U12" s="167" t="n">
        <f aca="false">JUL!U50</f>
        <v>12588</v>
      </c>
      <c r="V12" s="167" t="n">
        <f aca="false">JUL!V50</f>
        <v>6526.1</v>
      </c>
      <c r="W12" s="167" t="n">
        <f aca="false">JUL!W50</f>
        <v>39810.890023</v>
      </c>
      <c r="X12" s="167" t="n">
        <f aca="false">JUL!X50</f>
        <v>39810.890023</v>
      </c>
      <c r="Y12" s="167" t="n">
        <f aca="false">JUL!Y45</f>
        <v>2655.63822399999</v>
      </c>
      <c r="Z12" s="167"/>
      <c r="AA12" s="167"/>
      <c r="AB12" s="167" t="n">
        <f aca="false">JUL!AB45</f>
        <v>2044.95204227799</v>
      </c>
      <c r="AC12" s="167" t="n">
        <f aca="false">JUL!AC47</f>
        <v>0</v>
      </c>
      <c r="AD12" s="167" t="n">
        <f aca="false">JUL!AD50</f>
        <v>16532.9</v>
      </c>
      <c r="AE12" s="494" t="n">
        <f aca="false">JUL!AE50</f>
        <v>207.4</v>
      </c>
      <c r="AF12" s="495" t="n">
        <f aca="false">JUL!AF50</f>
        <v>158.6</v>
      </c>
      <c r="AG12" s="167"/>
      <c r="AH12" s="167"/>
      <c r="AI12" s="167"/>
      <c r="AJ12" s="167" t="n">
        <f aca="false">JUL!AJ50</f>
        <v>85324.7</v>
      </c>
      <c r="AK12" s="167" t="n">
        <f aca="false">JUL!AK50</f>
        <v>1888.74770355432</v>
      </c>
      <c r="AL12" s="167" t="n">
        <f aca="false">JUL!AL50</f>
        <v>87213.4477035543</v>
      </c>
      <c r="AM12" s="496"/>
      <c r="AN12" s="173"/>
      <c r="AO12" s="169" t="n">
        <f aca="false">JUL!AO46</f>
        <v>0</v>
      </c>
      <c r="AP12" s="169" t="n">
        <f aca="false">JUL!AP51</f>
        <v>824.943907754738</v>
      </c>
      <c r="AQ12" s="169" t="n">
        <f aca="false">JUL!AQ50</f>
        <v>2400.574</v>
      </c>
      <c r="AR12" s="149" t="n">
        <f aca="false">JUL!AR50</f>
        <v>743.64</v>
      </c>
      <c r="AS12" s="200" t="n">
        <f aca="false">JUL!AS50</f>
        <v>0</v>
      </c>
      <c r="AT12" s="130" t="n">
        <f aca="false">JUL!AT50</f>
        <v>0</v>
      </c>
      <c r="AU12" s="497"/>
      <c r="AV12" s="172"/>
      <c r="AW12" s="172"/>
      <c r="AX12" s="280"/>
      <c r="AY12" s="318"/>
    </row>
    <row r="13" s="215" customFormat="true" ht="12.95" hidden="false" customHeight="true" outlineLevel="0" collapsed="false">
      <c r="A13" s="210" t="s">
        <v>98</v>
      </c>
      <c r="B13" s="498" t="n">
        <f aca="false">JUL!B45</f>
        <v>6910.99</v>
      </c>
      <c r="C13" s="167" t="n">
        <f aca="false">JUL!C45</f>
        <v>325959</v>
      </c>
      <c r="D13" s="167" t="n">
        <f aca="false">JUL!D54</f>
        <v>66616</v>
      </c>
      <c r="E13" s="167" t="n">
        <f aca="false">JUL!E54</f>
        <v>173959</v>
      </c>
      <c r="F13" s="262" t="n">
        <f aca="false">JUL!F53</f>
        <v>33585.0768842954</v>
      </c>
      <c r="G13" s="167" t="n">
        <f aca="false">JUL!G53</f>
        <v>112023</v>
      </c>
      <c r="H13" s="167" t="n">
        <f aca="false">JUL!H53</f>
        <v>5526.79</v>
      </c>
      <c r="I13" s="167" t="n">
        <f aca="false">JUL!I53</f>
        <v>117549.79</v>
      </c>
      <c r="J13" s="167" t="n">
        <f aca="false">JUL!J53</f>
        <v>15859.1661179733</v>
      </c>
      <c r="K13" s="167" t="n">
        <f aca="false">JUL!K53</f>
        <v>133408.956117973</v>
      </c>
      <c r="L13" s="167" t="n">
        <f aca="false">JUL!L53</f>
        <v>13061.4868842954</v>
      </c>
      <c r="M13" s="167" t="n">
        <f aca="false">JUL!M53</f>
        <v>30081.3</v>
      </c>
      <c r="N13" s="167" t="n">
        <f aca="false">JUL!N53</f>
        <v>228.060437</v>
      </c>
      <c r="O13" s="167" t="n">
        <f aca="false">JUL!O53</f>
        <v>9478.4865</v>
      </c>
      <c r="P13" s="8"/>
      <c r="Q13" s="167" t="n">
        <f aca="false">JUL!Q53</f>
        <v>549.02826</v>
      </c>
      <c r="R13" s="167" t="n">
        <f aca="false">JUL!R53</f>
        <v>825.09</v>
      </c>
      <c r="S13" s="167" t="n">
        <f aca="false">JUL!S53</f>
        <v>625.98</v>
      </c>
      <c r="T13" s="257" t="n">
        <f aca="false">JUL!T53</f>
        <v>-22.57716</v>
      </c>
      <c r="U13" s="167" t="n">
        <f aca="false">JUL!U53</f>
        <v>18979.6</v>
      </c>
      <c r="V13" s="167" t="n">
        <f aca="false">JUL!V53</f>
        <v>6566.6</v>
      </c>
      <c r="W13" s="167" t="n">
        <f aca="false">JUL!W53</f>
        <v>46331.724803</v>
      </c>
      <c r="X13" s="167" t="n">
        <f aca="false">JUL!X53</f>
        <v>46291.224803</v>
      </c>
      <c r="Y13" s="167"/>
      <c r="Z13" s="167"/>
      <c r="AA13" s="167"/>
      <c r="AB13" s="167"/>
      <c r="AC13" s="167"/>
      <c r="AD13" s="167" t="n">
        <f aca="false">JUL!AD51</f>
        <v>32793.00715</v>
      </c>
      <c r="AE13" s="201"/>
      <c r="AF13" s="203"/>
      <c r="AG13" s="167" t="n">
        <f aca="false">JUL!AG53</f>
        <v>24870</v>
      </c>
      <c r="AH13" s="167" t="n">
        <f aca="false">JUL!AH53</f>
        <v>10228.2578774893</v>
      </c>
      <c r="AI13" s="167" t="n">
        <f aca="false">JUL!AI53</f>
        <v>14493</v>
      </c>
      <c r="AJ13" s="167" t="n">
        <f aca="false">JUL!AJ53</f>
        <v>97026.2</v>
      </c>
      <c r="AK13" s="167" t="n">
        <f aca="false">JUL!AK53</f>
        <v>2797.67923367784</v>
      </c>
      <c r="AL13" s="167" t="n">
        <f aca="false">JUL!AL53</f>
        <v>99823.8792336779</v>
      </c>
      <c r="AM13" s="302" t="n">
        <f aca="false">JUL!AM54</f>
        <v>14971.25965</v>
      </c>
      <c r="AN13" s="172" t="n">
        <f aca="false">JUL!AN53</f>
        <v>40.5</v>
      </c>
      <c r="AO13" s="173"/>
      <c r="AP13" s="169" t="n">
        <f aca="false">JUL!AP54</f>
        <v>824.943907754738</v>
      </c>
      <c r="AQ13" s="169"/>
      <c r="AR13" s="172"/>
      <c r="AS13" s="172" t="n">
        <f aca="false">JUL!AS52</f>
        <v>0</v>
      </c>
      <c r="AT13" s="169"/>
      <c r="AU13" s="207" t="n">
        <f aca="false">JUL!AU53</f>
        <v>8.35</v>
      </c>
      <c r="AV13" s="172"/>
      <c r="AW13" s="172"/>
      <c r="AX13" s="284"/>
      <c r="AY13" s="499" t="n">
        <f aca="false">JUL!AY53</f>
        <v>2219.747494</v>
      </c>
    </row>
    <row r="14" customFormat="false" ht="3" hidden="false" customHeight="true" outlineLevel="0" collapsed="false">
      <c r="A14" s="216"/>
      <c r="B14" s="500"/>
      <c r="C14" s="476"/>
      <c r="D14" s="216"/>
      <c r="E14" s="476"/>
      <c r="F14" s="477"/>
      <c r="G14" s="216"/>
      <c r="H14" s="501"/>
      <c r="I14" s="216"/>
      <c r="J14" s="216"/>
      <c r="K14" s="216"/>
      <c r="L14" s="216"/>
      <c r="M14" s="479"/>
      <c r="N14" s="216"/>
      <c r="O14" s="216"/>
      <c r="P14" s="480"/>
      <c r="Q14" s="480"/>
      <c r="R14" s="480"/>
      <c r="S14" s="480"/>
      <c r="T14" s="481"/>
      <c r="U14" s="216"/>
      <c r="V14" s="216"/>
      <c r="W14" s="216"/>
      <c r="X14" s="216"/>
      <c r="Y14" s="476"/>
      <c r="Z14" s="216"/>
      <c r="AA14" s="476"/>
      <c r="AB14" s="476"/>
      <c r="AC14" s="476"/>
      <c r="AD14" s="216"/>
      <c r="AE14" s="222"/>
      <c r="AF14" s="226"/>
      <c r="AG14" s="216"/>
      <c r="AH14" s="476"/>
      <c r="AI14" s="476"/>
      <c r="AJ14" s="216"/>
      <c r="AK14" s="216"/>
      <c r="AL14" s="216"/>
      <c r="AM14" s="502"/>
      <c r="AN14" s="321"/>
      <c r="AO14" s="321"/>
      <c r="AP14" s="119"/>
      <c r="AQ14" s="119"/>
      <c r="AR14" s="503"/>
      <c r="AS14" s="503"/>
      <c r="AT14" s="503"/>
      <c r="AU14" s="504"/>
      <c r="AV14" s="482"/>
      <c r="AW14" s="482"/>
      <c r="AX14" s="505"/>
      <c r="AY14" s="506"/>
    </row>
    <row r="15" customFormat="false" ht="12.95" hidden="false" customHeight="true" outlineLevel="0" collapsed="false">
      <c r="A15" s="173" t="n">
        <v>1</v>
      </c>
      <c r="B15" s="498" t="n">
        <v>6910.93</v>
      </c>
      <c r="C15" s="167" t="n">
        <v>325718</v>
      </c>
      <c r="D15" s="172" t="n">
        <f aca="false">C15-C13</f>
        <v>-241</v>
      </c>
      <c r="E15" s="167" t="n">
        <f aca="false">C15-152000</f>
        <v>173718</v>
      </c>
      <c r="F15" s="507" t="n">
        <f aca="false">D15/$D$2</f>
        <v>-121.502394756743</v>
      </c>
      <c r="G15" s="1" t="n">
        <v>364</v>
      </c>
      <c r="H15" s="4" t="n">
        <v>0.84</v>
      </c>
      <c r="I15" s="175" t="n">
        <f aca="false">G15+H15</f>
        <v>364.84</v>
      </c>
      <c r="J15" s="169" t="n">
        <f aca="false">IF(L15&gt;0,L15,0)</f>
        <v>43.6576052432568</v>
      </c>
      <c r="K15" s="175" t="n">
        <f aca="false">I15+J15</f>
        <v>408.497605243257</v>
      </c>
      <c r="L15" s="175" t="n">
        <f aca="false">F15-(I15-AJ15)</f>
        <v>43.6576052432568</v>
      </c>
      <c r="M15" s="508" t="n">
        <v>203</v>
      </c>
      <c r="N15" s="149" t="n">
        <f aca="false">1.8299*1.03</f>
        <v>1.884797</v>
      </c>
      <c r="O15" s="175" t="n">
        <f aca="false">(35+36)*1.05</f>
        <v>74.55</v>
      </c>
      <c r="P15" s="149" t="n">
        <v>0</v>
      </c>
      <c r="Q15" s="149" t="n">
        <f aca="false">2.32*1.02</f>
        <v>2.3664</v>
      </c>
      <c r="R15" s="149" t="n">
        <v>4.2</v>
      </c>
      <c r="S15" s="291" t="n">
        <v>0.99</v>
      </c>
      <c r="T15" s="334" t="n">
        <v>0</v>
      </c>
      <c r="U15" s="175" t="n">
        <v>93</v>
      </c>
      <c r="V15" s="175" t="n">
        <v>74</v>
      </c>
      <c r="W15" s="129" t="n">
        <f aca="false">M15-N15-O15-P15-Q15-R15-S15-T15+U15+V15-AS15+AQ15</f>
        <v>302.190303</v>
      </c>
      <c r="X15" s="129" t="n">
        <f aca="false">W15-AN15</f>
        <v>302.190303</v>
      </c>
      <c r="Y15" s="102" t="n">
        <f aca="false">Y12</f>
        <v>2655.63822399999</v>
      </c>
      <c r="Z15" s="129" t="n">
        <v>0</v>
      </c>
      <c r="AA15" s="102"/>
      <c r="AB15" s="102" t="n">
        <f aca="false">AB12-(JUL!AP45/1.9835)</f>
        <v>2044.01001809466</v>
      </c>
      <c r="AC15" s="200"/>
      <c r="AD15" s="175" t="n">
        <v>84</v>
      </c>
      <c r="AE15" s="233" t="n">
        <v>1.7</v>
      </c>
      <c r="AF15" s="234" t="n">
        <v>1.3</v>
      </c>
      <c r="AG15" s="509" t="n">
        <v>76</v>
      </c>
      <c r="AH15" s="510" t="n">
        <f aca="false">AH13-AG15</f>
        <v>10152.2578774893</v>
      </c>
      <c r="AI15" s="167"/>
      <c r="AJ15" s="11" t="n">
        <f aca="false">N15+O15+P15+Q15+R15+S15+T15+W15+AD15+AG15-AQ15</f>
        <v>530</v>
      </c>
      <c r="AK15" s="175" t="n">
        <f aca="false">IF(L15&lt;0,L15*-1,0)</f>
        <v>0</v>
      </c>
      <c r="AL15" s="175" t="n">
        <f aca="false">AJ15+AK15</f>
        <v>530</v>
      </c>
      <c r="AM15" s="205" t="n">
        <f aca="false">AM13</f>
        <v>14971.25965</v>
      </c>
      <c r="AN15" s="173"/>
      <c r="AO15" s="92"/>
      <c r="AP15" s="149" t="n">
        <f aca="false">45.4*(Y15*1.9835+AB15*1.9835)/E15</f>
        <v>2.43617560577512</v>
      </c>
      <c r="AQ15" s="149" t="n">
        <v>16.1815</v>
      </c>
      <c r="AR15" s="162"/>
      <c r="AS15" s="1"/>
      <c r="AT15" s="4"/>
      <c r="AU15" s="497" t="n">
        <v>0</v>
      </c>
      <c r="AV15" s="172" t="n">
        <v>82</v>
      </c>
      <c r="AW15" s="172" t="n">
        <v>60</v>
      </c>
      <c r="AX15" s="276"/>
      <c r="AY15" s="235" t="n">
        <f aca="false">SUM(N15,P15:T15)</f>
        <v>9.441197</v>
      </c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73" t="n">
        <f aca="false">A15+1</f>
        <v>2</v>
      </c>
      <c r="B16" s="498" t="n">
        <v>6911</v>
      </c>
      <c r="C16" s="167" t="n">
        <v>325999</v>
      </c>
      <c r="D16" s="172" t="n">
        <f aca="false">C16-C15</f>
        <v>281</v>
      </c>
      <c r="E16" s="167" t="n">
        <f aca="false">C16-152000</f>
        <v>173999</v>
      </c>
      <c r="F16" s="507" t="n">
        <f aca="false">D16/$D$2</f>
        <v>141.668767330476</v>
      </c>
      <c r="G16" s="1" t="n">
        <v>413</v>
      </c>
      <c r="H16" s="4" t="n">
        <v>0.99</v>
      </c>
      <c r="I16" s="175" t="n">
        <f aca="false">G16+H16</f>
        <v>413.99</v>
      </c>
      <c r="J16" s="169" t="n">
        <f aca="false">IF(L16&gt;0,L16,0)</f>
        <v>158.678767330476</v>
      </c>
      <c r="K16" s="175" t="n">
        <f aca="false">I16+J16</f>
        <v>572.668767330476</v>
      </c>
      <c r="L16" s="175" t="n">
        <f aca="false">F16-(I16-AJ16)</f>
        <v>158.678767330476</v>
      </c>
      <c r="M16" s="508" t="n">
        <v>156</v>
      </c>
      <c r="N16" s="149" t="n">
        <f aca="false">1.8299*1.03</f>
        <v>1.884797</v>
      </c>
      <c r="O16" s="175" t="n">
        <f aca="false">(29+29)*1.05</f>
        <v>60.9</v>
      </c>
      <c r="P16" s="149" t="n">
        <v>0</v>
      </c>
      <c r="Q16" s="149" t="n">
        <f aca="false">2.32*1.02</f>
        <v>2.3664</v>
      </c>
      <c r="R16" s="149" t="n">
        <v>4.2</v>
      </c>
      <c r="S16" s="291" t="n">
        <v>0.27</v>
      </c>
      <c r="T16" s="334" t="n">
        <v>0</v>
      </c>
      <c r="U16" s="175" t="n">
        <v>78</v>
      </c>
      <c r="V16" s="175" t="n">
        <v>71</v>
      </c>
      <c r="W16" s="129" t="n">
        <f aca="false">M16-N16-O16-P16-Q16-R16-S16-T16+U16+V16-AS16+AQ16</f>
        <v>251.560303</v>
      </c>
      <c r="X16" s="129" t="n">
        <f aca="false">W16-AN16</f>
        <v>251.560303</v>
      </c>
      <c r="Y16" s="102" t="n">
        <f aca="false">Y15</f>
        <v>2655.63822399999</v>
      </c>
      <c r="Z16" s="129" t="n">
        <v>0</v>
      </c>
      <c r="AA16" s="102"/>
      <c r="AB16" s="102" t="n">
        <f aca="false">AB15-(AP15/1.9835)</f>
        <v>2042.78179747163</v>
      </c>
      <c r="AC16" s="200"/>
      <c r="AD16" s="175" t="n">
        <v>49</v>
      </c>
      <c r="AE16" s="233" t="n">
        <v>1.7</v>
      </c>
      <c r="AF16" s="234" t="n">
        <v>1.3</v>
      </c>
      <c r="AG16" s="509" t="n">
        <v>77</v>
      </c>
      <c r="AH16" s="510" t="n">
        <f aca="false">AH15-AG16</f>
        <v>10075.2578774893</v>
      </c>
      <c r="AI16" s="167"/>
      <c r="AJ16" s="11" t="n">
        <f aca="false">N16+O16+P16+Q16+R16+S16+T16+W16+AD16+AG16-AQ16</f>
        <v>431</v>
      </c>
      <c r="AK16" s="175" t="n">
        <f aca="false">IF(L16&lt;0,L16*-1,0)</f>
        <v>0</v>
      </c>
      <c r="AL16" s="175" t="n">
        <f aca="false">AJ16+AK16</f>
        <v>431</v>
      </c>
      <c r="AM16" s="205" t="n">
        <f aca="false">AM15</f>
        <v>14971.25965</v>
      </c>
      <c r="AN16" s="173"/>
      <c r="AO16" s="92"/>
      <c r="AP16" s="149" t="n">
        <f aca="false">45.4*(Y16*1.9835+AB16*1.9835)/E16</f>
        <v>2.43160565009879</v>
      </c>
      <c r="AQ16" s="149" t="n">
        <v>16.1815</v>
      </c>
      <c r="AR16" s="162"/>
      <c r="AS16" s="1"/>
      <c r="AT16" s="4"/>
      <c r="AU16" s="497" t="n">
        <v>0.54</v>
      </c>
      <c r="AV16" s="172" t="n">
        <v>74</v>
      </c>
      <c r="AW16" s="172" t="n">
        <v>58</v>
      </c>
      <c r="AX16" s="276"/>
      <c r="AY16" s="235" t="n">
        <f aca="false">SUM(N16,P16:T16)</f>
        <v>8.721197</v>
      </c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73" t="n">
        <f aca="false">A16+1</f>
        <v>3</v>
      </c>
      <c r="B17" s="498" t="n">
        <v>6910.99</v>
      </c>
      <c r="C17" s="167" t="n">
        <v>325959</v>
      </c>
      <c r="D17" s="172" t="n">
        <f aca="false">C17-C16</f>
        <v>-40</v>
      </c>
      <c r="E17" s="167" t="n">
        <f aca="false">C17-152000</f>
        <v>173959</v>
      </c>
      <c r="F17" s="507" t="n">
        <f aca="false">D17/$D$2</f>
        <v>-20.1663725737333</v>
      </c>
      <c r="G17" s="1" t="n">
        <v>462</v>
      </c>
      <c r="H17" s="4" t="n">
        <v>0.31</v>
      </c>
      <c r="I17" s="175" t="n">
        <f aca="false">G17+H17</f>
        <v>462.31</v>
      </c>
      <c r="J17" s="169" t="n">
        <f aca="false">IF(L17&gt;0,L17,0)</f>
        <v>0</v>
      </c>
      <c r="K17" s="175" t="n">
        <f aca="false">I17+J17</f>
        <v>462.31</v>
      </c>
      <c r="L17" s="175" t="n">
        <f aca="false">F17-(I17-AJ17)</f>
        <v>-25.4763725737333</v>
      </c>
      <c r="M17" s="508" t="n">
        <v>141</v>
      </c>
      <c r="N17" s="149" t="n">
        <f aca="false">1.8299*1.03</f>
        <v>1.884797</v>
      </c>
      <c r="O17" s="175" t="n">
        <f aca="false">(17+17)*1.05</f>
        <v>35.7</v>
      </c>
      <c r="P17" s="149" t="n">
        <v>0</v>
      </c>
      <c r="Q17" s="149" t="n">
        <f aca="false">2.32*1.02</f>
        <v>2.3664</v>
      </c>
      <c r="R17" s="149" t="n">
        <v>4.2</v>
      </c>
      <c r="S17" s="291" t="n">
        <v>0.4</v>
      </c>
      <c r="T17" s="334" t="n">
        <v>0</v>
      </c>
      <c r="U17" s="175" t="n">
        <v>129</v>
      </c>
      <c r="V17" s="175" t="n">
        <v>65</v>
      </c>
      <c r="W17" s="129" t="n">
        <f aca="false">M17-N17-O17-P17-Q17-R17-S17-T17+U17+V17-AS17+AQ17</f>
        <v>306.630303</v>
      </c>
      <c r="X17" s="129" t="n">
        <f aca="false">W17-AN17</f>
        <v>306.630303</v>
      </c>
      <c r="Y17" s="102" t="n">
        <f aca="false">Y16</f>
        <v>2655.63822399999</v>
      </c>
      <c r="Z17" s="129" t="n">
        <v>0</v>
      </c>
      <c r="AA17" s="102"/>
      <c r="AB17" s="102" t="n">
        <f aca="false">AB16-(AP16/1.9835)</f>
        <v>2041.55588083433</v>
      </c>
      <c r="AC17" s="200"/>
      <c r="AD17" s="175" t="n">
        <v>45</v>
      </c>
      <c r="AE17" s="233" t="n">
        <v>1.7</v>
      </c>
      <c r="AF17" s="234" t="n">
        <v>1.3</v>
      </c>
      <c r="AG17" s="509" t="n">
        <v>77</v>
      </c>
      <c r="AH17" s="510" t="n">
        <f aca="false">AH16-AG17</f>
        <v>9998.25787748929</v>
      </c>
      <c r="AI17" s="167"/>
      <c r="AJ17" s="11" t="n">
        <f aca="false">N17+O17+P17+Q17+R17+S17+T17+W17+AD17+AG17-AQ17</f>
        <v>457</v>
      </c>
      <c r="AK17" s="175" t="n">
        <f aca="false">IF(L17&lt;0,L17*-1,0)</f>
        <v>25.4763725737333</v>
      </c>
      <c r="AL17" s="175" t="n">
        <f aca="false">AJ17+AK17</f>
        <v>482.476372573733</v>
      </c>
      <c r="AM17" s="205" t="n">
        <f aca="false">AM16</f>
        <v>14971.25965</v>
      </c>
      <c r="AN17" s="173"/>
      <c r="AO17" s="92"/>
      <c r="AP17" s="149" t="n">
        <f aca="false">45.4*(Y17*1.9835+AB17*1.9835)/E17</f>
        <v>2.43153016868932</v>
      </c>
      <c r="AQ17" s="149" t="n">
        <v>16.1815</v>
      </c>
      <c r="AR17" s="162"/>
      <c r="AS17" s="1"/>
      <c r="AT17" s="4"/>
      <c r="AU17" s="497" t="n">
        <v>0</v>
      </c>
      <c r="AV17" s="172" t="n">
        <v>86</v>
      </c>
      <c r="AW17" s="172" t="n">
        <v>57</v>
      </c>
      <c r="AX17" s="276"/>
      <c r="AY17" s="235" t="n">
        <f aca="false">SUM(N17,P17:T17)</f>
        <v>8.851197</v>
      </c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73" t="n">
        <f aca="false">A17+1</f>
        <v>4</v>
      </c>
      <c r="B18" s="498" t="n">
        <v>6910.94</v>
      </c>
      <c r="C18" s="167" t="n">
        <v>325759</v>
      </c>
      <c r="D18" s="172" t="n">
        <f aca="false">C18-C17</f>
        <v>-200</v>
      </c>
      <c r="E18" s="167" t="n">
        <f aca="false">C18-152000</f>
        <v>173759</v>
      </c>
      <c r="F18" s="507" t="n">
        <f aca="false">D18/$D$2</f>
        <v>-100.831862868667</v>
      </c>
      <c r="G18" s="1" t="n">
        <v>441</v>
      </c>
      <c r="H18" s="4" t="n">
        <v>0.07</v>
      </c>
      <c r="I18" s="175" t="n">
        <f aca="false">G18+H18</f>
        <v>441.07</v>
      </c>
      <c r="J18" s="169" t="n">
        <f aca="false">IF(L18&gt;0,L18,0)</f>
        <v>0</v>
      </c>
      <c r="K18" s="175" t="n">
        <f aca="false">I18+J18</f>
        <v>441.07</v>
      </c>
      <c r="L18" s="175" t="n">
        <f aca="false">F18-(I18-AJ18)</f>
        <v>-51.9018628686665</v>
      </c>
      <c r="M18" s="508" t="n">
        <v>127</v>
      </c>
      <c r="N18" s="149" t="n">
        <f aca="false">1.8299*1.03</f>
        <v>1.884797</v>
      </c>
      <c r="O18" s="175" t="n">
        <f aca="false">(6.6+7.4)*1.05</f>
        <v>14.7</v>
      </c>
      <c r="P18" s="149" t="n">
        <v>0</v>
      </c>
      <c r="Q18" s="149" t="n">
        <f aca="false">2.32*1.02</f>
        <v>2.3664</v>
      </c>
      <c r="R18" s="149" t="n">
        <v>3.82</v>
      </c>
      <c r="S18" s="291" t="n">
        <v>0</v>
      </c>
      <c r="T18" s="334" t="n">
        <v>0</v>
      </c>
      <c r="U18" s="175" t="n">
        <v>178</v>
      </c>
      <c r="V18" s="175" t="n">
        <v>62</v>
      </c>
      <c r="W18" s="129" t="n">
        <f aca="false">M18-N18-O18-P18-Q18-R18-S18-T18+U18+V18-AS18+AQ18</f>
        <v>360.410303</v>
      </c>
      <c r="X18" s="129" t="n">
        <f aca="false">W18-AN18</f>
        <v>360.410303</v>
      </c>
      <c r="Y18" s="102" t="n">
        <f aca="false">Y17</f>
        <v>2655.63822399999</v>
      </c>
      <c r="Z18" s="129" t="n">
        <v>0</v>
      </c>
      <c r="AA18" s="102"/>
      <c r="AB18" s="102" t="n">
        <f aca="false">AB17-(AP17/1.9835)</f>
        <v>2040.33000225168</v>
      </c>
      <c r="AC18" s="200"/>
      <c r="AD18" s="175" t="n">
        <v>46</v>
      </c>
      <c r="AE18" s="233" t="n">
        <v>1.7</v>
      </c>
      <c r="AF18" s="234" t="n">
        <v>1.3</v>
      </c>
      <c r="AG18" s="509" t="n">
        <v>77</v>
      </c>
      <c r="AH18" s="510" t="n">
        <f aca="false">AH17-AG18</f>
        <v>9921.25787748929</v>
      </c>
      <c r="AI18" s="167"/>
      <c r="AJ18" s="11" t="n">
        <f aca="false">N18+O18+P18+Q18+R18+S18+T18+W18+AD18+AG18-AQ18</f>
        <v>490</v>
      </c>
      <c r="AK18" s="175" t="n">
        <f aca="false">IF(L18&lt;0,L18*-1,0)</f>
        <v>51.9018628686665</v>
      </c>
      <c r="AL18" s="175" t="n">
        <f aca="false">AJ18+AK18</f>
        <v>541.901862868667</v>
      </c>
      <c r="AM18" s="205" t="n">
        <f aca="false">AM17</f>
        <v>14971.25965</v>
      </c>
      <c r="AN18" s="173"/>
      <c r="AO18" s="92"/>
      <c r="AP18" s="149" t="n">
        <f aca="false">45.4*(Y18*1.9835+AB18*1.9835)/E18</f>
        <v>2.43369359368647</v>
      </c>
      <c r="AQ18" s="149" t="n">
        <v>16.1815</v>
      </c>
      <c r="AR18" s="162"/>
      <c r="AS18" s="1"/>
      <c r="AT18" s="4"/>
      <c r="AU18" s="497" t="n">
        <v>0</v>
      </c>
      <c r="AV18" s="172" t="n">
        <v>86</v>
      </c>
      <c r="AW18" s="172" t="n">
        <v>56</v>
      </c>
      <c r="AX18" s="276"/>
      <c r="AY18" s="235" t="n">
        <f aca="false">SUM(N18,P18:T18)</f>
        <v>8.071197</v>
      </c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73" t="n">
        <f aca="false">A18+1</f>
        <v>5</v>
      </c>
      <c r="B19" s="498" t="n">
        <v>6910.92</v>
      </c>
      <c r="C19" s="167" t="n">
        <v>325678</v>
      </c>
      <c r="D19" s="172" t="n">
        <f aca="false">C19-C18</f>
        <v>-81</v>
      </c>
      <c r="E19" s="167" t="n">
        <f aca="false">C19-152000</f>
        <v>173678</v>
      </c>
      <c r="F19" s="507" t="n">
        <f aca="false">D19/$D$2</f>
        <v>-40.8369044618099</v>
      </c>
      <c r="G19" s="1" t="n">
        <v>422</v>
      </c>
      <c r="H19" s="4" t="n">
        <v>0.08</v>
      </c>
      <c r="I19" s="175" t="n">
        <f aca="false">G19+H19</f>
        <v>422.08</v>
      </c>
      <c r="J19" s="169" t="n">
        <f aca="false">IF(L19&gt;0,L19,0)</f>
        <v>54.0830955381901</v>
      </c>
      <c r="K19" s="175" t="n">
        <f aca="false">I19+J19</f>
        <v>476.16309553819</v>
      </c>
      <c r="L19" s="175" t="n">
        <f aca="false">F19-(I19-AJ19)</f>
        <v>54.0830955381901</v>
      </c>
      <c r="M19" s="508" t="n">
        <v>145</v>
      </c>
      <c r="N19" s="149" t="n">
        <f aca="false">1.8299*1.03</f>
        <v>1.884797</v>
      </c>
      <c r="O19" s="175" t="n">
        <f aca="false">(11+11)*1.05</f>
        <v>23.1</v>
      </c>
      <c r="P19" s="149" t="n">
        <v>0</v>
      </c>
      <c r="Q19" s="149" t="n">
        <f aca="false">2.32*1.02</f>
        <v>2.3664</v>
      </c>
      <c r="R19" s="149" t="n">
        <v>4.2</v>
      </c>
      <c r="S19" s="291" t="n">
        <v>0.26</v>
      </c>
      <c r="T19" s="334" t="n">
        <v>0</v>
      </c>
      <c r="U19" s="175" t="n">
        <v>179</v>
      </c>
      <c r="V19" s="175" t="n">
        <v>58</v>
      </c>
      <c r="W19" s="129" t="n">
        <f aca="false">M19-N19-O19-P19-Q19-R19-S19-T19+U19+V19-AS19+AQ19</f>
        <v>366.370303</v>
      </c>
      <c r="X19" s="129" t="n">
        <f aca="false">W19-AN19</f>
        <v>366.370303</v>
      </c>
      <c r="Y19" s="102" t="n">
        <f aca="false">Y18</f>
        <v>2655.63822399999</v>
      </c>
      <c r="Z19" s="129" t="n">
        <v>0</v>
      </c>
      <c r="AA19" s="102"/>
      <c r="AB19" s="102" t="n">
        <f aca="false">AB18-(AP18/1.9835)</f>
        <v>2039.10303295816</v>
      </c>
      <c r="AC19" s="200"/>
      <c r="AD19" s="175" t="n">
        <v>58</v>
      </c>
      <c r="AE19" s="233" t="n">
        <v>1.7</v>
      </c>
      <c r="AF19" s="234" t="n">
        <v>1.3</v>
      </c>
      <c r="AG19" s="509" t="n">
        <v>77</v>
      </c>
      <c r="AH19" s="510" t="n">
        <f aca="false">AH18-AG19</f>
        <v>9844.25787748929</v>
      </c>
      <c r="AI19" s="167"/>
      <c r="AJ19" s="11" t="n">
        <f aca="false">N19+O19+P19+Q19+R19+S19+T19+W19+AD19+AG19-AQ19</f>
        <v>517</v>
      </c>
      <c r="AK19" s="175" t="n">
        <f aca="false">IF(L19&lt;0,L19*-1,0)</f>
        <v>0</v>
      </c>
      <c r="AL19" s="175" t="n">
        <f aca="false">AJ19+AK19</f>
        <v>517</v>
      </c>
      <c r="AM19" s="205" t="n">
        <f aca="false">AM18</f>
        <v>14971.25965</v>
      </c>
      <c r="AN19" s="173"/>
      <c r="AO19" s="92"/>
      <c r="AP19" s="149" t="n">
        <f aca="false">45.4*(Y19*1.9835+AB19*1.9835)/E19</f>
        <v>2.43419244496259</v>
      </c>
      <c r="AQ19" s="149" t="n">
        <v>16.1815</v>
      </c>
      <c r="AR19" s="162"/>
      <c r="AS19" s="1"/>
      <c r="AT19" s="4"/>
      <c r="AU19" s="497" t="n">
        <v>0.14</v>
      </c>
      <c r="AV19" s="172" t="n">
        <v>81</v>
      </c>
      <c r="AW19" s="172" t="n">
        <v>55</v>
      </c>
      <c r="AX19" s="276"/>
      <c r="AY19" s="235" t="n">
        <f aca="false">SUM(N19,P19:T19)</f>
        <v>8.711197</v>
      </c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73" t="n">
        <f aca="false">A19+1</f>
        <v>6</v>
      </c>
      <c r="B20" s="498" t="n">
        <v>6910.86</v>
      </c>
      <c r="C20" s="167" t="n">
        <v>325438</v>
      </c>
      <c r="D20" s="172" t="n">
        <f aca="false">C20-C19</f>
        <v>-240</v>
      </c>
      <c r="E20" s="167" t="n">
        <f aca="false">C20-152000</f>
        <v>173438</v>
      </c>
      <c r="F20" s="507" t="n">
        <f aca="false">D20/$D$2</f>
        <v>-120.9982354424</v>
      </c>
      <c r="G20" s="1" t="n">
        <v>373</v>
      </c>
      <c r="H20" s="4" t="n">
        <v>0.05</v>
      </c>
      <c r="I20" s="175" t="n">
        <f aca="false">G20+H20</f>
        <v>373.05</v>
      </c>
      <c r="J20" s="169" t="n">
        <f aca="false">IF(L20&gt;0,L20,0)</f>
        <v>40.9517645576002</v>
      </c>
      <c r="K20" s="175" t="n">
        <f aca="false">I20+J20</f>
        <v>414.0017645576</v>
      </c>
      <c r="L20" s="175" t="n">
        <f aca="false">F20-(I20-AJ20)</f>
        <v>40.9517645576002</v>
      </c>
      <c r="M20" s="508" t="n">
        <v>157</v>
      </c>
      <c r="N20" s="149" t="n">
        <f aca="false">1.8299*1.03</f>
        <v>1.884797</v>
      </c>
      <c r="O20" s="175" t="n">
        <f aca="false">(22+23)*1.05</f>
        <v>47.25</v>
      </c>
      <c r="P20" s="149" t="n">
        <v>0</v>
      </c>
      <c r="Q20" s="149" t="n">
        <f aca="false">2.32*1.02</f>
        <v>2.3664</v>
      </c>
      <c r="R20" s="149" t="n">
        <v>4.2</v>
      </c>
      <c r="S20" s="291" t="n">
        <v>0.97</v>
      </c>
      <c r="T20" s="334" t="n">
        <v>0</v>
      </c>
      <c r="U20" s="175" t="n">
        <v>181</v>
      </c>
      <c r="V20" s="175" t="n">
        <v>58</v>
      </c>
      <c r="W20" s="129" t="n">
        <f aca="false">M20-N20-O20-P20-Q20-R20-S20-T20+U20+V20-AS20+AQ20</f>
        <v>355.510303</v>
      </c>
      <c r="X20" s="129" t="n">
        <f aca="false">W20-AN20</f>
        <v>355.510303</v>
      </c>
      <c r="Y20" s="102" t="n">
        <f aca="false">Y19</f>
        <v>2655.63822399999</v>
      </c>
      <c r="Z20" s="129" t="n">
        <v>0</v>
      </c>
      <c r="AA20" s="102"/>
      <c r="AB20" s="102" t="n">
        <f aca="false">AB19-(AP19/1.9835)</f>
        <v>2037.87581216413</v>
      </c>
      <c r="AC20" s="200"/>
      <c r="AD20" s="175" t="n">
        <v>62</v>
      </c>
      <c r="AE20" s="233" t="n">
        <v>1.7</v>
      </c>
      <c r="AF20" s="234" t="n">
        <v>1.3</v>
      </c>
      <c r="AG20" s="509" t="n">
        <v>77</v>
      </c>
      <c r="AH20" s="510" t="n">
        <f aca="false">AH19-AG20</f>
        <v>9767.25787748929</v>
      </c>
      <c r="AI20" s="167"/>
      <c r="AJ20" s="11" t="n">
        <f aca="false">N20+O20+P20+Q20+R20+S20+T20+W20+AD20+AG20-AQ20</f>
        <v>535</v>
      </c>
      <c r="AK20" s="175" t="n">
        <f aca="false">IF(L20&lt;0,L20*-1,0)</f>
        <v>0</v>
      </c>
      <c r="AL20" s="175" t="n">
        <f aca="false">AJ20+AK20</f>
        <v>535</v>
      </c>
      <c r="AM20" s="205" t="n">
        <f aca="false">AM19</f>
        <v>14971.25965</v>
      </c>
      <c r="AN20" s="173"/>
      <c r="AO20" s="92"/>
      <c r="AP20" s="149" t="n">
        <f aca="false">45.4*(Y20*1.9835+AB20*1.9835)/E20</f>
        <v>2.43692364487143</v>
      </c>
      <c r="AQ20" s="149" t="n">
        <v>16.1815</v>
      </c>
      <c r="AR20" s="162"/>
      <c r="AS20" s="1"/>
      <c r="AT20" s="4"/>
      <c r="AU20" s="497" t="n">
        <v>0</v>
      </c>
      <c r="AV20" s="172" t="n">
        <v>88</v>
      </c>
      <c r="AW20" s="172" t="n">
        <v>56</v>
      </c>
      <c r="AX20" s="276"/>
      <c r="AY20" s="235" t="n">
        <f aca="false">SUM(N20,P20:T20)</f>
        <v>9.421197</v>
      </c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73" t="n">
        <f aca="false">A20+1</f>
        <v>7</v>
      </c>
      <c r="B21" s="498" t="n">
        <v>6910.74</v>
      </c>
      <c r="C21" s="167" t="n">
        <v>324956</v>
      </c>
      <c r="D21" s="172" t="n">
        <f aca="false">C21-C20</f>
        <v>-482</v>
      </c>
      <c r="E21" s="167" t="n">
        <f aca="false">C21-152000</f>
        <v>172956</v>
      </c>
      <c r="F21" s="507" t="n">
        <f aca="false">D21/$D$2</f>
        <v>-243.004789513486</v>
      </c>
      <c r="G21" s="1" t="n">
        <v>292</v>
      </c>
      <c r="H21" s="4" t="n">
        <v>0.04</v>
      </c>
      <c r="I21" s="175" t="n">
        <f aca="false">G21+H21</f>
        <v>292.04</v>
      </c>
      <c r="J21" s="169" t="n">
        <f aca="false">IF(L21&gt;0,L21,0)</f>
        <v>10.9552104865136</v>
      </c>
      <c r="K21" s="175" t="n">
        <f aca="false">I21+J21</f>
        <v>302.995210486514</v>
      </c>
      <c r="L21" s="175" t="n">
        <f aca="false">F21-(I21-AJ21)</f>
        <v>10.9552104865136</v>
      </c>
      <c r="M21" s="508" t="n">
        <v>175</v>
      </c>
      <c r="N21" s="149" t="n">
        <f aca="false">1.8299*1.03</f>
        <v>1.884797</v>
      </c>
      <c r="O21" s="175" t="n">
        <f aca="false">(27+27)*1.05</f>
        <v>56.7</v>
      </c>
      <c r="P21" s="149" t="n">
        <v>0</v>
      </c>
      <c r="Q21" s="149" t="n">
        <f aca="false">2.32*1.02</f>
        <v>2.3664</v>
      </c>
      <c r="R21" s="149" t="n">
        <v>4.03</v>
      </c>
      <c r="S21" s="291" t="n">
        <v>0</v>
      </c>
      <c r="T21" s="334" t="n">
        <v>0</v>
      </c>
      <c r="U21" s="175" t="n">
        <v>181</v>
      </c>
      <c r="V21" s="175" t="n">
        <v>60</v>
      </c>
      <c r="W21" s="129" t="n">
        <f aca="false">M21-N21-O21-P21-Q21-R21-S21-T21+U21+V21-AS21+AQ21</f>
        <v>367.200303</v>
      </c>
      <c r="X21" s="129" t="n">
        <f aca="false">W21-AN21</f>
        <v>367.200303</v>
      </c>
      <c r="Y21" s="102" t="n">
        <f aca="false">Y20-(W21-I21)-Q21-R21-AE21</f>
        <v>2572.38152099999</v>
      </c>
      <c r="Z21" s="129" t="n">
        <f aca="false">(-AO21)</f>
        <v>83.2567029999999</v>
      </c>
      <c r="AA21" s="102"/>
      <c r="AB21" s="102" t="n">
        <f aca="false">AB20-(AP20/1.9835)</f>
        <v>2036.64721441022</v>
      </c>
      <c r="AC21" s="200"/>
      <c r="AD21" s="175" t="n">
        <v>52</v>
      </c>
      <c r="AE21" s="233" t="n">
        <v>1.7</v>
      </c>
      <c r="AF21" s="234" t="n">
        <v>1.3</v>
      </c>
      <c r="AG21" s="509" t="n">
        <v>78</v>
      </c>
      <c r="AH21" s="510" t="n">
        <f aca="false">AH20-AG21</f>
        <v>9689.25787748929</v>
      </c>
      <c r="AI21" s="167"/>
      <c r="AJ21" s="11" t="n">
        <f aca="false">N21+O21+P21+Q21+R21+S21+T21+W21+AD21+AG21-AQ21</f>
        <v>546</v>
      </c>
      <c r="AK21" s="175" t="n">
        <f aca="false">IF(L21&lt;0,L21*-1,0)</f>
        <v>0</v>
      </c>
      <c r="AL21" s="175" t="n">
        <f aca="false">AJ21+AK21</f>
        <v>546</v>
      </c>
      <c r="AM21" s="205" t="n">
        <f aca="false">AM20</f>
        <v>14971.25965</v>
      </c>
      <c r="AN21" s="173"/>
      <c r="AO21" s="92" t="n">
        <f aca="false">I21-Q21-R21-W21-AE21</f>
        <v>-83.2567029999999</v>
      </c>
      <c r="AP21" s="149" t="n">
        <f aca="false">45.4*(Y21*1.9835+AB21*1.9835)/E21</f>
        <v>2.39972701582803</v>
      </c>
      <c r="AQ21" s="149" t="n">
        <v>16.1815</v>
      </c>
      <c r="AR21" s="162"/>
      <c r="AS21" s="1"/>
      <c r="AT21" s="4"/>
      <c r="AU21" s="497" t="n">
        <v>0.09</v>
      </c>
      <c r="AV21" s="172" t="n">
        <v>80</v>
      </c>
      <c r="AW21" s="172" t="n">
        <v>57</v>
      </c>
      <c r="AX21" s="276"/>
      <c r="AY21" s="235" t="n">
        <f aca="false">SUM(N21,P21:T21)</f>
        <v>8.281197</v>
      </c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73" t="n">
        <f aca="false">A21+1</f>
        <v>8</v>
      </c>
      <c r="B22" s="498" t="n">
        <v>6910.64</v>
      </c>
      <c r="C22" s="167" t="n">
        <v>324555</v>
      </c>
      <c r="D22" s="172" t="n">
        <f aca="false">C22-C21</f>
        <v>-401</v>
      </c>
      <c r="E22" s="167" t="n">
        <f aca="false">C22-152000</f>
        <v>172555</v>
      </c>
      <c r="F22" s="507" t="n">
        <f aca="false">D22/$D$2</f>
        <v>-202.167885051676</v>
      </c>
      <c r="G22" s="1" t="n">
        <v>319</v>
      </c>
      <c r="H22" s="4" t="n">
        <v>0.04</v>
      </c>
      <c r="I22" s="175" t="n">
        <f aca="false">G22+H22</f>
        <v>319.04</v>
      </c>
      <c r="J22" s="169" t="n">
        <f aca="false">IF(L22&gt;0,L22,0)</f>
        <v>0</v>
      </c>
      <c r="K22" s="175" t="n">
        <f aca="false">I22+J22</f>
        <v>319.04</v>
      </c>
      <c r="L22" s="175" t="n">
        <f aca="false">F22-(I22-AJ22)</f>
        <v>-0.207885051676357</v>
      </c>
      <c r="M22" s="508" t="n">
        <v>156</v>
      </c>
      <c r="N22" s="149" t="n">
        <f aca="false">1.8299*1.03</f>
        <v>1.884797</v>
      </c>
      <c r="O22" s="175" t="n">
        <f aca="false">(25+25)*1.05</f>
        <v>52.5</v>
      </c>
      <c r="P22" s="149" t="n">
        <v>0</v>
      </c>
      <c r="Q22" s="149" t="n">
        <f aca="false">2.32*1.02</f>
        <v>2.3664</v>
      </c>
      <c r="R22" s="149" t="n">
        <v>4.2</v>
      </c>
      <c r="S22" s="291" t="n">
        <v>0.12</v>
      </c>
      <c r="T22" s="334" t="n">
        <v>0</v>
      </c>
      <c r="U22" s="175" t="n">
        <v>181</v>
      </c>
      <c r="V22" s="175" t="n">
        <v>60</v>
      </c>
      <c r="W22" s="129" t="n">
        <f aca="false">M22-N22-O22-P22-Q22-R22-S22-T22+U22+V22-AS22+AQ22</f>
        <v>352.110303</v>
      </c>
      <c r="X22" s="129" t="n">
        <f aca="false">W22-AN22</f>
        <v>352.110303</v>
      </c>
      <c r="Y22" s="102" t="n">
        <f aca="false">Y21-(W22-I22)-Q22-R22-AE22</f>
        <v>2531.044818</v>
      </c>
      <c r="Z22" s="129" t="n">
        <f aca="false">(-AO22)</f>
        <v>41.336703</v>
      </c>
      <c r="AA22" s="102"/>
      <c r="AB22" s="102" t="n">
        <f aca="false">AB21-(AP21/1.9835)</f>
        <v>2035.43736968331</v>
      </c>
      <c r="AC22" s="200"/>
      <c r="AD22" s="175" t="n">
        <v>46</v>
      </c>
      <c r="AE22" s="233" t="n">
        <v>1.7</v>
      </c>
      <c r="AF22" s="234" t="n">
        <v>1.3</v>
      </c>
      <c r="AG22" s="509" t="n">
        <v>78</v>
      </c>
      <c r="AH22" s="510" t="n">
        <f aca="false">AH21-AG22</f>
        <v>9611.25787748929</v>
      </c>
      <c r="AI22" s="167"/>
      <c r="AJ22" s="11" t="n">
        <f aca="false">N22+O22+P22+Q22+R22+S22+T22+W22+AD22+AG22-AQ22</f>
        <v>521</v>
      </c>
      <c r="AK22" s="175" t="n">
        <f aca="false">IF(L22&lt;0,L22*-1,0)</f>
        <v>0.207885051676357</v>
      </c>
      <c r="AL22" s="175" t="n">
        <f aca="false">AJ22+AK22</f>
        <v>521.207885051676</v>
      </c>
      <c r="AM22" s="205" t="n">
        <f aca="false">AM21</f>
        <v>14971.25965</v>
      </c>
      <c r="AN22" s="173"/>
      <c r="AO22" s="92" t="n">
        <f aca="false">I22-Q22-R22-W22-AE22</f>
        <v>-41.336703</v>
      </c>
      <c r="AP22" s="149" t="n">
        <f aca="false">45.4*(Y22*1.9835+AB22*1.9835)/E22</f>
        <v>2.38310005989308</v>
      </c>
      <c r="AQ22" s="149" t="n">
        <v>16.1815</v>
      </c>
      <c r="AR22" s="162"/>
      <c r="AS22" s="1"/>
      <c r="AT22" s="4"/>
      <c r="AU22" s="497" t="n">
        <v>0</v>
      </c>
      <c r="AV22" s="172" t="n">
        <v>82</v>
      </c>
      <c r="AW22" s="172" t="n">
        <v>54</v>
      </c>
      <c r="AX22" s="276"/>
      <c r="AY22" s="235" t="n">
        <f aca="false">SUM(N22,P22:T22)</f>
        <v>8.571197</v>
      </c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73" t="n">
        <f aca="false">A22+1</f>
        <v>9</v>
      </c>
      <c r="B23" s="498" t="n">
        <v>6910.5</v>
      </c>
      <c r="C23" s="167" t="n">
        <v>323993</v>
      </c>
      <c r="D23" s="172" t="n">
        <f aca="false">C23-C22</f>
        <v>-562</v>
      </c>
      <c r="E23" s="167" t="n">
        <f aca="false">C23-152000</f>
        <v>171993</v>
      </c>
      <c r="F23" s="507" t="n">
        <f aca="false">D23/$D$2</f>
        <v>-283.337534660953</v>
      </c>
      <c r="G23" s="1" t="n">
        <v>269</v>
      </c>
      <c r="H23" s="4" t="n">
        <v>0.03</v>
      </c>
      <c r="I23" s="175" t="n">
        <f aca="false">G23+H23</f>
        <v>269.03</v>
      </c>
      <c r="J23" s="169" t="n">
        <f aca="false">IF(L23&gt;0,L23,0)</f>
        <v>0</v>
      </c>
      <c r="K23" s="175" t="n">
        <f aca="false">I23+J23</f>
        <v>269.03</v>
      </c>
      <c r="L23" s="175" t="n">
        <f aca="false">F23-(I23-AJ23)</f>
        <v>-21.3675346609529</v>
      </c>
      <c r="M23" s="508" t="n">
        <v>172</v>
      </c>
      <c r="N23" s="149" t="n">
        <f aca="false">1.8299*1.03</f>
        <v>1.884797</v>
      </c>
      <c r="O23" s="175" t="n">
        <f aca="false">(25+26)*1.05</f>
        <v>53.55</v>
      </c>
      <c r="P23" s="149" t="n">
        <v>0</v>
      </c>
      <c r="Q23" s="149" t="n">
        <f aca="false">2.32*1.02</f>
        <v>2.3664</v>
      </c>
      <c r="R23" s="149" t="n">
        <v>4.2</v>
      </c>
      <c r="S23" s="291" t="n">
        <v>0.45</v>
      </c>
      <c r="T23" s="334" t="n">
        <v>0</v>
      </c>
      <c r="U23" s="175" t="n">
        <v>149</v>
      </c>
      <c r="V23" s="175" t="n">
        <v>60</v>
      </c>
      <c r="W23" s="129" t="n">
        <f aca="false">M23-N23-O23-P23-Q23-R23-S23-T23+U23+V23-AS23+AQ23</f>
        <v>334.730303</v>
      </c>
      <c r="X23" s="129" t="n">
        <f aca="false">W23-AN23</f>
        <v>334.730303</v>
      </c>
      <c r="Y23" s="102" t="n">
        <f aca="false">Y22-(W23-I23)-Q23-R23-AE23</f>
        <v>2457.078115</v>
      </c>
      <c r="Z23" s="129" t="n">
        <f aca="false">(-AO23)</f>
        <v>73.9667030000001</v>
      </c>
      <c r="AA23" s="102"/>
      <c r="AB23" s="102" t="n">
        <f aca="false">AB22-(AP22/1.9835)</f>
        <v>2034.23590759111</v>
      </c>
      <c r="AC23" s="200"/>
      <c r="AD23" s="175" t="n">
        <v>72</v>
      </c>
      <c r="AE23" s="233" t="n">
        <v>1.7</v>
      </c>
      <c r="AF23" s="234" t="n">
        <v>1.3</v>
      </c>
      <c r="AG23" s="509" t="n">
        <v>78</v>
      </c>
      <c r="AH23" s="510" t="n">
        <f aca="false">AH22-AG23</f>
        <v>9533.25787748929</v>
      </c>
      <c r="AI23" s="167"/>
      <c r="AJ23" s="11" t="n">
        <f aca="false">N23+O23+P23+Q23+R23+S23+T23+W23+AD23+AG23-AQ23</f>
        <v>531</v>
      </c>
      <c r="AK23" s="175" t="n">
        <f aca="false">IF(L23&lt;0,L23*-1,0)</f>
        <v>21.3675346609529</v>
      </c>
      <c r="AL23" s="175" t="n">
        <f aca="false">AJ23+AK23</f>
        <v>552.367534660953</v>
      </c>
      <c r="AM23" s="205" t="n">
        <f aca="false">AM22</f>
        <v>14971.25965</v>
      </c>
      <c r="AN23" s="173"/>
      <c r="AO23" s="92" t="n">
        <f aca="false">I23-Q23-R23-W23-AE23</f>
        <v>-73.9667030000001</v>
      </c>
      <c r="AP23" s="149" t="n">
        <f aca="false">45.4*(Y23*1.9835+AB23*1.9835)/E23</f>
        <v>2.35153099205752</v>
      </c>
      <c r="AQ23" s="149" t="n">
        <v>16.1815</v>
      </c>
      <c r="AR23" s="162"/>
      <c r="AS23" s="1"/>
      <c r="AT23" s="4"/>
      <c r="AU23" s="497" t="n">
        <v>0</v>
      </c>
      <c r="AV23" s="166" t="n">
        <v>83</v>
      </c>
      <c r="AW23" s="172" t="n">
        <v>56</v>
      </c>
      <c r="AX23" s="276"/>
      <c r="AY23" s="235" t="n">
        <f aca="false">SUM(N23,P23:T23)</f>
        <v>8.901197</v>
      </c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73" t="n">
        <f aca="false">A23+1</f>
        <v>10</v>
      </c>
      <c r="B24" s="498" t="n">
        <v>6910.36</v>
      </c>
      <c r="C24" s="167" t="n">
        <v>323431</v>
      </c>
      <c r="D24" s="172" t="n">
        <f aca="false">C24-C23</f>
        <v>-562</v>
      </c>
      <c r="E24" s="167" t="n">
        <f aca="false">C24-152000</f>
        <v>171431</v>
      </c>
      <c r="F24" s="507" t="n">
        <f aca="false">D24/$D$2</f>
        <v>-283.337534660953</v>
      </c>
      <c r="G24" s="1" t="n">
        <v>235</v>
      </c>
      <c r="H24" s="4" t="n">
        <v>0.02</v>
      </c>
      <c r="I24" s="175" t="n">
        <f aca="false">G24+H24</f>
        <v>235.02</v>
      </c>
      <c r="J24" s="169" t="n">
        <f aca="false">IF(L24&gt;0,L24,0)</f>
        <v>1.64246533904714</v>
      </c>
      <c r="K24" s="175" t="n">
        <f aca="false">I24+J24</f>
        <v>236.662465339047</v>
      </c>
      <c r="L24" s="175" t="n">
        <f aca="false">F24-(I24-AJ24)</f>
        <v>1.64246533904714</v>
      </c>
      <c r="M24" s="508" t="n">
        <v>181</v>
      </c>
      <c r="N24" s="149" t="n">
        <f aca="false">1.8299*1.03</f>
        <v>1.884797</v>
      </c>
      <c r="O24" s="175" t="n">
        <f aca="false">(28+28)*1.05</f>
        <v>58.8</v>
      </c>
      <c r="P24" s="149" t="n">
        <v>0</v>
      </c>
      <c r="Q24" s="149" t="n">
        <f aca="false">2.32*1.02</f>
        <v>2.3664</v>
      </c>
      <c r="R24" s="149" t="n">
        <v>4.2</v>
      </c>
      <c r="S24" s="291" t="n">
        <v>0.41</v>
      </c>
      <c r="T24" s="334" t="n">
        <v>0</v>
      </c>
      <c r="U24" s="175" t="n">
        <v>98</v>
      </c>
      <c r="V24" s="175" t="n">
        <v>59</v>
      </c>
      <c r="W24" s="129" t="n">
        <f aca="false">M24-N24-O24-P24-Q24-R24-S24-T24+U24+V24-AS24+AQ24</f>
        <v>286.520303</v>
      </c>
      <c r="X24" s="129" t="n">
        <f aca="false">W24-AN24</f>
        <v>286.520303</v>
      </c>
      <c r="Y24" s="102" t="n">
        <f aca="false">Y23-(W24-I24)-Q24-R24-AE24</f>
        <v>2397.311412</v>
      </c>
      <c r="Z24" s="129" t="n">
        <f aca="false">(-AO24)</f>
        <v>59.766703</v>
      </c>
      <c r="AA24" s="102"/>
      <c r="AB24" s="102" t="n">
        <f aca="false">AB23-(AP23/1.9835)</f>
        <v>2033.05036133849</v>
      </c>
      <c r="AC24" s="200"/>
      <c r="AD24" s="175" t="n">
        <v>104</v>
      </c>
      <c r="AE24" s="233" t="n">
        <v>1.7</v>
      </c>
      <c r="AF24" s="234" t="n">
        <v>1.3</v>
      </c>
      <c r="AG24" s="509" t="n">
        <v>78</v>
      </c>
      <c r="AH24" s="510" t="n">
        <f aca="false">AH23-AG24</f>
        <v>9455.25787748929</v>
      </c>
      <c r="AI24" s="167"/>
      <c r="AJ24" s="11" t="n">
        <f aca="false">N24+O24+P24+Q24+R24+S24+T24+W24+AD24+AG24-AQ24</f>
        <v>520</v>
      </c>
      <c r="AK24" s="175" t="n">
        <f aca="false">IF(L24&lt;0,L24*-1,0)</f>
        <v>0</v>
      </c>
      <c r="AL24" s="175" t="n">
        <f aca="false">AJ24+AK24</f>
        <v>520</v>
      </c>
      <c r="AM24" s="205" t="n">
        <f aca="false">AM23</f>
        <v>14971.25965</v>
      </c>
      <c r="AN24" s="173"/>
      <c r="AO24" s="92" t="n">
        <f aca="false">I24-Q24-R24-W24-AE24</f>
        <v>-59.766703</v>
      </c>
      <c r="AP24" s="149" t="n">
        <f aca="false">45.4*(Y24*1.9835+AB24*1.9835)/E24</f>
        <v>2.32722241026843</v>
      </c>
      <c r="AQ24" s="149" t="n">
        <v>16.1815</v>
      </c>
      <c r="AR24" s="162"/>
      <c r="AS24" s="1"/>
      <c r="AT24" s="4"/>
      <c r="AU24" s="497" t="n">
        <v>0</v>
      </c>
      <c r="AV24" s="172" t="n">
        <v>86</v>
      </c>
      <c r="AW24" s="172" t="n">
        <v>54</v>
      </c>
      <c r="AX24" s="276"/>
      <c r="AY24" s="235" t="n">
        <f aca="false">SUM(N24,P24:T24)</f>
        <v>8.861197</v>
      </c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73" t="n">
        <v>11</v>
      </c>
      <c r="B25" s="498" t="n">
        <v>6910.23</v>
      </c>
      <c r="C25" s="167" t="n">
        <v>322909</v>
      </c>
      <c r="D25" s="172" t="n">
        <f aca="false">C25-C24</f>
        <v>-522</v>
      </c>
      <c r="E25" s="167" t="n">
        <f aca="false">C25-152000</f>
        <v>170909</v>
      </c>
      <c r="F25" s="507" t="n">
        <f aca="false">D25/$D$2</f>
        <v>-263.17116208722</v>
      </c>
      <c r="G25" s="1" t="n">
        <v>218</v>
      </c>
      <c r="H25" s="4" t="n">
        <v>0.02</v>
      </c>
      <c r="I25" s="175" t="n">
        <f aca="false">G25+H25</f>
        <v>218.02</v>
      </c>
      <c r="J25" s="169" t="n">
        <f aca="false">IF(L25&gt;0,L25,0)</f>
        <v>0</v>
      </c>
      <c r="K25" s="175" t="n">
        <f aca="false">I25+J25</f>
        <v>218.02</v>
      </c>
      <c r="L25" s="175" t="n">
        <f aca="false">F25-(I25-AJ25)</f>
        <v>-6.19116208721954</v>
      </c>
      <c r="M25" s="508" t="n">
        <v>192</v>
      </c>
      <c r="N25" s="149" t="n">
        <f aca="false">1.8299*1.03</f>
        <v>1.884797</v>
      </c>
      <c r="O25" s="175" t="n">
        <f aca="false">(26+27)*1.05</f>
        <v>55.65</v>
      </c>
      <c r="P25" s="149" t="n">
        <v>0</v>
      </c>
      <c r="Q25" s="149" t="n">
        <f aca="false">2.32*1.02</f>
        <v>2.3664</v>
      </c>
      <c r="R25" s="149" t="n">
        <v>4.2</v>
      </c>
      <c r="S25" s="291" t="n">
        <v>2.04</v>
      </c>
      <c r="T25" s="334" t="n">
        <v>0</v>
      </c>
      <c r="U25" s="175" t="n">
        <v>76</v>
      </c>
      <c r="V25" s="175" t="n">
        <v>59</v>
      </c>
      <c r="W25" s="129" t="n">
        <f aca="false">M25-N25-O25-P25-Q25-R25-S25-T25+U25+V25-AS25+AQ25</f>
        <v>277.040303</v>
      </c>
      <c r="X25" s="129" t="n">
        <f aca="false">W25-AN25</f>
        <v>277.040303</v>
      </c>
      <c r="Y25" s="102" t="n">
        <f aca="false">Y24-(W25-I25)-Q25-R25-AE25</f>
        <v>2330.024709</v>
      </c>
      <c r="Z25" s="129" t="n">
        <f aca="false">(-AO25)</f>
        <v>67.286703</v>
      </c>
      <c r="AA25" s="102"/>
      <c r="AB25" s="102" t="n">
        <f aca="false">AB24-(AP24/1.9835)</f>
        <v>2031.87707048381</v>
      </c>
      <c r="AC25" s="200"/>
      <c r="AD25" s="175" t="n">
        <v>71</v>
      </c>
      <c r="AE25" s="233" t="n">
        <v>1.7</v>
      </c>
      <c r="AF25" s="234" t="n">
        <v>1.3</v>
      </c>
      <c r="AG25" s="509" t="n">
        <v>77</v>
      </c>
      <c r="AH25" s="510" t="n">
        <f aca="false">AH24-AG25</f>
        <v>9378.25787748929</v>
      </c>
      <c r="AI25" s="167"/>
      <c r="AJ25" s="11" t="n">
        <f aca="false">N25+O25+P25+Q25+R25+S25+T25+W25+AD25+AG25-AQ25</f>
        <v>475</v>
      </c>
      <c r="AK25" s="175" t="n">
        <f aca="false">IF(L25&lt;0,L25*-1,0)</f>
        <v>6.19116208721954</v>
      </c>
      <c r="AL25" s="175" t="n">
        <f aca="false">AJ25+AK25</f>
        <v>481.19116208722</v>
      </c>
      <c r="AM25" s="205" t="n">
        <f aca="false">AM24</f>
        <v>14971.25965</v>
      </c>
      <c r="AN25" s="173"/>
      <c r="AO25" s="92" t="n">
        <f aca="false">I25-Q25-R25-W25-AE25</f>
        <v>-67.286703</v>
      </c>
      <c r="AP25" s="149" t="n">
        <f aca="false">45.4*(Y25*1.9835+AB25*1.9835)/E25</f>
        <v>2.29825919614601</v>
      </c>
      <c r="AQ25" s="149" t="n">
        <v>16.1815</v>
      </c>
      <c r="AR25" s="162"/>
      <c r="AS25" s="1"/>
      <c r="AT25" s="4"/>
      <c r="AU25" s="497" t="n">
        <v>0.21</v>
      </c>
      <c r="AV25" s="172" t="n">
        <v>78</v>
      </c>
      <c r="AW25" s="172" t="n">
        <v>55</v>
      </c>
      <c r="AX25" s="276"/>
      <c r="AY25" s="235" t="n">
        <f aca="false">SUM(N25,P25:T25)</f>
        <v>10.491197</v>
      </c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73" t="n">
        <v>12</v>
      </c>
      <c r="B26" s="498" t="n">
        <v>6910.15</v>
      </c>
      <c r="C26" s="167" t="n">
        <v>322588</v>
      </c>
      <c r="D26" s="172" t="n">
        <f aca="false">C26-C25</f>
        <v>-321</v>
      </c>
      <c r="E26" s="167" t="n">
        <f aca="false">C26-152000</f>
        <v>170588</v>
      </c>
      <c r="F26" s="507" t="n">
        <f aca="false">D26/$D$2</f>
        <v>-161.83513990421</v>
      </c>
      <c r="G26" s="1" t="n">
        <v>280</v>
      </c>
      <c r="H26" s="4" t="n">
        <v>0.04</v>
      </c>
      <c r="I26" s="175" t="n">
        <f aca="false">G26+H26</f>
        <v>280.04</v>
      </c>
      <c r="J26" s="169" t="n">
        <f aca="false">IF(L26&gt;0,L26,0)</f>
        <v>0</v>
      </c>
      <c r="K26" s="175" t="n">
        <f aca="false">I26+J26</f>
        <v>280.04</v>
      </c>
      <c r="L26" s="175" t="n">
        <f aca="false">F26-(I26-AJ26)</f>
        <v>-20.8751399042098</v>
      </c>
      <c r="M26" s="508" t="n">
        <v>151</v>
      </c>
      <c r="N26" s="149" t="n">
        <f aca="false">1.8299*1.03</f>
        <v>1.884797</v>
      </c>
      <c r="O26" s="175" t="n">
        <f aca="false">(25+25)*1.05</f>
        <v>52.5</v>
      </c>
      <c r="P26" s="149" t="n">
        <v>0</v>
      </c>
      <c r="Q26" s="149" t="n">
        <f aca="false">2.32*1.02</f>
        <v>2.3664</v>
      </c>
      <c r="R26" s="149" t="n">
        <v>3.36</v>
      </c>
      <c r="S26" s="291" t="n">
        <v>0</v>
      </c>
      <c r="T26" s="334" t="n">
        <v>0</v>
      </c>
      <c r="U26" s="175" t="n">
        <v>76</v>
      </c>
      <c r="V26" s="175" t="n">
        <v>57</v>
      </c>
      <c r="W26" s="129" t="n">
        <f aca="false">M26-N26-O26-P26-Q26-R26-S26-T26+U26+V26-AS26+AQ26</f>
        <v>240.070303</v>
      </c>
      <c r="X26" s="129" t="n">
        <f aca="false">W26-AN26</f>
        <v>240.070303</v>
      </c>
      <c r="Y26" s="102" t="n">
        <f aca="false">Y25</f>
        <v>2330.024709</v>
      </c>
      <c r="Z26" s="129" t="n">
        <v>0</v>
      </c>
      <c r="AA26" s="102"/>
      <c r="AB26" s="102" t="n">
        <f aca="false">AB25-(AP25/1.9835)</f>
        <v>2030.71838170329</v>
      </c>
      <c r="AC26" s="200"/>
      <c r="AD26" s="175" t="n">
        <v>61</v>
      </c>
      <c r="AE26" s="233" t="n">
        <v>1.7</v>
      </c>
      <c r="AF26" s="234" t="n">
        <v>1.3</v>
      </c>
      <c r="AG26" s="509" t="n">
        <v>76</v>
      </c>
      <c r="AH26" s="510" t="n">
        <f aca="false">AH25-AG26</f>
        <v>9302.25787748929</v>
      </c>
      <c r="AI26" s="167"/>
      <c r="AJ26" s="11" t="n">
        <f aca="false">N26+O26+P26+Q26+R26+S26+T26+W26+AD26+AG26-AQ26</f>
        <v>421</v>
      </c>
      <c r="AK26" s="175" t="n">
        <f aca="false">IF(L26&lt;0,L26*-1,0)</f>
        <v>20.8751399042098</v>
      </c>
      <c r="AL26" s="175" t="n">
        <f aca="false">AJ26+AK26</f>
        <v>441.87513990421</v>
      </c>
      <c r="AM26" s="205" t="n">
        <f aca="false">AM25</f>
        <v>14971.25965</v>
      </c>
      <c r="AN26" s="173"/>
      <c r="AO26" s="92"/>
      <c r="AP26" s="149" t="n">
        <f aca="false">45.4*(Y26*1.9835+AB26*1.9835)/E26</f>
        <v>2.30197223712461</v>
      </c>
      <c r="AQ26" s="149" t="n">
        <v>16.1815</v>
      </c>
      <c r="AR26" s="162"/>
      <c r="AS26" s="1"/>
      <c r="AT26" s="4"/>
      <c r="AU26" s="497" t="n">
        <v>0.01</v>
      </c>
      <c r="AV26" s="172" t="n">
        <v>81</v>
      </c>
      <c r="AW26" s="172" t="n">
        <v>57</v>
      </c>
      <c r="AX26" s="276"/>
      <c r="AY26" s="235" t="n">
        <f aca="false">SUM(N26,P26:T26)</f>
        <v>7.611197</v>
      </c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73" t="n">
        <v>13</v>
      </c>
      <c r="B27" s="498" t="n">
        <v>6910.03</v>
      </c>
      <c r="C27" s="167" t="n">
        <v>322107</v>
      </c>
      <c r="D27" s="172" t="n">
        <f aca="false">C27-C26</f>
        <v>-481</v>
      </c>
      <c r="E27" s="167" t="n">
        <f aca="false">C27-152000</f>
        <v>170107</v>
      </c>
      <c r="F27" s="507" t="n">
        <f aca="false">D27/$D$2</f>
        <v>-242.500630199143</v>
      </c>
      <c r="G27" s="1" t="n">
        <v>252</v>
      </c>
      <c r="H27" s="4" t="n">
        <v>0.02</v>
      </c>
      <c r="I27" s="175" t="n">
        <f aca="false">G27+H27</f>
        <v>252.02</v>
      </c>
      <c r="J27" s="169" t="n">
        <f aca="false">IF(L27&gt;0,L27,0)</f>
        <v>0</v>
      </c>
      <c r="K27" s="175" t="n">
        <f aca="false">I27+J27</f>
        <v>252.02</v>
      </c>
      <c r="L27" s="175" t="n">
        <f aca="false">F27-(I27-AJ27)</f>
        <v>-30.5206301991429</v>
      </c>
      <c r="M27" s="508" t="n">
        <v>164</v>
      </c>
      <c r="N27" s="149" t="n">
        <f aca="false">1.8299*1.03</f>
        <v>1.884797</v>
      </c>
      <c r="O27" s="175" t="n">
        <f aca="false">(24+24)*1.05</f>
        <v>50.4</v>
      </c>
      <c r="P27" s="149" t="n">
        <v>0</v>
      </c>
      <c r="Q27" s="149" t="n">
        <f aca="false">2.32*1.02</f>
        <v>2.3664</v>
      </c>
      <c r="R27" s="149" t="n">
        <v>4.2</v>
      </c>
      <c r="S27" s="291" t="n">
        <v>0.8</v>
      </c>
      <c r="T27" s="334" t="n">
        <v>0</v>
      </c>
      <c r="U27" s="175" t="n">
        <v>76</v>
      </c>
      <c r="V27" s="175" t="n">
        <v>56</v>
      </c>
      <c r="W27" s="129" t="n">
        <f aca="false">M27-N27-O27-P27-Q27-R27-S27-T27+U27+V27-AS27+AQ27</f>
        <v>252.530303</v>
      </c>
      <c r="X27" s="129" t="n">
        <f aca="false">W27-AN27</f>
        <v>252.530303</v>
      </c>
      <c r="Y27" s="102" t="n">
        <f aca="false">Y26</f>
        <v>2330.024709</v>
      </c>
      <c r="Z27" s="129" t="n">
        <f aca="false">(-AO27)</f>
        <v>8.77670299999998</v>
      </c>
      <c r="AA27" s="102"/>
      <c r="AB27" s="102" t="n">
        <f aca="false">AB26-(AP26/1.9835)</f>
        <v>2029.55782095859</v>
      </c>
      <c r="AC27" s="200"/>
      <c r="AD27" s="175" t="n">
        <v>92</v>
      </c>
      <c r="AE27" s="233" t="n">
        <v>1.7</v>
      </c>
      <c r="AF27" s="234" t="n">
        <v>1.3</v>
      </c>
      <c r="AG27" s="509" t="n">
        <v>76</v>
      </c>
      <c r="AH27" s="510" t="n">
        <f aca="false">AH26-AG27</f>
        <v>9226.25787748929</v>
      </c>
      <c r="AI27" s="167"/>
      <c r="AJ27" s="11" t="n">
        <f aca="false">N27+O27+P27+Q27+R27+S27+T27+W27+AD27+AG27-AQ27</f>
        <v>464</v>
      </c>
      <c r="AK27" s="175" t="n">
        <f aca="false">IF(L27&lt;0,L27*-1,0)</f>
        <v>30.5206301991429</v>
      </c>
      <c r="AL27" s="175" t="n">
        <f aca="false">AJ27+AK27</f>
        <v>494.520630199143</v>
      </c>
      <c r="AM27" s="205" t="n">
        <f aca="false">AM26</f>
        <v>14971.25965</v>
      </c>
      <c r="AN27" s="173"/>
      <c r="AO27" s="92" t="n">
        <f aca="false">I27-Q27-R27-W27-AE27</f>
        <v>-8.77670299999998</v>
      </c>
      <c r="AP27" s="149" t="n">
        <f aca="false">45.4*(Y27*1.9835+AB27*1.9835)/E27</f>
        <v>2.3078669922287</v>
      </c>
      <c r="AQ27" s="149" t="n">
        <v>16.1815</v>
      </c>
      <c r="AR27" s="162"/>
      <c r="AS27" s="1"/>
      <c r="AT27" s="4"/>
      <c r="AU27" s="497" t="n">
        <v>0</v>
      </c>
      <c r="AV27" s="172" t="n">
        <v>85</v>
      </c>
      <c r="AW27" s="172" t="n">
        <v>54</v>
      </c>
      <c r="AX27" s="276"/>
      <c r="AY27" s="235" t="n">
        <f aca="false">SUM(N27,P27:T27)</f>
        <v>9.251197</v>
      </c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73" t="n">
        <v>14</v>
      </c>
      <c r="B28" s="498" t="n">
        <v>6909.9</v>
      </c>
      <c r="C28" s="167" t="n">
        <v>321588</v>
      </c>
      <c r="D28" s="172" t="n">
        <f aca="false">C28-C27</f>
        <v>-519</v>
      </c>
      <c r="E28" s="167" t="n">
        <f aca="false">C28-152000</f>
        <v>169588</v>
      </c>
      <c r="F28" s="507" t="n">
        <f aca="false">D28/$D$2</f>
        <v>-261.65868414419</v>
      </c>
      <c r="G28" s="1" t="n">
        <v>207</v>
      </c>
      <c r="H28" s="4" t="n">
        <v>0.02</v>
      </c>
      <c r="I28" s="175" t="n">
        <f aca="false">G28+H28</f>
        <v>207.02</v>
      </c>
      <c r="J28" s="169" t="n">
        <f aca="false">IF(L28&gt;0,L28,0)</f>
        <v>0</v>
      </c>
      <c r="K28" s="175" t="n">
        <f aca="false">I28+J28</f>
        <v>207.02</v>
      </c>
      <c r="L28" s="175" t="n">
        <f aca="false">F28-(I28-AJ28)</f>
        <v>-25.6786841441896</v>
      </c>
      <c r="M28" s="508" t="n">
        <v>149</v>
      </c>
      <c r="N28" s="149" t="n">
        <f aca="false">1.8299*1.03</f>
        <v>1.884797</v>
      </c>
      <c r="O28" s="175" t="n">
        <f aca="false">(15+15)*1.05</f>
        <v>31.5</v>
      </c>
      <c r="P28" s="149" t="n">
        <v>0</v>
      </c>
      <c r="Q28" s="149" t="n">
        <f aca="false">2.32*1.02</f>
        <v>2.3664</v>
      </c>
      <c r="R28" s="149" t="n">
        <v>4.2</v>
      </c>
      <c r="S28" s="291" t="n">
        <v>1.64</v>
      </c>
      <c r="T28" s="334" t="n">
        <v>0</v>
      </c>
      <c r="U28" s="175" t="n">
        <v>75</v>
      </c>
      <c r="V28" s="175" t="n">
        <v>56</v>
      </c>
      <c r="W28" s="129" t="n">
        <f aca="false">M28-N28-O28-P28-Q28-R28-S28-T28+U28+V28-AS28+AQ28</f>
        <v>254.590303</v>
      </c>
      <c r="X28" s="129" t="n">
        <f aca="false">W28-AN28</f>
        <v>254.590303</v>
      </c>
      <c r="Y28" s="102" t="n">
        <f aca="false">Y27-(W28-I28)-Q28-R28-AE28</f>
        <v>2274.188006</v>
      </c>
      <c r="Z28" s="129" t="n">
        <f aca="false">(-AO28)</f>
        <v>55.836703</v>
      </c>
      <c r="AA28" s="102"/>
      <c r="AB28" s="102" t="n">
        <f aca="false">AB27-(AP27/1.9835)</f>
        <v>2028.39428831819</v>
      </c>
      <c r="AC28" s="200"/>
      <c r="AD28" s="175" t="n">
        <v>87</v>
      </c>
      <c r="AE28" s="233" t="n">
        <v>1.7</v>
      </c>
      <c r="AF28" s="234" t="n">
        <v>1.3</v>
      </c>
      <c r="AG28" s="509" t="n">
        <v>76</v>
      </c>
      <c r="AH28" s="510" t="n">
        <f aca="false">AH27-AG28</f>
        <v>9150.25787748929</v>
      </c>
      <c r="AI28" s="167"/>
      <c r="AJ28" s="11" t="n">
        <f aca="false">N28+O28+P28+Q28+R28+S28+T28+W28+AD28+AG28-AQ28</f>
        <v>443</v>
      </c>
      <c r="AK28" s="175" t="n">
        <f aca="false">IF(L28&lt;0,L28*-1,0)</f>
        <v>25.6786841441896</v>
      </c>
      <c r="AL28" s="175" t="n">
        <f aca="false">AJ28+AK28</f>
        <v>468.67868414419</v>
      </c>
      <c r="AM28" s="205" t="n">
        <f aca="false">AM27</f>
        <v>14971.25965</v>
      </c>
      <c r="AN28" s="173"/>
      <c r="AO28" s="92" t="n">
        <f aca="false">I28-Q28-R28-W28-AE28</f>
        <v>-55.836703</v>
      </c>
      <c r="AP28" s="149" t="n">
        <f aca="false">45.4*(Y28*1.9835+AB28*1.9835)/E28</f>
        <v>2.28466287666237</v>
      </c>
      <c r="AQ28" s="149" t="n">
        <v>16.1815</v>
      </c>
      <c r="AR28" s="162"/>
      <c r="AS28" s="1"/>
      <c r="AT28" s="4"/>
      <c r="AU28" s="497" t="n">
        <v>0</v>
      </c>
      <c r="AV28" s="172" t="n">
        <v>88</v>
      </c>
      <c r="AW28" s="172" t="n">
        <v>52</v>
      </c>
      <c r="AX28" s="276"/>
      <c r="AY28" s="235" t="n">
        <f aca="false">SUM(N28,P28:T28)</f>
        <v>10.091197</v>
      </c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73" t="n">
        <v>15</v>
      </c>
      <c r="B29" s="498" t="n">
        <v>6909.76</v>
      </c>
      <c r="C29" s="167" t="n">
        <v>321031</v>
      </c>
      <c r="D29" s="172" t="n">
        <f aca="false">C29-C28</f>
        <v>-557</v>
      </c>
      <c r="E29" s="167" t="n">
        <f aca="false">C29-152000</f>
        <v>169031</v>
      </c>
      <c r="F29" s="507" t="n">
        <f aca="false">D29/$D$2</f>
        <v>-280.816738089236</v>
      </c>
      <c r="G29" s="1" t="n">
        <v>184</v>
      </c>
      <c r="H29" s="4" t="n">
        <v>0.02</v>
      </c>
      <c r="I29" s="175" t="n">
        <f aca="false">G29+H29</f>
        <v>184.02</v>
      </c>
      <c r="J29" s="169" t="n">
        <f aca="false">IF(L29&gt;0,L29,0)</f>
        <v>0</v>
      </c>
      <c r="K29" s="175" t="n">
        <f aca="false">I29+J29</f>
        <v>184.02</v>
      </c>
      <c r="L29" s="175" t="n">
        <f aca="false">F29-(I29-AJ29)</f>
        <v>-15.8367380892362</v>
      </c>
      <c r="M29" s="508" t="n">
        <v>172</v>
      </c>
      <c r="N29" s="149" t="n">
        <f aca="false">1.8299*1.03</f>
        <v>1.884797</v>
      </c>
      <c r="O29" s="175" t="n">
        <f aca="false">(12+14)*1.05</f>
        <v>27.3</v>
      </c>
      <c r="P29" s="149" t="n">
        <v>0</v>
      </c>
      <c r="Q29" s="149" t="n">
        <f aca="false">2.32*1.02</f>
        <v>2.3664</v>
      </c>
      <c r="R29" s="149" t="n">
        <v>4.2</v>
      </c>
      <c r="S29" s="291" t="n">
        <v>2.58</v>
      </c>
      <c r="T29" s="334" t="n">
        <v>0</v>
      </c>
      <c r="U29" s="175" t="n">
        <v>75</v>
      </c>
      <c r="V29" s="175" t="n">
        <v>56</v>
      </c>
      <c r="W29" s="129" t="n">
        <f aca="false">M29-N29-O29-P29-Q29-R29-S29-T29+U29+V29-AS29+AQ29</f>
        <v>280.850303</v>
      </c>
      <c r="X29" s="129" t="n">
        <f aca="false">W29-AN29</f>
        <v>280.850303</v>
      </c>
      <c r="Y29" s="102" t="n">
        <f aca="false">Y28-(W29-I29)-Q29-R29-AE29</f>
        <v>2169.091303</v>
      </c>
      <c r="Z29" s="129" t="n">
        <f aca="false">(-AO29)</f>
        <v>105.096703</v>
      </c>
      <c r="AA29" s="102"/>
      <c r="AB29" s="102" t="n">
        <f aca="false">AB28-(AP28/1.9835)</f>
        <v>2027.24245424879</v>
      </c>
      <c r="AC29" s="200"/>
      <c r="AD29" s="175" t="n">
        <v>70</v>
      </c>
      <c r="AE29" s="233" t="n">
        <v>1.7</v>
      </c>
      <c r="AF29" s="234" t="n">
        <v>1.3</v>
      </c>
      <c r="AG29" s="509" t="n">
        <v>76</v>
      </c>
      <c r="AH29" s="510" t="n">
        <f aca="false">AH28-AG29</f>
        <v>9074.25787748929</v>
      </c>
      <c r="AI29" s="167"/>
      <c r="AJ29" s="11" t="n">
        <f aca="false">N29+O29+P29+Q29+R29+S29+T29+W29+AD29+AG29-AQ29</f>
        <v>449</v>
      </c>
      <c r="AK29" s="175" t="n">
        <f aca="false">IF(L29&lt;0,L29*-1,0)</f>
        <v>15.8367380892362</v>
      </c>
      <c r="AL29" s="175" t="n">
        <f aca="false">AJ29+AK29</f>
        <v>464.836738089236</v>
      </c>
      <c r="AM29" s="205" t="n">
        <f aca="false">AM28</f>
        <v>14971.25965</v>
      </c>
      <c r="AN29" s="173"/>
      <c r="AO29" s="92" t="n">
        <f aca="false">I29-Q29-R29-W29-AE29</f>
        <v>-105.096703</v>
      </c>
      <c r="AP29" s="149" t="n">
        <f aca="false">45.4*(Y29*1.9835+AB29*1.9835)/E29</f>
        <v>2.23558774154229</v>
      </c>
      <c r="AQ29" s="149" t="n">
        <v>16.1815</v>
      </c>
      <c r="AR29" s="162"/>
      <c r="AS29" s="1"/>
      <c r="AT29" s="4"/>
      <c r="AU29" s="497" t="n">
        <v>0.04</v>
      </c>
      <c r="AV29" s="172" t="n">
        <v>91</v>
      </c>
      <c r="AW29" s="172" t="n">
        <v>56</v>
      </c>
      <c r="AX29" s="276"/>
      <c r="AY29" s="235" t="n">
        <f aca="false">SUM(N29,P29:T29)</f>
        <v>11.031197</v>
      </c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73" t="n">
        <v>16</v>
      </c>
      <c r="B30" s="498" t="n">
        <v>6909.6</v>
      </c>
      <c r="C30" s="167" t="n">
        <v>320394</v>
      </c>
      <c r="D30" s="172" t="n">
        <f aca="false">C30-C29</f>
        <v>-637</v>
      </c>
      <c r="E30" s="167" t="n">
        <f aca="false">C30-152000</f>
        <v>168394</v>
      </c>
      <c r="F30" s="507" t="n">
        <f aca="false">D30/$D$2</f>
        <v>-321.149483236703</v>
      </c>
      <c r="G30" s="1" t="n">
        <v>171</v>
      </c>
      <c r="H30" s="4" t="n">
        <v>0.01</v>
      </c>
      <c r="I30" s="175" t="n">
        <f aca="false">G30+H30</f>
        <v>171.01</v>
      </c>
      <c r="J30" s="169" t="n">
        <f aca="false">IF(L30&gt;0,L30,0)</f>
        <v>0</v>
      </c>
      <c r="K30" s="175" t="n">
        <f aca="false">I30+J30</f>
        <v>171.01</v>
      </c>
      <c r="L30" s="175" t="n">
        <f aca="false">F30-(I30-AJ30)</f>
        <v>-15.1594832367028</v>
      </c>
      <c r="M30" s="508" t="n">
        <v>191</v>
      </c>
      <c r="N30" s="149" t="n">
        <f aca="false">1.8299*1.03</f>
        <v>1.884797</v>
      </c>
      <c r="O30" s="175" t="n">
        <f aca="false">(29+30)*1.05</f>
        <v>61.95</v>
      </c>
      <c r="P30" s="149" t="n">
        <v>0</v>
      </c>
      <c r="Q30" s="149" t="n">
        <f aca="false">2.32*1.02</f>
        <v>2.3664</v>
      </c>
      <c r="R30" s="149" t="n">
        <v>4.2</v>
      </c>
      <c r="S30" s="291" t="n">
        <v>2.67</v>
      </c>
      <c r="T30" s="334" t="n">
        <v>0</v>
      </c>
      <c r="U30" s="175" t="n">
        <v>75</v>
      </c>
      <c r="V30" s="175" t="n">
        <v>59</v>
      </c>
      <c r="W30" s="129" t="n">
        <f aca="false">M30-N30-O30-P30-Q30-R30-S30-T30+U30+V30-AS30+AQ30</f>
        <v>268.110303</v>
      </c>
      <c r="X30" s="129" t="n">
        <f aca="false">W30-AN30</f>
        <v>268.110303</v>
      </c>
      <c r="Y30" s="102" t="n">
        <f aca="false">Y29-(W30-I30)-Q30-R30-AE30</f>
        <v>2063.7246</v>
      </c>
      <c r="Z30" s="129" t="n">
        <f aca="false">(-AO30)</f>
        <v>105.366703</v>
      </c>
      <c r="AA30" s="102"/>
      <c r="AB30" s="102" t="n">
        <f aca="false">AB29-(AP29/1.9835)</f>
        <v>2026.11536186586</v>
      </c>
      <c r="AC30" s="200"/>
      <c r="AD30" s="175" t="n">
        <v>86</v>
      </c>
      <c r="AE30" s="233" t="n">
        <v>1.7</v>
      </c>
      <c r="AF30" s="234" t="n">
        <v>1.3</v>
      </c>
      <c r="AG30" s="509" t="n">
        <v>66</v>
      </c>
      <c r="AH30" s="510" t="n">
        <f aca="false">AH29-AG30</f>
        <v>9008.25787748929</v>
      </c>
      <c r="AI30" s="167"/>
      <c r="AJ30" s="11" t="n">
        <f aca="false">N30+O30+P30+Q30+R30+S30+T30+W30+AD30+AG30-AQ30</f>
        <v>477</v>
      </c>
      <c r="AK30" s="175" t="n">
        <f aca="false">IF(L30&lt;0,L30*-1,0)</f>
        <v>15.1594832367028</v>
      </c>
      <c r="AL30" s="175" t="n">
        <f aca="false">AJ30+AK30</f>
        <v>492.159483236703</v>
      </c>
      <c r="AM30" s="205" t="n">
        <f aca="false">AM29</f>
        <v>14971.25965</v>
      </c>
      <c r="AN30" s="173"/>
      <c r="AO30" s="92" t="n">
        <f aca="false">I30-Q30-R30-W30-AE30</f>
        <v>-105.366703</v>
      </c>
      <c r="AP30" s="149" t="n">
        <f aca="false">45.4*(Y30*1.9835+AB30*1.9835)/E30</f>
        <v>2.18709555816707</v>
      </c>
      <c r="AQ30" s="149" t="n">
        <v>16.1815</v>
      </c>
      <c r="AR30" s="162"/>
      <c r="AS30" s="1"/>
      <c r="AT30" s="4"/>
      <c r="AU30" s="497" t="n">
        <v>0.1</v>
      </c>
      <c r="AV30" s="172" t="n">
        <v>85</v>
      </c>
      <c r="AW30" s="172" t="n">
        <v>54</v>
      </c>
      <c r="AX30" s="276"/>
      <c r="AY30" s="235" t="n">
        <f aca="false">SUM(N30,P30:T30)</f>
        <v>11.121197</v>
      </c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73" t="n">
        <v>17</v>
      </c>
      <c r="B31" s="498" t="n">
        <v>6909.44</v>
      </c>
      <c r="C31" s="167" t="n">
        <v>319757</v>
      </c>
      <c r="D31" s="172" t="n">
        <f aca="false">C31-C30</f>
        <v>-637</v>
      </c>
      <c r="E31" s="167" t="n">
        <f aca="false">C31-152000</f>
        <v>167757</v>
      </c>
      <c r="F31" s="507" t="n">
        <f aca="false">D31/$D$2</f>
        <v>-321.149483236703</v>
      </c>
      <c r="G31" s="1" t="n">
        <v>201</v>
      </c>
      <c r="H31" s="4" t="n">
        <v>0</v>
      </c>
      <c r="I31" s="175" t="n">
        <f aca="false">G31+H31</f>
        <v>201</v>
      </c>
      <c r="J31" s="169" t="n">
        <f aca="false">IF(L31&gt;0,L31,0)</f>
        <v>0</v>
      </c>
      <c r="K31" s="175" t="n">
        <f aca="false">I31+J31</f>
        <v>201</v>
      </c>
      <c r="L31" s="175" t="n">
        <f aca="false">F31-(I31-AJ31)</f>
        <v>-18.1494832367029</v>
      </c>
      <c r="M31" s="508" t="n">
        <v>210</v>
      </c>
      <c r="N31" s="149" t="n">
        <f aca="false">1.8299*1.03</f>
        <v>1.884797</v>
      </c>
      <c r="O31" s="175" t="n">
        <f aca="false">(38+38)*1.05</f>
        <v>79.8</v>
      </c>
      <c r="P31" s="149" t="n">
        <v>0</v>
      </c>
      <c r="Q31" s="149" t="n">
        <f aca="false">2.32*1.02</f>
        <v>2.3664</v>
      </c>
      <c r="R31" s="149" t="n">
        <v>4.04</v>
      </c>
      <c r="S31" s="291" t="n">
        <v>0</v>
      </c>
      <c r="T31" s="334" t="n">
        <v>0</v>
      </c>
      <c r="U31" s="175" t="n">
        <v>75</v>
      </c>
      <c r="V31" s="175" t="n">
        <v>61</v>
      </c>
      <c r="W31" s="129" t="n">
        <f aca="false">M31-N31-O31-P31-Q31-R31-S31-T31+U31+V31-AS31+AQ31</f>
        <v>274.090303</v>
      </c>
      <c r="X31" s="129" t="n">
        <f aca="false">W31-AN31</f>
        <v>274.090303</v>
      </c>
      <c r="Y31" s="102" t="n">
        <f aca="false">Y30-(W31-I31)-Q31-R31-AE31</f>
        <v>1982.527897</v>
      </c>
      <c r="Z31" s="129" t="n">
        <f aca="false">(-AO31)</f>
        <v>81.1967029999999</v>
      </c>
      <c r="AA31" s="102"/>
      <c r="AB31" s="102" t="n">
        <f aca="false">AB30-(AP30/1.9835)</f>
        <v>2025.01271726885</v>
      </c>
      <c r="AC31" s="200"/>
      <c r="AD31" s="175" t="n">
        <v>102</v>
      </c>
      <c r="AE31" s="233" t="n">
        <v>1.7</v>
      </c>
      <c r="AF31" s="234" t="n">
        <v>1.3</v>
      </c>
      <c r="AG31" s="509" t="n">
        <v>56</v>
      </c>
      <c r="AH31" s="510" t="n">
        <f aca="false">AH30-AG31</f>
        <v>8952.25787748929</v>
      </c>
      <c r="AI31" s="167"/>
      <c r="AJ31" s="11" t="n">
        <f aca="false">N31+O31+P31+Q31+R31+S31+T31+W31+AD31+AG31-AQ31</f>
        <v>504</v>
      </c>
      <c r="AK31" s="175" t="n">
        <f aca="false">IF(L31&lt;0,L31*-1,0)</f>
        <v>18.1494832367029</v>
      </c>
      <c r="AL31" s="175" t="n">
        <f aca="false">AJ31+AK31</f>
        <v>522.149483236703</v>
      </c>
      <c r="AM31" s="205" t="n">
        <f aca="false">AM30</f>
        <v>14971.25965</v>
      </c>
      <c r="AN31" s="173"/>
      <c r="AO31" s="92" t="n">
        <f aca="false">I31-Q31-R31-W31-AE31</f>
        <v>-81.1967029999999</v>
      </c>
      <c r="AP31" s="149" t="n">
        <f aca="false">45.4*(Y31*1.9835+AB31*1.9835)/E31</f>
        <v>2.1512225367732</v>
      </c>
      <c r="AQ31" s="149" t="n">
        <v>16.1815</v>
      </c>
      <c r="AR31" s="162"/>
      <c r="AS31" s="1"/>
      <c r="AT31" s="4"/>
      <c r="AU31" s="497" t="n">
        <v>0</v>
      </c>
      <c r="AV31" s="172" t="n">
        <v>85</v>
      </c>
      <c r="AW31" s="172" t="n">
        <v>52</v>
      </c>
      <c r="AX31" s="276"/>
      <c r="AY31" s="235" t="n">
        <f aca="false">SUM(N31,P31:T31)</f>
        <v>8.291197</v>
      </c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73" t="n">
        <v>18</v>
      </c>
      <c r="B32" s="498" t="n">
        <v>6909.28</v>
      </c>
      <c r="C32" s="167" t="n">
        <v>319120</v>
      </c>
      <c r="D32" s="172" t="n">
        <f aca="false">C32-C31</f>
        <v>-637</v>
      </c>
      <c r="E32" s="167" t="n">
        <f aca="false">C32-152000</f>
        <v>167120</v>
      </c>
      <c r="F32" s="507" t="n">
        <f aca="false">D32/$D$2</f>
        <v>-321.149483236703</v>
      </c>
      <c r="G32" s="1" t="n">
        <v>179</v>
      </c>
      <c r="H32" s="4" t="n">
        <v>0</v>
      </c>
      <c r="I32" s="175" t="n">
        <f aca="false">G32+H32</f>
        <v>179</v>
      </c>
      <c r="J32" s="169" t="n">
        <f aca="false">IF(L32&gt;0,L32,0)</f>
        <v>15.8505167632972</v>
      </c>
      <c r="K32" s="175" t="n">
        <f aca="false">I32+J32</f>
        <v>194.850516763297</v>
      </c>
      <c r="L32" s="175" t="n">
        <f aca="false">F32-(I32-AJ32)</f>
        <v>15.8505167632972</v>
      </c>
      <c r="M32" s="508" t="n">
        <v>197</v>
      </c>
      <c r="N32" s="149" t="n">
        <f aca="false">1.8299*1.03</f>
        <v>1.884797</v>
      </c>
      <c r="O32" s="175" t="n">
        <f aca="false">(32+32)*1.05</f>
        <v>67.2</v>
      </c>
      <c r="P32" s="149" t="n">
        <v>0</v>
      </c>
      <c r="Q32" s="149" t="n">
        <f aca="false">2.32*1.02</f>
        <v>2.3664</v>
      </c>
      <c r="R32" s="149" t="n">
        <v>4.2</v>
      </c>
      <c r="S32" s="291" t="n">
        <v>1.37</v>
      </c>
      <c r="T32" s="334" t="n">
        <v>0</v>
      </c>
      <c r="U32" s="175" t="n">
        <v>75</v>
      </c>
      <c r="V32" s="175" t="n">
        <v>64</v>
      </c>
      <c r="W32" s="129" t="n">
        <f aca="false">M32-N32-O32-P32-Q32-R32-S32-T32+U32+V32-AS32+AQ32</f>
        <v>275.160303</v>
      </c>
      <c r="X32" s="129" t="n">
        <f aca="false">W32-AN32</f>
        <v>275.160303</v>
      </c>
      <c r="Y32" s="102" t="n">
        <f aca="false">Y31-(W32-I32)-Q32-R32-AE32</f>
        <v>1878.101194</v>
      </c>
      <c r="Z32" s="129" t="n">
        <f aca="false">(-AO32)</f>
        <v>104.426703</v>
      </c>
      <c r="AA32" s="102"/>
      <c r="AB32" s="102" t="n">
        <f aca="false">AB31-(AP31/1.9835)</f>
        <v>2023.92815838971</v>
      </c>
      <c r="AC32" s="200"/>
      <c r="AD32" s="175" t="n">
        <v>124</v>
      </c>
      <c r="AE32" s="233" t="n">
        <v>1.7</v>
      </c>
      <c r="AF32" s="234" t="n">
        <v>1.3</v>
      </c>
      <c r="AG32" s="509" t="n">
        <v>56</v>
      </c>
      <c r="AH32" s="510" t="n">
        <f aca="false">AH31-AG32</f>
        <v>8896.25787748929</v>
      </c>
      <c r="AI32" s="167"/>
      <c r="AJ32" s="11" t="n">
        <f aca="false">N32+O32+P32+Q32+R32+S32+T32+W32+AD32+AG32-AQ32</f>
        <v>516</v>
      </c>
      <c r="AK32" s="175" t="n">
        <f aca="false">IF(L32&lt;0,L32*-1,0)</f>
        <v>0</v>
      </c>
      <c r="AL32" s="175" t="n">
        <f aca="false">AJ32+AK32</f>
        <v>516</v>
      </c>
      <c r="AM32" s="205" t="n">
        <f aca="false">AM31</f>
        <v>14971.25965</v>
      </c>
      <c r="AN32" s="173"/>
      <c r="AO32" s="92" t="n">
        <f aca="false">I32-Q32-R32-W32-AE32</f>
        <v>-104.426703</v>
      </c>
      <c r="AP32" s="149" t="n">
        <f aca="false">45.4*(Y32*1.9835+AB32*1.9835)/E32</f>
        <v>2.10256854361603</v>
      </c>
      <c r="AQ32" s="149" t="n">
        <v>16.1815</v>
      </c>
      <c r="AR32" s="162"/>
      <c r="AS32" s="1"/>
      <c r="AT32" s="4"/>
      <c r="AU32" s="497" t="n">
        <v>0.3</v>
      </c>
      <c r="AV32" s="172" t="n">
        <v>85</v>
      </c>
      <c r="AW32" s="172" t="n">
        <v>54</v>
      </c>
      <c r="AX32" s="276"/>
      <c r="AY32" s="235" t="n">
        <f aca="false">SUM(N32,P32:T32)</f>
        <v>9.821197</v>
      </c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73" t="n">
        <v>19</v>
      </c>
      <c r="B33" s="498" t="n">
        <v>6909.14</v>
      </c>
      <c r="C33" s="167" t="n">
        <v>318563</v>
      </c>
      <c r="D33" s="172" t="n">
        <f aca="false">C33-C32</f>
        <v>-557</v>
      </c>
      <c r="E33" s="167" t="n">
        <f aca="false">C33-152000</f>
        <v>166563</v>
      </c>
      <c r="F33" s="507" t="n">
        <f aca="false">D33/$D$2</f>
        <v>-280.816738089236</v>
      </c>
      <c r="G33" s="1" t="n">
        <v>180</v>
      </c>
      <c r="H33" s="4" t="n">
        <v>0</v>
      </c>
      <c r="I33" s="175" t="n">
        <f aca="false">G33+H33</f>
        <v>180</v>
      </c>
      <c r="J33" s="169" t="n">
        <f aca="false">IF(L33&gt;0,L33,0)</f>
        <v>51.1832619107638</v>
      </c>
      <c r="K33" s="175" t="n">
        <f aca="false">I33+J33</f>
        <v>231.183261910764</v>
      </c>
      <c r="L33" s="175" t="n">
        <f aca="false">F33-(I33-AJ33)</f>
        <v>51.1832619107638</v>
      </c>
      <c r="M33" s="508" t="n">
        <v>200</v>
      </c>
      <c r="N33" s="149" t="n">
        <f aca="false">1.8299*1.03</f>
        <v>1.884797</v>
      </c>
      <c r="O33" s="175" t="n">
        <f aca="false">(31+34)*1.05</f>
        <v>68.25</v>
      </c>
      <c r="P33" s="149" t="n">
        <v>0</v>
      </c>
      <c r="Q33" s="149" t="n">
        <f aca="false">2.32*1.02</f>
        <v>2.3664</v>
      </c>
      <c r="R33" s="149" t="n">
        <v>4.2</v>
      </c>
      <c r="S33" s="291" t="n">
        <v>1.18</v>
      </c>
      <c r="T33" s="334" t="n">
        <v>0</v>
      </c>
      <c r="U33" s="175" t="n">
        <v>75</v>
      </c>
      <c r="V33" s="511" t="n">
        <v>66</v>
      </c>
      <c r="W33" s="129" t="n">
        <f aca="false">M33-N33-O33-P33-Q33-R33-S33-T33+U33+V33-AS33+AQ33</f>
        <v>279.300303</v>
      </c>
      <c r="X33" s="129" t="n">
        <f aca="false">W33-AN33</f>
        <v>279.300303</v>
      </c>
      <c r="Y33" s="102" t="n">
        <f aca="false">Y32-(W33-I33)-Q33-R33-AE33</f>
        <v>1770.534491</v>
      </c>
      <c r="Z33" s="129" t="n">
        <f aca="false">(-AO33)</f>
        <v>107.566703</v>
      </c>
      <c r="AA33" s="102"/>
      <c r="AB33" s="102" t="n">
        <f aca="false">AB32-(AP32/1.9835)</f>
        <v>2022.8681288744</v>
      </c>
      <c r="AC33" s="200"/>
      <c r="AD33" s="175" t="n">
        <v>115</v>
      </c>
      <c r="AE33" s="233" t="n">
        <v>1.7</v>
      </c>
      <c r="AF33" s="234" t="n">
        <v>1.3</v>
      </c>
      <c r="AG33" s="509" t="n">
        <v>56</v>
      </c>
      <c r="AH33" s="510" t="n">
        <f aca="false">AH32-AG33</f>
        <v>8840.25787748929</v>
      </c>
      <c r="AI33" s="167"/>
      <c r="AJ33" s="11" t="n">
        <f aca="false">N33+O33+P33+Q33+R33+S33+T33+W33+AD33+AG33-AQ33</f>
        <v>512</v>
      </c>
      <c r="AK33" s="175" t="n">
        <f aca="false">IF(L33&lt;0,L33*-1,0)</f>
        <v>0</v>
      </c>
      <c r="AL33" s="175" t="n">
        <f aca="false">AJ33+AK33</f>
        <v>512</v>
      </c>
      <c r="AM33" s="205" t="n">
        <f aca="false">AM32</f>
        <v>14971.25965</v>
      </c>
      <c r="AN33" s="173"/>
      <c r="AO33" s="92" t="n">
        <f aca="false">I33-Q33-R33-W33-AE33</f>
        <v>-107.566703</v>
      </c>
      <c r="AP33" s="149" t="n">
        <f aca="false">45.4*(Y33*1.9835+AB33*1.9835)/E33</f>
        <v>2.05087156200385</v>
      </c>
      <c r="AQ33" s="149" t="n">
        <v>16.1815</v>
      </c>
      <c r="AR33" s="162"/>
      <c r="AS33" s="1"/>
      <c r="AT33" s="4"/>
      <c r="AU33" s="497" t="n">
        <v>0.2</v>
      </c>
      <c r="AV33" s="172" t="n">
        <v>81</v>
      </c>
      <c r="AW33" s="172" t="n">
        <v>55</v>
      </c>
      <c r="AX33" s="276"/>
      <c r="AY33" s="235" t="n">
        <f aca="false">SUM(N33,P33:T33)</f>
        <v>9.631197</v>
      </c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73" t="n">
        <v>20</v>
      </c>
      <c r="B34" s="498" t="n">
        <v>6909.06</v>
      </c>
      <c r="C34" s="167" t="n">
        <v>318244</v>
      </c>
      <c r="D34" s="172" t="n">
        <f aca="false">C34-C33</f>
        <v>-319</v>
      </c>
      <c r="E34" s="167" t="n">
        <f aca="false">C34-152000</f>
        <v>166244</v>
      </c>
      <c r="F34" s="507" t="n">
        <f aca="false">D34/$D$2</f>
        <v>-160.826821275523</v>
      </c>
      <c r="G34" s="1" t="n">
        <v>286</v>
      </c>
      <c r="H34" s="4" t="n">
        <v>0</v>
      </c>
      <c r="I34" s="175" t="n">
        <f aca="false">G34+H34</f>
        <v>286</v>
      </c>
      <c r="J34" s="169" t="n">
        <f aca="false">IF(L34&gt;0,L34,0)</f>
        <v>14.1731787244769</v>
      </c>
      <c r="K34" s="175" t="n">
        <f aca="false">I34+J34</f>
        <v>300.173178724477</v>
      </c>
      <c r="L34" s="175" t="n">
        <f aca="false">F34-(I34-AJ34)</f>
        <v>14.1731787244769</v>
      </c>
      <c r="M34" s="508" t="n">
        <v>175</v>
      </c>
      <c r="N34" s="149" t="n">
        <f aca="false">1.8299*1.03</f>
        <v>1.884797</v>
      </c>
      <c r="O34" s="175" t="n">
        <f aca="false">(33+33)*1.05</f>
        <v>69.3</v>
      </c>
      <c r="P34" s="149" t="n">
        <v>0</v>
      </c>
      <c r="Q34" s="149" t="n">
        <f aca="false">2.32*1.02</f>
        <v>2.3664</v>
      </c>
      <c r="R34" s="149" t="n">
        <v>4.2</v>
      </c>
      <c r="S34" s="291" t="n">
        <v>0.1</v>
      </c>
      <c r="T34" s="334" t="n">
        <v>0</v>
      </c>
      <c r="U34" s="175" t="n">
        <v>75</v>
      </c>
      <c r="V34" s="511" t="n">
        <v>65</v>
      </c>
      <c r="W34" s="129" t="n">
        <f aca="false">M34-N34-O34-P34-Q34-R34-S34-T34+U34+V34-AS34+AQ34</f>
        <v>253.330303</v>
      </c>
      <c r="X34" s="129" t="n">
        <f aca="false">W34-AN34</f>
        <v>253.330303</v>
      </c>
      <c r="Y34" s="102" t="n">
        <f aca="false">Y33</f>
        <v>1770.534491</v>
      </c>
      <c r="Z34" s="129" t="n">
        <v>0</v>
      </c>
      <c r="AA34" s="102"/>
      <c r="AB34" s="102" t="n">
        <f aca="false">AB33-(AP33/1.9835)</f>
        <v>2021.83416287389</v>
      </c>
      <c r="AC34" s="200"/>
      <c r="AD34" s="175" t="n">
        <v>91</v>
      </c>
      <c r="AE34" s="233" t="n">
        <v>1.7</v>
      </c>
      <c r="AF34" s="234" t="n">
        <v>1.3</v>
      </c>
      <c r="AG34" s="509" t="n">
        <v>55</v>
      </c>
      <c r="AH34" s="510" t="n">
        <f aca="false">AH33-AG34</f>
        <v>8785.25787748929</v>
      </c>
      <c r="AI34" s="167"/>
      <c r="AJ34" s="11" t="n">
        <f aca="false">N34+O34+P34+Q34+R34+S34+T34+W34+AD34+AG34-AQ34</f>
        <v>461</v>
      </c>
      <c r="AK34" s="175" t="n">
        <f aca="false">IF(L34&lt;0,L34*-1,0)</f>
        <v>0</v>
      </c>
      <c r="AL34" s="175" t="n">
        <f aca="false">AJ34+AK34</f>
        <v>461</v>
      </c>
      <c r="AM34" s="205" t="n">
        <f aca="false">AM33</f>
        <v>14971.25965</v>
      </c>
      <c r="AN34" s="173"/>
      <c r="AO34" s="92"/>
      <c r="AP34" s="149" t="n">
        <f aca="false">45.4*(Y34*1.9835+AB34*1.9835)/E34</f>
        <v>2.05424683244588</v>
      </c>
      <c r="AQ34" s="149" t="n">
        <v>16.1815</v>
      </c>
      <c r="AR34" s="162"/>
      <c r="AS34" s="1"/>
      <c r="AT34" s="4"/>
      <c r="AU34" s="497" t="n">
        <v>0</v>
      </c>
      <c r="AV34" s="172" t="n">
        <v>82</v>
      </c>
      <c r="AW34" s="172" t="n">
        <v>48</v>
      </c>
      <c r="AX34" s="276"/>
      <c r="AY34" s="235" t="n">
        <f aca="false">SUM(N34,P34:T34)</f>
        <v>8.551197</v>
      </c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73" t="n">
        <v>21</v>
      </c>
      <c r="B35" s="498" t="n">
        <v>6908.9</v>
      </c>
      <c r="C35" s="167" t="n">
        <v>317610</v>
      </c>
      <c r="D35" s="172" t="n">
        <f aca="false">C35-C34</f>
        <v>-634</v>
      </c>
      <c r="E35" s="167" t="n">
        <f aca="false">C35-152000</f>
        <v>165610</v>
      </c>
      <c r="F35" s="507" t="n">
        <f aca="false">D35/$D$2</f>
        <v>-319.637005293673</v>
      </c>
      <c r="G35" s="1" t="n">
        <v>234</v>
      </c>
      <c r="H35" s="4" t="n">
        <v>0</v>
      </c>
      <c r="I35" s="175" t="n">
        <f aca="false">G35+H35</f>
        <v>234</v>
      </c>
      <c r="J35" s="169" t="n">
        <f aca="false">IF(L35&gt;0,L35,0)</f>
        <v>0</v>
      </c>
      <c r="K35" s="175" t="n">
        <f aca="false">I35+J35</f>
        <v>234</v>
      </c>
      <c r="L35" s="175" t="n">
        <f aca="false">F35-(I35-AJ35)</f>
        <v>-8.63700529367281</v>
      </c>
      <c r="M35" s="508" t="n">
        <v>225</v>
      </c>
      <c r="N35" s="149" t="n">
        <f aca="false">1.8299*1.03</f>
        <v>1.884797</v>
      </c>
      <c r="O35" s="175" t="n">
        <f aca="false">(34+34)*1.05</f>
        <v>71.4</v>
      </c>
      <c r="P35" s="149" t="n">
        <v>0</v>
      </c>
      <c r="Q35" s="149" t="n">
        <f aca="false">2.32*1.02</f>
        <v>2.3664</v>
      </c>
      <c r="R35" s="149" t="n">
        <v>4.2</v>
      </c>
      <c r="S35" s="291" t="n">
        <v>1.44</v>
      </c>
      <c r="T35" s="334" t="n">
        <v>0</v>
      </c>
      <c r="U35" s="175" t="n">
        <v>74</v>
      </c>
      <c r="V35" s="511" t="n">
        <v>64</v>
      </c>
      <c r="W35" s="129" t="n">
        <f aca="false">M35-N35-O35-P35-Q35-R35-S35-T35+U35+V35-AS35+AQ35</f>
        <v>297.890303</v>
      </c>
      <c r="X35" s="129" t="n">
        <f aca="false">W35-AN35</f>
        <v>297.890303</v>
      </c>
      <c r="Y35" s="102" t="n">
        <f aca="false">Y34-(W35-I35)-Q35-R35-AE35</f>
        <v>1698.377788</v>
      </c>
      <c r="Z35" s="129" t="n">
        <f aca="false">(-AO35)</f>
        <v>72.156703</v>
      </c>
      <c r="AA35" s="102"/>
      <c r="AB35" s="102" t="n">
        <f aca="false">AB34-(AP34/1.9835)</f>
        <v>2020.79849519936</v>
      </c>
      <c r="AC35" s="200"/>
      <c r="AD35" s="175" t="n">
        <v>126</v>
      </c>
      <c r="AE35" s="233" t="n">
        <v>1.7</v>
      </c>
      <c r="AF35" s="234" t="n">
        <v>1.3</v>
      </c>
      <c r="AG35" s="509" t="n">
        <v>56</v>
      </c>
      <c r="AH35" s="510" t="n">
        <f aca="false">AH34-AG35</f>
        <v>8729.25787748929</v>
      </c>
      <c r="AI35" s="167"/>
      <c r="AJ35" s="11" t="n">
        <f aca="false">N35+O35+P35+Q35+R35+S35+T35+W35+AD35+AG35-AQ35</f>
        <v>545</v>
      </c>
      <c r="AK35" s="175" t="n">
        <f aca="false">IF(L35&lt;0,L35*-1,0)</f>
        <v>8.63700529367281</v>
      </c>
      <c r="AL35" s="175" t="n">
        <f aca="false">AJ35+AK35</f>
        <v>553.637005293673</v>
      </c>
      <c r="AM35" s="205" t="n">
        <f aca="false">AM34</f>
        <v>14971.25965</v>
      </c>
      <c r="AN35" s="173"/>
      <c r="AO35" s="92" t="n">
        <f aca="false">I35-Q35-R35-W35-AE35</f>
        <v>-72.156703</v>
      </c>
      <c r="AP35" s="149" t="n">
        <f aca="false">45.4*(Y35*1.9835+AB35*1.9835)/E35</f>
        <v>2.02231249055466</v>
      </c>
      <c r="AQ35" s="149" t="n">
        <v>16.1815</v>
      </c>
      <c r="AR35" s="162"/>
      <c r="AS35" s="1"/>
      <c r="AT35" s="4"/>
      <c r="AU35" s="497" t="n">
        <v>0</v>
      </c>
      <c r="AV35" s="172" t="n">
        <v>86</v>
      </c>
      <c r="AW35" s="172" t="n">
        <v>52</v>
      </c>
      <c r="AX35" s="276"/>
      <c r="AY35" s="235" t="n">
        <f aca="false">SUM(N35,P35:T35)</f>
        <v>9.891197</v>
      </c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73" t="n">
        <v>22</v>
      </c>
      <c r="B36" s="498" t="n">
        <v>6908.73</v>
      </c>
      <c r="C36" s="167" t="n">
        <v>316939</v>
      </c>
      <c r="D36" s="172" t="n">
        <f aca="false">C36-C35</f>
        <v>-671</v>
      </c>
      <c r="E36" s="167" t="n">
        <f aca="false">C36-152000</f>
        <v>164939</v>
      </c>
      <c r="F36" s="507" t="n">
        <f aca="false">D36/$D$2</f>
        <v>-338.290899924376</v>
      </c>
      <c r="G36" s="1" t="n">
        <v>194</v>
      </c>
      <c r="H36" s="4" t="n">
        <v>0</v>
      </c>
      <c r="I36" s="175" t="n">
        <f aca="false">G36+H36</f>
        <v>194</v>
      </c>
      <c r="J36" s="169" t="n">
        <f aca="false">IF(L36&gt;0,L36,0)</f>
        <v>0</v>
      </c>
      <c r="K36" s="175" t="n">
        <f aca="false">I36+J36</f>
        <v>194</v>
      </c>
      <c r="L36" s="175" t="n">
        <f aca="false">F36-(I36-AJ36)</f>
        <v>-27.2908999243761</v>
      </c>
      <c r="M36" s="508" t="n">
        <v>222</v>
      </c>
      <c r="N36" s="149" t="n">
        <f aca="false">1.8299*1.03</f>
        <v>1.884797</v>
      </c>
      <c r="O36" s="175" t="n">
        <f aca="false">(38+39)*1.05</f>
        <v>80.85</v>
      </c>
      <c r="P36" s="149" t="n">
        <v>0</v>
      </c>
      <c r="Q36" s="149" t="n">
        <f aca="false">2.32*1.02</f>
        <v>2.3664</v>
      </c>
      <c r="R36" s="149" t="n">
        <v>4.2</v>
      </c>
      <c r="S36" s="291" t="n">
        <v>1.63</v>
      </c>
      <c r="T36" s="334" t="n">
        <v>0</v>
      </c>
      <c r="U36" s="175" t="n">
        <v>74</v>
      </c>
      <c r="V36" s="175" t="n">
        <v>64</v>
      </c>
      <c r="W36" s="129" t="n">
        <f aca="false">M36-N36-O36-P36-Q36-R36-S36-T36+U36+V36-AS36+AQ36</f>
        <v>285.250303</v>
      </c>
      <c r="X36" s="129" t="n">
        <f aca="false">W36-AN36</f>
        <v>285.250303</v>
      </c>
      <c r="Y36" s="102" t="n">
        <f aca="false">Y35-(W36-I36)-Q36-R36-AE36</f>
        <v>1598.861085</v>
      </c>
      <c r="Z36" s="129" t="n">
        <f aca="false">(-AO36)</f>
        <v>99.516703</v>
      </c>
      <c r="AA36" s="102"/>
      <c r="AB36" s="102" t="n">
        <f aca="false">AB35-(AP35/1.9835)</f>
        <v>2019.77892752073</v>
      </c>
      <c r="AC36" s="200"/>
      <c r="AD36" s="175" t="n">
        <v>90</v>
      </c>
      <c r="AE36" s="233" t="n">
        <v>1.7</v>
      </c>
      <c r="AF36" s="234" t="n">
        <v>1.3</v>
      </c>
      <c r="AG36" s="509" t="n">
        <v>55</v>
      </c>
      <c r="AH36" s="510" t="n">
        <f aca="false">AH35-AG36</f>
        <v>8674.25787748929</v>
      </c>
      <c r="AI36" s="167"/>
      <c r="AJ36" s="11" t="n">
        <f aca="false">N36+O36+P36+Q36+R36+S36+T36+W36+AD36+AG36-AQ36</f>
        <v>505</v>
      </c>
      <c r="AK36" s="175" t="n">
        <f aca="false">IF(L36&lt;0,L36*-1,0)</f>
        <v>27.2908999243761</v>
      </c>
      <c r="AL36" s="175" t="n">
        <f aca="false">AJ36+AK36</f>
        <v>532.290899924376</v>
      </c>
      <c r="AM36" s="205" t="n">
        <f aca="false">AM35</f>
        <v>14971.25965</v>
      </c>
      <c r="AN36" s="173"/>
      <c r="AO36" s="92" t="n">
        <f aca="false">I36-Q36-R36-W36-AE36</f>
        <v>-99.516703</v>
      </c>
      <c r="AP36" s="149" t="n">
        <f aca="false">45.4*(Y36*1.9835+AB36*1.9835)/E36</f>
        <v>1.97565033074957</v>
      </c>
      <c r="AQ36" s="149" t="n">
        <v>16.1815</v>
      </c>
      <c r="AR36" s="162"/>
      <c r="AS36" s="1"/>
      <c r="AT36" s="4"/>
      <c r="AU36" s="497" t="n">
        <v>0</v>
      </c>
      <c r="AV36" s="172" t="n">
        <v>83</v>
      </c>
      <c r="AW36" s="172" t="n">
        <v>59</v>
      </c>
      <c r="AX36" s="276"/>
      <c r="AY36" s="235" t="n">
        <f aca="false">SUM(N36,P36:T36)</f>
        <v>10.081197</v>
      </c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73" t="n">
        <v>23</v>
      </c>
      <c r="B37" s="498" t="n">
        <v>6908.57</v>
      </c>
      <c r="C37" s="167" t="n">
        <v>316307</v>
      </c>
      <c r="D37" s="172" t="n">
        <f aca="false">C37-C36</f>
        <v>-632</v>
      </c>
      <c r="E37" s="167" t="n">
        <f aca="false">C37-152000</f>
        <v>164307</v>
      </c>
      <c r="F37" s="507" t="n">
        <f aca="false">D37/$D$2</f>
        <v>-318.628686664986</v>
      </c>
      <c r="G37" s="1" t="n">
        <v>201</v>
      </c>
      <c r="H37" s="4" t="n">
        <v>0</v>
      </c>
      <c r="I37" s="175" t="n">
        <f aca="false">G37+H37</f>
        <v>201</v>
      </c>
      <c r="J37" s="169" t="n">
        <f aca="false">IF(L37&gt;0,L37,0)</f>
        <v>15.3713133350139</v>
      </c>
      <c r="K37" s="175" t="n">
        <f aca="false">I37+J37</f>
        <v>216.371313335014</v>
      </c>
      <c r="L37" s="175" t="n">
        <f aca="false">F37-(I37-AJ37)</f>
        <v>15.3713133350139</v>
      </c>
      <c r="M37" s="508" t="n">
        <v>217</v>
      </c>
      <c r="N37" s="149" t="n">
        <f aca="false">1.8299*1.03</f>
        <v>1.884797</v>
      </c>
      <c r="O37" s="175" t="n">
        <f aca="false">(46+45)*1.05</f>
        <v>95.55</v>
      </c>
      <c r="P37" s="149" t="n">
        <v>0</v>
      </c>
      <c r="Q37" s="149" t="n">
        <f aca="false">2.32*1.02</f>
        <v>2.3664</v>
      </c>
      <c r="R37" s="149" t="n">
        <v>4.2</v>
      </c>
      <c r="S37" s="291" t="n">
        <v>1.89</v>
      </c>
      <c r="T37" s="334" t="n">
        <v>0</v>
      </c>
      <c r="U37" s="175" t="n">
        <v>73</v>
      </c>
      <c r="V37" s="175" t="n">
        <v>62</v>
      </c>
      <c r="W37" s="129" t="n">
        <f aca="false">M37-N37-O37-P37-Q37-R37-S37-T37+U37+V37-AS37+AQ37</f>
        <v>262.290303</v>
      </c>
      <c r="X37" s="129" t="n">
        <f aca="false">W37-AN37</f>
        <v>262.290303</v>
      </c>
      <c r="Y37" s="102" t="n">
        <f aca="false">Y36-(W37-I37)-Q37-R37-AE37</f>
        <v>1529.304382</v>
      </c>
      <c r="Z37" s="129" t="n">
        <f aca="false">(-AO37)</f>
        <v>69.556703</v>
      </c>
      <c r="AA37" s="102"/>
      <c r="AB37" s="102" t="n">
        <f aca="false">AB36-(AP36/1.9835)</f>
        <v>2018.7828850046</v>
      </c>
      <c r="AC37" s="200"/>
      <c r="AD37" s="175" t="n">
        <v>129</v>
      </c>
      <c r="AE37" s="233" t="n">
        <v>1.7</v>
      </c>
      <c r="AF37" s="234" t="n">
        <v>1.3</v>
      </c>
      <c r="AG37" s="509" t="n">
        <v>54</v>
      </c>
      <c r="AH37" s="510" t="n">
        <f aca="false">AH36-AG37</f>
        <v>8620.25787748929</v>
      </c>
      <c r="AI37" s="167"/>
      <c r="AJ37" s="11" t="n">
        <f aca="false">N37+O37+P37+Q37+R37+S37+T37+W37+AD37+AG37-AQ37</f>
        <v>535</v>
      </c>
      <c r="AK37" s="175" t="n">
        <f aca="false">IF(L37&lt;0,L37*-1,0)</f>
        <v>0</v>
      </c>
      <c r="AL37" s="175" t="n">
        <f aca="false">AJ37+AK37</f>
        <v>535</v>
      </c>
      <c r="AM37" s="205" t="n">
        <f aca="false">AM36</f>
        <v>14971.25965</v>
      </c>
      <c r="AN37" s="173"/>
      <c r="AO37" s="92" t="n">
        <f aca="false">I37-Q37-R37-W37-AE37</f>
        <v>-69.556703</v>
      </c>
      <c r="AP37" s="149" t="n">
        <f aca="false">45.4*(Y37*1.9835+AB37*1.9835)/E37</f>
        <v>1.94458210345453</v>
      </c>
      <c r="AQ37" s="149" t="n">
        <v>16.1815</v>
      </c>
      <c r="AR37" s="162"/>
      <c r="AS37" s="1"/>
      <c r="AT37" s="4"/>
      <c r="AU37" s="497" t="n">
        <v>0.09</v>
      </c>
      <c r="AV37" s="172" t="n">
        <v>84</v>
      </c>
      <c r="AW37" s="172" t="n">
        <v>56</v>
      </c>
      <c r="AX37" s="276"/>
      <c r="AY37" s="235" t="n">
        <f aca="false">SUM(N37,P37:T37)</f>
        <v>10.341197</v>
      </c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73" t="n">
        <v>24</v>
      </c>
      <c r="B38" s="498" t="n">
        <v>6908.38</v>
      </c>
      <c r="C38" s="167" t="n">
        <v>315557</v>
      </c>
      <c r="D38" s="172" t="n">
        <f aca="false">C38-C37</f>
        <v>-750</v>
      </c>
      <c r="E38" s="167" t="n">
        <f aca="false">C38-152000</f>
        <v>163557</v>
      </c>
      <c r="F38" s="507" t="n">
        <f aca="false">D38/$D$2</f>
        <v>-378.119485757499</v>
      </c>
      <c r="G38" s="1" t="n">
        <v>196</v>
      </c>
      <c r="H38" s="4" t="n">
        <v>0</v>
      </c>
      <c r="I38" s="175" t="n">
        <f aca="false">G38+H38</f>
        <v>196</v>
      </c>
      <c r="J38" s="169" t="n">
        <f aca="false">IF(L38&gt;0,L38,0)</f>
        <v>0</v>
      </c>
      <c r="K38" s="175" t="n">
        <f aca="false">I38+J38</f>
        <v>196</v>
      </c>
      <c r="L38" s="175" t="n">
        <f aca="false">F38-(I38-AJ38)</f>
        <v>-28.1194857574994</v>
      </c>
      <c r="M38" s="508" t="n">
        <v>200</v>
      </c>
      <c r="N38" s="149" t="n">
        <f aca="false">1.8299*1.03</f>
        <v>1.884797</v>
      </c>
      <c r="O38" s="175" t="n">
        <f aca="false">(41+42)*1.05</f>
        <v>87.15</v>
      </c>
      <c r="P38" s="149" t="n">
        <v>0</v>
      </c>
      <c r="Q38" s="149" t="n">
        <f aca="false">2.32*1.02</f>
        <v>2.3664</v>
      </c>
      <c r="R38" s="149" t="n">
        <v>4.2</v>
      </c>
      <c r="S38" s="291" t="n">
        <v>1.3</v>
      </c>
      <c r="T38" s="334" t="n">
        <v>0</v>
      </c>
      <c r="U38" s="175" t="n">
        <v>73</v>
      </c>
      <c r="V38" s="175" t="n">
        <v>61</v>
      </c>
      <c r="W38" s="129" t="n">
        <f aca="false">M38-N38-O38-P38-Q38-R38-S38-T38+U38+V38-AS38+AQ38</f>
        <v>253.280303</v>
      </c>
      <c r="X38" s="129" t="n">
        <f aca="false">W38-AN38</f>
        <v>253.280303</v>
      </c>
      <c r="Y38" s="102" t="n">
        <f aca="false">Y37-(W38-I38)-Q38-R38-AE38</f>
        <v>1463.757679</v>
      </c>
      <c r="Z38" s="129" t="n">
        <f aca="false">(-AO38)</f>
        <v>65.546703</v>
      </c>
      <c r="AA38" s="102"/>
      <c r="AB38" s="102" t="n">
        <f aca="false">AB37-(AP37/1.9835)</f>
        <v>2017.80250582464</v>
      </c>
      <c r="AC38" s="200"/>
      <c r="AD38" s="175" t="n">
        <v>158</v>
      </c>
      <c r="AE38" s="233" t="n">
        <v>1.7</v>
      </c>
      <c r="AF38" s="234" t="n">
        <v>1.3</v>
      </c>
      <c r="AG38" s="509" t="n">
        <v>54</v>
      </c>
      <c r="AH38" s="510" t="n">
        <f aca="false">AH37-AG38</f>
        <v>8566.25787748929</v>
      </c>
      <c r="AI38" s="167"/>
      <c r="AJ38" s="11" t="n">
        <f aca="false">N38+O38+P38+Q38+R38+S38+T38+W38+AD38+AG38-AQ38</f>
        <v>546</v>
      </c>
      <c r="AK38" s="175" t="n">
        <f aca="false">IF(L38&lt;0,L38*-1,0)</f>
        <v>28.1194857574994</v>
      </c>
      <c r="AL38" s="175" t="n">
        <f aca="false">AJ38+AK38</f>
        <v>574.119485757499</v>
      </c>
      <c r="AM38" s="205" t="n">
        <f aca="false">AM37</f>
        <v>14971.25965</v>
      </c>
      <c r="AN38" s="173"/>
      <c r="AO38" s="92" t="n">
        <f aca="false">I38-Q38-R38-W38-AE38</f>
        <v>-65.546703</v>
      </c>
      <c r="AP38" s="149" t="n">
        <f aca="false">45.4*(Y38*1.9835+AB38*1.9835)/E38</f>
        <v>1.9168707426012</v>
      </c>
      <c r="AQ38" s="149" t="n">
        <v>16.1815</v>
      </c>
      <c r="AR38" s="162"/>
      <c r="AS38" s="1"/>
      <c r="AT38" s="4"/>
      <c r="AU38" s="497" t="n">
        <v>0.07</v>
      </c>
      <c r="AV38" s="172" t="n">
        <v>87</v>
      </c>
      <c r="AW38" s="172" t="n">
        <v>46</v>
      </c>
      <c r="AX38" s="276"/>
      <c r="AY38" s="235" t="n">
        <f aca="false">SUM(N38,P38:T38)</f>
        <v>9.751197</v>
      </c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73" t="n">
        <v>25</v>
      </c>
      <c r="B39" s="498" t="n">
        <v>6908.18</v>
      </c>
      <c r="C39" s="167" t="n">
        <v>314767</v>
      </c>
      <c r="D39" s="172" t="n">
        <f aca="false">C39-C38</f>
        <v>-790</v>
      </c>
      <c r="E39" s="167" t="n">
        <f aca="false">C39-152000</f>
        <v>162767</v>
      </c>
      <c r="F39" s="507" t="n">
        <f aca="false">D39/$D$2</f>
        <v>-398.285858331233</v>
      </c>
      <c r="G39" s="1" t="n">
        <v>182</v>
      </c>
      <c r="H39" s="4" t="n">
        <v>0</v>
      </c>
      <c r="I39" s="175" t="n">
        <f aca="false">G39+H39</f>
        <v>182</v>
      </c>
      <c r="J39" s="169" t="n">
        <f aca="false">IF(L39&gt;0,L39,0)</f>
        <v>0</v>
      </c>
      <c r="K39" s="175" t="n">
        <f aca="false">I39+J39</f>
        <v>182</v>
      </c>
      <c r="L39" s="175" t="n">
        <f aca="false">F39-(I39-AJ39)</f>
        <v>-6.28585833123276</v>
      </c>
      <c r="M39" s="508" t="n">
        <v>221</v>
      </c>
      <c r="N39" s="149" t="n">
        <f aca="false">1.8299*1.03</f>
        <v>1.884797</v>
      </c>
      <c r="O39" s="175" t="n">
        <f aca="false">(42+41)*1.05</f>
        <v>87.15</v>
      </c>
      <c r="P39" s="149" t="n">
        <v>0</v>
      </c>
      <c r="Q39" s="149" t="n">
        <f aca="false">2.32*1.02</f>
        <v>2.3664</v>
      </c>
      <c r="R39" s="149" t="n">
        <v>4.2</v>
      </c>
      <c r="S39" s="291" t="n">
        <v>1.27</v>
      </c>
      <c r="T39" s="334" t="n">
        <v>0</v>
      </c>
      <c r="U39" s="175" t="n">
        <v>73</v>
      </c>
      <c r="V39" s="175" t="n">
        <v>60</v>
      </c>
      <c r="W39" s="129" t="n">
        <f aca="false">M39-N39-O39-P39-Q39-R39-S39-T39+U39+V39-AS39+AQ39</f>
        <v>273.310303</v>
      </c>
      <c r="X39" s="129" t="n">
        <f aca="false">W39-AN39</f>
        <v>273.310303</v>
      </c>
      <c r="Y39" s="102" t="n">
        <f aca="false">Y38-(W39-I39)-Q39-R39-AE39</f>
        <v>1364.180976</v>
      </c>
      <c r="Z39" s="129" t="n">
        <f aca="false">(-AO39)</f>
        <v>99.576703</v>
      </c>
      <c r="AA39" s="102"/>
      <c r="AB39" s="102" t="n">
        <f aca="false">AB38-(AP38/1.9835)</f>
        <v>2016.83609758536</v>
      </c>
      <c r="AC39" s="200"/>
      <c r="AD39" s="175" t="n">
        <v>167</v>
      </c>
      <c r="AE39" s="233" t="n">
        <v>1.7</v>
      </c>
      <c r="AF39" s="234" t="n">
        <v>1.3</v>
      </c>
      <c r="AG39" s="509" t="n">
        <v>53</v>
      </c>
      <c r="AH39" s="510" t="n">
        <f aca="false">AH38-AG39</f>
        <v>8513.25787748929</v>
      </c>
      <c r="AI39" s="167"/>
      <c r="AJ39" s="11" t="n">
        <f aca="false">N39+O39+P39+Q39+R39+S39+T39+W39+AD39+AG39-AQ39</f>
        <v>574</v>
      </c>
      <c r="AK39" s="175" t="n">
        <f aca="false">IF(L39&lt;0,L39*-1,0)</f>
        <v>6.28585833123276</v>
      </c>
      <c r="AL39" s="175" t="n">
        <f aca="false">AJ39+AK39</f>
        <v>580.285858331233</v>
      </c>
      <c r="AM39" s="205" t="n">
        <f aca="false">AM38</f>
        <v>14971.25965</v>
      </c>
      <c r="AN39" s="173"/>
      <c r="AO39" s="92" t="n">
        <f aca="false">I39-Q39-R39-W39-AE39</f>
        <v>-99.576703</v>
      </c>
      <c r="AP39" s="149" t="n">
        <f aca="false">45.4*(Y39*1.9835+AB39*1.9835)/E39</f>
        <v>1.87054888516547</v>
      </c>
      <c r="AQ39" s="149" t="n">
        <v>16.1815</v>
      </c>
      <c r="AR39" s="162"/>
      <c r="AS39" s="1"/>
      <c r="AT39" s="4"/>
      <c r="AU39" s="497" t="n">
        <v>0</v>
      </c>
      <c r="AV39" s="172" t="n">
        <v>83</v>
      </c>
      <c r="AW39" s="172" t="n">
        <v>52</v>
      </c>
      <c r="AX39" s="276"/>
      <c r="AY39" s="235" t="n">
        <f aca="false">SUM(N39,P39:T39)</f>
        <v>9.721197</v>
      </c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73" t="n">
        <v>26</v>
      </c>
      <c r="B40" s="498" t="n">
        <v>6907.98</v>
      </c>
      <c r="C40" s="167" t="n">
        <v>313977</v>
      </c>
      <c r="D40" s="172" t="n">
        <f aca="false">C40-C39</f>
        <v>-790</v>
      </c>
      <c r="E40" s="167" t="n">
        <f aca="false">C40-152000</f>
        <v>161977</v>
      </c>
      <c r="F40" s="507" t="n">
        <f aca="false">D40/$D$2</f>
        <v>-398.285858331233</v>
      </c>
      <c r="G40" s="1" t="n">
        <v>194</v>
      </c>
      <c r="H40" s="4" t="n">
        <v>0</v>
      </c>
      <c r="I40" s="175" t="n">
        <f aca="false">G40+H40</f>
        <v>194</v>
      </c>
      <c r="J40" s="169" t="n">
        <f aca="false">IF(L40&gt;0,L40,0)</f>
        <v>0</v>
      </c>
      <c r="K40" s="175" t="n">
        <f aca="false">I40+J40</f>
        <v>194</v>
      </c>
      <c r="L40" s="175" t="n">
        <f aca="false">F40-(I40-AJ40)</f>
        <v>-29.2858583312328</v>
      </c>
      <c r="M40" s="508" t="n">
        <v>212</v>
      </c>
      <c r="N40" s="149" t="n">
        <f aca="false">1.8299*1.03</f>
        <v>1.884797</v>
      </c>
      <c r="O40" s="175" t="n">
        <f aca="false">(44+42)*1.05</f>
        <v>90.3</v>
      </c>
      <c r="P40" s="149" t="n">
        <v>0</v>
      </c>
      <c r="Q40" s="149" t="n">
        <f aca="false">2.32*1.02</f>
        <v>2.3664</v>
      </c>
      <c r="R40" s="149" t="n">
        <v>4.2</v>
      </c>
      <c r="S40" s="291" t="n">
        <v>2.11</v>
      </c>
      <c r="T40" s="334" t="n">
        <v>0</v>
      </c>
      <c r="U40" s="175" t="n">
        <v>73</v>
      </c>
      <c r="V40" s="175" t="n">
        <v>59</v>
      </c>
      <c r="W40" s="129" t="n">
        <f aca="false">M40-N40-O40-P40-Q40-R40-S40-T40+U40+V40-AS40+AQ40</f>
        <v>259.320303</v>
      </c>
      <c r="X40" s="129" t="n">
        <f aca="false">W40-AN40</f>
        <v>259.320303</v>
      </c>
      <c r="Y40" s="102" t="n">
        <f aca="false">Y39-(W40-I40)-Q40-R40-AE40</f>
        <v>1290.594273</v>
      </c>
      <c r="Z40" s="129" t="n">
        <f aca="false">(-AO40)</f>
        <v>73.586703</v>
      </c>
      <c r="AA40" s="102"/>
      <c r="AB40" s="102" t="n">
        <f aca="false">AB39-(AP39/1.9835)</f>
        <v>2015.89304294197</v>
      </c>
      <c r="AC40" s="200"/>
      <c r="AD40" s="175" t="n">
        <v>166</v>
      </c>
      <c r="AE40" s="233" t="n">
        <v>1.7</v>
      </c>
      <c r="AF40" s="234" t="n">
        <v>1.3</v>
      </c>
      <c r="AG40" s="509" t="n">
        <v>53</v>
      </c>
      <c r="AH40" s="510" t="n">
        <f aca="false">AH39-AG40</f>
        <v>8460.25787748929</v>
      </c>
      <c r="AI40" s="167"/>
      <c r="AJ40" s="11" t="n">
        <f aca="false">N40+O40+P40+Q40+R40+S40+T40+W40+AD40+AG40-AQ40</f>
        <v>563</v>
      </c>
      <c r="AK40" s="175" t="n">
        <f aca="false">IF(L40&lt;0,L40*-1,0)</f>
        <v>29.2858583312328</v>
      </c>
      <c r="AL40" s="175" t="n">
        <f aca="false">AJ40+AK40</f>
        <v>592.285858331233</v>
      </c>
      <c r="AM40" s="205" t="n">
        <f aca="false">AM39</f>
        <v>14971.25965</v>
      </c>
      <c r="AN40" s="173"/>
      <c r="AO40" s="92" t="n">
        <f aca="false">I40-Q40-R40-W40-AE40</f>
        <v>-73.586703</v>
      </c>
      <c r="AP40" s="149" t="n">
        <f aca="false">45.4*(Y40*1.9835+AB40*1.9835)/E40</f>
        <v>1.83823727220012</v>
      </c>
      <c r="AQ40" s="149" t="n">
        <v>16.1815</v>
      </c>
      <c r="AR40" s="162"/>
      <c r="AS40" s="1"/>
      <c r="AT40" s="4"/>
      <c r="AU40" s="497" t="n">
        <v>0</v>
      </c>
      <c r="AV40" s="172" t="n">
        <v>84</v>
      </c>
      <c r="AW40" s="172" t="n">
        <v>55</v>
      </c>
      <c r="AX40" s="276"/>
      <c r="AY40" s="235" t="n">
        <f aca="false">SUM(N40,P40:T40)</f>
        <v>10.561197</v>
      </c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73" t="n">
        <v>27</v>
      </c>
      <c r="B41" s="498" t="n">
        <v>6907.75</v>
      </c>
      <c r="C41" s="167" t="n">
        <v>313076</v>
      </c>
      <c r="D41" s="172" t="n">
        <f aca="false">C41-C40</f>
        <v>-901</v>
      </c>
      <c r="E41" s="167" t="n">
        <f aca="false">C41-152000</f>
        <v>161076</v>
      </c>
      <c r="F41" s="507" t="n">
        <f aca="false">D41/$D$2</f>
        <v>-454.247542223343</v>
      </c>
      <c r="G41" s="1" t="n">
        <v>193</v>
      </c>
      <c r="H41" s="4" t="n">
        <v>0</v>
      </c>
      <c r="I41" s="175" t="n">
        <f aca="false">G41+H41</f>
        <v>193</v>
      </c>
      <c r="J41" s="169" t="n">
        <f aca="false">IF(L41&gt;0,L41,0)</f>
        <v>0</v>
      </c>
      <c r="K41" s="175" t="n">
        <f aca="false">I41+J41</f>
        <v>193</v>
      </c>
      <c r="L41" s="175" t="n">
        <f aca="false">F41-(I41-AJ41)</f>
        <v>-34.2475422233426</v>
      </c>
      <c r="M41" s="508" t="n">
        <v>252</v>
      </c>
      <c r="N41" s="149" t="n">
        <f aca="false">1.8299*1.03</f>
        <v>1.884797</v>
      </c>
      <c r="O41" s="175" t="n">
        <f aca="false">(49+48)*1.05</f>
        <v>101.85</v>
      </c>
      <c r="P41" s="149" t="n">
        <v>0</v>
      </c>
      <c r="Q41" s="149" t="n">
        <f aca="false">2.32*1.02</f>
        <v>2.3664</v>
      </c>
      <c r="R41" s="149" t="n">
        <v>4.2</v>
      </c>
      <c r="S41" s="291" t="n">
        <v>3.02</v>
      </c>
      <c r="T41" s="334" t="n">
        <v>0</v>
      </c>
      <c r="U41" s="175" t="n">
        <v>72</v>
      </c>
      <c r="V41" s="175" t="n">
        <v>59</v>
      </c>
      <c r="W41" s="129" t="n">
        <f aca="false">M41-N41-O41-P41-Q41-R41-S41-T41+U41+V41-AS41+AQ41</f>
        <v>285.860303</v>
      </c>
      <c r="X41" s="129" t="n">
        <f aca="false">W41-AN41</f>
        <v>285.860303</v>
      </c>
      <c r="Y41" s="102" t="n">
        <f aca="false">Y40-(W41-I41)-Q41-R41-AE41</f>
        <v>1189.46757</v>
      </c>
      <c r="Z41" s="129" t="n">
        <f aca="false">(-AO41)</f>
        <v>101.126703</v>
      </c>
      <c r="AA41" s="102"/>
      <c r="AB41" s="102" t="n">
        <f aca="false">AB40-(AP40/1.9835)</f>
        <v>2014.96627849922</v>
      </c>
      <c r="AC41" s="200"/>
      <c r="AD41" s="175" t="n">
        <v>178</v>
      </c>
      <c r="AE41" s="233" t="n">
        <v>1.7</v>
      </c>
      <c r="AF41" s="234" t="n">
        <v>1.3</v>
      </c>
      <c r="AG41" s="509" t="n">
        <v>52</v>
      </c>
      <c r="AH41" s="510" t="n">
        <f aca="false">AH40-AG41</f>
        <v>8408.25787748929</v>
      </c>
      <c r="AI41" s="167"/>
      <c r="AJ41" s="11" t="n">
        <f aca="false">N41+O41+P41+Q41+R41+S41+T41+W41+AD41+AG41-AQ41</f>
        <v>613</v>
      </c>
      <c r="AK41" s="175" t="n">
        <f aca="false">IF(L41&lt;0,L41*-1,0)</f>
        <v>34.2475422233426</v>
      </c>
      <c r="AL41" s="175" t="n">
        <f aca="false">AJ41+AK41</f>
        <v>647.247542223343</v>
      </c>
      <c r="AM41" s="205" t="n">
        <f aca="false">AM40</f>
        <v>14971.25965</v>
      </c>
      <c r="AN41" s="173"/>
      <c r="AO41" s="92" t="n">
        <f aca="false">I41-Q41-R41-W41-AE41</f>
        <v>-101.126703</v>
      </c>
      <c r="AP41" s="149" t="n">
        <f aca="false">45.4*(Y41*1.9835+AB41*1.9835)/E41</f>
        <v>1.79146584250799</v>
      </c>
      <c r="AQ41" s="149" t="n">
        <v>16.1815</v>
      </c>
      <c r="AR41" s="162"/>
      <c r="AS41" s="1"/>
      <c r="AT41" s="4"/>
      <c r="AU41" s="497" t="n">
        <v>0</v>
      </c>
      <c r="AV41" s="172" t="n">
        <v>83</v>
      </c>
      <c r="AW41" s="172" t="n">
        <v>56</v>
      </c>
      <c r="AX41" s="276"/>
      <c r="AY41" s="235" t="n">
        <f aca="false">SUM(N41,P41:T41)</f>
        <v>11.471197</v>
      </c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512" t="n">
        <v>28</v>
      </c>
      <c r="B42" s="513" t="n">
        <v>6907.57</v>
      </c>
      <c r="C42" s="431" t="n">
        <v>312371</v>
      </c>
      <c r="D42" s="514" t="n">
        <f aca="false">C42-C41</f>
        <v>-705</v>
      </c>
      <c r="E42" s="431" t="n">
        <f aca="false">C42-152000</f>
        <v>160371</v>
      </c>
      <c r="F42" s="515" t="n">
        <f aca="false">D42/$D$2</f>
        <v>-355.432316612049</v>
      </c>
      <c r="G42" s="1" t="n">
        <v>177</v>
      </c>
      <c r="H42" s="4" t="n">
        <v>0</v>
      </c>
      <c r="I42" s="511" t="n">
        <f aca="false">G42+H42</f>
        <v>177</v>
      </c>
      <c r="J42" s="516" t="n">
        <f aca="false">IF(L42&gt;0,L42,0)</f>
        <v>9.56768338795058</v>
      </c>
      <c r="K42" s="511" t="n">
        <f aca="false">I42+J42</f>
        <v>186.567683387951</v>
      </c>
      <c r="L42" s="511" t="n">
        <f aca="false">F42-(I42-AJ42)</f>
        <v>9.56768338795058</v>
      </c>
      <c r="M42" s="517" t="n">
        <v>221</v>
      </c>
      <c r="N42" s="149" t="n">
        <f aca="false">1.8299*1.03</f>
        <v>1.884797</v>
      </c>
      <c r="O42" s="511" t="n">
        <f aca="false">(45+44)*1.05</f>
        <v>93.45</v>
      </c>
      <c r="P42" s="149" t="n">
        <v>0</v>
      </c>
      <c r="Q42" s="149" t="n">
        <f aca="false">2.32*1.02</f>
        <v>2.3664</v>
      </c>
      <c r="R42" s="149" t="n">
        <v>4.2</v>
      </c>
      <c r="S42" s="291" t="n">
        <v>1.01</v>
      </c>
      <c r="T42" s="334" t="n">
        <v>0</v>
      </c>
      <c r="U42" s="511" t="n">
        <v>73</v>
      </c>
      <c r="V42" s="511" t="n">
        <v>59</v>
      </c>
      <c r="W42" s="129" t="n">
        <f aca="false">M42-N42-O42-P42-Q42-R42-S42-T42+U42+V42-AS42+AQ42</f>
        <v>266.270303</v>
      </c>
      <c r="X42" s="129" t="n">
        <f aca="false">W42-AN42</f>
        <v>266.270303</v>
      </c>
      <c r="Y42" s="102" t="n">
        <f aca="false">Y41-(W42-I42)-Q42-R42-AE42</f>
        <v>1091.930867</v>
      </c>
      <c r="Z42" s="129" t="n">
        <f aca="false">(-AO42)</f>
        <v>97.536703</v>
      </c>
      <c r="AA42" s="102"/>
      <c r="AB42" s="102" t="n">
        <f aca="false">AB41-(AP41/1.9835)</f>
        <v>2014.06309430839</v>
      </c>
      <c r="AC42" s="200"/>
      <c r="AD42" s="511" t="n">
        <v>137</v>
      </c>
      <c r="AE42" s="233" t="n">
        <v>1.7</v>
      </c>
      <c r="AF42" s="234" t="n">
        <v>1.3</v>
      </c>
      <c r="AG42" s="509" t="n">
        <v>52</v>
      </c>
      <c r="AH42" s="510" t="n">
        <f aca="false">AH41-AG42</f>
        <v>8356.25787748929</v>
      </c>
      <c r="AI42" s="167"/>
      <c r="AJ42" s="11" t="n">
        <f aca="false">N42+O42+P42+Q42+R42+S42+T42+W42+AD42+AG42-AQ42</f>
        <v>542</v>
      </c>
      <c r="AK42" s="511" t="n">
        <f aca="false">IF(L42&lt;0,L42*-1,0)</f>
        <v>0</v>
      </c>
      <c r="AL42" s="511" t="n">
        <f aca="false">AJ42+AK42</f>
        <v>542</v>
      </c>
      <c r="AM42" s="205" t="n">
        <f aca="false">AM41</f>
        <v>14971.25965</v>
      </c>
      <c r="AN42" s="173"/>
      <c r="AO42" s="92" t="n">
        <f aca="false">I42-Q42-R42-W42-AE42</f>
        <v>-97.536703</v>
      </c>
      <c r="AP42" s="149" t="n">
        <f aca="false">45.4*(Y42*1.9835+AB42*1.9835)/E42</f>
        <v>1.74406564534975</v>
      </c>
      <c r="AQ42" s="149" t="n">
        <v>16.1815</v>
      </c>
      <c r="AR42" s="162"/>
      <c r="AS42" s="1"/>
      <c r="AT42" s="4"/>
      <c r="AU42" s="518" t="n">
        <v>0.01</v>
      </c>
      <c r="AV42" s="514" t="n">
        <v>75</v>
      </c>
      <c r="AW42" s="514" t="n">
        <v>55</v>
      </c>
      <c r="AX42" s="276"/>
      <c r="AY42" s="235" t="n">
        <f aca="false">SUM(N42,P42:T42)</f>
        <v>9.461197</v>
      </c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12.95" hidden="false" customHeight="true" outlineLevel="0" collapsed="false">
      <c r="A43" s="512" t="n">
        <v>29</v>
      </c>
      <c r="B43" s="513" t="n">
        <v>6907.39</v>
      </c>
      <c r="C43" s="431" t="n">
        <v>311666</v>
      </c>
      <c r="D43" s="514" t="n">
        <f aca="false">C43-C42</f>
        <v>-705</v>
      </c>
      <c r="E43" s="431" t="n">
        <f aca="false">C43-152000</f>
        <v>159666</v>
      </c>
      <c r="F43" s="515" t="n">
        <f aca="false">D43/$D$2</f>
        <v>-355.432316612049</v>
      </c>
      <c r="G43" s="1" t="n">
        <v>173</v>
      </c>
      <c r="H43" s="4" t="n">
        <v>0</v>
      </c>
      <c r="I43" s="511" t="n">
        <f aca="false">G43+H43</f>
        <v>173</v>
      </c>
      <c r="J43" s="516" t="n">
        <f aca="false">IF(L43&gt;0,L43,0)</f>
        <v>20.5676833879506</v>
      </c>
      <c r="K43" s="511" t="n">
        <f aca="false">I43+J43</f>
        <v>193.567683387951</v>
      </c>
      <c r="L43" s="511" t="n">
        <f aca="false">F43-(I43-AJ43)</f>
        <v>20.5676833879506</v>
      </c>
      <c r="M43" s="517" t="n">
        <v>233</v>
      </c>
      <c r="N43" s="149" t="n">
        <f aca="false">1.8299*1.03</f>
        <v>1.884797</v>
      </c>
      <c r="O43" s="511" t="n">
        <f aca="false">(41+40)*1.05</f>
        <v>85.05</v>
      </c>
      <c r="P43" s="149" t="n">
        <v>0</v>
      </c>
      <c r="Q43" s="149" t="n">
        <f aca="false">2.32*1.02</f>
        <v>2.3664</v>
      </c>
      <c r="R43" s="149" t="n">
        <v>4.2</v>
      </c>
      <c r="S43" s="291" t="n">
        <v>0.42</v>
      </c>
      <c r="T43" s="334" t="n">
        <v>0</v>
      </c>
      <c r="U43" s="511" t="n">
        <v>75</v>
      </c>
      <c r="V43" s="511" t="n">
        <v>59</v>
      </c>
      <c r="W43" s="129" t="n">
        <f aca="false">M43-N43-O43-P43-Q43-R43-S43-T43+U43+V43-AS43+AQ43</f>
        <v>289.260303</v>
      </c>
      <c r="X43" s="129" t="n">
        <f aca="false">W43-AN43</f>
        <v>289.260303</v>
      </c>
      <c r="Y43" s="102" t="n">
        <f aca="false">Y42-(W43-I43)-Q43-R43-AE43</f>
        <v>967.404163999996</v>
      </c>
      <c r="Z43" s="129" t="n">
        <f aca="false">(-AO43)</f>
        <v>124.526703</v>
      </c>
      <c r="AA43" s="102"/>
      <c r="AB43" s="102" t="n">
        <f aca="false">AB42-(AP42/1.9835)</f>
        <v>2013.18380736846</v>
      </c>
      <c r="AC43" s="200"/>
      <c r="AD43" s="511" t="n">
        <v>130</v>
      </c>
      <c r="AE43" s="233" t="n">
        <v>1.7</v>
      </c>
      <c r="AF43" s="234" t="n">
        <v>1.3</v>
      </c>
      <c r="AG43" s="509" t="n">
        <v>52</v>
      </c>
      <c r="AH43" s="510" t="n">
        <f aca="false">AH42-AG43</f>
        <v>8304.25787748929</v>
      </c>
      <c r="AI43" s="167"/>
      <c r="AJ43" s="11" t="n">
        <f aca="false">N43+O43+P43+Q43+R43+S43+T43+W43+AD43+AG43-AQ43</f>
        <v>549</v>
      </c>
      <c r="AK43" s="511" t="n">
        <f aca="false">IF(L43&lt;0,L43*-1,0)</f>
        <v>0</v>
      </c>
      <c r="AL43" s="511" t="n">
        <f aca="false">AJ43+AK43</f>
        <v>549</v>
      </c>
      <c r="AM43" s="205" t="n">
        <f aca="false">AM42</f>
        <v>14971.25965</v>
      </c>
      <c r="AN43" s="173"/>
      <c r="AO43" s="92" t="n">
        <f aca="false">I43-Q43-R43-W43-AE43</f>
        <v>-124.526703</v>
      </c>
      <c r="AP43" s="149" t="n">
        <f aca="false">45.4*(Y43*1.9835+AB43*1.9835)/E43</f>
        <v>1.6810381004779</v>
      </c>
      <c r="AQ43" s="149" t="n">
        <v>16.1815</v>
      </c>
      <c r="AR43" s="162"/>
      <c r="AS43" s="1"/>
      <c r="AT43" s="4"/>
      <c r="AU43" s="518" t="n">
        <v>0.04</v>
      </c>
      <c r="AV43" s="514" t="n">
        <v>78</v>
      </c>
      <c r="AW43" s="514" t="n">
        <v>54</v>
      </c>
      <c r="AX43" s="276"/>
      <c r="AY43" s="235" t="n">
        <f aca="false">SUM(N43,P43:T43)</f>
        <v>8.871197</v>
      </c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</row>
    <row r="44" customFormat="false" ht="12.95" hidden="false" customHeight="true" outlineLevel="0" collapsed="false">
      <c r="A44" s="512" t="n">
        <v>30</v>
      </c>
      <c r="B44" s="513" t="n">
        <v>6907.18</v>
      </c>
      <c r="C44" s="431" t="n">
        <v>310843</v>
      </c>
      <c r="D44" s="514" t="n">
        <f aca="false">C44-C43</f>
        <v>-823</v>
      </c>
      <c r="E44" s="431" t="n">
        <f aca="false">C44-152000</f>
        <v>158843</v>
      </c>
      <c r="F44" s="515" t="n">
        <f aca="false">D44/$D$2</f>
        <v>-414.923115704563</v>
      </c>
      <c r="G44" s="1" t="n">
        <v>174</v>
      </c>
      <c r="H44" s="4" t="n">
        <v>0</v>
      </c>
      <c r="I44" s="511" t="n">
        <f aca="false">G44+H44</f>
        <v>174</v>
      </c>
      <c r="J44" s="516" t="n">
        <f aca="false">IF(L44&gt;0,L44,0)</f>
        <v>0</v>
      </c>
      <c r="K44" s="511" t="n">
        <f aca="false">I44+J44</f>
        <v>174</v>
      </c>
      <c r="L44" s="511" t="n">
        <f aca="false">F44-(I44-AJ44)</f>
        <v>-4.92311570456263</v>
      </c>
      <c r="M44" s="517" t="n">
        <v>233</v>
      </c>
      <c r="N44" s="149" t="n">
        <f aca="false">1.8299*1.03</f>
        <v>1.884797</v>
      </c>
      <c r="O44" s="511" t="n">
        <f aca="false">(45+45)*1.05</f>
        <v>94.5</v>
      </c>
      <c r="P44" s="149" t="n">
        <v>0</v>
      </c>
      <c r="Q44" s="149" t="n">
        <f aca="false">2.32*1.02</f>
        <v>2.3664</v>
      </c>
      <c r="R44" s="149" t="n">
        <v>4.2</v>
      </c>
      <c r="S44" s="291" t="n">
        <v>2.32</v>
      </c>
      <c r="T44" s="334" t="n">
        <v>0</v>
      </c>
      <c r="U44" s="511" t="n">
        <v>75</v>
      </c>
      <c r="V44" s="511" t="n">
        <v>59</v>
      </c>
      <c r="W44" s="129" t="n">
        <f aca="false">M44-N44-O44-P44-Q44-R44-S44-T44+U44+V44-AS44+AQ44</f>
        <v>277.910303</v>
      </c>
      <c r="X44" s="129" t="n">
        <f aca="false">W44-AN44</f>
        <v>277.910303</v>
      </c>
      <c r="Y44" s="102" t="n">
        <f aca="false">Y43-(W44-I44)-Q44-R44-AE44</f>
        <v>855.227460999996</v>
      </c>
      <c r="Z44" s="129" t="n">
        <f aca="false">(-AO44)</f>
        <v>112.176703</v>
      </c>
      <c r="AA44" s="102"/>
      <c r="AB44" s="102" t="n">
        <f aca="false">AB43-(AP43/1.9835)</f>
        <v>2012.33629635234</v>
      </c>
      <c r="AC44" s="200"/>
      <c r="AD44" s="511" t="n">
        <v>165</v>
      </c>
      <c r="AE44" s="233" t="n">
        <v>1.7</v>
      </c>
      <c r="AF44" s="234" t="n">
        <v>1.3</v>
      </c>
      <c r="AG44" s="509" t="n">
        <v>52</v>
      </c>
      <c r="AH44" s="510" t="n">
        <f aca="false">AH43-AG44</f>
        <v>8252.25787748929</v>
      </c>
      <c r="AI44" s="167"/>
      <c r="AJ44" s="11" t="n">
        <f aca="false">N44+O44+P44+Q44+R44+S44+T44+W44+AD44+AG44-AQ44</f>
        <v>584</v>
      </c>
      <c r="AK44" s="511" t="n">
        <f aca="false">IF(L44&lt;0,L44*-1,0)</f>
        <v>4.92311570456263</v>
      </c>
      <c r="AL44" s="511" t="n">
        <f aca="false">AJ44+AK44</f>
        <v>588.923115704563</v>
      </c>
      <c r="AM44" s="205" t="n">
        <f aca="false">AM43</f>
        <v>14971.25965</v>
      </c>
      <c r="AN44" s="173"/>
      <c r="AO44" s="92" t="n">
        <f aca="false">I44-Q44-R44-W44-AE44</f>
        <v>-112.176703</v>
      </c>
      <c r="AP44" s="149" t="n">
        <f aca="false">45.4*(Y44*1.9835+AB44*1.9835)/E44</f>
        <v>1.62567250150752</v>
      </c>
      <c r="AQ44" s="149" t="n">
        <v>16.1815</v>
      </c>
      <c r="AR44" s="162"/>
      <c r="AS44" s="1"/>
      <c r="AT44" s="4"/>
      <c r="AU44" s="518" t="n">
        <v>0.06</v>
      </c>
      <c r="AV44" s="514" t="n">
        <v>75</v>
      </c>
      <c r="AW44" s="514" t="n">
        <v>54</v>
      </c>
      <c r="AX44" s="276"/>
      <c r="AY44" s="235" t="n">
        <f aca="false">SUM(N44,P44:T44)</f>
        <v>10.771197</v>
      </c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</row>
    <row r="45" customFormat="false" ht="12.95" hidden="false" customHeight="true" outlineLevel="0" collapsed="false">
      <c r="A45" s="512" t="n">
        <v>31</v>
      </c>
      <c r="B45" s="513" t="n">
        <v>6906.98</v>
      </c>
      <c r="C45" s="431" t="n">
        <v>310060</v>
      </c>
      <c r="D45" s="514" t="n">
        <f aca="false">C45-C44</f>
        <v>-783</v>
      </c>
      <c r="E45" s="431" t="n">
        <f aca="false">C45-152000</f>
        <v>158060</v>
      </c>
      <c r="F45" s="515" t="n">
        <f aca="false">D45/$D$2</f>
        <v>-394.756743130829</v>
      </c>
      <c r="G45" s="1" t="n">
        <v>186</v>
      </c>
      <c r="H45" s="4" t="n">
        <v>0</v>
      </c>
      <c r="I45" s="511" t="n">
        <f aca="false">G45+H45</f>
        <v>186</v>
      </c>
      <c r="J45" s="516" t="n">
        <f aca="false">IF(L45&gt;0,L45,0)</f>
        <v>2.24325686917081</v>
      </c>
      <c r="K45" s="511" t="n">
        <f aca="false">I45+J45</f>
        <v>188.243256869171</v>
      </c>
      <c r="L45" s="511" t="n">
        <f aca="false">F45-(I45-AJ45)</f>
        <v>2.24325686917081</v>
      </c>
      <c r="M45" s="517" t="n">
        <v>225</v>
      </c>
      <c r="N45" s="149" t="n">
        <f aca="false">1.8299*1.03</f>
        <v>1.884797</v>
      </c>
      <c r="O45" s="511" t="n">
        <f aca="false">(41+40)*1.05</f>
        <v>85.05</v>
      </c>
      <c r="P45" s="149" t="n">
        <v>0</v>
      </c>
      <c r="Q45" s="149" t="n">
        <f aca="false">2.32*1.02</f>
        <v>2.3664</v>
      </c>
      <c r="R45" s="149" t="n">
        <v>4.2</v>
      </c>
      <c r="S45" s="291" t="n">
        <v>2.59</v>
      </c>
      <c r="T45" s="334" t="n">
        <v>0</v>
      </c>
      <c r="U45" s="511" t="n">
        <v>74</v>
      </c>
      <c r="V45" s="511" t="n">
        <v>61</v>
      </c>
      <c r="W45" s="129" t="n">
        <f aca="false">M45-N45-O45-P45-Q45-R45-S45-T45+U45+V45-AS45+AQ45</f>
        <v>280.090303</v>
      </c>
      <c r="X45" s="129" t="n">
        <f aca="false">W45-AN45</f>
        <v>280.090303</v>
      </c>
      <c r="Y45" s="102" t="n">
        <f aca="false">Y44-(W45-I45)-Q45-R45-AE45</f>
        <v>752.870757999995</v>
      </c>
      <c r="Z45" s="129" t="n">
        <f aca="false">(-AO45)</f>
        <v>102.356703</v>
      </c>
      <c r="AA45" s="102"/>
      <c r="AB45" s="102" t="n">
        <f aca="false">AB44-(AP44/1.9835)</f>
        <v>2011.51669841863</v>
      </c>
      <c r="AC45" s="200"/>
      <c r="AD45" s="511" t="n">
        <v>171</v>
      </c>
      <c r="AE45" s="233" t="n">
        <v>1.7</v>
      </c>
      <c r="AF45" s="234" t="n">
        <v>1.3</v>
      </c>
      <c r="AG45" s="509" t="n">
        <v>52</v>
      </c>
      <c r="AH45" s="510" t="n">
        <f aca="false">AH44-AG45</f>
        <v>8200.25787748929</v>
      </c>
      <c r="AI45" s="167"/>
      <c r="AJ45" s="11" t="n">
        <f aca="false">N45+O45+P45+Q45+R45+S45+T45+W45+AD45+AG45-AQ45</f>
        <v>583</v>
      </c>
      <c r="AK45" s="511" t="n">
        <f aca="false">IF(L45&lt;0,L45*-1,0)</f>
        <v>0</v>
      </c>
      <c r="AL45" s="511" t="n">
        <f aca="false">AJ45+AK45</f>
        <v>583</v>
      </c>
      <c r="AM45" s="205" t="n">
        <f aca="false">AM44</f>
        <v>14971.25965</v>
      </c>
      <c r="AN45" s="173"/>
      <c r="AO45" s="92" t="n">
        <f aca="false">I45-Q45-R45-W45-AE45</f>
        <v>-102.356703</v>
      </c>
      <c r="AP45" s="149" t="n">
        <f aca="false">45.4*(Y45*1.9835+AB45*1.9835)/E45</f>
        <v>1.57494355560678</v>
      </c>
      <c r="AQ45" s="149" t="n">
        <v>16.1815</v>
      </c>
      <c r="AR45" s="162"/>
      <c r="AS45" s="1"/>
      <c r="AT45" s="4"/>
      <c r="AU45" s="518" t="n">
        <v>0</v>
      </c>
      <c r="AV45" s="514" t="n">
        <v>76</v>
      </c>
      <c r="AW45" s="514" t="n">
        <v>53</v>
      </c>
      <c r="AX45" s="276"/>
      <c r="AY45" s="235" t="n">
        <f aca="false">SUM(N45,P45:T45)</f>
        <v>11.041197</v>
      </c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</row>
    <row r="46" customFormat="false" ht="3" hidden="false" customHeight="true" outlineLevel="0" collapsed="false">
      <c r="A46" s="216"/>
      <c r="B46" s="475"/>
      <c r="C46" s="476"/>
      <c r="D46" s="216"/>
      <c r="E46" s="476"/>
      <c r="F46" s="477"/>
      <c r="G46" s="216"/>
      <c r="H46" s="501"/>
      <c r="I46" s="216"/>
      <c r="J46" s="216"/>
      <c r="K46" s="216"/>
      <c r="L46" s="216"/>
      <c r="M46" s="479"/>
      <c r="N46" s="216"/>
      <c r="O46" s="216"/>
      <c r="P46" s="480"/>
      <c r="Q46" s="480"/>
      <c r="R46" s="480"/>
      <c r="S46" s="480"/>
      <c r="T46" s="481"/>
      <c r="U46" s="216"/>
      <c r="V46" s="216"/>
      <c r="W46" s="216"/>
      <c r="X46" s="216"/>
      <c r="Y46" s="476"/>
      <c r="Z46" s="216"/>
      <c r="AA46" s="476"/>
      <c r="AB46" s="476"/>
      <c r="AC46" s="476"/>
      <c r="AD46" s="216" t="n">
        <v>178</v>
      </c>
      <c r="AE46" s="222"/>
      <c r="AF46" s="226"/>
      <c r="AG46" s="216"/>
      <c r="AH46" s="216"/>
      <c r="AI46" s="216"/>
      <c r="AJ46" s="216"/>
      <c r="AK46" s="216"/>
      <c r="AL46" s="216"/>
      <c r="AM46" s="502"/>
      <c r="AN46" s="321"/>
      <c r="AO46" s="321"/>
      <c r="AP46" s="119"/>
      <c r="AQ46" s="119"/>
      <c r="AR46" s="503"/>
      <c r="AS46" s="503"/>
      <c r="AT46" s="503"/>
      <c r="AU46" s="504"/>
      <c r="AV46" s="482"/>
      <c r="AW46" s="482"/>
      <c r="AX46" s="505"/>
      <c r="AY46" s="506"/>
    </row>
    <row r="47" customFormat="false" ht="12.95" hidden="false" customHeight="true" outlineLevel="0" collapsed="false">
      <c r="A47" s="175" t="s">
        <v>99</v>
      </c>
      <c r="B47" s="492"/>
      <c r="D47" s="167"/>
      <c r="F47" s="262" t="n">
        <f aca="false">SUM(F15:F45)</f>
        <v>-8015.62893874464</v>
      </c>
      <c r="G47" s="167" t="n">
        <f aca="false">SUM(G15:G45)</f>
        <v>7852</v>
      </c>
      <c r="H47" s="167" t="n">
        <f aca="false">SUM(H15:H45)</f>
        <v>2.6</v>
      </c>
      <c r="I47" s="167" t="n">
        <f aca="false">SUM(I15:I45)</f>
        <v>7854.6</v>
      </c>
      <c r="J47" s="167" t="n">
        <f aca="false">SUM(J15:J45)</f>
        <v>438.925802873708</v>
      </c>
      <c r="K47" s="167" t="n">
        <f aca="false">SUM(K15:K45)</f>
        <v>8293.52580287371</v>
      </c>
      <c r="L47" s="167" t="n">
        <f aca="false">SUM(L15:L45)</f>
        <v>68.7710612553563</v>
      </c>
      <c r="M47" s="494" t="n">
        <f aca="false">SUM(M15:M45)</f>
        <v>5875</v>
      </c>
      <c r="N47" s="167" t="n">
        <f aca="false">SUM(N15:N45)</f>
        <v>58.428707</v>
      </c>
      <c r="O47" s="167" t="n">
        <f aca="false">SUM(O15:O45)</f>
        <v>2013.9</v>
      </c>
      <c r="P47" s="8" t="n">
        <f aca="false">SUM(P15:P45)</f>
        <v>0</v>
      </c>
      <c r="Q47" s="172" t="n">
        <f aca="false">SUM(Q15:Q45)</f>
        <v>73.3584</v>
      </c>
      <c r="R47" s="172" t="n">
        <f aca="false">SUM(R15:R45)</f>
        <v>128.65</v>
      </c>
      <c r="S47" s="172" t="n">
        <f aca="false">SUM(S15:S45)</f>
        <v>35.25</v>
      </c>
      <c r="T47" s="493" t="n">
        <f aca="false">SUM(T15:T45)</f>
        <v>0</v>
      </c>
      <c r="U47" s="167" t="n">
        <f aca="false">SUM(U15:U45)</f>
        <v>3009</v>
      </c>
      <c r="V47" s="167" t="n">
        <f aca="false">SUM(V15:V45)</f>
        <v>1893</v>
      </c>
      <c r="W47" s="167" t="n">
        <f aca="false">SUM(W15:W45)</f>
        <v>8969.039393</v>
      </c>
      <c r="X47" s="102" t="n">
        <f aca="false">SUM(X15:X45)</f>
        <v>8969.039393</v>
      </c>
      <c r="Y47" s="167"/>
      <c r="Z47" s="102"/>
      <c r="AA47" s="167"/>
      <c r="AC47" s="167" t="n">
        <f aca="false">SUM(AC15:AC45)</f>
        <v>0</v>
      </c>
      <c r="AD47" s="167" t="n">
        <f aca="false">SUM(AD15:AD45)</f>
        <v>3134</v>
      </c>
      <c r="AE47" s="494" t="n">
        <f aca="false">SUM(AE15:AE45)</f>
        <v>52.7</v>
      </c>
      <c r="AF47" s="495" t="n">
        <f aca="false">SUM(AF15:AF45)</f>
        <v>40.3</v>
      </c>
      <c r="AG47" s="167" t="n">
        <f aca="false">SUM(AG15:AG45)</f>
        <v>2028</v>
      </c>
      <c r="AH47" s="167"/>
      <c r="AI47" s="167" t="n">
        <f aca="false">SUM(AI15:AI45)</f>
        <v>0</v>
      </c>
      <c r="AJ47" s="167" t="n">
        <f aca="false">SUM(AJ15:AJ45)</f>
        <v>15939</v>
      </c>
      <c r="AK47" s="167" t="n">
        <f aca="false">SUM(AK15:AK45)</f>
        <v>370.154741618352</v>
      </c>
      <c r="AL47" s="167" t="n">
        <f aca="false">SUM(AL15:AL45)</f>
        <v>16309.1547416184</v>
      </c>
      <c r="AM47" s="496"/>
      <c r="AN47" s="167" t="n">
        <f aca="false">SUM(AN15:AN45)</f>
        <v>0</v>
      </c>
      <c r="AO47" s="173"/>
      <c r="AP47" s="8"/>
      <c r="AQ47" s="149" t="n">
        <f aca="false">SUM(AQ15:AQ45)</f>
        <v>501.6265</v>
      </c>
      <c r="AR47" s="200" t="n">
        <f aca="false">SUM(AR15:AR45)</f>
        <v>0</v>
      </c>
      <c r="AS47" s="200" t="n">
        <f aca="false">SUM(AS15:AS45)</f>
        <v>0</v>
      </c>
      <c r="AT47" s="130" t="n">
        <f aca="false">SUM(AT15:AT45)</f>
        <v>0</v>
      </c>
      <c r="AU47" s="497" t="n">
        <f aca="false">SUM(AU15:AU45)</f>
        <v>1.9</v>
      </c>
      <c r="AV47" s="172" t="n">
        <f aca="false">AVERAGE(AV15:AV45)</f>
        <v>82.6774193548387</v>
      </c>
      <c r="AW47" s="172" t="n">
        <f aca="false">AVERAGE(AW15:AW45)</f>
        <v>54.5806451612903</v>
      </c>
      <c r="AX47" s="519" t="s">
        <v>120</v>
      </c>
      <c r="AY47" s="499" t="n">
        <f aca="false">SUM(AY15:AY45)</f>
        <v>295.687107</v>
      </c>
    </row>
    <row r="48" customFormat="false" ht="12.95" hidden="false" customHeight="true" outlineLevel="0" collapsed="false">
      <c r="A48" s="175" t="s">
        <v>101</v>
      </c>
      <c r="B48" s="492"/>
      <c r="D48" s="167" t="n">
        <f aca="false">SUM(D15:D45)</f>
        <v>-15899</v>
      </c>
      <c r="F48" s="262" t="n">
        <f aca="false">F47*$D$2</f>
        <v>-15899</v>
      </c>
      <c r="G48" s="167" t="n">
        <f aca="false">G47*$D$2</f>
        <v>15574.442</v>
      </c>
      <c r="H48" s="167" t="n">
        <f aca="false">H47*$D$2</f>
        <v>5.1571</v>
      </c>
      <c r="I48" s="167" t="n">
        <f aca="false">I47*$D$2</f>
        <v>15579.5991</v>
      </c>
      <c r="J48" s="167" t="n">
        <f aca="false">J47*$D$2</f>
        <v>870.60933</v>
      </c>
      <c r="K48" s="167" t="n">
        <f aca="false">K47*$D$2</f>
        <v>16450.20843</v>
      </c>
      <c r="L48" s="167" t="n">
        <f aca="false">L47*$D$2</f>
        <v>136.407399999999</v>
      </c>
      <c r="M48" s="494" t="n">
        <f aca="false">M47*$D$2</f>
        <v>11653.0625</v>
      </c>
      <c r="N48" s="167" t="n">
        <f aca="false">N47*$D$2</f>
        <v>115.8933403345</v>
      </c>
      <c r="O48" s="167" t="n">
        <f aca="false">O47*$D$2</f>
        <v>3994.57065</v>
      </c>
      <c r="P48" s="8" t="n">
        <f aca="false">P47*$D$2</f>
        <v>0</v>
      </c>
      <c r="Q48" s="172" t="n">
        <f aca="false">Q47*$D$2</f>
        <v>145.5063864</v>
      </c>
      <c r="R48" s="172" t="n">
        <f aca="false">R47*$D$2</f>
        <v>255.177275</v>
      </c>
      <c r="S48" s="172" t="n">
        <f aca="false">S47*$D$2</f>
        <v>69.918375</v>
      </c>
      <c r="T48" s="493" t="n">
        <f aca="false">T47*$D$2</f>
        <v>0</v>
      </c>
      <c r="U48" s="167" t="n">
        <f aca="false">U47*$D$2</f>
        <v>5968.3515</v>
      </c>
      <c r="V48" s="167" t="n">
        <f aca="false">V47*$D$2</f>
        <v>3754.7655</v>
      </c>
      <c r="W48" s="167" t="n">
        <f aca="false">W47*$D$2</f>
        <v>17790.0896360155</v>
      </c>
      <c r="X48" s="102" t="n">
        <f aca="false">X47*$D$2</f>
        <v>17790.0896360155</v>
      </c>
      <c r="Y48" s="167"/>
      <c r="Z48" s="102"/>
      <c r="AA48" s="167"/>
      <c r="AC48" s="167" t="n">
        <f aca="false">AC47*$D$2</f>
        <v>0</v>
      </c>
      <c r="AD48" s="167" t="n">
        <f aca="false">AD47*$D$2</f>
        <v>6216.289</v>
      </c>
      <c r="AE48" s="494" t="n">
        <f aca="false">AE47*$D$2</f>
        <v>104.53045</v>
      </c>
      <c r="AF48" s="495" t="n">
        <f aca="false">AF47*$D$2</f>
        <v>79.93505</v>
      </c>
      <c r="AG48" s="167" t="n">
        <f aca="false">AG47*$D$2</f>
        <v>4022.538</v>
      </c>
      <c r="AH48" s="167"/>
      <c r="AI48" s="167" t="n">
        <f aca="false">AI47*$D$2</f>
        <v>0</v>
      </c>
      <c r="AJ48" s="167" t="n">
        <f aca="false">AJ47*$D$2</f>
        <v>31615.0065</v>
      </c>
      <c r="AK48" s="167" t="n">
        <f aca="false">AK47*$D$2</f>
        <v>734.201930000001</v>
      </c>
      <c r="AL48" s="167" t="n">
        <f aca="false">AL47*$D$2</f>
        <v>32349.20843</v>
      </c>
      <c r="AM48" s="496"/>
      <c r="AN48" s="167" t="n">
        <f aca="false">AN47*$D$2</f>
        <v>0</v>
      </c>
      <c r="AO48" s="173"/>
      <c r="AP48" s="8" t="n">
        <f aca="false">SUM(AP15:AP45)</f>
        <v>66.0254431330163</v>
      </c>
      <c r="AQ48" s="130" t="n">
        <f aca="false">AQ47*$D$2</f>
        <v>994.97616275</v>
      </c>
      <c r="AR48" s="200" t="n">
        <f aca="false">AR47*$D$2</f>
        <v>0</v>
      </c>
      <c r="AS48" s="200" t="n">
        <f aca="false">AS47*$D$2</f>
        <v>0</v>
      </c>
      <c r="AT48" s="130" t="n">
        <f aca="false">AT47*$D$2</f>
        <v>0</v>
      </c>
      <c r="AU48" s="497"/>
      <c r="AV48" s="172" t="n">
        <f aca="false">MAX(AV15:AV45)</f>
        <v>91</v>
      </c>
      <c r="AW48" s="172" t="n">
        <f aca="false">MAX(AW15:AW45)</f>
        <v>60</v>
      </c>
      <c r="AX48" s="519" t="s">
        <v>102</v>
      </c>
      <c r="AY48" s="499" t="n">
        <f aca="false">AY47*$D$2</f>
        <v>586.4953767345</v>
      </c>
    </row>
    <row r="49" customFormat="false" ht="3" hidden="false" customHeight="true" outlineLevel="0" collapsed="false">
      <c r="A49" s="216"/>
      <c r="B49" s="475"/>
      <c r="C49" s="476"/>
      <c r="D49" s="476"/>
      <c r="E49" s="476"/>
      <c r="F49" s="505"/>
      <c r="G49" s="476"/>
      <c r="H49" s="476"/>
      <c r="I49" s="476"/>
      <c r="J49" s="476"/>
      <c r="K49" s="476"/>
      <c r="L49" s="476"/>
      <c r="M49" s="520"/>
      <c r="N49" s="476"/>
      <c r="O49" s="476"/>
      <c r="P49" s="480"/>
      <c r="Q49" s="482"/>
      <c r="R49" s="482"/>
      <c r="S49" s="482"/>
      <c r="T49" s="481"/>
      <c r="U49" s="476"/>
      <c r="V49" s="476"/>
      <c r="W49" s="476"/>
      <c r="X49" s="218"/>
      <c r="Y49" s="476"/>
      <c r="Z49" s="218"/>
      <c r="AA49" s="476"/>
      <c r="AB49" s="476"/>
      <c r="AC49" s="476"/>
      <c r="AD49" s="476"/>
      <c r="AE49" s="520"/>
      <c r="AF49" s="521"/>
      <c r="AG49" s="476"/>
      <c r="AH49" s="216"/>
      <c r="AI49" s="476"/>
      <c r="AJ49" s="476"/>
      <c r="AK49" s="476"/>
      <c r="AL49" s="476"/>
      <c r="AM49" s="522"/>
      <c r="AN49" s="476"/>
      <c r="AO49" s="321"/>
      <c r="AP49" s="480"/>
      <c r="AQ49" s="223"/>
      <c r="AR49" s="228"/>
      <c r="AS49" s="228"/>
      <c r="AT49" s="503"/>
      <c r="AU49" s="522"/>
      <c r="AV49" s="476"/>
      <c r="AW49" s="476"/>
      <c r="AX49" s="505"/>
      <c r="AY49" s="506"/>
    </row>
    <row r="50" customFormat="false" ht="12.95" hidden="false" customHeight="true" outlineLevel="0" collapsed="false">
      <c r="A50" s="175" t="s">
        <v>103</v>
      </c>
      <c r="B50" s="492"/>
      <c r="D50" s="167"/>
      <c r="F50" s="262" t="n">
        <f aca="false">F12+F47</f>
        <v>29505.9238719435</v>
      </c>
      <c r="G50" s="167" t="n">
        <f aca="false">G12+G47</f>
        <v>113172</v>
      </c>
      <c r="H50" s="167" t="n">
        <f aca="false">H12+H47</f>
        <v>5300.8</v>
      </c>
      <c r="I50" s="167" t="n">
        <f aca="false">I12+I47</f>
        <v>118472.8</v>
      </c>
      <c r="J50" s="167" t="n">
        <f aca="false">J12+J47</f>
        <v>14555.7263171162</v>
      </c>
      <c r="K50" s="167" t="n">
        <f aca="false">K12+K47</f>
        <v>133028.526317116</v>
      </c>
      <c r="L50" s="167" t="n">
        <f aca="false">L12+L47</f>
        <v>12296.8238719435</v>
      </c>
      <c r="M50" s="494" t="n">
        <f aca="false">M12+M47</f>
        <v>35260.9</v>
      </c>
      <c r="N50" s="167" t="n">
        <f aca="false">N12+N47</f>
        <v>286.489144</v>
      </c>
      <c r="O50" s="167" t="n">
        <f aca="false">O12+O47</f>
        <v>11492.3865</v>
      </c>
      <c r="P50" s="8" t="n">
        <f aca="false">P12+P47</f>
        <v>7.31</v>
      </c>
      <c r="Q50" s="172"/>
      <c r="R50" s="172"/>
      <c r="S50" s="172"/>
      <c r="T50" s="493"/>
      <c r="U50" s="167" t="n">
        <f aca="false">U12+U47</f>
        <v>15597</v>
      </c>
      <c r="V50" s="167" t="n">
        <f aca="false">V12+V47</f>
        <v>8419.1</v>
      </c>
      <c r="W50" s="167" t="n">
        <f aca="false">W12+W47</f>
        <v>48779.929416</v>
      </c>
      <c r="X50" s="102" t="n">
        <f aca="false">X12+X47</f>
        <v>48779.929416</v>
      </c>
      <c r="Y50" s="78" t="n">
        <f aca="false">Y45</f>
        <v>752.870757999995</v>
      </c>
      <c r="Z50" s="102"/>
      <c r="AA50" s="431"/>
      <c r="AC50" s="167" t="n">
        <f aca="false">AC12+AC47</f>
        <v>0</v>
      </c>
      <c r="AD50" s="167" t="n">
        <f aca="false">AD12+AD47</f>
        <v>19666.9</v>
      </c>
      <c r="AE50" s="494" t="n">
        <f aca="false">AE12+AE47</f>
        <v>260.1</v>
      </c>
      <c r="AF50" s="495" t="n">
        <f aca="false">AF12+AF47</f>
        <v>198.9</v>
      </c>
      <c r="AG50" s="167"/>
      <c r="AH50" s="431"/>
      <c r="AI50" s="167" t="n">
        <f aca="false">AI12+AI47</f>
        <v>0</v>
      </c>
      <c r="AJ50" s="167" t="n">
        <f aca="false">AJ12+AJ47</f>
        <v>101263.7</v>
      </c>
      <c r="AK50" s="167" t="n">
        <f aca="false">AK12+AK47</f>
        <v>2258.90244517267</v>
      </c>
      <c r="AL50" s="167" t="n">
        <f aca="false">AL12+AL47</f>
        <v>103522.602445173</v>
      </c>
      <c r="AM50" s="496"/>
      <c r="AN50" s="173"/>
      <c r="AO50" s="173"/>
      <c r="AP50" s="8"/>
      <c r="AQ50" s="130" t="n">
        <f aca="false">AQ12+AQ47</f>
        <v>2902.2005</v>
      </c>
      <c r="AR50" s="200" t="n">
        <f aca="false">AR12+AR47</f>
        <v>743.64</v>
      </c>
      <c r="AS50" s="200" t="n">
        <f aca="false">AS12+AS47</f>
        <v>0</v>
      </c>
      <c r="AT50" s="130" t="n">
        <f aca="false">AT12+AT47</f>
        <v>0</v>
      </c>
      <c r="AU50" s="497"/>
      <c r="AV50" s="172" t="n">
        <f aca="false">MIN(AV15:AV45)</f>
        <v>74</v>
      </c>
      <c r="AW50" s="172" t="n">
        <f aca="false">MIN(AW15:AW45)</f>
        <v>46</v>
      </c>
      <c r="AX50" s="519" t="s">
        <v>104</v>
      </c>
      <c r="AY50" s="499" t="n">
        <f aca="false">AY12+AY47</f>
        <v>295.687107</v>
      </c>
    </row>
    <row r="51" customFormat="false" ht="12.95" hidden="false" customHeight="true" outlineLevel="0" collapsed="false">
      <c r="A51" s="175" t="s">
        <v>105</v>
      </c>
      <c r="B51" s="492"/>
      <c r="D51" s="167"/>
      <c r="F51" s="262" t="n">
        <f aca="false">F50*$D$2</f>
        <v>58525</v>
      </c>
      <c r="G51" s="167" t="n">
        <f aca="false">G50*$D$2</f>
        <v>224476.662</v>
      </c>
      <c r="H51" s="167" t="n">
        <f aca="false">H50*$D$2</f>
        <v>10514.1368</v>
      </c>
      <c r="I51" s="167" t="n">
        <f aca="false">I50*$D$2</f>
        <v>234990.7988</v>
      </c>
      <c r="J51" s="167" t="n">
        <f aca="false">J50*$D$2</f>
        <v>28871.28315</v>
      </c>
      <c r="K51" s="167" t="n">
        <f aca="false">K50*$D$2</f>
        <v>263862.08195</v>
      </c>
      <c r="L51" s="167" t="n">
        <f aca="false">L50*$D$2</f>
        <v>24390.75015</v>
      </c>
      <c r="M51" s="494" t="n">
        <f aca="false">M50*$D$2</f>
        <v>69939.99515</v>
      </c>
      <c r="N51" s="167" t="n">
        <f aca="false">N50*$D$2</f>
        <v>568.251217124</v>
      </c>
      <c r="O51" s="167" t="n">
        <f aca="false">O50*$D$2</f>
        <v>22795.14862275</v>
      </c>
      <c r="P51" s="8" t="n">
        <f aca="false">P50*$D$2</f>
        <v>14.499385</v>
      </c>
      <c r="Q51" s="172"/>
      <c r="R51" s="172"/>
      <c r="S51" s="172"/>
      <c r="T51" s="493"/>
      <c r="U51" s="167" t="n">
        <f aca="false">U50*$D$2</f>
        <v>30936.6495</v>
      </c>
      <c r="V51" s="167" t="n">
        <f aca="false">V50*$D$2</f>
        <v>16699.28485</v>
      </c>
      <c r="W51" s="167" t="n">
        <f aca="false">W50*$D$2</f>
        <v>96754.989996636</v>
      </c>
      <c r="X51" s="102" t="n">
        <f aca="false">X50*$D$2</f>
        <v>96754.989996636</v>
      </c>
      <c r="Y51" s="78" t="n">
        <f aca="false">Y50*$D$2</f>
        <v>1493.31914849299</v>
      </c>
      <c r="Z51" s="102"/>
      <c r="AA51" s="167"/>
      <c r="AC51" s="167" t="n">
        <f aca="false">AC50*$D$2</f>
        <v>0</v>
      </c>
      <c r="AD51" s="167" t="n">
        <f aca="false">AD50*$D$2</f>
        <v>39009.29615</v>
      </c>
      <c r="AE51" s="494" t="n">
        <f aca="false">AE50*$D$2</f>
        <v>515.90835</v>
      </c>
      <c r="AF51" s="495" t="n">
        <f aca="false">AF50*$D$2</f>
        <v>394.51815</v>
      </c>
      <c r="AG51" s="167"/>
      <c r="AH51" s="167"/>
      <c r="AI51" s="167" t="n">
        <f aca="false">AI50*$D$2</f>
        <v>0</v>
      </c>
      <c r="AJ51" s="167" t="n">
        <f aca="false">AJ50*$D$2</f>
        <v>200856.54895</v>
      </c>
      <c r="AK51" s="167" t="n">
        <f aca="false">AK50*$D$2</f>
        <v>4480.533</v>
      </c>
      <c r="AL51" s="167" t="n">
        <f aca="false">AL50*$D$2</f>
        <v>205337.08195</v>
      </c>
      <c r="AM51" s="496"/>
      <c r="AN51" s="173"/>
      <c r="AO51" s="173"/>
      <c r="AP51" s="169" t="n">
        <f aca="false">AP12+AP48</f>
        <v>890.969350887754</v>
      </c>
      <c r="AQ51" s="130" t="n">
        <f aca="false">AQ50*$D$2</f>
        <v>5756.51469175</v>
      </c>
      <c r="AR51" s="200" t="n">
        <f aca="false">AR50*$D$2</f>
        <v>1475.00994</v>
      </c>
      <c r="AS51" s="200" t="n">
        <f aca="false">AS50*$D$2</f>
        <v>0</v>
      </c>
      <c r="AT51" s="130" t="n">
        <f aca="false">AT50*$D$2</f>
        <v>0</v>
      </c>
      <c r="AU51" s="497"/>
      <c r="AV51" s="172"/>
      <c r="AW51" s="172"/>
      <c r="AX51" s="280"/>
      <c r="AY51" s="499" t="n">
        <f aca="false">AY50*$D$2</f>
        <v>586.4953767345</v>
      </c>
    </row>
    <row r="52" customFormat="false" ht="3" hidden="false" customHeight="true" outlineLevel="0" collapsed="false">
      <c r="A52" s="216"/>
      <c r="B52" s="475"/>
      <c r="C52" s="476"/>
      <c r="D52" s="476"/>
      <c r="E52" s="476"/>
      <c r="F52" s="505"/>
      <c r="G52" s="476"/>
      <c r="H52" s="482"/>
      <c r="I52" s="476"/>
      <c r="J52" s="476"/>
      <c r="K52" s="476"/>
      <c r="L52" s="476"/>
      <c r="M52" s="520"/>
      <c r="N52" s="476"/>
      <c r="O52" s="476"/>
      <c r="P52" s="480"/>
      <c r="Q52" s="482"/>
      <c r="R52" s="482"/>
      <c r="S52" s="482"/>
      <c r="T52" s="481"/>
      <c r="U52" s="476"/>
      <c r="V52" s="476"/>
      <c r="W52" s="476"/>
      <c r="X52" s="218"/>
      <c r="Y52" s="476"/>
      <c r="Z52" s="218"/>
      <c r="AA52" s="476"/>
      <c r="AB52" s="476"/>
      <c r="AC52" s="476"/>
      <c r="AD52" s="476"/>
      <c r="AE52" s="243"/>
      <c r="AF52" s="244"/>
      <c r="AG52" s="476"/>
      <c r="AH52" s="476"/>
      <c r="AI52" s="476"/>
      <c r="AJ52" s="476"/>
      <c r="AK52" s="476"/>
      <c r="AL52" s="476"/>
      <c r="AM52" s="504"/>
      <c r="AN52" s="523"/>
      <c r="AO52" s="321"/>
      <c r="AP52" s="480"/>
      <c r="AQ52" s="480"/>
      <c r="AR52" s="321"/>
      <c r="AS52" s="321"/>
      <c r="AT52" s="503"/>
      <c r="AU52" s="504"/>
      <c r="AV52" s="523"/>
      <c r="AW52" s="523"/>
      <c r="AX52" s="505"/>
      <c r="AY52" s="506"/>
    </row>
    <row r="53" customFormat="false" ht="12.95" hidden="false" customHeight="true" outlineLevel="0" collapsed="false">
      <c r="A53" s="175" t="s">
        <v>106</v>
      </c>
      <c r="B53" s="492"/>
      <c r="D53" s="167"/>
      <c r="F53" s="262" t="n">
        <f aca="false">F13+F47</f>
        <v>25569.4479455508</v>
      </c>
      <c r="G53" s="167" t="n">
        <f aca="false">G13+G47</f>
        <v>119875</v>
      </c>
      <c r="H53" s="172" t="n">
        <f aca="false">H13+H47</f>
        <v>5529.39</v>
      </c>
      <c r="I53" s="167" t="n">
        <f aca="false">I13+I47</f>
        <v>125404.39</v>
      </c>
      <c r="J53" s="167" t="n">
        <f aca="false">J13+J47</f>
        <v>16298.091920847</v>
      </c>
      <c r="K53" s="167" t="n">
        <f aca="false">K13+K47</f>
        <v>141702.481920847</v>
      </c>
      <c r="L53" s="167" t="n">
        <f aca="false">L13+L47</f>
        <v>13130.2579455508</v>
      </c>
      <c r="M53" s="494" t="n">
        <f aca="false">M13+M47</f>
        <v>35956.3</v>
      </c>
      <c r="N53" s="167" t="n">
        <f aca="false">N13+N47</f>
        <v>286.489144</v>
      </c>
      <c r="O53" s="167" t="n">
        <f aca="false">O13+O47</f>
        <v>11492.3865</v>
      </c>
      <c r="Q53" s="172" t="n">
        <f aca="false">Q13+Q47</f>
        <v>622.38666</v>
      </c>
      <c r="R53" s="172" t="n">
        <f aca="false">R13+R47</f>
        <v>953.74</v>
      </c>
      <c r="S53" s="172" t="n">
        <f aca="false">S13+S47</f>
        <v>661.23</v>
      </c>
      <c r="T53" s="493" t="n">
        <f aca="false">T13+T47</f>
        <v>-22.57716</v>
      </c>
      <c r="U53" s="167" t="n">
        <f aca="false">U13+U47</f>
        <v>21988.6</v>
      </c>
      <c r="V53" s="167" t="n">
        <f aca="false">V13+V47</f>
        <v>8459.6</v>
      </c>
      <c r="W53" s="167" t="n">
        <f aca="false">W13+W47</f>
        <v>55300.764196</v>
      </c>
      <c r="X53" s="102" t="n">
        <f aca="false">X13+X47</f>
        <v>55260.264196</v>
      </c>
      <c r="Y53" s="167"/>
      <c r="Z53" s="102"/>
      <c r="AA53" s="167"/>
      <c r="AD53" s="167"/>
      <c r="AE53" s="201"/>
      <c r="AF53" s="203"/>
      <c r="AG53" s="167" t="n">
        <f aca="false">AG13+AG47</f>
        <v>26898</v>
      </c>
      <c r="AH53" s="167" t="n">
        <f aca="false">AH45</f>
        <v>8200.25787748929</v>
      </c>
      <c r="AI53" s="167" t="n">
        <f aca="false">AI13+AI47</f>
        <v>14493</v>
      </c>
      <c r="AJ53" s="167" t="n">
        <f aca="false">AJ13+AJ47</f>
        <v>112965.2</v>
      </c>
      <c r="AK53" s="167" t="n">
        <f aca="false">AK13+AK47</f>
        <v>3167.83397529619</v>
      </c>
      <c r="AL53" s="167" t="n">
        <f aca="false">AL13+AL47</f>
        <v>116133.033975296</v>
      </c>
      <c r="AM53" s="496"/>
      <c r="AN53" s="167" t="n">
        <f aca="false">AN13+AN47</f>
        <v>40.5</v>
      </c>
      <c r="AO53" s="173"/>
      <c r="AP53" s="8"/>
      <c r="AQ53" s="8"/>
      <c r="AR53" s="172"/>
      <c r="AS53" s="172" t="n">
        <f aca="false">AS12+AS47</f>
        <v>0</v>
      </c>
      <c r="AT53" s="169"/>
      <c r="AU53" s="497" t="n">
        <f aca="false">AU13+AU47</f>
        <v>10.25</v>
      </c>
      <c r="AV53" s="172"/>
      <c r="AW53" s="172"/>
      <c r="AX53" s="280"/>
      <c r="AY53" s="499" t="n">
        <f aca="false">AY13+AY47</f>
        <v>2515.434601</v>
      </c>
    </row>
    <row r="54" customFormat="false" ht="12.95" hidden="false" customHeight="true" outlineLevel="0" collapsed="false">
      <c r="A54" s="175" t="s">
        <v>107</v>
      </c>
      <c r="B54" s="492"/>
      <c r="D54" s="167" t="n">
        <f aca="false">D13+D48</f>
        <v>50717</v>
      </c>
      <c r="E54" s="167" t="n">
        <f aca="false">E45</f>
        <v>158060</v>
      </c>
      <c r="F54" s="262" t="n">
        <f aca="false">F53*$D$2</f>
        <v>50717</v>
      </c>
      <c r="G54" s="167" t="n">
        <f aca="false">G53*$D$2</f>
        <v>237772.0625</v>
      </c>
      <c r="H54" s="172" t="n">
        <f aca="false">H53*$D$2</f>
        <v>10967.545065</v>
      </c>
      <c r="I54" s="167" t="n">
        <f aca="false">I53*$D$2</f>
        <v>248739.607565</v>
      </c>
      <c r="J54" s="167" t="n">
        <f aca="false">J53*$D$2</f>
        <v>32327.265325</v>
      </c>
      <c r="K54" s="167" t="n">
        <f aca="false">K53*$D$2</f>
        <v>281066.87289</v>
      </c>
      <c r="L54" s="167" t="n">
        <f aca="false">L53*$D$2</f>
        <v>26043.866635</v>
      </c>
      <c r="M54" s="494" t="n">
        <f aca="false">M53*$D$2</f>
        <v>71319.32105</v>
      </c>
      <c r="N54" s="167" t="n">
        <f aca="false">N53*$D$2</f>
        <v>568.251217124</v>
      </c>
      <c r="O54" s="167" t="n">
        <f aca="false">O53*$D$2</f>
        <v>22795.14862275</v>
      </c>
      <c r="Q54" s="172" t="n">
        <f aca="false">Q53*$D$2</f>
        <v>1234.50394011</v>
      </c>
      <c r="R54" s="172" t="n">
        <f aca="false">R53*$D$2</f>
        <v>1891.74329</v>
      </c>
      <c r="S54" s="524" t="n">
        <f aca="false">S53*$D$2</f>
        <v>1311.549705</v>
      </c>
      <c r="T54" s="525" t="n">
        <f aca="false">T53*$D$2</f>
        <v>-44.78179686</v>
      </c>
      <c r="U54" s="167" t="n">
        <f aca="false">U53*$D$2</f>
        <v>43614.3881</v>
      </c>
      <c r="V54" s="167" t="n">
        <f aca="false">V53*$D$2</f>
        <v>16779.6166</v>
      </c>
      <c r="W54" s="167" t="n">
        <f aca="false">W53*$D$2</f>
        <v>109689.065782766</v>
      </c>
      <c r="X54" s="102" t="n">
        <f aca="false">X53*$D$2</f>
        <v>109608.734032766</v>
      </c>
      <c r="Y54" s="167"/>
      <c r="Z54" s="102"/>
      <c r="AA54" s="167"/>
      <c r="AD54" s="167"/>
      <c r="AE54" s="251"/>
      <c r="AF54" s="252"/>
      <c r="AG54" s="167" t="n">
        <f aca="false">AG53*$D$2</f>
        <v>53352.183</v>
      </c>
      <c r="AH54" s="167" t="n">
        <f aca="false">AH53*$D$2</f>
        <v>16265.2115</v>
      </c>
      <c r="AI54" s="167" t="n">
        <f aca="false">AI53*$D$2</f>
        <v>28746.8655</v>
      </c>
      <c r="AJ54" s="167" t="n">
        <f aca="false">AJ53*$D$2</f>
        <v>224066.4742</v>
      </c>
      <c r="AK54" s="167" t="n">
        <f aca="false">AK53*$D$2</f>
        <v>6283.39869</v>
      </c>
      <c r="AL54" s="167" t="n">
        <f aca="false">AL53*$D$2</f>
        <v>230349.87289</v>
      </c>
      <c r="AM54" s="496" t="n">
        <f aca="false">AM45</f>
        <v>14971.25965</v>
      </c>
      <c r="AN54" s="167" t="n">
        <f aca="false">AN53*$D$2</f>
        <v>80.33175</v>
      </c>
      <c r="AO54" s="173"/>
      <c r="AP54" s="169" t="n">
        <f aca="false">AP13+AP48</f>
        <v>890.969350887754</v>
      </c>
      <c r="AQ54" s="8"/>
      <c r="AR54" s="172"/>
      <c r="AS54" s="172" t="n">
        <f aca="false">AS53*$D$2</f>
        <v>0</v>
      </c>
      <c r="AT54" s="169"/>
      <c r="AU54" s="497"/>
      <c r="AV54" s="172"/>
      <c r="AW54" s="172"/>
      <c r="AX54" s="280"/>
      <c r="AY54" s="499" t="n">
        <f aca="false">AY53*$D$2</f>
        <v>4989.3645310835</v>
      </c>
    </row>
    <row r="55" customFormat="false" ht="3" hidden="false" customHeight="true" outlineLevel="0" collapsed="false">
      <c r="A55" s="216"/>
      <c r="B55" s="475"/>
      <c r="C55" s="476"/>
      <c r="D55" s="216"/>
      <c r="E55" s="476"/>
      <c r="F55" s="477"/>
      <c r="G55" s="216"/>
      <c r="H55" s="501"/>
      <c r="I55" s="216"/>
      <c r="J55" s="216"/>
      <c r="K55" s="526"/>
      <c r="L55" s="216"/>
      <c r="M55" s="479"/>
      <c r="N55" s="216"/>
      <c r="O55" s="216"/>
      <c r="P55" s="480"/>
      <c r="Q55" s="480"/>
      <c r="R55" s="481"/>
      <c r="S55" s="480"/>
      <c r="T55" s="481"/>
      <c r="U55" s="216"/>
      <c r="V55" s="216"/>
      <c r="W55" s="216"/>
      <c r="X55" s="216"/>
      <c r="Y55" s="476"/>
      <c r="Z55" s="216"/>
      <c r="AA55" s="476"/>
      <c r="AB55" s="476"/>
      <c r="AC55" s="476"/>
      <c r="AD55" s="216"/>
      <c r="AE55" s="222"/>
      <c r="AF55" s="226"/>
      <c r="AG55" s="216"/>
      <c r="AH55" s="476"/>
      <c r="AI55" s="476"/>
      <c r="AJ55" s="216"/>
      <c r="AK55" s="216"/>
      <c r="AL55" s="216"/>
      <c r="AM55" s="475"/>
      <c r="AN55" s="216"/>
      <c r="AO55" s="321"/>
      <c r="AP55" s="480"/>
      <c r="AQ55" s="480"/>
      <c r="AR55" s="503"/>
      <c r="AS55" s="503"/>
      <c r="AT55" s="503"/>
      <c r="AU55" s="475"/>
      <c r="AV55" s="216"/>
      <c r="AW55" s="216"/>
      <c r="AX55" s="505"/>
      <c r="AY55" s="506"/>
    </row>
    <row r="56" customFormat="false" ht="11.1" hidden="false" customHeight="true" outlineLevel="0" collapsed="false">
      <c r="A56" s="527"/>
      <c r="B56" s="163"/>
      <c r="C56" s="2"/>
      <c r="D56" s="11"/>
      <c r="E56" s="456"/>
      <c r="F56" s="1"/>
      <c r="G56" s="1"/>
      <c r="H56" s="3"/>
      <c r="I56" s="11"/>
      <c r="J56" s="11"/>
      <c r="K56" s="457"/>
      <c r="L56" s="167"/>
      <c r="M56" s="11"/>
      <c r="N56" s="11"/>
      <c r="O56" s="11"/>
      <c r="P56" s="5"/>
      <c r="Q56" s="5"/>
      <c r="R56" s="5"/>
      <c r="S56" s="5"/>
      <c r="T56" s="5"/>
      <c r="U56" s="11"/>
      <c r="V56" s="11"/>
      <c r="W56" s="11"/>
      <c r="X56" s="11"/>
      <c r="Y56" s="1"/>
      <c r="Z56" s="11"/>
      <c r="AA56" s="1"/>
      <c r="AB56" s="1"/>
      <c r="AC56" s="1"/>
      <c r="AD56" s="11"/>
      <c r="AE56" s="11"/>
      <c r="AF56" s="11"/>
      <c r="AG56" s="11"/>
      <c r="AH56" s="456"/>
      <c r="AI56" s="459"/>
      <c r="AJ56" s="456"/>
      <c r="AK56" s="175"/>
      <c r="AL56" s="175"/>
      <c r="AM56" s="397"/>
      <c r="AN56" s="397"/>
      <c r="AP56" s="369"/>
      <c r="AQ56" s="369"/>
      <c r="AR56" s="398"/>
      <c r="AU56" s="8"/>
      <c r="AV56" s="172"/>
      <c r="AW56" s="172"/>
    </row>
    <row r="57" customFormat="false" ht="11.1" hidden="false" customHeight="true" outlineLevel="0" collapsed="false">
      <c r="A57" s="175"/>
      <c r="B57" s="528"/>
      <c r="C57" s="2"/>
      <c r="D57" s="1"/>
      <c r="E57" s="367"/>
      <c r="F57" s="178"/>
      <c r="G57" s="1"/>
      <c r="H57" s="3"/>
      <c r="I57" s="12"/>
      <c r="J57" s="11"/>
      <c r="K57" s="164"/>
      <c r="L57" s="169"/>
      <c r="M57" s="11"/>
      <c r="N57" s="11"/>
      <c r="O57" s="2"/>
      <c r="P57" s="5"/>
      <c r="Q57" s="5"/>
      <c r="R57" s="89"/>
      <c r="S57" s="89"/>
      <c r="T57" s="89"/>
      <c r="U57" s="26"/>
      <c r="V57" s="125"/>
      <c r="W57" s="460"/>
      <c r="X57" s="460"/>
      <c r="Y57" s="167"/>
      <c r="Z57" s="460"/>
      <c r="AA57" s="167"/>
      <c r="AB57" s="80"/>
      <c r="AC57" s="80"/>
      <c r="AD57" s="2"/>
      <c r="AE57" s="2"/>
      <c r="AF57" s="2"/>
      <c r="AG57" s="11"/>
      <c r="AH57" s="2"/>
      <c r="AI57" s="100"/>
      <c r="AJ57" s="2"/>
      <c r="AK57" s="175"/>
      <c r="AL57" s="8"/>
      <c r="AM57" s="529"/>
      <c r="AN57" s="529"/>
      <c r="AP57" s="369"/>
      <c r="AQ57" s="369"/>
      <c r="AR57" s="398"/>
      <c r="AU57" s="172"/>
      <c r="AV57" s="172"/>
      <c r="AW57" s="172"/>
    </row>
    <row r="58" customFormat="false" ht="11.1" hidden="false" customHeight="true" outlineLevel="0" collapsed="false">
      <c r="B58" s="167"/>
      <c r="E58" s="367"/>
      <c r="F58" s="210"/>
      <c r="G58" s="1"/>
      <c r="H58" s="3"/>
      <c r="I58" s="1"/>
      <c r="J58" s="1"/>
      <c r="K58" s="368"/>
      <c r="L58" s="431"/>
      <c r="M58" s="4"/>
      <c r="N58" s="4"/>
      <c r="O58" s="367"/>
      <c r="P58" s="463"/>
      <c r="Q58" s="463"/>
      <c r="R58" s="89"/>
      <c r="S58" s="89"/>
      <c r="T58" s="89"/>
      <c r="U58" s="26"/>
      <c r="V58" s="125"/>
      <c r="W58" s="86"/>
      <c r="X58" s="86"/>
      <c r="Y58" s="167"/>
      <c r="Z58" s="86"/>
      <c r="AA58" s="167"/>
      <c r="AD58" s="167"/>
      <c r="AE58" s="167"/>
      <c r="AF58" s="167"/>
      <c r="AG58" s="2"/>
      <c r="AH58" s="26"/>
      <c r="AI58" s="464"/>
      <c r="AJ58" s="26"/>
      <c r="AK58" s="166"/>
      <c r="AL58" s="8"/>
      <c r="AM58" s="170"/>
      <c r="AN58" s="170"/>
      <c r="AP58" s="369"/>
      <c r="AQ58" s="369"/>
      <c r="AR58" s="398"/>
      <c r="AU58" s="172"/>
      <c r="AV58" s="172"/>
      <c r="AW58" s="173"/>
    </row>
    <row r="59" customFormat="false" ht="11.1" hidden="false" customHeight="true" outlineLevel="0" collapsed="false">
      <c r="D59" s="167"/>
      <c r="E59" s="367"/>
      <c r="F59" s="1"/>
      <c r="G59" s="1"/>
      <c r="H59" s="167"/>
      <c r="I59" s="1"/>
      <c r="J59" s="1"/>
      <c r="K59" s="368"/>
      <c r="L59" s="172"/>
      <c r="M59" s="4"/>
      <c r="N59" s="4"/>
      <c r="O59" s="172"/>
      <c r="Q59" s="8"/>
      <c r="R59" s="89"/>
      <c r="S59" s="89"/>
      <c r="T59" s="89"/>
      <c r="U59" s="26"/>
      <c r="V59" s="26"/>
      <c r="W59" s="86"/>
      <c r="X59" s="86"/>
      <c r="Y59" s="172"/>
      <c r="Z59" s="86"/>
      <c r="AA59" s="172"/>
      <c r="AB59" s="172"/>
      <c r="AC59" s="172"/>
      <c r="AD59" s="167"/>
      <c r="AE59" s="167"/>
      <c r="AF59" s="167"/>
      <c r="AG59" s="2"/>
      <c r="AH59" s="167"/>
      <c r="AI59" s="210"/>
      <c r="AJ59" s="167"/>
      <c r="AK59" s="166"/>
      <c r="AL59" s="367"/>
      <c r="AM59" s="170"/>
      <c r="AN59" s="170"/>
      <c r="AP59" s="369"/>
      <c r="AQ59" s="369"/>
      <c r="AR59" s="398"/>
      <c r="AU59" s="172"/>
      <c r="AV59" s="172"/>
      <c r="AW59" s="173"/>
    </row>
    <row r="60" customFormat="false" ht="11.1" hidden="false" customHeight="true" outlineLevel="0" collapsed="false">
      <c r="G60" s="258"/>
      <c r="Q60" s="8"/>
      <c r="R60" s="8"/>
      <c r="S60" s="8"/>
      <c r="V60" s="166"/>
      <c r="W60" s="1"/>
      <c r="X60" s="1"/>
      <c r="Y60" s="167"/>
      <c r="Z60" s="1"/>
      <c r="AA60" s="167"/>
      <c r="AG60" s="167"/>
      <c r="AJ60" s="166"/>
      <c r="AK60" s="166"/>
      <c r="AL60" s="8"/>
      <c r="AM60" s="170"/>
      <c r="AN60" s="170"/>
      <c r="AP60" s="369"/>
      <c r="AQ60" s="369"/>
      <c r="AR60" s="398"/>
      <c r="AU60" s="168"/>
      <c r="AV60" s="172"/>
      <c r="AW60" s="173"/>
    </row>
    <row r="61" customFormat="false" ht="11.1" hidden="false" customHeight="true" outlineLevel="0" collapsed="false">
      <c r="Q61" s="8"/>
      <c r="R61" s="8"/>
      <c r="S61" s="8"/>
      <c r="V61" s="166"/>
      <c r="W61" s="167"/>
      <c r="X61" s="167"/>
      <c r="Y61" s="167"/>
      <c r="Z61" s="167"/>
      <c r="AA61" s="167"/>
      <c r="AG61" s="167"/>
      <c r="AJ61" s="166"/>
      <c r="AK61" s="166"/>
      <c r="AL61" s="8"/>
      <c r="AM61" s="170"/>
      <c r="AN61" s="170"/>
      <c r="AP61" s="369"/>
      <c r="AQ61" s="369"/>
      <c r="AR61" s="398"/>
      <c r="AU61" s="168"/>
      <c r="AV61" s="172"/>
      <c r="AW61" s="173"/>
    </row>
    <row r="62" customFormat="false" ht="11.1" hidden="false" customHeight="true" outlineLevel="0" collapsed="false">
      <c r="Q62" s="8"/>
      <c r="R62" s="8"/>
      <c r="S62" s="8"/>
      <c r="V62" s="166"/>
      <c r="W62" s="167"/>
      <c r="X62" s="167"/>
      <c r="Y62" s="167"/>
      <c r="Z62" s="167"/>
      <c r="AA62" s="167"/>
      <c r="AG62" s="167"/>
      <c r="AJ62" s="166"/>
      <c r="AK62" s="166"/>
      <c r="AL62" s="8"/>
      <c r="AM62" s="170"/>
      <c r="AN62" s="170"/>
      <c r="AP62" s="369"/>
      <c r="AQ62" s="369"/>
      <c r="AR62" s="398"/>
      <c r="AU62" s="168"/>
      <c r="AV62" s="172"/>
      <c r="AW62" s="173"/>
    </row>
    <row r="63" customFormat="false" ht="11.1" hidden="false" customHeight="true" outlineLevel="0" collapsed="false">
      <c r="W63" s="167"/>
      <c r="X63" s="167"/>
      <c r="Z63" s="167"/>
    </row>
  </sheetData>
  <mergeCells count="3">
    <mergeCell ref="K2:X2"/>
    <mergeCell ref="Y2:AC2"/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G5" activeCellId="0" sqref="G5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32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7.32"/>
    <col collapsed="false" customWidth="true" hidden="false" outlineLevel="0" max="7" min="7" style="166" width="6.82"/>
    <col collapsed="false" customWidth="true" hidden="false" outlineLevel="0" max="8" min="8" style="176" width="5.66"/>
    <col collapsed="false" customWidth="true" hidden="false" outlineLevel="0" max="11" min="9" style="166" width="6.32"/>
    <col collapsed="false" customWidth="true" hidden="false" outlineLevel="0" max="12" min="12" style="166" width="7.16"/>
    <col collapsed="false" customWidth="true" hidden="false" outlineLevel="0" max="13" min="13" style="169" width="5.49"/>
    <col collapsed="false" customWidth="true" hidden="false" outlineLevel="0" max="14" min="14" style="169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9" min="17" style="8" width="4.32"/>
    <col collapsed="false" customWidth="true" hidden="false" outlineLevel="0" max="20" min="20" style="8" width="5.49"/>
    <col collapsed="false" customWidth="true" hidden="false" outlineLevel="0" max="21" min="21" style="166" width="5.49"/>
    <col collapsed="false" customWidth="true" hidden="false" outlineLevel="0" max="22" min="22" style="167" width="5.49"/>
    <col collapsed="false" customWidth="true" hidden="false" outlineLevel="0" max="24" min="23" style="166" width="6.32"/>
    <col collapsed="false" customWidth="true" hidden="false" outlineLevel="0" max="25" min="25" style="166" width="5.49"/>
    <col collapsed="false" customWidth="true" hidden="false" outlineLevel="0" max="26" min="26" style="166" width="6.32"/>
    <col collapsed="false" customWidth="true" hidden="false" outlineLevel="0" max="27" min="27" style="166" width="5.49"/>
    <col collapsed="false" customWidth="true" hidden="false" outlineLevel="0" max="29" min="28" style="167" width="5.49"/>
    <col collapsed="false" customWidth="true" hidden="false" outlineLevel="0" max="32" min="30" style="166" width="5.49"/>
    <col collapsed="false" customWidth="true" hidden="false" outlineLevel="0" max="33" min="33" style="166" width="6.49"/>
    <col collapsed="false" customWidth="true" hidden="false" outlineLevel="0" max="34" min="34" style="166" width="5.49"/>
    <col collapsed="false" customWidth="true" hidden="false" outlineLevel="0" max="35" min="35" style="170" width="6.32"/>
    <col collapsed="false" customWidth="true" hidden="false" outlineLevel="0" max="36" min="36" style="8" width="6.32"/>
    <col collapsed="false" customWidth="true" hidden="false" outlineLevel="0" max="37" min="37" style="168" width="6.99"/>
    <col collapsed="false" customWidth="true" hidden="false" outlineLevel="0" max="38" min="38" style="172" width="6.99"/>
    <col collapsed="false" customWidth="true" hidden="false" outlineLevel="0" max="40" min="39" style="166" width="5.49"/>
    <col collapsed="false" customWidth="true" hidden="false" outlineLevel="0" max="41" min="41" style="169" width="6.32"/>
    <col collapsed="false" customWidth="true" hidden="false" outlineLevel="0" max="43" min="42" style="8" width="6.32"/>
    <col collapsed="false" customWidth="true" hidden="false" outlineLevel="0" max="44" min="44" style="166" width="6.32"/>
    <col collapsed="false" customWidth="true" hidden="false" outlineLevel="0" max="45" min="45" style="166" width="5.82"/>
    <col collapsed="false" customWidth="true" hidden="false" outlineLevel="0" max="46" min="46" style="169" width="4.99"/>
    <col collapsed="false" customWidth="true" hidden="false" outlineLevel="0" max="47" min="47" style="173" width="5.32"/>
    <col collapsed="false" customWidth="true" hidden="false" outlineLevel="0" max="48" min="48" style="166" width="3.82"/>
    <col collapsed="false" customWidth="true" hidden="false" outlineLevel="0" max="49" min="49" style="8" width="3.82"/>
    <col collapsed="false" customWidth="true" hidden="false" outlineLevel="0" max="50" min="50" style="174" width="4.32"/>
    <col collapsed="false" customWidth="true" hidden="false" outlineLevel="0" max="51" min="51" style="174" width="6.49"/>
    <col collapsed="false" customWidth="false" hidden="false" outlineLevel="0" max="257" min="52" style="174" width="9.32"/>
  </cols>
  <sheetData>
    <row r="1" customFormat="false" ht="14.1" hidden="false" customHeight="true" outlineLevel="0" collapsed="false">
      <c r="A1" s="175"/>
      <c r="B1" s="175"/>
      <c r="D1" s="175"/>
      <c r="F1" s="175"/>
      <c r="G1" s="175"/>
      <c r="I1" s="175"/>
      <c r="J1" s="175"/>
      <c r="K1" s="177" t="s">
        <v>0</v>
      </c>
      <c r="L1" s="175"/>
      <c r="M1" s="175"/>
      <c r="N1" s="175"/>
      <c r="O1" s="175"/>
      <c r="U1" s="175"/>
      <c r="V1" s="175"/>
      <c r="W1" s="167"/>
      <c r="X1" s="167"/>
      <c r="Y1" s="175"/>
      <c r="Z1" s="167"/>
      <c r="AA1" s="175"/>
      <c r="AB1" s="175"/>
      <c r="AC1" s="175"/>
      <c r="AD1" s="175"/>
      <c r="AE1" s="175"/>
      <c r="AF1" s="175"/>
      <c r="AG1" s="167"/>
      <c r="AH1" s="175"/>
      <c r="AI1" s="178"/>
      <c r="AJ1" s="175"/>
      <c r="AK1" s="175"/>
      <c r="AL1" s="8"/>
      <c r="AM1" s="178"/>
      <c r="AN1" s="178"/>
      <c r="AO1" s="311"/>
      <c r="AP1" s="310"/>
      <c r="AQ1" s="310"/>
      <c r="AU1" s="168"/>
      <c r="AV1" s="172"/>
      <c r="AW1" s="173"/>
    </row>
    <row r="2" customFormat="false" ht="14.1" hidden="false" customHeight="true" outlineLevel="0" collapsed="false">
      <c r="A2" s="178" t="s">
        <v>1</v>
      </c>
      <c r="B2" s="175"/>
      <c r="D2" s="179" t="n">
        <v>1.9835</v>
      </c>
      <c r="F2" s="175"/>
      <c r="G2" s="175"/>
      <c r="I2" s="175"/>
      <c r="J2" s="175"/>
      <c r="K2" s="180" t="s">
        <v>132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5"/>
      <c r="AE2" s="175"/>
      <c r="AF2" s="175"/>
      <c r="AG2" s="167"/>
      <c r="AH2" s="175"/>
      <c r="AI2" s="178"/>
      <c r="AJ2" s="175"/>
      <c r="AK2" s="175"/>
      <c r="AL2" s="8"/>
      <c r="AM2" s="178"/>
      <c r="AN2" s="178"/>
      <c r="AO2" s="311"/>
      <c r="AP2" s="310"/>
      <c r="AQ2" s="310"/>
      <c r="AU2" s="168"/>
      <c r="AV2" s="172"/>
      <c r="AW2" s="173"/>
    </row>
    <row r="3" customFormat="false" ht="14.1" hidden="false" customHeight="true" outlineLevel="0" collapsed="false">
      <c r="A3" s="181"/>
      <c r="B3" s="181"/>
      <c r="C3" s="182"/>
      <c r="D3" s="183"/>
      <c r="E3" s="182"/>
      <c r="F3" s="181"/>
      <c r="G3" s="181"/>
      <c r="H3" s="184"/>
      <c r="I3" s="181"/>
      <c r="J3" s="181"/>
      <c r="K3" s="181"/>
      <c r="L3" s="181"/>
      <c r="M3" s="181"/>
      <c r="N3" s="181"/>
      <c r="O3" s="181"/>
      <c r="P3" s="185"/>
      <c r="Q3" s="185"/>
      <c r="R3" s="185"/>
      <c r="S3" s="185"/>
      <c r="T3" s="185"/>
      <c r="U3" s="181"/>
      <c r="V3" s="181"/>
      <c r="W3" s="182"/>
      <c r="X3" s="182"/>
      <c r="Y3" s="181"/>
      <c r="Z3" s="182"/>
      <c r="AA3" s="181"/>
      <c r="AB3" s="181"/>
      <c r="AC3" s="181"/>
      <c r="AD3" s="181"/>
      <c r="AE3" s="181"/>
      <c r="AF3" s="181"/>
      <c r="AG3" s="182"/>
      <c r="AH3" s="181"/>
      <c r="AI3" s="187"/>
      <c r="AJ3" s="181"/>
      <c r="AK3" s="181"/>
      <c r="AL3" s="185"/>
      <c r="AM3" s="187"/>
      <c r="AN3" s="187"/>
      <c r="AO3" s="314"/>
      <c r="AP3" s="313"/>
      <c r="AQ3" s="310"/>
      <c r="AR3" s="268"/>
      <c r="AU3" s="190"/>
      <c r="AV3" s="191"/>
      <c r="AW3" s="192"/>
    </row>
    <row r="4" s="166" customFormat="true" ht="14.1" hidden="false" customHeight="true" outlineLevel="0" collapsed="false">
      <c r="A4" s="175"/>
      <c r="B4" s="374"/>
      <c r="C4" s="375"/>
      <c r="D4" s="376" t="s">
        <v>3</v>
      </c>
      <c r="E4" s="375"/>
      <c r="F4" s="485"/>
      <c r="G4" s="175"/>
      <c r="H4" s="176"/>
      <c r="I4" s="175"/>
      <c r="J4" s="175"/>
      <c r="K4" s="175"/>
      <c r="L4" s="175"/>
      <c r="M4" s="175"/>
      <c r="N4" s="175"/>
      <c r="O4" s="175"/>
      <c r="P4" s="8"/>
      <c r="Q4" s="8"/>
      <c r="R4" s="8"/>
      <c r="S4" s="8"/>
      <c r="T4" s="8"/>
      <c r="U4" s="383" t="s">
        <v>4</v>
      </c>
      <c r="V4" s="175"/>
      <c r="W4" s="167"/>
      <c r="X4" s="167"/>
      <c r="Y4" s="175"/>
      <c r="Z4" s="167"/>
      <c r="AA4" s="175"/>
      <c r="AB4" s="175"/>
      <c r="AC4" s="175"/>
      <c r="AD4" s="175"/>
      <c r="AE4" s="175"/>
      <c r="AF4" s="175"/>
      <c r="AG4" s="167"/>
      <c r="AH4" s="175"/>
      <c r="AI4" s="178"/>
      <c r="AJ4" s="175"/>
      <c r="AK4" s="175"/>
      <c r="AL4" s="8"/>
      <c r="AM4" s="374"/>
      <c r="AN4" s="175"/>
      <c r="AO4" s="530" t="s">
        <v>5</v>
      </c>
      <c r="AP4" s="530"/>
      <c r="AQ4" s="531"/>
      <c r="AR4" s="532"/>
      <c r="AS4" s="533"/>
      <c r="AT4" s="377"/>
      <c r="AU4" s="384"/>
      <c r="AV4" s="385" t="s">
        <v>6</v>
      </c>
      <c r="AW4" s="386"/>
      <c r="AX4" s="387"/>
      <c r="AY4" s="388"/>
    </row>
    <row r="5" customFormat="false" ht="12.95" hidden="false" customHeight="true" outlineLevel="0" collapsed="false">
      <c r="A5" s="308" t="s">
        <v>7</v>
      </c>
      <c r="B5" s="389" t="s">
        <v>8</v>
      </c>
      <c r="C5" s="390" t="s">
        <v>8</v>
      </c>
      <c r="D5" s="308" t="s">
        <v>9</v>
      </c>
      <c r="E5" s="390" t="s">
        <v>10</v>
      </c>
      <c r="F5" s="308" t="s">
        <v>11</v>
      </c>
      <c r="G5" s="391" t="s">
        <v>12</v>
      </c>
      <c r="H5" s="392" t="s">
        <v>13</v>
      </c>
      <c r="I5" s="393" t="s">
        <v>14</v>
      </c>
      <c r="J5" s="393" t="s">
        <v>15</v>
      </c>
      <c r="K5" s="393" t="s">
        <v>16</v>
      </c>
      <c r="L5" s="308" t="s">
        <v>15</v>
      </c>
      <c r="M5" s="394" t="s">
        <v>17</v>
      </c>
      <c r="N5" s="394"/>
      <c r="O5" s="394"/>
      <c r="P5" s="394"/>
      <c r="Q5" s="394"/>
      <c r="R5" s="394"/>
      <c r="S5" s="394"/>
      <c r="T5" s="394"/>
      <c r="U5" s="308" t="s">
        <v>18</v>
      </c>
      <c r="V5" s="308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390" t="s">
        <v>21</v>
      </c>
      <c r="AC5" s="390" t="s">
        <v>20</v>
      </c>
      <c r="AD5" s="308" t="s">
        <v>22</v>
      </c>
      <c r="AE5" s="395" t="s">
        <v>122</v>
      </c>
      <c r="AF5" s="396"/>
      <c r="AG5" s="397" t="s">
        <v>24</v>
      </c>
      <c r="AH5" s="390" t="s">
        <v>123</v>
      </c>
      <c r="AI5" s="390" t="s">
        <v>26</v>
      </c>
      <c r="AJ5" s="308" t="s">
        <v>14</v>
      </c>
      <c r="AK5" s="308" t="s">
        <v>15</v>
      </c>
      <c r="AL5" s="308" t="s">
        <v>16</v>
      </c>
      <c r="AM5" s="439" t="s">
        <v>27</v>
      </c>
      <c r="AN5" s="59" t="s">
        <v>20</v>
      </c>
      <c r="AO5" s="65" t="s">
        <v>28</v>
      </c>
      <c r="AP5" s="65" t="s">
        <v>28</v>
      </c>
      <c r="AQ5" s="60" t="s">
        <v>29</v>
      </c>
      <c r="AR5" s="66" t="s">
        <v>30</v>
      </c>
      <c r="AS5" s="398" t="s">
        <v>31</v>
      </c>
      <c r="AT5" s="195" t="s">
        <v>32</v>
      </c>
      <c r="AU5" s="399" t="s">
        <v>33</v>
      </c>
      <c r="AV5" s="397" t="s">
        <v>34</v>
      </c>
      <c r="AW5" s="397" t="s">
        <v>35</v>
      </c>
      <c r="AX5" s="280"/>
      <c r="AY5" s="277" t="s">
        <v>16</v>
      </c>
    </row>
    <row r="6" customFormat="false" ht="12.95" hidden="false" customHeight="true" outlineLevel="0" collapsed="false">
      <c r="A6" s="400" t="s">
        <v>133</v>
      </c>
      <c r="B6" s="389" t="s">
        <v>37</v>
      </c>
      <c r="C6" s="390"/>
      <c r="D6" s="308" t="s">
        <v>38</v>
      </c>
      <c r="E6" s="390" t="s">
        <v>39</v>
      </c>
      <c r="F6" s="308" t="s">
        <v>40</v>
      </c>
      <c r="G6" s="391" t="s">
        <v>41</v>
      </c>
      <c r="H6" s="392" t="s">
        <v>42</v>
      </c>
      <c r="I6" s="393" t="s">
        <v>43</v>
      </c>
      <c r="J6" s="393" t="s">
        <v>43</v>
      </c>
      <c r="K6" s="393" t="s">
        <v>43</v>
      </c>
      <c r="L6" s="308" t="s">
        <v>44</v>
      </c>
      <c r="M6" s="401" t="s">
        <v>45</v>
      </c>
      <c r="N6" s="67" t="s">
        <v>46</v>
      </c>
      <c r="O6" s="308" t="s">
        <v>47</v>
      </c>
      <c r="P6" s="67" t="s">
        <v>48</v>
      </c>
      <c r="Q6" s="308" t="s">
        <v>49</v>
      </c>
      <c r="R6" s="308" t="s">
        <v>50</v>
      </c>
      <c r="S6" s="308" t="s">
        <v>51</v>
      </c>
      <c r="T6" s="403" t="s">
        <v>52</v>
      </c>
      <c r="U6" s="308" t="s">
        <v>53</v>
      </c>
      <c r="V6" s="308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390" t="s">
        <v>57</v>
      </c>
      <c r="AC6" s="390" t="s">
        <v>58</v>
      </c>
      <c r="AD6" s="308" t="s">
        <v>59</v>
      </c>
      <c r="AE6" s="401"/>
      <c r="AF6" s="404"/>
      <c r="AG6" s="397" t="s">
        <v>62</v>
      </c>
      <c r="AH6" s="390" t="s">
        <v>63</v>
      </c>
      <c r="AI6" s="390"/>
      <c r="AJ6" s="308" t="s">
        <v>64</v>
      </c>
      <c r="AK6" s="308" t="s">
        <v>64</v>
      </c>
      <c r="AL6" s="308" t="s">
        <v>64</v>
      </c>
      <c r="AM6" s="439" t="s">
        <v>65</v>
      </c>
      <c r="AN6" s="59" t="s">
        <v>66</v>
      </c>
      <c r="AO6" s="65" t="s">
        <v>67</v>
      </c>
      <c r="AP6" s="65" t="s">
        <v>67</v>
      </c>
      <c r="AQ6" s="60" t="s">
        <v>68</v>
      </c>
      <c r="AR6" s="66" t="s">
        <v>69</v>
      </c>
      <c r="AS6" s="398" t="s">
        <v>70</v>
      </c>
      <c r="AT6" s="195" t="s">
        <v>71</v>
      </c>
      <c r="AU6" s="405"/>
      <c r="AV6" s="397" t="s">
        <v>72</v>
      </c>
      <c r="AW6" s="397" t="s">
        <v>72</v>
      </c>
      <c r="AX6" s="280"/>
      <c r="AY6" s="277" t="s">
        <v>73</v>
      </c>
    </row>
    <row r="7" customFormat="false" ht="12.95" hidden="false" customHeight="true" outlineLevel="0" collapsed="false">
      <c r="A7" s="308"/>
      <c r="B7" s="389"/>
      <c r="C7" s="390"/>
      <c r="D7" s="308"/>
      <c r="E7" s="390"/>
      <c r="F7" s="308"/>
      <c r="G7" s="389"/>
      <c r="H7" s="398"/>
      <c r="I7" s="308"/>
      <c r="J7" s="308"/>
      <c r="K7" s="308"/>
      <c r="L7" s="308"/>
      <c r="M7" s="401"/>
      <c r="N7" s="67" t="s">
        <v>74</v>
      </c>
      <c r="O7" s="308" t="s">
        <v>75</v>
      </c>
      <c r="P7" s="67"/>
      <c r="Q7" s="308"/>
      <c r="R7" s="308"/>
      <c r="S7" s="308" t="s">
        <v>47</v>
      </c>
      <c r="T7" s="403" t="s">
        <v>26</v>
      </c>
      <c r="U7" s="308"/>
      <c r="V7" s="308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390"/>
      <c r="AC7" s="390"/>
      <c r="AD7" s="308"/>
      <c r="AE7" s="406"/>
      <c r="AF7" s="407"/>
      <c r="AG7" s="397"/>
      <c r="AH7" s="390"/>
      <c r="AI7" s="390"/>
      <c r="AJ7" s="308"/>
      <c r="AK7" s="308"/>
      <c r="AL7" s="308"/>
      <c r="AM7" s="439"/>
      <c r="AN7" s="59" t="s">
        <v>40</v>
      </c>
      <c r="AO7" s="65" t="s">
        <v>81</v>
      </c>
      <c r="AP7" s="65" t="s">
        <v>82</v>
      </c>
      <c r="AQ7" s="60" t="s">
        <v>83</v>
      </c>
      <c r="AR7" s="66" t="s">
        <v>84</v>
      </c>
      <c r="AS7" s="398" t="s">
        <v>85</v>
      </c>
      <c r="AT7" s="195" t="s">
        <v>86</v>
      </c>
      <c r="AU7" s="405"/>
      <c r="AV7" s="397"/>
      <c r="AW7" s="397"/>
      <c r="AX7" s="280"/>
      <c r="AY7" s="277" t="s">
        <v>87</v>
      </c>
    </row>
    <row r="8" customFormat="false" ht="12.95" hidden="false" customHeight="true" outlineLevel="0" collapsed="false">
      <c r="A8" s="308"/>
      <c r="B8" s="389"/>
      <c r="C8" s="390"/>
      <c r="D8" s="308"/>
      <c r="E8" s="390"/>
      <c r="F8" s="308"/>
      <c r="G8" s="389"/>
      <c r="H8" s="398"/>
      <c r="I8" s="308"/>
      <c r="J8" s="308"/>
      <c r="K8" s="308"/>
      <c r="L8" s="308"/>
      <c r="M8" s="401"/>
      <c r="N8" s="67"/>
      <c r="O8" s="390" t="n">
        <f aca="false">24517+4000</f>
        <v>28517</v>
      </c>
      <c r="P8" s="67"/>
      <c r="Q8" s="308"/>
      <c r="R8" s="308"/>
      <c r="S8" s="308"/>
      <c r="T8" s="403"/>
      <c r="U8" s="308"/>
      <c r="V8" s="308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390"/>
      <c r="AC8" s="390"/>
      <c r="AD8" s="308"/>
      <c r="AE8" s="406"/>
      <c r="AF8" s="407"/>
      <c r="AG8" s="397"/>
      <c r="AH8" s="390"/>
      <c r="AI8" s="390"/>
      <c r="AJ8" s="308"/>
      <c r="AK8" s="308"/>
      <c r="AL8" s="308"/>
      <c r="AM8" s="439"/>
      <c r="AN8" s="59"/>
      <c r="AO8" s="65"/>
      <c r="AP8" s="65"/>
      <c r="AQ8" s="60"/>
      <c r="AR8" s="66"/>
      <c r="AS8" s="398"/>
      <c r="AT8" s="195"/>
      <c r="AU8" s="405"/>
      <c r="AV8" s="397"/>
      <c r="AW8" s="397"/>
      <c r="AX8" s="280"/>
      <c r="AY8" s="277"/>
    </row>
    <row r="9" customFormat="false" ht="12.95" hidden="false" customHeight="true" outlineLevel="0" collapsed="false">
      <c r="A9" s="308"/>
      <c r="B9" s="389"/>
      <c r="C9" s="390"/>
      <c r="D9" s="308"/>
      <c r="E9" s="390"/>
      <c r="F9" s="308"/>
      <c r="G9" s="389"/>
      <c r="H9" s="398"/>
      <c r="I9" s="308"/>
      <c r="J9" s="308"/>
      <c r="K9" s="308"/>
      <c r="L9" s="308"/>
      <c r="M9" s="401"/>
      <c r="N9" s="67"/>
      <c r="O9" s="390"/>
      <c r="P9" s="67"/>
      <c r="Q9" s="308"/>
      <c r="R9" s="308"/>
      <c r="S9" s="308"/>
      <c r="T9" s="403"/>
      <c r="U9" s="308"/>
      <c r="V9" s="308"/>
      <c r="W9" s="63"/>
      <c r="X9" s="55" t="s">
        <v>88</v>
      </c>
      <c r="Y9" s="59"/>
      <c r="Z9" s="55" t="s">
        <v>88</v>
      </c>
      <c r="AA9" s="59" t="s">
        <v>91</v>
      </c>
      <c r="AB9" s="390"/>
      <c r="AC9" s="390"/>
      <c r="AD9" s="308"/>
      <c r="AE9" s="406"/>
      <c r="AF9" s="407"/>
      <c r="AG9" s="397"/>
      <c r="AH9" s="390"/>
      <c r="AI9" s="390"/>
      <c r="AJ9" s="308"/>
      <c r="AK9" s="308"/>
      <c r="AL9" s="308"/>
      <c r="AM9" s="439"/>
      <c r="AN9" s="59"/>
      <c r="AO9" s="65"/>
      <c r="AP9" s="65"/>
      <c r="AQ9" s="60"/>
      <c r="AR9" s="66"/>
      <c r="AS9" s="398"/>
      <c r="AT9" s="195"/>
      <c r="AU9" s="405"/>
      <c r="AV9" s="397"/>
      <c r="AW9" s="397"/>
      <c r="AX9" s="280"/>
      <c r="AY9" s="277"/>
    </row>
    <row r="10" customFormat="false" ht="12.95" hidden="false" customHeight="true" outlineLevel="0" collapsed="false">
      <c r="A10" s="308"/>
      <c r="B10" s="389"/>
      <c r="C10" s="390" t="s">
        <v>9</v>
      </c>
      <c r="D10" s="308"/>
      <c r="E10" s="390" t="s">
        <v>93</v>
      </c>
      <c r="F10" s="308"/>
      <c r="G10" s="389" t="s">
        <v>40</v>
      </c>
      <c r="H10" s="398" t="s">
        <v>40</v>
      </c>
      <c r="I10" s="398" t="s">
        <v>40</v>
      </c>
      <c r="J10" s="398" t="s">
        <v>40</v>
      </c>
      <c r="K10" s="398" t="s">
        <v>40</v>
      </c>
      <c r="L10" s="398" t="s">
        <v>40</v>
      </c>
      <c r="M10" s="409" t="s">
        <v>40</v>
      </c>
      <c r="N10" s="398" t="s">
        <v>40</v>
      </c>
      <c r="O10" s="398" t="s">
        <v>40</v>
      </c>
      <c r="P10" s="398" t="s">
        <v>40</v>
      </c>
      <c r="Q10" s="398" t="s">
        <v>40</v>
      </c>
      <c r="R10" s="398" t="s">
        <v>40</v>
      </c>
      <c r="S10" s="308" t="s">
        <v>61</v>
      </c>
      <c r="T10" s="408" t="s">
        <v>40</v>
      </c>
      <c r="U10" s="398" t="s">
        <v>40</v>
      </c>
      <c r="V10" s="398" t="s">
        <v>40</v>
      </c>
      <c r="W10" s="55" t="n">
        <v>153400</v>
      </c>
      <c r="X10" s="55" t="n">
        <v>150400</v>
      </c>
      <c r="Y10" s="56" t="s">
        <v>40</v>
      </c>
      <c r="Z10" s="55"/>
      <c r="AA10" s="55" t="n">
        <v>72000</v>
      </c>
      <c r="AB10" s="398" t="s">
        <v>40</v>
      </c>
      <c r="AC10" s="398" t="s">
        <v>40</v>
      </c>
      <c r="AD10" s="398" t="s">
        <v>40</v>
      </c>
      <c r="AE10" s="409" t="s">
        <v>40</v>
      </c>
      <c r="AF10" s="408" t="s">
        <v>40</v>
      </c>
      <c r="AG10" s="398" t="s">
        <v>40</v>
      </c>
      <c r="AH10" s="398" t="s">
        <v>40</v>
      </c>
      <c r="AI10" s="398" t="s">
        <v>40</v>
      </c>
      <c r="AJ10" s="398" t="s">
        <v>40</v>
      </c>
      <c r="AK10" s="398" t="s">
        <v>40</v>
      </c>
      <c r="AL10" s="398" t="s">
        <v>40</v>
      </c>
      <c r="AM10" s="439" t="s">
        <v>93</v>
      </c>
      <c r="AN10" s="59" t="s">
        <v>40</v>
      </c>
      <c r="AO10" s="59" t="s">
        <v>40</v>
      </c>
      <c r="AP10" s="65" t="s">
        <v>94</v>
      </c>
      <c r="AQ10" s="60" t="s">
        <v>40</v>
      </c>
      <c r="AR10" s="59" t="s">
        <v>40</v>
      </c>
      <c r="AS10" s="59" t="s">
        <v>40</v>
      </c>
      <c r="AT10" s="59" t="s">
        <v>40</v>
      </c>
      <c r="AU10" s="405"/>
      <c r="AV10" s="397"/>
      <c r="AW10" s="397"/>
      <c r="AX10" s="280"/>
      <c r="AY10" s="277" t="s">
        <v>95</v>
      </c>
    </row>
    <row r="11" customFormat="false" ht="12.95" hidden="false" customHeight="true" outlineLevel="0" collapsed="false">
      <c r="A11" s="308"/>
      <c r="B11" s="389"/>
      <c r="C11" s="390"/>
      <c r="D11" s="308"/>
      <c r="E11" s="390"/>
      <c r="F11" s="308"/>
      <c r="G11" s="389"/>
      <c r="H11" s="398"/>
      <c r="I11" s="308"/>
      <c r="J11" s="308"/>
      <c r="K11" s="308"/>
      <c r="L11" s="308"/>
      <c r="M11" s="401"/>
      <c r="N11" s="67" t="n">
        <v>1.03</v>
      </c>
      <c r="O11" s="402" t="n">
        <v>1.05</v>
      </c>
      <c r="P11" s="67" t="n">
        <v>1.02</v>
      </c>
      <c r="Q11" s="402" t="n">
        <v>1.02</v>
      </c>
      <c r="R11" s="402" t="n">
        <v>1.04</v>
      </c>
      <c r="S11" s="398" t="s">
        <v>40</v>
      </c>
      <c r="T11" s="403"/>
      <c r="U11" s="308"/>
      <c r="V11" s="308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390"/>
      <c r="AC11" s="390"/>
      <c r="AD11" s="308"/>
      <c r="AE11" s="406"/>
      <c r="AF11" s="407"/>
      <c r="AG11" s="397"/>
      <c r="AH11" s="390"/>
      <c r="AI11" s="390"/>
      <c r="AJ11" s="308"/>
      <c r="AK11" s="308"/>
      <c r="AL11" s="308"/>
      <c r="AM11" s="439"/>
      <c r="AN11" s="59"/>
      <c r="AO11" s="65"/>
      <c r="AP11" s="65"/>
      <c r="AQ11" s="60"/>
      <c r="AR11" s="83"/>
      <c r="AS11" s="311"/>
      <c r="AT11" s="170"/>
      <c r="AU11" s="405"/>
      <c r="AV11" s="397"/>
      <c r="AW11" s="397"/>
      <c r="AX11" s="280"/>
      <c r="AY11" s="277" t="s">
        <v>40</v>
      </c>
    </row>
    <row r="12" customFormat="false" ht="12.95" hidden="false" customHeight="true" outlineLevel="0" collapsed="false">
      <c r="A12" s="178" t="s">
        <v>97</v>
      </c>
      <c r="B12" s="198"/>
      <c r="C12" s="534"/>
      <c r="D12" s="102"/>
      <c r="E12" s="102"/>
      <c r="F12" s="199" t="n">
        <f aca="false">AUG!F50</f>
        <v>29505.9238719435</v>
      </c>
      <c r="G12" s="102" t="n">
        <f aca="false">AUG!G50</f>
        <v>113172</v>
      </c>
      <c r="H12" s="102" t="n">
        <f aca="false">AUG!H50</f>
        <v>5300.8</v>
      </c>
      <c r="I12" s="102" t="n">
        <f aca="false">AUG!I50</f>
        <v>118472.8</v>
      </c>
      <c r="J12" s="102" t="n">
        <f aca="false">AUG!J50</f>
        <v>14555.7263171162</v>
      </c>
      <c r="K12" s="102" t="n">
        <f aca="false">AUG!K50</f>
        <v>133028.526317116</v>
      </c>
      <c r="L12" s="102" t="n">
        <f aca="false">AUG!L50</f>
        <v>12296.8238719435</v>
      </c>
      <c r="M12" s="201" t="n">
        <f aca="false">AUG!M50</f>
        <v>35260.9</v>
      </c>
      <c r="N12" s="102" t="n">
        <f aca="false">AUG!N50</f>
        <v>286.489144</v>
      </c>
      <c r="O12" s="102" t="n">
        <f aca="false">AUG!O50</f>
        <v>11492.3865</v>
      </c>
      <c r="P12" s="149" t="n">
        <f aca="false">AUG!P50</f>
        <v>7.31</v>
      </c>
      <c r="Q12" s="149"/>
      <c r="R12" s="149"/>
      <c r="S12" s="149"/>
      <c r="T12" s="202"/>
      <c r="U12" s="102" t="n">
        <f aca="false">AUG!U50</f>
        <v>15597</v>
      </c>
      <c r="V12" s="102" t="n">
        <f aca="false">AUG!V50</f>
        <v>8419.1</v>
      </c>
      <c r="W12" s="102" t="n">
        <f aca="false">AUG!W50</f>
        <v>48779.929416</v>
      </c>
      <c r="X12" s="167" t="n">
        <f aca="false">AUG!X50</f>
        <v>48779.929416</v>
      </c>
      <c r="Y12" s="102" t="n">
        <f aca="false">AUG!Y45</f>
        <v>752.870757999995</v>
      </c>
      <c r="Z12" s="167"/>
      <c r="AA12" s="167"/>
      <c r="AB12" s="102" t="n">
        <f aca="false">AUG!AB45</f>
        <v>2011.51669841863</v>
      </c>
      <c r="AC12" s="102" t="n">
        <v>3610.8</v>
      </c>
      <c r="AD12" s="102" t="n">
        <f aca="false">AUG!AD50</f>
        <v>19666.9</v>
      </c>
      <c r="AE12" s="201" t="n">
        <f aca="false">AUG!AE50</f>
        <v>260.1</v>
      </c>
      <c r="AF12" s="203" t="n">
        <f aca="false">AUG!AF50</f>
        <v>198.9</v>
      </c>
      <c r="AG12" s="102"/>
      <c r="AH12" s="102"/>
      <c r="AI12" s="102"/>
      <c r="AJ12" s="102" t="n">
        <f aca="false">AUG!AJ50</f>
        <v>101263.7</v>
      </c>
      <c r="AK12" s="102" t="n">
        <f aca="false">AUG!AK50</f>
        <v>2258.90244517267</v>
      </c>
      <c r="AL12" s="102" t="n">
        <f aca="false">AUG!AL50</f>
        <v>103522.602445173</v>
      </c>
      <c r="AM12" s="205"/>
      <c r="AN12" s="200"/>
      <c r="AO12" s="130"/>
      <c r="AP12" s="130" t="n">
        <f aca="false">AUG!AP51</f>
        <v>890.969350887754</v>
      </c>
      <c r="AQ12" s="130" t="n">
        <f aca="false">AUG!AQ50</f>
        <v>2902.2005</v>
      </c>
      <c r="AR12" s="200" t="n">
        <f aca="false">AUG!AR50</f>
        <v>743.64</v>
      </c>
      <c r="AS12" s="200" t="n">
        <f aca="false">AUG!AS50</f>
        <v>0</v>
      </c>
      <c r="AT12" s="130" t="n">
        <f aca="false">AUG!AT50</f>
        <v>0</v>
      </c>
      <c r="AU12" s="207"/>
      <c r="AV12" s="200"/>
      <c r="AW12" s="200"/>
      <c r="AX12" s="280"/>
      <c r="AY12" s="318"/>
    </row>
    <row r="13" s="215" customFormat="true" ht="12.95" hidden="false" customHeight="true" outlineLevel="0" collapsed="false">
      <c r="A13" s="210" t="s">
        <v>98</v>
      </c>
      <c r="B13" s="101" t="n">
        <f aca="false">AUG!B45</f>
        <v>6906.98</v>
      </c>
      <c r="C13" s="102" t="n">
        <f aca="false">AUG!C45</f>
        <v>310060</v>
      </c>
      <c r="D13" s="102" t="n">
        <f aca="false">AUG!D54</f>
        <v>50717</v>
      </c>
      <c r="E13" s="102" t="n">
        <f aca="false">AUG!E54</f>
        <v>158060</v>
      </c>
      <c r="F13" s="199" t="n">
        <f aca="false">AUG!F53</f>
        <v>25569.4479455508</v>
      </c>
      <c r="G13" s="102" t="n">
        <f aca="false">AUG!G53</f>
        <v>119875</v>
      </c>
      <c r="H13" s="102" t="n">
        <f aca="false">AUG!H53</f>
        <v>5529.39</v>
      </c>
      <c r="I13" s="102" t="n">
        <f aca="false">AUG!I53</f>
        <v>125404.39</v>
      </c>
      <c r="J13" s="102" t="n">
        <f aca="false">AUG!J53</f>
        <v>16298.091920847</v>
      </c>
      <c r="K13" s="102" t="n">
        <f aca="false">AUG!K53</f>
        <v>141702.481920847</v>
      </c>
      <c r="L13" s="102" t="n">
        <f aca="false">AUG!L53</f>
        <v>13130.2579455508</v>
      </c>
      <c r="M13" s="201" t="n">
        <f aca="false">AUG!M53</f>
        <v>35956.3</v>
      </c>
      <c r="N13" s="102" t="n">
        <f aca="false">AUG!N53</f>
        <v>286.489144</v>
      </c>
      <c r="O13" s="102" t="n">
        <f aca="false">AUG!O53</f>
        <v>11492.3865</v>
      </c>
      <c r="P13" s="149"/>
      <c r="Q13" s="200" t="n">
        <f aca="false">AUG!Q53</f>
        <v>622.38666</v>
      </c>
      <c r="R13" s="200" t="n">
        <f aca="false">AUG!R53</f>
        <v>953.74</v>
      </c>
      <c r="S13" s="200" t="n">
        <f aca="false">AUG!S53</f>
        <v>661.23</v>
      </c>
      <c r="T13" s="202" t="n">
        <f aca="false">AUG!T53</f>
        <v>-22.57716</v>
      </c>
      <c r="U13" s="102" t="n">
        <f aca="false">AUG!U53</f>
        <v>21988.6</v>
      </c>
      <c r="V13" s="102" t="n">
        <f aca="false">AUG!V53</f>
        <v>8459.6</v>
      </c>
      <c r="W13" s="102" t="n">
        <f aca="false">AUG!W53</f>
        <v>55300.764196</v>
      </c>
      <c r="X13" s="167" t="n">
        <f aca="false">AUG!X53</f>
        <v>55260.264196</v>
      </c>
      <c r="Y13" s="102"/>
      <c r="Z13" s="167"/>
      <c r="AA13" s="102"/>
      <c r="AB13" s="102"/>
      <c r="AC13" s="102"/>
      <c r="AD13" s="102" t="n">
        <f aca="false">AUG!AD53</f>
        <v>0</v>
      </c>
      <c r="AE13" s="93"/>
      <c r="AF13" s="94"/>
      <c r="AG13" s="102" t="n">
        <f aca="false">AUG!AG53</f>
        <v>26898</v>
      </c>
      <c r="AH13" s="102" t="n">
        <f aca="false">AUG!AH53</f>
        <v>8200.25787748929</v>
      </c>
      <c r="AI13" s="102" t="n">
        <f aca="false">AUG!AI53</f>
        <v>14493</v>
      </c>
      <c r="AJ13" s="102" t="n">
        <f aca="false">AUG!AJ53</f>
        <v>112965.2</v>
      </c>
      <c r="AK13" s="102" t="n">
        <f aca="false">AUG!AK53</f>
        <v>3167.83397529619</v>
      </c>
      <c r="AL13" s="102" t="n">
        <f aca="false">AUG!AL53</f>
        <v>116133.033975296</v>
      </c>
      <c r="AM13" s="205" t="n">
        <f aca="false">AUG!AM54</f>
        <v>14971.25965</v>
      </c>
      <c r="AN13" s="200" t="n">
        <f aca="false">AUG!AN53</f>
        <v>40.5</v>
      </c>
      <c r="AO13" s="130"/>
      <c r="AP13" s="130" t="n">
        <f aca="false">AUG!AP54</f>
        <v>890.969350887754</v>
      </c>
      <c r="AQ13" s="149"/>
      <c r="AR13" s="200" t="n">
        <f aca="false">AUG!AR53</f>
        <v>0</v>
      </c>
      <c r="AS13" s="200" t="n">
        <f aca="false">AUG!AS53</f>
        <v>0</v>
      </c>
      <c r="AT13" s="130"/>
      <c r="AU13" s="207" t="n">
        <f aca="false">AUG!AU53</f>
        <v>10.25</v>
      </c>
      <c r="AV13" s="200"/>
      <c r="AW13" s="200"/>
      <c r="AX13" s="284"/>
      <c r="AY13" s="322" t="n">
        <f aca="false">AUG!AY53</f>
        <v>2515.434601</v>
      </c>
    </row>
    <row r="14" customFormat="false" ht="3" hidden="false" customHeight="true" outlineLevel="0" collapsed="false">
      <c r="A14" s="216"/>
      <c r="B14" s="217"/>
      <c r="C14" s="218"/>
      <c r="D14" s="219"/>
      <c r="E14" s="218"/>
      <c r="F14" s="220"/>
      <c r="G14" s="219"/>
      <c r="H14" s="221"/>
      <c r="I14" s="219"/>
      <c r="J14" s="219"/>
      <c r="K14" s="219"/>
      <c r="L14" s="219"/>
      <c r="M14" s="222"/>
      <c r="N14" s="219"/>
      <c r="O14" s="219"/>
      <c r="P14" s="223"/>
      <c r="Q14" s="223"/>
      <c r="R14" s="223"/>
      <c r="S14" s="223"/>
      <c r="T14" s="224"/>
      <c r="U14" s="219"/>
      <c r="V14" s="219"/>
      <c r="W14" s="219"/>
      <c r="X14" s="219"/>
      <c r="Y14" s="218"/>
      <c r="Z14" s="219"/>
      <c r="AA14" s="218"/>
      <c r="AB14" s="218"/>
      <c r="AC14" s="218"/>
      <c r="AD14" s="219"/>
      <c r="AE14" s="115"/>
      <c r="AF14" s="116"/>
      <c r="AG14" s="219"/>
      <c r="AH14" s="218"/>
      <c r="AI14" s="218"/>
      <c r="AJ14" s="219"/>
      <c r="AK14" s="219"/>
      <c r="AL14" s="219"/>
      <c r="AM14" s="227"/>
      <c r="AN14" s="228"/>
      <c r="AO14" s="225"/>
      <c r="AP14" s="223" t="s">
        <v>134</v>
      </c>
      <c r="AQ14" s="223"/>
      <c r="AR14" s="223" t="s">
        <v>134</v>
      </c>
      <c r="AS14" s="223" t="s">
        <v>134</v>
      </c>
      <c r="AT14" s="225" t="s">
        <v>134</v>
      </c>
      <c r="AU14" s="230"/>
      <c r="AV14" s="228" t="n">
        <v>0</v>
      </c>
      <c r="AW14" s="228"/>
      <c r="AX14" s="242"/>
      <c r="AY14" s="303"/>
    </row>
    <row r="15" customFormat="false" ht="12.95" hidden="false" customHeight="true" outlineLevel="0" collapsed="false">
      <c r="A15" s="173" t="n">
        <v>1</v>
      </c>
      <c r="B15" s="101" t="n">
        <v>6906.72</v>
      </c>
      <c r="C15" s="102" t="n">
        <v>309050</v>
      </c>
      <c r="D15" s="200" t="n">
        <f aca="false">C15-C13</f>
        <v>-1010</v>
      </c>
      <c r="E15" s="102" t="n">
        <f aca="false">C15-151978</f>
        <v>157072</v>
      </c>
      <c r="F15" s="231" t="n">
        <f aca="false">D15/$D$2</f>
        <v>-509.200907486766</v>
      </c>
      <c r="G15" s="1" t="n">
        <v>161</v>
      </c>
      <c r="H15" s="232" t="n">
        <v>0</v>
      </c>
      <c r="I15" s="129" t="n">
        <f aca="false">G15+H15</f>
        <v>161</v>
      </c>
      <c r="J15" s="130" t="n">
        <f aca="false">IF(L15&gt;0,L15,0)</f>
        <v>0</v>
      </c>
      <c r="K15" s="129" t="n">
        <f aca="false">I15+J15</f>
        <v>161</v>
      </c>
      <c r="L15" s="129" t="n">
        <f aca="false">F15-(I15-AJ15)</f>
        <v>-44.2009074867658</v>
      </c>
      <c r="M15" s="233" t="n">
        <v>237</v>
      </c>
      <c r="N15" s="535" t="n">
        <f aca="false">1.8299*1.03</f>
        <v>1.884797</v>
      </c>
      <c r="O15" s="129" t="n">
        <f aca="false">(39+39)*1.05</f>
        <v>81.9</v>
      </c>
      <c r="P15" s="149" t="n">
        <v>0</v>
      </c>
      <c r="Q15" s="8" t="n">
        <f aca="false">2.517*1.02</f>
        <v>2.56734</v>
      </c>
      <c r="R15" s="291" t="n">
        <v>4.2</v>
      </c>
      <c r="S15" s="291" t="n">
        <v>2</v>
      </c>
      <c r="T15" s="334" t="n">
        <v>0</v>
      </c>
      <c r="U15" s="129" t="n">
        <v>74</v>
      </c>
      <c r="V15" s="129" t="n">
        <v>63</v>
      </c>
      <c r="W15" s="129" t="n">
        <f aca="false">M15-N15-O15-P15-Q15-R15-S15-T15+U15+V15-AS15+AQ15</f>
        <v>301.447863</v>
      </c>
      <c r="X15" s="129" t="n">
        <f aca="false">W15-AN15</f>
        <v>301.447863</v>
      </c>
      <c r="Y15" s="102" t="n">
        <f aca="false">Y12-(W15-I15)-Q15-R15-AE15</f>
        <v>603.955554999995</v>
      </c>
      <c r="Z15" s="129" t="n">
        <f aca="false">(-AO15)</f>
        <v>148.915203</v>
      </c>
      <c r="AA15" s="102"/>
      <c r="AB15" s="102" t="n">
        <f aca="false">AB12-(AUG!AP45/1.9835)</f>
        <v>2010.72267595551</v>
      </c>
      <c r="AC15" s="200" t="n">
        <f aca="false">AC12</f>
        <v>3610.8</v>
      </c>
      <c r="AD15" s="129" t="n">
        <v>201</v>
      </c>
      <c r="AE15" s="131" t="n">
        <v>1.7</v>
      </c>
      <c r="AF15" s="132" t="n">
        <v>1.3</v>
      </c>
      <c r="AG15" s="472" t="n">
        <v>51</v>
      </c>
      <c r="AH15" s="416" t="n">
        <f aca="false">AH13-AG15</f>
        <v>8149.25787748929</v>
      </c>
      <c r="AI15" s="102"/>
      <c r="AJ15" s="128" t="n">
        <f aca="false">N15+O15+P15+Q15+R15+S15+T15+W15+AD15+AG15-AQ15</f>
        <v>626</v>
      </c>
      <c r="AK15" s="129" t="n">
        <f aca="false">IF(L15&lt;0,L15*-1,0)</f>
        <v>44.2009074867658</v>
      </c>
      <c r="AL15" s="129" t="n">
        <f aca="false">AJ15+AK15</f>
        <v>670.200907486766</v>
      </c>
      <c r="AM15" s="205" t="n">
        <f aca="false">AM13</f>
        <v>14971.25965</v>
      </c>
      <c r="AN15" s="200"/>
      <c r="AO15" s="92" t="n">
        <f aca="false">I15-Q15-R15-W15-AE15</f>
        <v>-148.915203</v>
      </c>
      <c r="AP15" s="149" t="n">
        <f aca="false">36.1*(Y15*1.9835+AB15*1.9835)/E15</f>
        <v>1.19195232241723</v>
      </c>
      <c r="AQ15" s="149" t="n">
        <v>20</v>
      </c>
      <c r="AR15" s="102"/>
      <c r="AU15" s="207" t="n">
        <v>0</v>
      </c>
      <c r="AV15" s="200" t="n">
        <v>78</v>
      </c>
      <c r="AW15" s="200" t="n">
        <v>46</v>
      </c>
      <c r="AX15" s="280"/>
      <c r="AY15" s="235" t="n">
        <f aca="false">SUM(N15,P15:T15)</f>
        <v>10.652137</v>
      </c>
    </row>
    <row r="16" customFormat="false" ht="12.95" hidden="false" customHeight="true" outlineLevel="0" collapsed="false">
      <c r="A16" s="173" t="n">
        <v>2</v>
      </c>
      <c r="B16" s="101" t="n">
        <v>6906.46</v>
      </c>
      <c r="C16" s="102" t="n">
        <v>308039</v>
      </c>
      <c r="D16" s="200" t="n">
        <f aca="false">C16-C15</f>
        <v>-1011</v>
      </c>
      <c r="E16" s="102" t="n">
        <f aca="false">C16-151978</f>
        <v>156061</v>
      </c>
      <c r="F16" s="231" t="n">
        <f aca="false">D16/$D$2</f>
        <v>-509.705066801109</v>
      </c>
      <c r="G16" s="1" t="n">
        <v>149</v>
      </c>
      <c r="H16" s="232" t="n">
        <v>0</v>
      </c>
      <c r="I16" s="129" t="n">
        <f aca="false">G16+H16</f>
        <v>149</v>
      </c>
      <c r="J16" s="130" t="n">
        <f aca="false">IF(L16&gt;0,L16,0)</f>
        <v>0</v>
      </c>
      <c r="K16" s="129" t="n">
        <f aca="false">I16+J16</f>
        <v>149</v>
      </c>
      <c r="L16" s="129" t="n">
        <f aca="false">F16-(I16-AJ16)</f>
        <v>-45.7050668011091</v>
      </c>
      <c r="M16" s="233" t="n">
        <v>237</v>
      </c>
      <c r="N16" s="149" t="n">
        <f aca="false">1.8299*1.03</f>
        <v>1.884797</v>
      </c>
      <c r="O16" s="129" t="n">
        <f aca="false">(35+36)*1.05</f>
        <v>74.55</v>
      </c>
      <c r="P16" s="149" t="n">
        <v>0</v>
      </c>
      <c r="Q16" s="8" t="n">
        <f aca="false">2.517*1.02</f>
        <v>2.56734</v>
      </c>
      <c r="R16" s="291" t="n">
        <v>4.2</v>
      </c>
      <c r="S16" s="291" t="n">
        <v>2.99</v>
      </c>
      <c r="T16" s="334" t="n">
        <v>0</v>
      </c>
      <c r="U16" s="129" t="n">
        <v>73</v>
      </c>
      <c r="V16" s="129" t="n">
        <v>66</v>
      </c>
      <c r="W16" s="129" t="n">
        <f aca="false">M16-N16-O16-P16-Q16-R16-S16-T16+U16+V16-AS16+AQ16</f>
        <v>309.807863</v>
      </c>
      <c r="X16" s="129" t="n">
        <f aca="false">W16-AN16</f>
        <v>309.807863</v>
      </c>
      <c r="Y16" s="102" t="n">
        <f aca="false">Y15-(W16-I16)-Q16-R16-AE16</f>
        <v>434.680351999995</v>
      </c>
      <c r="Z16" s="129" t="n">
        <f aca="false">(-AO16)</f>
        <v>169.275203</v>
      </c>
      <c r="AA16" s="102"/>
      <c r="AB16" s="102" t="n">
        <f aca="false">AB15-(AP15/1.9835)</f>
        <v>2010.12174208991</v>
      </c>
      <c r="AC16" s="200" t="n">
        <f aca="false">AC15</f>
        <v>3610.8</v>
      </c>
      <c r="AD16" s="129" t="n">
        <v>187</v>
      </c>
      <c r="AE16" s="131" t="n">
        <v>1.7</v>
      </c>
      <c r="AF16" s="132" t="n">
        <v>1.3</v>
      </c>
      <c r="AG16" s="472" t="n">
        <v>50</v>
      </c>
      <c r="AH16" s="416" t="n">
        <f aca="false">AH15-AG16</f>
        <v>8099.25787748929</v>
      </c>
      <c r="AI16" s="102"/>
      <c r="AJ16" s="128" t="n">
        <f aca="false">N16+O16+P16+Q16+R16+S16+T16+W16+AD16+AG16-AQ16</f>
        <v>613</v>
      </c>
      <c r="AK16" s="129" t="n">
        <f aca="false">IF(L16&lt;0,L16*-1,0)</f>
        <v>45.7050668011091</v>
      </c>
      <c r="AL16" s="129" t="n">
        <f aca="false">AJ16+AK16</f>
        <v>658.705066801109</v>
      </c>
      <c r="AM16" s="205" t="n">
        <f aca="false">AM15</f>
        <v>14971.25965</v>
      </c>
      <c r="AN16" s="200"/>
      <c r="AO16" s="92" t="n">
        <f aca="false">I16-Q16-R16-W16-AE16</f>
        <v>-169.275203</v>
      </c>
      <c r="AP16" s="149" t="n">
        <f aca="false">36.1*(Y16*1.9835+AB16*1.9835)/E16</f>
        <v>1.12173102072873</v>
      </c>
      <c r="AQ16" s="149" t="n">
        <v>20</v>
      </c>
      <c r="AR16" s="102"/>
      <c r="AU16" s="207" t="n">
        <v>0</v>
      </c>
      <c r="AV16" s="200" t="n">
        <v>82</v>
      </c>
      <c r="AW16" s="200" t="n">
        <v>51</v>
      </c>
      <c r="AX16" s="280"/>
      <c r="AY16" s="235" t="n">
        <f aca="false">SUM(N16,P16:T16)</f>
        <v>11.642137</v>
      </c>
    </row>
    <row r="17" customFormat="false" ht="12.95" hidden="false" customHeight="true" outlineLevel="0" collapsed="false">
      <c r="A17" s="173" t="n">
        <v>3</v>
      </c>
      <c r="B17" s="101" t="n">
        <v>6906.19</v>
      </c>
      <c r="C17" s="102" t="n">
        <v>306990</v>
      </c>
      <c r="D17" s="200" t="n">
        <f aca="false">C17-C16</f>
        <v>-1049</v>
      </c>
      <c r="E17" s="102" t="n">
        <f aca="false">C17-151978</f>
        <v>155012</v>
      </c>
      <c r="F17" s="231" t="n">
        <f aca="false">D17/$D$2</f>
        <v>-528.863120746156</v>
      </c>
      <c r="G17" s="1" t="n">
        <v>141</v>
      </c>
      <c r="H17" s="232" t="n">
        <v>0</v>
      </c>
      <c r="I17" s="129" t="n">
        <f aca="false">G17+H17</f>
        <v>141</v>
      </c>
      <c r="J17" s="130" t="n">
        <f aca="false">IF(L17&gt;0,L17,0)</f>
        <v>0</v>
      </c>
      <c r="K17" s="129" t="n">
        <f aca="false">I17+J17</f>
        <v>141</v>
      </c>
      <c r="L17" s="129" t="n">
        <f aca="false">F17-(I17-AJ17)</f>
        <v>-38.8631207461558</v>
      </c>
      <c r="M17" s="233" t="n">
        <v>255</v>
      </c>
      <c r="N17" s="149" t="n">
        <f aca="false">1.8299*1.03</f>
        <v>1.884797</v>
      </c>
      <c r="O17" s="129" t="n">
        <f aca="false">(39+41)*1.05</f>
        <v>84</v>
      </c>
      <c r="P17" s="149" t="n">
        <v>0</v>
      </c>
      <c r="Q17" s="8" t="n">
        <f aca="false">2.517*1.02</f>
        <v>2.56734</v>
      </c>
      <c r="R17" s="291" t="n">
        <v>4.2</v>
      </c>
      <c r="S17" s="291" t="n">
        <v>3.64</v>
      </c>
      <c r="T17" s="334" t="n">
        <v>0</v>
      </c>
      <c r="U17" s="129" t="n">
        <v>73</v>
      </c>
      <c r="V17" s="129" t="n">
        <v>66</v>
      </c>
      <c r="W17" s="129" t="n">
        <f aca="false">M17-N17-O17-P17-Q17-R17-S17-T17+U17+V17-AS17+AQ17</f>
        <v>317.707863</v>
      </c>
      <c r="X17" s="129" t="n">
        <f aca="false">W17-AN17</f>
        <v>317.707863</v>
      </c>
      <c r="Y17" s="102" t="n">
        <f aca="false">Y16-(W17-I17)-Q17-R17-AE17</f>
        <v>249.505148999995</v>
      </c>
      <c r="Z17" s="129" t="n">
        <f aca="false">(-AO17)</f>
        <v>185.175203</v>
      </c>
      <c r="AA17" s="102"/>
      <c r="AB17" s="102" t="n">
        <f aca="false">AB16-(AP16/1.9835)</f>
        <v>2009.55621094762</v>
      </c>
      <c r="AC17" s="200" t="n">
        <f aca="false">AC16</f>
        <v>3610.8</v>
      </c>
      <c r="AD17" s="129" t="n">
        <v>187</v>
      </c>
      <c r="AE17" s="131" t="n">
        <v>1.7</v>
      </c>
      <c r="AF17" s="132" t="n">
        <v>1.3</v>
      </c>
      <c r="AG17" s="472" t="n">
        <v>50</v>
      </c>
      <c r="AH17" s="416" t="n">
        <f aca="false">AH16-AG17</f>
        <v>8049.25787748929</v>
      </c>
      <c r="AI17" s="102"/>
      <c r="AJ17" s="128" t="n">
        <f aca="false">N17+O17+P17+Q17+R17+S17+T17+W17+AD17+AG17-AQ17</f>
        <v>631</v>
      </c>
      <c r="AK17" s="129" t="n">
        <f aca="false">IF(L17&lt;0,L17*-1,0)</f>
        <v>38.8631207461558</v>
      </c>
      <c r="AL17" s="129" t="n">
        <f aca="false">AJ17+AK17</f>
        <v>669.863120746156</v>
      </c>
      <c r="AM17" s="205" t="n">
        <f aca="false">AM16</f>
        <v>14971.25965</v>
      </c>
      <c r="AN17" s="200"/>
      <c r="AO17" s="92" t="n">
        <f aca="false">I17-Q17-R17-W17-AE17</f>
        <v>-185.175203</v>
      </c>
      <c r="AP17" s="149" t="n">
        <f aca="false">36.1*(Y17*1.9835+AB17*1.9835)/E17</f>
        <v>1.04352321297167</v>
      </c>
      <c r="AQ17" s="149" t="n">
        <v>20</v>
      </c>
      <c r="AR17" s="102"/>
      <c r="AU17" s="207" t="n">
        <v>0</v>
      </c>
      <c r="AV17" s="200" t="n">
        <v>82</v>
      </c>
      <c r="AW17" s="200" t="n">
        <v>51</v>
      </c>
      <c r="AX17" s="280"/>
      <c r="AY17" s="235" t="n">
        <f aca="false">SUM(N17,P17:T17)</f>
        <v>12.292137</v>
      </c>
    </row>
    <row r="18" customFormat="false" ht="12.95" hidden="false" customHeight="true" outlineLevel="0" collapsed="false">
      <c r="A18" s="173" t="n">
        <v>4</v>
      </c>
      <c r="B18" s="101" t="n">
        <v>6905.93</v>
      </c>
      <c r="C18" s="102" t="n">
        <v>305981</v>
      </c>
      <c r="D18" s="200" t="n">
        <f aca="false">C18-C17</f>
        <v>-1009</v>
      </c>
      <c r="E18" s="102" t="n">
        <f aca="false">C18-151978</f>
        <v>154003</v>
      </c>
      <c r="F18" s="231" t="n">
        <f aca="false">D18/$D$2</f>
        <v>-508.696748172422</v>
      </c>
      <c r="G18" s="1" t="n">
        <v>135</v>
      </c>
      <c r="H18" s="232" t="n">
        <v>0</v>
      </c>
      <c r="I18" s="129" t="n">
        <f aca="false">G18+H18</f>
        <v>135</v>
      </c>
      <c r="J18" s="130" t="n">
        <f aca="false">IF(L18&gt;0,L18,0)</f>
        <v>0</v>
      </c>
      <c r="K18" s="129" t="n">
        <f aca="false">I18+J18</f>
        <v>135</v>
      </c>
      <c r="L18" s="129" t="n">
        <f aca="false">F18-(I18-AJ18)</f>
        <v>-20.6967481724225</v>
      </c>
      <c r="M18" s="233" t="n">
        <v>248</v>
      </c>
      <c r="N18" s="149" t="n">
        <f aca="false">1.8299*1.03</f>
        <v>1.884797</v>
      </c>
      <c r="O18" s="129" t="n">
        <f aca="false">(38+37)*1.05</f>
        <v>78.75</v>
      </c>
      <c r="P18" s="149" t="n">
        <v>0</v>
      </c>
      <c r="Q18" s="8" t="n">
        <f aca="false">2.517*1.02</f>
        <v>2.56734</v>
      </c>
      <c r="R18" s="291" t="n">
        <v>4.2</v>
      </c>
      <c r="S18" s="291" t="n">
        <v>3.19</v>
      </c>
      <c r="T18" s="334" t="n">
        <v>0</v>
      </c>
      <c r="U18" s="129" t="n">
        <v>73</v>
      </c>
      <c r="V18" s="129" t="n">
        <v>69</v>
      </c>
      <c r="W18" s="129" t="n">
        <f aca="false">M18-N18-O18-P18-Q18-R18-S18-T18+U18+V18-AS18+AQ18</f>
        <v>319.407863</v>
      </c>
      <c r="X18" s="129" t="n">
        <f aca="false">W18-AN18</f>
        <v>319.407863</v>
      </c>
      <c r="Y18" s="102" t="n">
        <f aca="false">Y17-(W18-I18)-Q18-R18-AE18</f>
        <v>56.6299459999953</v>
      </c>
      <c r="Z18" s="129" t="n">
        <f aca="false">(-AO18)</f>
        <v>192.875203</v>
      </c>
      <c r="AA18" s="102"/>
      <c r="AB18" s="102" t="n">
        <f aca="false">AB17-(AP17/1.9835)</f>
        <v>2009.03010900007</v>
      </c>
      <c r="AC18" s="200" t="n">
        <f aca="false">AC17</f>
        <v>3610.8</v>
      </c>
      <c r="AD18" s="129" t="n">
        <v>183</v>
      </c>
      <c r="AE18" s="131" t="n">
        <v>1.7</v>
      </c>
      <c r="AF18" s="132" t="n">
        <v>1.3</v>
      </c>
      <c r="AG18" s="472" t="n">
        <v>50</v>
      </c>
      <c r="AH18" s="416" t="n">
        <f aca="false">AH17-AG18</f>
        <v>7999.25787748929</v>
      </c>
      <c r="AI18" s="102"/>
      <c r="AJ18" s="128" t="n">
        <f aca="false">N18+O18+P18+Q18+R18+S18+T18+W18+AD18+AG18-AQ18</f>
        <v>623</v>
      </c>
      <c r="AK18" s="129" t="n">
        <f aca="false">IF(L18&lt;0,L18*-1,0)</f>
        <v>20.6967481724225</v>
      </c>
      <c r="AL18" s="129" t="n">
        <f aca="false">AJ18+AK18</f>
        <v>643.696748172423</v>
      </c>
      <c r="AM18" s="205" t="n">
        <f aca="false">AM17</f>
        <v>14971.25965</v>
      </c>
      <c r="AN18" s="200"/>
      <c r="AO18" s="92" t="n">
        <f aca="false">I18-Q18-R18-W18-AE18</f>
        <v>-192.875203</v>
      </c>
      <c r="AP18" s="149" t="n">
        <f aca="false">36.1*(Y18*1.9835+AB18*1.9835)/E18</f>
        <v>0.96043743017502</v>
      </c>
      <c r="AQ18" s="149" t="n">
        <v>20</v>
      </c>
      <c r="AR18" s="102"/>
      <c r="AU18" s="207" t="n">
        <v>0</v>
      </c>
      <c r="AV18" s="200" t="n">
        <v>84</v>
      </c>
      <c r="AW18" s="200" t="n">
        <v>52</v>
      </c>
      <c r="AX18" s="280"/>
      <c r="AY18" s="235" t="n">
        <f aca="false">SUM(N18,P18:T18)</f>
        <v>11.842137</v>
      </c>
    </row>
    <row r="19" customFormat="false" ht="12.95" hidden="false" customHeight="true" outlineLevel="0" collapsed="false">
      <c r="A19" s="173" t="n">
        <v>5</v>
      </c>
      <c r="B19" s="101" t="n">
        <v>6905.68</v>
      </c>
      <c r="C19" s="102" t="n">
        <v>305017</v>
      </c>
      <c r="D19" s="200" t="n">
        <f aca="false">C19-C18</f>
        <v>-964</v>
      </c>
      <c r="E19" s="102" t="n">
        <f aca="false">C19-151978</f>
        <v>153039</v>
      </c>
      <c r="F19" s="231" t="n">
        <f aca="false">D19/$D$2</f>
        <v>-486.009579026973</v>
      </c>
      <c r="G19" s="1" t="n">
        <v>132</v>
      </c>
      <c r="H19" s="232" t="n">
        <v>0</v>
      </c>
      <c r="I19" s="129" t="n">
        <f aca="false">G19+H19</f>
        <v>132</v>
      </c>
      <c r="J19" s="130" t="n">
        <f aca="false">IF(L19&gt;0,L19,0)</f>
        <v>0</v>
      </c>
      <c r="K19" s="129" t="n">
        <f aca="false">I19+J19</f>
        <v>132</v>
      </c>
      <c r="L19" s="129" t="n">
        <f aca="false">F19-(I19-AJ19)</f>
        <v>-3.00957902697252</v>
      </c>
      <c r="M19" s="233" t="n">
        <v>251</v>
      </c>
      <c r="N19" s="149" t="n">
        <f aca="false">1.8299*1.03</f>
        <v>1.884797</v>
      </c>
      <c r="O19" s="129" t="n">
        <f aca="false">(30+30)*1.05</f>
        <v>63</v>
      </c>
      <c r="P19" s="149" t="n">
        <v>0</v>
      </c>
      <c r="Q19" s="8" t="n">
        <f aca="false">2.517*1.02</f>
        <v>2.56734</v>
      </c>
      <c r="R19" s="291" t="n">
        <v>4.2</v>
      </c>
      <c r="S19" s="291" t="n">
        <v>2.23</v>
      </c>
      <c r="T19" s="334" t="n">
        <v>0</v>
      </c>
      <c r="U19" s="129" t="n">
        <v>74</v>
      </c>
      <c r="V19" s="129" t="n">
        <v>74</v>
      </c>
      <c r="W19" s="129" t="n">
        <f aca="false">M19-N19-O19-P19-Q19-R19-S19-T19+U19+V19-AS19+AQ19</f>
        <v>345.117863</v>
      </c>
      <c r="X19" s="129" t="n">
        <f aca="false">W19-AN19</f>
        <v>345.117863</v>
      </c>
      <c r="Y19" s="102" t="n">
        <f aca="false">Y18-(W19-I19)-Q19-R19-AE19+164.96</f>
        <v>0.00474299999530103</v>
      </c>
      <c r="Z19" s="129" t="n">
        <f aca="false">(-AO19)-164.96</f>
        <v>56.625203</v>
      </c>
      <c r="AA19" s="102"/>
      <c r="AB19" s="102" t="n">
        <f aca="false">AB18-(AP18/1.9835)-164.96</f>
        <v>1843.5858955238</v>
      </c>
      <c r="AC19" s="200" t="n">
        <f aca="false">AC18</f>
        <v>3610.8</v>
      </c>
      <c r="AD19" s="129" t="n">
        <v>166</v>
      </c>
      <c r="AE19" s="131" t="n">
        <v>1.7</v>
      </c>
      <c r="AF19" s="132" t="n">
        <v>1.3</v>
      </c>
      <c r="AG19" s="472" t="n">
        <v>50</v>
      </c>
      <c r="AH19" s="416" t="n">
        <f aca="false">AH18-AG19</f>
        <v>7949.25787748929</v>
      </c>
      <c r="AI19" s="102"/>
      <c r="AJ19" s="128" t="n">
        <f aca="false">N19+O19+P19+Q19+R19+S19+T19+W19+AD19+AG19-AQ19</f>
        <v>615</v>
      </c>
      <c r="AK19" s="129" t="n">
        <f aca="false">IF(L19&lt;0,L19*-1,0)</f>
        <v>3.00957902697252</v>
      </c>
      <c r="AL19" s="129" t="n">
        <f aca="false">AJ19+AK19</f>
        <v>618.009579026973</v>
      </c>
      <c r="AM19" s="205" t="n">
        <f aca="false">AM18</f>
        <v>14971.25965</v>
      </c>
      <c r="AN19" s="200"/>
      <c r="AO19" s="92" t="n">
        <f aca="false">I19-Q19-R19-W19-AE19</f>
        <v>-221.585203</v>
      </c>
      <c r="AP19" s="149" t="n">
        <f aca="false">36.1*(Y19*1.9835+AB19*1.9835)/E19</f>
        <v>0.862584761646255</v>
      </c>
      <c r="AQ19" s="149" t="n">
        <v>20</v>
      </c>
      <c r="AR19" s="102"/>
      <c r="AU19" s="207" t="n">
        <v>0</v>
      </c>
      <c r="AV19" s="200" t="n">
        <v>83</v>
      </c>
      <c r="AW19" s="200" t="n">
        <v>51</v>
      </c>
      <c r="AX19" s="280"/>
      <c r="AY19" s="235" t="n">
        <f aca="false">SUM(N19,P19:T19)</f>
        <v>10.882137</v>
      </c>
    </row>
    <row r="20" customFormat="false" ht="12.95" hidden="false" customHeight="true" outlineLevel="0" collapsed="false">
      <c r="A20" s="173" t="n">
        <v>6</v>
      </c>
      <c r="B20" s="101" t="n">
        <v>6905.4</v>
      </c>
      <c r="C20" s="102" t="n">
        <v>303938</v>
      </c>
      <c r="D20" s="200" t="n">
        <f aca="false">C20-C19</f>
        <v>-1079</v>
      </c>
      <c r="E20" s="102" t="n">
        <f aca="false">C20-151978</f>
        <v>151960</v>
      </c>
      <c r="F20" s="231" t="n">
        <f aca="false">D20/$D$2</f>
        <v>-543.987900176456</v>
      </c>
      <c r="G20" s="1" t="n">
        <v>128</v>
      </c>
      <c r="H20" s="232" t="n">
        <v>0</v>
      </c>
      <c r="I20" s="129" t="n">
        <f aca="false">G20+H20</f>
        <v>128</v>
      </c>
      <c r="J20" s="130" t="n">
        <f aca="false">IF(L20&gt;0,L20,0)</f>
        <v>0</v>
      </c>
      <c r="K20" s="129" t="n">
        <f aca="false">I20+J20</f>
        <v>128</v>
      </c>
      <c r="L20" s="129" t="n">
        <f aca="false">F20-(I20-AJ20)</f>
        <v>-1.9879001764557</v>
      </c>
      <c r="M20" s="233" t="n">
        <v>244</v>
      </c>
      <c r="N20" s="149" t="n">
        <f aca="false">1.8299*1.03</f>
        <v>1.884797</v>
      </c>
      <c r="O20" s="129" t="n">
        <f aca="false">(31+32)*1.05</f>
        <v>66.15</v>
      </c>
      <c r="P20" s="149" t="n">
        <v>0</v>
      </c>
      <c r="Q20" s="8" t="n">
        <f aca="false">2.517*1.02</f>
        <v>2.56734</v>
      </c>
      <c r="R20" s="291" t="n">
        <v>4.2</v>
      </c>
      <c r="S20" s="291" t="n">
        <v>3.2</v>
      </c>
      <c r="T20" s="334" t="n">
        <v>0</v>
      </c>
      <c r="U20" s="129" t="n">
        <v>75</v>
      </c>
      <c r="V20" s="129" t="n">
        <v>75</v>
      </c>
      <c r="W20" s="129" t="n">
        <f aca="false">M20-N20-O20-P20-Q20-R20-S20-T20+U20+V20-AS20+AQ20</f>
        <v>335.997863</v>
      </c>
      <c r="X20" s="129" t="n">
        <f aca="false">W20-AN20</f>
        <v>335.997863</v>
      </c>
      <c r="Y20" s="102"/>
      <c r="Z20" s="129" t="n">
        <v>0</v>
      </c>
      <c r="AA20" s="102"/>
      <c r="AB20" s="102" t="n">
        <f aca="false">AB19-(W20-I20)-Q20-R20-AE20-(AP19/1.9835)</f>
        <v>1626.6858123818</v>
      </c>
      <c r="AC20" s="200" t="n">
        <f aca="false">AC19</f>
        <v>3610.8</v>
      </c>
      <c r="AD20" s="129" t="n">
        <v>226</v>
      </c>
      <c r="AE20" s="131" t="n">
        <v>1.7</v>
      </c>
      <c r="AF20" s="132" t="n">
        <v>1.3</v>
      </c>
      <c r="AG20" s="472" t="n">
        <v>50</v>
      </c>
      <c r="AH20" s="416" t="n">
        <f aca="false">AH19-AG20</f>
        <v>7899.25787748929</v>
      </c>
      <c r="AI20" s="102"/>
      <c r="AJ20" s="128" t="n">
        <f aca="false">N20+O20+P20+Q20+R20+S20+T20+W20+AD20+AG20-AQ20</f>
        <v>670</v>
      </c>
      <c r="AK20" s="129" t="n">
        <f aca="false">IF(L20&lt;0,L20*-1,0)</f>
        <v>1.9879001764557</v>
      </c>
      <c r="AL20" s="129" t="n">
        <f aca="false">AJ20+AK20</f>
        <v>671.987900176456</v>
      </c>
      <c r="AM20" s="205" t="n">
        <f aca="false">AM19</f>
        <v>14971.25965</v>
      </c>
      <c r="AN20" s="200"/>
      <c r="AO20" s="92" t="n">
        <f aca="false">I20-Q20-R20-W20-AE20</f>
        <v>-216.465203</v>
      </c>
      <c r="AP20" s="149" t="n">
        <f aca="false">36.1*(Y20*1.9835+AB20*1.9835)/E20</f>
        <v>0.766502897142808</v>
      </c>
      <c r="AQ20" s="149" t="n">
        <v>20</v>
      </c>
      <c r="AR20" s="102"/>
      <c r="AU20" s="207" t="n">
        <v>0</v>
      </c>
      <c r="AV20" s="200" t="n">
        <v>76</v>
      </c>
      <c r="AW20" s="200" t="n">
        <v>52</v>
      </c>
      <c r="AX20" s="280"/>
      <c r="AY20" s="235" t="n">
        <f aca="false">SUM(N20,P20:T20)</f>
        <v>11.852137</v>
      </c>
    </row>
    <row r="21" customFormat="false" ht="12.95" hidden="false" customHeight="true" outlineLevel="0" collapsed="false">
      <c r="A21" s="173" t="n">
        <v>7</v>
      </c>
      <c r="B21" s="101" t="n">
        <v>6905.12</v>
      </c>
      <c r="C21" s="102" t="n">
        <v>302858</v>
      </c>
      <c r="D21" s="200" t="n">
        <f aca="false">C21-C20</f>
        <v>-1080</v>
      </c>
      <c r="E21" s="102" t="n">
        <f aca="false">C21-151978</f>
        <v>150880</v>
      </c>
      <c r="F21" s="231" t="n">
        <f aca="false">D21/$D$2</f>
        <v>-544.492059490799</v>
      </c>
      <c r="G21" s="1" t="n">
        <v>119</v>
      </c>
      <c r="H21" s="232" t="n">
        <v>0</v>
      </c>
      <c r="I21" s="129" t="n">
        <f aca="false">G21+H21</f>
        <v>119</v>
      </c>
      <c r="J21" s="130" t="n">
        <f aca="false">IF(L21&gt;0,L21,0)</f>
        <v>0</v>
      </c>
      <c r="K21" s="129" t="n">
        <f aca="false">I21+J21</f>
        <v>119</v>
      </c>
      <c r="L21" s="129" t="n">
        <f aca="false">F21-(I21-AJ21)</f>
        <v>-23.4920594907991</v>
      </c>
      <c r="M21" s="233" t="n">
        <v>217</v>
      </c>
      <c r="N21" s="149" t="n">
        <f aca="false">1.8299*1.03</f>
        <v>1.884797</v>
      </c>
      <c r="O21" s="129" t="n">
        <f aca="false">(17+16)*1.05</f>
        <v>34.65</v>
      </c>
      <c r="P21" s="149" t="n">
        <v>0</v>
      </c>
      <c r="Q21" s="8" t="n">
        <f aca="false">2.517*1.02</f>
        <v>2.56734</v>
      </c>
      <c r="R21" s="291" t="n">
        <v>4.2</v>
      </c>
      <c r="S21" s="291" t="n">
        <v>2.84</v>
      </c>
      <c r="T21" s="334" t="n">
        <v>0</v>
      </c>
      <c r="U21" s="129" t="n">
        <v>82</v>
      </c>
      <c r="V21" s="129" t="n">
        <v>77</v>
      </c>
      <c r="W21" s="129" t="n">
        <f aca="false">M21-N21-O21-P21-Q21-R21-S21-T21+U21+V21-AS21+AQ21</f>
        <v>332.615863</v>
      </c>
      <c r="X21" s="129" t="n">
        <f aca="false">W21-AN21</f>
        <v>332.615863</v>
      </c>
      <c r="Y21" s="102"/>
      <c r="Z21" s="129"/>
      <c r="AA21" s="102"/>
      <c r="AB21" s="102" t="n">
        <f aca="false">AB20-(W21-I21)-Q21-R21-AE21-(AP20/1.9835)</f>
        <v>1404.21616980674</v>
      </c>
      <c r="AC21" s="200" t="n">
        <f aca="false">AC20</f>
        <v>3610.8</v>
      </c>
      <c r="AD21" s="129" t="n">
        <v>214</v>
      </c>
      <c r="AE21" s="131" t="n">
        <v>1.7</v>
      </c>
      <c r="AF21" s="132" t="n">
        <v>1.3</v>
      </c>
      <c r="AG21" s="472" t="n">
        <v>50</v>
      </c>
      <c r="AH21" s="416" t="n">
        <f aca="false">AH20-AG21</f>
        <v>7849.25787748929</v>
      </c>
      <c r="AI21" s="102"/>
      <c r="AJ21" s="128" t="n">
        <f aca="false">N21+O21+P21+Q21+R21+S21+T21+W21+AD21+AG21-AQ21</f>
        <v>640</v>
      </c>
      <c r="AK21" s="129" t="n">
        <f aca="false">IF(L21&lt;0,L21*-1,0)</f>
        <v>23.4920594907991</v>
      </c>
      <c r="AL21" s="129" t="n">
        <f aca="false">AJ21+AK21</f>
        <v>663.492059490799</v>
      </c>
      <c r="AM21" s="205" t="n">
        <f aca="false">AM20</f>
        <v>14971.25965</v>
      </c>
      <c r="AN21" s="200"/>
      <c r="AO21" s="92" t="n">
        <f aca="false">I21-Q21-R21-W21-AE21</f>
        <v>-222.083203</v>
      </c>
      <c r="AP21" s="149" t="n">
        <f aca="false">36.1*(Y21*1.9835+AB21*1.9835)/E21</f>
        <v>0.666410300228666</v>
      </c>
      <c r="AQ21" s="149" t="n">
        <v>2.758</v>
      </c>
      <c r="AR21" s="102"/>
      <c r="AU21" s="207" t="n">
        <v>0</v>
      </c>
      <c r="AV21" s="200" t="n">
        <v>78</v>
      </c>
      <c r="AW21" s="200" t="n">
        <v>47</v>
      </c>
      <c r="AX21" s="280"/>
      <c r="AY21" s="235" t="n">
        <f aca="false">SUM(N21,P21:T21)</f>
        <v>11.492137</v>
      </c>
    </row>
    <row r="22" customFormat="false" ht="12.95" hidden="false" customHeight="true" outlineLevel="0" collapsed="false">
      <c r="A22" s="173" t="n">
        <v>8</v>
      </c>
      <c r="B22" s="101" t="n">
        <v>6904.92</v>
      </c>
      <c r="C22" s="102" t="n">
        <v>302090</v>
      </c>
      <c r="D22" s="200" t="n">
        <f aca="false">C22-C21</f>
        <v>-768</v>
      </c>
      <c r="E22" s="102" t="n">
        <f aca="false">C22-151978</f>
        <v>150112</v>
      </c>
      <c r="F22" s="231" t="n">
        <f aca="false">D22/$D$2</f>
        <v>-387.194353415679</v>
      </c>
      <c r="G22" s="1" t="n">
        <v>129</v>
      </c>
      <c r="H22" s="232" t="n">
        <v>0</v>
      </c>
      <c r="I22" s="129" t="n">
        <f aca="false">G22+H22</f>
        <v>129</v>
      </c>
      <c r="J22" s="130" t="n">
        <f aca="false">IF(L22&gt;0,L22,0)</f>
        <v>85.8056465843206</v>
      </c>
      <c r="K22" s="129" t="n">
        <f aca="false">I22+J22</f>
        <v>214.805646584321</v>
      </c>
      <c r="L22" s="129" t="n">
        <f aca="false">F22-(I22-AJ22)</f>
        <v>85.8056465843206</v>
      </c>
      <c r="M22" s="233" t="n">
        <v>201</v>
      </c>
      <c r="N22" s="149" t="n">
        <f aca="false">1.8299*1.03</f>
        <v>1.884797</v>
      </c>
      <c r="O22" s="129" t="n">
        <f aca="false">(16+17)*1.05</f>
        <v>34.65</v>
      </c>
      <c r="P22" s="149" t="n">
        <v>0</v>
      </c>
      <c r="Q22" s="8" t="n">
        <f aca="false">2.517*1.02</f>
        <v>2.56734</v>
      </c>
      <c r="R22" s="291" t="n">
        <v>4.2</v>
      </c>
      <c r="S22" s="291" t="n">
        <v>0.96</v>
      </c>
      <c r="T22" s="334" t="n">
        <v>0</v>
      </c>
      <c r="U22" s="129" t="n">
        <v>86</v>
      </c>
      <c r="V22" s="129" t="n">
        <v>76</v>
      </c>
      <c r="W22" s="129" t="n">
        <f aca="false">M22-N22-O22-P22-Q22-R22-S22-T22+U22+V22-AS22+AQ22</f>
        <v>318.737863</v>
      </c>
      <c r="X22" s="129" t="n">
        <f aca="false">W22-AN22</f>
        <v>318.737863</v>
      </c>
      <c r="Y22" s="102"/>
      <c r="Z22" s="129"/>
      <c r="AA22" s="102"/>
      <c r="AB22" s="102" t="n">
        <f aca="false">AB21-(W22-I22)-Q22-R22-AE22-(AP21/1.9835)</f>
        <v>1205.6749898467</v>
      </c>
      <c r="AC22" s="200" t="n">
        <f aca="false">AC21</f>
        <v>3610.8</v>
      </c>
      <c r="AD22" s="129" t="n">
        <v>189</v>
      </c>
      <c r="AE22" s="131" t="n">
        <v>1.7</v>
      </c>
      <c r="AF22" s="132" t="n">
        <v>1.3</v>
      </c>
      <c r="AG22" s="472" t="n">
        <v>50</v>
      </c>
      <c r="AH22" s="416" t="n">
        <f aca="false">AH21-AG22</f>
        <v>7799.25787748929</v>
      </c>
      <c r="AI22" s="102"/>
      <c r="AJ22" s="128" t="n">
        <f aca="false">N22+O22+P22+Q22+R22+S22+T22+W22+AD22+AG22-AQ22</f>
        <v>602</v>
      </c>
      <c r="AK22" s="129" t="n">
        <f aca="false">IF(L22&lt;0,L22*-1,0)</f>
        <v>0</v>
      </c>
      <c r="AL22" s="129" t="n">
        <f aca="false">AJ22+AK22</f>
        <v>602</v>
      </c>
      <c r="AM22" s="205" t="n">
        <f aca="false">AM21</f>
        <v>14971.25965</v>
      </c>
      <c r="AN22" s="200"/>
      <c r="AO22" s="92" t="n">
        <f aca="false">I22-Q22-R22-W22-AE22</f>
        <v>-198.205203</v>
      </c>
      <c r="AP22" s="149" t="n">
        <f aca="false">36.1*(Y22*1.9835+AB22*1.9835)/E22</f>
        <v>0.575114407637163</v>
      </c>
      <c r="AQ22" s="149"/>
      <c r="AR22" s="102"/>
      <c r="AU22" s="207" t="n">
        <v>0.38</v>
      </c>
      <c r="AV22" s="200" t="n">
        <v>69</v>
      </c>
      <c r="AW22" s="200" t="n">
        <v>54</v>
      </c>
      <c r="AX22" s="280"/>
      <c r="AY22" s="235" t="n">
        <f aca="false">SUM(N22,P22:T22)</f>
        <v>9.612137</v>
      </c>
    </row>
    <row r="23" customFormat="false" ht="12.95" hidden="false" customHeight="true" outlineLevel="0" collapsed="false">
      <c r="A23" s="173" t="n">
        <v>9</v>
      </c>
      <c r="B23" s="101" t="n">
        <v>6904.68</v>
      </c>
      <c r="C23" s="102" t="n">
        <v>301172</v>
      </c>
      <c r="D23" s="200" t="n">
        <f aca="false">C23-C22</f>
        <v>-918</v>
      </c>
      <c r="E23" s="102" t="n">
        <f aca="false">C23-151978</f>
        <v>149194</v>
      </c>
      <c r="F23" s="231" t="n">
        <f aca="false">D23/$D$2</f>
        <v>-462.818250567179</v>
      </c>
      <c r="G23" s="1" t="n">
        <v>153</v>
      </c>
      <c r="H23" s="232" t="n">
        <v>0</v>
      </c>
      <c r="I23" s="129" t="n">
        <f aca="false">G23+H23</f>
        <v>153</v>
      </c>
      <c r="J23" s="130" t="n">
        <f aca="false">IF(L23&gt;0,L23,0)</f>
        <v>1.18174943282077</v>
      </c>
      <c r="K23" s="129" t="n">
        <f aca="false">I23+J23</f>
        <v>154.181749432821</v>
      </c>
      <c r="L23" s="129" t="n">
        <f aca="false">F23-(I23-AJ23)</f>
        <v>1.18174943282077</v>
      </c>
      <c r="M23" s="233" t="n">
        <v>218</v>
      </c>
      <c r="N23" s="149" t="n">
        <f aca="false">1.8299*1.03</f>
        <v>1.884797</v>
      </c>
      <c r="O23" s="129" t="n">
        <f aca="false">(28+28)*1.05</f>
        <v>58.8</v>
      </c>
      <c r="P23" s="149" t="n">
        <v>0</v>
      </c>
      <c r="Q23" s="8" t="n">
        <f aca="false">2.517*1.02</f>
        <v>2.56734</v>
      </c>
      <c r="R23" s="291" t="n">
        <v>4.2</v>
      </c>
      <c r="S23" s="291" t="n">
        <v>0.44</v>
      </c>
      <c r="T23" s="334" t="n">
        <v>0</v>
      </c>
      <c r="U23" s="129" t="n">
        <v>101</v>
      </c>
      <c r="V23" s="129" t="n">
        <v>72</v>
      </c>
      <c r="W23" s="129" t="n">
        <f aca="false">M23-N23-O23-P23-Q23-R23-S23-T23+U23+V23-AS23+AQ23</f>
        <v>323.107863</v>
      </c>
      <c r="X23" s="129" t="n">
        <f aca="false">W23-AN23</f>
        <v>323.107863</v>
      </c>
      <c r="Y23" s="102"/>
      <c r="Z23" s="129"/>
      <c r="AA23" s="102"/>
      <c r="AB23" s="102" t="n">
        <f aca="false">AB22-(W23-I23)-Q23-R23-AE23-(AP22/1.9835)</f>
        <v>1026.80983756128</v>
      </c>
      <c r="AC23" s="200" t="n">
        <f aca="false">AC22</f>
        <v>3610.8</v>
      </c>
      <c r="AD23" s="129" t="n">
        <v>174</v>
      </c>
      <c r="AE23" s="131" t="n">
        <v>1.7</v>
      </c>
      <c r="AF23" s="132" t="n">
        <v>1.3</v>
      </c>
      <c r="AG23" s="472" t="n">
        <v>52</v>
      </c>
      <c r="AH23" s="416" t="n">
        <f aca="false">AH22-AG23</f>
        <v>7747.25787748929</v>
      </c>
      <c r="AI23" s="102"/>
      <c r="AJ23" s="128" t="n">
        <f aca="false">N23+O23+P23+Q23+R23+S23+T23+W23+AD23+AG23-AQ23</f>
        <v>617</v>
      </c>
      <c r="AK23" s="129" t="n">
        <f aca="false">IF(L23&lt;0,L23*-1,0)</f>
        <v>0</v>
      </c>
      <c r="AL23" s="129" t="n">
        <f aca="false">AJ23+AK23</f>
        <v>617</v>
      </c>
      <c r="AM23" s="205" t="n">
        <f aca="false">AM22</f>
        <v>14971.25965</v>
      </c>
      <c r="AN23" s="200"/>
      <c r="AO23" s="92" t="n">
        <f aca="false">I23-Q23-R23-W23-AE23</f>
        <v>-178.575203</v>
      </c>
      <c r="AP23" s="149" t="n">
        <f aca="false">36.1*(Y23*1.9835+AB23*1.9835)/E23</f>
        <v>0.492808363554708</v>
      </c>
      <c r="AQ23" s="149"/>
      <c r="AR23" s="102"/>
      <c r="AU23" s="207" t="n">
        <v>0</v>
      </c>
      <c r="AV23" s="200" t="n">
        <v>71</v>
      </c>
      <c r="AW23" s="200" t="n">
        <v>47</v>
      </c>
      <c r="AX23" s="280"/>
      <c r="AY23" s="235" t="n">
        <f aca="false">SUM(N23,P23:T23)</f>
        <v>9.092137</v>
      </c>
    </row>
    <row r="24" customFormat="false" ht="12.95" hidden="false" customHeight="true" outlineLevel="0" collapsed="false">
      <c r="A24" s="173" t="n">
        <v>10</v>
      </c>
      <c r="B24" s="101" t="n">
        <v>6904.42</v>
      </c>
      <c r="C24" s="102" t="n">
        <v>300177</v>
      </c>
      <c r="D24" s="200" t="n">
        <f aca="false">C24-C23</f>
        <v>-995</v>
      </c>
      <c r="E24" s="102" t="n">
        <f aca="false">C24-151978</f>
        <v>148199</v>
      </c>
      <c r="F24" s="231" t="n">
        <f aca="false">D24/$D$2</f>
        <v>-501.638517771616</v>
      </c>
      <c r="G24" s="1" t="n">
        <v>141</v>
      </c>
      <c r="H24" s="232" t="n">
        <v>0</v>
      </c>
      <c r="I24" s="129" t="n">
        <f aca="false">G24+H24</f>
        <v>141</v>
      </c>
      <c r="J24" s="130" t="n">
        <f aca="false">IF(L24&gt;0,L24,0)</f>
        <v>0</v>
      </c>
      <c r="K24" s="129" t="n">
        <f aca="false">I24+J24</f>
        <v>141</v>
      </c>
      <c r="L24" s="129" t="n">
        <f aca="false">F24-(I24-AJ24)</f>
        <v>-11.6385177716158</v>
      </c>
      <c r="M24" s="233" t="n">
        <v>207</v>
      </c>
      <c r="N24" s="149" t="n">
        <f aca="false">1.8299*1.03</f>
        <v>1.884797</v>
      </c>
      <c r="O24" s="129" t="n">
        <f aca="false">(37+37)*1.05</f>
        <v>77.7</v>
      </c>
      <c r="P24" s="149" t="n">
        <v>0</v>
      </c>
      <c r="Q24" s="8" t="n">
        <f aca="false">2.517*1.02</f>
        <v>2.56734</v>
      </c>
      <c r="R24" s="291" t="n">
        <v>4.2</v>
      </c>
      <c r="S24" s="291" t="n">
        <v>2</v>
      </c>
      <c r="T24" s="334" t="n">
        <v>0</v>
      </c>
      <c r="U24" s="129" t="n">
        <v>114</v>
      </c>
      <c r="V24" s="129" t="n">
        <v>68</v>
      </c>
      <c r="W24" s="129" t="n">
        <f aca="false">M24-N24-O24-P24-Q24-R24-S24-T24+U24+V24-AS24+AQ24</f>
        <v>300.647863</v>
      </c>
      <c r="X24" s="129" t="n">
        <f aca="false">W24-AN24</f>
        <v>300.647863</v>
      </c>
      <c r="Y24" s="102"/>
      <c r="Z24" s="129"/>
      <c r="AA24" s="102"/>
      <c r="AB24" s="102" t="n">
        <f aca="false">AB23-(W24-I24)-Q24-R24-AE24-(AP23/1.9835)</f>
        <v>858.446180634608</v>
      </c>
      <c r="AC24" s="200" t="n">
        <f aca="false">AC23</f>
        <v>3610.8</v>
      </c>
      <c r="AD24" s="129" t="n">
        <v>189</v>
      </c>
      <c r="AE24" s="131" t="n">
        <v>1.7</v>
      </c>
      <c r="AF24" s="132" t="n">
        <v>1.3</v>
      </c>
      <c r="AG24" s="472" t="n">
        <v>53</v>
      </c>
      <c r="AH24" s="416" t="n">
        <f aca="false">AH23-AG24</f>
        <v>7694.25787748929</v>
      </c>
      <c r="AI24" s="102"/>
      <c r="AJ24" s="128" t="n">
        <f aca="false">N24+O24+P24+Q24+R24+S24+T24+W24+AD24+AG24-AQ24</f>
        <v>631</v>
      </c>
      <c r="AK24" s="129" t="n">
        <f aca="false">IF(L24&lt;0,L24*-1,0)</f>
        <v>11.6385177716158</v>
      </c>
      <c r="AL24" s="129" t="n">
        <f aca="false">AJ24+AK24</f>
        <v>642.638517771616</v>
      </c>
      <c r="AM24" s="205" t="n">
        <f aca="false">AM23</f>
        <v>14971.25965</v>
      </c>
      <c r="AN24" s="200"/>
      <c r="AO24" s="92" t="n">
        <f aca="false">I24-Q24-R24-W24-AE24</f>
        <v>-168.115203</v>
      </c>
      <c r="AP24" s="149" t="n">
        <f aca="false">36.1*(Y24*1.9835+AB24*1.9835)/E24</f>
        <v>0.414769875466931</v>
      </c>
      <c r="AQ24" s="149"/>
      <c r="AR24" s="102"/>
      <c r="AU24" s="207" t="n">
        <v>0</v>
      </c>
      <c r="AV24" s="200" t="n">
        <v>68</v>
      </c>
      <c r="AW24" s="200" t="n">
        <v>40</v>
      </c>
      <c r="AX24" s="280"/>
      <c r="AY24" s="235" t="n">
        <f aca="false">SUM(N24,P24:T24)</f>
        <v>10.652137</v>
      </c>
    </row>
    <row r="25" customFormat="false" ht="12.95" hidden="false" customHeight="true" outlineLevel="0" collapsed="false">
      <c r="A25" s="173" t="n">
        <v>11</v>
      </c>
      <c r="B25" s="101" t="n">
        <v>6904.14</v>
      </c>
      <c r="C25" s="102" t="n">
        <v>299107</v>
      </c>
      <c r="D25" s="200" t="n">
        <f aca="false">C25-C24</f>
        <v>-1070</v>
      </c>
      <c r="E25" s="102" t="n">
        <f aca="false">C25-151978</f>
        <v>147129</v>
      </c>
      <c r="F25" s="231" t="n">
        <f aca="false">D25/$D$2</f>
        <v>-539.450466347366</v>
      </c>
      <c r="G25" s="1" t="n">
        <v>127</v>
      </c>
      <c r="H25" s="232" t="n">
        <v>0</v>
      </c>
      <c r="I25" s="129" t="n">
        <f aca="false">G25+H25</f>
        <v>127</v>
      </c>
      <c r="J25" s="130" t="n">
        <f aca="false">IF(L25&gt;0,L25,0)</f>
        <v>0</v>
      </c>
      <c r="K25" s="129" t="n">
        <f aca="false">I25+J25</f>
        <v>127</v>
      </c>
      <c r="L25" s="129" t="n">
        <f aca="false">F25-(I25-AJ25)</f>
        <v>-31.4504663473657</v>
      </c>
      <c r="M25" s="233" t="n">
        <v>208</v>
      </c>
      <c r="N25" s="149" t="n">
        <f aca="false">1.8299*1.03</f>
        <v>1.884797</v>
      </c>
      <c r="O25" s="129" t="n">
        <f aca="false">(36+33)*1.05</f>
        <v>72.45</v>
      </c>
      <c r="P25" s="149" t="n">
        <v>0</v>
      </c>
      <c r="Q25" s="8" t="n">
        <f aca="false">2.517*1.02</f>
        <v>2.56734</v>
      </c>
      <c r="R25" s="291" t="n">
        <v>4.2</v>
      </c>
      <c r="S25" s="291" t="n">
        <v>1.27</v>
      </c>
      <c r="T25" s="334" t="n">
        <v>0</v>
      </c>
      <c r="U25" s="129" t="n">
        <v>115</v>
      </c>
      <c r="V25" s="129" t="n">
        <v>67</v>
      </c>
      <c r="W25" s="129" t="n">
        <f aca="false">M25-N25-O25-P25-Q25-R25-S25-T25+U25+V25-AS25+AQ25</f>
        <v>307.627863</v>
      </c>
      <c r="X25" s="129" t="n">
        <f aca="false">W25-AN25</f>
        <v>307.627863</v>
      </c>
      <c r="Y25" s="102"/>
      <c r="Z25" s="129"/>
      <c r="AA25" s="102"/>
      <c r="AB25" s="102" t="n">
        <f aca="false">AB24-(W25-I25)-Q25-R25-AE25-(AP24/1.9835)</f>
        <v>669.141867538582</v>
      </c>
      <c r="AC25" s="200" t="n">
        <f aca="false">AC24</f>
        <v>3610.8</v>
      </c>
      <c r="AD25" s="129" t="n">
        <v>202</v>
      </c>
      <c r="AE25" s="131" t="n">
        <v>1.7</v>
      </c>
      <c r="AF25" s="132" t="n">
        <v>1.3</v>
      </c>
      <c r="AG25" s="472" t="n">
        <v>43</v>
      </c>
      <c r="AH25" s="416" t="n">
        <f aca="false">AH24-AG25</f>
        <v>7651.25787748929</v>
      </c>
      <c r="AI25" s="102"/>
      <c r="AJ25" s="128" t="n">
        <f aca="false">N25+O25+P25+Q25+R25+S25+T25+W25+AD25+AG25-AQ25</f>
        <v>635</v>
      </c>
      <c r="AK25" s="129" t="n">
        <f aca="false">IF(L25&lt;0,L25*-1,0)</f>
        <v>31.4504663473657</v>
      </c>
      <c r="AL25" s="129" t="n">
        <f aca="false">AJ25+AK25</f>
        <v>666.450466347366</v>
      </c>
      <c r="AM25" s="205" t="n">
        <f aca="false">AM24</f>
        <v>14971.25965</v>
      </c>
      <c r="AN25" s="200"/>
      <c r="AO25" s="92" t="n">
        <f aca="false">I25-Q25-R25-W25-AE25</f>
        <v>-189.095203</v>
      </c>
      <c r="AP25" s="149" t="n">
        <f aca="false">36.1*(Y25*1.9835+AB25*1.9835)/E25</f>
        <v>0.325656182553312</v>
      </c>
      <c r="AQ25" s="149"/>
      <c r="AR25" s="102"/>
      <c r="AU25" s="207" t="n">
        <v>0</v>
      </c>
      <c r="AV25" s="200" t="n">
        <v>74</v>
      </c>
      <c r="AW25" s="200" t="n">
        <v>44</v>
      </c>
      <c r="AX25" s="280"/>
      <c r="AY25" s="235" t="n">
        <f aca="false">SUM(N25,P25:T25)</f>
        <v>9.922137</v>
      </c>
    </row>
    <row r="26" customFormat="false" ht="12.95" hidden="false" customHeight="true" outlineLevel="0" collapsed="false">
      <c r="A26" s="173" t="n">
        <v>12</v>
      </c>
      <c r="B26" s="101" t="n">
        <v>6903.86</v>
      </c>
      <c r="C26" s="102" t="n">
        <v>298040</v>
      </c>
      <c r="D26" s="200" t="n">
        <f aca="false">C26-C25</f>
        <v>-1067</v>
      </c>
      <c r="E26" s="102" t="n">
        <f aca="false">C26-151978</f>
        <v>146062</v>
      </c>
      <c r="F26" s="231" t="n">
        <f aca="false">D26/$D$2</f>
        <v>-537.937988404336</v>
      </c>
      <c r="G26" s="1" t="n">
        <v>120</v>
      </c>
      <c r="H26" s="232" t="n">
        <v>0</v>
      </c>
      <c r="I26" s="129" t="n">
        <f aca="false">G26+H26</f>
        <v>120</v>
      </c>
      <c r="J26" s="130" t="n">
        <f aca="false">IF(L26&gt;0,L26,0)</f>
        <v>0</v>
      </c>
      <c r="K26" s="129" t="n">
        <f aca="false">I26+J26</f>
        <v>120</v>
      </c>
      <c r="L26" s="129" t="n">
        <f aca="false">F26-(I26-AJ26)</f>
        <v>-35.9379884043358</v>
      </c>
      <c r="M26" s="233" t="n">
        <v>214</v>
      </c>
      <c r="N26" s="149" t="n">
        <f aca="false">1.8299*1.03</f>
        <v>1.884797</v>
      </c>
      <c r="O26" s="129" t="n">
        <f aca="false">(38+34)*1.05</f>
        <v>75.6</v>
      </c>
      <c r="P26" s="149" t="n">
        <v>0</v>
      </c>
      <c r="Q26" s="8" t="n">
        <f aca="false">2.517*1.02</f>
        <v>2.56734</v>
      </c>
      <c r="R26" s="291" t="n">
        <v>4.2</v>
      </c>
      <c r="S26" s="291" t="n">
        <v>1.69</v>
      </c>
      <c r="T26" s="334" t="n">
        <v>0</v>
      </c>
      <c r="U26" s="129" t="n">
        <v>118</v>
      </c>
      <c r="V26" s="129" t="n">
        <v>69</v>
      </c>
      <c r="W26" s="129" t="n">
        <f aca="false">M26-N26-O26-P26-Q26-R26-S26-T26+U26+V26-AS26+AQ26</f>
        <v>315.057863</v>
      </c>
      <c r="X26" s="129" t="n">
        <f aca="false">W26-AN26</f>
        <v>315.057863</v>
      </c>
      <c r="Y26" s="102"/>
      <c r="Z26" s="129"/>
      <c r="AA26" s="102"/>
      <c r="AB26" s="102" t="n">
        <f aca="false">AB25-(W26-I26)-Q26-R26-AE26-(AP25/1.9835)</f>
        <v>465.452481940874</v>
      </c>
      <c r="AC26" s="200" t="n">
        <f aca="false">AC25</f>
        <v>3610.8</v>
      </c>
      <c r="AD26" s="129" t="n">
        <v>179</v>
      </c>
      <c r="AE26" s="131" t="n">
        <v>1.7</v>
      </c>
      <c r="AF26" s="132" t="n">
        <v>1.3</v>
      </c>
      <c r="AG26" s="472" t="n">
        <v>42</v>
      </c>
      <c r="AH26" s="416" t="n">
        <f aca="false">AH25-AG26</f>
        <v>7609.25787748929</v>
      </c>
      <c r="AI26" s="102"/>
      <c r="AJ26" s="128" t="n">
        <f aca="false">N26+O26+P26+Q26+R26+S26+T26+W26+AD26+AG26-AQ26</f>
        <v>622</v>
      </c>
      <c r="AK26" s="129" t="n">
        <f aca="false">IF(L26&lt;0,L26*-1,0)</f>
        <v>35.9379884043358</v>
      </c>
      <c r="AL26" s="129" t="n">
        <f aca="false">AJ26+AK26</f>
        <v>657.937988404336</v>
      </c>
      <c r="AM26" s="205" t="n">
        <f aca="false">AM25</f>
        <v>14971.25965</v>
      </c>
      <c r="AN26" s="200"/>
      <c r="AO26" s="92" t="n">
        <f aca="false">I26-Q26-R26-W26-AE26</f>
        <v>-203.525203</v>
      </c>
      <c r="AP26" s="149" t="n">
        <f aca="false">36.1*(Y26*1.9835+AB26*1.9835)/E26</f>
        <v>0.22817996758406</v>
      </c>
      <c r="AQ26" s="149"/>
      <c r="AR26" s="102"/>
      <c r="AU26" s="207" t="n">
        <v>0</v>
      </c>
      <c r="AV26" s="200" t="n">
        <v>78</v>
      </c>
      <c r="AW26" s="200" t="n">
        <v>47</v>
      </c>
      <c r="AX26" s="280"/>
      <c r="AY26" s="235" t="n">
        <f aca="false">SUM(N26,P26:T26)</f>
        <v>10.342137</v>
      </c>
    </row>
    <row r="27" customFormat="false" ht="12.95" hidden="false" customHeight="true" outlineLevel="0" collapsed="false">
      <c r="A27" s="173" t="n">
        <v>13</v>
      </c>
      <c r="B27" s="101" t="n">
        <v>6903.57</v>
      </c>
      <c r="C27" s="102" t="n">
        <v>296940</v>
      </c>
      <c r="D27" s="200" t="n">
        <f aca="false">C27-C26</f>
        <v>-1100</v>
      </c>
      <c r="E27" s="102" t="n">
        <f aca="false">C27-151978</f>
        <v>144962</v>
      </c>
      <c r="F27" s="231" t="n">
        <f aca="false">D27/$D$2</f>
        <v>-554.575245777666</v>
      </c>
      <c r="G27" s="1" t="n">
        <v>115</v>
      </c>
      <c r="H27" s="232" t="n">
        <v>0</v>
      </c>
      <c r="I27" s="129" t="n">
        <f aca="false">G27+H27</f>
        <v>115</v>
      </c>
      <c r="J27" s="130" t="n">
        <f aca="false">IF(L27&gt;0,L27,0)</f>
        <v>0</v>
      </c>
      <c r="K27" s="129" t="n">
        <f aca="false">I27+J27</f>
        <v>115</v>
      </c>
      <c r="L27" s="129" t="n">
        <f aca="false">F27-(I27-AJ27)</f>
        <v>-13.5752457776657</v>
      </c>
      <c r="M27" s="233" t="n">
        <v>231</v>
      </c>
      <c r="N27" s="149" t="n">
        <f aca="false">1.8299*1.03</f>
        <v>1.884797</v>
      </c>
      <c r="O27" s="129" t="n">
        <f aca="false">(37+37)*1.05</f>
        <v>77.7</v>
      </c>
      <c r="P27" s="149" t="n">
        <v>0</v>
      </c>
      <c r="Q27" s="8" t="n">
        <f aca="false">2.517*1.02</f>
        <v>2.56734</v>
      </c>
      <c r="R27" s="291" t="n">
        <v>4.2</v>
      </c>
      <c r="S27" s="291" t="n">
        <v>2.48</v>
      </c>
      <c r="T27" s="334" t="n">
        <v>0</v>
      </c>
      <c r="U27" s="129" t="n">
        <v>117</v>
      </c>
      <c r="V27" s="129" t="n">
        <v>68</v>
      </c>
      <c r="W27" s="129" t="n">
        <f aca="false">M27-N27-O27-P27-Q27-R27-S27-T27+U27+V27-AS27+AQ27</f>
        <v>327.167863</v>
      </c>
      <c r="X27" s="129" t="n">
        <f aca="false">W27-AN27</f>
        <v>327.167863</v>
      </c>
      <c r="Y27" s="102"/>
      <c r="Z27" s="129"/>
      <c r="AA27" s="102"/>
      <c r="AB27" s="102" t="n">
        <f aca="false">AB26-(W27-I27)-Q27-R27-AE27-(AP26/1.9835)</f>
        <v>244.70223988487</v>
      </c>
      <c r="AC27" s="200" t="n">
        <f aca="false">AC26</f>
        <v>3610.8</v>
      </c>
      <c r="AD27" s="129" t="n">
        <v>198</v>
      </c>
      <c r="AE27" s="131" t="n">
        <v>1.7</v>
      </c>
      <c r="AF27" s="132" t="n">
        <v>1.3</v>
      </c>
      <c r="AG27" s="472" t="n">
        <v>42</v>
      </c>
      <c r="AH27" s="416" t="n">
        <f aca="false">AH26-AG27</f>
        <v>7567.25787748929</v>
      </c>
      <c r="AI27" s="102"/>
      <c r="AJ27" s="128" t="n">
        <f aca="false">N27+O27+P27+Q27+R27+S27+T27+W27+AD27+AG27-AQ27</f>
        <v>656</v>
      </c>
      <c r="AK27" s="129" t="n">
        <f aca="false">IF(L27&lt;0,L27*-1,0)</f>
        <v>13.5752457776657</v>
      </c>
      <c r="AL27" s="129" t="n">
        <f aca="false">AJ27+AK27</f>
        <v>669.575245777666</v>
      </c>
      <c r="AM27" s="205" t="n">
        <f aca="false">AM26</f>
        <v>14971.25965</v>
      </c>
      <c r="AN27" s="200"/>
      <c r="AO27" s="92" t="n">
        <f aca="false">I27-Q27-R27-W27-AE27</f>
        <v>-220.635203</v>
      </c>
      <c r="AP27" s="149" t="n">
        <f aca="false">36.1*(Y27*1.9835+AB27*1.9835)/E27</f>
        <v>0.12087129613623</v>
      </c>
      <c r="AQ27" s="149"/>
      <c r="AR27" s="102"/>
      <c r="AT27" s="169" t="n">
        <v>23.6</v>
      </c>
      <c r="AU27" s="207" t="n">
        <v>0</v>
      </c>
      <c r="AV27" s="200" t="n">
        <v>79</v>
      </c>
      <c r="AW27" s="200" t="n">
        <v>52</v>
      </c>
      <c r="AX27" s="280"/>
      <c r="AY27" s="235" t="n">
        <f aca="false">SUM(N27,P27:T27)</f>
        <v>11.132137</v>
      </c>
    </row>
    <row r="28" customFormat="false" ht="12.95" hidden="false" customHeight="true" outlineLevel="0" collapsed="false">
      <c r="A28" s="173" t="n">
        <v>14</v>
      </c>
      <c r="B28" s="101" t="n">
        <v>6903.28</v>
      </c>
      <c r="C28" s="102" t="n">
        <v>295840</v>
      </c>
      <c r="D28" s="200" t="n">
        <f aca="false">C28-C27</f>
        <v>-1100</v>
      </c>
      <c r="E28" s="102" t="n">
        <f aca="false">C28-151978</f>
        <v>143862</v>
      </c>
      <c r="F28" s="231" t="n">
        <f aca="false">D28/$D$2</f>
        <v>-554.575245777666</v>
      </c>
      <c r="G28" s="1" t="n">
        <v>112</v>
      </c>
      <c r="H28" s="232" t="n">
        <v>0</v>
      </c>
      <c r="I28" s="129" t="n">
        <f aca="false">G28+H28</f>
        <v>112</v>
      </c>
      <c r="J28" s="130" t="n">
        <f aca="false">IF(L28&gt;0,L28,0)</f>
        <v>0</v>
      </c>
      <c r="K28" s="129" t="n">
        <f aca="false">I28+J28</f>
        <v>112</v>
      </c>
      <c r="L28" s="129" t="n">
        <f aca="false">F28-(I28-AJ28)</f>
        <v>-29.5752457776657</v>
      </c>
      <c r="M28" s="233" t="n">
        <v>214</v>
      </c>
      <c r="N28" s="149" t="n">
        <f aca="false">1.8299*1.03</f>
        <v>1.884797</v>
      </c>
      <c r="O28" s="129" t="n">
        <f aca="false">(34+34)*1.05</f>
        <v>71.4</v>
      </c>
      <c r="P28" s="149" t="n">
        <v>0</v>
      </c>
      <c r="Q28" s="8" t="n">
        <f aca="false">2.517*1.02</f>
        <v>2.56734</v>
      </c>
      <c r="R28" s="291" t="n">
        <v>4.2</v>
      </c>
      <c r="S28" s="291" t="n">
        <v>1.76</v>
      </c>
      <c r="T28" s="334" t="n">
        <v>0</v>
      </c>
      <c r="U28" s="129" t="n">
        <v>117</v>
      </c>
      <c r="V28" s="129" t="n">
        <v>66</v>
      </c>
      <c r="W28" s="129" t="n">
        <f aca="false">M28-N28-O28-P28-Q28-R28-S28-T28+U28+V28-AS28+AQ28</f>
        <v>315.187863</v>
      </c>
      <c r="X28" s="129" t="n">
        <f aca="false">W28-AN28</f>
        <v>315.187863</v>
      </c>
      <c r="Y28" s="102"/>
      <c r="Z28" s="129"/>
      <c r="AA28" s="102"/>
      <c r="AB28" s="102" t="n">
        <f aca="false">AB27-(W28-I28)-Q28-R28-AE28-(AP27/1.9835)</f>
        <v>32.9860984950863</v>
      </c>
      <c r="AC28" s="200" t="n">
        <f aca="false">AC27</f>
        <v>3610.8</v>
      </c>
      <c r="AD28" s="129" t="n">
        <v>198</v>
      </c>
      <c r="AE28" s="131" t="n">
        <v>1.7</v>
      </c>
      <c r="AF28" s="132" t="n">
        <v>1.3</v>
      </c>
      <c r="AG28" s="472" t="n">
        <v>42</v>
      </c>
      <c r="AH28" s="416" t="n">
        <f aca="false">AH27-AG28</f>
        <v>7525.25787748929</v>
      </c>
      <c r="AI28" s="102"/>
      <c r="AJ28" s="128" t="n">
        <f aca="false">N28+O28+P28+Q28+R28+S28+T28+W28+AD28+AG28-AQ28</f>
        <v>637</v>
      </c>
      <c r="AK28" s="129" t="n">
        <f aca="false">IF(L28&lt;0,L28*-1,0)</f>
        <v>29.5752457776657</v>
      </c>
      <c r="AL28" s="129" t="n">
        <f aca="false">AJ28+AK28</f>
        <v>666.575245777666</v>
      </c>
      <c r="AM28" s="205" t="n">
        <f aca="false">AM27</f>
        <v>14971.25965</v>
      </c>
      <c r="AN28" s="200"/>
      <c r="AO28" s="92" t="n">
        <f aca="false">I28-Q28-R28-W28-AE28</f>
        <v>-211.655203</v>
      </c>
      <c r="AP28" s="149" t="n">
        <f aca="false">36.1*(Y28*1.9835+AB28*1.9835)/E28</f>
        <v>0.0164181517132852</v>
      </c>
      <c r="AQ28" s="149"/>
      <c r="AR28" s="102"/>
      <c r="AT28" s="169" t="n">
        <f aca="false">O28</f>
        <v>71.4</v>
      </c>
      <c r="AU28" s="207" t="n">
        <v>0</v>
      </c>
      <c r="AV28" s="200" t="n">
        <v>78</v>
      </c>
      <c r="AW28" s="200" t="n">
        <v>49</v>
      </c>
      <c r="AX28" s="280"/>
      <c r="AY28" s="235" t="n">
        <f aca="false">SUM(N28,P28:T28)</f>
        <v>10.412137</v>
      </c>
    </row>
    <row r="29" customFormat="false" ht="12.95" hidden="false" customHeight="true" outlineLevel="0" collapsed="false">
      <c r="A29" s="173" t="n">
        <v>15</v>
      </c>
      <c r="B29" s="101" t="n">
        <v>6903.01</v>
      </c>
      <c r="C29" s="102" t="n">
        <v>294815</v>
      </c>
      <c r="D29" s="200" t="n">
        <f aca="false">C29-C28</f>
        <v>-1025</v>
      </c>
      <c r="E29" s="102" t="n">
        <f aca="false">C29-151978</f>
        <v>142837</v>
      </c>
      <c r="F29" s="231" t="n">
        <f aca="false">D29/$D$2</f>
        <v>-516.763297201916</v>
      </c>
      <c r="G29" s="1" t="n">
        <v>108</v>
      </c>
      <c r="H29" s="232" t="n">
        <v>0</v>
      </c>
      <c r="I29" s="129" t="n">
        <f aca="false">G29+H29</f>
        <v>108</v>
      </c>
      <c r="J29" s="130" t="n">
        <f aca="false">IF(L29&gt;0,L29,0)</f>
        <v>0</v>
      </c>
      <c r="K29" s="129" t="n">
        <f aca="false">I29+J29</f>
        <v>108</v>
      </c>
      <c r="L29" s="129" t="n">
        <f aca="false">F29-(I29-AJ29)</f>
        <v>-1.76329720191575</v>
      </c>
      <c r="M29" s="233" t="n">
        <v>217</v>
      </c>
      <c r="N29" s="149" t="n">
        <f aca="false">1.8299*1.03</f>
        <v>1.884797</v>
      </c>
      <c r="O29" s="129" t="n">
        <f aca="false">(34+34)*1.05</f>
        <v>71.4</v>
      </c>
      <c r="P29" s="149" t="n">
        <v>0</v>
      </c>
      <c r="Q29" s="8" t="n">
        <f aca="false">2.517*1.02</f>
        <v>2.56734</v>
      </c>
      <c r="R29" s="291" t="n">
        <v>4.2</v>
      </c>
      <c r="S29" s="291" t="n">
        <v>1.91</v>
      </c>
      <c r="T29" s="334" t="n">
        <v>0</v>
      </c>
      <c r="U29" s="129" t="n">
        <v>111</v>
      </c>
      <c r="V29" s="129" t="n">
        <v>66</v>
      </c>
      <c r="W29" s="129" t="n">
        <f aca="false">M29-N29-O29-P29-Q29-R29-S29-T29+U29+V29-AS29+AQ29</f>
        <v>312.037863</v>
      </c>
      <c r="X29" s="129" t="n">
        <f aca="false">W29-AN29</f>
        <v>312.037863</v>
      </c>
      <c r="Y29" s="102"/>
      <c r="Z29" s="129"/>
      <c r="AA29" s="102"/>
      <c r="AB29" s="102" t="n">
        <f aca="false">AB28-(W29-I29)-Q29-R29-AE29-(AP28/1.9835)+179.52</f>
        <v>-0.00738186902421489</v>
      </c>
      <c r="AC29" s="200" t="n">
        <f aca="false">AC28-179.52</f>
        <v>3431.28</v>
      </c>
      <c r="AD29" s="129" t="n">
        <v>187</v>
      </c>
      <c r="AE29" s="131" t="n">
        <v>1.7</v>
      </c>
      <c r="AF29" s="132" t="n">
        <v>1.3</v>
      </c>
      <c r="AG29" s="472" t="n">
        <v>42</v>
      </c>
      <c r="AH29" s="416" t="n">
        <f aca="false">AH28-AG29</f>
        <v>7483.25787748929</v>
      </c>
      <c r="AI29" s="102"/>
      <c r="AJ29" s="128" t="n">
        <f aca="false">N29+O29+P29+Q29+R29+S29+T29+W29+AD29+AG29-AQ29</f>
        <v>623</v>
      </c>
      <c r="AK29" s="129" t="n">
        <f aca="false">IF(L29&lt;0,L29*-1,0)</f>
        <v>1.76329720191575</v>
      </c>
      <c r="AL29" s="129" t="n">
        <f aca="false">AJ29+AK29</f>
        <v>624.763297201916</v>
      </c>
      <c r="AM29" s="205" t="n">
        <f aca="false">AM28</f>
        <v>14971.25965</v>
      </c>
      <c r="AN29" s="200"/>
      <c r="AO29" s="92" t="n">
        <f aca="false">I29-Q29-R29-W29-AE29</f>
        <v>-212.505203</v>
      </c>
      <c r="AP29" s="149" t="n">
        <f aca="false">36.1*(Y29*1.9835+AB29*1.9835)/E29</f>
        <v>-3.70053930889085E-006</v>
      </c>
      <c r="AQ29" s="149"/>
      <c r="AR29" s="102"/>
      <c r="AT29" s="169" t="n">
        <f aca="false">O29</f>
        <v>71.4</v>
      </c>
      <c r="AU29" s="207" t="n">
        <v>0</v>
      </c>
      <c r="AV29" s="200" t="n">
        <v>77</v>
      </c>
      <c r="AW29" s="200" t="n">
        <v>48</v>
      </c>
      <c r="AX29" s="280"/>
      <c r="AY29" s="235" t="n">
        <f aca="false">SUM(N29,P29:T29)</f>
        <v>10.562137</v>
      </c>
    </row>
    <row r="30" customFormat="false" ht="12.95" hidden="false" customHeight="true" outlineLevel="0" collapsed="false">
      <c r="A30" s="173" t="n">
        <v>16</v>
      </c>
      <c r="B30" s="101" t="n">
        <v>6902.72</v>
      </c>
      <c r="C30" s="102" t="n">
        <v>293724</v>
      </c>
      <c r="D30" s="200" t="n">
        <f aca="false">C30-C29</f>
        <v>-1091</v>
      </c>
      <c r="E30" s="102" t="n">
        <f aca="false">C30-151978</f>
        <v>141746</v>
      </c>
      <c r="F30" s="231" t="n">
        <f aca="false">D30/$D$2</f>
        <v>-550.037811948576</v>
      </c>
      <c r="G30" s="1" t="n">
        <v>106</v>
      </c>
      <c r="H30" s="232" t="n">
        <v>0</v>
      </c>
      <c r="I30" s="129" t="n">
        <f aca="false">G30+H30</f>
        <v>106</v>
      </c>
      <c r="J30" s="130" t="n">
        <f aca="false">IF(L30&gt;0,L30,0)</f>
        <v>0</v>
      </c>
      <c r="K30" s="129" t="n">
        <f aca="false">I30+J30</f>
        <v>106</v>
      </c>
      <c r="L30" s="129" t="n">
        <f aca="false">F30-(I30-AJ30)</f>
        <v>-13.0378119485757</v>
      </c>
      <c r="M30" s="233" t="n">
        <v>225</v>
      </c>
      <c r="N30" s="149" t="n">
        <f aca="false">1.8299*1.03</f>
        <v>1.884797</v>
      </c>
      <c r="O30" s="129" t="n">
        <f aca="false">(40+38)*1.05</f>
        <v>81.9</v>
      </c>
      <c r="P30" s="149" t="n">
        <v>0</v>
      </c>
      <c r="Q30" s="8" t="n">
        <f aca="false">2.517*1.02</f>
        <v>2.56734</v>
      </c>
      <c r="R30" s="291" t="n">
        <v>4.2</v>
      </c>
      <c r="S30" s="291" t="n">
        <v>2.75</v>
      </c>
      <c r="T30" s="334" t="n">
        <v>0</v>
      </c>
      <c r="U30" s="129" t="n">
        <v>110</v>
      </c>
      <c r="V30" s="129" t="n">
        <v>68</v>
      </c>
      <c r="W30" s="129" t="n">
        <f aca="false">M30-N30-O30-P30-Q30-R30-S30-T30+U30+V30-AS30+AQ30</f>
        <v>309.697863</v>
      </c>
      <c r="X30" s="129" t="n">
        <f aca="false">W30-AN30</f>
        <v>309.697863</v>
      </c>
      <c r="Y30" s="102"/>
      <c r="Z30" s="129"/>
      <c r="AA30" s="102"/>
      <c r="AB30" s="102"/>
      <c r="AC30" s="200" t="n">
        <f aca="false">AC29-(W30-I30)-Q30-R30-AE30</f>
        <v>3219.114797</v>
      </c>
      <c r="AD30" s="129" t="n">
        <v>197</v>
      </c>
      <c r="AE30" s="131" t="n">
        <v>1.7</v>
      </c>
      <c r="AF30" s="132" t="n">
        <v>1.3</v>
      </c>
      <c r="AG30" s="472" t="n">
        <v>43</v>
      </c>
      <c r="AH30" s="416" t="n">
        <f aca="false">AH29-AG30</f>
        <v>7440.25787748929</v>
      </c>
      <c r="AI30" s="102"/>
      <c r="AJ30" s="128" t="n">
        <f aca="false">N30+O30+P30+Q30+R30+S30+T30+W30+AD30+AG30-AQ30</f>
        <v>643</v>
      </c>
      <c r="AK30" s="129" t="n">
        <f aca="false">IF(L30&lt;0,L30*-1,0)</f>
        <v>13.0378119485757</v>
      </c>
      <c r="AL30" s="129" t="n">
        <f aca="false">AJ30+AK30</f>
        <v>656.037811948576</v>
      </c>
      <c r="AM30" s="205" t="n">
        <f aca="false">AM29</f>
        <v>14971.25965</v>
      </c>
      <c r="AN30" s="200"/>
      <c r="AO30" s="92" t="n">
        <f aca="false">I30-Q30-R30-W30-AE30</f>
        <v>-212.165203</v>
      </c>
      <c r="AP30" s="149" t="n">
        <f aca="false">36.1*(Y30*1.9835+AB30*1.9835)/E30</f>
        <v>0</v>
      </c>
      <c r="AQ30" s="149"/>
      <c r="AR30" s="102"/>
      <c r="AT30" s="169" t="n">
        <f aca="false">O30</f>
        <v>81.9</v>
      </c>
      <c r="AU30" s="207" t="n">
        <v>0</v>
      </c>
      <c r="AV30" s="200" t="n">
        <v>80</v>
      </c>
      <c r="AW30" s="200" t="n">
        <v>48</v>
      </c>
      <c r="AX30" s="280"/>
      <c r="AY30" s="235" t="n">
        <f aca="false">SUM(N30,P30:T30)</f>
        <v>11.402137</v>
      </c>
    </row>
    <row r="31" customFormat="false" ht="12.95" hidden="false" customHeight="true" outlineLevel="0" collapsed="false">
      <c r="A31" s="173" t="n">
        <v>17</v>
      </c>
      <c r="B31" s="101" t="n">
        <v>6902.42</v>
      </c>
      <c r="C31" s="102" t="n">
        <v>292595</v>
      </c>
      <c r="D31" s="200" t="n">
        <f aca="false">C31-C30</f>
        <v>-1129</v>
      </c>
      <c r="E31" s="102" t="n">
        <f aca="false">C31-151978</f>
        <v>140617</v>
      </c>
      <c r="F31" s="231" t="n">
        <f aca="false">D31/$D$2</f>
        <v>-569.195865893622</v>
      </c>
      <c r="G31" s="1" t="n">
        <v>100</v>
      </c>
      <c r="H31" s="232" t="n">
        <v>0</v>
      </c>
      <c r="I31" s="129" t="n">
        <f aca="false">G31+H31</f>
        <v>100</v>
      </c>
      <c r="J31" s="130" t="n">
        <f aca="false">IF(L31&gt;0,L31,0)</f>
        <v>0</v>
      </c>
      <c r="K31" s="129" t="n">
        <f aca="false">I31+J31</f>
        <v>100</v>
      </c>
      <c r="L31" s="129" t="n">
        <f aca="false">F31-(I31-AJ31)</f>
        <v>-24.1958658936223</v>
      </c>
      <c r="M31" s="233" t="n">
        <v>233</v>
      </c>
      <c r="N31" s="149" t="n">
        <f aca="false">1.8299*1.03</f>
        <v>1.884797</v>
      </c>
      <c r="O31" s="129" t="n">
        <f aca="false">(40+37)*1.05</f>
        <v>80.85</v>
      </c>
      <c r="P31" s="149" t="n">
        <v>0</v>
      </c>
      <c r="Q31" s="8" t="n">
        <f aca="false">2.517*1.02</f>
        <v>2.56734</v>
      </c>
      <c r="R31" s="291" t="n">
        <v>4.2</v>
      </c>
      <c r="S31" s="291" t="n">
        <v>2.61</v>
      </c>
      <c r="T31" s="334" t="n">
        <v>0</v>
      </c>
      <c r="U31" s="129" t="n">
        <v>112</v>
      </c>
      <c r="V31" s="129" t="n">
        <v>70</v>
      </c>
      <c r="W31" s="129" t="n">
        <f aca="false">M31-N31-O31-P31-Q31-R31-S31-T31+U31+V31-AS31+AQ31</f>
        <v>322.887863</v>
      </c>
      <c r="X31" s="129" t="n">
        <f aca="false">W31-AN31</f>
        <v>322.887863</v>
      </c>
      <c r="Y31" s="102"/>
      <c r="Z31" s="129"/>
      <c r="AA31" s="102"/>
      <c r="AB31" s="102"/>
      <c r="AC31" s="200" t="n">
        <f aca="false">AC30-(W31-I31)-Q31-R31-AE31</f>
        <v>2987.759594</v>
      </c>
      <c r="AD31" s="129" t="n">
        <v>187</v>
      </c>
      <c r="AE31" s="131" t="n">
        <v>1.7</v>
      </c>
      <c r="AF31" s="132" t="n">
        <v>1.3</v>
      </c>
      <c r="AG31" s="472" t="n">
        <v>43</v>
      </c>
      <c r="AH31" s="416" t="n">
        <f aca="false">AH30-AG31</f>
        <v>7397.25787748929</v>
      </c>
      <c r="AI31" s="102"/>
      <c r="AJ31" s="128" t="n">
        <f aca="false">N31+O31+P31+Q31+R31+S31+T31+W31+AD31+AG31-AQ31</f>
        <v>645</v>
      </c>
      <c r="AK31" s="129" t="n">
        <f aca="false">IF(L31&lt;0,L31*-1,0)</f>
        <v>24.1958658936223</v>
      </c>
      <c r="AL31" s="129" t="n">
        <f aca="false">AJ31+AK31</f>
        <v>669.195865893622</v>
      </c>
      <c r="AM31" s="205" t="n">
        <f aca="false">AM30</f>
        <v>14971.25965</v>
      </c>
      <c r="AN31" s="200"/>
      <c r="AO31" s="92" t="n">
        <f aca="false">I31-Q31-R31-W31-AE31</f>
        <v>-231.355203</v>
      </c>
      <c r="AP31" s="149" t="n">
        <f aca="false">36.1*(Y31*1.9835+AB31*1.9835)/E31</f>
        <v>0</v>
      </c>
      <c r="AQ31" s="149"/>
      <c r="AR31" s="102"/>
      <c r="AT31" s="169" t="n">
        <f aca="false">O31</f>
        <v>80.85</v>
      </c>
      <c r="AU31" s="207" t="n">
        <v>0</v>
      </c>
      <c r="AV31" s="200" t="n">
        <v>82</v>
      </c>
      <c r="AW31" s="200" t="n">
        <v>49</v>
      </c>
      <c r="AX31" s="280"/>
      <c r="AY31" s="235" t="n">
        <f aca="false">SUM(N31,P31:T31)</f>
        <v>11.262137</v>
      </c>
    </row>
    <row r="32" customFormat="false" ht="12.95" hidden="false" customHeight="true" outlineLevel="0" collapsed="false">
      <c r="A32" s="173" t="n">
        <v>18</v>
      </c>
      <c r="B32" s="101" t="n">
        <v>6902.14</v>
      </c>
      <c r="C32" s="102" t="n">
        <v>291541</v>
      </c>
      <c r="D32" s="200" t="n">
        <f aca="false">C32-C31</f>
        <v>-1054</v>
      </c>
      <c r="E32" s="102" t="n">
        <f aca="false">C32-151978</f>
        <v>139563</v>
      </c>
      <c r="F32" s="231" t="n">
        <f aca="false">D32/$D$2</f>
        <v>-531.383917317872</v>
      </c>
      <c r="G32" s="1" t="n">
        <v>123</v>
      </c>
      <c r="H32" s="232" t="n">
        <v>0</v>
      </c>
      <c r="I32" s="129" t="n">
        <f aca="false">G32+H32</f>
        <v>123</v>
      </c>
      <c r="J32" s="130" t="n">
        <f aca="false">IF(L32&gt;0,L32,0)</f>
        <v>0</v>
      </c>
      <c r="K32" s="129" t="n">
        <f aca="false">I32+J32</f>
        <v>123</v>
      </c>
      <c r="L32" s="129" t="n">
        <f aca="false">F32-(I32-AJ32)</f>
        <v>-19.3839173178725</v>
      </c>
      <c r="M32" s="233" t="n">
        <v>224</v>
      </c>
      <c r="N32" s="149" t="n">
        <f aca="false">1.8299*1.03</f>
        <v>1.884797</v>
      </c>
      <c r="O32" s="129" t="n">
        <f aca="false">(39+35)*1.05</f>
        <v>77.7</v>
      </c>
      <c r="P32" s="149" t="n">
        <v>0</v>
      </c>
      <c r="Q32" s="8" t="n">
        <f aca="false">2.517*1.02</f>
        <v>2.56734</v>
      </c>
      <c r="R32" s="291" t="n">
        <v>4.2</v>
      </c>
      <c r="S32" s="291" t="n">
        <v>2.58</v>
      </c>
      <c r="T32" s="334" t="n">
        <v>0</v>
      </c>
      <c r="U32" s="129" t="n">
        <v>112</v>
      </c>
      <c r="V32" s="129" t="n">
        <v>70</v>
      </c>
      <c r="W32" s="129" t="n">
        <f aca="false">M32-N32-O32-P32-Q32-R32-S32-T32+U32+V32-AS32+AQ32</f>
        <v>317.067863</v>
      </c>
      <c r="X32" s="129" t="n">
        <f aca="false">W32-AN32</f>
        <v>317.067863</v>
      </c>
      <c r="Y32" s="102"/>
      <c r="Z32" s="129"/>
      <c r="AA32" s="102"/>
      <c r="AB32" s="102"/>
      <c r="AC32" s="200" t="n">
        <f aca="false">AC31-(W32-I32)-Q32-R32-AE32</f>
        <v>2785.224391</v>
      </c>
      <c r="AD32" s="129" t="n">
        <v>186</v>
      </c>
      <c r="AE32" s="131" t="n">
        <v>1.7</v>
      </c>
      <c r="AF32" s="132" t="n">
        <v>1.3</v>
      </c>
      <c r="AG32" s="472" t="n">
        <v>43</v>
      </c>
      <c r="AH32" s="416" t="n">
        <f aca="false">AH31-AG32</f>
        <v>7354.25787748929</v>
      </c>
      <c r="AI32" s="102"/>
      <c r="AJ32" s="128" t="n">
        <f aca="false">N32+O32+P32+Q32+R32+S32+T32+W32+AD32+AG32-AQ32</f>
        <v>635</v>
      </c>
      <c r="AK32" s="129" t="n">
        <f aca="false">IF(L32&lt;0,L32*-1,0)</f>
        <v>19.3839173178725</v>
      </c>
      <c r="AL32" s="129" t="n">
        <f aca="false">AJ32+AK32</f>
        <v>654.383917317873</v>
      </c>
      <c r="AM32" s="205" t="n">
        <f aca="false">AM31</f>
        <v>14971.25965</v>
      </c>
      <c r="AN32" s="200"/>
      <c r="AO32" s="92" t="n">
        <f aca="false">I32-Q32-R32-W32-AE32</f>
        <v>-202.535203</v>
      </c>
      <c r="AP32" s="149" t="n">
        <f aca="false">36.1*(Y32*1.9835+AB32*1.9835)/E32</f>
        <v>0</v>
      </c>
      <c r="AQ32" s="149"/>
      <c r="AR32" s="102"/>
      <c r="AT32" s="169" t="n">
        <f aca="false">O32</f>
        <v>77.7</v>
      </c>
      <c r="AU32" s="207" t="n">
        <v>0</v>
      </c>
      <c r="AV32" s="200" t="n">
        <v>83</v>
      </c>
      <c r="AW32" s="200" t="n">
        <v>49</v>
      </c>
      <c r="AX32" s="280"/>
      <c r="AY32" s="235" t="n">
        <f aca="false">SUM(N32,P32:T32)</f>
        <v>11.232137</v>
      </c>
    </row>
    <row r="33" customFormat="false" ht="12.95" hidden="false" customHeight="true" outlineLevel="0" collapsed="false">
      <c r="A33" s="173" t="n">
        <v>19</v>
      </c>
      <c r="B33" s="101" t="n">
        <v>6901.88</v>
      </c>
      <c r="C33" s="102" t="n">
        <v>290567</v>
      </c>
      <c r="D33" s="200" t="n">
        <f aca="false">C33-C32</f>
        <v>-974</v>
      </c>
      <c r="E33" s="102" t="n">
        <f aca="false">C33-151978</f>
        <v>138589</v>
      </c>
      <c r="F33" s="231" t="n">
        <f aca="false">D33/$D$2</f>
        <v>-491.051172170406</v>
      </c>
      <c r="G33" s="1" t="n">
        <v>129</v>
      </c>
      <c r="H33" s="232" t="n">
        <v>0</v>
      </c>
      <c r="I33" s="129" t="n">
        <f aca="false">G33+H33</f>
        <v>129</v>
      </c>
      <c r="J33" s="130" t="n">
        <f aca="false">IF(L33&gt;0,L33,0)</f>
        <v>0</v>
      </c>
      <c r="K33" s="129" t="n">
        <f aca="false">I33+J33</f>
        <v>129</v>
      </c>
      <c r="L33" s="129" t="n">
        <f aca="false">F33-(I33-AJ33)</f>
        <v>-34.0511721704058</v>
      </c>
      <c r="M33" s="233" t="n">
        <v>214</v>
      </c>
      <c r="N33" s="149" t="n">
        <f aca="false">1.8299*1.03</f>
        <v>1.884797</v>
      </c>
      <c r="O33" s="129" t="n">
        <f aca="false">(33+32)*1.05</f>
        <v>68.25</v>
      </c>
      <c r="P33" s="149" t="n">
        <v>0</v>
      </c>
      <c r="Q33" s="8" t="n">
        <f aca="false">2.517*1.02</f>
        <v>2.56734</v>
      </c>
      <c r="R33" s="291" t="n">
        <v>4.2</v>
      </c>
      <c r="S33" s="291" t="n">
        <v>2.5</v>
      </c>
      <c r="T33" s="334" t="n">
        <v>0</v>
      </c>
      <c r="U33" s="129" t="n">
        <v>112</v>
      </c>
      <c r="V33" s="129" t="n">
        <v>70</v>
      </c>
      <c r="W33" s="129" t="n">
        <f aca="false">M33-N33-O33-P33-Q33-R33-S33-T33+U33+V33-AS33+AQ33</f>
        <v>316.597863</v>
      </c>
      <c r="X33" s="129" t="n">
        <f aca="false">W33-AN33</f>
        <v>316.597863</v>
      </c>
      <c r="Y33" s="102"/>
      <c r="Z33" s="129"/>
      <c r="AA33" s="102"/>
      <c r="AB33" s="102"/>
      <c r="AC33" s="200" t="n">
        <f aca="false">AC32-(W33-I33)-Q33-R33-AE33</f>
        <v>2589.159188</v>
      </c>
      <c r="AD33" s="129" t="n">
        <v>147</v>
      </c>
      <c r="AE33" s="131" t="n">
        <v>1.7</v>
      </c>
      <c r="AF33" s="132" t="n">
        <v>1.3</v>
      </c>
      <c r="AG33" s="472" t="n">
        <v>43</v>
      </c>
      <c r="AH33" s="416" t="n">
        <f aca="false">AH32-AG33</f>
        <v>7311.25787748929</v>
      </c>
      <c r="AI33" s="102"/>
      <c r="AJ33" s="128" t="n">
        <f aca="false">N33+O33+P33+Q33+R33+S33+T33+W33+AD33+AG33-AQ33</f>
        <v>586</v>
      </c>
      <c r="AK33" s="129" t="n">
        <f aca="false">IF(L33&lt;0,L33*-1,0)</f>
        <v>34.0511721704058</v>
      </c>
      <c r="AL33" s="129" t="n">
        <f aca="false">AJ33+AK33</f>
        <v>620.051172170406</v>
      </c>
      <c r="AM33" s="205" t="n">
        <f aca="false">AM32</f>
        <v>14971.25965</v>
      </c>
      <c r="AN33" s="200"/>
      <c r="AO33" s="92" t="n">
        <f aca="false">I33-Q33-R33-W33-AE33</f>
        <v>-196.065203</v>
      </c>
      <c r="AP33" s="149" t="n">
        <f aca="false">36.1*(Y33*1.9835+AB33*1.9835)/E33</f>
        <v>0</v>
      </c>
      <c r="AQ33" s="149"/>
      <c r="AR33" s="102"/>
      <c r="AT33" s="169" t="n">
        <f aca="false">O33</f>
        <v>68.25</v>
      </c>
      <c r="AU33" s="207" t="n">
        <v>0</v>
      </c>
      <c r="AV33" s="200" t="n">
        <v>84</v>
      </c>
      <c r="AW33" s="200" t="n">
        <v>52</v>
      </c>
      <c r="AX33" s="280"/>
      <c r="AY33" s="235" t="n">
        <f aca="false">SUM(N33,P33:T33)</f>
        <v>11.152137</v>
      </c>
    </row>
    <row r="34" customFormat="false" ht="12.95" hidden="false" customHeight="true" outlineLevel="0" collapsed="false">
      <c r="A34" s="173" t="n">
        <v>20</v>
      </c>
      <c r="B34" s="101" t="n">
        <v>6901.59</v>
      </c>
      <c r="C34" s="102" t="n">
        <v>289484</v>
      </c>
      <c r="D34" s="200" t="n">
        <f aca="false">C34-C33</f>
        <v>-1083</v>
      </c>
      <c r="E34" s="102" t="n">
        <f aca="false">C34-151978</f>
        <v>137506</v>
      </c>
      <c r="F34" s="231" t="n">
        <f aca="false">D34/$D$2</f>
        <v>-546.004537433829</v>
      </c>
      <c r="G34" s="1" t="n">
        <v>131</v>
      </c>
      <c r="H34" s="232" t="n">
        <v>0</v>
      </c>
      <c r="I34" s="129" t="n">
        <f aca="false">G34+H34</f>
        <v>131</v>
      </c>
      <c r="J34" s="130" t="n">
        <f aca="false">IF(L34&gt;0,L34,0)</f>
        <v>0</v>
      </c>
      <c r="K34" s="129" t="n">
        <f aca="false">I34+J34</f>
        <v>131</v>
      </c>
      <c r="L34" s="129" t="n">
        <f aca="false">F34-(I34-AJ34)</f>
        <v>-37.0045374338291</v>
      </c>
      <c r="M34" s="233" t="n">
        <v>232</v>
      </c>
      <c r="N34" s="149" t="n">
        <v>0</v>
      </c>
      <c r="O34" s="129" t="n">
        <f aca="false">(32+32)*1.05</f>
        <v>67.2</v>
      </c>
      <c r="P34" s="149" t="n">
        <v>0</v>
      </c>
      <c r="Q34" s="8" t="n">
        <f aca="false">2.517*1.02</f>
        <v>2.56734</v>
      </c>
      <c r="R34" s="291" t="n">
        <v>4.2</v>
      </c>
      <c r="S34" s="291" t="n">
        <v>2.43</v>
      </c>
      <c r="T34" s="334" t="n">
        <v>0</v>
      </c>
      <c r="U34" s="129" t="n">
        <v>111</v>
      </c>
      <c r="V34" s="129" t="n">
        <v>71</v>
      </c>
      <c r="W34" s="129" t="n">
        <f aca="false">M34-N34-O34-P34-Q34-R34-S34-T34+U34+V34-AS34+AQ34</f>
        <v>337.60266</v>
      </c>
      <c r="X34" s="129" t="n">
        <f aca="false">W34-AN34</f>
        <v>337.60266</v>
      </c>
      <c r="Y34" s="102"/>
      <c r="Z34" s="129"/>
      <c r="AA34" s="102"/>
      <c r="AB34" s="102"/>
      <c r="AC34" s="200" t="n">
        <f aca="false">AC33-(W34-I34)-Q34-R34-AE34</f>
        <v>2374.089188</v>
      </c>
      <c r="AD34" s="129" t="n">
        <v>184</v>
      </c>
      <c r="AE34" s="131" t="n">
        <v>1.7</v>
      </c>
      <c r="AF34" s="132" t="n">
        <v>1.3</v>
      </c>
      <c r="AG34" s="472" t="n">
        <v>42</v>
      </c>
      <c r="AH34" s="416" t="n">
        <f aca="false">AH33-AG34</f>
        <v>7269.25787748929</v>
      </c>
      <c r="AI34" s="102"/>
      <c r="AJ34" s="128" t="n">
        <f aca="false">N34+O34+P34+Q34+R34+S34+T34+W34+AD34+AG34-AQ34</f>
        <v>640</v>
      </c>
      <c r="AK34" s="129" t="n">
        <f aca="false">IF(L34&lt;0,L34*-1,0)</f>
        <v>37.0045374338291</v>
      </c>
      <c r="AL34" s="129" t="n">
        <f aca="false">AJ34+AK34</f>
        <v>677.004537433829</v>
      </c>
      <c r="AM34" s="205" t="n">
        <f aca="false">AM33</f>
        <v>14971.25965</v>
      </c>
      <c r="AN34" s="200"/>
      <c r="AO34" s="92" t="n">
        <f aca="false">I34-Q34-R34-W34-AE34</f>
        <v>-215.07</v>
      </c>
      <c r="AP34" s="149" t="n">
        <f aca="false">36.1*(Y34*1.9835+AB34*1.9835)/E34</f>
        <v>0</v>
      </c>
      <c r="AQ34" s="149"/>
      <c r="AR34" s="102"/>
      <c r="AT34" s="169" t="n">
        <f aca="false">O34</f>
        <v>67.2</v>
      </c>
      <c r="AU34" s="207" t="n">
        <v>0</v>
      </c>
      <c r="AV34" s="200" t="n">
        <v>77</v>
      </c>
      <c r="AW34" s="200" t="n">
        <v>58</v>
      </c>
      <c r="AX34" s="280"/>
      <c r="AY34" s="235" t="n">
        <f aca="false">SUM(N34,P34:T34)</f>
        <v>9.19734</v>
      </c>
    </row>
    <row r="35" customFormat="false" ht="12.95" hidden="false" customHeight="true" outlineLevel="0" collapsed="false">
      <c r="A35" s="173" t="n">
        <v>21</v>
      </c>
      <c r="B35" s="101" t="n">
        <v>6901.32</v>
      </c>
      <c r="C35" s="102" t="n">
        <v>288476</v>
      </c>
      <c r="D35" s="200" t="n">
        <f aca="false">C35-C34</f>
        <v>-1008</v>
      </c>
      <c r="E35" s="102" t="n">
        <f aca="false">C35-151978</f>
        <v>136498</v>
      </c>
      <c r="F35" s="231" t="n">
        <f aca="false">D35/$D$2</f>
        <v>-508.192588858079</v>
      </c>
      <c r="G35" s="1" t="n">
        <v>132</v>
      </c>
      <c r="H35" s="232" t="n">
        <v>0</v>
      </c>
      <c r="I35" s="129" t="n">
        <f aca="false">G35+H35</f>
        <v>132</v>
      </c>
      <c r="J35" s="130" t="n">
        <f aca="false">IF(L35&gt;0,L35,0)</f>
        <v>0.807411141920852</v>
      </c>
      <c r="K35" s="129" t="n">
        <f aca="false">I35+J35</f>
        <v>132.807411141921</v>
      </c>
      <c r="L35" s="129" t="n">
        <f aca="false">F35-(I35-AJ35)</f>
        <v>0.807411141920852</v>
      </c>
      <c r="M35" s="233" t="n">
        <v>228</v>
      </c>
      <c r="N35" s="149" t="n">
        <v>0</v>
      </c>
      <c r="O35" s="129" t="n">
        <f aca="false">(34+33)*1.05</f>
        <v>70.35</v>
      </c>
      <c r="P35" s="149" t="n">
        <v>0</v>
      </c>
      <c r="Q35" s="8" t="n">
        <f aca="false">2.517*1.02</f>
        <v>2.56734</v>
      </c>
      <c r="R35" s="291" t="n">
        <v>4.2</v>
      </c>
      <c r="S35" s="291" t="n">
        <v>2.35</v>
      </c>
      <c r="T35" s="334" t="n">
        <v>0</v>
      </c>
      <c r="U35" s="129" t="n">
        <v>115</v>
      </c>
      <c r="V35" s="129" t="n">
        <v>73</v>
      </c>
      <c r="W35" s="129" t="n">
        <f aca="false">M35-N35-O35-P35-Q35-R35-S35-T35+U35+V35-AS35+AQ35</f>
        <v>336.53266</v>
      </c>
      <c r="X35" s="129" t="n">
        <f aca="false">W35-AN35</f>
        <v>278.53266</v>
      </c>
      <c r="Y35" s="102"/>
      <c r="Z35" s="129"/>
      <c r="AA35" s="102"/>
      <c r="AB35" s="102"/>
      <c r="AC35" s="200" t="n">
        <f aca="false">AC34-(W35-I35)-Q35-R35-AE35</f>
        <v>2161.089188</v>
      </c>
      <c r="AD35" s="129" t="n">
        <v>183</v>
      </c>
      <c r="AE35" s="131" t="n">
        <v>1.7</v>
      </c>
      <c r="AF35" s="132" t="n">
        <v>1.3</v>
      </c>
      <c r="AG35" s="472" t="n">
        <v>42</v>
      </c>
      <c r="AH35" s="416" t="n">
        <f aca="false">AH34-AG35</f>
        <v>7227.25787748929</v>
      </c>
      <c r="AI35" s="102"/>
      <c r="AJ35" s="128" t="n">
        <f aca="false">N35+O35+P35+Q35+R35+S35+T35+W35+AD35+AG35-AQ35</f>
        <v>641</v>
      </c>
      <c r="AK35" s="129" t="n">
        <f aca="false">IF(L35&lt;0,L35*-1,0)</f>
        <v>0</v>
      </c>
      <c r="AL35" s="129" t="n">
        <f aca="false">AJ35+AK35</f>
        <v>641</v>
      </c>
      <c r="AM35" s="205" t="n">
        <f aca="false">AM34</f>
        <v>14971.25965</v>
      </c>
      <c r="AN35" s="200" t="n">
        <v>58</v>
      </c>
      <c r="AO35" s="92" t="n">
        <f aca="false">I35-Q35-R35-W35-AE35</f>
        <v>-213</v>
      </c>
      <c r="AP35" s="149" t="n">
        <f aca="false">36.1*(Y35*1.9835+AB35*1.9835)/E35</f>
        <v>0</v>
      </c>
      <c r="AQ35" s="149"/>
      <c r="AR35" s="102"/>
      <c r="AT35" s="169" t="n">
        <f aca="false">O35</f>
        <v>70.35</v>
      </c>
      <c r="AU35" s="207" t="n">
        <v>0</v>
      </c>
      <c r="AV35" s="200" t="n">
        <v>78</v>
      </c>
      <c r="AW35" s="200" t="n">
        <v>50</v>
      </c>
      <c r="AX35" s="280"/>
      <c r="AY35" s="235" t="n">
        <f aca="false">SUM(N35,P35:T35)</f>
        <v>9.11734</v>
      </c>
    </row>
    <row r="36" customFormat="false" ht="12.95" hidden="false" customHeight="true" outlineLevel="0" collapsed="false">
      <c r="A36" s="173" t="n">
        <v>22</v>
      </c>
      <c r="B36" s="101" t="n">
        <v>6901.19</v>
      </c>
      <c r="C36" s="102" t="n">
        <v>287991</v>
      </c>
      <c r="D36" s="200" t="n">
        <f aca="false">C36-C35</f>
        <v>-485</v>
      </c>
      <c r="E36" s="102" t="n">
        <f aca="false">C36-151978</f>
        <v>136013</v>
      </c>
      <c r="F36" s="231" t="n">
        <f aca="false">D36/$D$2</f>
        <v>-244.517267456516</v>
      </c>
      <c r="G36" s="1" t="n">
        <v>149</v>
      </c>
      <c r="H36" s="232" t="n">
        <v>0</v>
      </c>
      <c r="I36" s="129" t="n">
        <f aca="false">G36+H36</f>
        <v>149</v>
      </c>
      <c r="J36" s="130" t="n">
        <f aca="false">IF(L36&gt;0,L36,0)</f>
        <v>165.482732543484</v>
      </c>
      <c r="K36" s="129" t="n">
        <f aca="false">I36+J36</f>
        <v>314.482732543484</v>
      </c>
      <c r="L36" s="129" t="n">
        <f aca="false">F36-(I36-AJ36)</f>
        <v>165.482732543484</v>
      </c>
      <c r="M36" s="233" t="n">
        <v>185</v>
      </c>
      <c r="N36" s="149" t="n">
        <v>0</v>
      </c>
      <c r="O36" s="129" t="n">
        <f aca="false">(32+27)*1.05</f>
        <v>61.95</v>
      </c>
      <c r="P36" s="149" t="n">
        <v>0</v>
      </c>
      <c r="Q36" s="8" t="n">
        <f aca="false">2.517*1.02</f>
        <v>2.56734</v>
      </c>
      <c r="R36" s="291" t="n">
        <v>3.66</v>
      </c>
      <c r="S36" s="291" t="n">
        <v>0</v>
      </c>
      <c r="T36" s="334" t="n">
        <v>0</v>
      </c>
      <c r="U36" s="129" t="n">
        <v>117</v>
      </c>
      <c r="V36" s="129" t="n">
        <v>74</v>
      </c>
      <c r="W36" s="129" t="n">
        <f aca="false">M36-N36-O36-P36-Q36-R36-S36-T36+U36+V36-AS36+AQ36</f>
        <v>307.82266</v>
      </c>
      <c r="X36" s="129" t="n">
        <f aca="false">W36-AN36</f>
        <v>249.82266</v>
      </c>
      <c r="Y36" s="102"/>
      <c r="Z36" s="129"/>
      <c r="AA36" s="102"/>
      <c r="AB36" s="102"/>
      <c r="AC36" s="200" t="n">
        <f aca="false">AC35-(W36-I36)-Q36-R36-AE36</f>
        <v>1994.339188</v>
      </c>
      <c r="AD36" s="129" t="n">
        <v>140</v>
      </c>
      <c r="AE36" s="131" t="n">
        <v>1.7</v>
      </c>
      <c r="AF36" s="132" t="n">
        <v>1.3</v>
      </c>
      <c r="AG36" s="472" t="n">
        <v>43</v>
      </c>
      <c r="AH36" s="416" t="n">
        <f aca="false">AH35-AG36</f>
        <v>7184.25787748929</v>
      </c>
      <c r="AI36" s="102"/>
      <c r="AJ36" s="128" t="n">
        <f aca="false">N36+O36+P36+Q36+R36+S36+T36+W36+AD36+AG36-AQ36</f>
        <v>559</v>
      </c>
      <c r="AK36" s="129" t="n">
        <f aca="false">IF(L36&lt;0,L36*-1,0)</f>
        <v>0</v>
      </c>
      <c r="AL36" s="129" t="n">
        <f aca="false">AJ36+AK36</f>
        <v>559</v>
      </c>
      <c r="AM36" s="205" t="n">
        <f aca="false">AM35</f>
        <v>14971.25965</v>
      </c>
      <c r="AN36" s="200" t="n">
        <v>58</v>
      </c>
      <c r="AO36" s="92" t="n">
        <f aca="false">I36-Q36-R36-W36-AE36</f>
        <v>-166.75</v>
      </c>
      <c r="AP36" s="149" t="n">
        <f aca="false">36.1*(Y36*1.9835+AB36*1.9835)/E36</f>
        <v>0</v>
      </c>
      <c r="AQ36" s="149"/>
      <c r="AR36" s="102"/>
      <c r="AT36" s="169" t="n">
        <f aca="false">O36</f>
        <v>61.95</v>
      </c>
      <c r="AU36" s="207" t="n">
        <v>0.62</v>
      </c>
      <c r="AV36" s="200" t="n">
        <v>60</v>
      </c>
      <c r="AW36" s="200" t="n">
        <v>48</v>
      </c>
      <c r="AX36" s="280"/>
      <c r="AY36" s="235" t="n">
        <f aca="false">SUM(N36,P36:T36)</f>
        <v>6.22734</v>
      </c>
    </row>
    <row r="37" customFormat="false" ht="12.95" hidden="false" customHeight="true" outlineLevel="0" collapsed="false">
      <c r="A37" s="173" t="n">
        <v>23</v>
      </c>
      <c r="B37" s="101" t="n">
        <v>6901.06</v>
      </c>
      <c r="C37" s="102" t="n">
        <v>287506</v>
      </c>
      <c r="D37" s="200" t="n">
        <f aca="false">C37-C36</f>
        <v>-485</v>
      </c>
      <c r="E37" s="102" t="n">
        <f aca="false">C37-151978</f>
        <v>135528</v>
      </c>
      <c r="F37" s="231" t="n">
        <f aca="false">D37/$D$2</f>
        <v>-244.517267456516</v>
      </c>
      <c r="G37" s="1" t="n">
        <v>240</v>
      </c>
      <c r="H37" s="232" t="n">
        <v>0</v>
      </c>
      <c r="I37" s="129" t="n">
        <f aca="false">G37+H37</f>
        <v>240</v>
      </c>
      <c r="J37" s="130" t="n">
        <f aca="false">IF(L37&gt;0,L37,0)</f>
        <v>0</v>
      </c>
      <c r="K37" s="129" t="n">
        <f aca="false">I37+J37</f>
        <v>240</v>
      </c>
      <c r="L37" s="129" t="n">
        <f aca="false">F37-(I37-AJ37)</f>
        <v>-1.51726745651627</v>
      </c>
      <c r="M37" s="233" t="n">
        <v>155</v>
      </c>
      <c r="N37" s="149" t="n">
        <v>0</v>
      </c>
      <c r="O37" s="129" t="n">
        <f aca="false">(28+29)*1.05</f>
        <v>59.85</v>
      </c>
      <c r="P37" s="149" t="n">
        <v>0</v>
      </c>
      <c r="Q37" s="8" t="n">
        <f aca="false">2.517*1.02</f>
        <v>2.56734</v>
      </c>
      <c r="R37" s="291" t="n">
        <v>4.2</v>
      </c>
      <c r="S37" s="291" t="n">
        <v>1.67</v>
      </c>
      <c r="T37" s="334" t="n">
        <v>0</v>
      </c>
      <c r="U37" s="129" t="n">
        <v>114</v>
      </c>
      <c r="V37" s="129" t="n">
        <v>73</v>
      </c>
      <c r="W37" s="129" t="n">
        <f aca="false">M37-N37-O37-P37-Q37-R37-S37-T37+U37+V37-AS37+AQ37</f>
        <v>273.71266</v>
      </c>
      <c r="X37" s="129" t="n">
        <f aca="false">W37-AN37</f>
        <v>215.71266</v>
      </c>
      <c r="Y37" s="102"/>
      <c r="Z37" s="129"/>
      <c r="AA37" s="102"/>
      <c r="AB37" s="102"/>
      <c r="AC37" s="200" t="n">
        <f aca="false">AC36-(W37-I37)-Q37-R37-AE37</f>
        <v>1952.159188</v>
      </c>
      <c r="AD37" s="129" t="n">
        <v>99</v>
      </c>
      <c r="AE37" s="131" t="n">
        <v>1.7</v>
      </c>
      <c r="AF37" s="132" t="n">
        <v>1.3</v>
      </c>
      <c r="AG37" s="472" t="n">
        <v>42</v>
      </c>
      <c r="AH37" s="416" t="n">
        <f aca="false">AH36-AG37</f>
        <v>7142.25787748929</v>
      </c>
      <c r="AI37" s="102"/>
      <c r="AJ37" s="128" t="n">
        <f aca="false">N37+O37+P37+Q37+R37+S37+T37+W37+AD37+AG37-AQ37</f>
        <v>483</v>
      </c>
      <c r="AK37" s="129" t="n">
        <f aca="false">IF(L37&lt;0,L37*-1,0)</f>
        <v>1.51726745651627</v>
      </c>
      <c r="AL37" s="129" t="n">
        <f aca="false">AJ37+AK37</f>
        <v>484.517267456516</v>
      </c>
      <c r="AM37" s="205" t="n">
        <f aca="false">AM36</f>
        <v>14971.25965</v>
      </c>
      <c r="AN37" s="200" t="n">
        <v>58</v>
      </c>
      <c r="AO37" s="92" t="n">
        <f aca="false">I37-Q37-R37-W37-AE37</f>
        <v>-42.18</v>
      </c>
      <c r="AP37" s="149" t="n">
        <f aca="false">36.1*(Y37*1.9835+AB37*1.9835)/E37</f>
        <v>0</v>
      </c>
      <c r="AQ37" s="149"/>
      <c r="AR37" s="102"/>
      <c r="AT37" s="169" t="n">
        <f aca="false">O37</f>
        <v>59.85</v>
      </c>
      <c r="AU37" s="207" t="n">
        <v>0.01</v>
      </c>
      <c r="AV37" s="200" t="n">
        <v>69</v>
      </c>
      <c r="AW37" s="200" t="n">
        <v>46</v>
      </c>
      <c r="AX37" s="280"/>
      <c r="AY37" s="235" t="n">
        <f aca="false">SUM(N37,P37:T37)</f>
        <v>8.43734</v>
      </c>
    </row>
    <row r="38" customFormat="false" ht="12.95" hidden="false" customHeight="true" outlineLevel="0" collapsed="false">
      <c r="A38" s="173" t="n">
        <v>24</v>
      </c>
      <c r="B38" s="101" t="n">
        <v>6900.91</v>
      </c>
      <c r="C38" s="102" t="n">
        <v>286949</v>
      </c>
      <c r="D38" s="200" t="n">
        <f aca="false">C38-C37</f>
        <v>-557</v>
      </c>
      <c r="E38" s="102" t="n">
        <f aca="false">C38-151978</f>
        <v>134971</v>
      </c>
      <c r="F38" s="231" t="n">
        <f aca="false">D38/$D$2</f>
        <v>-280.816738089236</v>
      </c>
      <c r="G38" s="1" t="n">
        <v>208</v>
      </c>
      <c r="H38" s="232" t="n">
        <v>0</v>
      </c>
      <c r="I38" s="129" t="n">
        <f aca="false">G38+H38</f>
        <v>208</v>
      </c>
      <c r="J38" s="130" t="n">
        <f aca="false">IF(L38&gt;0,L38,0)</f>
        <v>0</v>
      </c>
      <c r="K38" s="129" t="n">
        <f aca="false">I38+J38</f>
        <v>208</v>
      </c>
      <c r="L38" s="129" t="n">
        <f aca="false">F38-(I38-AJ38)</f>
        <v>-11.8167380892362</v>
      </c>
      <c r="M38" s="233" t="n">
        <v>159</v>
      </c>
      <c r="N38" s="149" t="n">
        <v>0</v>
      </c>
      <c r="O38" s="129" t="n">
        <f aca="false">(27+27)*1.05</f>
        <v>56.7</v>
      </c>
      <c r="P38" s="149" t="n">
        <v>0</v>
      </c>
      <c r="Q38" s="8" t="n">
        <f aca="false">2.517*1.02</f>
        <v>2.56734</v>
      </c>
      <c r="R38" s="291" t="n">
        <v>4.2</v>
      </c>
      <c r="S38" s="291" t="n">
        <v>0.47</v>
      </c>
      <c r="T38" s="334" t="n">
        <v>0</v>
      </c>
      <c r="U38" s="129" t="n">
        <v>109</v>
      </c>
      <c r="V38" s="129" t="n">
        <v>69</v>
      </c>
      <c r="W38" s="129" t="n">
        <f aca="false">M38-N38-O38-P38-Q38-R38-S38-T38+U38+V38-AS38+AQ38</f>
        <v>273.06266</v>
      </c>
      <c r="X38" s="129" t="n">
        <f aca="false">W38-AN38</f>
        <v>215.06266</v>
      </c>
      <c r="Y38" s="102"/>
      <c r="Z38" s="129"/>
      <c r="AA38" s="102"/>
      <c r="AB38" s="102"/>
      <c r="AC38" s="200" t="n">
        <f aca="false">AC37-(W38-I38)-Q38-R38-AE38</f>
        <v>1878.629188</v>
      </c>
      <c r="AD38" s="129" t="n">
        <v>97</v>
      </c>
      <c r="AE38" s="131" t="n">
        <v>1.7</v>
      </c>
      <c r="AF38" s="132" t="n">
        <v>1.3</v>
      </c>
      <c r="AG38" s="472" t="n">
        <v>43</v>
      </c>
      <c r="AH38" s="416" t="n">
        <f aca="false">AH37-AG38</f>
        <v>7099.25787748929</v>
      </c>
      <c r="AI38" s="102"/>
      <c r="AJ38" s="128" t="n">
        <f aca="false">N38+O38+P38+Q38+R38+S38+T38+W38+AD38+AG38-AQ38</f>
        <v>477</v>
      </c>
      <c r="AK38" s="129" t="n">
        <f aca="false">IF(L38&lt;0,L38*-1,0)</f>
        <v>11.8167380892362</v>
      </c>
      <c r="AL38" s="129" t="n">
        <f aca="false">AJ38+AK38</f>
        <v>488.816738089236</v>
      </c>
      <c r="AM38" s="205" t="n">
        <f aca="false">AM37</f>
        <v>14971.25965</v>
      </c>
      <c r="AN38" s="200" t="n">
        <v>58</v>
      </c>
      <c r="AO38" s="92" t="n">
        <f aca="false">I38-Q38-R38-W38-AE38</f>
        <v>-73.53</v>
      </c>
      <c r="AP38" s="149" t="n">
        <f aca="false">36.1*(Y38*1.9835+AB38*1.9835)/E38</f>
        <v>0</v>
      </c>
      <c r="AQ38" s="149"/>
      <c r="AR38" s="102"/>
      <c r="AT38" s="169" t="n">
        <f aca="false">O38</f>
        <v>56.7</v>
      </c>
      <c r="AU38" s="207" t="n">
        <v>0</v>
      </c>
      <c r="AV38" s="200" t="n">
        <v>72</v>
      </c>
      <c r="AW38" s="200" t="n">
        <v>44</v>
      </c>
      <c r="AX38" s="280"/>
      <c r="AY38" s="235" t="n">
        <f aca="false">SUM(N38,P38:T38)</f>
        <v>7.23734</v>
      </c>
    </row>
    <row r="39" customFormat="false" ht="12.95" hidden="false" customHeight="true" outlineLevel="0" collapsed="false">
      <c r="A39" s="173" t="n">
        <v>25</v>
      </c>
      <c r="B39" s="101" t="n">
        <v>6900.74</v>
      </c>
      <c r="C39" s="102" t="n">
        <v>286319</v>
      </c>
      <c r="D39" s="200" t="n">
        <f aca="false">C39-C38</f>
        <v>-630</v>
      </c>
      <c r="E39" s="102" t="n">
        <f aca="false">C39-151978</f>
        <v>134341</v>
      </c>
      <c r="F39" s="231" t="n">
        <f aca="false">D39/$D$2</f>
        <v>-317.620368036299</v>
      </c>
      <c r="G39" s="1" t="n">
        <v>175</v>
      </c>
      <c r="H39" s="232" t="n">
        <v>0</v>
      </c>
      <c r="I39" s="129" t="n">
        <f aca="false">G39+H39</f>
        <v>175</v>
      </c>
      <c r="J39" s="130" t="n">
        <f aca="false">IF(L39&gt;0,L39,0)</f>
        <v>0</v>
      </c>
      <c r="K39" s="129" t="n">
        <f aca="false">I39+J39</f>
        <v>175</v>
      </c>
      <c r="L39" s="129" t="n">
        <f aca="false">F39-(I39-AJ39)</f>
        <v>-27.6203680362995</v>
      </c>
      <c r="M39" s="233" t="n">
        <v>156</v>
      </c>
      <c r="N39" s="149" t="n">
        <v>0</v>
      </c>
      <c r="O39" s="129" t="n">
        <f aca="false">(26+26)*1.05</f>
        <v>54.6</v>
      </c>
      <c r="P39" s="149" t="n">
        <v>0</v>
      </c>
      <c r="Q39" s="8" t="n">
        <f aca="false">2.517*1.02</f>
        <v>2.56734</v>
      </c>
      <c r="R39" s="291" t="n">
        <v>4.2</v>
      </c>
      <c r="S39" s="291" t="n">
        <v>0.27</v>
      </c>
      <c r="T39" s="334" t="n">
        <v>0</v>
      </c>
      <c r="U39" s="129" t="n">
        <v>107</v>
      </c>
      <c r="V39" s="129" t="n">
        <v>68</v>
      </c>
      <c r="W39" s="129" t="n">
        <f aca="false">M39-N39-O39-P39-Q39-R39-S39-T39+U39+V39-AS39+AQ39</f>
        <v>269.36266</v>
      </c>
      <c r="X39" s="129" t="n">
        <f aca="false">W39-AN39</f>
        <v>211.36266</v>
      </c>
      <c r="Y39" s="102"/>
      <c r="Z39" s="129"/>
      <c r="AA39" s="102"/>
      <c r="AB39" s="102"/>
      <c r="AC39" s="200" t="n">
        <f aca="false">AC38-(W39-I39)-Q39-R39-AE39</f>
        <v>1775.799188</v>
      </c>
      <c r="AD39" s="129" t="n">
        <v>91</v>
      </c>
      <c r="AE39" s="131" t="n">
        <v>1.7</v>
      </c>
      <c r="AF39" s="132" t="n">
        <v>1.3</v>
      </c>
      <c r="AG39" s="472" t="n">
        <v>43</v>
      </c>
      <c r="AH39" s="416" t="n">
        <f aca="false">AH38-AG39</f>
        <v>7056.25787748929</v>
      </c>
      <c r="AI39" s="102"/>
      <c r="AJ39" s="128" t="n">
        <f aca="false">N39+O39+P39+Q39+R39+S39+T39+W39+AD39+AG39-AQ39</f>
        <v>465</v>
      </c>
      <c r="AK39" s="129" t="n">
        <f aca="false">IF(L39&lt;0,L39*-1,0)</f>
        <v>27.6203680362995</v>
      </c>
      <c r="AL39" s="129" t="n">
        <f aca="false">AJ39+AK39</f>
        <v>492.620368036299</v>
      </c>
      <c r="AM39" s="205" t="n">
        <f aca="false">AM38</f>
        <v>14971.25965</v>
      </c>
      <c r="AN39" s="200" t="n">
        <v>58</v>
      </c>
      <c r="AO39" s="92" t="n">
        <f aca="false">I39-Q39-R39-W39-AE39</f>
        <v>-102.83</v>
      </c>
      <c r="AP39" s="149" t="n">
        <f aca="false">36.1*(Y39*1.9835+AB39*1.9835)/E39</f>
        <v>0</v>
      </c>
      <c r="AQ39" s="149"/>
      <c r="AR39" s="102"/>
      <c r="AT39" s="169" t="n">
        <f aca="false">O39</f>
        <v>54.6</v>
      </c>
      <c r="AU39" s="207" t="n">
        <v>0</v>
      </c>
      <c r="AV39" s="200" t="n">
        <v>79</v>
      </c>
      <c r="AW39" s="200" t="n">
        <v>48</v>
      </c>
      <c r="AX39" s="280"/>
      <c r="AY39" s="235" t="n">
        <f aca="false">SUM(N39,P39:T39)</f>
        <v>7.03734</v>
      </c>
    </row>
    <row r="40" customFormat="false" ht="12.95" hidden="false" customHeight="true" outlineLevel="0" collapsed="false">
      <c r="A40" s="173" t="n">
        <v>26</v>
      </c>
      <c r="B40" s="101" t="n">
        <v>6900.57</v>
      </c>
      <c r="C40" s="102" t="n">
        <v>285690</v>
      </c>
      <c r="D40" s="200" t="n">
        <f aca="false">C40-C39</f>
        <v>-629</v>
      </c>
      <c r="E40" s="102" t="n">
        <f aca="false">C40-151978</f>
        <v>133712</v>
      </c>
      <c r="F40" s="231" t="n">
        <f aca="false">D40/$D$2</f>
        <v>-317.116208721956</v>
      </c>
      <c r="G40" s="1" t="n">
        <v>159</v>
      </c>
      <c r="H40" s="232" t="n">
        <v>0</v>
      </c>
      <c r="I40" s="129" t="n">
        <f aca="false">G40+H40</f>
        <v>159</v>
      </c>
      <c r="J40" s="130" t="n">
        <f aca="false">IF(L40&gt;0,L40,0)</f>
        <v>0</v>
      </c>
      <c r="K40" s="129" t="n">
        <f aca="false">I40+J40</f>
        <v>159</v>
      </c>
      <c r="L40" s="129" t="n">
        <f aca="false">F40-(I40-AJ40)</f>
        <v>-24.1162087219561</v>
      </c>
      <c r="M40" s="233" t="n">
        <v>159</v>
      </c>
      <c r="N40" s="149" t="n">
        <v>0</v>
      </c>
      <c r="O40" s="129" t="n">
        <f aca="false">(27+25)*1.05</f>
        <v>54.6</v>
      </c>
      <c r="P40" s="149" t="n">
        <v>0</v>
      </c>
      <c r="Q40" s="8" t="n">
        <f aca="false">2.517*1.02</f>
        <v>2.56734</v>
      </c>
      <c r="R40" s="291" t="n">
        <v>4.03</v>
      </c>
      <c r="S40" s="291" t="n">
        <v>0</v>
      </c>
      <c r="T40" s="334" t="n">
        <v>0</v>
      </c>
      <c r="U40" s="129" t="n">
        <v>107</v>
      </c>
      <c r="V40" s="129" t="n">
        <v>67</v>
      </c>
      <c r="W40" s="129" t="n">
        <f aca="false">M40-N40-O40-P40-Q40-R40-S40-T40+U40+V40-AS40+AQ40</f>
        <v>271.80266</v>
      </c>
      <c r="X40" s="129" t="n">
        <f aca="false">W40-AN40</f>
        <v>213.80266</v>
      </c>
      <c r="Y40" s="102"/>
      <c r="Z40" s="129"/>
      <c r="AA40" s="102"/>
      <c r="AB40" s="102"/>
      <c r="AC40" s="200" t="n">
        <f aca="false">AC39-(W40-I40)-Q40-R40-AE40</f>
        <v>1654.699188</v>
      </c>
      <c r="AD40" s="129" t="n">
        <v>76</v>
      </c>
      <c r="AE40" s="131" t="n">
        <v>1.7</v>
      </c>
      <c r="AF40" s="132" t="n">
        <v>1.3</v>
      </c>
      <c r="AG40" s="472" t="n">
        <v>43</v>
      </c>
      <c r="AH40" s="416" t="n">
        <f aca="false">AH39-AG40</f>
        <v>7013.25787748929</v>
      </c>
      <c r="AI40" s="102"/>
      <c r="AJ40" s="128" t="n">
        <f aca="false">N40+O40+P40+Q40+R40+S40+T40+W40+AD40+AG40-AQ40</f>
        <v>452</v>
      </c>
      <c r="AK40" s="129" t="n">
        <f aca="false">IF(L40&lt;0,L40*-1,0)</f>
        <v>24.1162087219561</v>
      </c>
      <c r="AL40" s="129" t="n">
        <f aca="false">AJ40+AK40</f>
        <v>476.116208721956</v>
      </c>
      <c r="AM40" s="205" t="n">
        <f aca="false">AM39</f>
        <v>14971.25965</v>
      </c>
      <c r="AN40" s="200" t="n">
        <v>58</v>
      </c>
      <c r="AO40" s="92" t="n">
        <f aca="false">I40-Q40-R40-W40-AE40</f>
        <v>-121.1</v>
      </c>
      <c r="AP40" s="149" t="n">
        <f aca="false">36.1*(Y40*1.9835+AB40*1.9835)/E40</f>
        <v>0</v>
      </c>
      <c r="AQ40" s="149"/>
      <c r="AR40" s="102"/>
      <c r="AT40" s="169" t="n">
        <f aca="false">O40</f>
        <v>54.6</v>
      </c>
      <c r="AU40" s="207" t="n">
        <v>0</v>
      </c>
      <c r="AV40" s="200" t="n">
        <v>78</v>
      </c>
      <c r="AW40" s="200" t="n">
        <v>50</v>
      </c>
      <c r="AX40" s="280"/>
      <c r="AY40" s="235" t="n">
        <f aca="false">SUM(N40,P40:T40)</f>
        <v>6.59734</v>
      </c>
    </row>
    <row r="41" customFormat="false" ht="12.95" hidden="false" customHeight="true" outlineLevel="0" collapsed="false">
      <c r="A41" s="173" t="n">
        <v>27</v>
      </c>
      <c r="B41" s="101" t="n">
        <v>6900.4</v>
      </c>
      <c r="C41" s="102" t="n">
        <v>285061</v>
      </c>
      <c r="D41" s="200" t="n">
        <f aca="false">C41-C40</f>
        <v>-629</v>
      </c>
      <c r="E41" s="102" t="n">
        <f aca="false">C41-151978</f>
        <v>133083</v>
      </c>
      <c r="F41" s="231" t="n">
        <f aca="false">D41/$D$2</f>
        <v>-317.116208721956</v>
      </c>
      <c r="G41" s="1" t="n">
        <v>153</v>
      </c>
      <c r="H41" s="232" t="n">
        <v>0</v>
      </c>
      <c r="I41" s="129" t="n">
        <f aca="false">G41+H41</f>
        <v>153</v>
      </c>
      <c r="J41" s="130" t="n">
        <f aca="false">IF(L41&gt;0,L41,0)</f>
        <v>0</v>
      </c>
      <c r="K41" s="129" t="n">
        <f aca="false">I41+J41</f>
        <v>153</v>
      </c>
      <c r="L41" s="129" t="n">
        <f aca="false">F41-(I41-AJ41)</f>
        <v>-7.11620872195613</v>
      </c>
      <c r="M41" s="233" t="n">
        <v>150</v>
      </c>
      <c r="N41" s="149" t="n">
        <v>0</v>
      </c>
      <c r="O41" s="129" t="n">
        <f aca="false">(22+21)*1.05</f>
        <v>45.15</v>
      </c>
      <c r="P41" s="149" t="n">
        <v>0</v>
      </c>
      <c r="Q41" s="8" t="n">
        <f aca="false">2.517*1.02</f>
        <v>2.56734</v>
      </c>
      <c r="R41" s="291" t="n">
        <v>4.2</v>
      </c>
      <c r="S41" s="291" t="n">
        <v>0.35</v>
      </c>
      <c r="T41" s="334" t="n">
        <v>0</v>
      </c>
      <c r="U41" s="129" t="n">
        <v>105</v>
      </c>
      <c r="V41" s="129" t="n">
        <v>66</v>
      </c>
      <c r="W41" s="129" t="n">
        <f aca="false">M41-N41-O41-P41-Q41-R41-S41-T41+U41+V41-AS41+AQ41</f>
        <v>268.73266</v>
      </c>
      <c r="X41" s="129" t="n">
        <f aca="false">W41-AN41</f>
        <v>210.73266</v>
      </c>
      <c r="Y41" s="102"/>
      <c r="Z41" s="129"/>
      <c r="AA41" s="102"/>
      <c r="AB41" s="102"/>
      <c r="AC41" s="200" t="n">
        <f aca="false">AC40-(W41-I41)-Q41-R41-AE41</f>
        <v>1530.499188</v>
      </c>
      <c r="AD41" s="129" t="n">
        <v>99</v>
      </c>
      <c r="AE41" s="131" t="n">
        <v>1.7</v>
      </c>
      <c r="AF41" s="132" t="n">
        <v>1.3</v>
      </c>
      <c r="AG41" s="472" t="n">
        <v>43</v>
      </c>
      <c r="AH41" s="416" t="n">
        <f aca="false">AH40-AG41</f>
        <v>6970.25787748929</v>
      </c>
      <c r="AI41" s="102"/>
      <c r="AJ41" s="128" t="n">
        <f aca="false">N41+O41+P41+Q41+R41+S41+T41+W41+AD41+AG41-AQ41</f>
        <v>463</v>
      </c>
      <c r="AK41" s="129" t="n">
        <f aca="false">IF(L41&lt;0,L41*-1,0)</f>
        <v>7.11620872195613</v>
      </c>
      <c r="AL41" s="129" t="n">
        <f aca="false">AJ41+AK41</f>
        <v>470.116208721956</v>
      </c>
      <c r="AM41" s="205" t="n">
        <f aca="false">AM40</f>
        <v>14971.25965</v>
      </c>
      <c r="AN41" s="200" t="n">
        <v>58</v>
      </c>
      <c r="AO41" s="92" t="n">
        <f aca="false">I41-Q41-R41-W41-AE41</f>
        <v>-124.2</v>
      </c>
      <c r="AP41" s="149" t="n">
        <f aca="false">36.1*(Y41*1.9835+AB41*1.9835)/E41</f>
        <v>0</v>
      </c>
      <c r="AQ41" s="149"/>
      <c r="AR41" s="102"/>
      <c r="AT41" s="169" t="n">
        <f aca="false">O41</f>
        <v>45.15</v>
      </c>
      <c r="AU41" s="207" t="n">
        <v>0</v>
      </c>
      <c r="AV41" s="200" t="n">
        <v>84</v>
      </c>
      <c r="AW41" s="200" t="n">
        <v>50</v>
      </c>
      <c r="AX41" s="280"/>
      <c r="AY41" s="235" t="n">
        <f aca="false">SUM(N41,P41:T41)</f>
        <v>7.11734</v>
      </c>
    </row>
    <row r="42" customFormat="false" ht="12.95" hidden="false" customHeight="true" outlineLevel="0" collapsed="false">
      <c r="A42" s="173" t="n">
        <v>28</v>
      </c>
      <c r="B42" s="101" t="n">
        <v>6900.24</v>
      </c>
      <c r="C42" s="102" t="n">
        <v>284468</v>
      </c>
      <c r="D42" s="200" t="n">
        <f aca="false">C42-C41</f>
        <v>-593</v>
      </c>
      <c r="E42" s="102" t="n">
        <f aca="false">C42-151978</f>
        <v>132490</v>
      </c>
      <c r="F42" s="231" t="n">
        <f aca="false">D42/$D$2</f>
        <v>-298.966473405596</v>
      </c>
      <c r="G42" s="1" t="n">
        <v>148</v>
      </c>
      <c r="H42" s="232" t="n">
        <v>0</v>
      </c>
      <c r="I42" s="129" t="n">
        <f aca="false">G42+H42</f>
        <v>148</v>
      </c>
      <c r="J42" s="130" t="n">
        <f aca="false">IF(L42&gt;0,L42,0)</f>
        <v>0.0335265944038383</v>
      </c>
      <c r="K42" s="129" t="n">
        <f aca="false">I42+J42</f>
        <v>148.033526594404</v>
      </c>
      <c r="L42" s="129" t="n">
        <f aca="false">F42-(I42-AJ42)</f>
        <v>0.0335265944038383</v>
      </c>
      <c r="M42" s="233" t="n">
        <v>139</v>
      </c>
      <c r="N42" s="149" t="n">
        <v>0</v>
      </c>
      <c r="O42" s="129" t="n">
        <f aca="false">(25+23)*1.05</f>
        <v>50.4</v>
      </c>
      <c r="P42" s="149" t="n">
        <v>0</v>
      </c>
      <c r="Q42" s="8" t="n">
        <f aca="false">2.517*1.02</f>
        <v>2.56734</v>
      </c>
      <c r="R42" s="291" t="n">
        <v>4.2</v>
      </c>
      <c r="S42" s="291" t="n">
        <v>1.32</v>
      </c>
      <c r="T42" s="334" t="n">
        <v>0</v>
      </c>
      <c r="U42" s="129" t="n">
        <v>103</v>
      </c>
      <c r="V42" s="129" t="n">
        <v>65</v>
      </c>
      <c r="W42" s="129" t="n">
        <f aca="false">M42-N42-O42-P42-Q42-R42-S42-T42+U42+V42-AS42+AQ42</f>
        <v>248.51266</v>
      </c>
      <c r="X42" s="129" t="n">
        <f aca="false">W42-AN42</f>
        <v>190.51266</v>
      </c>
      <c r="Y42" s="102"/>
      <c r="Z42" s="129"/>
      <c r="AA42" s="102"/>
      <c r="AB42" s="102"/>
      <c r="AC42" s="200" t="n">
        <f aca="false">AC41-(W42-I42)-Q42-R42-AE42</f>
        <v>1421.519188</v>
      </c>
      <c r="AD42" s="129" t="n">
        <v>97</v>
      </c>
      <c r="AE42" s="131" t="n">
        <v>1.7</v>
      </c>
      <c r="AF42" s="132" t="n">
        <v>1.3</v>
      </c>
      <c r="AG42" s="472" t="n">
        <v>43</v>
      </c>
      <c r="AH42" s="416" t="n">
        <f aca="false">AH41-AG42</f>
        <v>6927.25787748929</v>
      </c>
      <c r="AI42" s="102"/>
      <c r="AJ42" s="128" t="n">
        <f aca="false">N42+O42+P42+Q42+R42+S42+T42+W42+AD42+AG42-AQ42</f>
        <v>447</v>
      </c>
      <c r="AK42" s="129" t="n">
        <f aca="false">IF(L42&lt;0,L42*-1,0)</f>
        <v>0</v>
      </c>
      <c r="AL42" s="129" t="n">
        <f aca="false">AJ42+AK42</f>
        <v>447</v>
      </c>
      <c r="AM42" s="205" t="n">
        <f aca="false">AM41</f>
        <v>14971.25965</v>
      </c>
      <c r="AN42" s="200" t="n">
        <v>58</v>
      </c>
      <c r="AO42" s="92" t="n">
        <f aca="false">I42-Q42-R42-W42-AE42</f>
        <v>-108.98</v>
      </c>
      <c r="AP42" s="149" t="n">
        <f aca="false">36.1*(Y42*1.9835+AB42*1.9835)/E42</f>
        <v>0</v>
      </c>
      <c r="AQ42" s="149"/>
      <c r="AR42" s="102"/>
      <c r="AT42" s="169" t="n">
        <f aca="false">O42</f>
        <v>50.4</v>
      </c>
      <c r="AU42" s="207" t="n">
        <v>0</v>
      </c>
      <c r="AV42" s="200" t="n">
        <v>81</v>
      </c>
      <c r="AW42" s="200" t="n">
        <v>51</v>
      </c>
      <c r="AX42" s="280"/>
      <c r="AY42" s="235" t="n">
        <f aca="false">SUM(N42,P42:T42)</f>
        <v>8.08734</v>
      </c>
    </row>
    <row r="43" customFormat="false" ht="12.95" hidden="false" customHeight="true" outlineLevel="0" collapsed="false">
      <c r="A43" s="173" t="n">
        <v>29</v>
      </c>
      <c r="B43" s="101" t="n">
        <v>6900.08</v>
      </c>
      <c r="C43" s="102" t="n">
        <v>283876</v>
      </c>
      <c r="D43" s="200" t="n">
        <f aca="false">C43-C42</f>
        <v>-592</v>
      </c>
      <c r="E43" s="102" t="n">
        <f aca="false">C43-151978</f>
        <v>131898</v>
      </c>
      <c r="F43" s="231" t="n">
        <f aca="false">D43/$D$2</f>
        <v>-298.462314091253</v>
      </c>
      <c r="G43" s="1" t="n">
        <v>144</v>
      </c>
      <c r="H43" s="232" t="n">
        <v>0</v>
      </c>
      <c r="I43" s="129" t="n">
        <f aca="false">G43+H43</f>
        <v>144</v>
      </c>
      <c r="J43" s="130" t="n">
        <f aca="false">IF(L43&gt;0,L43,0)</f>
        <v>11.5376859087472</v>
      </c>
      <c r="K43" s="129" t="n">
        <f aca="false">I43+J43</f>
        <v>155.537685908747</v>
      </c>
      <c r="L43" s="129" t="n">
        <f aca="false">F43-(I43-AJ43)</f>
        <v>11.5376859087472</v>
      </c>
      <c r="M43" s="233" t="n">
        <v>152</v>
      </c>
      <c r="N43" s="149" t="n">
        <v>0</v>
      </c>
      <c r="O43" s="129" t="n">
        <f aca="false">(19+20)*1.05</f>
        <v>40.95</v>
      </c>
      <c r="P43" s="149" t="n">
        <v>0</v>
      </c>
      <c r="Q43" s="8" t="n">
        <f aca="false">2.517*1.02</f>
        <v>2.56734</v>
      </c>
      <c r="R43" s="291" t="n">
        <v>4.2</v>
      </c>
      <c r="S43" s="291" t="n">
        <v>1.43</v>
      </c>
      <c r="T43" s="334" t="n">
        <v>0</v>
      </c>
      <c r="U43" s="129" t="n">
        <v>103</v>
      </c>
      <c r="V43" s="129" t="n">
        <v>64</v>
      </c>
      <c r="W43" s="129" t="n">
        <f aca="false">M43-N43-O43-P43-Q43-R43-S43-T43+U43+V43-AS43+AQ43</f>
        <v>269.85266</v>
      </c>
      <c r="X43" s="129" t="n">
        <f aca="false">W43-AN43</f>
        <v>211.85266</v>
      </c>
      <c r="Y43" s="102"/>
      <c r="Z43" s="129"/>
      <c r="AA43" s="102"/>
      <c r="AB43" s="102"/>
      <c r="AC43" s="200" t="n">
        <f aca="false">AC42-(W43-I43)-Q43-R43-AE43</f>
        <v>1287.199188</v>
      </c>
      <c r="AD43" s="129" t="n">
        <v>92</v>
      </c>
      <c r="AE43" s="131" t="n">
        <v>1.7</v>
      </c>
      <c r="AF43" s="132" t="n">
        <v>1.3</v>
      </c>
      <c r="AG43" s="472" t="n">
        <v>43</v>
      </c>
      <c r="AH43" s="416" t="n">
        <f aca="false">AH42-AG43</f>
        <v>6884.25787748929</v>
      </c>
      <c r="AI43" s="102"/>
      <c r="AJ43" s="128" t="n">
        <f aca="false">N43+O43+P43+Q43+R43+S43+T43+W43+AD43+AG43-AQ43</f>
        <v>454</v>
      </c>
      <c r="AK43" s="129" t="n">
        <f aca="false">IF(L43&lt;0,L43*-1,0)</f>
        <v>0</v>
      </c>
      <c r="AL43" s="129" t="n">
        <f aca="false">AJ43+AK43</f>
        <v>454</v>
      </c>
      <c r="AM43" s="205" t="n">
        <f aca="false">AM42</f>
        <v>14971.25965</v>
      </c>
      <c r="AN43" s="200" t="n">
        <v>58</v>
      </c>
      <c r="AO43" s="92" t="n">
        <f aca="false">I43-Q43-R43-W43-AE43</f>
        <v>-134.32</v>
      </c>
      <c r="AP43" s="149" t="n">
        <f aca="false">36.1*(Y43*1.9835+AB43*1.9835)/E43</f>
        <v>0</v>
      </c>
      <c r="AQ43" s="149"/>
      <c r="AR43" s="102"/>
      <c r="AT43" s="169" t="n">
        <f aca="false">O43</f>
        <v>40.95</v>
      </c>
      <c r="AU43" s="207" t="n">
        <v>0</v>
      </c>
      <c r="AV43" s="200" t="n">
        <v>82</v>
      </c>
      <c r="AW43" s="200" t="n">
        <v>51</v>
      </c>
      <c r="AX43" s="280"/>
      <c r="AY43" s="235" t="n">
        <f aca="false">SUM(N43,P43:T43)</f>
        <v>8.19734</v>
      </c>
    </row>
    <row r="44" customFormat="false" ht="12.95" hidden="false" customHeight="true" outlineLevel="0" collapsed="false">
      <c r="A44" s="173" t="n">
        <v>30</v>
      </c>
      <c r="B44" s="101" t="n">
        <v>6899.85</v>
      </c>
      <c r="C44" s="102" t="n">
        <v>283029</v>
      </c>
      <c r="D44" s="200" t="n">
        <f aca="false">C44-C43</f>
        <v>-847</v>
      </c>
      <c r="E44" s="102" t="n">
        <f aca="false">C44-151978</f>
        <v>131051</v>
      </c>
      <c r="F44" s="231" t="n">
        <f aca="false">D44/$D$2</f>
        <v>-427.022939248803</v>
      </c>
      <c r="G44" s="1" t="n">
        <v>140</v>
      </c>
      <c r="H44" s="232" t="n">
        <v>0</v>
      </c>
      <c r="I44" s="129" t="n">
        <f aca="false">G44+H44</f>
        <v>140</v>
      </c>
      <c r="J44" s="130" t="n">
        <f aca="false">IF(L44&gt;0,L44,0)</f>
        <v>0</v>
      </c>
      <c r="K44" s="129" t="n">
        <f aca="false">I44+J44</f>
        <v>140</v>
      </c>
      <c r="L44" s="129" t="n">
        <f aca="false">F44-(I44-AJ44)</f>
        <v>-11.0229392488026</v>
      </c>
      <c r="M44" s="233" t="n">
        <v>137</v>
      </c>
      <c r="N44" s="149" t="n">
        <v>0</v>
      </c>
      <c r="O44" s="129" t="n">
        <f aca="false">(19+19)*1.05</f>
        <v>39.9</v>
      </c>
      <c r="P44" s="149" t="n">
        <v>0</v>
      </c>
      <c r="Q44" s="8" t="n">
        <f aca="false">2.517*1.02</f>
        <v>2.56734</v>
      </c>
      <c r="R44" s="291" t="n">
        <v>4.2</v>
      </c>
      <c r="S44" s="291" t="n">
        <v>1.15</v>
      </c>
      <c r="T44" s="334" t="n">
        <v>0</v>
      </c>
      <c r="U44" s="129" t="n">
        <v>103</v>
      </c>
      <c r="V44" s="129" t="n">
        <v>64</v>
      </c>
      <c r="W44" s="129" t="n">
        <f aca="false">M44-N44-O44-P44-Q44-R44-S44-T44+U44+V44-AS44+AQ44</f>
        <v>256.18266</v>
      </c>
      <c r="X44" s="129" t="n">
        <f aca="false">W44-AN44</f>
        <v>198.18266</v>
      </c>
      <c r="Y44" s="102"/>
      <c r="Z44" s="129"/>
      <c r="AA44" s="102"/>
      <c r="AB44" s="102"/>
      <c r="AC44" s="200" t="n">
        <f aca="false">AC43-(W44-I44)-Q44-R44-AE44</f>
        <v>1162.549188</v>
      </c>
      <c r="AD44" s="129" t="n">
        <v>80</v>
      </c>
      <c r="AE44" s="131" t="n">
        <v>1.7</v>
      </c>
      <c r="AF44" s="132" t="n">
        <v>1.3</v>
      </c>
      <c r="AG44" s="472" t="n">
        <v>172</v>
      </c>
      <c r="AH44" s="416" t="n">
        <f aca="false">AH43-AG44</f>
        <v>6712.25787748929</v>
      </c>
      <c r="AI44" s="102"/>
      <c r="AJ44" s="128" t="n">
        <f aca="false">N44+O44+P44+Q44+R44+S44+T44+W44+AD44+AG44-AQ44</f>
        <v>556</v>
      </c>
      <c r="AK44" s="129" t="n">
        <f aca="false">IF(L44&lt;0,L44*-1,0)</f>
        <v>11.0229392488026</v>
      </c>
      <c r="AL44" s="129" t="n">
        <f aca="false">AJ44+AK44</f>
        <v>567.022939248803</v>
      </c>
      <c r="AM44" s="205" t="n">
        <f aca="false">AM43</f>
        <v>14971.25965</v>
      </c>
      <c r="AN44" s="200" t="n">
        <v>58</v>
      </c>
      <c r="AO44" s="92" t="n">
        <f aca="false">I44-Q44-R44-W44-AE44</f>
        <v>-124.65</v>
      </c>
      <c r="AP44" s="149" t="n">
        <f aca="false">36.1*(Y44*1.9835+AB44*1.9835)/E44</f>
        <v>0</v>
      </c>
      <c r="AQ44" s="149"/>
      <c r="AR44" s="102"/>
      <c r="AT44" s="169" t="n">
        <f aca="false">O44</f>
        <v>39.9</v>
      </c>
      <c r="AU44" s="207" t="n">
        <v>0</v>
      </c>
      <c r="AV44" s="473" t="n">
        <v>83</v>
      </c>
      <c r="AW44" s="200" t="n">
        <v>51</v>
      </c>
      <c r="AX44" s="280"/>
      <c r="AY44" s="235" t="n">
        <f aca="false">SUM(N44,P44:T44)</f>
        <v>7.91734</v>
      </c>
    </row>
    <row r="45" customFormat="false" ht="3" hidden="false" customHeight="true" outlineLevel="0" collapsed="false">
      <c r="A45" s="216"/>
      <c r="B45" s="237"/>
      <c r="C45" s="218"/>
      <c r="D45" s="219"/>
      <c r="E45" s="218"/>
      <c r="F45" s="220"/>
      <c r="G45" s="219"/>
      <c r="H45" s="221"/>
      <c r="I45" s="219"/>
      <c r="J45" s="219"/>
      <c r="K45" s="219"/>
      <c r="L45" s="219"/>
      <c r="M45" s="222"/>
      <c r="N45" s="219"/>
      <c r="O45" s="219"/>
      <c r="P45" s="223"/>
      <c r="Q45" s="223"/>
      <c r="R45" s="223"/>
      <c r="S45" s="223"/>
      <c r="T45" s="224"/>
      <c r="U45" s="219"/>
      <c r="V45" s="219"/>
      <c r="W45" s="219"/>
      <c r="X45" s="219"/>
      <c r="Y45" s="218"/>
      <c r="Z45" s="219"/>
      <c r="AA45" s="218"/>
      <c r="AB45" s="218"/>
      <c r="AC45" s="218"/>
      <c r="AD45" s="219"/>
      <c r="AE45" s="115"/>
      <c r="AF45" s="116"/>
      <c r="AG45" s="219"/>
      <c r="AH45" s="219"/>
      <c r="AI45" s="219"/>
      <c r="AJ45" s="219"/>
      <c r="AK45" s="219"/>
      <c r="AL45" s="219"/>
      <c r="AM45" s="227"/>
      <c r="AN45" s="228"/>
      <c r="AO45" s="225"/>
      <c r="AP45" s="223"/>
      <c r="AQ45" s="223"/>
      <c r="AR45" s="223"/>
      <c r="AS45" s="223"/>
      <c r="AT45" s="225"/>
      <c r="AU45" s="230"/>
      <c r="AV45" s="228"/>
      <c r="AW45" s="228"/>
      <c r="AX45" s="242"/>
      <c r="AY45" s="303"/>
    </row>
    <row r="46" customFormat="false" ht="12.95" hidden="false" customHeight="true" outlineLevel="0" collapsed="false">
      <c r="A46" s="175" t="s">
        <v>99</v>
      </c>
      <c r="B46" s="198"/>
      <c r="C46" s="102"/>
      <c r="D46" s="102"/>
      <c r="E46" s="102"/>
      <c r="F46" s="199" t="n">
        <f aca="false">SUM(F15:F44)</f>
        <v>-13627.9304260146</v>
      </c>
      <c r="G46" s="102" t="n">
        <f aca="false">SUM(G15:G44)</f>
        <v>4207</v>
      </c>
      <c r="H46" s="102" t="n">
        <f aca="false">SUM(H15:H44)</f>
        <v>0</v>
      </c>
      <c r="I46" s="102" t="n">
        <f aca="false">SUM(I15:I44)</f>
        <v>4207</v>
      </c>
      <c r="J46" s="102" t="n">
        <f aca="false">SUM(J15:J44)</f>
        <v>264.848752205697</v>
      </c>
      <c r="K46" s="102" t="n">
        <f aca="false">SUM(K15:K44)</f>
        <v>4471.8487522057</v>
      </c>
      <c r="L46" s="102" t="n">
        <f aca="false">SUM(L15:L44)</f>
        <v>-247.93042601462</v>
      </c>
      <c r="M46" s="201" t="n">
        <f aca="false">SUM(M15:M44)</f>
        <v>6147</v>
      </c>
      <c r="N46" s="102" t="n">
        <f aca="false">SUM(N15:N44)</f>
        <v>35.811143</v>
      </c>
      <c r="O46" s="102" t="n">
        <f aca="false">SUM(O15:O44)</f>
        <v>1933.05</v>
      </c>
      <c r="P46" s="149" t="n">
        <f aca="false">SUM(P15:P44)</f>
        <v>0</v>
      </c>
      <c r="Q46" s="200" t="n">
        <f aca="false">SUM(Q15:Q44)</f>
        <v>77.0202</v>
      </c>
      <c r="R46" s="200" t="n">
        <f aca="false">SUM(R15:R44)</f>
        <v>125.29</v>
      </c>
      <c r="S46" s="200" t="n">
        <f aca="false">SUM(S15:S44)</f>
        <v>54.48</v>
      </c>
      <c r="T46" s="202" t="n">
        <f aca="false">SUM(T15:T44)</f>
        <v>0</v>
      </c>
      <c r="U46" s="102" t="n">
        <f aca="false">SUM(U15:U44)</f>
        <v>3043</v>
      </c>
      <c r="V46" s="102" t="n">
        <f aca="false">SUM(V15:V44)</f>
        <v>2074</v>
      </c>
      <c r="W46" s="102" t="n">
        <f aca="false">SUM(W15:W44)</f>
        <v>9161.106657</v>
      </c>
      <c r="X46" s="102" t="n">
        <f aca="false">SUM(X15:X44)</f>
        <v>8581.106657</v>
      </c>
      <c r="Y46" s="102"/>
      <c r="Z46" s="102"/>
      <c r="AA46" s="102"/>
      <c r="AB46" s="102"/>
      <c r="AD46" s="102" t="n">
        <f aca="false">SUM(AD15:AD44)</f>
        <v>4835</v>
      </c>
      <c r="AE46" s="201" t="n">
        <f aca="false">SUM(AE15:AE44)</f>
        <v>51</v>
      </c>
      <c r="AF46" s="203" t="n">
        <f aca="false">SUM(AF15:AF44)</f>
        <v>39</v>
      </c>
      <c r="AG46" s="102" t="n">
        <f aca="false">SUM(AG15:AG44)</f>
        <v>1488</v>
      </c>
      <c r="AH46" s="102"/>
      <c r="AI46" s="102" t="n">
        <f aca="false">SUM(AI15:AI44)</f>
        <v>0</v>
      </c>
      <c r="AJ46" s="102" t="n">
        <f aca="false">SUM(AJ15:AJ44)</f>
        <v>17587</v>
      </c>
      <c r="AK46" s="102" t="n">
        <f aca="false">SUM(AK15:AK44)</f>
        <v>512.779178220317</v>
      </c>
      <c r="AL46" s="102" t="n">
        <f aca="false">SUM(AL15:AL44)</f>
        <v>18099.7791782203</v>
      </c>
      <c r="AM46" s="205" t="s">
        <v>120</v>
      </c>
      <c r="AN46" s="102" t="n">
        <f aca="false">SUM(AN15:AN44)</f>
        <v>580</v>
      </c>
      <c r="AO46" s="130"/>
      <c r="AP46" s="149"/>
      <c r="AQ46" s="149" t="n">
        <f aca="false">SUM(AQ14:AQ44)</f>
        <v>122.758</v>
      </c>
      <c r="AR46" s="200" t="n">
        <f aca="false">SUM(AR15:AR44)</f>
        <v>0</v>
      </c>
      <c r="AS46" s="200" t="n">
        <f aca="false">SUM(AS15:AS44)</f>
        <v>0</v>
      </c>
      <c r="AT46" s="200" t="n">
        <f aca="false">SUM(AT15:AT44)</f>
        <v>1076.75</v>
      </c>
      <c r="AU46" s="207" t="n">
        <f aca="false">SUM(AU15:AU44)</f>
        <v>1.01</v>
      </c>
      <c r="AV46" s="200" t="n">
        <f aca="false">AVERAGE(AV15:AV44)</f>
        <v>77.6333333333333</v>
      </c>
      <c r="AW46" s="200" t="n">
        <f aca="false">AVERAGE(AW15:AW44)</f>
        <v>49.2</v>
      </c>
      <c r="AX46" s="208" t="s">
        <v>120</v>
      </c>
      <c r="AY46" s="322" t="n">
        <f aca="false">SUM(AY15:AY44)</f>
        <v>292.601343</v>
      </c>
    </row>
    <row r="47" customFormat="false" ht="12.95" hidden="false" customHeight="true" outlineLevel="0" collapsed="false">
      <c r="A47" s="175" t="s">
        <v>101</v>
      </c>
      <c r="B47" s="198"/>
      <c r="C47" s="102"/>
      <c r="D47" s="102" t="n">
        <f aca="false">SUM(D15:D44)</f>
        <v>-27031</v>
      </c>
      <c r="E47" s="102"/>
      <c r="F47" s="199" t="n">
        <f aca="false">F46*$D$2</f>
        <v>-27031</v>
      </c>
      <c r="G47" s="102" t="n">
        <f aca="false">G46*$D$2</f>
        <v>8344.5845</v>
      </c>
      <c r="H47" s="102" t="n">
        <f aca="false">H46*$D$2</f>
        <v>0</v>
      </c>
      <c r="I47" s="102" t="n">
        <f aca="false">I46*$D$2</f>
        <v>8344.5845</v>
      </c>
      <c r="J47" s="102" t="n">
        <f aca="false">J46*$D$2</f>
        <v>525.3275</v>
      </c>
      <c r="K47" s="102" t="n">
        <f aca="false">K46*$D$2</f>
        <v>8869.912</v>
      </c>
      <c r="L47" s="102" t="n">
        <f aca="false">L46*$D$2</f>
        <v>-491.769999999999</v>
      </c>
      <c r="M47" s="201" t="n">
        <f aca="false">M46*$D$2</f>
        <v>12192.5745</v>
      </c>
      <c r="N47" s="102" t="n">
        <f aca="false">N46*$D$2</f>
        <v>71.0314021405</v>
      </c>
      <c r="O47" s="102" t="n">
        <f aca="false">O46*$D$2</f>
        <v>3834.204675</v>
      </c>
      <c r="P47" s="149" t="n">
        <f aca="false">P46*$D$2</f>
        <v>0</v>
      </c>
      <c r="Q47" s="200" t="n">
        <f aca="false">Q46*$D$2</f>
        <v>152.7695667</v>
      </c>
      <c r="R47" s="200" t="n">
        <f aca="false">R46*$D$2</f>
        <v>248.512715</v>
      </c>
      <c r="S47" s="200" t="n">
        <f aca="false">S46*$D$2</f>
        <v>108.06108</v>
      </c>
      <c r="T47" s="202" t="n">
        <f aca="false">T46*$D$2</f>
        <v>0</v>
      </c>
      <c r="U47" s="102" t="n">
        <f aca="false">U46*$D$2</f>
        <v>6035.7905</v>
      </c>
      <c r="V47" s="102" t="n">
        <f aca="false">V46*$D$2</f>
        <v>4113.779</v>
      </c>
      <c r="W47" s="102" t="n">
        <f aca="false">W46*$D$2</f>
        <v>18171.0550541595</v>
      </c>
      <c r="X47" s="102" t="n">
        <f aca="false">X46*$D$2</f>
        <v>17020.6250541595</v>
      </c>
      <c r="Y47" s="102"/>
      <c r="Z47" s="102"/>
      <c r="AA47" s="102"/>
      <c r="AB47" s="102"/>
      <c r="AD47" s="102" t="n">
        <f aca="false">AD46*$D$2</f>
        <v>9590.2225</v>
      </c>
      <c r="AE47" s="201" t="n">
        <f aca="false">AE46*$D$2</f>
        <v>101.1585</v>
      </c>
      <c r="AF47" s="203" t="n">
        <f aca="false">AF46*$D$2</f>
        <v>77.3565</v>
      </c>
      <c r="AG47" s="102" t="n">
        <f aca="false">AG46*$D$2</f>
        <v>2951.448</v>
      </c>
      <c r="AH47" s="102"/>
      <c r="AI47" s="102" t="n">
        <f aca="false">AI46*$D$2</f>
        <v>0</v>
      </c>
      <c r="AJ47" s="102" t="n">
        <f aca="false">AJ46*$D$2</f>
        <v>34883.8145</v>
      </c>
      <c r="AK47" s="102" t="n">
        <f aca="false">AK46*$D$2</f>
        <v>1017.0975</v>
      </c>
      <c r="AL47" s="102" t="n">
        <f aca="false">AL46*$D$2</f>
        <v>35900.912</v>
      </c>
      <c r="AM47" s="205" t="s">
        <v>102</v>
      </c>
      <c r="AN47" s="102" t="n">
        <f aca="false">AN46*$D$2</f>
        <v>1150.43</v>
      </c>
      <c r="AO47" s="130"/>
      <c r="AP47" s="149" t="n">
        <f aca="false">SUM(AP15:AP44)</f>
        <v>8.78695648941676</v>
      </c>
      <c r="AQ47" s="130" t="n">
        <f aca="false">AQ46*$D$2</f>
        <v>243.490493</v>
      </c>
      <c r="AR47" s="200" t="n">
        <f aca="false">AR46*$D$2</f>
        <v>0</v>
      </c>
      <c r="AS47" s="200" t="n">
        <f aca="false">AS46*$D$2</f>
        <v>0</v>
      </c>
      <c r="AT47" s="200" t="n">
        <f aca="false">AT46*$D$2</f>
        <v>2135.733625</v>
      </c>
      <c r="AU47" s="207"/>
      <c r="AV47" s="200" t="n">
        <f aca="false">MAX(AV15:AV44)</f>
        <v>84</v>
      </c>
      <c r="AW47" s="200" t="n">
        <f aca="false">MAX(AW15:AW44)</f>
        <v>58</v>
      </c>
      <c r="AX47" s="208" t="s">
        <v>102</v>
      </c>
      <c r="AY47" s="322" t="n">
        <f aca="false">AY46*$D$2</f>
        <v>580.3747638405</v>
      </c>
    </row>
    <row r="48" customFormat="false" ht="3" hidden="false" customHeight="true" outlineLevel="0" collapsed="false">
      <c r="A48" s="216"/>
      <c r="B48" s="237"/>
      <c r="C48" s="218"/>
      <c r="D48" s="218"/>
      <c r="E48" s="218"/>
      <c r="F48" s="242"/>
      <c r="G48" s="218"/>
      <c r="H48" s="218"/>
      <c r="I48" s="218"/>
      <c r="J48" s="218"/>
      <c r="K48" s="218"/>
      <c r="L48" s="218"/>
      <c r="M48" s="243"/>
      <c r="N48" s="218"/>
      <c r="O48" s="218"/>
      <c r="P48" s="223"/>
      <c r="Q48" s="228"/>
      <c r="R48" s="228"/>
      <c r="S48" s="228"/>
      <c r="T48" s="224"/>
      <c r="U48" s="218"/>
      <c r="V48" s="218"/>
      <c r="W48" s="218"/>
      <c r="X48" s="218"/>
      <c r="Y48" s="218"/>
      <c r="Z48" s="218"/>
      <c r="AA48" s="218"/>
      <c r="AB48" s="218"/>
      <c r="AC48" s="476"/>
      <c r="AD48" s="218"/>
      <c r="AE48" s="243"/>
      <c r="AF48" s="244"/>
      <c r="AG48" s="218"/>
      <c r="AH48" s="219"/>
      <c r="AI48" s="218"/>
      <c r="AJ48" s="218"/>
      <c r="AK48" s="218"/>
      <c r="AL48" s="218"/>
      <c r="AM48" s="245"/>
      <c r="AN48" s="218"/>
      <c r="AO48" s="225"/>
      <c r="AP48" s="223"/>
      <c r="AQ48" s="223"/>
      <c r="AR48" s="228"/>
      <c r="AS48" s="228"/>
      <c r="AT48" s="225"/>
      <c r="AU48" s="245"/>
      <c r="AV48" s="218"/>
      <c r="AW48" s="218"/>
      <c r="AX48" s="242"/>
      <c r="AY48" s="303"/>
    </row>
    <row r="49" customFormat="false" ht="12.95" hidden="false" customHeight="true" outlineLevel="0" collapsed="false">
      <c r="A49" s="175" t="s">
        <v>103</v>
      </c>
      <c r="B49" s="198"/>
      <c r="C49" s="102"/>
      <c r="D49" s="102"/>
      <c r="E49" s="102"/>
      <c r="F49" s="199" t="n">
        <f aca="false">F12+F46</f>
        <v>15877.9934459289</v>
      </c>
      <c r="G49" s="102" t="n">
        <f aca="false">G12+G46</f>
        <v>117379</v>
      </c>
      <c r="H49" s="102" t="n">
        <f aca="false">H12+H46</f>
        <v>5300.8</v>
      </c>
      <c r="I49" s="102" t="n">
        <f aca="false">I12+I46</f>
        <v>122679.8</v>
      </c>
      <c r="J49" s="102" t="n">
        <f aca="false">J12+J46</f>
        <v>14820.5750693219</v>
      </c>
      <c r="K49" s="102" t="n">
        <f aca="false">K12+K46</f>
        <v>137500.375069322</v>
      </c>
      <c r="L49" s="102" t="n">
        <f aca="false">L12+L46</f>
        <v>12048.8934459289</v>
      </c>
      <c r="M49" s="201" t="n">
        <f aca="false">M12+M46</f>
        <v>41407.9</v>
      </c>
      <c r="N49" s="102" t="n">
        <f aca="false">N12+N46</f>
        <v>322.300287</v>
      </c>
      <c r="O49" s="102" t="n">
        <f aca="false">O12+O46</f>
        <v>13425.4365</v>
      </c>
      <c r="P49" s="149" t="n">
        <f aca="false">P12+P46</f>
        <v>7.31</v>
      </c>
      <c r="Q49" s="200"/>
      <c r="R49" s="200"/>
      <c r="S49" s="200"/>
      <c r="T49" s="202"/>
      <c r="U49" s="102" t="n">
        <f aca="false">U12+U46</f>
        <v>18640</v>
      </c>
      <c r="V49" s="102" t="n">
        <f aca="false">V12+V46</f>
        <v>10493.1</v>
      </c>
      <c r="W49" s="102" t="n">
        <f aca="false">W12+W46</f>
        <v>57941.036073</v>
      </c>
      <c r="X49" s="102" t="n">
        <f aca="false">X12+X46</f>
        <v>57361.036073</v>
      </c>
      <c r="Y49" s="78"/>
      <c r="Z49" s="102"/>
      <c r="AA49" s="102"/>
      <c r="AB49" s="102"/>
      <c r="AD49" s="102" t="n">
        <f aca="false">AD12+AD46</f>
        <v>24501.9</v>
      </c>
      <c r="AE49" s="201" t="n">
        <f aca="false">AE12+AE46</f>
        <v>311.1</v>
      </c>
      <c r="AF49" s="203" t="n">
        <f aca="false">AF12+AF46</f>
        <v>237.9</v>
      </c>
      <c r="AG49" s="102"/>
      <c r="AH49" s="102"/>
      <c r="AI49" s="102" t="n">
        <f aca="false">AI12+AI46</f>
        <v>0</v>
      </c>
      <c r="AJ49" s="102" t="n">
        <f aca="false">AJ12+AJ46</f>
        <v>118850.7</v>
      </c>
      <c r="AK49" s="102" t="n">
        <f aca="false">AK12+AK46</f>
        <v>2771.68162339299</v>
      </c>
      <c r="AL49" s="102" t="n">
        <f aca="false">AL12+AL46</f>
        <v>121622.381623393</v>
      </c>
      <c r="AM49" s="205" t="s">
        <v>104</v>
      </c>
      <c r="AN49" s="200"/>
      <c r="AO49" s="130"/>
      <c r="AP49" s="149"/>
      <c r="AQ49" s="130" t="n">
        <f aca="false">AQ12+AQ46</f>
        <v>3024.9585</v>
      </c>
      <c r="AR49" s="200" t="n">
        <f aca="false">AR12+AR46</f>
        <v>743.64</v>
      </c>
      <c r="AS49" s="200" t="n">
        <f aca="false">AS12+AS46</f>
        <v>0</v>
      </c>
      <c r="AT49" s="200" t="n">
        <f aca="false">AT12+AT46</f>
        <v>1076.75</v>
      </c>
      <c r="AU49" s="207"/>
      <c r="AV49" s="200" t="n">
        <f aca="false">MIN(AV15:AV44)</f>
        <v>60</v>
      </c>
      <c r="AW49" s="200" t="n">
        <f aca="false">MIN(AW15:AW44)</f>
        <v>40</v>
      </c>
      <c r="AX49" s="208" t="s">
        <v>104</v>
      </c>
      <c r="AY49" s="322" t="n">
        <f aca="false">AY12+AY46</f>
        <v>292.601343</v>
      </c>
    </row>
    <row r="50" customFormat="false" ht="12.95" hidden="false" customHeight="true" outlineLevel="0" collapsed="false">
      <c r="A50" s="175" t="s">
        <v>105</v>
      </c>
      <c r="B50" s="198"/>
      <c r="C50" s="102"/>
      <c r="D50" s="102"/>
      <c r="E50" s="102"/>
      <c r="F50" s="199" t="n">
        <f aca="false">F49*$D$2</f>
        <v>31494</v>
      </c>
      <c r="G50" s="102" t="n">
        <f aca="false">G49*$D$2</f>
        <v>232821.2465</v>
      </c>
      <c r="H50" s="102" t="n">
        <f aca="false">H49*$D$2</f>
        <v>10514.1368</v>
      </c>
      <c r="I50" s="102" t="n">
        <f aca="false">I49*$D$2</f>
        <v>243335.3833</v>
      </c>
      <c r="J50" s="102" t="n">
        <f aca="false">J49*$D$2</f>
        <v>29396.61065</v>
      </c>
      <c r="K50" s="102" t="n">
        <f aca="false">K49*$D$2</f>
        <v>272731.99395</v>
      </c>
      <c r="L50" s="102" t="n">
        <f aca="false">L49*$D$2</f>
        <v>23898.98015</v>
      </c>
      <c r="M50" s="201" t="n">
        <f aca="false">M49*$D$2</f>
        <v>82132.56965</v>
      </c>
      <c r="N50" s="102" t="n">
        <f aca="false">N49*$D$2</f>
        <v>639.2826192645</v>
      </c>
      <c r="O50" s="102" t="n">
        <f aca="false">O49*$D$2</f>
        <v>26629.35329775</v>
      </c>
      <c r="P50" s="149" t="n">
        <f aca="false">P49*$D$2</f>
        <v>14.499385</v>
      </c>
      <c r="Q50" s="200"/>
      <c r="R50" s="200"/>
      <c r="S50" s="200"/>
      <c r="T50" s="202"/>
      <c r="U50" s="102" t="n">
        <f aca="false">U49*$D$2</f>
        <v>36972.44</v>
      </c>
      <c r="V50" s="102" t="n">
        <f aca="false">V49*$D$2</f>
        <v>20813.06385</v>
      </c>
      <c r="W50" s="102" t="n">
        <f aca="false">W49*$D$2</f>
        <v>114926.045050795</v>
      </c>
      <c r="X50" s="102" t="n">
        <f aca="false">X49*$D$2</f>
        <v>113775.615050796</v>
      </c>
      <c r="Y50" s="78"/>
      <c r="Z50" s="102"/>
      <c r="AA50" s="102"/>
      <c r="AB50" s="102"/>
      <c r="AD50" s="102" t="n">
        <f aca="false">AD49*$D$2</f>
        <v>48599.51865</v>
      </c>
      <c r="AE50" s="201" t="n">
        <f aca="false">AE49*$D$2</f>
        <v>617.06685</v>
      </c>
      <c r="AF50" s="203" t="n">
        <f aca="false">AF49*$D$2</f>
        <v>471.87465</v>
      </c>
      <c r="AG50" s="102"/>
      <c r="AH50" s="102"/>
      <c r="AI50" s="102" t="n">
        <f aca="false">AI49*$D$2</f>
        <v>0</v>
      </c>
      <c r="AJ50" s="102" t="n">
        <f aca="false">AJ49*$D$2</f>
        <v>235740.36345</v>
      </c>
      <c r="AK50" s="102" t="n">
        <f aca="false">AK49*$D$2</f>
        <v>5497.63049999999</v>
      </c>
      <c r="AL50" s="102" t="n">
        <f aca="false">AL49*$D$2</f>
        <v>241237.99395</v>
      </c>
      <c r="AM50" s="205"/>
      <c r="AN50" s="200"/>
      <c r="AO50" s="130"/>
      <c r="AP50" s="149" t="n">
        <f aca="false">AP12+AP47</f>
        <v>899.756307377171</v>
      </c>
      <c r="AQ50" s="130" t="n">
        <f aca="false">AQ49*$D$2</f>
        <v>6000.00518475</v>
      </c>
      <c r="AR50" s="200" t="n">
        <f aca="false">AR49*$D$2</f>
        <v>1475.00994</v>
      </c>
      <c r="AS50" s="200" t="n">
        <f aca="false">AS49*$D$2</f>
        <v>0</v>
      </c>
      <c r="AT50" s="200" t="n">
        <f aca="false">AT49*$D$2</f>
        <v>2135.733625</v>
      </c>
      <c r="AU50" s="207"/>
      <c r="AV50" s="200"/>
      <c r="AW50" s="200"/>
      <c r="AX50" s="280"/>
      <c r="AY50" s="322" t="n">
        <f aca="false">AY49*$D$2</f>
        <v>580.3747638405</v>
      </c>
    </row>
    <row r="51" customFormat="false" ht="3" hidden="false" customHeight="true" outlineLevel="0" collapsed="false">
      <c r="A51" s="216"/>
      <c r="B51" s="237"/>
      <c r="C51" s="218"/>
      <c r="D51" s="218"/>
      <c r="E51" s="218"/>
      <c r="F51" s="242"/>
      <c r="G51" s="218"/>
      <c r="H51" s="228"/>
      <c r="I51" s="218"/>
      <c r="J51" s="218"/>
      <c r="K51" s="218"/>
      <c r="L51" s="218"/>
      <c r="M51" s="243"/>
      <c r="N51" s="218"/>
      <c r="O51" s="218"/>
      <c r="P51" s="223"/>
      <c r="Q51" s="228"/>
      <c r="R51" s="228"/>
      <c r="S51" s="228"/>
      <c r="T51" s="224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146"/>
      <c r="AF51" s="147"/>
      <c r="AG51" s="218"/>
      <c r="AH51" s="218"/>
      <c r="AI51" s="218"/>
      <c r="AJ51" s="218"/>
      <c r="AK51" s="218"/>
      <c r="AL51" s="218"/>
      <c r="AM51" s="230"/>
      <c r="AN51" s="248"/>
      <c r="AO51" s="225"/>
      <c r="AP51" s="223"/>
      <c r="AQ51" s="223"/>
      <c r="AR51" s="228"/>
      <c r="AS51" s="228"/>
      <c r="AT51" s="225"/>
      <c r="AU51" s="230"/>
      <c r="AV51" s="248"/>
      <c r="AW51" s="248"/>
      <c r="AX51" s="242"/>
      <c r="AY51" s="303"/>
    </row>
    <row r="52" customFormat="false" ht="12.95" hidden="false" customHeight="true" outlineLevel="0" collapsed="false">
      <c r="A52" s="175" t="s">
        <v>106</v>
      </c>
      <c r="B52" s="198"/>
      <c r="C52" s="102"/>
      <c r="D52" s="102"/>
      <c r="E52" s="102"/>
      <c r="F52" s="199" t="n">
        <f aca="false">F13+F46</f>
        <v>11941.5175195362</v>
      </c>
      <c r="G52" s="102" t="n">
        <f aca="false">G13+G46</f>
        <v>124082</v>
      </c>
      <c r="H52" s="200" t="n">
        <f aca="false">H13+H46</f>
        <v>5529.39</v>
      </c>
      <c r="I52" s="102" t="n">
        <f aca="false">I13+I46</f>
        <v>129611.39</v>
      </c>
      <c r="J52" s="102" t="n">
        <f aca="false">J13+J46</f>
        <v>16562.9406730527</v>
      </c>
      <c r="K52" s="102" t="n">
        <f aca="false">K13+K46</f>
        <v>146174.330673053</v>
      </c>
      <c r="L52" s="102" t="n">
        <f aca="false">L13+L46</f>
        <v>12882.3275195362</v>
      </c>
      <c r="M52" s="201" t="n">
        <f aca="false">M13+M46</f>
        <v>42103.3</v>
      </c>
      <c r="N52" s="102" t="n">
        <f aca="false">N13+N46</f>
        <v>322.300287</v>
      </c>
      <c r="O52" s="102" t="n">
        <f aca="false">O13+O46</f>
        <v>13425.4365</v>
      </c>
      <c r="P52" s="149"/>
      <c r="Q52" s="200" t="n">
        <f aca="false">Q13+Q46</f>
        <v>699.40686</v>
      </c>
      <c r="R52" s="200" t="n">
        <f aca="false">R13+R46</f>
        <v>1079.03</v>
      </c>
      <c r="S52" s="200" t="n">
        <f aca="false">S13+S46</f>
        <v>715.71</v>
      </c>
      <c r="T52" s="202" t="n">
        <f aca="false">T13+T46</f>
        <v>-22.57716</v>
      </c>
      <c r="U52" s="102" t="n">
        <f aca="false">U13+U46</f>
        <v>25031.6</v>
      </c>
      <c r="V52" s="102" t="n">
        <f aca="false">V13+V46</f>
        <v>10533.6</v>
      </c>
      <c r="W52" s="102" t="n">
        <f aca="false">W13+W46</f>
        <v>64461.870853</v>
      </c>
      <c r="X52" s="102" t="n">
        <f aca="false">X13+X46</f>
        <v>63841.370853</v>
      </c>
      <c r="Y52" s="102"/>
      <c r="Z52" s="102"/>
      <c r="AA52" s="102"/>
      <c r="AB52" s="102"/>
      <c r="AC52" s="102"/>
      <c r="AD52" s="102"/>
      <c r="AE52" s="93"/>
      <c r="AF52" s="94"/>
      <c r="AG52" s="102" t="n">
        <f aca="false">AG13+AG46</f>
        <v>28386</v>
      </c>
      <c r="AH52" s="102" t="n">
        <f aca="false">AH44</f>
        <v>6712.25787748929</v>
      </c>
      <c r="AI52" s="102" t="n">
        <f aca="false">AI13+AI46</f>
        <v>14493</v>
      </c>
      <c r="AJ52" s="102" t="n">
        <f aca="false">AJ13+AJ46</f>
        <v>130552.2</v>
      </c>
      <c r="AK52" s="102" t="n">
        <f aca="false">AK13+AK46</f>
        <v>3680.61315351651</v>
      </c>
      <c r="AL52" s="102" t="n">
        <f aca="false">AL13+AL46</f>
        <v>134232.813153517</v>
      </c>
      <c r="AM52" s="205"/>
      <c r="AN52" s="102" t="n">
        <f aca="false">AN13+AN46</f>
        <v>620.5</v>
      </c>
      <c r="AO52" s="130"/>
      <c r="AP52" s="149"/>
      <c r="AQ52" s="149"/>
      <c r="AR52" s="200" t="n">
        <f aca="false">AR13+AR46</f>
        <v>0</v>
      </c>
      <c r="AS52" s="200"/>
      <c r="AU52" s="207" t="n">
        <f aca="false">AU13+AU46</f>
        <v>11.26</v>
      </c>
      <c r="AV52" s="200"/>
      <c r="AW52" s="200"/>
      <c r="AX52" s="280"/>
      <c r="AY52" s="322" t="n">
        <f aca="false">AY13+AY46</f>
        <v>2808.035944</v>
      </c>
    </row>
    <row r="53" customFormat="false" ht="12.95" hidden="false" customHeight="true" outlineLevel="0" collapsed="false">
      <c r="A53" s="175" t="s">
        <v>107</v>
      </c>
      <c r="B53" s="198"/>
      <c r="C53" s="102"/>
      <c r="D53" s="102" t="n">
        <f aca="false">D13+D47</f>
        <v>23686</v>
      </c>
      <c r="E53" s="102" t="n">
        <f aca="false">E44</f>
        <v>131051</v>
      </c>
      <c r="F53" s="199" t="n">
        <f aca="false">F52*$D$2</f>
        <v>23686</v>
      </c>
      <c r="G53" s="102" t="n">
        <f aca="false">G52*$D$2</f>
        <v>246116.647</v>
      </c>
      <c r="H53" s="200" t="n">
        <f aca="false">H52*$D$2</f>
        <v>10967.545065</v>
      </c>
      <c r="I53" s="102" t="n">
        <f aca="false">I52*$D$2</f>
        <v>257084.192065</v>
      </c>
      <c r="J53" s="102" t="n">
        <f aca="false">J52*$D$2</f>
        <v>32852.592825</v>
      </c>
      <c r="K53" s="102" t="n">
        <f aca="false">K52*$D$2</f>
        <v>289936.78489</v>
      </c>
      <c r="L53" s="102" t="n">
        <f aca="false">L52*$D$2</f>
        <v>25552.096635</v>
      </c>
      <c r="M53" s="201" t="n">
        <f aca="false">M52*$D$2</f>
        <v>83511.89555</v>
      </c>
      <c r="N53" s="102" t="n">
        <f aca="false">N52*$D$2</f>
        <v>639.2826192645</v>
      </c>
      <c r="O53" s="102" t="n">
        <f aca="false">O52*$D$2</f>
        <v>26629.35329775</v>
      </c>
      <c r="P53" s="149"/>
      <c r="Q53" s="200" t="n">
        <f aca="false">Q52*$D$2</f>
        <v>1387.27350681</v>
      </c>
      <c r="R53" s="200" t="n">
        <f aca="false">R52*$D$2</f>
        <v>2140.256005</v>
      </c>
      <c r="S53" s="200" t="n">
        <f aca="false">S52*$D$2</f>
        <v>1419.610785</v>
      </c>
      <c r="T53" s="301" t="n">
        <f aca="false">T52*$D$2</f>
        <v>-44.78179686</v>
      </c>
      <c r="U53" s="102" t="n">
        <f aca="false">U52*$D$2</f>
        <v>49650.1786</v>
      </c>
      <c r="V53" s="102" t="n">
        <f aca="false">V52*$D$2</f>
        <v>20893.3956</v>
      </c>
      <c r="W53" s="102" t="n">
        <f aca="false">W52*$D$2</f>
        <v>127860.120836926</v>
      </c>
      <c r="X53" s="102" t="n">
        <f aca="false">X52*$D$2</f>
        <v>126629.359086926</v>
      </c>
      <c r="Y53" s="102"/>
      <c r="Z53" s="102"/>
      <c r="AA53" s="102"/>
      <c r="AB53" s="102"/>
      <c r="AC53" s="102"/>
      <c r="AD53" s="102"/>
      <c r="AE53" s="93"/>
      <c r="AF53" s="94"/>
      <c r="AG53" s="102" t="n">
        <f aca="false">AG52*$D$2</f>
        <v>56303.631</v>
      </c>
      <c r="AH53" s="102" t="n">
        <f aca="false">AH52*$D$2</f>
        <v>13313.7635</v>
      </c>
      <c r="AI53" s="102" t="n">
        <f aca="false">AI52*$D$2</f>
        <v>28746.8655</v>
      </c>
      <c r="AJ53" s="102" t="n">
        <f aca="false">AJ52*$D$2</f>
        <v>258950.2887</v>
      </c>
      <c r="AK53" s="102" t="n">
        <f aca="false">AK52*$D$2</f>
        <v>7300.49618999999</v>
      </c>
      <c r="AL53" s="102" t="n">
        <f aca="false">AL52*$D$2</f>
        <v>266250.78489</v>
      </c>
      <c r="AM53" s="205" t="n">
        <f aca="false">AM44</f>
        <v>14971.25965</v>
      </c>
      <c r="AN53" s="102" t="n">
        <f aca="false">AN52*$D$2</f>
        <v>1230.76175</v>
      </c>
      <c r="AO53" s="130"/>
      <c r="AP53" s="149" t="n">
        <f aca="false">AP13+AP47</f>
        <v>899.756307377171</v>
      </c>
      <c r="AQ53" s="149"/>
      <c r="AR53" s="200" t="n">
        <f aca="false">AR52*$D$2</f>
        <v>0</v>
      </c>
      <c r="AS53" s="200"/>
      <c r="AU53" s="207"/>
      <c r="AV53" s="200"/>
      <c r="AW53" s="200"/>
      <c r="AX53" s="280"/>
      <c r="AY53" s="322" t="n">
        <f aca="false">AY52*$D$2</f>
        <v>5569.739294924</v>
      </c>
    </row>
    <row r="54" customFormat="false" ht="3" hidden="false" customHeight="true" outlineLevel="0" collapsed="false">
      <c r="A54" s="216"/>
      <c r="B54" s="237"/>
      <c r="C54" s="218"/>
      <c r="D54" s="219"/>
      <c r="E54" s="218"/>
      <c r="F54" s="220"/>
      <c r="G54" s="219"/>
      <c r="H54" s="221"/>
      <c r="I54" s="219"/>
      <c r="J54" s="219"/>
      <c r="K54" s="219"/>
      <c r="L54" s="219"/>
      <c r="M54" s="222"/>
      <c r="N54" s="219"/>
      <c r="O54" s="219"/>
      <c r="P54" s="223"/>
      <c r="Q54" s="223"/>
      <c r="R54" s="223"/>
      <c r="S54" s="223"/>
      <c r="T54" s="224"/>
      <c r="U54" s="219"/>
      <c r="V54" s="219"/>
      <c r="W54" s="219"/>
      <c r="X54" s="219"/>
      <c r="Y54" s="218"/>
      <c r="Z54" s="219"/>
      <c r="AA54" s="218"/>
      <c r="AB54" s="218"/>
      <c r="AC54" s="218"/>
      <c r="AD54" s="219"/>
      <c r="AE54" s="109"/>
      <c r="AF54" s="154"/>
      <c r="AG54" s="219"/>
      <c r="AH54" s="218"/>
      <c r="AI54" s="286"/>
      <c r="AJ54" s="219"/>
      <c r="AK54" s="219"/>
      <c r="AL54" s="219"/>
      <c r="AM54" s="237"/>
      <c r="AN54" s="219"/>
      <c r="AO54" s="225"/>
      <c r="AP54" s="223"/>
      <c r="AQ54" s="223"/>
      <c r="AR54" s="223"/>
      <c r="AS54" s="223"/>
      <c r="AT54" s="225"/>
      <c r="AU54" s="237"/>
      <c r="AV54" s="219"/>
      <c r="AW54" s="219"/>
      <c r="AX54" s="242"/>
      <c r="AY54" s="303"/>
    </row>
    <row r="55" customFormat="false" ht="11.1" hidden="false" customHeight="true" outlineLevel="0" collapsed="false">
      <c r="G55" s="176"/>
      <c r="I55" s="164"/>
      <c r="N55" s="2"/>
      <c r="V55" s="166"/>
      <c r="W55" s="1"/>
      <c r="X55" s="1"/>
      <c r="Y55" s="167"/>
      <c r="Z55" s="1"/>
      <c r="AA55" s="167"/>
      <c r="AD55" s="169"/>
      <c r="AE55" s="169"/>
      <c r="AF55" s="169"/>
      <c r="AG55" s="167"/>
      <c r="AJ55" s="166"/>
      <c r="AK55" s="166"/>
      <c r="AL55" s="8"/>
      <c r="AM55" s="170"/>
      <c r="AN55" s="170"/>
      <c r="AO55" s="311"/>
      <c r="AP55" s="310"/>
      <c r="AQ55" s="310"/>
      <c r="AU55" s="168"/>
      <c r="AV55" s="172"/>
      <c r="AW55" s="173"/>
    </row>
    <row r="56" customFormat="false" ht="11.1" hidden="false" customHeight="true" outlineLevel="0" collapsed="false">
      <c r="A56" s="175"/>
      <c r="B56" s="528"/>
      <c r="C56" s="2"/>
      <c r="D56" s="1"/>
      <c r="E56" s="367"/>
      <c r="F56" s="178"/>
      <c r="G56" s="1"/>
      <c r="H56" s="3"/>
      <c r="I56" s="12"/>
      <c r="J56" s="11"/>
      <c r="K56" s="164"/>
      <c r="L56" s="169"/>
      <c r="M56" s="11"/>
      <c r="N56" s="0"/>
      <c r="O56" s="2"/>
      <c r="P56" s="463"/>
      <c r="Q56" s="463"/>
      <c r="R56" s="89"/>
      <c r="S56" s="89"/>
      <c r="T56" s="89"/>
      <c r="U56" s="26"/>
      <c r="V56" s="125"/>
      <c r="W56" s="86"/>
      <c r="X56" s="86"/>
      <c r="Y56" s="167"/>
      <c r="Z56" s="86"/>
      <c r="AA56" s="167"/>
      <c r="AB56" s="80"/>
      <c r="AC56" s="80"/>
      <c r="AD56" s="2"/>
      <c r="AE56" s="2"/>
      <c r="AF56" s="2"/>
      <c r="AG56" s="11"/>
      <c r="AH56" s="2"/>
      <c r="AI56" s="100"/>
      <c r="AJ56" s="2"/>
      <c r="AK56" s="175"/>
      <c r="AL56" s="8"/>
      <c r="AM56" s="536"/>
      <c r="AN56" s="536"/>
      <c r="AO56" s="311"/>
      <c r="AP56" s="369"/>
      <c r="AQ56" s="369"/>
      <c r="AR56" s="256"/>
      <c r="AU56" s="172"/>
      <c r="AV56" s="172"/>
      <c r="AW56" s="172"/>
    </row>
    <row r="57" customFormat="false" ht="11.1" hidden="false" customHeight="true" outlineLevel="0" collapsed="false">
      <c r="B57" s="167"/>
      <c r="E57" s="367"/>
      <c r="F57" s="210"/>
      <c r="G57" s="1"/>
      <c r="H57" s="3"/>
      <c r="I57" s="1"/>
      <c r="J57" s="1"/>
      <c r="K57" s="368"/>
      <c r="L57" s="431"/>
      <c r="M57" s="4"/>
      <c r="N57" s="4"/>
      <c r="O57" s="86"/>
      <c r="R57" s="89"/>
      <c r="S57" s="89"/>
      <c r="T57" s="89"/>
      <c r="U57" s="26"/>
      <c r="V57" s="26"/>
      <c r="W57" s="86"/>
      <c r="X57" s="86"/>
      <c r="Y57" s="167"/>
      <c r="Z57" s="86"/>
      <c r="AA57" s="167"/>
      <c r="AD57" s="167"/>
      <c r="AE57" s="167"/>
      <c r="AF57" s="167"/>
      <c r="AG57" s="2"/>
      <c r="AH57" s="26"/>
      <c r="AI57" s="464"/>
      <c r="AJ57" s="26"/>
      <c r="AK57" s="166"/>
      <c r="AL57" s="8"/>
      <c r="AM57" s="170"/>
      <c r="AN57" s="170"/>
      <c r="AO57" s="311"/>
      <c r="AR57" s="256"/>
      <c r="AU57" s="172"/>
      <c r="AV57" s="172"/>
      <c r="AW57" s="173"/>
    </row>
    <row r="58" customFormat="false" ht="11.1" hidden="false" customHeight="true" outlineLevel="0" collapsed="false">
      <c r="D58" s="167"/>
      <c r="E58" s="367"/>
      <c r="F58" s="1"/>
      <c r="G58" s="1"/>
      <c r="H58" s="167"/>
      <c r="I58" s="1"/>
      <c r="J58" s="1"/>
      <c r="K58" s="368"/>
      <c r="L58" s="172"/>
      <c r="M58" s="4"/>
      <c r="N58" s="4"/>
      <c r="O58" s="172"/>
      <c r="V58" s="166"/>
      <c r="W58" s="1"/>
      <c r="X58" s="1"/>
      <c r="Y58" s="172"/>
      <c r="Z58" s="1"/>
      <c r="AA58" s="172"/>
      <c r="AB58" s="172"/>
      <c r="AC58" s="172"/>
      <c r="AD58" s="167"/>
      <c r="AE58" s="167"/>
      <c r="AF58" s="167"/>
      <c r="AG58" s="2"/>
      <c r="AH58" s="167"/>
      <c r="AI58" s="210"/>
      <c r="AJ58" s="167"/>
      <c r="AK58" s="166"/>
      <c r="AL58" s="367"/>
      <c r="AM58" s="170"/>
      <c r="AN58" s="170"/>
      <c r="AO58" s="311"/>
      <c r="AR58" s="256"/>
      <c r="AU58" s="172"/>
      <c r="AV58" s="172"/>
      <c r="AW58" s="173"/>
    </row>
    <row r="59" customFormat="false" ht="11.1" hidden="false" customHeight="true" outlineLevel="0" collapsed="false">
      <c r="G59" s="258"/>
      <c r="O59" s="172"/>
      <c r="V59" s="166"/>
      <c r="W59" s="1"/>
      <c r="X59" s="1"/>
      <c r="Y59" s="167"/>
      <c r="Z59" s="1"/>
      <c r="AA59" s="167"/>
      <c r="AG59" s="167"/>
      <c r="AJ59" s="166"/>
      <c r="AK59" s="166"/>
      <c r="AL59" s="8"/>
      <c r="AM59" s="170"/>
      <c r="AN59" s="170"/>
      <c r="AO59" s="311"/>
      <c r="AR59" s="256"/>
      <c r="AU59" s="168"/>
      <c r="AV59" s="172"/>
      <c r="AW59" s="173"/>
    </row>
    <row r="60" customFormat="false" ht="11.1" hidden="false" customHeight="true" outlineLevel="0" collapsed="false">
      <c r="V60" s="166"/>
      <c r="W60" s="167"/>
      <c r="X60" s="167"/>
      <c r="Y60" s="167"/>
      <c r="Z60" s="167"/>
      <c r="AA60" s="167"/>
      <c r="AG60" s="167"/>
      <c r="AJ60" s="166"/>
      <c r="AK60" s="166"/>
      <c r="AL60" s="8"/>
      <c r="AM60" s="170"/>
      <c r="AN60" s="170"/>
      <c r="AR60" s="256"/>
      <c r="AU60" s="168"/>
      <c r="AV60" s="172"/>
      <c r="AW60" s="173"/>
    </row>
    <row r="61" customFormat="false" ht="11.1" hidden="false" customHeight="true" outlineLevel="0" collapsed="false">
      <c r="V61" s="166"/>
      <c r="W61" s="167"/>
      <c r="X61" s="167"/>
      <c r="Z61" s="167"/>
      <c r="AB61" s="166"/>
      <c r="AC61" s="166"/>
      <c r="AG61" s="167"/>
      <c r="AJ61" s="166"/>
      <c r="AK61" s="166"/>
      <c r="AL61" s="8"/>
      <c r="AP61" s="310"/>
      <c r="AQ61" s="310"/>
      <c r="AU61" s="168"/>
      <c r="AV61" s="172"/>
      <c r="AW61" s="173"/>
    </row>
  </sheetData>
  <mergeCells count="2">
    <mergeCell ref="K2:AC2"/>
    <mergeCell ref="M5:T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F28" activePane="bottomRight" state="frozen"/>
      <selection pane="topLeft" activeCell="A1" activeCellId="0" sqref="A1"/>
      <selection pane="topRight" activeCell="F1" activeCellId="0" sqref="F1"/>
      <selection pane="bottomLeft" activeCell="A28" activeCellId="0" sqref="A28"/>
      <selection pane="bottomRight" activeCell="AC34" activeCellId="0" sqref="AC34"/>
    </sheetView>
  </sheetViews>
  <sheetFormatPr defaultColWidth="9.328125" defaultRowHeight="11.1" zeroHeight="false" outlineLevelRow="0" outlineLevelCol="0"/>
  <cols>
    <col collapsed="false" customWidth="true" hidden="false" outlineLevel="0" max="1" min="1" style="166" width="4.66"/>
    <col collapsed="false" customWidth="true" hidden="false" outlineLevel="0" max="2" min="2" style="166" width="6.99"/>
    <col collapsed="false" customWidth="true" hidden="false" outlineLevel="0" max="3" min="3" style="167" width="6.32"/>
    <col collapsed="false" customWidth="true" hidden="false" outlineLevel="0" max="4" min="4" style="166" width="6.99"/>
    <col collapsed="false" customWidth="true" hidden="false" outlineLevel="0" max="5" min="5" style="167" width="6.99"/>
    <col collapsed="false" customWidth="true" hidden="false" outlineLevel="0" max="6" min="6" style="166" width="7.32"/>
    <col collapsed="false" customWidth="true" hidden="false" outlineLevel="0" max="7" min="7" style="166" width="6.82"/>
    <col collapsed="false" customWidth="true" hidden="false" outlineLevel="0" max="8" min="8" style="537" width="5.66"/>
    <col collapsed="false" customWidth="true" hidden="false" outlineLevel="0" max="11" min="9" style="166" width="6.32"/>
    <col collapsed="false" customWidth="true" hidden="false" outlineLevel="0" max="12" min="12" style="166" width="7.16"/>
    <col collapsed="false" customWidth="true" hidden="false" outlineLevel="0" max="13" min="13" style="169" width="5.49"/>
    <col collapsed="false" customWidth="true" hidden="false" outlineLevel="0" max="14" min="14" style="169" width="4.49"/>
    <col collapsed="false" customWidth="true" hidden="false" outlineLevel="0" max="15" min="15" style="169" width="5.49"/>
    <col collapsed="false" customWidth="true" hidden="false" outlineLevel="0" max="16" min="16" style="8" width="4.82"/>
    <col collapsed="false" customWidth="true" hidden="false" outlineLevel="0" max="19" min="17" style="166" width="4.32"/>
    <col collapsed="false" customWidth="true" hidden="false" outlineLevel="0" max="20" min="20" style="8" width="5.49"/>
    <col collapsed="false" customWidth="true" hidden="false" outlineLevel="0" max="21" min="21" style="166" width="5.49"/>
    <col collapsed="false" customWidth="true" hidden="false" outlineLevel="0" max="22" min="22" style="167" width="5.49"/>
    <col collapsed="false" customWidth="true" hidden="false" outlineLevel="0" max="24" min="23" style="166" width="6.32"/>
    <col collapsed="false" customWidth="true" hidden="false" outlineLevel="0" max="25" min="25" style="166" width="5.49"/>
    <col collapsed="false" customWidth="true" hidden="false" outlineLevel="0" max="26" min="26" style="166" width="6.32"/>
    <col collapsed="false" customWidth="true" hidden="false" outlineLevel="0" max="27" min="27" style="166" width="5.49"/>
    <col collapsed="false" customWidth="true" hidden="false" outlineLevel="0" max="29" min="28" style="167" width="5.49"/>
    <col collapsed="false" customWidth="true" hidden="false" outlineLevel="0" max="32" min="30" style="166" width="5.49"/>
    <col collapsed="false" customWidth="true" hidden="false" outlineLevel="0" max="33" min="33" style="166" width="6.32"/>
    <col collapsed="false" customWidth="true" hidden="false" outlineLevel="0" max="34" min="34" style="166" width="5.49"/>
    <col collapsed="false" customWidth="true" hidden="false" outlineLevel="0" max="35" min="35" style="170" width="6.32"/>
    <col collapsed="false" customWidth="true" hidden="false" outlineLevel="0" max="36" min="36" style="369" width="6.32"/>
    <col collapsed="false" customWidth="true" hidden="false" outlineLevel="0" max="38" min="37" style="270" width="6.99"/>
    <col collapsed="false" customWidth="true" hidden="false" outlineLevel="0" max="39" min="39" style="170" width="5.49"/>
    <col collapsed="false" customWidth="true" hidden="false" outlineLevel="0" max="40" min="40" style="311" width="5.49"/>
    <col collapsed="false" customWidth="true" hidden="false" outlineLevel="0" max="41" min="41" style="311" width="6.32"/>
    <col collapsed="false" customWidth="true" hidden="false" outlineLevel="0" max="43" min="42" style="369" width="6.32"/>
    <col collapsed="false" customWidth="true" hidden="false" outlineLevel="0" max="44" min="44" style="369" width="5.16"/>
    <col collapsed="false" customWidth="true" hidden="false" outlineLevel="0" max="45" min="45" style="170" width="6.32"/>
    <col collapsed="false" customWidth="true" hidden="false" outlineLevel="0" max="46" min="46" style="170" width="5.82"/>
    <col collapsed="false" customWidth="true" hidden="false" outlineLevel="0" max="47" min="47" style="270" width="4.99"/>
    <col collapsed="false" customWidth="true" hidden="false" outlineLevel="0" max="48" min="48" style="397" width="5.82"/>
    <col collapsed="false" customWidth="true" hidden="false" outlineLevel="0" max="49" min="49" style="170" width="3.82"/>
    <col collapsed="false" customWidth="true" hidden="false" outlineLevel="0" max="50" min="50" style="369" width="3.82"/>
    <col collapsed="false" customWidth="true" hidden="false" outlineLevel="0" max="51" min="51" style="174" width="4.32"/>
    <col collapsed="false" customWidth="true" hidden="false" outlineLevel="0" max="52" min="52" style="174" width="6.49"/>
    <col collapsed="false" customWidth="false" hidden="false" outlineLevel="0" max="257" min="53" style="174" width="9.32"/>
  </cols>
  <sheetData>
    <row r="1" customFormat="false" ht="14.1" hidden="false" customHeight="true" outlineLevel="0" collapsed="false">
      <c r="A1" s="175"/>
      <c r="B1" s="175"/>
      <c r="D1" s="175"/>
      <c r="F1" s="175"/>
      <c r="G1" s="175"/>
      <c r="I1" s="175"/>
      <c r="J1" s="175"/>
      <c r="K1" s="177" t="s">
        <v>0</v>
      </c>
      <c r="L1" s="175"/>
      <c r="M1" s="175"/>
      <c r="N1" s="175"/>
      <c r="O1" s="175"/>
      <c r="Q1" s="175"/>
      <c r="R1" s="175"/>
      <c r="S1" s="175"/>
      <c r="U1" s="175"/>
      <c r="V1" s="175"/>
      <c r="W1" s="167"/>
      <c r="X1" s="167"/>
      <c r="Y1" s="175"/>
      <c r="Z1" s="167"/>
      <c r="AA1" s="175"/>
      <c r="AB1" s="175"/>
      <c r="AC1" s="175"/>
      <c r="AD1" s="175"/>
      <c r="AE1" s="175"/>
      <c r="AF1" s="175"/>
      <c r="AG1" s="167"/>
      <c r="AH1" s="175"/>
      <c r="AI1" s="178"/>
      <c r="AJ1" s="178"/>
      <c r="AK1" s="178"/>
      <c r="AL1" s="369"/>
      <c r="AM1" s="178"/>
      <c r="AV1" s="270"/>
      <c r="AW1" s="270"/>
      <c r="AX1" s="397"/>
    </row>
    <row r="2" customFormat="false" ht="14.1" hidden="false" customHeight="true" outlineLevel="0" collapsed="false">
      <c r="A2" s="178" t="s">
        <v>1</v>
      </c>
      <c r="B2" s="175"/>
      <c r="D2" s="179" t="n">
        <v>1.9835</v>
      </c>
      <c r="F2" s="175"/>
      <c r="G2" s="175"/>
      <c r="I2" s="175"/>
      <c r="J2" s="175"/>
      <c r="K2" s="180" t="s">
        <v>135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5"/>
      <c r="AE2" s="175"/>
      <c r="AF2" s="175"/>
      <c r="AG2" s="167"/>
      <c r="AH2" s="175"/>
      <c r="AI2" s="178"/>
      <c r="AJ2" s="178"/>
      <c r="AK2" s="178"/>
      <c r="AL2" s="369"/>
      <c r="AM2" s="178"/>
      <c r="AV2" s="270"/>
      <c r="AW2" s="270"/>
      <c r="AX2" s="397"/>
    </row>
    <row r="3" customFormat="false" ht="14.1" hidden="false" customHeight="true" outlineLevel="0" collapsed="false">
      <c r="A3" s="181"/>
      <c r="B3" s="181"/>
      <c r="C3" s="182"/>
      <c r="D3" s="183"/>
      <c r="E3" s="182"/>
      <c r="F3" s="181"/>
      <c r="G3" s="181"/>
      <c r="H3" s="538"/>
      <c r="I3" s="181"/>
      <c r="J3" s="181"/>
      <c r="K3" s="181"/>
      <c r="L3" s="181"/>
      <c r="M3" s="181"/>
      <c r="N3" s="181"/>
      <c r="O3" s="181"/>
      <c r="P3" s="185"/>
      <c r="Q3" s="181"/>
      <c r="R3" s="181"/>
      <c r="S3" s="181"/>
      <c r="T3" s="185"/>
      <c r="U3" s="181"/>
      <c r="V3" s="181"/>
      <c r="W3" s="182"/>
      <c r="X3" s="182"/>
      <c r="Y3" s="181"/>
      <c r="Z3" s="182"/>
      <c r="AA3" s="181"/>
      <c r="AB3" s="181"/>
      <c r="AC3" s="181"/>
      <c r="AD3" s="181"/>
      <c r="AE3" s="181"/>
      <c r="AF3" s="181"/>
      <c r="AG3" s="182"/>
      <c r="AH3" s="181"/>
      <c r="AI3" s="187"/>
      <c r="AJ3" s="187"/>
      <c r="AK3" s="187"/>
      <c r="AL3" s="484"/>
      <c r="AM3" s="187"/>
      <c r="AN3" s="314"/>
      <c r="AO3" s="314"/>
      <c r="AP3" s="484"/>
      <c r="AV3" s="273"/>
      <c r="AW3" s="273"/>
      <c r="AX3" s="483"/>
    </row>
    <row r="4" s="166" customFormat="true" ht="14.1" hidden="false" customHeight="true" outlineLevel="0" collapsed="false">
      <c r="A4" s="175"/>
      <c r="B4" s="374"/>
      <c r="C4" s="375"/>
      <c r="D4" s="376" t="s">
        <v>3</v>
      </c>
      <c r="E4" s="375"/>
      <c r="F4" s="485"/>
      <c r="G4" s="175"/>
      <c r="H4" s="176"/>
      <c r="I4" s="175"/>
      <c r="J4" s="175"/>
      <c r="K4" s="175"/>
      <c r="L4" s="175"/>
      <c r="M4" s="175"/>
      <c r="N4" s="175"/>
      <c r="O4" s="175"/>
      <c r="P4" s="8"/>
      <c r="Q4" s="8"/>
      <c r="R4" s="8"/>
      <c r="S4" s="8"/>
      <c r="T4" s="8"/>
      <c r="U4" s="383" t="s">
        <v>4</v>
      </c>
      <c r="V4" s="175"/>
      <c r="W4" s="167"/>
      <c r="X4" s="167"/>
      <c r="Y4" s="175"/>
      <c r="Z4" s="167"/>
      <c r="AA4" s="175"/>
      <c r="AB4" s="175"/>
      <c r="AC4" s="175"/>
      <c r="AD4" s="175"/>
      <c r="AE4" s="175"/>
      <c r="AF4" s="175"/>
      <c r="AG4" s="167"/>
      <c r="AH4" s="175"/>
      <c r="AI4" s="178"/>
      <c r="AJ4" s="178"/>
      <c r="AK4" s="178"/>
      <c r="AL4" s="369"/>
      <c r="AM4" s="486"/>
      <c r="AN4" s="311"/>
      <c r="AO4" s="488" t="s">
        <v>5</v>
      </c>
      <c r="AP4" s="488"/>
      <c r="AQ4" s="489"/>
      <c r="AR4" s="489"/>
      <c r="AS4" s="490"/>
      <c r="AT4" s="491"/>
      <c r="AU4" s="539"/>
      <c r="AV4" s="540"/>
      <c r="AW4" s="541" t="s">
        <v>6</v>
      </c>
      <c r="AX4" s="542"/>
      <c r="AY4" s="387"/>
      <c r="AZ4" s="388"/>
    </row>
    <row r="5" customFormat="false" ht="12.95" hidden="false" customHeight="true" outlineLevel="0" collapsed="false">
      <c r="A5" s="308" t="s">
        <v>7</v>
      </c>
      <c r="B5" s="389" t="s">
        <v>8</v>
      </c>
      <c r="C5" s="390" t="s">
        <v>8</v>
      </c>
      <c r="D5" s="308" t="s">
        <v>9</v>
      </c>
      <c r="E5" s="390" t="s">
        <v>10</v>
      </c>
      <c r="F5" s="308" t="s">
        <v>11</v>
      </c>
      <c r="G5" s="391" t="s">
        <v>12</v>
      </c>
      <c r="H5" s="392" t="s">
        <v>13</v>
      </c>
      <c r="I5" s="393" t="s">
        <v>14</v>
      </c>
      <c r="J5" s="393" t="s">
        <v>15</v>
      </c>
      <c r="K5" s="393" t="s">
        <v>16</v>
      </c>
      <c r="L5" s="308" t="s">
        <v>15</v>
      </c>
      <c r="M5" s="394" t="s">
        <v>17</v>
      </c>
      <c r="N5" s="394"/>
      <c r="O5" s="394"/>
      <c r="P5" s="394"/>
      <c r="Q5" s="394"/>
      <c r="R5" s="394"/>
      <c r="S5" s="394"/>
      <c r="T5" s="394"/>
      <c r="U5" s="308" t="s">
        <v>18</v>
      </c>
      <c r="V5" s="308" t="s">
        <v>19</v>
      </c>
      <c r="W5" s="53" t="s">
        <v>16</v>
      </c>
      <c r="X5" s="53" t="s">
        <v>16</v>
      </c>
      <c r="Y5" s="59" t="s">
        <v>20</v>
      </c>
      <c r="Z5" s="53" t="s">
        <v>20</v>
      </c>
      <c r="AA5" s="59" t="s">
        <v>20</v>
      </c>
      <c r="AB5" s="390" t="s">
        <v>21</v>
      </c>
      <c r="AC5" s="390" t="s">
        <v>20</v>
      </c>
      <c r="AD5" s="308" t="s">
        <v>22</v>
      </c>
      <c r="AE5" s="395" t="s">
        <v>122</v>
      </c>
      <c r="AF5" s="396"/>
      <c r="AG5" s="397" t="s">
        <v>24</v>
      </c>
      <c r="AH5" s="390" t="s">
        <v>123</v>
      </c>
      <c r="AI5" s="390" t="s">
        <v>26</v>
      </c>
      <c r="AJ5" s="308" t="s">
        <v>14</v>
      </c>
      <c r="AK5" s="308" t="s">
        <v>15</v>
      </c>
      <c r="AL5" s="308" t="s">
        <v>16</v>
      </c>
      <c r="AM5" s="439" t="s">
        <v>27</v>
      </c>
      <c r="AN5" s="59" t="s">
        <v>20</v>
      </c>
      <c r="AO5" s="65" t="s">
        <v>28</v>
      </c>
      <c r="AP5" s="65" t="s">
        <v>28</v>
      </c>
      <c r="AQ5" s="60" t="s">
        <v>29</v>
      </c>
      <c r="AR5" s="60" t="s">
        <v>20</v>
      </c>
      <c r="AS5" s="66" t="s">
        <v>30</v>
      </c>
      <c r="AT5" s="398" t="s">
        <v>31</v>
      </c>
      <c r="AU5" s="195" t="s">
        <v>32</v>
      </c>
      <c r="AV5" s="399" t="s">
        <v>33</v>
      </c>
      <c r="AW5" s="397" t="s">
        <v>34</v>
      </c>
      <c r="AX5" s="397" t="s">
        <v>35</v>
      </c>
      <c r="AY5" s="280"/>
      <c r="AZ5" s="277" t="s">
        <v>16</v>
      </c>
    </row>
    <row r="6" customFormat="false" ht="12.95" hidden="false" customHeight="true" outlineLevel="0" collapsed="false">
      <c r="A6" s="400" t="s">
        <v>136</v>
      </c>
      <c r="B6" s="389" t="s">
        <v>37</v>
      </c>
      <c r="C6" s="390"/>
      <c r="D6" s="308" t="s">
        <v>38</v>
      </c>
      <c r="E6" s="390" t="s">
        <v>39</v>
      </c>
      <c r="F6" s="308" t="s">
        <v>40</v>
      </c>
      <c r="G6" s="391" t="s">
        <v>41</v>
      </c>
      <c r="H6" s="392" t="s">
        <v>42</v>
      </c>
      <c r="I6" s="393" t="s">
        <v>43</v>
      </c>
      <c r="J6" s="393" t="s">
        <v>43</v>
      </c>
      <c r="K6" s="393" t="s">
        <v>43</v>
      </c>
      <c r="L6" s="308" t="s">
        <v>44</v>
      </c>
      <c r="M6" s="401" t="s">
        <v>45</v>
      </c>
      <c r="N6" s="67" t="s">
        <v>46</v>
      </c>
      <c r="O6" s="308" t="s">
        <v>47</v>
      </c>
      <c r="P6" s="67" t="s">
        <v>48</v>
      </c>
      <c r="Q6" s="308" t="s">
        <v>49</v>
      </c>
      <c r="R6" s="308" t="s">
        <v>50</v>
      </c>
      <c r="S6" s="308" t="s">
        <v>51</v>
      </c>
      <c r="T6" s="403" t="s">
        <v>52</v>
      </c>
      <c r="U6" s="308" t="s">
        <v>53</v>
      </c>
      <c r="V6" s="308" t="s">
        <v>54</v>
      </c>
      <c r="W6" s="53" t="s">
        <v>20</v>
      </c>
      <c r="X6" s="53" t="s">
        <v>20</v>
      </c>
      <c r="Y6" s="59" t="s">
        <v>55</v>
      </c>
      <c r="Z6" s="53" t="s">
        <v>55</v>
      </c>
      <c r="AA6" s="59" t="s">
        <v>56</v>
      </c>
      <c r="AB6" s="390" t="s">
        <v>57</v>
      </c>
      <c r="AC6" s="390" t="s">
        <v>58</v>
      </c>
      <c r="AD6" s="308" t="s">
        <v>59</v>
      </c>
      <c r="AE6" s="401"/>
      <c r="AF6" s="404"/>
      <c r="AG6" s="397" t="s">
        <v>62</v>
      </c>
      <c r="AH6" s="390" t="s">
        <v>63</v>
      </c>
      <c r="AI6" s="390"/>
      <c r="AJ6" s="308" t="s">
        <v>64</v>
      </c>
      <c r="AK6" s="308" t="s">
        <v>64</v>
      </c>
      <c r="AL6" s="308" t="s">
        <v>64</v>
      </c>
      <c r="AM6" s="439" t="s">
        <v>65</v>
      </c>
      <c r="AN6" s="59" t="s">
        <v>66</v>
      </c>
      <c r="AO6" s="65" t="s">
        <v>67</v>
      </c>
      <c r="AP6" s="65" t="s">
        <v>67</v>
      </c>
      <c r="AQ6" s="60" t="s">
        <v>68</v>
      </c>
      <c r="AR6" s="543" t="n">
        <v>0.3</v>
      </c>
      <c r="AS6" s="66" t="s">
        <v>69</v>
      </c>
      <c r="AT6" s="398" t="s">
        <v>70</v>
      </c>
      <c r="AU6" s="195" t="s">
        <v>71</v>
      </c>
      <c r="AV6" s="405"/>
      <c r="AW6" s="397" t="s">
        <v>72</v>
      </c>
      <c r="AX6" s="397" t="s">
        <v>72</v>
      </c>
      <c r="AY6" s="280"/>
      <c r="AZ6" s="277" t="s">
        <v>73</v>
      </c>
    </row>
    <row r="7" customFormat="false" ht="12.95" hidden="false" customHeight="true" outlineLevel="0" collapsed="false">
      <c r="A7" s="308"/>
      <c r="B7" s="389"/>
      <c r="C7" s="390"/>
      <c r="D7" s="308"/>
      <c r="E7" s="390"/>
      <c r="F7" s="308"/>
      <c r="G7" s="389"/>
      <c r="H7" s="398"/>
      <c r="I7" s="308"/>
      <c r="J7" s="308"/>
      <c r="K7" s="308"/>
      <c r="L7" s="308"/>
      <c r="M7" s="401"/>
      <c r="N7" s="67" t="s">
        <v>74</v>
      </c>
      <c r="O7" s="308" t="s">
        <v>75</v>
      </c>
      <c r="P7" s="67"/>
      <c r="Q7" s="308"/>
      <c r="R7" s="308"/>
      <c r="S7" s="308" t="s">
        <v>47</v>
      </c>
      <c r="T7" s="403" t="s">
        <v>26</v>
      </c>
      <c r="U7" s="308"/>
      <c r="V7" s="308"/>
      <c r="W7" s="63" t="s">
        <v>76</v>
      </c>
      <c r="X7" s="55" t="s">
        <v>77</v>
      </c>
      <c r="Y7" s="59" t="s">
        <v>78</v>
      </c>
      <c r="Z7" s="53" t="s">
        <v>79</v>
      </c>
      <c r="AA7" s="59" t="s">
        <v>80</v>
      </c>
      <c r="AB7" s="390"/>
      <c r="AC7" s="390"/>
      <c r="AD7" s="308"/>
      <c r="AE7" s="406"/>
      <c r="AF7" s="407"/>
      <c r="AG7" s="397"/>
      <c r="AH7" s="390"/>
      <c r="AI7" s="390"/>
      <c r="AJ7" s="308"/>
      <c r="AK7" s="308"/>
      <c r="AL7" s="308"/>
      <c r="AM7" s="439"/>
      <c r="AN7" s="59" t="s">
        <v>40</v>
      </c>
      <c r="AO7" s="65" t="s">
        <v>81</v>
      </c>
      <c r="AP7" s="65" t="s">
        <v>82</v>
      </c>
      <c r="AQ7" s="60" t="s">
        <v>83</v>
      </c>
      <c r="AR7" s="60" t="s">
        <v>137</v>
      </c>
      <c r="AS7" s="66" t="s">
        <v>84</v>
      </c>
      <c r="AT7" s="398" t="s">
        <v>85</v>
      </c>
      <c r="AU7" s="195" t="s">
        <v>86</v>
      </c>
      <c r="AV7" s="405"/>
      <c r="AW7" s="397"/>
      <c r="AX7" s="397"/>
      <c r="AY7" s="280"/>
      <c r="AZ7" s="277" t="s">
        <v>87</v>
      </c>
    </row>
    <row r="8" customFormat="false" ht="12.95" hidden="false" customHeight="true" outlineLevel="0" collapsed="false">
      <c r="A8" s="308"/>
      <c r="B8" s="389"/>
      <c r="C8" s="390"/>
      <c r="D8" s="308"/>
      <c r="E8" s="390"/>
      <c r="F8" s="308"/>
      <c r="G8" s="389"/>
      <c r="H8" s="398"/>
      <c r="I8" s="308"/>
      <c r="J8" s="308"/>
      <c r="K8" s="308"/>
      <c r="L8" s="308"/>
      <c r="M8" s="401"/>
      <c r="N8" s="67"/>
      <c r="O8" s="308"/>
      <c r="P8" s="67"/>
      <c r="Q8" s="308"/>
      <c r="R8" s="308"/>
      <c r="S8" s="308"/>
      <c r="T8" s="403"/>
      <c r="U8" s="308"/>
      <c r="V8" s="308"/>
      <c r="W8" s="63" t="s">
        <v>88</v>
      </c>
      <c r="X8" s="55" t="s">
        <v>76</v>
      </c>
      <c r="Y8" s="59"/>
      <c r="Z8" s="55" t="s">
        <v>89</v>
      </c>
      <c r="AA8" s="59" t="s">
        <v>90</v>
      </c>
      <c r="AB8" s="390"/>
      <c r="AC8" s="390"/>
      <c r="AD8" s="308"/>
      <c r="AE8" s="406"/>
      <c r="AF8" s="407"/>
      <c r="AG8" s="397"/>
      <c r="AH8" s="390"/>
      <c r="AI8" s="390"/>
      <c r="AJ8" s="308"/>
      <c r="AK8" s="308"/>
      <c r="AL8" s="308"/>
      <c r="AM8" s="439"/>
      <c r="AN8" s="59"/>
      <c r="AO8" s="65"/>
      <c r="AP8" s="65"/>
      <c r="AQ8" s="60"/>
      <c r="AR8" s="60" t="s">
        <v>138</v>
      </c>
      <c r="AS8" s="66"/>
      <c r="AT8" s="398"/>
      <c r="AU8" s="195"/>
      <c r="AV8" s="405"/>
      <c r="AW8" s="397"/>
      <c r="AX8" s="397"/>
      <c r="AY8" s="280"/>
      <c r="AZ8" s="277"/>
    </row>
    <row r="9" customFormat="false" ht="12.95" hidden="false" customHeight="true" outlineLevel="0" collapsed="false">
      <c r="A9" s="308"/>
      <c r="B9" s="389"/>
      <c r="C9" s="390"/>
      <c r="D9" s="308"/>
      <c r="E9" s="390"/>
      <c r="F9" s="308"/>
      <c r="G9" s="389"/>
      <c r="H9" s="398"/>
      <c r="I9" s="308"/>
      <c r="J9" s="308"/>
      <c r="K9" s="308"/>
      <c r="L9" s="308"/>
      <c r="M9" s="401"/>
      <c r="N9" s="67"/>
      <c r="O9" s="308"/>
      <c r="P9" s="67"/>
      <c r="Q9" s="308"/>
      <c r="R9" s="308"/>
      <c r="S9" s="308"/>
      <c r="T9" s="403"/>
      <c r="U9" s="308"/>
      <c r="V9" s="308"/>
      <c r="W9" s="63"/>
      <c r="X9" s="55" t="s">
        <v>88</v>
      </c>
      <c r="Y9" s="59"/>
      <c r="Z9" s="55" t="s">
        <v>88</v>
      </c>
      <c r="AA9" s="59" t="s">
        <v>91</v>
      </c>
      <c r="AB9" s="390"/>
      <c r="AC9" s="390"/>
      <c r="AD9" s="308"/>
      <c r="AE9" s="406"/>
      <c r="AF9" s="407"/>
      <c r="AG9" s="397"/>
      <c r="AH9" s="390"/>
      <c r="AI9" s="390"/>
      <c r="AJ9" s="308"/>
      <c r="AK9" s="308"/>
      <c r="AL9" s="308"/>
      <c r="AM9" s="439"/>
      <c r="AN9" s="59"/>
      <c r="AO9" s="65"/>
      <c r="AP9" s="65"/>
      <c r="AQ9" s="60"/>
      <c r="AR9" s="60"/>
      <c r="AS9" s="66"/>
      <c r="AT9" s="398"/>
      <c r="AU9" s="195"/>
      <c r="AV9" s="405"/>
      <c r="AW9" s="397"/>
      <c r="AX9" s="397"/>
      <c r="AY9" s="280"/>
      <c r="AZ9" s="277"/>
    </row>
    <row r="10" customFormat="false" ht="12.95" hidden="false" customHeight="true" outlineLevel="0" collapsed="false">
      <c r="A10" s="308"/>
      <c r="B10" s="389"/>
      <c r="C10" s="390" t="s">
        <v>9</v>
      </c>
      <c r="D10" s="308"/>
      <c r="E10" s="390" t="s">
        <v>93</v>
      </c>
      <c r="F10" s="308"/>
      <c r="G10" s="389" t="s">
        <v>40</v>
      </c>
      <c r="H10" s="398" t="s">
        <v>40</v>
      </c>
      <c r="I10" s="398" t="s">
        <v>40</v>
      </c>
      <c r="J10" s="398" t="s">
        <v>40</v>
      </c>
      <c r="K10" s="398" t="s">
        <v>40</v>
      </c>
      <c r="L10" s="398" t="s">
        <v>40</v>
      </c>
      <c r="M10" s="409" t="s">
        <v>40</v>
      </c>
      <c r="N10" s="398" t="s">
        <v>40</v>
      </c>
      <c r="O10" s="398" t="s">
        <v>40</v>
      </c>
      <c r="P10" s="398" t="s">
        <v>40</v>
      </c>
      <c r="Q10" s="398" t="s">
        <v>40</v>
      </c>
      <c r="R10" s="398" t="s">
        <v>40</v>
      </c>
      <c r="S10" s="308" t="s">
        <v>61</v>
      </c>
      <c r="T10" s="408" t="s">
        <v>40</v>
      </c>
      <c r="U10" s="398" t="s">
        <v>40</v>
      </c>
      <c r="V10" s="398" t="s">
        <v>40</v>
      </c>
      <c r="W10" s="55" t="n">
        <v>153400</v>
      </c>
      <c r="X10" s="55" t="n">
        <v>150400</v>
      </c>
      <c r="Y10" s="56" t="s">
        <v>40</v>
      </c>
      <c r="Z10" s="55"/>
      <c r="AA10" s="55" t="n">
        <v>72000</v>
      </c>
      <c r="AB10" s="398" t="s">
        <v>40</v>
      </c>
      <c r="AC10" s="398" t="s">
        <v>40</v>
      </c>
      <c r="AD10" s="398" t="s">
        <v>40</v>
      </c>
      <c r="AE10" s="409" t="s">
        <v>40</v>
      </c>
      <c r="AF10" s="408" t="s">
        <v>40</v>
      </c>
      <c r="AG10" s="398" t="s">
        <v>40</v>
      </c>
      <c r="AH10" s="398" t="s">
        <v>40</v>
      </c>
      <c r="AI10" s="398" t="s">
        <v>40</v>
      </c>
      <c r="AJ10" s="398" t="s">
        <v>40</v>
      </c>
      <c r="AK10" s="398" t="s">
        <v>40</v>
      </c>
      <c r="AL10" s="398" t="s">
        <v>40</v>
      </c>
      <c r="AM10" s="439" t="s">
        <v>93</v>
      </c>
      <c r="AN10" s="59" t="s">
        <v>40</v>
      </c>
      <c r="AO10" s="59" t="s">
        <v>40</v>
      </c>
      <c r="AP10" s="65" t="s">
        <v>94</v>
      </c>
      <c r="AQ10" s="60" t="s">
        <v>40</v>
      </c>
      <c r="AR10" s="60" t="s">
        <v>40</v>
      </c>
      <c r="AS10" s="59" t="s">
        <v>40</v>
      </c>
      <c r="AT10" s="59" t="s">
        <v>40</v>
      </c>
      <c r="AU10" s="59" t="s">
        <v>40</v>
      </c>
      <c r="AV10" s="405"/>
      <c r="AW10" s="397"/>
      <c r="AX10" s="397"/>
      <c r="AY10" s="280"/>
      <c r="AZ10" s="277" t="s">
        <v>95</v>
      </c>
    </row>
    <row r="11" customFormat="false" ht="12.95" hidden="false" customHeight="true" outlineLevel="0" collapsed="false">
      <c r="A11" s="308"/>
      <c r="B11" s="389"/>
      <c r="C11" s="390"/>
      <c r="D11" s="308"/>
      <c r="E11" s="390"/>
      <c r="F11" s="308"/>
      <c r="G11" s="389"/>
      <c r="H11" s="398"/>
      <c r="I11" s="308"/>
      <c r="J11" s="308"/>
      <c r="K11" s="308"/>
      <c r="L11" s="308"/>
      <c r="M11" s="401"/>
      <c r="N11" s="67" t="n">
        <v>1.03</v>
      </c>
      <c r="O11" s="402" t="n">
        <v>1.05</v>
      </c>
      <c r="P11" s="67" t="n">
        <v>1.02</v>
      </c>
      <c r="Q11" s="402" t="n">
        <v>1.02</v>
      </c>
      <c r="R11" s="402" t="n">
        <v>1.04</v>
      </c>
      <c r="S11" s="398" t="s">
        <v>40</v>
      </c>
      <c r="T11" s="403"/>
      <c r="U11" s="308"/>
      <c r="V11" s="308"/>
      <c r="W11" s="56" t="s">
        <v>40</v>
      </c>
      <c r="X11" s="56" t="s">
        <v>40</v>
      </c>
      <c r="Y11" s="56" t="s">
        <v>40</v>
      </c>
      <c r="Z11" s="55" t="s">
        <v>40</v>
      </c>
      <c r="AA11" s="80" t="s">
        <v>96</v>
      </c>
      <c r="AB11" s="390"/>
      <c r="AC11" s="390"/>
      <c r="AD11" s="308"/>
      <c r="AE11" s="406"/>
      <c r="AF11" s="407"/>
      <c r="AG11" s="397"/>
      <c r="AH11" s="390"/>
      <c r="AI11" s="390"/>
      <c r="AJ11" s="308"/>
      <c r="AK11" s="308"/>
      <c r="AL11" s="308"/>
      <c r="AM11" s="439"/>
      <c r="AN11" s="59"/>
      <c r="AO11" s="65"/>
      <c r="AP11" s="65"/>
      <c r="AQ11" s="60"/>
      <c r="AR11" s="60"/>
      <c r="AS11" s="83"/>
      <c r="AT11" s="311"/>
      <c r="AU11" s="170"/>
      <c r="AV11" s="405"/>
      <c r="AW11" s="397"/>
      <c r="AX11" s="397"/>
      <c r="AY11" s="280"/>
      <c r="AZ11" s="277" t="s">
        <v>40</v>
      </c>
    </row>
    <row r="12" customFormat="false" ht="12.95" hidden="false" customHeight="true" outlineLevel="0" collapsed="false">
      <c r="A12" s="178" t="s">
        <v>97</v>
      </c>
      <c r="B12" s="198"/>
      <c r="C12" s="102"/>
      <c r="D12" s="102"/>
      <c r="E12" s="102"/>
      <c r="F12" s="199" t="n">
        <f aca="false">SEP!F49</f>
        <v>15877.9934459289</v>
      </c>
      <c r="G12" s="102" t="n">
        <f aca="false">SEP!G49</f>
        <v>117379</v>
      </c>
      <c r="H12" s="544" t="n">
        <f aca="false">SEP!H49</f>
        <v>5300.8</v>
      </c>
      <c r="I12" s="102" t="n">
        <f aca="false">SEP!I49</f>
        <v>122679.8</v>
      </c>
      <c r="J12" s="102" t="n">
        <f aca="false">SEP!J49</f>
        <v>14820.5750693219</v>
      </c>
      <c r="K12" s="102" t="n">
        <f aca="false">SEP!K49</f>
        <v>137500.375069322</v>
      </c>
      <c r="L12" s="102" t="n">
        <f aca="false">SEP!L49</f>
        <v>12048.8934459289</v>
      </c>
      <c r="M12" s="201" t="n">
        <f aca="false">SEP!M49</f>
        <v>41407.9</v>
      </c>
      <c r="N12" s="102" t="n">
        <f aca="false">SEP!N49</f>
        <v>322.300287</v>
      </c>
      <c r="O12" s="102" t="n">
        <f aca="false">SEP!O49</f>
        <v>13425.4365</v>
      </c>
      <c r="P12" s="149" t="n">
        <f aca="false">SEP!P49</f>
        <v>7.31</v>
      </c>
      <c r="Q12" s="102"/>
      <c r="R12" s="102"/>
      <c r="S12" s="102"/>
      <c r="T12" s="202"/>
      <c r="U12" s="102" t="n">
        <f aca="false">SEP!U49</f>
        <v>18640</v>
      </c>
      <c r="V12" s="102" t="n">
        <f aca="false">SEP!V49</f>
        <v>10493.1</v>
      </c>
      <c r="W12" s="102" t="n">
        <f aca="false">SEP!W49</f>
        <v>57941.036073</v>
      </c>
      <c r="X12" s="102" t="n">
        <f aca="false">SEP!X49</f>
        <v>57361.036073</v>
      </c>
      <c r="Y12" s="102" t="n">
        <f aca="false">SEP!Y44</f>
        <v>0</v>
      </c>
      <c r="Z12" s="102"/>
      <c r="AA12" s="102" t="n">
        <f aca="false">SEP!AA12</f>
        <v>0</v>
      </c>
      <c r="AB12" s="102" t="n">
        <f aca="false">SEP!AB44</f>
        <v>0</v>
      </c>
      <c r="AC12" s="102" t="n">
        <f aca="false">SEP!AC44</f>
        <v>1162.549188</v>
      </c>
      <c r="AD12" s="102" t="n">
        <f aca="false">SEP!AD49</f>
        <v>24501.9</v>
      </c>
      <c r="AE12" s="201" t="n">
        <f aca="false">SEP!AE49</f>
        <v>311.1</v>
      </c>
      <c r="AF12" s="203" t="n">
        <f aca="false">SEP!AF49</f>
        <v>237.9</v>
      </c>
      <c r="AG12" s="102"/>
      <c r="AH12" s="102"/>
      <c r="AI12" s="102"/>
      <c r="AJ12" s="102" t="n">
        <f aca="false">SEP!AJ49</f>
        <v>118850.7</v>
      </c>
      <c r="AK12" s="102" t="n">
        <f aca="false">SEP!AK49</f>
        <v>2771.68162339299</v>
      </c>
      <c r="AL12" s="102" t="n">
        <f aca="false">SEP!AL49</f>
        <v>121622.381623393</v>
      </c>
      <c r="AM12" s="205"/>
      <c r="AN12" s="130"/>
      <c r="AO12" s="130"/>
      <c r="AP12" s="130" t="n">
        <f aca="false">SEP!AP50</f>
        <v>899.756307377171</v>
      </c>
      <c r="AQ12" s="130" t="n">
        <f aca="false">SEP!AQ49</f>
        <v>3024.9585</v>
      </c>
      <c r="AR12" s="130"/>
      <c r="AS12" s="200" t="n">
        <f aca="false">SEP!AR49</f>
        <v>743.64</v>
      </c>
      <c r="AT12" s="200" t="n">
        <f aca="false">SEP!AS49</f>
        <v>0</v>
      </c>
      <c r="AU12" s="200"/>
      <c r="AV12" s="307"/>
      <c r="AW12" s="200"/>
      <c r="AX12" s="200"/>
      <c r="AY12" s="280"/>
      <c r="AZ12" s="318"/>
    </row>
    <row r="13" s="215" customFormat="true" ht="12.95" hidden="false" customHeight="true" outlineLevel="0" collapsed="false">
      <c r="A13" s="167" t="s">
        <v>98</v>
      </c>
      <c r="B13" s="101" t="n">
        <f aca="false">SEP!B44</f>
        <v>6899.85</v>
      </c>
      <c r="C13" s="102" t="n">
        <f aca="false">SEP!C44</f>
        <v>283029</v>
      </c>
      <c r="D13" s="102" t="n">
        <f aca="false">SEP!D53</f>
        <v>23686</v>
      </c>
      <c r="E13" s="102" t="n">
        <f aca="false">SEP!E53</f>
        <v>131051</v>
      </c>
      <c r="F13" s="199" t="n">
        <f aca="false">SEP!F52</f>
        <v>11941.5175195362</v>
      </c>
      <c r="G13" s="102" t="n">
        <f aca="false">SEP!G52</f>
        <v>124082</v>
      </c>
      <c r="H13" s="544" t="n">
        <f aca="false">SEP!H52</f>
        <v>5529.39</v>
      </c>
      <c r="I13" s="102" t="n">
        <f aca="false">SEP!I52</f>
        <v>129611.39</v>
      </c>
      <c r="J13" s="102" t="n">
        <f aca="false">SEP!J52</f>
        <v>16562.9406730527</v>
      </c>
      <c r="K13" s="102" t="n">
        <f aca="false">SEP!K52</f>
        <v>146174.330673053</v>
      </c>
      <c r="L13" s="102" t="n">
        <f aca="false">SEP!L52</f>
        <v>12882.3275195362</v>
      </c>
      <c r="M13" s="201" t="n">
        <f aca="false">SEP!M52</f>
        <v>42103.3</v>
      </c>
      <c r="N13" s="102" t="n">
        <f aca="false">SEP!N52</f>
        <v>322.300287</v>
      </c>
      <c r="O13" s="102" t="n">
        <f aca="false">SEP!O52</f>
        <v>13425.4365</v>
      </c>
      <c r="P13" s="149"/>
      <c r="Q13" s="102" t="n">
        <f aca="false">SEP!Q52</f>
        <v>699.40686</v>
      </c>
      <c r="R13" s="200" t="n">
        <f aca="false">SEP!R52</f>
        <v>1079.03</v>
      </c>
      <c r="S13" s="102" t="n">
        <f aca="false">SEP!S52</f>
        <v>715.71</v>
      </c>
      <c r="T13" s="202" t="n">
        <f aca="false">SEP!T52</f>
        <v>-22.57716</v>
      </c>
      <c r="U13" s="102" t="n">
        <f aca="false">SEP!U52</f>
        <v>25031.6</v>
      </c>
      <c r="V13" s="102" t="n">
        <f aca="false">SEP!V52</f>
        <v>10533.6</v>
      </c>
      <c r="W13" s="102" t="n">
        <f aca="false">SEP!W52</f>
        <v>64461.870853</v>
      </c>
      <c r="X13" s="102" t="n">
        <f aca="false">SEP!X52</f>
        <v>63841.370853</v>
      </c>
      <c r="Y13" s="102"/>
      <c r="Z13" s="102"/>
      <c r="AA13" s="102"/>
      <c r="AB13" s="102" t="n">
        <f aca="false">SEP!AB52</f>
        <v>0</v>
      </c>
      <c r="AC13" s="102"/>
      <c r="AD13" s="102" t="n">
        <f aca="false">SEP!AD52</f>
        <v>0</v>
      </c>
      <c r="AE13" s="251"/>
      <c r="AF13" s="252"/>
      <c r="AG13" s="102" t="n">
        <f aca="false">SEP!AG52</f>
        <v>28386</v>
      </c>
      <c r="AH13" s="102" t="n">
        <f aca="false">SEP!AH52</f>
        <v>6712.25787748929</v>
      </c>
      <c r="AI13" s="102" t="n">
        <f aca="false">SEP!AI52</f>
        <v>14493</v>
      </c>
      <c r="AJ13" s="102" t="n">
        <f aca="false">SEP!AJ52</f>
        <v>130552.2</v>
      </c>
      <c r="AK13" s="102" t="n">
        <f aca="false">SEP!AK52</f>
        <v>3680.61315351651</v>
      </c>
      <c r="AL13" s="102" t="n">
        <f aca="false">SEP!AL52</f>
        <v>134232.813153517</v>
      </c>
      <c r="AM13" s="205" t="n">
        <f aca="false">SEP!AM53</f>
        <v>14971.25965</v>
      </c>
      <c r="AN13" s="130" t="n">
        <f aca="false">SEP!AN52</f>
        <v>620.5</v>
      </c>
      <c r="AO13" s="130"/>
      <c r="AP13" s="130" t="n">
        <f aca="false">SEP!AP53</f>
        <v>899.756307377171</v>
      </c>
      <c r="AQ13" s="149"/>
      <c r="AR13" s="149"/>
      <c r="AS13" s="200" t="n">
        <f aca="false">SEP!AR52</f>
        <v>0</v>
      </c>
      <c r="AT13" s="200" t="n">
        <f aca="false">SEP!AS52</f>
        <v>0</v>
      </c>
      <c r="AU13" s="200" t="n">
        <f aca="false">SEP!AT49</f>
        <v>1076.75</v>
      </c>
      <c r="AV13" s="307" t="n">
        <f aca="false">SEP!AU52</f>
        <v>11.26</v>
      </c>
      <c r="AW13" s="200"/>
      <c r="AX13" s="200"/>
      <c r="AY13" s="284"/>
      <c r="AZ13" s="322" t="n">
        <f aca="false">SEP!AY52</f>
        <v>2808.035944</v>
      </c>
    </row>
    <row r="14" customFormat="false" ht="3" hidden="false" customHeight="true" outlineLevel="0" collapsed="false">
      <c r="A14" s="216"/>
      <c r="B14" s="217"/>
      <c r="C14" s="218"/>
      <c r="D14" s="219"/>
      <c r="E14" s="218"/>
      <c r="F14" s="220"/>
      <c r="G14" s="219"/>
      <c r="H14" s="545"/>
      <c r="I14" s="219"/>
      <c r="J14" s="219"/>
      <c r="K14" s="219"/>
      <c r="L14" s="219"/>
      <c r="M14" s="222"/>
      <c r="N14" s="219"/>
      <c r="O14" s="219"/>
      <c r="P14" s="223"/>
      <c r="Q14" s="219"/>
      <c r="R14" s="219"/>
      <c r="S14" s="219"/>
      <c r="T14" s="224"/>
      <c r="U14" s="219"/>
      <c r="V14" s="219"/>
      <c r="W14" s="219"/>
      <c r="X14" s="219"/>
      <c r="Y14" s="218"/>
      <c r="Z14" s="219"/>
      <c r="AA14" s="218"/>
      <c r="AB14" s="218"/>
      <c r="AC14" s="218"/>
      <c r="AD14" s="219"/>
      <c r="AE14" s="222"/>
      <c r="AF14" s="226"/>
      <c r="AG14" s="219"/>
      <c r="AH14" s="218"/>
      <c r="AI14" s="218"/>
      <c r="AJ14" s="219"/>
      <c r="AK14" s="219"/>
      <c r="AL14" s="219"/>
      <c r="AM14" s="227"/>
      <c r="AN14" s="225"/>
      <c r="AO14" s="225"/>
      <c r="AP14" s="223"/>
      <c r="AQ14" s="223"/>
      <c r="AR14" s="223"/>
      <c r="AS14" s="223"/>
      <c r="AT14" s="223"/>
      <c r="AU14" s="228" t="s">
        <v>134</v>
      </c>
      <c r="AV14" s="471"/>
      <c r="AW14" s="228"/>
      <c r="AX14" s="228"/>
      <c r="AY14" s="242"/>
      <c r="AZ14" s="303"/>
    </row>
    <row r="15" customFormat="false" ht="12.95" hidden="false" customHeight="true" outlineLevel="0" collapsed="false">
      <c r="A15" s="173" t="n">
        <v>1</v>
      </c>
      <c r="B15" s="101" t="n">
        <v>6899.71</v>
      </c>
      <c r="C15" s="102" t="n">
        <v>282515</v>
      </c>
      <c r="D15" s="200" t="n">
        <f aca="false">C15-C13</f>
        <v>-514</v>
      </c>
      <c r="E15" s="102" t="n">
        <f aca="false">C15-152000</f>
        <v>130515</v>
      </c>
      <c r="F15" s="231" t="n">
        <f aca="false">D15/$D$2</f>
        <v>-259.137887572473</v>
      </c>
      <c r="G15" s="1" t="n">
        <v>137</v>
      </c>
      <c r="H15" s="4" t="n">
        <v>0</v>
      </c>
      <c r="I15" s="129" t="n">
        <f aca="false">G15+H15</f>
        <v>137</v>
      </c>
      <c r="J15" s="130" t="n">
        <f aca="false">IF(L15&gt;0,L15,0)</f>
        <v>0</v>
      </c>
      <c r="K15" s="129" t="n">
        <f aca="false">I15+J15</f>
        <v>137</v>
      </c>
      <c r="L15" s="129" t="n">
        <f aca="false">F15-(I15-AJ15)</f>
        <v>-18.1378875724729</v>
      </c>
      <c r="M15" s="233" t="n">
        <v>143</v>
      </c>
      <c r="N15" s="149" t="n">
        <v>0</v>
      </c>
      <c r="O15" s="129" t="n">
        <f aca="false">(17+17)*1.05</f>
        <v>35.7</v>
      </c>
      <c r="P15" s="149" t="n">
        <v>0</v>
      </c>
      <c r="Q15" s="8" t="n">
        <f aca="false">1.974*1.02</f>
        <v>2.01348</v>
      </c>
      <c r="R15" s="291" t="n">
        <v>4.2</v>
      </c>
      <c r="S15" s="291" t="n">
        <v>1.04</v>
      </c>
      <c r="T15" s="334" t="n">
        <v>0</v>
      </c>
      <c r="U15" s="129" t="n">
        <v>35</v>
      </c>
      <c r="V15" s="129" t="n">
        <v>64</v>
      </c>
      <c r="W15" s="129" t="n">
        <f aca="false">M15-N15-O15-P15-Q15-R15-S15-T15+U15+V15-AT15+AQ15</f>
        <v>199.04652</v>
      </c>
      <c r="X15" s="129" t="n">
        <f aca="false">W15-AN15</f>
        <v>141.04652</v>
      </c>
      <c r="Y15" s="102"/>
      <c r="Z15" s="129"/>
      <c r="AA15" s="102"/>
      <c r="AB15" s="102" t="n">
        <f aca="false">AB12-(SEP!AP44/1.9835)</f>
        <v>0</v>
      </c>
      <c r="AC15" s="200" t="n">
        <f aca="false">AC12-(W15-I15)-Q15-R15-AE15</f>
        <v>1092.589188</v>
      </c>
      <c r="AD15" s="129" t="n">
        <v>85</v>
      </c>
      <c r="AE15" s="131" t="n">
        <v>1.7</v>
      </c>
      <c r="AF15" s="132" t="n">
        <v>1.3</v>
      </c>
      <c r="AG15" s="472" t="n">
        <v>51</v>
      </c>
      <c r="AH15" s="416" t="n">
        <f aca="false">AH13-AG15</f>
        <v>6661.25787748929</v>
      </c>
      <c r="AI15" s="102"/>
      <c r="AJ15" s="128" t="n">
        <f aca="false">N15+O15+P15+Q15+R15+S15+T15+W15+AD15+AG15</f>
        <v>378</v>
      </c>
      <c r="AK15" s="129" t="n">
        <f aca="false">IF(L15&lt;0,L15*-1,0)</f>
        <v>18.1378875724729</v>
      </c>
      <c r="AL15" s="129" t="n">
        <f aca="false">AJ15+AK15</f>
        <v>396.137887572473</v>
      </c>
      <c r="AM15" s="205" t="n">
        <f aca="false">AM13</f>
        <v>14971.25965</v>
      </c>
      <c r="AN15" s="130" t="n">
        <v>58</v>
      </c>
      <c r="AO15" s="92" t="n">
        <f aca="false">I15-Q15-R15-W15-AE15</f>
        <v>-69.96</v>
      </c>
      <c r="AP15" s="149" t="n">
        <f aca="false">20*(Y15*1.9835+AB15*1.9835)/E15</f>
        <v>0</v>
      </c>
      <c r="AQ15" s="149"/>
      <c r="AR15" s="149"/>
      <c r="AS15" s="102"/>
      <c r="AT15" s="166"/>
      <c r="AU15" s="169" t="n">
        <f aca="false">O15</f>
        <v>35.7</v>
      </c>
      <c r="AV15" s="307" t="n">
        <v>0</v>
      </c>
      <c r="AW15" s="200" t="n">
        <v>82</v>
      </c>
      <c r="AX15" s="200" t="n">
        <v>51</v>
      </c>
      <c r="AY15" s="280"/>
      <c r="AZ15" s="235" t="n">
        <f aca="false">SUM(N15,P15:T15)</f>
        <v>7.25348</v>
      </c>
    </row>
    <row r="16" customFormat="false" ht="12.95" hidden="false" customHeight="true" outlineLevel="0" collapsed="false">
      <c r="A16" s="173" t="n">
        <f aca="false">A15+1</f>
        <v>2</v>
      </c>
      <c r="B16" s="101" t="n">
        <v>6899.6</v>
      </c>
      <c r="C16" s="102" t="n">
        <v>282110</v>
      </c>
      <c r="D16" s="200" t="n">
        <f aca="false">C16-C15</f>
        <v>-405</v>
      </c>
      <c r="E16" s="102" t="n">
        <f aca="false">C16-152000</f>
        <v>130110</v>
      </c>
      <c r="F16" s="231" t="n">
        <f aca="false">D16/$D$2</f>
        <v>-204.18452230905</v>
      </c>
      <c r="G16" s="1" t="n">
        <v>104</v>
      </c>
      <c r="H16" s="4" t="n">
        <v>0</v>
      </c>
      <c r="I16" s="129" t="n">
        <f aca="false">G16+H16</f>
        <v>104</v>
      </c>
      <c r="J16" s="130" t="n">
        <f aca="false">IF(L16&gt;0,L16,0)</f>
        <v>9.81547769095033</v>
      </c>
      <c r="K16" s="129" t="n">
        <f aca="false">I16+J16</f>
        <v>113.81547769095</v>
      </c>
      <c r="L16" s="129" t="n">
        <f aca="false">F16-(I16-AJ16)</f>
        <v>9.81547769095033</v>
      </c>
      <c r="M16" s="233" t="n">
        <v>123</v>
      </c>
      <c r="N16" s="149" t="n">
        <v>0</v>
      </c>
      <c r="O16" s="129" t="n">
        <f aca="false">(11+10)*1.05</f>
        <v>22.05</v>
      </c>
      <c r="P16" s="149" t="n">
        <v>0</v>
      </c>
      <c r="Q16" s="8" t="n">
        <f aca="false">1.974*1.02</f>
        <v>2.01348</v>
      </c>
      <c r="R16" s="291" t="n">
        <v>4.2</v>
      </c>
      <c r="S16" s="291" t="n">
        <v>1.51</v>
      </c>
      <c r="T16" s="334" t="n">
        <v>0</v>
      </c>
      <c r="U16" s="129" t="n">
        <v>0</v>
      </c>
      <c r="V16" s="129" t="n">
        <v>64</v>
      </c>
      <c r="W16" s="129" t="n">
        <f aca="false">M16-N16-O16-P16-Q16-R16-S16-T16+U16+V16-AT16+AQ16</f>
        <v>157.22652</v>
      </c>
      <c r="X16" s="129" t="n">
        <f aca="false">W16-AN16</f>
        <v>99.22652</v>
      </c>
      <c r="Y16" s="102"/>
      <c r="Z16" s="129"/>
      <c r="AA16" s="102"/>
      <c r="AB16" s="102" t="n">
        <f aca="false">AB15-(AP15/1.9835)</f>
        <v>0</v>
      </c>
      <c r="AC16" s="200" t="n">
        <f aca="false">AC15-(W16-I16)-Q16-R16-AE16</f>
        <v>1031.449188</v>
      </c>
      <c r="AD16" s="129" t="n">
        <v>80</v>
      </c>
      <c r="AE16" s="131" t="n">
        <v>1.7</v>
      </c>
      <c r="AF16" s="132" t="n">
        <v>1.3</v>
      </c>
      <c r="AG16" s="472" t="n">
        <v>51</v>
      </c>
      <c r="AH16" s="416" t="n">
        <f aca="false">AH15-AG16</f>
        <v>6610.25787748929</v>
      </c>
      <c r="AI16" s="102"/>
      <c r="AJ16" s="128" t="n">
        <f aca="false">N16+O16+P16+Q16+R16+S16+T16+W16+AD16+AG16</f>
        <v>318</v>
      </c>
      <c r="AK16" s="129" t="n">
        <f aca="false">IF(L16&lt;0,L16*-1,0)</f>
        <v>0</v>
      </c>
      <c r="AL16" s="129" t="n">
        <f aca="false">AJ16+AK16</f>
        <v>318</v>
      </c>
      <c r="AM16" s="205" t="n">
        <f aca="false">AM15</f>
        <v>14971.25965</v>
      </c>
      <c r="AN16" s="130" t="n">
        <v>58</v>
      </c>
      <c r="AO16" s="92" t="n">
        <f aca="false">I16-Q16-R16-W16-AE16</f>
        <v>-61.14</v>
      </c>
      <c r="AP16" s="149" t="n">
        <f aca="false">20*(Y16*1.9835+AB16*1.9835)/E16</f>
        <v>0</v>
      </c>
      <c r="AQ16" s="149"/>
      <c r="AR16" s="149"/>
      <c r="AS16" s="102"/>
      <c r="AT16" s="166"/>
      <c r="AU16" s="169" t="n">
        <f aca="false">O16</f>
        <v>22.05</v>
      </c>
      <c r="AV16" s="307" t="n">
        <v>0</v>
      </c>
      <c r="AW16" s="200" t="n">
        <v>80</v>
      </c>
      <c r="AX16" s="200" t="n">
        <v>46</v>
      </c>
      <c r="AY16" s="280"/>
      <c r="AZ16" s="235" t="n">
        <f aca="false">SUM(N16,P16:T16)</f>
        <v>7.72348</v>
      </c>
    </row>
    <row r="17" customFormat="false" ht="12.95" hidden="false" customHeight="true" outlineLevel="0" collapsed="false">
      <c r="A17" s="173" t="n">
        <f aca="false">A16+1</f>
        <v>3</v>
      </c>
      <c r="B17" s="101" t="n">
        <v>6899.48</v>
      </c>
      <c r="C17" s="102" t="n">
        <v>281670</v>
      </c>
      <c r="D17" s="200" t="n">
        <f aca="false">C17-C16</f>
        <v>-440</v>
      </c>
      <c r="E17" s="102" t="n">
        <f aca="false">C17-152000</f>
        <v>129670</v>
      </c>
      <c r="F17" s="231" t="n">
        <f aca="false">D17/$D$2</f>
        <v>-221.830098311066</v>
      </c>
      <c r="G17" s="1" t="n">
        <v>97</v>
      </c>
      <c r="H17" s="4" t="n">
        <v>0</v>
      </c>
      <c r="I17" s="129" t="n">
        <f aca="false">G17+H17</f>
        <v>97</v>
      </c>
      <c r="J17" s="130" t="n">
        <f aca="false">IF(L17&gt;0,L17,0)</f>
        <v>0</v>
      </c>
      <c r="K17" s="129" t="n">
        <f aca="false">I17+J17</f>
        <v>97</v>
      </c>
      <c r="L17" s="129" t="n">
        <f aca="false">F17-(I17-AJ17)</f>
        <v>-1.83009831106628</v>
      </c>
      <c r="M17" s="233" t="n">
        <v>140</v>
      </c>
      <c r="N17" s="149" t="n">
        <v>0</v>
      </c>
      <c r="O17" s="129" t="n">
        <f aca="false">(15+14)*1.05</f>
        <v>30.45</v>
      </c>
      <c r="P17" s="149" t="n">
        <v>0</v>
      </c>
      <c r="Q17" s="8" t="n">
        <f aca="false">1.974*1.02</f>
        <v>2.01348</v>
      </c>
      <c r="R17" s="291" t="n">
        <v>4.2</v>
      </c>
      <c r="S17" s="291" t="n">
        <v>0.93</v>
      </c>
      <c r="T17" s="334" t="n">
        <v>0</v>
      </c>
      <c r="U17" s="129" t="n">
        <v>0</v>
      </c>
      <c r="V17" s="129" t="n">
        <v>63</v>
      </c>
      <c r="W17" s="129" t="n">
        <f aca="false">M17-N17-O17-P17-Q17-R17-S17-T17+U17+V17-AT17+AQ17</f>
        <v>165.40652</v>
      </c>
      <c r="X17" s="129" t="n">
        <f aca="false">W17-AN17</f>
        <v>107.40652</v>
      </c>
      <c r="Y17" s="102"/>
      <c r="Z17" s="129"/>
      <c r="AA17" s="102"/>
      <c r="AB17" s="102" t="n">
        <f aca="false">AB16-(AP16/1.9835)</f>
        <v>0</v>
      </c>
      <c r="AC17" s="200" t="n">
        <f aca="false">AC16-(W17-I17)-Q17-R17-AE17</f>
        <v>955.129188000001</v>
      </c>
      <c r="AD17" s="129" t="n">
        <v>63</v>
      </c>
      <c r="AE17" s="131" t="n">
        <v>1.7</v>
      </c>
      <c r="AF17" s="132" t="n">
        <v>1.3</v>
      </c>
      <c r="AG17" s="472" t="n">
        <v>51</v>
      </c>
      <c r="AH17" s="416" t="n">
        <f aca="false">AH16-AG17</f>
        <v>6559.25787748929</v>
      </c>
      <c r="AI17" s="102"/>
      <c r="AJ17" s="128" t="n">
        <f aca="false">N17+O17+P17+Q17+R17+S17+T17+W17+AD17+AG17</f>
        <v>317</v>
      </c>
      <c r="AK17" s="129" t="n">
        <f aca="false">IF(L17&lt;0,L17*-1,0)</f>
        <v>1.83009831106628</v>
      </c>
      <c r="AL17" s="129" t="n">
        <f aca="false">AJ17+AK17</f>
        <v>318.830098311066</v>
      </c>
      <c r="AM17" s="205" t="n">
        <f aca="false">AM16</f>
        <v>14971.25965</v>
      </c>
      <c r="AN17" s="130" t="n">
        <v>58</v>
      </c>
      <c r="AO17" s="92" t="n">
        <f aca="false">I17-Q17-R17-W17-AE17</f>
        <v>-76.32</v>
      </c>
      <c r="AP17" s="149" t="n">
        <f aca="false">20*(Y17*1.9835+AB17*1.9835)/E17</f>
        <v>0</v>
      </c>
      <c r="AQ17" s="149"/>
      <c r="AR17" s="149"/>
      <c r="AS17" s="102"/>
      <c r="AT17" s="166"/>
      <c r="AU17" s="169" t="n">
        <f aca="false">O17</f>
        <v>30.45</v>
      </c>
      <c r="AV17" s="307" t="n">
        <v>0.02</v>
      </c>
      <c r="AW17" s="200" t="n">
        <v>75</v>
      </c>
      <c r="AX17" s="200" t="n">
        <v>46</v>
      </c>
      <c r="AY17" s="280"/>
      <c r="AZ17" s="235" t="n">
        <f aca="false">SUM(N17,P17:T17)</f>
        <v>7.14348</v>
      </c>
    </row>
    <row r="18" customFormat="false" ht="12.95" hidden="false" customHeight="true" outlineLevel="0" collapsed="false">
      <c r="A18" s="173" t="n">
        <f aca="false">A17+1</f>
        <v>4</v>
      </c>
      <c r="B18" s="101" t="n">
        <v>6899.4</v>
      </c>
      <c r="C18" s="102" t="n">
        <v>281376</v>
      </c>
      <c r="D18" s="200" t="n">
        <f aca="false">C18-C17</f>
        <v>-294</v>
      </c>
      <c r="E18" s="102" t="n">
        <f aca="false">C18-152000</f>
        <v>129376</v>
      </c>
      <c r="F18" s="231" t="n">
        <f aca="false">D18/$D$2</f>
        <v>-148.22283841694</v>
      </c>
      <c r="G18" s="1" t="n">
        <v>110</v>
      </c>
      <c r="H18" s="4" t="n">
        <v>0</v>
      </c>
      <c r="I18" s="129" t="n">
        <f aca="false">G18+H18</f>
        <v>110</v>
      </c>
      <c r="J18" s="130" t="n">
        <f aca="false">IF(L18&gt;0,L18,0)</f>
        <v>40.7771615830603</v>
      </c>
      <c r="K18" s="129" t="n">
        <f aca="false">I18+J18</f>
        <v>150.77716158306</v>
      </c>
      <c r="L18" s="129" t="n">
        <f aca="false">F18-(I18-AJ18)</f>
        <v>40.7771615830603</v>
      </c>
      <c r="M18" s="233" t="n">
        <v>128</v>
      </c>
      <c r="N18" s="149" t="n">
        <v>0</v>
      </c>
      <c r="O18" s="129" t="n">
        <f aca="false">(18+18)*1.05</f>
        <v>37.8</v>
      </c>
      <c r="P18" s="149" t="n">
        <v>0</v>
      </c>
      <c r="Q18" s="8" t="n">
        <f aca="false">1.974*1.02</f>
        <v>2.01348</v>
      </c>
      <c r="R18" s="291" t="n">
        <v>4.2</v>
      </c>
      <c r="S18" s="291" t="n">
        <v>0.71</v>
      </c>
      <c r="T18" s="334" t="n">
        <v>0</v>
      </c>
      <c r="U18" s="129" t="n">
        <v>0</v>
      </c>
      <c r="V18" s="129" t="n">
        <v>59</v>
      </c>
      <c r="W18" s="129" t="n">
        <f aca="false">M18-N18-O18-P18-Q18-R18-S18-T18+U18+V18-AT18+AQ18</f>
        <v>142.27652</v>
      </c>
      <c r="X18" s="129" t="n">
        <f aca="false">W18-AN18</f>
        <v>84.27652</v>
      </c>
      <c r="Y18" s="102"/>
      <c r="Z18" s="129"/>
      <c r="AA18" s="102"/>
      <c r="AB18" s="102" t="n">
        <f aca="false">AB17-(AP17/1.9835)</f>
        <v>0</v>
      </c>
      <c r="AC18" s="200" t="n">
        <f aca="false">AC17-(W18-I18)-Q18-R18-AE18</f>
        <v>914.939188000001</v>
      </c>
      <c r="AD18" s="129" t="n">
        <v>61</v>
      </c>
      <c r="AE18" s="131" t="n">
        <v>1.7</v>
      </c>
      <c r="AF18" s="132" t="n">
        <v>1.3</v>
      </c>
      <c r="AG18" s="472" t="n">
        <v>51</v>
      </c>
      <c r="AH18" s="416" t="n">
        <f aca="false">AH17-AG18</f>
        <v>6508.25787748929</v>
      </c>
      <c r="AI18" s="102"/>
      <c r="AJ18" s="128" t="n">
        <f aca="false">N18+O18+P18+Q18+R18+S18+T18+W18+AD18+AG18</f>
        <v>299</v>
      </c>
      <c r="AK18" s="129" t="n">
        <f aca="false">IF(L18&lt;0,L18*-1,0)</f>
        <v>0</v>
      </c>
      <c r="AL18" s="129" t="n">
        <f aca="false">AJ18+AK18</f>
        <v>299</v>
      </c>
      <c r="AM18" s="205" t="n">
        <f aca="false">AM17</f>
        <v>14971.25965</v>
      </c>
      <c r="AN18" s="130" t="n">
        <v>58</v>
      </c>
      <c r="AO18" s="92" t="n">
        <f aca="false">I18-Q18-R18-W18-AE18</f>
        <v>-40.19</v>
      </c>
      <c r="AP18" s="149" t="n">
        <f aca="false">20*(Y18*1.9835+AB18*1.9835)/E18</f>
        <v>0</v>
      </c>
      <c r="AQ18" s="149"/>
      <c r="AR18" s="149"/>
      <c r="AS18" s="102"/>
      <c r="AT18" s="166"/>
      <c r="AU18" s="169" t="n">
        <f aca="false">O18</f>
        <v>37.8</v>
      </c>
      <c r="AV18" s="307" t="n">
        <v>0.05</v>
      </c>
      <c r="AW18" s="200" t="n">
        <v>70</v>
      </c>
      <c r="AX18" s="200" t="n">
        <v>49</v>
      </c>
      <c r="AY18" s="280"/>
      <c r="AZ18" s="235" t="n">
        <f aca="false">SUM(N18,P18:T18)</f>
        <v>6.92348</v>
      </c>
    </row>
    <row r="19" customFormat="false" ht="12.95" hidden="false" customHeight="true" outlineLevel="0" collapsed="false">
      <c r="A19" s="173" t="n">
        <f aca="false">A18+1</f>
        <v>5</v>
      </c>
      <c r="B19" s="101" t="n">
        <v>6899.29</v>
      </c>
      <c r="C19" s="102" t="n">
        <v>280972</v>
      </c>
      <c r="D19" s="200" t="n">
        <f aca="false">C19-C18</f>
        <v>-404</v>
      </c>
      <c r="E19" s="102" t="n">
        <f aca="false">C19-152000</f>
        <v>128972</v>
      </c>
      <c r="F19" s="231" t="n">
        <f aca="false">D19/$D$2</f>
        <v>-203.680362994706</v>
      </c>
      <c r="G19" s="1" t="n">
        <v>116</v>
      </c>
      <c r="H19" s="4" t="n">
        <v>0</v>
      </c>
      <c r="I19" s="129" t="n">
        <f aca="false">G19+H19</f>
        <v>116</v>
      </c>
      <c r="J19" s="130" t="n">
        <f aca="false">IF(L19&gt;0,L19,0)</f>
        <v>0</v>
      </c>
      <c r="K19" s="129" t="n">
        <f aca="false">I19+J19</f>
        <v>116</v>
      </c>
      <c r="L19" s="129" t="n">
        <f aca="false">F19-(I19-AJ19)</f>
        <v>-35.6803629947063</v>
      </c>
      <c r="M19" s="233" t="n">
        <v>115</v>
      </c>
      <c r="N19" s="149" t="n">
        <v>0</v>
      </c>
      <c r="O19" s="129" t="n">
        <f aca="false">(12+11)*1.05</f>
        <v>24.15</v>
      </c>
      <c r="P19" s="149" t="n">
        <v>0</v>
      </c>
      <c r="Q19" s="8" t="n">
        <f aca="false">1.974*1.02</f>
        <v>2.01348</v>
      </c>
      <c r="R19" s="291" t="n">
        <v>4.2</v>
      </c>
      <c r="S19" s="291" t="n">
        <v>0.4</v>
      </c>
      <c r="T19" s="334" t="n">
        <v>0</v>
      </c>
      <c r="U19" s="129" t="n">
        <v>0</v>
      </c>
      <c r="V19" s="129" t="n">
        <v>58</v>
      </c>
      <c r="W19" s="129" t="n">
        <f aca="false">M19-N19-O19-P19-Q19-R19-S19-T19+U19+V19-AT19+AQ19</f>
        <v>142.23652</v>
      </c>
      <c r="X19" s="129" t="n">
        <f aca="false">W19-AN19</f>
        <v>84.23652</v>
      </c>
      <c r="Y19" s="102"/>
      <c r="Z19" s="129"/>
      <c r="AA19" s="102"/>
      <c r="AB19" s="102" t="n">
        <f aca="false">AB18-(AP18/1.9835)</f>
        <v>0</v>
      </c>
      <c r="AC19" s="200" t="n">
        <f aca="false">AC18-(W19-I19)-Q19-R19-AE19</f>
        <v>880.789188000001</v>
      </c>
      <c r="AD19" s="129" t="n">
        <v>60</v>
      </c>
      <c r="AE19" s="131" t="n">
        <v>1.7</v>
      </c>
      <c r="AF19" s="132" t="n">
        <v>1.3</v>
      </c>
      <c r="AG19" s="472" t="n">
        <v>51</v>
      </c>
      <c r="AH19" s="416" t="n">
        <f aca="false">AH18-AG19</f>
        <v>6457.25787748929</v>
      </c>
      <c r="AI19" s="102"/>
      <c r="AJ19" s="128" t="n">
        <f aca="false">N19+O19+P19+Q19+R19+S19+T19+W19+AD19+AG19</f>
        <v>284</v>
      </c>
      <c r="AK19" s="129" t="n">
        <f aca="false">IF(L19&lt;0,L19*-1,0)</f>
        <v>35.6803629947063</v>
      </c>
      <c r="AL19" s="129" t="n">
        <f aca="false">AJ19+AK19</f>
        <v>319.680362994706</v>
      </c>
      <c r="AM19" s="205" t="n">
        <f aca="false">AM18</f>
        <v>14971.25965</v>
      </c>
      <c r="AN19" s="130" t="n">
        <v>58</v>
      </c>
      <c r="AO19" s="92" t="n">
        <f aca="false">I19-Q19-R19-W19-AE19</f>
        <v>-34.15</v>
      </c>
      <c r="AP19" s="149" t="n">
        <f aca="false">20*(Y19*1.9835+AB19*1.9835)/E19</f>
        <v>0</v>
      </c>
      <c r="AQ19" s="149"/>
      <c r="AR19" s="149"/>
      <c r="AS19" s="102"/>
      <c r="AT19" s="166"/>
      <c r="AU19" s="169" t="n">
        <f aca="false">O19</f>
        <v>24.15</v>
      </c>
      <c r="AV19" s="307" t="n">
        <v>0.1</v>
      </c>
      <c r="AW19" s="200" t="n">
        <v>70</v>
      </c>
      <c r="AX19" s="200" t="n">
        <v>49</v>
      </c>
      <c r="AY19" s="280"/>
      <c r="AZ19" s="235" t="n">
        <f aca="false">SUM(N19,P19:T19)</f>
        <v>6.61348</v>
      </c>
    </row>
    <row r="20" customFormat="false" ht="12.95" hidden="false" customHeight="true" outlineLevel="0" collapsed="false">
      <c r="A20" s="173" t="n">
        <f aca="false">A19+1</f>
        <v>6</v>
      </c>
      <c r="B20" s="101" t="n">
        <v>6899.24</v>
      </c>
      <c r="C20" s="102" t="n">
        <v>280788</v>
      </c>
      <c r="D20" s="200" t="n">
        <f aca="false">C20-C19</f>
        <v>-184</v>
      </c>
      <c r="E20" s="102" t="n">
        <f aca="false">C20-152000</f>
        <v>128788</v>
      </c>
      <c r="F20" s="231" t="n">
        <f aca="false">D20/$D$2</f>
        <v>-92.7653138391732</v>
      </c>
      <c r="G20" s="1" t="n">
        <v>118</v>
      </c>
      <c r="H20" s="4" t="n">
        <v>0</v>
      </c>
      <c r="I20" s="129" t="n">
        <f aca="false">G20+H20</f>
        <v>118</v>
      </c>
      <c r="J20" s="130" t="n">
        <f aca="false">IF(L20&gt;0,L20,0)</f>
        <v>72.2346861608268</v>
      </c>
      <c r="K20" s="129" t="n">
        <f aca="false">I20+J20</f>
        <v>190.234686160827</v>
      </c>
      <c r="L20" s="129" t="n">
        <f aca="false">F20-(I20-AJ20)</f>
        <v>72.2346861608268</v>
      </c>
      <c r="M20" s="233" t="n">
        <v>126</v>
      </c>
      <c r="N20" s="149" t="n">
        <v>0</v>
      </c>
      <c r="O20" s="129" t="n">
        <f aca="false">(14+13)*1.05</f>
        <v>28.35</v>
      </c>
      <c r="P20" s="149" t="n">
        <v>0</v>
      </c>
      <c r="Q20" s="8" t="n">
        <f aca="false">1.974*1.02</f>
        <v>2.01348</v>
      </c>
      <c r="R20" s="291" t="n">
        <v>4</v>
      </c>
      <c r="S20" s="291" t="n">
        <v>0</v>
      </c>
      <c r="T20" s="334" t="n">
        <v>0</v>
      </c>
      <c r="U20" s="129" t="n">
        <v>0</v>
      </c>
      <c r="V20" s="129" t="n">
        <v>55</v>
      </c>
      <c r="W20" s="129" t="n">
        <f aca="false">M20-N20-O20-P20-Q20-R20-S20-T20+U20+V20-AT20+AQ20</f>
        <v>146.63652</v>
      </c>
      <c r="X20" s="129" t="n">
        <f aca="false">W20-AN20</f>
        <v>88.63652</v>
      </c>
      <c r="Y20" s="102"/>
      <c r="Z20" s="129"/>
      <c r="AA20" s="102"/>
      <c r="AB20" s="102" t="n">
        <f aca="false">AB19-(AP19/1.9835)</f>
        <v>0</v>
      </c>
      <c r="AC20" s="200" t="n">
        <f aca="false">AC19-(W20-I20)-Q20-R20-AE20</f>
        <v>844.439188000001</v>
      </c>
      <c r="AD20" s="129" t="n">
        <v>51</v>
      </c>
      <c r="AE20" s="131" t="n">
        <v>1.7</v>
      </c>
      <c r="AF20" s="132" t="n">
        <v>1.3</v>
      </c>
      <c r="AG20" s="472" t="n">
        <v>51</v>
      </c>
      <c r="AH20" s="416" t="n">
        <f aca="false">AH19-AG20</f>
        <v>6406.25787748929</v>
      </c>
      <c r="AI20" s="102"/>
      <c r="AJ20" s="128" t="n">
        <f aca="false">N20+O20+P20+Q20+R20+S20+T20+W20+AD20+AG20</f>
        <v>283</v>
      </c>
      <c r="AK20" s="129" t="n">
        <f aca="false">IF(L20&lt;0,L20*-1,0)</f>
        <v>0</v>
      </c>
      <c r="AL20" s="129" t="n">
        <f aca="false">AJ20+AK20</f>
        <v>283</v>
      </c>
      <c r="AM20" s="205" t="n">
        <f aca="false">AM19</f>
        <v>14971.25965</v>
      </c>
      <c r="AN20" s="130" t="n">
        <v>58</v>
      </c>
      <c r="AO20" s="92" t="n">
        <f aca="false">I20-Q20-R20-W20-AE20</f>
        <v>-36.35</v>
      </c>
      <c r="AP20" s="149" t="n">
        <f aca="false">20*(Y20*1.9835+AB20*1.9835)/E20</f>
        <v>0</v>
      </c>
      <c r="AQ20" s="149"/>
      <c r="AR20" s="149"/>
      <c r="AS20" s="102"/>
      <c r="AT20" s="166"/>
      <c r="AU20" s="169" t="n">
        <f aca="false">O20</f>
        <v>28.35</v>
      </c>
      <c r="AV20" s="307" t="n">
        <v>0.13</v>
      </c>
      <c r="AW20" s="200" t="n">
        <v>68</v>
      </c>
      <c r="AX20" s="200" t="n">
        <v>47</v>
      </c>
      <c r="AY20" s="280"/>
      <c r="AZ20" s="235" t="n">
        <f aca="false">SUM(N20,P20:T20)</f>
        <v>6.01348</v>
      </c>
    </row>
    <row r="21" customFormat="false" ht="12.95" hidden="false" customHeight="true" outlineLevel="0" collapsed="false">
      <c r="A21" s="173" t="n">
        <f aca="false">A20+1</f>
        <v>7</v>
      </c>
      <c r="B21" s="101" t="n">
        <v>6899.23</v>
      </c>
      <c r="C21" s="102" t="n">
        <v>280751</v>
      </c>
      <c r="D21" s="200" t="n">
        <f aca="false">C21-C20</f>
        <v>-37</v>
      </c>
      <c r="E21" s="102" t="n">
        <f aca="false">C21-152000</f>
        <v>128751</v>
      </c>
      <c r="F21" s="231" t="n">
        <f aca="false">D21/$D$2</f>
        <v>-18.6538946307033</v>
      </c>
      <c r="G21" s="1" t="n">
        <v>154</v>
      </c>
      <c r="H21" s="4" t="n">
        <v>0</v>
      </c>
      <c r="I21" s="129" t="n">
        <f aca="false">G21+H21</f>
        <v>154</v>
      </c>
      <c r="J21" s="130" t="n">
        <f aca="false">IF(L21&gt;0,L21,0)</f>
        <v>50.3461053692967</v>
      </c>
      <c r="K21" s="129" t="n">
        <f aca="false">I21+J21</f>
        <v>204.346105369297</v>
      </c>
      <c r="L21" s="129" t="n">
        <f aca="false">F21-(I21-AJ21)</f>
        <v>50.3461053692967</v>
      </c>
      <c r="M21" s="233" t="n">
        <v>108</v>
      </c>
      <c r="N21" s="149" t="n">
        <v>0</v>
      </c>
      <c r="O21" s="129" t="n">
        <f aca="false">(16+17)*1.05</f>
        <v>34.65</v>
      </c>
      <c r="P21" s="149" t="n">
        <v>0</v>
      </c>
      <c r="Q21" s="8" t="n">
        <f aca="false">1.974*1.02</f>
        <v>2.01348</v>
      </c>
      <c r="R21" s="291" t="n">
        <v>4.2</v>
      </c>
      <c r="S21" s="291" t="n">
        <v>0.01</v>
      </c>
      <c r="T21" s="334" t="n">
        <v>0</v>
      </c>
      <c r="U21" s="546" t="n">
        <v>0</v>
      </c>
      <c r="V21" s="129" t="n">
        <v>50</v>
      </c>
      <c r="W21" s="129" t="n">
        <f aca="false">M21-N21-O21-P21-Q21-R21-S21-T21+U21+V21-AT21+AQ21</f>
        <v>117.12652</v>
      </c>
      <c r="X21" s="129" t="n">
        <f aca="false">W21-AN21</f>
        <v>59.12652</v>
      </c>
      <c r="Y21" s="102"/>
      <c r="Z21" s="129"/>
      <c r="AA21" s="102"/>
      <c r="AB21" s="102" t="n">
        <f aca="false">AB20-(AP20/1.9835)</f>
        <v>0</v>
      </c>
      <c r="AC21" s="200" t="n">
        <f aca="false">AC20</f>
        <v>844.439188000001</v>
      </c>
      <c r="AD21" s="129" t="n">
        <v>14</v>
      </c>
      <c r="AE21" s="131" t="n">
        <v>1.7</v>
      </c>
      <c r="AF21" s="132" t="n">
        <v>1.3</v>
      </c>
      <c r="AG21" s="472" t="n">
        <v>51</v>
      </c>
      <c r="AH21" s="416" t="n">
        <f aca="false">AH20-AG21</f>
        <v>6355.25787748929</v>
      </c>
      <c r="AI21" s="102"/>
      <c r="AJ21" s="128" t="n">
        <f aca="false">N21+O21+P21+Q21+R21+S21+T21+W21+AD21+AG21</f>
        <v>223</v>
      </c>
      <c r="AK21" s="129" t="n">
        <f aca="false">IF(L21&lt;0,L21*-1,0)</f>
        <v>0</v>
      </c>
      <c r="AL21" s="129" t="n">
        <f aca="false">AJ21+AK21</f>
        <v>223</v>
      </c>
      <c r="AM21" s="205" t="n">
        <f aca="false">AM20</f>
        <v>14971.25965</v>
      </c>
      <c r="AN21" s="130" t="n">
        <v>58</v>
      </c>
      <c r="AO21" s="92" t="n">
        <v>0</v>
      </c>
      <c r="AP21" s="149" t="n">
        <f aca="false">20*(Y21*1.9835+AB21*1.9835)/E21</f>
        <v>0</v>
      </c>
      <c r="AQ21" s="149"/>
      <c r="AR21" s="149"/>
      <c r="AS21" s="102"/>
      <c r="AT21" s="166"/>
      <c r="AU21" s="169" t="n">
        <f aca="false">O21</f>
        <v>34.65</v>
      </c>
      <c r="AV21" s="307" t="n">
        <v>0.08</v>
      </c>
      <c r="AW21" s="200" t="n">
        <v>70</v>
      </c>
      <c r="AX21" s="200" t="n">
        <v>51</v>
      </c>
      <c r="AY21" s="280"/>
      <c r="AZ21" s="235" t="n">
        <f aca="false">SUM(N21,P21:T21)</f>
        <v>6.22348</v>
      </c>
    </row>
    <row r="22" customFormat="false" ht="12.95" hidden="false" customHeight="true" outlineLevel="0" collapsed="false">
      <c r="A22" s="173" t="n">
        <f aca="false">A21+1</f>
        <v>8</v>
      </c>
      <c r="B22" s="101" t="n">
        <v>6899.19</v>
      </c>
      <c r="C22" s="102" t="n">
        <v>280604</v>
      </c>
      <c r="D22" s="200" t="n">
        <f aca="false">C22-C21</f>
        <v>-147</v>
      </c>
      <c r="E22" s="102" t="n">
        <f aca="false">C22-152000</f>
        <v>128604</v>
      </c>
      <c r="F22" s="231" t="n">
        <f aca="false">D22/$D$2</f>
        <v>-74.1114192084699</v>
      </c>
      <c r="G22" s="1" t="n">
        <v>140</v>
      </c>
      <c r="H22" s="4" t="n">
        <v>0</v>
      </c>
      <c r="I22" s="129" t="n">
        <f aca="false">G22+H22</f>
        <v>140</v>
      </c>
      <c r="J22" s="130" t="n">
        <f aca="false">IF(L22&gt;0,L22,0)</f>
        <v>0</v>
      </c>
      <c r="K22" s="129" t="n">
        <f aca="false">I22+J22</f>
        <v>140</v>
      </c>
      <c r="L22" s="129" t="n">
        <f aca="false">F22-(I22-AJ22)</f>
        <v>-16.1114192084699</v>
      </c>
      <c r="M22" s="233" t="n">
        <v>83</v>
      </c>
      <c r="N22" s="149" t="n">
        <v>0</v>
      </c>
      <c r="O22" s="129" t="n">
        <f aca="false">(3.2+2)*1.05</f>
        <v>5.46</v>
      </c>
      <c r="P22" s="149" t="n">
        <v>0</v>
      </c>
      <c r="Q22" s="8" t="n">
        <f aca="false">1.974*1.02</f>
        <v>2.01348</v>
      </c>
      <c r="R22" s="291" t="n">
        <v>4.2</v>
      </c>
      <c r="S22" s="291" t="n">
        <v>0.55</v>
      </c>
      <c r="T22" s="334" t="n">
        <v>0</v>
      </c>
      <c r="U22" s="129" t="n">
        <v>0</v>
      </c>
      <c r="V22" s="129" t="n">
        <v>41</v>
      </c>
      <c r="W22" s="129" t="n">
        <f aca="false">M22-N22-O22-P22-Q22-R22-S22-T22+U22+V22-AT22+AQ22</f>
        <v>111.77652</v>
      </c>
      <c r="X22" s="129" t="n">
        <f aca="false">W22-AN22</f>
        <v>53.77652</v>
      </c>
      <c r="Y22" s="102"/>
      <c r="Z22" s="129"/>
      <c r="AA22" s="102"/>
      <c r="AB22" s="102" t="n">
        <f aca="false">AB21-(AP21/1.9835)</f>
        <v>0</v>
      </c>
      <c r="AC22" s="200" t="n">
        <f aca="false">AC21</f>
        <v>844.439188000001</v>
      </c>
      <c r="AD22" s="129" t="n">
        <v>23</v>
      </c>
      <c r="AE22" s="131" t="n">
        <v>1.7</v>
      </c>
      <c r="AF22" s="132" t="n">
        <v>1.3</v>
      </c>
      <c r="AG22" s="472" t="n">
        <v>51</v>
      </c>
      <c r="AH22" s="416" t="n">
        <f aca="false">AH21-AG22</f>
        <v>6304.25787748929</v>
      </c>
      <c r="AI22" s="102"/>
      <c r="AJ22" s="128" t="n">
        <f aca="false">N22+O22+P22+Q22+R22+S22+T22+W22+AD22+AG22</f>
        <v>198</v>
      </c>
      <c r="AK22" s="129" t="n">
        <f aca="false">IF(L22&lt;0,L22*-1,0)</f>
        <v>16.1114192084699</v>
      </c>
      <c r="AL22" s="129" t="n">
        <f aca="false">AJ22+AK22</f>
        <v>214.11141920847</v>
      </c>
      <c r="AM22" s="205" t="n">
        <f aca="false">AM21</f>
        <v>14971.25965</v>
      </c>
      <c r="AN22" s="130" t="n">
        <v>58</v>
      </c>
      <c r="AO22" s="92" t="n">
        <v>0</v>
      </c>
      <c r="AP22" s="149" t="n">
        <f aca="false">20*(Y22*1.9835+AB22*1.9835)/E22</f>
        <v>0</v>
      </c>
      <c r="AQ22" s="149"/>
      <c r="AR22" s="149"/>
      <c r="AS22" s="102"/>
      <c r="AT22" s="166"/>
      <c r="AU22" s="169" t="n">
        <f aca="false">O22</f>
        <v>5.46</v>
      </c>
      <c r="AV22" s="307" t="n">
        <v>0</v>
      </c>
      <c r="AW22" s="200" t="n">
        <v>59</v>
      </c>
      <c r="AX22" s="200" t="n">
        <v>37</v>
      </c>
      <c r="AY22" s="280"/>
      <c r="AZ22" s="235" t="n">
        <f aca="false">SUM(N22,P22:T22)</f>
        <v>6.76348</v>
      </c>
    </row>
    <row r="23" customFormat="false" ht="12.95" hidden="false" customHeight="true" outlineLevel="0" collapsed="false">
      <c r="A23" s="173" t="n">
        <f aca="false">A22+1</f>
        <v>9</v>
      </c>
      <c r="B23" s="101" t="n">
        <v>6899.12</v>
      </c>
      <c r="C23" s="102" t="n">
        <v>280347</v>
      </c>
      <c r="D23" s="200" t="n">
        <f aca="false">C23-C22</f>
        <v>-257</v>
      </c>
      <c r="E23" s="102" t="n">
        <f aca="false">C23-152000</f>
        <v>128347</v>
      </c>
      <c r="F23" s="231" t="n">
        <f aca="false">D23/$D$2</f>
        <v>-129.568943786236</v>
      </c>
      <c r="G23" s="1" t="n">
        <v>114</v>
      </c>
      <c r="H23" s="4" t="n">
        <v>0</v>
      </c>
      <c r="I23" s="129" t="n">
        <f aca="false">G23+H23</f>
        <v>114</v>
      </c>
      <c r="J23" s="130" t="n">
        <f aca="false">IF(L23&gt;0,L23,0)</f>
        <v>0</v>
      </c>
      <c r="K23" s="129" t="n">
        <f aca="false">I23+J23</f>
        <v>114</v>
      </c>
      <c r="L23" s="129" t="n">
        <f aca="false">F23-(I23-AJ23)</f>
        <v>-20.5689437862364</v>
      </c>
      <c r="M23" s="233" t="n">
        <v>107</v>
      </c>
      <c r="N23" s="149" t="n">
        <v>0</v>
      </c>
      <c r="O23" s="129" t="n">
        <v>0</v>
      </c>
      <c r="P23" s="149" t="n">
        <v>0</v>
      </c>
      <c r="Q23" s="8" t="n">
        <f aca="false">1.974*1.02</f>
        <v>2.01348</v>
      </c>
      <c r="R23" s="291" t="n">
        <v>4.01</v>
      </c>
      <c r="S23" s="291" t="n">
        <v>0</v>
      </c>
      <c r="T23" s="334" t="n">
        <v>0</v>
      </c>
      <c r="U23" s="129" t="n">
        <v>0</v>
      </c>
      <c r="V23" s="129" t="n">
        <v>38</v>
      </c>
      <c r="W23" s="129" t="n">
        <f aca="false">M23-N23-O23-P23-Q23-R23-S23-T23+U23+V23-AT23+AQ23</f>
        <v>138.97652</v>
      </c>
      <c r="X23" s="129" t="n">
        <f aca="false">W23-AN23</f>
        <v>80.97652</v>
      </c>
      <c r="Y23" s="102"/>
      <c r="Z23" s="129"/>
      <c r="AA23" s="102"/>
      <c r="AB23" s="102" t="n">
        <f aca="false">AB22-(AP22/1.9835)</f>
        <v>0</v>
      </c>
      <c r="AC23" s="200" t="n">
        <f aca="false">AC22-(W23-I23)-Q23-R23-AE23</f>
        <v>811.739188000001</v>
      </c>
      <c r="AD23" s="129" t="n">
        <v>27</v>
      </c>
      <c r="AE23" s="131" t="n">
        <v>1.7</v>
      </c>
      <c r="AF23" s="132" t="n">
        <v>1.3</v>
      </c>
      <c r="AG23" s="472" t="n">
        <v>51</v>
      </c>
      <c r="AH23" s="416" t="n">
        <f aca="false">AH22-AG23</f>
        <v>6253.25787748929</v>
      </c>
      <c r="AI23" s="102"/>
      <c r="AJ23" s="128" t="n">
        <f aca="false">N23+O23+P23+Q23+R23+S23+T23+W23+AD23+AG23</f>
        <v>223</v>
      </c>
      <c r="AK23" s="129" t="n">
        <f aca="false">IF(L23&lt;0,L23*-1,0)</f>
        <v>20.5689437862364</v>
      </c>
      <c r="AL23" s="129" t="n">
        <f aca="false">AJ23+AK23</f>
        <v>243.568943786236</v>
      </c>
      <c r="AM23" s="205" t="n">
        <f aca="false">AM22</f>
        <v>14971.25965</v>
      </c>
      <c r="AN23" s="130" t="n">
        <v>58</v>
      </c>
      <c r="AO23" s="92" t="n">
        <f aca="false">I23-Q23-R23-W23-AE23</f>
        <v>-32.7</v>
      </c>
      <c r="AP23" s="149" t="n">
        <f aca="false">20*(Y23*1.9835+AB23*1.9835)/E23</f>
        <v>0</v>
      </c>
      <c r="AQ23" s="149"/>
      <c r="AR23" s="149"/>
      <c r="AS23" s="102"/>
      <c r="AT23" s="166"/>
      <c r="AU23" s="169" t="n">
        <f aca="false">O23</f>
        <v>0</v>
      </c>
      <c r="AV23" s="307" t="n">
        <v>0</v>
      </c>
      <c r="AW23" s="206" t="n">
        <v>60</v>
      </c>
      <c r="AX23" s="200" t="n">
        <v>38</v>
      </c>
      <c r="AY23" s="280"/>
      <c r="AZ23" s="235" t="n">
        <f aca="false">SUM(N23,P23:T23)</f>
        <v>6.02348</v>
      </c>
    </row>
    <row r="24" customFormat="false" ht="12.95" hidden="false" customHeight="true" outlineLevel="0" collapsed="false">
      <c r="A24" s="173" t="n">
        <f aca="false">A23+1</f>
        <v>10</v>
      </c>
      <c r="B24" s="101" t="n">
        <v>6899.05</v>
      </c>
      <c r="C24" s="102" t="n">
        <v>280090</v>
      </c>
      <c r="D24" s="200" t="n">
        <f aca="false">C24-C23</f>
        <v>-257</v>
      </c>
      <c r="E24" s="102" t="n">
        <f aca="false">C24-152000</f>
        <v>128090</v>
      </c>
      <c r="F24" s="231" t="n">
        <f aca="false">D24/$D$2</f>
        <v>-129.568943786236</v>
      </c>
      <c r="G24" s="1" t="n">
        <v>94</v>
      </c>
      <c r="H24" s="4" t="n">
        <v>0</v>
      </c>
      <c r="I24" s="129" t="n">
        <f aca="false">G24+H24</f>
        <v>94</v>
      </c>
      <c r="J24" s="130" t="n">
        <f aca="false">IF(L24&gt;0,L24,0)</f>
        <v>0</v>
      </c>
      <c r="K24" s="129" t="n">
        <f aca="false">I24+J24</f>
        <v>94</v>
      </c>
      <c r="L24" s="129" t="n">
        <f aca="false">F24-(I24-AJ24)</f>
        <v>-7.56894378623645</v>
      </c>
      <c r="M24" s="233" t="n">
        <v>115</v>
      </c>
      <c r="N24" s="149" t="n">
        <v>0</v>
      </c>
      <c r="O24" s="129" t="n">
        <f aca="false">0</f>
        <v>0</v>
      </c>
      <c r="P24" s="149" t="n">
        <v>0</v>
      </c>
      <c r="Q24" s="8" t="n">
        <f aca="false">1.974*1.02</f>
        <v>2.01348</v>
      </c>
      <c r="R24" s="291" t="n">
        <v>3.77</v>
      </c>
      <c r="S24" s="291" t="n">
        <v>0</v>
      </c>
      <c r="T24" s="334" t="n">
        <v>0</v>
      </c>
      <c r="U24" s="129" t="n">
        <v>0</v>
      </c>
      <c r="V24" s="129" t="n">
        <v>38</v>
      </c>
      <c r="W24" s="129" t="n">
        <f aca="false">M24-N24-O24-P24-Q24-R24-S24-T24+U24+V24-AT24+AQ24</f>
        <v>147.21652</v>
      </c>
      <c r="X24" s="129" t="n">
        <f aca="false">W24-AN24</f>
        <v>89.21652</v>
      </c>
      <c r="Y24" s="102"/>
      <c r="Z24" s="129"/>
      <c r="AA24" s="102"/>
      <c r="AB24" s="102" t="n">
        <f aca="false">AB23-(AP23/1.9835)</f>
        <v>0</v>
      </c>
      <c r="AC24" s="200" t="n">
        <f aca="false">AC23-(W24-I24)-Q24-R24-AE24</f>
        <v>751.039188000001</v>
      </c>
      <c r="AD24" s="129" t="n">
        <v>12</v>
      </c>
      <c r="AE24" s="131" t="n">
        <v>1.7</v>
      </c>
      <c r="AF24" s="132" t="n">
        <v>1.3</v>
      </c>
      <c r="AG24" s="472" t="n">
        <v>51</v>
      </c>
      <c r="AH24" s="416" t="n">
        <f aca="false">AH23-AG24</f>
        <v>6202.25787748929</v>
      </c>
      <c r="AI24" s="102"/>
      <c r="AJ24" s="128" t="n">
        <f aca="false">N24+O24+P24+Q24+R24+S24+T24+W24+AD24+AG24</f>
        <v>216</v>
      </c>
      <c r="AK24" s="129" t="n">
        <f aca="false">IF(L24&lt;0,L24*-1,0)</f>
        <v>7.56894378623645</v>
      </c>
      <c r="AL24" s="129" t="n">
        <f aca="false">AJ24+AK24</f>
        <v>223.568943786236</v>
      </c>
      <c r="AM24" s="205" t="n">
        <f aca="false">AM23+U24</f>
        <v>14971.25965</v>
      </c>
      <c r="AN24" s="130" t="n">
        <v>58</v>
      </c>
      <c r="AO24" s="92" t="n">
        <f aca="false">I24-Q24-R24-W24-AE24</f>
        <v>-60.7</v>
      </c>
      <c r="AP24" s="149" t="n">
        <f aca="false">20*(Y24*1.9835+AB24*1.9835)/E24</f>
        <v>0</v>
      </c>
      <c r="AQ24" s="149"/>
      <c r="AR24" s="149"/>
      <c r="AS24" s="102"/>
      <c r="AT24" s="166"/>
      <c r="AU24" s="169" t="n">
        <f aca="false">O24</f>
        <v>0</v>
      </c>
      <c r="AV24" s="307" t="n">
        <v>0</v>
      </c>
      <c r="AW24" s="200" t="n">
        <v>64</v>
      </c>
      <c r="AX24" s="200" t="n">
        <v>41</v>
      </c>
      <c r="AY24" s="280"/>
      <c r="AZ24" s="235" t="n">
        <f aca="false">SUM(N24,P24:T24)</f>
        <v>5.78348</v>
      </c>
    </row>
    <row r="25" customFormat="false" ht="12.95" hidden="false" customHeight="true" outlineLevel="0" collapsed="false">
      <c r="A25" s="173" t="n">
        <f aca="false">A24+1</f>
        <v>11</v>
      </c>
      <c r="B25" s="101" t="n">
        <v>6898.98</v>
      </c>
      <c r="C25" s="102" t="n">
        <v>279833</v>
      </c>
      <c r="D25" s="200" t="n">
        <f aca="false">C25-C24</f>
        <v>-257</v>
      </c>
      <c r="E25" s="102" t="n">
        <f aca="false">C25-152000</f>
        <v>127833</v>
      </c>
      <c r="F25" s="231" t="n">
        <f aca="false">D25/$D$2</f>
        <v>-129.568943786236</v>
      </c>
      <c r="G25" s="1" t="n">
        <v>85</v>
      </c>
      <c r="H25" s="4" t="n">
        <v>0</v>
      </c>
      <c r="I25" s="129" t="n">
        <f aca="false">G25+H25</f>
        <v>85</v>
      </c>
      <c r="J25" s="130" t="n">
        <f aca="false">IF(L25&gt;0,L25,0)</f>
        <v>0</v>
      </c>
      <c r="K25" s="129" t="n">
        <f aca="false">I25+J25</f>
        <v>85</v>
      </c>
      <c r="L25" s="129" t="n">
        <f aca="false">F25-(I25-AJ25)</f>
        <v>-34.0689437862364</v>
      </c>
      <c r="M25" s="233" t="n">
        <v>90</v>
      </c>
      <c r="N25" s="149" t="n">
        <v>0</v>
      </c>
      <c r="O25" s="129" t="n">
        <v>0</v>
      </c>
      <c r="P25" s="149" t="n">
        <v>0</v>
      </c>
      <c r="Q25" s="8" t="n">
        <f aca="false">1.974*1.02</f>
        <v>2.01348</v>
      </c>
      <c r="R25" s="291" t="n">
        <v>4.2</v>
      </c>
      <c r="S25" s="291" t="n">
        <v>0.04</v>
      </c>
      <c r="T25" s="334" t="n">
        <v>0</v>
      </c>
      <c r="U25" s="129" t="n">
        <v>0</v>
      </c>
      <c r="V25" s="129" t="n">
        <v>39</v>
      </c>
      <c r="W25" s="129" t="n">
        <f aca="false">M25-N25-O25-P25-Q25-R25-S25-T25+U25+V25-AT25+AQ25</f>
        <v>122.74652</v>
      </c>
      <c r="X25" s="129" t="n">
        <f aca="false">W25-AN25</f>
        <v>64.74652</v>
      </c>
      <c r="Y25" s="102"/>
      <c r="Z25" s="129"/>
      <c r="AA25" s="102"/>
      <c r="AB25" s="102" t="n">
        <f aca="false">AB24-(AP24/1.9835)</f>
        <v>0</v>
      </c>
      <c r="AC25" s="200" t="n">
        <f aca="false">AC24-(W25-I25)-Q25-R25-AE25</f>
        <v>705.379188000001</v>
      </c>
      <c r="AD25" s="129" t="n">
        <v>0.5</v>
      </c>
      <c r="AE25" s="131" t="n">
        <v>1.7</v>
      </c>
      <c r="AF25" s="132" t="n">
        <v>1.3</v>
      </c>
      <c r="AG25" s="472" t="n">
        <v>51</v>
      </c>
      <c r="AH25" s="416" t="n">
        <f aca="false">AH24-AG25</f>
        <v>6151.25787748929</v>
      </c>
      <c r="AI25" s="102"/>
      <c r="AJ25" s="128" t="n">
        <f aca="false">N25+O25+P25+Q25+R25+S25+T25+W25+AD25+AG25</f>
        <v>180.5</v>
      </c>
      <c r="AK25" s="129" t="n">
        <f aca="false">IF(L25&lt;0,L25*-1,0)</f>
        <v>34.0689437862364</v>
      </c>
      <c r="AL25" s="129" t="n">
        <f aca="false">AJ25+AK25</f>
        <v>214.568943786236</v>
      </c>
      <c r="AM25" s="205" t="n">
        <f aca="false">AM24+U25</f>
        <v>14971.25965</v>
      </c>
      <c r="AN25" s="130" t="n">
        <v>58</v>
      </c>
      <c r="AO25" s="92" t="n">
        <f aca="false">I25-Q25-R25-W25-AE25</f>
        <v>-45.66</v>
      </c>
      <c r="AP25" s="149" t="n">
        <f aca="false">20*(Y25*1.9835+AB25*1.9835)/E25</f>
        <v>0</v>
      </c>
      <c r="AQ25" s="149"/>
      <c r="AR25" s="149"/>
      <c r="AS25" s="102"/>
      <c r="AT25" s="166"/>
      <c r="AU25" s="169" t="n">
        <f aca="false">O25</f>
        <v>0</v>
      </c>
      <c r="AV25" s="307" t="n">
        <v>0</v>
      </c>
      <c r="AW25" s="200" t="n">
        <v>67</v>
      </c>
      <c r="AX25" s="200" t="n">
        <v>39</v>
      </c>
      <c r="AY25" s="280"/>
      <c r="AZ25" s="235" t="n">
        <f aca="false">SUM(N25,P25:T25)</f>
        <v>6.25348</v>
      </c>
    </row>
    <row r="26" customFormat="false" ht="12.95" hidden="false" customHeight="true" outlineLevel="0" collapsed="false">
      <c r="A26" s="173" t="n">
        <f aca="false">A25+1</f>
        <v>12</v>
      </c>
      <c r="B26" s="101" t="n">
        <v>6898.89</v>
      </c>
      <c r="C26" s="102" t="n">
        <v>279505</v>
      </c>
      <c r="D26" s="200" t="n">
        <f aca="false">C26-C25</f>
        <v>-328</v>
      </c>
      <c r="E26" s="102" t="n">
        <f aca="false">C26-152000</f>
        <v>127505</v>
      </c>
      <c r="F26" s="231" t="n">
        <f aca="false">D26/$D$2</f>
        <v>-165.364255104613</v>
      </c>
      <c r="G26" s="1" t="n">
        <v>79</v>
      </c>
      <c r="H26" s="4" t="n">
        <v>0</v>
      </c>
      <c r="I26" s="129" t="n">
        <f aca="false">G26+H26</f>
        <v>79</v>
      </c>
      <c r="J26" s="130" t="n">
        <f aca="false">IF(L26&gt;0,L26,0)</f>
        <v>0</v>
      </c>
      <c r="K26" s="129" t="n">
        <f aca="false">I26+J26</f>
        <v>79</v>
      </c>
      <c r="L26" s="129" t="n">
        <f aca="false">F26-(I26-AJ26)</f>
        <v>-42.3642551046131</v>
      </c>
      <c r="M26" s="233" t="n">
        <v>114</v>
      </c>
      <c r="N26" s="149" t="n">
        <f aca="false">1.8299*1.03</f>
        <v>1.884797</v>
      </c>
      <c r="O26" s="129" t="n">
        <f aca="false">6*1.05</f>
        <v>6.3</v>
      </c>
      <c r="P26" s="149" t="n">
        <v>0</v>
      </c>
      <c r="Q26" s="8" t="n">
        <f aca="false">1.974*1.02</f>
        <v>2.01348</v>
      </c>
      <c r="R26" s="291" t="n">
        <v>4.2</v>
      </c>
      <c r="S26" s="291" t="n">
        <v>0.17</v>
      </c>
      <c r="T26" s="334" t="n">
        <v>0</v>
      </c>
      <c r="U26" s="129" t="n">
        <v>0</v>
      </c>
      <c r="V26" s="129" t="n">
        <v>37</v>
      </c>
      <c r="W26" s="129" t="n">
        <f aca="false">M26-N26-O26-P26-Q26-R26-S26-T26+U26+V26-AT26+AQ26</f>
        <v>136.431723</v>
      </c>
      <c r="X26" s="129" t="n">
        <f aca="false">W26-AN26</f>
        <v>78.431723</v>
      </c>
      <c r="Y26" s="102"/>
      <c r="Z26" s="129"/>
      <c r="AA26" s="102"/>
      <c r="AB26" s="102" t="n">
        <f aca="false">AB25-(AP25/1.9835)</f>
        <v>0</v>
      </c>
      <c r="AC26" s="200" t="n">
        <f aca="false">AC25-(W26-I26)-Q26-R26-AE26</f>
        <v>640.033985</v>
      </c>
      <c r="AD26" s="129" t="n">
        <v>0</v>
      </c>
      <c r="AE26" s="131" t="n">
        <v>1.7</v>
      </c>
      <c r="AF26" s="132" t="n">
        <v>1.3</v>
      </c>
      <c r="AG26" s="472" t="n">
        <v>51</v>
      </c>
      <c r="AH26" s="416" t="n">
        <f aca="false">AH25-AG26</f>
        <v>6100.25787748929</v>
      </c>
      <c r="AI26" s="102"/>
      <c r="AJ26" s="128" t="n">
        <f aca="false">N26+O26+P26+Q26+R26+S26+T26+W26+AD26+AG26</f>
        <v>202</v>
      </c>
      <c r="AK26" s="129" t="n">
        <f aca="false">IF(L26&lt;0,L26*-1,0)</f>
        <v>42.3642551046131</v>
      </c>
      <c r="AL26" s="129" t="n">
        <f aca="false">AJ26+AK26</f>
        <v>244.364255104613</v>
      </c>
      <c r="AM26" s="205" t="n">
        <f aca="false">AM25+U26</f>
        <v>14971.25965</v>
      </c>
      <c r="AN26" s="130" t="n">
        <v>58</v>
      </c>
      <c r="AO26" s="92" t="n">
        <f aca="false">I26-Q26-R26-W26-AE26</f>
        <v>-65.345203</v>
      </c>
      <c r="AP26" s="149" t="n">
        <f aca="false">20*(Y26*1.9835+AB26*1.9835)/E26</f>
        <v>0</v>
      </c>
      <c r="AQ26" s="149"/>
      <c r="AR26" s="149"/>
      <c r="AS26" s="102"/>
      <c r="AT26" s="166"/>
      <c r="AU26" s="169" t="n">
        <f aca="false">O26</f>
        <v>6.3</v>
      </c>
      <c r="AV26" s="307" t="n">
        <v>0</v>
      </c>
      <c r="AW26" s="200" t="n">
        <v>70</v>
      </c>
      <c r="AX26" s="200" t="n">
        <v>40</v>
      </c>
      <c r="AY26" s="280"/>
      <c r="AZ26" s="235" t="n">
        <f aca="false">SUM(N26,P26:T26)</f>
        <v>8.268277</v>
      </c>
    </row>
    <row r="27" customFormat="false" ht="12.95" hidden="false" customHeight="true" outlineLevel="0" collapsed="false">
      <c r="A27" s="173" t="n">
        <f aca="false">A26+1</f>
        <v>13</v>
      </c>
      <c r="B27" s="101" t="n">
        <v>6898.79</v>
      </c>
      <c r="C27" s="102" t="n">
        <v>279141</v>
      </c>
      <c r="D27" s="200" t="n">
        <f aca="false">C27-C26</f>
        <v>-364</v>
      </c>
      <c r="E27" s="102" t="n">
        <f aca="false">C27-152000</f>
        <v>127141</v>
      </c>
      <c r="F27" s="231" t="n">
        <f aca="false">D27/$D$2</f>
        <v>-183.513990420973</v>
      </c>
      <c r="G27" s="1" t="n">
        <v>73</v>
      </c>
      <c r="H27" s="4" t="n">
        <v>0</v>
      </c>
      <c r="I27" s="129" t="n">
        <f aca="false">G27+H27</f>
        <v>73</v>
      </c>
      <c r="J27" s="130" t="n">
        <f aca="false">IF(L27&gt;0,L27,0)</f>
        <v>0</v>
      </c>
      <c r="K27" s="129" t="n">
        <f aca="false">I27+J27</f>
        <v>73</v>
      </c>
      <c r="L27" s="129" t="n">
        <f aca="false">F27-(I27-AJ27)</f>
        <v>-30.513990420973</v>
      </c>
      <c r="M27" s="233" t="n">
        <v>141</v>
      </c>
      <c r="N27" s="149" t="n">
        <f aca="false">1.8299*1.03</f>
        <v>1.884797</v>
      </c>
      <c r="O27" s="129" t="n">
        <f aca="false">10*1.05</f>
        <v>10.5</v>
      </c>
      <c r="P27" s="149" t="n">
        <v>0</v>
      </c>
      <c r="Q27" s="8" t="n">
        <f aca="false">1.974*1.02</f>
        <v>2.01348</v>
      </c>
      <c r="R27" s="291" t="n">
        <v>4.2</v>
      </c>
      <c r="S27" s="291" t="n">
        <v>0.32</v>
      </c>
      <c r="T27" s="334" t="n">
        <v>0</v>
      </c>
      <c r="U27" s="129" t="n">
        <v>0</v>
      </c>
      <c r="V27" s="129" t="n">
        <v>34</v>
      </c>
      <c r="W27" s="129" t="n">
        <f aca="false">M27-N27-O27-P27-Q27-R27-S27-T27+U27+V27-AT27+AQ27</f>
        <v>156.081723</v>
      </c>
      <c r="X27" s="129" t="n">
        <f aca="false">W27-AN27</f>
        <v>98.081723</v>
      </c>
      <c r="Y27" s="102"/>
      <c r="Z27" s="129"/>
      <c r="AA27" s="102"/>
      <c r="AB27" s="102" t="n">
        <f aca="false">AB26-(AP26/1.9835)</f>
        <v>0</v>
      </c>
      <c r="AC27" s="200" t="n">
        <f aca="false">AC26-(W27-I27)-Q27-R27-AE27</f>
        <v>549.038782</v>
      </c>
      <c r="AD27" s="129" t="n">
        <v>0</v>
      </c>
      <c r="AE27" s="131" t="n">
        <v>1.7</v>
      </c>
      <c r="AF27" s="132" t="n">
        <v>1.3</v>
      </c>
      <c r="AG27" s="472" t="n">
        <v>51</v>
      </c>
      <c r="AH27" s="416" t="n">
        <f aca="false">AH26-AG27</f>
        <v>6049.25787748929</v>
      </c>
      <c r="AI27" s="102"/>
      <c r="AJ27" s="128" t="n">
        <f aca="false">N27+O27+P27+Q27+R27+S27+T27+W27+AD27+AG27</f>
        <v>226</v>
      </c>
      <c r="AK27" s="129" t="n">
        <f aca="false">IF(L27&lt;0,L27*-1,0)</f>
        <v>30.513990420973</v>
      </c>
      <c r="AL27" s="129" t="n">
        <f aca="false">AJ27+AK27</f>
        <v>256.513990420973</v>
      </c>
      <c r="AM27" s="205" t="n">
        <f aca="false">AM26</f>
        <v>14971.25965</v>
      </c>
      <c r="AN27" s="130" t="n">
        <v>58</v>
      </c>
      <c r="AO27" s="92" t="n">
        <f aca="false">I27-Q27-R27-W27-AE27</f>
        <v>-90.995203</v>
      </c>
      <c r="AP27" s="149" t="n">
        <f aca="false">20*(Y27*1.9835+AB27*1.9835)/E27</f>
        <v>0</v>
      </c>
      <c r="AQ27" s="149"/>
      <c r="AR27" s="149"/>
      <c r="AS27" s="102"/>
      <c r="AT27" s="166"/>
      <c r="AU27" s="169" t="n">
        <f aca="false">O27</f>
        <v>10.5</v>
      </c>
      <c r="AV27" s="307" t="n">
        <v>0</v>
      </c>
      <c r="AW27" s="200" t="n">
        <v>68</v>
      </c>
      <c r="AX27" s="200" t="n">
        <v>39</v>
      </c>
      <c r="AY27" s="280"/>
      <c r="AZ27" s="235" t="n">
        <f aca="false">SUM(N27,P27:T27)</f>
        <v>8.418277</v>
      </c>
    </row>
    <row r="28" customFormat="false" ht="12.95" hidden="false" customHeight="true" outlineLevel="0" collapsed="false">
      <c r="A28" s="173" t="n">
        <f aca="false">A27+1</f>
        <v>14</v>
      </c>
      <c r="B28" s="101" t="n">
        <v>6898.7</v>
      </c>
      <c r="C28" s="102" t="n">
        <v>278813</v>
      </c>
      <c r="D28" s="200" t="n">
        <f aca="false">C28-C27</f>
        <v>-328</v>
      </c>
      <c r="E28" s="102" t="n">
        <f aca="false">C28-152000</f>
        <v>126813</v>
      </c>
      <c r="F28" s="231" t="n">
        <f aca="false">D28/$D$2</f>
        <v>-165.364255104613</v>
      </c>
      <c r="G28" s="1" t="n">
        <v>69</v>
      </c>
      <c r="H28" s="4" t="n">
        <v>0</v>
      </c>
      <c r="I28" s="129" t="n">
        <f aca="false">G28+H28</f>
        <v>69</v>
      </c>
      <c r="J28" s="130" t="n">
        <f aca="false">IF(L28&gt;0,L28,0)</f>
        <v>0</v>
      </c>
      <c r="K28" s="129" t="n">
        <f aca="false">I28+J28</f>
        <v>69</v>
      </c>
      <c r="L28" s="129" t="n">
        <f aca="false">F28-(I28-AJ28)</f>
        <v>-30.3642551046131</v>
      </c>
      <c r="M28" s="233" t="n">
        <v>121</v>
      </c>
      <c r="N28" s="149" t="n">
        <f aca="false">1.8299*1.03</f>
        <v>1.884797</v>
      </c>
      <c r="O28" s="129" t="n">
        <f aca="false">9.7*1.05</f>
        <v>10.185</v>
      </c>
      <c r="P28" s="149" t="n">
        <v>0</v>
      </c>
      <c r="Q28" s="8" t="n">
        <f aca="false">1.974*1.02</f>
        <v>2.01348</v>
      </c>
      <c r="R28" s="291" t="n">
        <v>4.05</v>
      </c>
      <c r="S28" s="291" t="n">
        <v>0</v>
      </c>
      <c r="T28" s="334" t="n">
        <v>0</v>
      </c>
      <c r="U28" s="129" t="n">
        <v>0</v>
      </c>
      <c r="V28" s="547" t="n">
        <v>32</v>
      </c>
      <c r="W28" s="129" t="n">
        <f aca="false">M28-N28-O28-P28-Q28-R28-S28-T28+U28+V28-AT28+AQ28</f>
        <v>134.866723</v>
      </c>
      <c r="X28" s="129" t="n">
        <f aca="false">W28-AN28</f>
        <v>76.866723</v>
      </c>
      <c r="Y28" s="102"/>
      <c r="Z28" s="129"/>
      <c r="AA28" s="102"/>
      <c r="AB28" s="102" t="n">
        <f aca="false">AB27-(AP27/1.9835)</f>
        <v>0</v>
      </c>
      <c r="AC28" s="200" t="n">
        <f aca="false">AC27-(W28-I28)-Q28-R28-AE28</f>
        <v>475.408579</v>
      </c>
      <c r="AD28" s="129" t="n">
        <v>0</v>
      </c>
      <c r="AE28" s="131" t="n">
        <v>1.7</v>
      </c>
      <c r="AF28" s="132" t="n">
        <v>1.3</v>
      </c>
      <c r="AG28" s="472" t="n">
        <v>51</v>
      </c>
      <c r="AH28" s="416" t="n">
        <f aca="false">AH27-AG28</f>
        <v>5998.25787748929</v>
      </c>
      <c r="AI28" s="102"/>
      <c r="AJ28" s="128" t="n">
        <f aca="false">N28+O28+P28+Q28+R28+S28+T28+W28+AD28+AG28</f>
        <v>204</v>
      </c>
      <c r="AK28" s="129" t="n">
        <f aca="false">IF(L28&lt;0,L28*-1,0)</f>
        <v>30.3642551046131</v>
      </c>
      <c r="AL28" s="129" t="n">
        <f aca="false">AJ28+AK28</f>
        <v>234.364255104613</v>
      </c>
      <c r="AM28" s="205" t="n">
        <f aca="false">AM27</f>
        <v>14971.25965</v>
      </c>
      <c r="AN28" s="130" t="n">
        <v>58</v>
      </c>
      <c r="AO28" s="92" t="n">
        <f aca="false">I28-Q28-R28-W28-AE28</f>
        <v>-73.630203</v>
      </c>
      <c r="AP28" s="149" t="n">
        <f aca="false">20*(Y28*1.9835+AB28*1.9835)/E28</f>
        <v>0</v>
      </c>
      <c r="AQ28" s="149"/>
      <c r="AR28" s="149"/>
      <c r="AS28" s="102"/>
      <c r="AT28" s="166"/>
      <c r="AU28" s="169" t="n">
        <f aca="false">O28</f>
        <v>10.185</v>
      </c>
      <c r="AV28" s="307" t="n">
        <v>0</v>
      </c>
      <c r="AW28" s="206" t="n">
        <v>69</v>
      </c>
      <c r="AX28" s="200" t="n">
        <v>41</v>
      </c>
      <c r="AY28" s="280"/>
      <c r="AZ28" s="235" t="n">
        <f aca="false">SUM(N28,P28:T28)</f>
        <v>7.948277</v>
      </c>
    </row>
    <row r="29" customFormat="false" ht="12.95" hidden="false" customHeight="true" outlineLevel="0" collapsed="false">
      <c r="A29" s="173" t="n">
        <f aca="false">A28+1</f>
        <v>15</v>
      </c>
      <c r="B29" s="101" t="n">
        <v>6898.62</v>
      </c>
      <c r="C29" s="102" t="n">
        <v>278521</v>
      </c>
      <c r="D29" s="200" t="n">
        <f aca="false">C29-C28</f>
        <v>-292</v>
      </c>
      <c r="E29" s="102" t="n">
        <f aca="false">C29-152000</f>
        <v>126521</v>
      </c>
      <c r="F29" s="231" t="n">
        <f aca="false">D29/$D$2</f>
        <v>-147.214519788253</v>
      </c>
      <c r="G29" s="1" t="n">
        <v>68</v>
      </c>
      <c r="H29" s="4" t="n">
        <v>0</v>
      </c>
      <c r="I29" s="129" t="n">
        <f aca="false">G29+H29</f>
        <v>68</v>
      </c>
      <c r="J29" s="130" t="n">
        <f aca="false">IF(L29&gt;0,L29,0)</f>
        <v>0</v>
      </c>
      <c r="K29" s="129" t="n">
        <f aca="false">I29+J29</f>
        <v>68</v>
      </c>
      <c r="L29" s="129" t="n">
        <f aca="false">F29-(I29-AJ29)</f>
        <v>-40.2145197882531</v>
      </c>
      <c r="M29" s="233" t="n">
        <v>91</v>
      </c>
      <c r="N29" s="149" t="n">
        <f aca="false">1.8299*1.03</f>
        <v>1.884797</v>
      </c>
      <c r="O29" s="129" t="n">
        <f aca="false">4.7*1.05</f>
        <v>4.935</v>
      </c>
      <c r="P29" s="149" t="n">
        <v>0</v>
      </c>
      <c r="Q29" s="8" t="n">
        <f aca="false">1.974*1.02</f>
        <v>2.01348</v>
      </c>
      <c r="R29" s="291" t="n">
        <v>3.76</v>
      </c>
      <c r="S29" s="291" t="n">
        <v>0</v>
      </c>
      <c r="T29" s="334" t="n">
        <v>0</v>
      </c>
      <c r="U29" s="129" t="n">
        <v>0</v>
      </c>
      <c r="V29" s="547" t="n">
        <v>32</v>
      </c>
      <c r="W29" s="129" t="n">
        <f aca="false">M29-N29-O29-P29-Q29-R29-S29-T29+U29+V29-AT29+AQ29</f>
        <v>110.406723</v>
      </c>
      <c r="X29" s="129" t="n">
        <f aca="false">W29-AN29</f>
        <v>52.406723</v>
      </c>
      <c r="Y29" s="102"/>
      <c r="Z29" s="129"/>
      <c r="AA29" s="102"/>
      <c r="AB29" s="102" t="n">
        <f aca="false">AB28-(AP28/1.9835)</f>
        <v>0</v>
      </c>
      <c r="AC29" s="200" t="n">
        <f aca="false">AC28-(W29-I29)-Q29-R29-AE29</f>
        <v>425.528376</v>
      </c>
      <c r="AD29" s="129" t="n">
        <v>0</v>
      </c>
      <c r="AE29" s="131" t="n">
        <v>1.7</v>
      </c>
      <c r="AF29" s="132" t="n">
        <v>1.3</v>
      </c>
      <c r="AG29" s="472" t="n">
        <v>52</v>
      </c>
      <c r="AH29" s="416" t="n">
        <f aca="false">AH28-AG29</f>
        <v>5946.25787748929</v>
      </c>
      <c r="AI29" s="102"/>
      <c r="AJ29" s="128" t="n">
        <f aca="false">N29+O29+P29+Q29+R29+S29+T29+W29+AD29+AG29</f>
        <v>175</v>
      </c>
      <c r="AK29" s="129" t="n">
        <f aca="false">IF(L29&lt;0,L29*-1,0)</f>
        <v>40.2145197882531</v>
      </c>
      <c r="AL29" s="129" t="n">
        <f aca="false">AJ29+AK29</f>
        <v>215.214519788253</v>
      </c>
      <c r="AM29" s="205" t="n">
        <f aca="false">AM28</f>
        <v>14971.25965</v>
      </c>
      <c r="AN29" s="130" t="n">
        <v>58</v>
      </c>
      <c r="AO29" s="92" t="n">
        <f aca="false">I29-Q29-R29-W29-AE29</f>
        <v>-49.880203</v>
      </c>
      <c r="AP29" s="149" t="n">
        <f aca="false">20*(Y29*1.9835+AB29*1.9835)/E29</f>
        <v>0</v>
      </c>
      <c r="AQ29" s="149"/>
      <c r="AR29" s="149"/>
      <c r="AS29" s="102"/>
      <c r="AT29" s="166"/>
      <c r="AU29" s="169" t="n">
        <f aca="false">O29</f>
        <v>4.935</v>
      </c>
      <c r="AV29" s="307" t="n">
        <v>0</v>
      </c>
      <c r="AW29" s="206" t="n">
        <v>69</v>
      </c>
      <c r="AX29" s="200" t="n">
        <v>41</v>
      </c>
      <c r="AY29" s="280"/>
      <c r="AZ29" s="235" t="n">
        <f aca="false">SUM(N29,P29:T29)</f>
        <v>7.658277</v>
      </c>
    </row>
    <row r="30" customFormat="false" ht="12.95" hidden="false" customHeight="true" outlineLevel="0" collapsed="false">
      <c r="A30" s="173" t="n">
        <f aca="false">A29+1</f>
        <v>16</v>
      </c>
      <c r="B30" s="101" t="n">
        <v>6898.59</v>
      </c>
      <c r="C30" s="102" t="n">
        <v>278412</v>
      </c>
      <c r="D30" s="200" t="n">
        <f aca="false">C30-C29</f>
        <v>-109</v>
      </c>
      <c r="E30" s="102" t="n">
        <f aca="false">C30-152000</f>
        <v>126412</v>
      </c>
      <c r="F30" s="231" t="n">
        <f aca="false">D30/$D$2</f>
        <v>-54.9533652634232</v>
      </c>
      <c r="G30" s="1" t="n">
        <v>66</v>
      </c>
      <c r="H30" s="4" t="n">
        <v>0</v>
      </c>
      <c r="I30" s="129" t="n">
        <f aca="false">G30+H30</f>
        <v>66</v>
      </c>
      <c r="J30" s="130" t="n">
        <f aca="false">IF(L30&gt;0,L30,0)</f>
        <v>0</v>
      </c>
      <c r="K30" s="129" t="n">
        <f aca="false">I30+J30</f>
        <v>66</v>
      </c>
      <c r="L30" s="129" t="n">
        <f aca="false">F30-(I30-AJ30)</f>
        <v>-41.5533652634232</v>
      </c>
      <c r="M30" s="233" t="n">
        <v>31</v>
      </c>
      <c r="N30" s="149" t="n">
        <f aca="false">1.8299*1.03</f>
        <v>1.884797</v>
      </c>
      <c r="O30" s="129" t="n">
        <f aca="false">4.8*1.05</f>
        <v>5.04</v>
      </c>
      <c r="P30" s="149" t="n">
        <v>0</v>
      </c>
      <c r="Q30" s="8" t="n">
        <f aca="false">1.974*1.02</f>
        <v>2.01348</v>
      </c>
      <c r="R30" s="291" t="n">
        <v>3.83</v>
      </c>
      <c r="S30" s="291" t="n">
        <v>0</v>
      </c>
      <c r="T30" s="334" t="n">
        <v>0</v>
      </c>
      <c r="U30" s="129" t="n">
        <v>0</v>
      </c>
      <c r="V30" s="129" t="n">
        <v>2.4</v>
      </c>
      <c r="W30" s="129" t="n">
        <f aca="false">M30-N30-O30-P30-Q30-R30-S30-T30+U30+V30-AT30+AQ30</f>
        <v>20.631723</v>
      </c>
      <c r="X30" s="129" t="n">
        <f aca="false">W30-AN30</f>
        <v>20.631723</v>
      </c>
      <c r="Y30" s="102"/>
      <c r="Z30" s="129"/>
      <c r="AA30" s="102"/>
      <c r="AB30" s="102" t="n">
        <f aca="false">AB29-(AP29/1.9835)</f>
        <v>0</v>
      </c>
      <c r="AC30" s="102"/>
      <c r="AD30" s="129" t="n">
        <v>0</v>
      </c>
      <c r="AE30" s="131" t="n">
        <v>1.7</v>
      </c>
      <c r="AF30" s="132" t="n">
        <v>1.3</v>
      </c>
      <c r="AG30" s="472" t="n">
        <v>46</v>
      </c>
      <c r="AH30" s="416" t="n">
        <f aca="false">AH29-AG30</f>
        <v>5900.25787748929</v>
      </c>
      <c r="AI30" s="102"/>
      <c r="AJ30" s="128" t="n">
        <f aca="false">N30+O30+P30+Q30+R30+S30+T30+W30+AD30+AG30</f>
        <v>79.4</v>
      </c>
      <c r="AK30" s="129" t="n">
        <f aca="false">IF(L30&lt;0,L30*-1,0)</f>
        <v>41.5533652634232</v>
      </c>
      <c r="AL30" s="129" t="n">
        <f aca="false">AJ30+AK30</f>
        <v>120.953365263423</v>
      </c>
      <c r="AM30" s="205" t="n">
        <f aca="false">AM29</f>
        <v>14971.25965</v>
      </c>
      <c r="AN30" s="130"/>
      <c r="AO30" s="92"/>
      <c r="AP30" s="149" t="n">
        <f aca="false">20*(Y30*1.9835+AB30*1.9835)/E30</f>
        <v>0</v>
      </c>
      <c r="AQ30" s="149"/>
      <c r="AR30" s="130" t="n">
        <f aca="false">W30*0.3</f>
        <v>6.1895169</v>
      </c>
      <c r="AS30" s="102"/>
      <c r="AT30" s="166"/>
      <c r="AU30" s="169" t="n">
        <f aca="false">O30</f>
        <v>5.04</v>
      </c>
      <c r="AV30" s="307" t="n">
        <v>0</v>
      </c>
      <c r="AW30" s="206" t="n">
        <v>72</v>
      </c>
      <c r="AX30" s="200" t="n">
        <v>41</v>
      </c>
      <c r="AY30" s="280"/>
      <c r="AZ30" s="235" t="n">
        <f aca="false">SUM(N30,P30:T30)</f>
        <v>7.728277</v>
      </c>
    </row>
    <row r="31" customFormat="false" ht="12.95" hidden="false" customHeight="true" outlineLevel="0" collapsed="false">
      <c r="A31" s="173" t="n">
        <f aca="false">A30+1</f>
        <v>17</v>
      </c>
      <c r="B31" s="101" t="n">
        <v>6898.59</v>
      </c>
      <c r="C31" s="102" t="n">
        <v>278412</v>
      </c>
      <c r="D31" s="200" t="n">
        <f aca="false">C31-C30</f>
        <v>0</v>
      </c>
      <c r="E31" s="102" t="n">
        <f aca="false">C31-152000</f>
        <v>126412</v>
      </c>
      <c r="F31" s="231" t="n">
        <f aca="false">D31/$D$2</f>
        <v>0</v>
      </c>
      <c r="G31" s="1" t="n">
        <v>63</v>
      </c>
      <c r="H31" s="4" t="n">
        <v>0</v>
      </c>
      <c r="I31" s="129" t="n">
        <f aca="false">G31+H31</f>
        <v>63</v>
      </c>
      <c r="J31" s="130" t="n">
        <f aca="false">IF(L31&gt;0,L31,0)</f>
        <v>27</v>
      </c>
      <c r="K31" s="129" t="n">
        <f aca="false">I31+J31</f>
        <v>90</v>
      </c>
      <c r="L31" s="129" t="n">
        <f aca="false">F31-(I31-AJ31)</f>
        <v>27</v>
      </c>
      <c r="M31" s="233" t="n">
        <v>45</v>
      </c>
      <c r="N31" s="149" t="n">
        <f aca="false">1.8299*1.03</f>
        <v>1.884797</v>
      </c>
      <c r="O31" s="129" t="n">
        <f aca="false">5.4*1.05</f>
        <v>5.67</v>
      </c>
      <c r="P31" s="149" t="n">
        <v>0</v>
      </c>
      <c r="Q31" s="8" t="n">
        <f aca="false">1.974*1.02</f>
        <v>2.01348</v>
      </c>
      <c r="R31" s="291" t="n">
        <v>3.86</v>
      </c>
      <c r="S31" s="291" t="n">
        <v>0</v>
      </c>
      <c r="T31" s="334" t="n">
        <v>0</v>
      </c>
      <c r="U31" s="129" t="n">
        <v>0</v>
      </c>
      <c r="V31" s="129" t="n">
        <v>0</v>
      </c>
      <c r="W31" s="129" t="n">
        <f aca="false">M31-N31-O31-P31-Q31-R31-S31-T31+U31+V31-AT31+AQ31</f>
        <v>31.571723</v>
      </c>
      <c r="X31" s="129" t="n">
        <f aca="false">W31-AN31</f>
        <v>31.571723</v>
      </c>
      <c r="Y31" s="102"/>
      <c r="Z31" s="129"/>
      <c r="AA31" s="102"/>
      <c r="AB31" s="102" t="n">
        <f aca="false">AB30-(AP30/1.9835)</f>
        <v>0</v>
      </c>
      <c r="AC31" s="102"/>
      <c r="AD31" s="129" t="n">
        <v>0</v>
      </c>
      <c r="AE31" s="131" t="n">
        <v>1.7</v>
      </c>
      <c r="AF31" s="132" t="n">
        <v>1.3</v>
      </c>
      <c r="AG31" s="472" t="n">
        <v>45</v>
      </c>
      <c r="AH31" s="416" t="n">
        <f aca="false">AH30-AG31</f>
        <v>5855.25787748929</v>
      </c>
      <c r="AI31" s="102"/>
      <c r="AJ31" s="128" t="n">
        <f aca="false">N31+O31+P31+Q31+R31+S31+T31+W31+AD31+AG31</f>
        <v>90</v>
      </c>
      <c r="AK31" s="129" t="n">
        <f aca="false">IF(L31&lt;0,L31*-1,0)</f>
        <v>0</v>
      </c>
      <c r="AL31" s="129" t="n">
        <f aca="false">AJ31+AK31</f>
        <v>90</v>
      </c>
      <c r="AM31" s="205" t="n">
        <f aca="false">AM30</f>
        <v>14971.25965</v>
      </c>
      <c r="AN31" s="130"/>
      <c r="AO31" s="92"/>
      <c r="AP31" s="149" t="n">
        <f aca="false">20*(Y31*1.9835+AB31*1.9835)/E31</f>
        <v>0</v>
      </c>
      <c r="AQ31" s="149"/>
      <c r="AR31" s="130" t="n">
        <f aca="false">W31*0.3</f>
        <v>9.4715169</v>
      </c>
      <c r="AS31" s="102"/>
      <c r="AT31" s="166"/>
      <c r="AU31" s="169" t="n">
        <f aca="false">O31</f>
        <v>5.67</v>
      </c>
      <c r="AV31" s="307" t="n">
        <v>0</v>
      </c>
      <c r="AW31" s="206" t="n">
        <v>71</v>
      </c>
      <c r="AX31" s="200" t="n">
        <v>41</v>
      </c>
      <c r="AY31" s="280"/>
      <c r="AZ31" s="235" t="n">
        <f aca="false">SUM(N31,P31:T31)</f>
        <v>7.758277</v>
      </c>
    </row>
    <row r="32" customFormat="false" ht="12.95" hidden="false" customHeight="true" outlineLevel="0" collapsed="false">
      <c r="A32" s="173" t="n">
        <f aca="false">A31+1</f>
        <v>18</v>
      </c>
      <c r="B32" s="101" t="n">
        <v>6898.55</v>
      </c>
      <c r="C32" s="102" t="n">
        <v>278266</v>
      </c>
      <c r="D32" s="200" t="n">
        <f aca="false">C32-C31</f>
        <v>-146</v>
      </c>
      <c r="E32" s="102" t="n">
        <f aca="false">C32-152000</f>
        <v>126266</v>
      </c>
      <c r="F32" s="231" t="n">
        <f aca="false">D32/$D$2</f>
        <v>-73.6072598941265</v>
      </c>
      <c r="G32" s="1" t="n">
        <v>63</v>
      </c>
      <c r="H32" s="4" t="n">
        <v>0</v>
      </c>
      <c r="I32" s="129" t="n">
        <f aca="false">G32+H32</f>
        <v>63</v>
      </c>
      <c r="J32" s="130" t="n">
        <f aca="false">IF(L32&gt;0,L32,0)</f>
        <v>0</v>
      </c>
      <c r="K32" s="129" t="n">
        <f aca="false">I32+J32</f>
        <v>63</v>
      </c>
      <c r="L32" s="129" t="n">
        <f aca="false">F32-(I32-AJ32)</f>
        <v>-0.607259894126543</v>
      </c>
      <c r="M32" s="233" t="n">
        <v>51</v>
      </c>
      <c r="N32" s="149" t="n">
        <f aca="false">1.8299*1.03</f>
        <v>1.884797</v>
      </c>
      <c r="O32" s="129" t="n">
        <f aca="false">(12+11)*1.05</f>
        <v>24.15</v>
      </c>
      <c r="P32" s="149" t="n">
        <v>0</v>
      </c>
      <c r="Q32" s="8" t="n">
        <f aca="false">1.974*1.02</f>
        <v>2.01348</v>
      </c>
      <c r="R32" s="291" t="n">
        <v>3.79</v>
      </c>
      <c r="S32" s="291" t="n">
        <v>0</v>
      </c>
      <c r="T32" s="334" t="n">
        <v>0</v>
      </c>
      <c r="U32" s="129" t="n">
        <v>40</v>
      </c>
      <c r="V32" s="129" t="n">
        <v>0</v>
      </c>
      <c r="W32" s="129" t="n">
        <f aca="false">M32-N32-O32-P32-Q32-R32-S32-T32+U32+V32-AT32+AQ32</f>
        <v>59.161723</v>
      </c>
      <c r="X32" s="129" t="n">
        <f aca="false">W32-AN32</f>
        <v>59.161723</v>
      </c>
      <c r="Y32" s="102"/>
      <c r="Z32" s="129"/>
      <c r="AA32" s="102"/>
      <c r="AB32" s="102" t="n">
        <f aca="false">AB31-(AP31/1.9835)</f>
        <v>0</v>
      </c>
      <c r="AC32" s="102"/>
      <c r="AD32" s="129" t="n">
        <v>0</v>
      </c>
      <c r="AE32" s="131" t="n">
        <v>1.7</v>
      </c>
      <c r="AF32" s="132" t="n">
        <v>1.3</v>
      </c>
      <c r="AG32" s="472" t="n">
        <v>45</v>
      </c>
      <c r="AH32" s="416" t="n">
        <f aca="false">AH31-AG32</f>
        <v>5810.25787748929</v>
      </c>
      <c r="AI32" s="102"/>
      <c r="AJ32" s="128" t="n">
        <f aca="false">N32+O32+P32+Q32+R32+S32+T32+W32+AD32+AG32</f>
        <v>136</v>
      </c>
      <c r="AK32" s="129" t="n">
        <f aca="false">IF(L32&lt;0,L32*-1,0)</f>
        <v>0.607259894126543</v>
      </c>
      <c r="AL32" s="129" t="n">
        <f aca="false">AJ32+AK32</f>
        <v>136.607259894127</v>
      </c>
      <c r="AM32" s="205" t="n">
        <f aca="false">AM31+(U32*1.9835)</f>
        <v>15050.59965</v>
      </c>
      <c r="AN32" s="130"/>
      <c r="AO32" s="130"/>
      <c r="AP32" s="149" t="n">
        <f aca="false">20*(Y32*1.9835+AB32*1.9835)/E32</f>
        <v>0</v>
      </c>
      <c r="AQ32" s="149"/>
      <c r="AR32" s="130" t="n">
        <f aca="false">(W32-U32)*0.3</f>
        <v>5.7485169</v>
      </c>
      <c r="AS32" s="102"/>
      <c r="AT32" s="166"/>
      <c r="AU32" s="169" t="n">
        <f aca="false">O32</f>
        <v>24.15</v>
      </c>
      <c r="AV32" s="307" t="n">
        <v>0</v>
      </c>
      <c r="AW32" s="206" t="n">
        <v>61</v>
      </c>
      <c r="AX32" s="200" t="n">
        <v>43</v>
      </c>
      <c r="AY32" s="280"/>
      <c r="AZ32" s="235" t="n">
        <f aca="false">SUM(N32,P32:T32)</f>
        <v>7.688277</v>
      </c>
    </row>
    <row r="33" customFormat="false" ht="12.95" hidden="false" customHeight="true" outlineLevel="0" collapsed="false">
      <c r="A33" s="173" t="n">
        <f aca="false">A32+1</f>
        <v>19</v>
      </c>
      <c r="B33" s="101" t="n">
        <v>6898.49</v>
      </c>
      <c r="C33" s="102" t="n">
        <v>278047</v>
      </c>
      <c r="D33" s="200" t="n">
        <f aca="false">C33-C32</f>
        <v>-219</v>
      </c>
      <c r="E33" s="102" t="n">
        <f aca="false">C33-152000</f>
        <v>126047</v>
      </c>
      <c r="F33" s="231" t="n">
        <f aca="false">D33/$D$2</f>
        <v>-110.41088984119</v>
      </c>
      <c r="G33" s="1" t="n">
        <v>67</v>
      </c>
      <c r="H33" s="4" t="n">
        <v>0</v>
      </c>
      <c r="I33" s="129" t="n">
        <f aca="false">G33+H33</f>
        <v>67</v>
      </c>
      <c r="J33" s="130" t="n">
        <f aca="false">IF(L33&gt;0,L33,0)</f>
        <v>0</v>
      </c>
      <c r="K33" s="129" t="n">
        <f aca="false">I33+J33</f>
        <v>67</v>
      </c>
      <c r="L33" s="129" t="n">
        <f aca="false">F33-(I33-AJ33)</f>
        <v>-22.4108898411898</v>
      </c>
      <c r="M33" s="233" t="n">
        <v>52</v>
      </c>
      <c r="N33" s="149" t="n">
        <f aca="false">1.8299*1.03</f>
        <v>1.884797</v>
      </c>
      <c r="O33" s="129" t="n">
        <f aca="false">(20+19)*1.05</f>
        <v>40.95</v>
      </c>
      <c r="P33" s="149" t="n">
        <v>0</v>
      </c>
      <c r="Q33" s="8" t="n">
        <f aca="false">1.974*1.02</f>
        <v>2.01348</v>
      </c>
      <c r="R33" s="291" t="n">
        <v>4.2</v>
      </c>
      <c r="S33" s="291" t="n">
        <v>0.13</v>
      </c>
      <c r="T33" s="334" t="n">
        <v>0</v>
      </c>
      <c r="U33" s="129" t="n">
        <v>59</v>
      </c>
      <c r="V33" s="129" t="n">
        <v>0</v>
      </c>
      <c r="W33" s="129" t="n">
        <f aca="false">M33-N33-O33-P33-Q33-R33-S33-T33+U33+V33-AT33+AQ33</f>
        <v>61.821723</v>
      </c>
      <c r="X33" s="129" t="n">
        <f aca="false">W33-AN33</f>
        <v>61.821723</v>
      </c>
      <c r="Y33" s="102"/>
      <c r="Z33" s="129"/>
      <c r="AA33" s="102"/>
      <c r="AB33" s="102" t="n">
        <f aca="false">AB32-(AP32/1.9835)</f>
        <v>0</v>
      </c>
      <c r="AC33" s="102"/>
      <c r="AD33" s="129" t="n">
        <v>0</v>
      </c>
      <c r="AE33" s="131" t="n">
        <v>1.7</v>
      </c>
      <c r="AF33" s="132" t="n">
        <v>1.3</v>
      </c>
      <c r="AG33" s="472" t="n">
        <v>44</v>
      </c>
      <c r="AH33" s="416" t="n">
        <f aca="false">AH32-AG33</f>
        <v>5766.25787748929</v>
      </c>
      <c r="AI33" s="102"/>
      <c r="AJ33" s="128" t="n">
        <f aca="false">N33+O33+P33+Q33+R33+S33+T33+W33+AD33+AG33</f>
        <v>155</v>
      </c>
      <c r="AK33" s="129" t="n">
        <f aca="false">IF(L33&lt;0,L33*-1,0)</f>
        <v>22.4108898411898</v>
      </c>
      <c r="AL33" s="129" t="n">
        <f aca="false">AJ33+AK33</f>
        <v>177.41088984119</v>
      </c>
      <c r="AM33" s="205" t="n">
        <f aca="false">AM32+(U33*1.9835)</f>
        <v>15167.62615</v>
      </c>
      <c r="AN33" s="130"/>
      <c r="AO33" s="130"/>
      <c r="AP33" s="149" t="n">
        <f aca="false">20*(Y33*1.9835+AB33*1.9835)/E33</f>
        <v>0</v>
      </c>
      <c r="AQ33" s="149"/>
      <c r="AR33" s="149"/>
      <c r="AS33" s="102"/>
      <c r="AT33" s="166"/>
      <c r="AU33" s="169" t="n">
        <f aca="false">O33</f>
        <v>40.95</v>
      </c>
      <c r="AV33" s="307" t="n">
        <v>0</v>
      </c>
      <c r="AW33" s="206" t="n">
        <v>65</v>
      </c>
      <c r="AX33" s="200" t="n">
        <v>38</v>
      </c>
      <c r="AY33" s="280"/>
      <c r="AZ33" s="235" t="n">
        <f aca="false">SUM(N33,P33:T33)</f>
        <v>8.228277</v>
      </c>
    </row>
    <row r="34" customFormat="false" ht="12.95" hidden="false" customHeight="true" outlineLevel="0" collapsed="false">
      <c r="A34" s="173" t="n">
        <f aca="false">A33+1</f>
        <v>20</v>
      </c>
      <c r="B34" s="101" t="n">
        <v>6898.5</v>
      </c>
      <c r="C34" s="102" t="n">
        <v>278084</v>
      </c>
      <c r="D34" s="200" t="n">
        <f aca="false">C34-C33</f>
        <v>37</v>
      </c>
      <c r="E34" s="102" t="n">
        <f aca="false">C34-152000</f>
        <v>126084</v>
      </c>
      <c r="F34" s="231" t="n">
        <f aca="false">D34/$D$2</f>
        <v>18.6538946307033</v>
      </c>
      <c r="G34" s="1" t="n">
        <v>67</v>
      </c>
      <c r="H34" s="4" t="n">
        <v>0</v>
      </c>
      <c r="I34" s="129" t="n">
        <f aca="false">G34+H34</f>
        <v>67</v>
      </c>
      <c r="J34" s="130" t="n">
        <f aca="false">IF(L34&gt;0,L34,0)</f>
        <v>130.653894630703</v>
      </c>
      <c r="K34" s="129" t="n">
        <f aca="false">I34+J34</f>
        <v>197.653894630703</v>
      </c>
      <c r="L34" s="129" t="n">
        <f aca="false">F34-(I34-AJ34)</f>
        <v>130.653894630703</v>
      </c>
      <c r="M34" s="233" t="n">
        <v>71</v>
      </c>
      <c r="N34" s="149" t="n">
        <f aca="false">1.8299*1.03</f>
        <v>1.884797</v>
      </c>
      <c r="O34" s="129" t="n">
        <f aca="false">(27+24)*1.05</f>
        <v>53.55</v>
      </c>
      <c r="P34" s="149" t="n">
        <v>0</v>
      </c>
      <c r="Q34" s="8" t="n">
        <f aca="false">1.974*1.02</f>
        <v>2.01348</v>
      </c>
      <c r="R34" s="291" t="n">
        <v>4.2</v>
      </c>
      <c r="S34" s="291" t="n">
        <v>0.54</v>
      </c>
      <c r="T34" s="334" t="n">
        <v>0</v>
      </c>
      <c r="U34" s="129" t="n">
        <v>64</v>
      </c>
      <c r="V34" s="129" t="n">
        <v>0</v>
      </c>
      <c r="W34" s="129" t="n">
        <f aca="false">M34-N34-O34-P34-Q34-R34-S34-T34+U34+V34-AT34+AQ34</f>
        <v>72.811723</v>
      </c>
      <c r="X34" s="129" t="n">
        <f aca="false">W34-AN34</f>
        <v>72.811723</v>
      </c>
      <c r="Y34" s="102"/>
      <c r="Z34" s="129"/>
      <c r="AA34" s="102"/>
      <c r="AB34" s="102" t="n">
        <f aca="false">AB33-(AP33/1.9835)</f>
        <v>0</v>
      </c>
      <c r="AC34" s="102"/>
      <c r="AD34" s="129" t="n">
        <v>0</v>
      </c>
      <c r="AE34" s="131" t="n">
        <v>1.7</v>
      </c>
      <c r="AF34" s="132" t="n">
        <v>1.3</v>
      </c>
      <c r="AG34" s="472" t="n">
        <v>44</v>
      </c>
      <c r="AH34" s="416" t="n">
        <f aca="false">AH33-AG34</f>
        <v>5722.25787748929</v>
      </c>
      <c r="AI34" s="102"/>
      <c r="AJ34" s="128" t="n">
        <f aca="false">N34+O34+P34+Q34+R34+S34+T34+W34+AD34+AG34</f>
        <v>179</v>
      </c>
      <c r="AK34" s="129" t="n">
        <f aca="false">IF(L34&lt;0,L34*-1,0)</f>
        <v>0</v>
      </c>
      <c r="AL34" s="129" t="n">
        <f aca="false">AJ34+AK34</f>
        <v>179</v>
      </c>
      <c r="AM34" s="205" t="n">
        <f aca="false">AM33+(U34*1.9835)</f>
        <v>15294.57015</v>
      </c>
      <c r="AN34" s="130"/>
      <c r="AO34" s="130"/>
      <c r="AP34" s="149" t="n">
        <f aca="false">20*(Y34*1.9835+AB34*1.9835)/E34</f>
        <v>0</v>
      </c>
      <c r="AQ34" s="149"/>
      <c r="AR34" s="149"/>
      <c r="AS34" s="102"/>
      <c r="AT34" s="166"/>
      <c r="AU34" s="169" t="n">
        <f aca="false">O34</f>
        <v>53.55</v>
      </c>
      <c r="AV34" s="307" t="n">
        <v>0.17</v>
      </c>
      <c r="AW34" s="206" t="n">
        <v>71</v>
      </c>
      <c r="AX34" s="200" t="n">
        <v>43</v>
      </c>
      <c r="AY34" s="280"/>
      <c r="AZ34" s="235" t="n">
        <f aca="false">SUM(N34,P34:T34)</f>
        <v>8.638277</v>
      </c>
    </row>
    <row r="35" customFormat="false" ht="12.95" hidden="false" customHeight="true" outlineLevel="0" collapsed="false">
      <c r="A35" s="173" t="n">
        <f aca="false">A34+1</f>
        <v>21</v>
      </c>
      <c r="B35" s="101" t="n">
        <v>6898.47</v>
      </c>
      <c r="C35" s="102" t="n">
        <v>277974</v>
      </c>
      <c r="D35" s="200" t="n">
        <f aca="false">C35-C34</f>
        <v>-110</v>
      </c>
      <c r="E35" s="102" t="n">
        <f aca="false">C35-152000</f>
        <v>125974</v>
      </c>
      <c r="F35" s="231" t="n">
        <f aca="false">D35/$D$2</f>
        <v>-55.4575245777666</v>
      </c>
      <c r="G35" s="1" t="n">
        <v>81</v>
      </c>
      <c r="H35" s="4" t="n">
        <v>0</v>
      </c>
      <c r="I35" s="129" t="n">
        <f aca="false">G35+H35</f>
        <v>81</v>
      </c>
      <c r="J35" s="130" t="n">
        <f aca="false">IF(L35&gt;0,L35,0)</f>
        <v>30.5424754222334</v>
      </c>
      <c r="K35" s="129" t="n">
        <f aca="false">I35+J35</f>
        <v>111.542475422233</v>
      </c>
      <c r="L35" s="129" t="n">
        <f aca="false">F35-(I35-AJ35)</f>
        <v>30.5424754222334</v>
      </c>
      <c r="M35" s="233" t="n">
        <v>58</v>
      </c>
      <c r="N35" s="149" t="n">
        <f aca="false">1.8299*1.03</f>
        <v>1.884797</v>
      </c>
      <c r="O35" s="129" t="n">
        <f aca="false">(27+26)*1.05</f>
        <v>55.65</v>
      </c>
      <c r="P35" s="149" t="n">
        <v>0</v>
      </c>
      <c r="Q35" s="8" t="n">
        <f aca="false">1.974*1.02</f>
        <v>2.01348</v>
      </c>
      <c r="R35" s="291" t="n">
        <v>4.2</v>
      </c>
      <c r="S35" s="291" t="n">
        <v>0.06</v>
      </c>
      <c r="T35" s="334" t="n">
        <v>0</v>
      </c>
      <c r="U35" s="129" t="n">
        <v>66</v>
      </c>
      <c r="V35" s="129" t="n">
        <v>0</v>
      </c>
      <c r="W35" s="129" t="n">
        <f aca="false">M35-N35-O35-P35-Q35-R35-S35-T35+U35+V35-AT35+AQ35</f>
        <v>60.191723</v>
      </c>
      <c r="X35" s="129" t="n">
        <f aca="false">W35-AN35</f>
        <v>60.191723</v>
      </c>
      <c r="Y35" s="102"/>
      <c r="Z35" s="129"/>
      <c r="AA35" s="102"/>
      <c r="AB35" s="102" t="n">
        <f aca="false">AB34-(AP34/1.9835)</f>
        <v>0</v>
      </c>
      <c r="AC35" s="102"/>
      <c r="AD35" s="129" t="n">
        <v>0</v>
      </c>
      <c r="AE35" s="131" t="n">
        <v>1.7</v>
      </c>
      <c r="AF35" s="132" t="n">
        <v>1.3</v>
      </c>
      <c r="AG35" s="472" t="n">
        <v>43</v>
      </c>
      <c r="AH35" s="416" t="n">
        <f aca="false">AH34-AG35</f>
        <v>5679.25787748929</v>
      </c>
      <c r="AI35" s="102"/>
      <c r="AJ35" s="128" t="n">
        <f aca="false">N35+O35+P35+Q35+R35+S35+T35+W35+AD35+AG35</f>
        <v>167</v>
      </c>
      <c r="AK35" s="129" t="n">
        <f aca="false">IF(L35&lt;0,L35*-1,0)</f>
        <v>0</v>
      </c>
      <c r="AL35" s="129" t="n">
        <f aca="false">AJ35+AK35</f>
        <v>167</v>
      </c>
      <c r="AM35" s="205" t="n">
        <f aca="false">AM34+(U35*1.9835)</f>
        <v>15425.48115</v>
      </c>
      <c r="AN35" s="130"/>
      <c r="AO35" s="130"/>
      <c r="AP35" s="149" t="n">
        <f aca="false">20*(Y35*1.9835+AB35*1.9835)/E35</f>
        <v>0</v>
      </c>
      <c r="AQ35" s="149"/>
      <c r="AR35" s="149"/>
      <c r="AS35" s="102"/>
      <c r="AT35" s="166"/>
      <c r="AU35" s="169" t="n">
        <f aca="false">O35</f>
        <v>55.65</v>
      </c>
      <c r="AV35" s="307" t="n">
        <v>0.02</v>
      </c>
      <c r="AW35" s="200" t="n">
        <v>57</v>
      </c>
      <c r="AX35" s="200" t="n">
        <v>39</v>
      </c>
      <c r="AY35" s="280"/>
      <c r="AZ35" s="235" t="n">
        <f aca="false">SUM(N35,P35:T35)</f>
        <v>8.158277</v>
      </c>
    </row>
    <row r="36" customFormat="false" ht="12.95" hidden="false" customHeight="true" outlineLevel="0" collapsed="false">
      <c r="A36" s="173" t="n">
        <f aca="false">A35+1</f>
        <v>22</v>
      </c>
      <c r="B36" s="101" t="n">
        <v>6898.45</v>
      </c>
      <c r="C36" s="102" t="n">
        <v>277901</v>
      </c>
      <c r="D36" s="200" t="n">
        <f aca="false">C36-C35</f>
        <v>-73</v>
      </c>
      <c r="E36" s="102" t="n">
        <f aca="false">C36-152000</f>
        <v>125901</v>
      </c>
      <c r="F36" s="231" t="n">
        <f aca="false">D36/$D$2</f>
        <v>-36.8036299470633</v>
      </c>
      <c r="G36" s="1" t="n">
        <v>92</v>
      </c>
      <c r="H36" s="4" t="n">
        <v>0</v>
      </c>
      <c r="I36" s="129" t="n">
        <f aca="false">G36+H36</f>
        <v>92</v>
      </c>
      <c r="J36" s="130" t="n">
        <f aca="false">IF(L36&gt;0,L36,0)</f>
        <v>49.1963700529367</v>
      </c>
      <c r="K36" s="129" t="n">
        <f aca="false">I36+J36</f>
        <v>141.196370052937</v>
      </c>
      <c r="L36" s="129" t="n">
        <f aca="false">F36-(I36-AJ36)</f>
        <v>49.1963700529367</v>
      </c>
      <c r="M36" s="233" t="n">
        <v>69</v>
      </c>
      <c r="N36" s="149" t="n">
        <f aca="false">1.8299*1.03</f>
        <v>1.884797</v>
      </c>
      <c r="O36" s="129" t="n">
        <f aca="false">(29+28)*1.05</f>
        <v>59.85</v>
      </c>
      <c r="P36" s="149" t="n">
        <v>0</v>
      </c>
      <c r="Q36" s="8" t="n">
        <f aca="false">1.974*1.02</f>
        <v>2.01348</v>
      </c>
      <c r="R36" s="291" t="n">
        <v>2.97</v>
      </c>
      <c r="S36" s="291" t="n">
        <v>0</v>
      </c>
      <c r="T36" s="334" t="n">
        <v>0</v>
      </c>
      <c r="U36" s="129" t="n">
        <v>66</v>
      </c>
      <c r="V36" s="129" t="n">
        <v>0</v>
      </c>
      <c r="W36" s="129" t="n">
        <f aca="false">M36-N36-O36-P36-Q36-R36-S36-T36+U36+V36-AT36+AQ36</f>
        <v>68.281723</v>
      </c>
      <c r="X36" s="129" t="n">
        <f aca="false">W36-AN36</f>
        <v>68.281723</v>
      </c>
      <c r="Y36" s="102"/>
      <c r="Z36" s="129"/>
      <c r="AA36" s="102"/>
      <c r="AB36" s="102" t="n">
        <f aca="false">AB35-(AP35/1.9835)</f>
        <v>0</v>
      </c>
      <c r="AC36" s="102"/>
      <c r="AD36" s="129" t="n">
        <v>0</v>
      </c>
      <c r="AE36" s="131" t="n">
        <v>1.7</v>
      </c>
      <c r="AF36" s="132" t="n">
        <v>1.3</v>
      </c>
      <c r="AG36" s="472" t="n">
        <v>43</v>
      </c>
      <c r="AH36" s="416" t="n">
        <f aca="false">AH35-AG36</f>
        <v>5636.25787748929</v>
      </c>
      <c r="AI36" s="102"/>
      <c r="AJ36" s="128" t="n">
        <f aca="false">N36+O36+P36+Q36+R36+S36+T36+W36+AD36+AG36</f>
        <v>178</v>
      </c>
      <c r="AK36" s="129" t="n">
        <f aca="false">IF(L36&lt;0,L36*-1,0)</f>
        <v>0</v>
      </c>
      <c r="AL36" s="129" t="n">
        <f aca="false">AJ36+AK36</f>
        <v>178</v>
      </c>
      <c r="AM36" s="205" t="n">
        <f aca="false">AM35+(U36*1.9835)</f>
        <v>15556.39215</v>
      </c>
      <c r="AN36" s="130"/>
      <c r="AO36" s="130"/>
      <c r="AP36" s="149" t="n">
        <f aca="false">20*(Y36*1.9835+AB36*1.9835)/E36</f>
        <v>0</v>
      </c>
      <c r="AQ36" s="149"/>
      <c r="AR36" s="149"/>
      <c r="AS36" s="102"/>
      <c r="AT36" s="166"/>
      <c r="AU36" s="169" t="n">
        <f aca="false">O36</f>
        <v>59.85</v>
      </c>
      <c r="AV36" s="307" t="n">
        <v>0.34</v>
      </c>
      <c r="AW36" s="200" t="n">
        <v>49</v>
      </c>
      <c r="AX36" s="200" t="n">
        <v>41</v>
      </c>
      <c r="AY36" s="280"/>
      <c r="AZ36" s="235" t="n">
        <f aca="false">SUM(N36,P36:T36)</f>
        <v>6.868277</v>
      </c>
    </row>
    <row r="37" customFormat="false" ht="12.95" hidden="false" customHeight="true" outlineLevel="0" collapsed="false">
      <c r="A37" s="173" t="n">
        <f aca="false">A36+1</f>
        <v>23</v>
      </c>
      <c r="B37" s="101" t="n">
        <v>6898.43</v>
      </c>
      <c r="C37" s="102" t="n">
        <v>277828</v>
      </c>
      <c r="D37" s="200" t="n">
        <f aca="false">C37-C36</f>
        <v>-73</v>
      </c>
      <c r="E37" s="102" t="n">
        <f aca="false">C37-152000</f>
        <v>125828</v>
      </c>
      <c r="F37" s="231" t="n">
        <f aca="false">D37/$D$2</f>
        <v>-36.8036299470633</v>
      </c>
      <c r="G37" s="1" t="n">
        <v>119</v>
      </c>
      <c r="H37" s="4" t="n">
        <v>0</v>
      </c>
      <c r="I37" s="129" t="n">
        <f aca="false">G37+H37</f>
        <v>119</v>
      </c>
      <c r="J37" s="130" t="n">
        <f aca="false">IF(L37&gt;0,L37,0)</f>
        <v>4.19637005293673</v>
      </c>
      <c r="K37" s="129" t="n">
        <f aca="false">I37+J37</f>
        <v>123.196370052937</v>
      </c>
      <c r="L37" s="129" t="n">
        <f aca="false">F37-(I37-AJ37)</f>
        <v>4.19637005293673</v>
      </c>
      <c r="M37" s="233" t="n">
        <v>51</v>
      </c>
      <c r="N37" s="149" t="n">
        <f aca="false">1.8299*1.03</f>
        <v>1.884797</v>
      </c>
      <c r="O37" s="129" t="n">
        <f aca="false">(24+24)*1.05</f>
        <v>50.4</v>
      </c>
      <c r="P37" s="149" t="n">
        <v>0</v>
      </c>
      <c r="Q37" s="8" t="n">
        <f aca="false">1.974*1.02</f>
        <v>2.01348</v>
      </c>
      <c r="R37" s="291" t="n">
        <v>2.48</v>
      </c>
      <c r="S37" s="291" t="n">
        <v>0</v>
      </c>
      <c r="T37" s="334" t="n">
        <v>0</v>
      </c>
      <c r="U37" s="129" t="n">
        <v>66</v>
      </c>
      <c r="V37" s="129" t="n">
        <v>0</v>
      </c>
      <c r="W37" s="129" t="n">
        <f aca="false">M37-N37-O37-P37-Q37-R37-S37-T37+U37+V37-AT37+AQ37</f>
        <v>60.221723</v>
      </c>
      <c r="X37" s="129" t="n">
        <f aca="false">W37-AN37</f>
        <v>60.221723</v>
      </c>
      <c r="Y37" s="102"/>
      <c r="Z37" s="129"/>
      <c r="AA37" s="102"/>
      <c r="AB37" s="102" t="n">
        <f aca="false">AB36-(AP36/1.9835)</f>
        <v>0</v>
      </c>
      <c r="AC37" s="102"/>
      <c r="AD37" s="129" t="n">
        <v>0</v>
      </c>
      <c r="AE37" s="131" t="n">
        <v>1.7</v>
      </c>
      <c r="AF37" s="132" t="n">
        <v>1.3</v>
      </c>
      <c r="AG37" s="472" t="n">
        <v>43</v>
      </c>
      <c r="AH37" s="416" t="n">
        <f aca="false">AH36-AG37</f>
        <v>5593.25787748929</v>
      </c>
      <c r="AI37" s="102"/>
      <c r="AJ37" s="128" t="n">
        <f aca="false">N37+O37+P37+Q37+R37+S37+T37+W37+AD37+AG37</f>
        <v>160</v>
      </c>
      <c r="AK37" s="129" t="n">
        <f aca="false">IF(L37&lt;0,L37*-1,0)</f>
        <v>0</v>
      </c>
      <c r="AL37" s="129" t="n">
        <f aca="false">AJ37+AK37</f>
        <v>160</v>
      </c>
      <c r="AM37" s="205" t="n">
        <f aca="false">AM36+(U37*1.9835)</f>
        <v>15687.30315</v>
      </c>
      <c r="AN37" s="130"/>
      <c r="AO37" s="130"/>
      <c r="AP37" s="149" t="n">
        <f aca="false">20*(Y37*1.9835+AB37*1.9835)/E37</f>
        <v>0</v>
      </c>
      <c r="AQ37" s="149"/>
      <c r="AR37" s="149"/>
      <c r="AS37" s="102"/>
      <c r="AT37" s="166"/>
      <c r="AU37" s="169" t="n">
        <f aca="false">O37</f>
        <v>50.4</v>
      </c>
      <c r="AV37" s="307" t="n">
        <v>0.07</v>
      </c>
      <c r="AW37" s="200" t="n">
        <v>53</v>
      </c>
      <c r="AX37" s="206" t="n">
        <v>41</v>
      </c>
      <c r="AY37" s="280"/>
      <c r="AZ37" s="235" t="n">
        <f aca="false">SUM(N37,P37:T37)</f>
        <v>6.378277</v>
      </c>
    </row>
    <row r="38" customFormat="false" ht="12.95" hidden="false" customHeight="true" outlineLevel="0" collapsed="false">
      <c r="A38" s="173" t="n">
        <f aca="false">A37+1</f>
        <v>24</v>
      </c>
      <c r="B38" s="101" t="n">
        <v>6898.41</v>
      </c>
      <c r="C38" s="102" t="n">
        <v>277755</v>
      </c>
      <c r="D38" s="200" t="n">
        <f aca="false">C38-C37</f>
        <v>-73</v>
      </c>
      <c r="E38" s="102" t="n">
        <f aca="false">C38-152000</f>
        <v>125755</v>
      </c>
      <c r="F38" s="231" t="n">
        <f aca="false">D38/$D$2</f>
        <v>-36.8036299470633</v>
      </c>
      <c r="G38" s="1" t="n">
        <v>121</v>
      </c>
      <c r="H38" s="4" t="n">
        <v>0</v>
      </c>
      <c r="I38" s="129" t="n">
        <f aca="false">G38+H38</f>
        <v>121</v>
      </c>
      <c r="J38" s="130" t="n">
        <f aca="false">IF(L38&gt;0,L38,0)</f>
        <v>10.1963700529367</v>
      </c>
      <c r="K38" s="129" t="n">
        <f aca="false">I38+J38</f>
        <v>131.196370052937</v>
      </c>
      <c r="L38" s="129" t="n">
        <f aca="false">F38-(I38-AJ38)</f>
        <v>10.1963700529367</v>
      </c>
      <c r="M38" s="233" t="n">
        <v>59</v>
      </c>
      <c r="N38" s="149" t="n">
        <f aca="false">1.8299*1.03</f>
        <v>1.884797</v>
      </c>
      <c r="O38" s="129" t="n">
        <f aca="false">(24+24)*1.05</f>
        <v>50.4</v>
      </c>
      <c r="P38" s="149" t="n">
        <v>0</v>
      </c>
      <c r="Q38" s="8" t="n">
        <f aca="false">1.974*1.02</f>
        <v>2.01348</v>
      </c>
      <c r="R38" s="291" t="n">
        <v>2</v>
      </c>
      <c r="S38" s="291" t="n">
        <v>0</v>
      </c>
      <c r="T38" s="334" t="n">
        <v>0</v>
      </c>
      <c r="U38" s="129" t="n">
        <v>66</v>
      </c>
      <c r="V38" s="129" t="n">
        <v>0</v>
      </c>
      <c r="W38" s="129" t="n">
        <f aca="false">M38-N38-O38-P38-Q38-R38-S38-T38+U38+V38-AT38+AQ38</f>
        <v>68.701723</v>
      </c>
      <c r="X38" s="129" t="n">
        <f aca="false">W38-AN38</f>
        <v>68.701723</v>
      </c>
      <c r="Y38" s="102"/>
      <c r="Z38" s="129"/>
      <c r="AA38" s="102"/>
      <c r="AB38" s="102" t="n">
        <f aca="false">AB37-(AP37/1.9835)</f>
        <v>0</v>
      </c>
      <c r="AC38" s="102"/>
      <c r="AD38" s="129" t="n">
        <v>0</v>
      </c>
      <c r="AE38" s="131" t="n">
        <v>1.7</v>
      </c>
      <c r="AF38" s="132" t="n">
        <v>1.3</v>
      </c>
      <c r="AG38" s="472" t="n">
        <v>43</v>
      </c>
      <c r="AH38" s="416" t="n">
        <f aca="false">AH37-AG38</f>
        <v>5550.25787748929</v>
      </c>
      <c r="AI38" s="102"/>
      <c r="AJ38" s="128" t="n">
        <f aca="false">N38+O38+P38+Q38+R38+S38+T38+W38+AD38+AG38</f>
        <v>168</v>
      </c>
      <c r="AK38" s="129" t="n">
        <f aca="false">IF(L38&lt;0,L38*-1,0)</f>
        <v>0</v>
      </c>
      <c r="AL38" s="129" t="n">
        <f aca="false">AJ38+AK38</f>
        <v>168</v>
      </c>
      <c r="AM38" s="205" t="n">
        <f aca="false">AM37+(U38*1.9835)</f>
        <v>15818.21415</v>
      </c>
      <c r="AN38" s="130"/>
      <c r="AO38" s="130"/>
      <c r="AP38" s="149" t="n">
        <f aca="false">20*(Y38*1.9835+AB38*1.9835)/E38</f>
        <v>0</v>
      </c>
      <c r="AQ38" s="149"/>
      <c r="AR38" s="149"/>
      <c r="AS38" s="102"/>
      <c r="AT38" s="166"/>
      <c r="AU38" s="169" t="n">
        <f aca="false">O38</f>
        <v>50.4</v>
      </c>
      <c r="AV38" s="307" t="n">
        <v>0</v>
      </c>
      <c r="AW38" s="200" t="n">
        <v>53</v>
      </c>
      <c r="AX38" s="206" t="n">
        <v>41</v>
      </c>
      <c r="AY38" s="280"/>
      <c r="AZ38" s="235" t="n">
        <f aca="false">SUM(N38,P38:T38)</f>
        <v>5.898277</v>
      </c>
    </row>
    <row r="39" customFormat="false" ht="12.95" hidden="false" customHeight="true" outlineLevel="0" collapsed="false">
      <c r="A39" s="173" t="n">
        <v>25</v>
      </c>
      <c r="B39" s="101" t="n">
        <v>6898.36</v>
      </c>
      <c r="C39" s="102" t="n">
        <v>277576</v>
      </c>
      <c r="D39" s="200" t="n">
        <f aca="false">C39-C38</f>
        <v>-179</v>
      </c>
      <c r="E39" s="102" t="n">
        <f aca="false">C39-152000</f>
        <v>125576</v>
      </c>
      <c r="F39" s="231" t="n">
        <f aca="false">D39/$D$2</f>
        <v>-90.2445172674565</v>
      </c>
      <c r="G39" s="1" t="n">
        <v>120</v>
      </c>
      <c r="H39" s="4" t="n">
        <v>0</v>
      </c>
      <c r="I39" s="129" t="n">
        <f aca="false">G39+H39</f>
        <v>120</v>
      </c>
      <c r="J39" s="130" t="n">
        <f aca="false">IF(L39&gt;0,L39,0)</f>
        <v>0</v>
      </c>
      <c r="K39" s="129" t="n">
        <f aca="false">I39+J39</f>
        <v>120</v>
      </c>
      <c r="L39" s="129" t="n">
        <f aca="false">F39-(I39-AJ39)</f>
        <v>-4.24451726745652</v>
      </c>
      <c r="M39" s="233" t="n">
        <v>71</v>
      </c>
      <c r="N39" s="149" t="n">
        <f aca="false">1.8299*1.03</f>
        <v>1.884797</v>
      </c>
      <c r="O39" s="129" t="n">
        <f aca="false">(28+26)*1.05</f>
        <v>56.7</v>
      </c>
      <c r="P39" s="149" t="n">
        <v>0</v>
      </c>
      <c r="Q39" s="8" t="n">
        <f aca="false">1.974*1.02</f>
        <v>2.01348</v>
      </c>
      <c r="R39" s="291" t="n">
        <v>1.96</v>
      </c>
      <c r="S39" s="291" t="n">
        <v>0</v>
      </c>
      <c r="T39" s="334" t="n">
        <v>0</v>
      </c>
      <c r="U39" s="129" t="n">
        <v>93</v>
      </c>
      <c r="V39" s="129" t="n">
        <v>0</v>
      </c>
      <c r="W39" s="129" t="n">
        <f aca="false">M39-N39-O39-P39-Q39-R39-S39-T39+U39+V39-AT39+AQ39</f>
        <v>101.441723</v>
      </c>
      <c r="X39" s="129" t="n">
        <f aca="false">W39-AN39</f>
        <v>101.441723</v>
      </c>
      <c r="Y39" s="102"/>
      <c r="Z39" s="129"/>
      <c r="AA39" s="102"/>
      <c r="AB39" s="102" t="n">
        <f aca="false">AB38-(AP38/1.9835)</f>
        <v>0</v>
      </c>
      <c r="AC39" s="102"/>
      <c r="AD39" s="129" t="n">
        <v>0</v>
      </c>
      <c r="AE39" s="131" t="n">
        <v>1.7</v>
      </c>
      <c r="AF39" s="132" t="n">
        <v>1.3</v>
      </c>
      <c r="AG39" s="472" t="n">
        <v>42</v>
      </c>
      <c r="AH39" s="416" t="n">
        <f aca="false">AH38-AG39</f>
        <v>5508.25787748929</v>
      </c>
      <c r="AI39" s="102"/>
      <c r="AJ39" s="128" t="n">
        <f aca="false">N39+O39+P39+Q39+R39+S39+T39+W39+AD39+AG39</f>
        <v>206</v>
      </c>
      <c r="AK39" s="129" t="n">
        <f aca="false">IF(L39&lt;0,L39*-1,0)</f>
        <v>4.24451726745652</v>
      </c>
      <c r="AL39" s="129" t="n">
        <f aca="false">AJ39+AK39</f>
        <v>210.244517267457</v>
      </c>
      <c r="AM39" s="205" t="n">
        <f aca="false">AM38+(U39*1.9835)</f>
        <v>16002.67965</v>
      </c>
      <c r="AN39" s="130"/>
      <c r="AO39" s="130"/>
      <c r="AP39" s="149" t="n">
        <f aca="false">20*(Y39*1.9835+AB39*1.9835)/E39</f>
        <v>0</v>
      </c>
      <c r="AQ39" s="149"/>
      <c r="AR39" s="149"/>
      <c r="AS39" s="102"/>
      <c r="AT39" s="166"/>
      <c r="AU39" s="169" t="n">
        <f aca="false">O39</f>
        <v>56.7</v>
      </c>
      <c r="AV39" s="307" t="n">
        <v>0.2</v>
      </c>
      <c r="AW39" s="200" t="n">
        <v>50</v>
      </c>
      <c r="AX39" s="206" t="n">
        <v>27</v>
      </c>
      <c r="AY39" s="280"/>
      <c r="AZ39" s="235" t="n">
        <f aca="false">SUM(N39,P39:T39)</f>
        <v>5.858277</v>
      </c>
    </row>
    <row r="40" customFormat="false" ht="12.95" hidden="false" customHeight="true" outlineLevel="0" collapsed="false">
      <c r="A40" s="173" t="n">
        <v>26</v>
      </c>
      <c r="B40" s="101" t="n">
        <v>6898.31</v>
      </c>
      <c r="C40" s="102" t="n">
        <v>277391</v>
      </c>
      <c r="D40" s="200" t="n">
        <f aca="false">C40-C39</f>
        <v>-185</v>
      </c>
      <c r="E40" s="102" t="n">
        <f aca="false">C40-152000</f>
        <v>125391</v>
      </c>
      <c r="F40" s="231" t="n">
        <f aca="false">D40/$D$2</f>
        <v>-93.2694731535165</v>
      </c>
      <c r="G40" s="1" t="n">
        <v>129</v>
      </c>
      <c r="H40" s="4" t="n">
        <v>0</v>
      </c>
      <c r="I40" s="129" t="n">
        <f aca="false">G40+H40</f>
        <v>129</v>
      </c>
      <c r="J40" s="130" t="n">
        <f aca="false">IF(L40&gt;0,L40,0)</f>
        <v>0</v>
      </c>
      <c r="K40" s="129" t="n">
        <f aca="false">I40+J40</f>
        <v>129</v>
      </c>
      <c r="L40" s="129" t="n">
        <f aca="false">F40-(I40-AJ40)</f>
        <v>-1.26947315351651</v>
      </c>
      <c r="M40" s="233" t="n">
        <v>75</v>
      </c>
      <c r="N40" s="149" t="n">
        <f aca="false">1.8299*1.03</f>
        <v>1.884797</v>
      </c>
      <c r="O40" s="129" t="n">
        <f aca="false">(31+28)*1.05</f>
        <v>61.95</v>
      </c>
      <c r="P40" s="149" t="n">
        <v>0</v>
      </c>
      <c r="Q40" s="8" t="n">
        <f aca="false">1.974*1.02</f>
        <v>2.01348</v>
      </c>
      <c r="R40" s="291" t="n">
        <v>2.43</v>
      </c>
      <c r="S40" s="291" t="n">
        <v>0</v>
      </c>
      <c r="T40" s="334" t="n">
        <v>0</v>
      </c>
      <c r="U40" s="129" t="n">
        <v>104</v>
      </c>
      <c r="V40" s="129" t="n">
        <v>0</v>
      </c>
      <c r="W40" s="129" t="n">
        <f aca="false">M40-N40-O40-P40-Q40-R40-S40-T40+U40+V40-AT40+AQ40</f>
        <v>110.721723</v>
      </c>
      <c r="X40" s="129" t="n">
        <f aca="false">W40-AN40</f>
        <v>110.721723</v>
      </c>
      <c r="Y40" s="102"/>
      <c r="Z40" s="129"/>
      <c r="AA40" s="102"/>
      <c r="AB40" s="102" t="n">
        <f aca="false">AB39-(AP39/1.9835)</f>
        <v>0</v>
      </c>
      <c r="AC40" s="102"/>
      <c r="AD40" s="129" t="n">
        <v>0</v>
      </c>
      <c r="AE40" s="131" t="n">
        <v>1.7</v>
      </c>
      <c r="AF40" s="132" t="n">
        <v>1.3</v>
      </c>
      <c r="AG40" s="472" t="n">
        <v>42</v>
      </c>
      <c r="AH40" s="416" t="n">
        <f aca="false">AH39-AG40</f>
        <v>5466.25787748929</v>
      </c>
      <c r="AI40" s="102"/>
      <c r="AJ40" s="128" t="n">
        <f aca="false">N40+O40+P40+Q40+R40+S40+T40+W40+AD40+AG40</f>
        <v>221</v>
      </c>
      <c r="AK40" s="129" t="n">
        <f aca="false">IF(L40&lt;0,L40*-1,0)</f>
        <v>1.26947315351651</v>
      </c>
      <c r="AL40" s="129" t="n">
        <f aca="false">AJ40+AK40</f>
        <v>222.269473153516</v>
      </c>
      <c r="AM40" s="205" t="n">
        <f aca="false">AM39+(U40*1.9835)</f>
        <v>16208.96365</v>
      </c>
      <c r="AN40" s="130"/>
      <c r="AO40" s="130"/>
      <c r="AP40" s="149" t="n">
        <f aca="false">20*(Y40*1.9835+AB40*1.9835)/E40</f>
        <v>0</v>
      </c>
      <c r="AQ40" s="149"/>
      <c r="AR40" s="149"/>
      <c r="AS40" s="102"/>
      <c r="AT40" s="166"/>
      <c r="AU40" s="169" t="n">
        <f aca="false">O40</f>
        <v>61.95</v>
      </c>
      <c r="AV40" s="307" t="n">
        <v>0.2</v>
      </c>
      <c r="AW40" s="200" t="n">
        <v>50</v>
      </c>
      <c r="AX40" s="206" t="n">
        <v>23</v>
      </c>
      <c r="AY40" s="280"/>
      <c r="AZ40" s="235" t="n">
        <f aca="false">SUM(N40,P40:T40)</f>
        <v>6.328277</v>
      </c>
    </row>
    <row r="41" customFormat="false" ht="12.95" hidden="false" customHeight="true" outlineLevel="0" collapsed="false">
      <c r="A41" s="173" t="n">
        <v>27</v>
      </c>
      <c r="B41" s="101" t="n">
        <v>6898.28</v>
      </c>
      <c r="C41" s="102" t="n">
        <v>277281</v>
      </c>
      <c r="D41" s="200" t="n">
        <f aca="false">C41-C40</f>
        <v>-110</v>
      </c>
      <c r="E41" s="102" t="n">
        <f aca="false">C41-152000</f>
        <v>125281</v>
      </c>
      <c r="F41" s="231" t="n">
        <f aca="false">D41/$D$2</f>
        <v>-55.4575245777666</v>
      </c>
      <c r="G41" s="1" t="n">
        <v>104</v>
      </c>
      <c r="H41" s="4" t="n">
        <v>0.52</v>
      </c>
      <c r="I41" s="129" t="n">
        <f aca="false">G41+H41</f>
        <v>104.52</v>
      </c>
      <c r="J41" s="130" t="n">
        <f aca="false">IF(L41&gt;0,L41,0)</f>
        <v>0</v>
      </c>
      <c r="K41" s="129" t="n">
        <f aca="false">I41+J41</f>
        <v>104.52</v>
      </c>
      <c r="L41" s="129" t="n">
        <f aca="false">F41-(I41-AJ41)</f>
        <v>-12.9775245777666</v>
      </c>
      <c r="M41" s="233" t="n">
        <v>77</v>
      </c>
      <c r="N41" s="149" t="n">
        <f aca="false">1.8299*1.03</f>
        <v>1.884797</v>
      </c>
      <c r="O41" s="129" t="n">
        <f aca="false">(35+33)*1.05</f>
        <v>71.4</v>
      </c>
      <c r="P41" s="149" t="n">
        <v>0</v>
      </c>
      <c r="Q41" s="8" t="n">
        <f aca="false">1.974*1.02</f>
        <v>2.01348</v>
      </c>
      <c r="R41" s="291" t="n">
        <v>2.72</v>
      </c>
      <c r="S41" s="291" t="n">
        <v>0</v>
      </c>
      <c r="T41" s="334" t="n">
        <v>0</v>
      </c>
      <c r="U41" s="129" t="n">
        <v>29</v>
      </c>
      <c r="V41" s="129" t="n">
        <v>0</v>
      </c>
      <c r="W41" s="129" t="n">
        <f aca="false">M41-N41-O41-P41-Q41-R41-S41-T41+U41+V41-AT41+AQ41</f>
        <v>27.981723</v>
      </c>
      <c r="X41" s="129" t="n">
        <f aca="false">W41-AN41</f>
        <v>27.981723</v>
      </c>
      <c r="Y41" s="102"/>
      <c r="Z41" s="129"/>
      <c r="AA41" s="102"/>
      <c r="AB41" s="102" t="n">
        <f aca="false">AB40-(AP40/1.9835)</f>
        <v>0</v>
      </c>
      <c r="AC41" s="102"/>
      <c r="AD41" s="129" t="n">
        <v>0</v>
      </c>
      <c r="AE41" s="131" t="n">
        <v>1.7</v>
      </c>
      <c r="AF41" s="132" t="n">
        <v>1.3</v>
      </c>
      <c r="AG41" s="472" t="n">
        <v>41</v>
      </c>
      <c r="AH41" s="416" t="n">
        <f aca="false">AH40-AG41</f>
        <v>5425.25787748929</v>
      </c>
      <c r="AI41" s="102"/>
      <c r="AJ41" s="128" t="n">
        <f aca="false">N41+O41+P41+Q41+R41+S41+T41+W41+AD41+AG41</f>
        <v>147</v>
      </c>
      <c r="AK41" s="129" t="n">
        <f aca="false">IF(L41&lt;0,L41*-1,0)</f>
        <v>12.9775245777666</v>
      </c>
      <c r="AL41" s="129" t="n">
        <f aca="false">AJ41+AK41</f>
        <v>159.977524577767</v>
      </c>
      <c r="AM41" s="205" t="n">
        <f aca="false">AM40+(U41*1.9835)</f>
        <v>16266.48515</v>
      </c>
      <c r="AN41" s="130"/>
      <c r="AO41" s="130"/>
      <c r="AP41" s="149" t="n">
        <f aca="false">20*(Y41*1.9835+AB41*1.9835)/E41</f>
        <v>0</v>
      </c>
      <c r="AQ41" s="149"/>
      <c r="AR41" s="149"/>
      <c r="AS41" s="102"/>
      <c r="AT41" s="166"/>
      <c r="AU41" s="169" t="n">
        <f aca="false">O41</f>
        <v>71.4</v>
      </c>
      <c r="AV41" s="307" t="n">
        <v>0</v>
      </c>
      <c r="AW41" s="200" t="n">
        <v>45</v>
      </c>
      <c r="AX41" s="206" t="n">
        <v>28</v>
      </c>
      <c r="AY41" s="280"/>
      <c r="AZ41" s="235" t="n">
        <f aca="false">SUM(N41,P41:T41)</f>
        <v>6.618277</v>
      </c>
    </row>
    <row r="42" customFormat="false" ht="12.95" hidden="false" customHeight="true" outlineLevel="0" collapsed="false">
      <c r="A42" s="173" t="n">
        <v>28</v>
      </c>
      <c r="B42" s="101" t="n">
        <v>6898.26</v>
      </c>
      <c r="C42" s="102" t="n">
        <v>277209</v>
      </c>
      <c r="D42" s="200" t="n">
        <f aca="false">C42-C41</f>
        <v>-72</v>
      </c>
      <c r="E42" s="102" t="n">
        <f aca="false">C42-152000</f>
        <v>125209</v>
      </c>
      <c r="F42" s="231" t="n">
        <f aca="false">D42/$D$2</f>
        <v>-36.2994706327199</v>
      </c>
      <c r="G42" s="1" t="n">
        <v>86</v>
      </c>
      <c r="H42" s="4" t="n">
        <v>0.62</v>
      </c>
      <c r="I42" s="129" t="n">
        <f aca="false">G42+H42</f>
        <v>86.62</v>
      </c>
      <c r="J42" s="130" t="n">
        <f aca="false">IF(L42&gt;0,L42,0)</f>
        <v>0</v>
      </c>
      <c r="K42" s="129" t="n">
        <f aca="false">I42+J42</f>
        <v>86.62</v>
      </c>
      <c r="L42" s="129" t="n">
        <f aca="false">F42-(I42-AJ42)</f>
        <v>-20.9194706327199</v>
      </c>
      <c r="M42" s="233" t="n">
        <v>61</v>
      </c>
      <c r="N42" s="149" t="n">
        <f aca="false">1.8299*1.03</f>
        <v>1.884797</v>
      </c>
      <c r="O42" s="129" t="n">
        <f aca="false">(29+28)*1.05</f>
        <v>59.85</v>
      </c>
      <c r="P42" s="149" t="n">
        <v>0</v>
      </c>
      <c r="Q42" s="8" t="n">
        <f aca="false">1.974*1.02</f>
        <v>2.01348</v>
      </c>
      <c r="R42" s="291" t="n">
        <v>2.71</v>
      </c>
      <c r="S42" s="291" t="n">
        <v>0</v>
      </c>
      <c r="T42" s="334" t="n">
        <v>0</v>
      </c>
      <c r="U42" s="129" t="n">
        <v>0</v>
      </c>
      <c r="V42" s="129" t="n">
        <v>0</v>
      </c>
      <c r="W42" s="129" t="n">
        <f aca="false">M42-N42-O42-P42-Q42-R42-S42-T42+U42+V42-AT42+AQ42</f>
        <v>-5.458277</v>
      </c>
      <c r="X42" s="129" t="n">
        <f aca="false">W42-AN42</f>
        <v>-5.458277</v>
      </c>
      <c r="Y42" s="102"/>
      <c r="Z42" s="129"/>
      <c r="AA42" s="102"/>
      <c r="AB42" s="102" t="n">
        <f aca="false">AB41-(AP41/1.9835)</f>
        <v>0</v>
      </c>
      <c r="AC42" s="102"/>
      <c r="AD42" s="129" t="n">
        <v>0</v>
      </c>
      <c r="AE42" s="131" t="n">
        <v>1.7</v>
      </c>
      <c r="AF42" s="132" t="n">
        <v>1.3</v>
      </c>
      <c r="AG42" s="472" t="n">
        <v>41</v>
      </c>
      <c r="AH42" s="416" t="n">
        <f aca="false">AH41-AG42</f>
        <v>5384.25787748929</v>
      </c>
      <c r="AI42" s="102"/>
      <c r="AJ42" s="128" t="n">
        <f aca="false">N42+O42+P42+Q42+R42+S42+T42+W42+AD42+AG42</f>
        <v>102</v>
      </c>
      <c r="AK42" s="129" t="n">
        <f aca="false">IF(L42&lt;0,L42*-1,0)</f>
        <v>20.9194706327199</v>
      </c>
      <c r="AL42" s="129" t="n">
        <f aca="false">AJ42+AK42</f>
        <v>122.91947063272</v>
      </c>
      <c r="AM42" s="205" t="n">
        <f aca="false">AM41+(U42*1.9835)</f>
        <v>16266.48515</v>
      </c>
      <c r="AN42" s="130"/>
      <c r="AO42" s="130"/>
      <c r="AP42" s="149" t="n">
        <f aca="false">20*(Y42*1.9835+AB42*1.9835)/E42</f>
        <v>0</v>
      </c>
      <c r="AQ42" s="149"/>
      <c r="AR42" s="149"/>
      <c r="AS42" s="102"/>
      <c r="AT42" s="166"/>
      <c r="AU42" s="169" t="n">
        <f aca="false">O42</f>
        <v>59.85</v>
      </c>
      <c r="AV42" s="307" t="n">
        <v>0</v>
      </c>
      <c r="AW42" s="200" t="n">
        <v>58</v>
      </c>
      <c r="AX42" s="206" t="n">
        <v>27</v>
      </c>
      <c r="AY42" s="280"/>
      <c r="AZ42" s="235" t="n">
        <f aca="false">SUM(N42,P42:T42)</f>
        <v>6.608277</v>
      </c>
    </row>
    <row r="43" customFormat="false" ht="12.95" hidden="false" customHeight="true" outlineLevel="0" collapsed="false">
      <c r="A43" s="173" t="n">
        <v>29</v>
      </c>
      <c r="B43" s="101" t="n">
        <v>6898.28</v>
      </c>
      <c r="C43" s="102" t="n">
        <v>277281</v>
      </c>
      <c r="D43" s="200" t="n">
        <f aca="false">C43-C42</f>
        <v>72</v>
      </c>
      <c r="E43" s="102" t="n">
        <f aca="false">C43-152000</f>
        <v>125281</v>
      </c>
      <c r="F43" s="231" t="n">
        <f aca="false">D43/$D$2</f>
        <v>36.2994706327199</v>
      </c>
      <c r="G43" s="1" t="n">
        <v>86</v>
      </c>
      <c r="H43" s="4" t="n">
        <v>0.22</v>
      </c>
      <c r="I43" s="129" t="n">
        <f aca="false">G43+H43</f>
        <v>86.22</v>
      </c>
      <c r="J43" s="130" t="n">
        <f aca="false">IF(L43&gt;0,L43,0)</f>
        <v>0</v>
      </c>
      <c r="K43" s="129" t="n">
        <f aca="false">I43+J43</f>
        <v>86.22</v>
      </c>
      <c r="L43" s="129" t="n">
        <f aca="false">F43-(I43-AJ43)</f>
        <v>-3.62052936728006</v>
      </c>
      <c r="M43" s="233" t="n">
        <v>6.3</v>
      </c>
      <c r="N43" s="149" t="n">
        <f aca="false">1.8299*1.03</f>
        <v>1.884797</v>
      </c>
      <c r="O43" s="129" t="n">
        <f aca="false">(23+21)*1.05</f>
        <v>46.2</v>
      </c>
      <c r="P43" s="149" t="n">
        <v>0</v>
      </c>
      <c r="Q43" s="8" t="n">
        <f aca="false">1.974*1.02</f>
        <v>2.01348</v>
      </c>
      <c r="R43" s="291" t="n">
        <v>2.45</v>
      </c>
      <c r="S43" s="291" t="n">
        <v>0</v>
      </c>
      <c r="T43" s="334" t="n">
        <v>0</v>
      </c>
      <c r="U43" s="129" t="n">
        <v>0</v>
      </c>
      <c r="V43" s="129" t="n">
        <v>0</v>
      </c>
      <c r="W43" s="129" t="n">
        <f aca="false">M43-N43-O43-P43-Q43-R43-S43-T43+U43+V43-AT43+AQ43</f>
        <v>-46.248277</v>
      </c>
      <c r="X43" s="129" t="n">
        <f aca="false">W43-AN43</f>
        <v>-46.248277</v>
      </c>
      <c r="Y43" s="102"/>
      <c r="Z43" s="129"/>
      <c r="AA43" s="102"/>
      <c r="AB43" s="102" t="n">
        <f aca="false">AB42-(AP42/1.9835)</f>
        <v>0</v>
      </c>
      <c r="AC43" s="102"/>
      <c r="AD43" s="129" t="n">
        <v>0</v>
      </c>
      <c r="AE43" s="131" t="n">
        <v>1.7</v>
      </c>
      <c r="AF43" s="132" t="n">
        <v>1.3</v>
      </c>
      <c r="AG43" s="472" t="n">
        <v>40</v>
      </c>
      <c r="AH43" s="416" t="n">
        <f aca="false">AH42-AG43</f>
        <v>5344.25787748929</v>
      </c>
      <c r="AI43" s="102"/>
      <c r="AJ43" s="128" t="n">
        <f aca="false">N43+O43+P43+Q43+R43+S43+T43+W43+AD43+AG43</f>
        <v>46.3</v>
      </c>
      <c r="AK43" s="129" t="n">
        <f aca="false">IF(L43&lt;0,L43*-1,0)</f>
        <v>3.62052936728006</v>
      </c>
      <c r="AL43" s="129" t="n">
        <f aca="false">AJ43+AK43</f>
        <v>49.9205293672801</v>
      </c>
      <c r="AM43" s="205" t="n">
        <f aca="false">AM42+(U43*1.9835)</f>
        <v>16266.48515</v>
      </c>
      <c r="AN43" s="130"/>
      <c r="AO43" s="130"/>
      <c r="AP43" s="149" t="n">
        <f aca="false">20*(Y43*1.9835+AB43*1.9835)/E43</f>
        <v>0</v>
      </c>
      <c r="AQ43" s="149"/>
      <c r="AR43" s="149"/>
      <c r="AS43" s="102"/>
      <c r="AT43" s="166"/>
      <c r="AU43" s="169" t="n">
        <f aca="false">O43</f>
        <v>46.2</v>
      </c>
      <c r="AV43" s="307" t="n">
        <v>0</v>
      </c>
      <c r="AW43" s="200" t="n">
        <v>65</v>
      </c>
      <c r="AX43" s="206" t="n">
        <v>35</v>
      </c>
      <c r="AY43" s="280"/>
      <c r="AZ43" s="235" t="n">
        <f aca="false">SUM(N43,P43:T43)</f>
        <v>6.348277</v>
      </c>
    </row>
    <row r="44" customFormat="false" ht="12.95" hidden="false" customHeight="true" outlineLevel="0" collapsed="false">
      <c r="A44" s="173" t="n">
        <v>30</v>
      </c>
      <c r="B44" s="101" t="n">
        <v>6898.29</v>
      </c>
      <c r="C44" s="102" t="n">
        <v>277318</v>
      </c>
      <c r="D44" s="200" t="n">
        <f aca="false">C44-C43</f>
        <v>37</v>
      </c>
      <c r="E44" s="102" t="n">
        <f aca="false">C44-152000</f>
        <v>125318</v>
      </c>
      <c r="F44" s="231" t="n">
        <f aca="false">D44/$D$2</f>
        <v>18.6538946307033</v>
      </c>
      <c r="G44" s="1" t="n">
        <v>87</v>
      </c>
      <c r="H44" s="4" t="n">
        <v>0.66</v>
      </c>
      <c r="I44" s="129" t="n">
        <f aca="false">G44+H44</f>
        <v>87.66</v>
      </c>
      <c r="J44" s="130" t="n">
        <f aca="false">IF(L44&gt;0,L44,0)</f>
        <v>0</v>
      </c>
      <c r="K44" s="129" t="n">
        <f aca="false">I44+J44</f>
        <v>87.66</v>
      </c>
      <c r="L44" s="129" t="n">
        <f aca="false">F44-(I44-AJ44)</f>
        <v>-22.9061053692967</v>
      </c>
      <c r="M44" s="233" t="n">
        <v>6.1</v>
      </c>
      <c r="N44" s="149" t="n">
        <f aca="false">1.8299*1.03</f>
        <v>1.884797</v>
      </c>
      <c r="O44" s="129" t="n">
        <f aca="false">(15+12)*1.05</f>
        <v>28.35</v>
      </c>
      <c r="P44" s="149" t="n">
        <v>0</v>
      </c>
      <c r="Q44" s="8" t="n">
        <f aca="false">1.974*1.02</f>
        <v>2.01348</v>
      </c>
      <c r="R44" s="291" t="n">
        <v>2.36</v>
      </c>
      <c r="S44" s="291" t="n">
        <v>0</v>
      </c>
      <c r="T44" s="334" t="n">
        <v>0</v>
      </c>
      <c r="U44" s="129" t="n">
        <v>0</v>
      </c>
      <c r="V44" s="129" t="n">
        <v>0</v>
      </c>
      <c r="W44" s="129" t="n">
        <f aca="false">M44-N44-O44-P44-Q44-R44-S44-T44+U44+V44-AT44+AQ44</f>
        <v>-28.508277</v>
      </c>
      <c r="X44" s="129" t="n">
        <f aca="false">W44-AN44</f>
        <v>-28.508277</v>
      </c>
      <c r="Y44" s="102"/>
      <c r="Z44" s="129"/>
      <c r="AA44" s="102"/>
      <c r="AB44" s="102" t="n">
        <f aca="false">AB43-(AP43/1.9835)</f>
        <v>0</v>
      </c>
      <c r="AC44" s="102"/>
      <c r="AD44" s="129" t="n">
        <v>0</v>
      </c>
      <c r="AE44" s="131" t="n">
        <v>1.7</v>
      </c>
      <c r="AF44" s="132" t="n">
        <v>1.3</v>
      </c>
      <c r="AG44" s="472" t="n">
        <v>40</v>
      </c>
      <c r="AH44" s="416" t="n">
        <f aca="false">AH43-AG44</f>
        <v>5304.25787748929</v>
      </c>
      <c r="AI44" s="102"/>
      <c r="AJ44" s="128" t="n">
        <f aca="false">N44+O44+P44+Q44+R44+S44+T44+W44+AD44+AG44</f>
        <v>46.1</v>
      </c>
      <c r="AK44" s="129" t="n">
        <f aca="false">IF(L44&lt;0,L44*-1,0)</f>
        <v>22.9061053692967</v>
      </c>
      <c r="AL44" s="129" t="n">
        <f aca="false">AJ44+AK44</f>
        <v>69.0061053692967</v>
      </c>
      <c r="AM44" s="205" t="n">
        <f aca="false">AM43+(U44*1.9835)</f>
        <v>16266.48515</v>
      </c>
      <c r="AN44" s="130"/>
      <c r="AO44" s="130"/>
      <c r="AP44" s="149" t="n">
        <f aca="false">20*(Y44*1.9835+AB44*1.9835)/E44</f>
        <v>0</v>
      </c>
      <c r="AQ44" s="149"/>
      <c r="AR44" s="149"/>
      <c r="AS44" s="102"/>
      <c r="AT44" s="166"/>
      <c r="AU44" s="169" t="n">
        <f aca="false">O44</f>
        <v>28.35</v>
      </c>
      <c r="AV44" s="307" t="n">
        <v>0</v>
      </c>
      <c r="AW44" s="200" t="n">
        <v>67</v>
      </c>
      <c r="AX44" s="206" t="n">
        <v>37</v>
      </c>
      <c r="AY44" s="280"/>
      <c r="AZ44" s="235" t="n">
        <f aca="false">SUM(N44,P44:T44)</f>
        <v>6.258277</v>
      </c>
    </row>
    <row r="45" customFormat="false" ht="12.95" hidden="false" customHeight="true" outlineLevel="0" collapsed="false">
      <c r="A45" s="173" t="n">
        <v>31</v>
      </c>
      <c r="B45" s="101" t="n">
        <v>6898.31</v>
      </c>
      <c r="C45" s="102" t="n">
        <v>277391</v>
      </c>
      <c r="D45" s="200" t="n">
        <f aca="false">C45-C44</f>
        <v>73</v>
      </c>
      <c r="E45" s="102" t="n">
        <f aca="false">C45-152000</f>
        <v>125391</v>
      </c>
      <c r="F45" s="231" t="n">
        <f aca="false">D45/$D$2</f>
        <v>36.8036299470633</v>
      </c>
      <c r="G45" s="1" t="n">
        <v>87</v>
      </c>
      <c r="H45" s="4" t="n">
        <v>0.65</v>
      </c>
      <c r="I45" s="129" t="n">
        <f aca="false">G45+H45</f>
        <v>87.65</v>
      </c>
      <c r="J45" s="130" t="n">
        <f aca="false">IF(L45&gt;0,L45,0)</f>
        <v>0</v>
      </c>
      <c r="K45" s="129" t="n">
        <f aca="false">I45+J45</f>
        <v>87.65</v>
      </c>
      <c r="L45" s="129" t="n">
        <f aca="false">F45-(I45-AJ45)</f>
        <v>-4.54637005293674</v>
      </c>
      <c r="M45" s="233" t="n">
        <v>6.3</v>
      </c>
      <c r="N45" s="149" t="n">
        <f aca="false">1.8299*1.03</f>
        <v>1.884797</v>
      </c>
      <c r="O45" s="129" t="n">
        <v>0</v>
      </c>
      <c r="P45" s="149" t="n">
        <v>0</v>
      </c>
      <c r="Q45" s="8" t="n">
        <f aca="false">1.974*1.02</f>
        <v>2.01348</v>
      </c>
      <c r="R45" s="291" t="n">
        <v>2.03</v>
      </c>
      <c r="S45" s="291" t="n">
        <v>0</v>
      </c>
      <c r="T45" s="334" t="n">
        <f aca="false">M45-(Q45+R45+S45)</f>
        <v>2.25652</v>
      </c>
      <c r="U45" s="129" t="n">
        <v>0</v>
      </c>
      <c r="V45" s="129" t="n">
        <v>0</v>
      </c>
      <c r="W45" s="129" t="n">
        <f aca="false">M45-N45-O45-P45-Q45-R45-S45-T45+U45+V45-AT45+AQ45</f>
        <v>-1.884797</v>
      </c>
      <c r="X45" s="129" t="n">
        <f aca="false">W45-AN45</f>
        <v>-1.884797</v>
      </c>
      <c r="Y45" s="102"/>
      <c r="Z45" s="129"/>
      <c r="AA45" s="102"/>
      <c r="AB45" s="102" t="n">
        <f aca="false">AB44-(AP44/1.9835)</f>
        <v>0</v>
      </c>
      <c r="AC45" s="102"/>
      <c r="AD45" s="129" t="n">
        <v>0</v>
      </c>
      <c r="AE45" s="131" t="n">
        <v>1.7</v>
      </c>
      <c r="AF45" s="132" t="n">
        <v>1.3</v>
      </c>
      <c r="AG45" s="472" t="n">
        <v>40</v>
      </c>
      <c r="AH45" s="416" t="n">
        <f aca="false">AH44-AG45</f>
        <v>5264.25787748929</v>
      </c>
      <c r="AI45" s="102"/>
      <c r="AJ45" s="128" t="n">
        <f aca="false">N45+O45+P45+Q45+R45+S45+T45+W45+AD45+AG45</f>
        <v>46.3</v>
      </c>
      <c r="AK45" s="129" t="n">
        <f aca="false">IF(L45&lt;0,L45*-1,0)</f>
        <v>4.54637005293674</v>
      </c>
      <c r="AL45" s="129" t="n">
        <f aca="false">AJ45+AK45</f>
        <v>50.8463700529367</v>
      </c>
      <c r="AM45" s="205" t="n">
        <f aca="false">AM44+(U45*1.9835)</f>
        <v>16266.48515</v>
      </c>
      <c r="AN45" s="130"/>
      <c r="AO45" s="130"/>
      <c r="AP45" s="149" t="n">
        <f aca="false">20*(Y45*1.9835+AB45*1.9835)/E45</f>
        <v>0</v>
      </c>
      <c r="AQ45" s="149"/>
      <c r="AR45" s="149"/>
      <c r="AS45" s="102"/>
      <c r="AT45" s="166"/>
      <c r="AU45" s="169" t="n">
        <f aca="false">O45</f>
        <v>0</v>
      </c>
      <c r="AV45" s="548" t="n">
        <v>0</v>
      </c>
      <c r="AW45" s="200" t="n">
        <v>54</v>
      </c>
      <c r="AX45" s="206" t="n">
        <v>31</v>
      </c>
      <c r="AY45" s="280"/>
      <c r="AZ45" s="235" t="n">
        <f aca="false">SUM(N45,P45:T45)</f>
        <v>8.184797</v>
      </c>
    </row>
    <row r="46" customFormat="false" ht="3" hidden="false" customHeight="true" outlineLevel="0" collapsed="false">
      <c r="A46" s="216"/>
      <c r="B46" s="237"/>
      <c r="C46" s="218"/>
      <c r="D46" s="219"/>
      <c r="E46" s="218"/>
      <c r="F46" s="220"/>
      <c r="G46" s="219"/>
      <c r="H46" s="545"/>
      <c r="I46" s="219"/>
      <c r="J46" s="219"/>
      <c r="K46" s="219"/>
      <c r="L46" s="219"/>
      <c r="M46" s="222" t="n">
        <v>0</v>
      </c>
      <c r="N46" s="219"/>
      <c r="O46" s="219"/>
      <c r="P46" s="223"/>
      <c r="Q46" s="219"/>
      <c r="R46" s="219"/>
      <c r="S46" s="219"/>
      <c r="T46" s="224"/>
      <c r="U46" s="219"/>
      <c r="V46" s="219" t="n">
        <v>0</v>
      </c>
      <c r="W46" s="219"/>
      <c r="X46" s="219"/>
      <c r="Y46" s="218"/>
      <c r="Z46" s="219"/>
      <c r="AA46" s="218"/>
      <c r="AB46" s="218"/>
      <c r="AC46" s="218"/>
      <c r="AD46" s="219"/>
      <c r="AE46" s="222"/>
      <c r="AF46" s="226"/>
      <c r="AG46" s="219"/>
      <c r="AH46" s="219"/>
      <c r="AI46" s="219"/>
      <c r="AJ46" s="219"/>
      <c r="AK46" s="219"/>
      <c r="AL46" s="219"/>
      <c r="AM46" s="227"/>
      <c r="AN46" s="225"/>
      <c r="AO46" s="225"/>
      <c r="AP46" s="223"/>
      <c r="AQ46" s="223"/>
      <c r="AR46" s="223"/>
      <c r="AS46" s="228"/>
      <c r="AT46" s="228"/>
      <c r="AU46" s="228"/>
      <c r="AV46" s="471"/>
      <c r="AW46" s="228"/>
      <c r="AX46" s="228"/>
      <c r="AY46" s="242"/>
      <c r="AZ46" s="303"/>
    </row>
    <row r="47" customFormat="false" ht="12.95" hidden="false" customHeight="true" outlineLevel="0" collapsed="false">
      <c r="A47" s="175" t="s">
        <v>99</v>
      </c>
      <c r="B47" s="198"/>
      <c r="C47" s="102"/>
      <c r="D47" s="102"/>
      <c r="E47" s="102"/>
      <c r="F47" s="199" t="n">
        <f aca="false">SUM(F15:F45)</f>
        <v>-2842.45021426771</v>
      </c>
      <c r="G47" s="102" t="n">
        <f aca="false">SUM(G15:G45)</f>
        <v>2996</v>
      </c>
      <c r="H47" s="200" t="n">
        <f aca="false">SUM(H15:H45)</f>
        <v>2.67</v>
      </c>
      <c r="I47" s="102" t="n">
        <f aca="false">SUM(I15:I45)</f>
        <v>2998.67</v>
      </c>
      <c r="J47" s="102" t="n">
        <f aca="false">SUM(J15:J45)</f>
        <v>424.958911015881</v>
      </c>
      <c r="K47" s="102" t="n">
        <f aca="false">SUM(K15:K45)</f>
        <v>3423.62891101588</v>
      </c>
      <c r="L47" s="102" t="n">
        <f aca="false">SUM(L15:L45)</f>
        <v>12.4797857322914</v>
      </c>
      <c r="M47" s="201" t="n">
        <f aca="false">SUM(M15:M45)</f>
        <v>2534.7</v>
      </c>
      <c r="N47" s="102" t="n">
        <f aca="false">SUM(N15:N45)</f>
        <v>37.69594</v>
      </c>
      <c r="O47" s="102" t="n">
        <f aca="false">SUM(O15:O45)</f>
        <v>920.64</v>
      </c>
      <c r="P47" s="149" t="n">
        <f aca="false">SUM(P15:P45)</f>
        <v>0</v>
      </c>
      <c r="Q47" s="102" t="n">
        <f aca="false">SUM(Q15:Q45)</f>
        <v>62.41788</v>
      </c>
      <c r="R47" s="102" t="n">
        <f aca="false">SUM(R15:R45)</f>
        <v>109.78</v>
      </c>
      <c r="S47" s="102" t="n">
        <f aca="false">SUM(S15:S45)</f>
        <v>6.41</v>
      </c>
      <c r="T47" s="202" t="n">
        <f aca="false">SUM(T15:T45)</f>
        <v>2.25652</v>
      </c>
      <c r="U47" s="102" t="n">
        <f aca="false">SUM(U15:U45)</f>
        <v>688</v>
      </c>
      <c r="V47" s="102" t="n">
        <f aca="false">SUM(V15:V45)</f>
        <v>706.4</v>
      </c>
      <c r="W47" s="102" t="n">
        <f aca="false">SUM(W15:W45)</f>
        <v>2789.89966</v>
      </c>
      <c r="X47" s="102" t="n">
        <f aca="false">SUM(X15:X45)</f>
        <v>1919.89966</v>
      </c>
      <c r="Y47" s="102"/>
      <c r="Z47" s="102"/>
      <c r="AA47" s="102"/>
      <c r="AB47" s="102"/>
      <c r="AC47" s="167" t="n">
        <f aca="false">SUM(AC15:AC45)</f>
        <v>11766.38079</v>
      </c>
      <c r="AD47" s="102" t="n">
        <f aca="false">SUM(AD15:AD45)</f>
        <v>476.5</v>
      </c>
      <c r="AE47" s="201"/>
      <c r="AF47" s="203"/>
      <c r="AG47" s="102" t="n">
        <f aca="false">SUM(AG15:AG45)</f>
        <v>1448</v>
      </c>
      <c r="AH47" s="102"/>
      <c r="AI47" s="102" t="n">
        <f aca="false">SUM(AI15:AI45)</f>
        <v>0</v>
      </c>
      <c r="AJ47" s="102" t="n">
        <f aca="false">SUM(AJ15:AJ45)</f>
        <v>5853.6</v>
      </c>
      <c r="AK47" s="102" t="n">
        <f aca="false">SUM(AK15:AK45)</f>
        <v>412.47912528359</v>
      </c>
      <c r="AL47" s="102" t="n">
        <f aca="false">SUM(AL15:AL45)</f>
        <v>6266.07912528359</v>
      </c>
      <c r="AM47" s="205"/>
      <c r="AN47" s="130" t="n">
        <f aca="false">SUM(AN15:AN45)</f>
        <v>870</v>
      </c>
      <c r="AO47" s="130"/>
      <c r="AP47" s="149"/>
      <c r="AQ47" s="149"/>
      <c r="AR47" s="130" t="n">
        <f aca="false">SUM(AR15:AR45)</f>
        <v>21.4095507</v>
      </c>
      <c r="AS47" s="200" t="n">
        <f aca="false">SUM(AS15:AS45)</f>
        <v>0</v>
      </c>
      <c r="AT47" s="166"/>
      <c r="AU47" s="200" t="n">
        <f aca="false">SUM(AU15:AU45)</f>
        <v>920.64</v>
      </c>
      <c r="AV47" s="307" t="n">
        <f aca="false">SUM(AV15:AV45)</f>
        <v>1.38</v>
      </c>
      <c r="AW47" s="200" t="n">
        <f aca="false">AVERAGE(AW15:AW45)</f>
        <v>63.9354838709677</v>
      </c>
      <c r="AX47" s="200" t="n">
        <f aca="false">AVERAGE(AX15:AX45)</f>
        <v>39.7096774193548</v>
      </c>
      <c r="AY47" s="208" t="s">
        <v>120</v>
      </c>
      <c r="AZ47" s="322" t="n">
        <f aca="false">SUM(AZ15:AZ45)</f>
        <v>218.56034</v>
      </c>
    </row>
    <row r="48" customFormat="false" ht="12.95" hidden="false" customHeight="true" outlineLevel="0" collapsed="false">
      <c r="A48" s="175" t="s">
        <v>101</v>
      </c>
      <c r="B48" s="198"/>
      <c r="C48" s="102"/>
      <c r="D48" s="102" t="n">
        <f aca="false">SUM(D15:D45)</f>
        <v>-5638</v>
      </c>
      <c r="E48" s="102"/>
      <c r="F48" s="199" t="n">
        <f aca="false">F47*$D$2</f>
        <v>-5638</v>
      </c>
      <c r="G48" s="102" t="n">
        <f aca="false">G47*$D$2</f>
        <v>5942.566</v>
      </c>
      <c r="H48" s="200" t="n">
        <f aca="false">H47*$D$2</f>
        <v>5.295945</v>
      </c>
      <c r="I48" s="102" t="n">
        <f aca="false">I47*$D$2</f>
        <v>5947.861945</v>
      </c>
      <c r="J48" s="102" t="n">
        <f aca="false">J47*$D$2</f>
        <v>842.906</v>
      </c>
      <c r="K48" s="102" t="n">
        <f aca="false">K47*$D$2</f>
        <v>6790.767945</v>
      </c>
      <c r="L48" s="102" t="n">
        <f aca="false">L47*$D$2</f>
        <v>24.7536550000001</v>
      </c>
      <c r="M48" s="201" t="n">
        <f aca="false">M47*$D$2</f>
        <v>5027.57745</v>
      </c>
      <c r="N48" s="102" t="n">
        <f aca="false">N47*$D$2</f>
        <v>74.76989699</v>
      </c>
      <c r="O48" s="102" t="n">
        <f aca="false">O47*$D$2</f>
        <v>1826.08944</v>
      </c>
      <c r="P48" s="149" t="n">
        <f aca="false">P47*$D$2</f>
        <v>0</v>
      </c>
      <c r="Q48" s="102" t="n">
        <f aca="false">Q47*$D$2</f>
        <v>123.80586498</v>
      </c>
      <c r="R48" s="102" t="n">
        <f aca="false">R47*$D$2</f>
        <v>217.74863</v>
      </c>
      <c r="S48" s="102" t="n">
        <f aca="false">S47*$D$2</f>
        <v>12.714235</v>
      </c>
      <c r="T48" s="202" t="n">
        <f aca="false">T47*$D$2</f>
        <v>4.47580742</v>
      </c>
      <c r="U48" s="102" t="n">
        <f aca="false">U47*$D$2</f>
        <v>1364.648</v>
      </c>
      <c r="V48" s="102" t="n">
        <f aca="false">V47*$D$2</f>
        <v>1401.1444</v>
      </c>
      <c r="W48" s="102" t="n">
        <f aca="false">W47*$D$2</f>
        <v>5533.76597561</v>
      </c>
      <c r="X48" s="102" t="n">
        <f aca="false">X47*$D$2</f>
        <v>3808.12097561</v>
      </c>
      <c r="Y48" s="102"/>
      <c r="Z48" s="102"/>
      <c r="AA48" s="102"/>
      <c r="AB48" s="102"/>
      <c r="AC48" s="167" t="n">
        <f aca="false">AC47*$D$2</f>
        <v>23338.616296965</v>
      </c>
      <c r="AD48" s="102" t="n">
        <f aca="false">AD47*$D$2</f>
        <v>945.13775</v>
      </c>
      <c r="AE48" s="201"/>
      <c r="AF48" s="203"/>
      <c r="AG48" s="102" t="n">
        <f aca="false">AG47*$D$2</f>
        <v>2872.108</v>
      </c>
      <c r="AH48" s="102"/>
      <c r="AI48" s="102" t="n">
        <f aca="false">AI47*$D$2</f>
        <v>0</v>
      </c>
      <c r="AJ48" s="102" t="n">
        <f aca="false">AJ47*$D$2</f>
        <v>11610.6156</v>
      </c>
      <c r="AK48" s="102" t="n">
        <f aca="false">AK47*$D$2</f>
        <v>818.152345</v>
      </c>
      <c r="AL48" s="102" t="n">
        <f aca="false">AL47*$D$2</f>
        <v>12428.767945</v>
      </c>
      <c r="AM48" s="205"/>
      <c r="AN48" s="102" t="n">
        <f aca="false">AN47*$D$2</f>
        <v>1725.645</v>
      </c>
      <c r="AO48" s="130"/>
      <c r="AP48" s="149" t="n">
        <f aca="false">SUM(AP15:AP45)</f>
        <v>0</v>
      </c>
      <c r="AQ48" s="149"/>
      <c r="AR48" s="129" t="n">
        <f aca="false">AR47*$D$2</f>
        <v>42.46584381345</v>
      </c>
      <c r="AS48" s="200" t="n">
        <f aca="false">AS47*$D$2</f>
        <v>0</v>
      </c>
      <c r="AT48" s="166"/>
      <c r="AU48" s="200" t="n">
        <f aca="false">AU47*$D$2</f>
        <v>1826.08944</v>
      </c>
      <c r="AV48" s="307"/>
      <c r="AW48" s="200" t="n">
        <f aca="false">MAX(AW15:AW45)</f>
        <v>82</v>
      </c>
      <c r="AX48" s="200" t="n">
        <f aca="false">MAX(AX15:AX45)</f>
        <v>51</v>
      </c>
      <c r="AY48" s="208" t="s">
        <v>102</v>
      </c>
      <c r="AZ48" s="322" t="n">
        <f aca="false">AZ47*$D$2</f>
        <v>433.51443439</v>
      </c>
    </row>
    <row r="49" customFormat="false" ht="3" hidden="false" customHeight="true" outlineLevel="0" collapsed="false">
      <c r="A49" s="216"/>
      <c r="B49" s="237"/>
      <c r="C49" s="218"/>
      <c r="D49" s="218"/>
      <c r="E49" s="218"/>
      <c r="F49" s="242"/>
      <c r="G49" s="218"/>
      <c r="H49" s="228"/>
      <c r="I49" s="218"/>
      <c r="J49" s="218"/>
      <c r="K49" s="218"/>
      <c r="L49" s="218"/>
      <c r="M49" s="243"/>
      <c r="N49" s="218"/>
      <c r="O49" s="218"/>
      <c r="P49" s="223"/>
      <c r="Q49" s="218"/>
      <c r="R49" s="218"/>
      <c r="S49" s="218"/>
      <c r="T49" s="224"/>
      <c r="U49" s="218"/>
      <c r="V49" s="218"/>
      <c r="W49" s="218"/>
      <c r="X49" s="218"/>
      <c r="Y49" s="218"/>
      <c r="Z49" s="218"/>
      <c r="AA49" s="218"/>
      <c r="AB49" s="218"/>
      <c r="AC49" s="476"/>
      <c r="AD49" s="218"/>
      <c r="AE49" s="243"/>
      <c r="AF49" s="244"/>
      <c r="AG49" s="218"/>
      <c r="AH49" s="219"/>
      <c r="AI49" s="218"/>
      <c r="AJ49" s="218"/>
      <c r="AK49" s="218"/>
      <c r="AL49" s="218"/>
      <c r="AM49" s="245"/>
      <c r="AN49" s="225"/>
      <c r="AO49" s="225"/>
      <c r="AP49" s="223"/>
      <c r="AQ49" s="223"/>
      <c r="AR49" s="223"/>
      <c r="AS49" s="228"/>
      <c r="AT49" s="228"/>
      <c r="AU49" s="228"/>
      <c r="AV49" s="245"/>
      <c r="AW49" s="218"/>
      <c r="AX49" s="218"/>
      <c r="AY49" s="242"/>
      <c r="AZ49" s="303"/>
    </row>
    <row r="50" customFormat="false" ht="12.95" hidden="false" customHeight="true" outlineLevel="0" collapsed="false">
      <c r="A50" s="175" t="s">
        <v>103</v>
      </c>
      <c r="B50" s="198"/>
      <c r="C50" s="102"/>
      <c r="D50" s="102"/>
      <c r="E50" s="102"/>
      <c r="F50" s="199" t="n">
        <f aca="false">F12+F47</f>
        <v>13035.5432316612</v>
      </c>
      <c r="G50" s="102" t="n">
        <f aca="false">G12+G47</f>
        <v>120375</v>
      </c>
      <c r="H50" s="200" t="n">
        <f aca="false">H12+H47</f>
        <v>5303.47</v>
      </c>
      <c r="I50" s="102" t="n">
        <f aca="false">I12+I47</f>
        <v>125678.47</v>
      </c>
      <c r="J50" s="102" t="n">
        <f aca="false">J12+J47</f>
        <v>15245.5339803378</v>
      </c>
      <c r="K50" s="102" t="n">
        <f aca="false">K12+K47</f>
        <v>140924.003980338</v>
      </c>
      <c r="L50" s="102" t="n">
        <f aca="false">L12+L47</f>
        <v>12061.3732316612</v>
      </c>
      <c r="M50" s="201" t="n">
        <f aca="false">M12+M47</f>
        <v>43942.6</v>
      </c>
      <c r="N50" s="102" t="n">
        <f aca="false">N12+N47</f>
        <v>359.996227</v>
      </c>
      <c r="O50" s="102" t="n">
        <f aca="false">O12+O47</f>
        <v>14346.0765</v>
      </c>
      <c r="P50" s="149" t="n">
        <f aca="false">P12+P47</f>
        <v>7.31</v>
      </c>
      <c r="Q50" s="102"/>
      <c r="R50" s="102"/>
      <c r="S50" s="102"/>
      <c r="T50" s="202"/>
      <c r="U50" s="102" t="n">
        <f aca="false">U12+U47</f>
        <v>19328</v>
      </c>
      <c r="V50" s="102" t="n">
        <f aca="false">V12+V47</f>
        <v>11199.5</v>
      </c>
      <c r="W50" s="102" t="n">
        <f aca="false">W12+W47</f>
        <v>60730.935733</v>
      </c>
      <c r="X50" s="102" t="n">
        <f aca="false">X12+X47</f>
        <v>59280.935733</v>
      </c>
      <c r="Y50" s="78"/>
      <c r="Z50" s="102"/>
      <c r="AA50" s="102"/>
      <c r="AB50" s="102"/>
      <c r="AC50" s="167" t="n">
        <f aca="false">AC12+AC47</f>
        <v>12928.929978</v>
      </c>
      <c r="AD50" s="102" t="n">
        <f aca="false">AD12+AD47</f>
        <v>24978.4</v>
      </c>
      <c r="AE50" s="201"/>
      <c r="AF50" s="203"/>
      <c r="AG50" s="102"/>
      <c r="AH50" s="102"/>
      <c r="AI50" s="102" t="n">
        <f aca="false">AI12+AI47</f>
        <v>0</v>
      </c>
      <c r="AJ50" s="102" t="n">
        <f aca="false">AJ12+AJ47</f>
        <v>124704.3</v>
      </c>
      <c r="AK50" s="102" t="n">
        <f aca="false">AK12+AK47</f>
        <v>3184.16074867658</v>
      </c>
      <c r="AL50" s="102" t="n">
        <f aca="false">AL12+AL47</f>
        <v>127888.460748677</v>
      </c>
      <c r="AM50" s="205"/>
      <c r="AN50" s="130"/>
      <c r="AO50" s="130"/>
      <c r="AP50" s="149"/>
      <c r="AQ50" s="200" t="n">
        <f aca="false">AQ12+AQ47</f>
        <v>3024.9585</v>
      </c>
      <c r="AR50" s="130" t="n">
        <f aca="false">AR47</f>
        <v>21.4095507</v>
      </c>
      <c r="AS50" s="200" t="n">
        <f aca="false">AS12+AS47</f>
        <v>743.64</v>
      </c>
      <c r="AT50" s="200" t="n">
        <f aca="false">AT12+AT47</f>
        <v>0</v>
      </c>
      <c r="AU50" s="200" t="n">
        <f aca="false">AU13+AU47</f>
        <v>1997.39</v>
      </c>
      <c r="AV50" s="307"/>
      <c r="AW50" s="200" t="n">
        <f aca="false">MIN(AW15:AW45)</f>
        <v>45</v>
      </c>
      <c r="AX50" s="200" t="n">
        <f aca="false">MIN(AX15:AX45)</f>
        <v>23</v>
      </c>
      <c r="AY50" s="208" t="s">
        <v>104</v>
      </c>
      <c r="AZ50" s="322" t="n">
        <f aca="false">AZ12+AZ47</f>
        <v>218.56034</v>
      </c>
    </row>
    <row r="51" customFormat="false" ht="12.95" hidden="false" customHeight="true" outlineLevel="0" collapsed="false">
      <c r="A51" s="175" t="s">
        <v>105</v>
      </c>
      <c r="B51" s="198"/>
      <c r="C51" s="102"/>
      <c r="D51" s="102"/>
      <c r="E51" s="102"/>
      <c r="F51" s="199" t="n">
        <f aca="false">F50*$D$2</f>
        <v>25856</v>
      </c>
      <c r="G51" s="102" t="n">
        <f aca="false">G50*$D$2</f>
        <v>238763.8125</v>
      </c>
      <c r="H51" s="200" t="n">
        <f aca="false">H50*$D$2</f>
        <v>10519.432745</v>
      </c>
      <c r="I51" s="102" t="n">
        <f aca="false">I50*$D$2</f>
        <v>249283.245245</v>
      </c>
      <c r="J51" s="102" t="n">
        <f aca="false">J50*$D$2</f>
        <v>30239.51665</v>
      </c>
      <c r="K51" s="102" t="n">
        <f aca="false">K50*$D$2</f>
        <v>279522.761895</v>
      </c>
      <c r="L51" s="102" t="n">
        <f aca="false">L50*$D$2</f>
        <v>23923.733805</v>
      </c>
      <c r="M51" s="201" t="n">
        <f aca="false">M50*$D$2</f>
        <v>87160.1471</v>
      </c>
      <c r="N51" s="102" t="n">
        <f aca="false">N50*$D$2</f>
        <v>714.0525162545</v>
      </c>
      <c r="O51" s="102" t="n">
        <f aca="false">O50*$D$2</f>
        <v>28455.44273775</v>
      </c>
      <c r="P51" s="149" t="n">
        <f aca="false">P50*$D$2</f>
        <v>14.499385</v>
      </c>
      <c r="Q51" s="102"/>
      <c r="R51" s="102"/>
      <c r="S51" s="102"/>
      <c r="T51" s="202"/>
      <c r="U51" s="102" t="n">
        <f aca="false">U50*$D$2</f>
        <v>38337.088</v>
      </c>
      <c r="V51" s="102" t="n">
        <f aca="false">V50*$D$2</f>
        <v>22214.20825</v>
      </c>
      <c r="W51" s="102" t="n">
        <f aca="false">W50*$D$2</f>
        <v>120459.811026406</v>
      </c>
      <c r="X51" s="102" t="n">
        <f aca="false">X50*$D$2</f>
        <v>117583.736026406</v>
      </c>
      <c r="Y51" s="78"/>
      <c r="Z51" s="102"/>
      <c r="AA51" s="102"/>
      <c r="AB51" s="102"/>
      <c r="AC51" s="167" t="n">
        <f aca="false">AC50*$D$2</f>
        <v>25644.532611363</v>
      </c>
      <c r="AD51" s="102" t="n">
        <f aca="false">AD50*$D$2</f>
        <v>49544.6564</v>
      </c>
      <c r="AE51" s="201"/>
      <c r="AF51" s="203"/>
      <c r="AG51" s="102"/>
      <c r="AH51" s="102"/>
      <c r="AI51" s="102" t="n">
        <f aca="false">AI50*$D$2</f>
        <v>0</v>
      </c>
      <c r="AJ51" s="102" t="n">
        <f aca="false">AJ50*$D$2</f>
        <v>247350.97905</v>
      </c>
      <c r="AK51" s="102" t="n">
        <f aca="false">AK50*$D$2</f>
        <v>6315.78284499999</v>
      </c>
      <c r="AL51" s="102" t="n">
        <f aca="false">AL50*$D$2</f>
        <v>253666.761895</v>
      </c>
      <c r="AM51" s="205"/>
      <c r="AN51" s="130"/>
      <c r="AO51" s="130"/>
      <c r="AP51" s="149" t="n">
        <f aca="false">AP12+AP48</f>
        <v>899.756307377171</v>
      </c>
      <c r="AQ51" s="200" t="n">
        <f aca="false">AQ50*$D$2</f>
        <v>6000.00518475</v>
      </c>
      <c r="AR51" s="130" t="n">
        <f aca="false">AR50*$D$2</f>
        <v>42.46584381345</v>
      </c>
      <c r="AS51" s="200" t="n">
        <f aca="false">AS50*$D$2</f>
        <v>1475.00994</v>
      </c>
      <c r="AT51" s="200" t="n">
        <f aca="false">AT50*$D$2</f>
        <v>0</v>
      </c>
      <c r="AU51" s="200" t="n">
        <f aca="false">AU50*$D$2</f>
        <v>3961.823065</v>
      </c>
      <c r="AV51" s="307"/>
      <c r="AW51" s="200"/>
      <c r="AX51" s="200"/>
      <c r="AY51" s="280"/>
      <c r="AZ51" s="322" t="n">
        <f aca="false">AZ50*$D$2</f>
        <v>433.51443439</v>
      </c>
    </row>
    <row r="52" customFormat="false" ht="3" hidden="false" customHeight="true" outlineLevel="0" collapsed="false">
      <c r="A52" s="216"/>
      <c r="B52" s="237"/>
      <c r="C52" s="218"/>
      <c r="D52" s="218"/>
      <c r="E52" s="218"/>
      <c r="F52" s="242"/>
      <c r="G52" s="218"/>
      <c r="H52" s="228"/>
      <c r="I52" s="218"/>
      <c r="J52" s="218"/>
      <c r="K52" s="218"/>
      <c r="L52" s="218"/>
      <c r="M52" s="243"/>
      <c r="N52" s="218"/>
      <c r="O52" s="218"/>
      <c r="P52" s="223"/>
      <c r="Q52" s="218"/>
      <c r="R52" s="218"/>
      <c r="S52" s="218"/>
      <c r="T52" s="224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43"/>
      <c r="AF52" s="244"/>
      <c r="AG52" s="218"/>
      <c r="AH52" s="218"/>
      <c r="AI52" s="218"/>
      <c r="AJ52" s="218"/>
      <c r="AK52" s="218"/>
      <c r="AL52" s="218"/>
      <c r="AM52" s="471"/>
      <c r="AN52" s="225"/>
      <c r="AO52" s="225"/>
      <c r="AP52" s="223"/>
      <c r="AQ52" s="223"/>
      <c r="AR52" s="223"/>
      <c r="AS52" s="228"/>
      <c r="AT52" s="228"/>
      <c r="AU52" s="228"/>
      <c r="AV52" s="471"/>
      <c r="AW52" s="223"/>
      <c r="AX52" s="223"/>
      <c r="AY52" s="242"/>
      <c r="AZ52" s="303"/>
    </row>
    <row r="53" customFormat="false" ht="12.95" hidden="false" customHeight="true" outlineLevel="0" collapsed="false">
      <c r="A53" s="175" t="s">
        <v>106</v>
      </c>
      <c r="B53" s="198"/>
      <c r="C53" s="102"/>
      <c r="D53" s="102"/>
      <c r="E53" s="102"/>
      <c r="F53" s="199" t="n">
        <f aca="false">F13+F47</f>
        <v>9099.06730526845</v>
      </c>
      <c r="G53" s="102" t="n">
        <f aca="false">G13+G47</f>
        <v>127078</v>
      </c>
      <c r="H53" s="200" t="n">
        <f aca="false">H13+H47</f>
        <v>5532.06</v>
      </c>
      <c r="I53" s="102" t="n">
        <f aca="false">I13+I47</f>
        <v>132610.06</v>
      </c>
      <c r="J53" s="102" t="n">
        <f aca="false">J13+J47</f>
        <v>16987.8995840686</v>
      </c>
      <c r="K53" s="102" t="n">
        <f aca="false">K13+K47</f>
        <v>149597.959584069</v>
      </c>
      <c r="L53" s="102" t="n">
        <f aca="false">L13+L47</f>
        <v>12894.8073052685</v>
      </c>
      <c r="M53" s="201" t="n">
        <f aca="false">M13+M47</f>
        <v>44638</v>
      </c>
      <c r="N53" s="102" t="n">
        <f aca="false">N13+N47</f>
        <v>359.996227</v>
      </c>
      <c r="O53" s="102" t="n">
        <f aca="false">O13+O47</f>
        <v>14346.0765</v>
      </c>
      <c r="P53" s="149"/>
      <c r="Q53" s="102" t="n">
        <f aca="false">Q13+Q47</f>
        <v>761.82474</v>
      </c>
      <c r="R53" s="200" t="n">
        <f aca="false">R13+R47</f>
        <v>1188.81</v>
      </c>
      <c r="S53" s="102" t="n">
        <f aca="false">S13+S47</f>
        <v>722.12</v>
      </c>
      <c r="T53" s="202" t="n">
        <f aca="false">T13+T47</f>
        <v>-20.32064</v>
      </c>
      <c r="U53" s="102" t="n">
        <f aca="false">U13+U47</f>
        <v>25719.6</v>
      </c>
      <c r="V53" s="102" t="n">
        <f aca="false">V13+V47</f>
        <v>11240</v>
      </c>
      <c r="W53" s="102" t="n">
        <f aca="false">W13+W47</f>
        <v>67251.770513</v>
      </c>
      <c r="X53" s="102" t="n">
        <f aca="false">X13+X47</f>
        <v>65761.270513</v>
      </c>
      <c r="Y53" s="102"/>
      <c r="Z53" s="102"/>
      <c r="AA53" s="102"/>
      <c r="AB53" s="102"/>
      <c r="AC53" s="102"/>
      <c r="AD53" s="102"/>
      <c r="AE53" s="201"/>
      <c r="AF53" s="203"/>
      <c r="AG53" s="102" t="n">
        <f aca="false">AG13+AG47</f>
        <v>29834</v>
      </c>
      <c r="AH53" s="102" t="n">
        <f aca="false">AH45</f>
        <v>5264.25787748929</v>
      </c>
      <c r="AI53" s="102" t="n">
        <f aca="false">AI13+AI47</f>
        <v>14493</v>
      </c>
      <c r="AJ53" s="102" t="n">
        <f aca="false">AJ13+AJ47</f>
        <v>136405.8</v>
      </c>
      <c r="AK53" s="102" t="n">
        <f aca="false">AK13+AK47</f>
        <v>4093.0922788001</v>
      </c>
      <c r="AL53" s="102" t="n">
        <f aca="false">AL13+AL47</f>
        <v>140498.8922788</v>
      </c>
      <c r="AM53" s="205"/>
      <c r="AN53" s="130" t="n">
        <f aca="false">AN13+AN47</f>
        <v>1490.5</v>
      </c>
      <c r="AO53" s="130"/>
      <c r="AP53" s="149"/>
      <c r="AQ53" s="149"/>
      <c r="AR53" s="149"/>
      <c r="AS53" s="200" t="n">
        <f aca="false">AS13+AS47</f>
        <v>0</v>
      </c>
      <c r="AT53" s="200"/>
      <c r="AU53" s="172"/>
      <c r="AV53" s="549" t="n">
        <f aca="false">AV13+AV47</f>
        <v>12.64</v>
      </c>
      <c r="AW53" s="200"/>
      <c r="AX53" s="200"/>
      <c r="AY53" s="280"/>
      <c r="AZ53" s="322" t="n">
        <f aca="false">AZ13+AZ47</f>
        <v>3026.596284</v>
      </c>
    </row>
    <row r="54" customFormat="false" ht="12.95" hidden="false" customHeight="true" outlineLevel="0" collapsed="false">
      <c r="A54" s="175" t="s">
        <v>107</v>
      </c>
      <c r="B54" s="198"/>
      <c r="C54" s="102"/>
      <c r="D54" s="102" t="n">
        <f aca="false">D13+D48</f>
        <v>18048</v>
      </c>
      <c r="E54" s="102" t="n">
        <f aca="false">E45</f>
        <v>125391</v>
      </c>
      <c r="F54" s="199" t="n">
        <f aca="false">F53*$D$2</f>
        <v>18048</v>
      </c>
      <c r="G54" s="102" t="n">
        <f aca="false">G53*$D$2</f>
        <v>252059.213</v>
      </c>
      <c r="H54" s="200" t="n">
        <f aca="false">H53*$D$2</f>
        <v>10972.84101</v>
      </c>
      <c r="I54" s="102" t="n">
        <f aca="false">I53*$D$2</f>
        <v>263032.05401</v>
      </c>
      <c r="J54" s="102" t="n">
        <f aca="false">J53*$D$2</f>
        <v>33695.498825</v>
      </c>
      <c r="K54" s="102" t="n">
        <f aca="false">K53*$D$2</f>
        <v>296727.552835</v>
      </c>
      <c r="L54" s="102" t="n">
        <f aca="false">L53*$D$2</f>
        <v>25576.85029</v>
      </c>
      <c r="M54" s="201" t="n">
        <f aca="false">M53*$D$2</f>
        <v>88539.473</v>
      </c>
      <c r="N54" s="102" t="n">
        <f aca="false">N53*$D$2</f>
        <v>714.0525162545</v>
      </c>
      <c r="O54" s="102" t="n">
        <f aca="false">O53*$D$2</f>
        <v>28455.44273775</v>
      </c>
      <c r="P54" s="149"/>
      <c r="Q54" s="200" t="n">
        <f aca="false">Q53*$D$2</f>
        <v>1511.07937179</v>
      </c>
      <c r="R54" s="200" t="n">
        <f aca="false">R53*$D$2</f>
        <v>2358.004635</v>
      </c>
      <c r="S54" s="211" t="n">
        <f aca="false">S53*$D$2</f>
        <v>1432.32502</v>
      </c>
      <c r="T54" s="212" t="n">
        <f aca="false">T53*$D$2</f>
        <v>-40.30598944</v>
      </c>
      <c r="U54" s="102" t="n">
        <f aca="false">U53*$D$2</f>
        <v>51014.8266</v>
      </c>
      <c r="V54" s="102" t="n">
        <f aca="false">V53*$D$2</f>
        <v>22294.54</v>
      </c>
      <c r="W54" s="102" t="n">
        <f aca="false">W53*$D$2</f>
        <v>133393.886812536</v>
      </c>
      <c r="X54" s="102" t="n">
        <f aca="false">X53*$D$2</f>
        <v>130437.480062536</v>
      </c>
      <c r="Y54" s="102"/>
      <c r="Z54" s="102"/>
      <c r="AA54" s="102"/>
      <c r="AB54" s="102"/>
      <c r="AC54" s="102"/>
      <c r="AD54" s="102"/>
      <c r="AE54" s="251"/>
      <c r="AF54" s="252"/>
      <c r="AG54" s="102" t="n">
        <f aca="false">AG53*$D$2</f>
        <v>59175.739</v>
      </c>
      <c r="AH54" s="102" t="n">
        <f aca="false">AH53*$D$2</f>
        <v>10441.6555</v>
      </c>
      <c r="AI54" s="102" t="n">
        <f aca="false">AI53*$D$2</f>
        <v>28746.8655</v>
      </c>
      <c r="AJ54" s="102" t="n">
        <f aca="false">AJ53*$D$2</f>
        <v>270560.9043</v>
      </c>
      <c r="AK54" s="102" t="n">
        <f aca="false">AK53*$D$2</f>
        <v>8118.64853499999</v>
      </c>
      <c r="AL54" s="102" t="n">
        <f aca="false">AL53*$D$2</f>
        <v>278679.552835</v>
      </c>
      <c r="AM54" s="205" t="n">
        <f aca="false">AM45</f>
        <v>16266.48515</v>
      </c>
      <c r="AN54" s="130" t="n">
        <f aca="false">AN53*$D$2</f>
        <v>2956.40675</v>
      </c>
      <c r="AO54" s="130"/>
      <c r="AP54" s="149" t="n">
        <f aca="false">AP13+AP48</f>
        <v>899.756307377171</v>
      </c>
      <c r="AQ54" s="149"/>
      <c r="AR54" s="149"/>
      <c r="AS54" s="200" t="n">
        <f aca="false">AS53*$D$2</f>
        <v>0</v>
      </c>
      <c r="AT54" s="200"/>
      <c r="AU54" s="172"/>
      <c r="AV54" s="307"/>
      <c r="AW54" s="200"/>
      <c r="AX54" s="200"/>
      <c r="AY54" s="280"/>
      <c r="AZ54" s="322" t="n">
        <f aca="false">AZ53*$D$2</f>
        <v>6003.253729314</v>
      </c>
    </row>
    <row r="55" customFormat="false" ht="3" hidden="false" customHeight="true" outlineLevel="0" collapsed="false">
      <c r="A55" s="216"/>
      <c r="B55" s="475"/>
      <c r="C55" s="476"/>
      <c r="D55" s="216"/>
      <c r="E55" s="476"/>
      <c r="F55" s="477"/>
      <c r="G55" s="216"/>
      <c r="H55" s="550"/>
      <c r="I55" s="216"/>
      <c r="J55" s="216"/>
      <c r="K55" s="216"/>
      <c r="L55" s="216"/>
      <c r="M55" s="479"/>
      <c r="N55" s="216"/>
      <c r="O55" s="216"/>
      <c r="P55" s="480"/>
      <c r="Q55" s="216"/>
      <c r="R55" s="551"/>
      <c r="S55" s="216"/>
      <c r="T55" s="481"/>
      <c r="U55" s="216"/>
      <c r="V55" s="216"/>
      <c r="W55" s="216"/>
      <c r="X55" s="216"/>
      <c r="Y55" s="476"/>
      <c r="Z55" s="216"/>
      <c r="AA55" s="476"/>
      <c r="AB55" s="476"/>
      <c r="AC55" s="476"/>
      <c r="AD55" s="216"/>
      <c r="AE55" s="222"/>
      <c r="AF55" s="226"/>
      <c r="AG55" s="216"/>
      <c r="AH55" s="476"/>
      <c r="AI55" s="476"/>
      <c r="AJ55" s="216"/>
      <c r="AK55" s="216"/>
      <c r="AL55" s="216"/>
      <c r="AM55" s="475"/>
      <c r="AN55" s="478"/>
      <c r="AO55" s="478"/>
      <c r="AP55" s="480"/>
      <c r="AQ55" s="480"/>
      <c r="AR55" s="480"/>
      <c r="AS55" s="216"/>
      <c r="AT55" s="216"/>
      <c r="AU55" s="216"/>
      <c r="AV55" s="475"/>
      <c r="AW55" s="216"/>
      <c r="AX55" s="216"/>
      <c r="AY55" s="242"/>
      <c r="AZ55" s="303"/>
    </row>
    <row r="56" customFormat="false" ht="11.1" hidden="false" customHeight="true" outlineLevel="0" collapsed="false">
      <c r="G56" s="176"/>
      <c r="H56" s="552"/>
      <c r="I56" s="164"/>
      <c r="N56" s="2"/>
      <c r="Q56" s="169"/>
      <c r="V56" s="166"/>
      <c r="W56" s="1"/>
      <c r="X56" s="1"/>
      <c r="Y56" s="167"/>
      <c r="Z56" s="1"/>
      <c r="AA56" s="167"/>
      <c r="AD56" s="169"/>
      <c r="AE56" s="169"/>
      <c r="AF56" s="169"/>
      <c r="AG56" s="167"/>
      <c r="AJ56" s="170"/>
      <c r="AK56" s="170"/>
      <c r="AL56" s="369"/>
      <c r="AP56" s="67"/>
      <c r="AQ56" s="67"/>
      <c r="AR56" s="67"/>
      <c r="AV56" s="553"/>
      <c r="AW56" s="270"/>
      <c r="AX56" s="397"/>
    </row>
    <row r="57" customFormat="false" ht="11.1" hidden="false" customHeight="true" outlineLevel="0" collapsed="false">
      <c r="A57" s="175"/>
      <c r="B57" s="528"/>
      <c r="C57" s="2"/>
      <c r="D57" s="1"/>
      <c r="E57" s="367"/>
      <c r="F57" s="178"/>
      <c r="G57" s="1"/>
      <c r="H57" s="554"/>
      <c r="I57" s="12"/>
      <c r="J57" s="11"/>
      <c r="K57" s="164"/>
      <c r="L57" s="555" t="s">
        <v>139</v>
      </c>
      <c r="M57" s="11"/>
      <c r="N57" s="2"/>
      <c r="O57" s="2" t="n">
        <f aca="false">O51+(32.4*1.9835)</f>
        <v>28519.70813775</v>
      </c>
      <c r="P57" s="556"/>
      <c r="Q57" s="463"/>
      <c r="R57" s="89"/>
      <c r="S57" s="557" t="s">
        <v>140</v>
      </c>
      <c r="T57" s="89"/>
      <c r="U57" s="26"/>
      <c r="V57" s="125"/>
      <c r="W57" s="460" t="n">
        <f aca="false">W54-64.3</f>
        <v>133329.586812536</v>
      </c>
      <c r="X57" s="460" t="n">
        <f aca="false">X54-64.3</f>
        <v>130373.180062535</v>
      </c>
      <c r="Y57" s="167"/>
      <c r="Z57" s="460"/>
      <c r="AA57" s="167"/>
      <c r="AB57" s="80"/>
      <c r="AC57" s="80"/>
      <c r="AD57" s="2"/>
      <c r="AE57" s="2"/>
      <c r="AF57" s="2"/>
      <c r="AG57" s="11"/>
      <c r="AH57" s="2"/>
      <c r="AI57" s="100"/>
      <c r="AJ57" s="100"/>
      <c r="AK57" s="178"/>
      <c r="AL57" s="369"/>
      <c r="AM57" s="529"/>
      <c r="AN57" s="558"/>
      <c r="AP57" s="559" t="s">
        <v>141</v>
      </c>
      <c r="AS57" s="398"/>
      <c r="AU57" s="270" t="n">
        <f aca="false">(AU50+32.4)*1.9835</f>
        <v>4026.088465</v>
      </c>
      <c r="AV57" s="270"/>
      <c r="AW57" s="270"/>
      <c r="AX57" s="270"/>
    </row>
    <row r="58" customFormat="false" ht="11.1" hidden="false" customHeight="true" outlineLevel="0" collapsed="false">
      <c r="B58" s="167"/>
      <c r="E58" s="367"/>
      <c r="F58" s="210"/>
      <c r="G58" s="1"/>
      <c r="H58" s="554"/>
      <c r="I58" s="1"/>
      <c r="J58" s="1"/>
      <c r="K58" s="368"/>
      <c r="L58" s="4"/>
      <c r="M58" s="4"/>
      <c r="N58" s="4"/>
      <c r="O58" s="167"/>
      <c r="P58" s="369"/>
      <c r="Q58" s="8"/>
      <c r="R58" s="89"/>
      <c r="S58" s="89"/>
      <c r="T58" s="89"/>
      <c r="U58" s="26"/>
      <c r="V58" s="125"/>
      <c r="W58" s="86"/>
      <c r="X58" s="86"/>
      <c r="Y58" s="167"/>
      <c r="Z58" s="86"/>
      <c r="AA58" s="167"/>
      <c r="AD58" s="167"/>
      <c r="AE58" s="167"/>
      <c r="AF58" s="167"/>
      <c r="AG58" s="2"/>
      <c r="AH58" s="26"/>
      <c r="AI58" s="464"/>
      <c r="AJ58" s="464"/>
      <c r="AK58" s="170"/>
      <c r="AL58" s="369"/>
      <c r="AS58" s="398"/>
      <c r="AV58" s="270"/>
      <c r="AW58" s="270"/>
      <c r="AX58" s="397"/>
    </row>
    <row r="59" customFormat="false" ht="11.1" hidden="false" customHeight="true" outlineLevel="0" collapsed="false">
      <c r="D59" s="167"/>
      <c r="E59" s="367"/>
      <c r="F59" s="1"/>
      <c r="G59" s="1"/>
      <c r="H59" s="80"/>
      <c r="I59" s="1"/>
      <c r="J59" s="1"/>
      <c r="K59" s="368"/>
      <c r="L59" s="172"/>
      <c r="M59" s="4"/>
      <c r="N59" s="4"/>
      <c r="O59" s="172"/>
      <c r="P59" s="369"/>
      <c r="Q59" s="8"/>
      <c r="R59" s="89"/>
      <c r="S59" s="89"/>
      <c r="T59" s="89"/>
      <c r="U59" s="26"/>
      <c r="V59" s="26"/>
      <c r="W59" s="86"/>
      <c r="X59" s="86"/>
      <c r="Y59" s="172"/>
      <c r="Z59" s="86"/>
      <c r="AA59" s="172"/>
      <c r="AB59" s="172"/>
      <c r="AC59" s="172"/>
      <c r="AD59" s="167"/>
      <c r="AE59" s="167"/>
      <c r="AF59" s="167"/>
      <c r="AG59" s="2"/>
      <c r="AH59" s="167"/>
      <c r="AI59" s="210"/>
      <c r="AJ59" s="210"/>
      <c r="AK59" s="170"/>
      <c r="AL59" s="560"/>
      <c r="AS59" s="398"/>
      <c r="AV59" s="270"/>
      <c r="AW59" s="270"/>
      <c r="AX59" s="397"/>
    </row>
    <row r="60" customFormat="false" ht="11.1" hidden="false" customHeight="true" outlineLevel="0" collapsed="false">
      <c r="G60" s="258"/>
      <c r="H60" s="552"/>
      <c r="Q60" s="8"/>
      <c r="R60" s="8"/>
      <c r="S60" s="8"/>
      <c r="V60" s="166"/>
      <c r="W60" s="1"/>
      <c r="X60" s="1"/>
      <c r="Y60" s="167"/>
      <c r="Z60" s="1"/>
      <c r="AA60" s="167"/>
      <c r="AG60" s="167"/>
      <c r="AJ60" s="170"/>
      <c r="AK60" s="170"/>
      <c r="AL60" s="369"/>
      <c r="AS60" s="398"/>
      <c r="AV60" s="553"/>
      <c r="AW60" s="270"/>
      <c r="AX60" s="397"/>
    </row>
    <row r="61" customFormat="false" ht="11.1" hidden="false" customHeight="true" outlineLevel="0" collapsed="false">
      <c r="H61" s="552"/>
      <c r="Q61" s="8"/>
      <c r="R61" s="8"/>
      <c r="S61" s="8"/>
      <c r="V61" s="166"/>
      <c r="W61" s="167"/>
      <c r="X61" s="167"/>
      <c r="Y61" s="167"/>
      <c r="Z61" s="167"/>
      <c r="AA61" s="167"/>
      <c r="AG61" s="167"/>
      <c r="AJ61" s="170"/>
      <c r="AK61" s="170"/>
      <c r="AL61" s="369"/>
      <c r="AS61" s="398"/>
      <c r="AV61" s="553"/>
      <c r="AW61" s="270"/>
      <c r="AX61" s="397"/>
    </row>
    <row r="62" customFormat="false" ht="11.1" hidden="false" customHeight="true" outlineLevel="0" collapsed="false">
      <c r="H62" s="552"/>
      <c r="Q62" s="169"/>
      <c r="V62" s="166"/>
      <c r="W62" s="167"/>
      <c r="X62" s="167"/>
      <c r="Z62" s="167"/>
      <c r="AB62" s="166"/>
      <c r="AC62" s="166"/>
      <c r="AG62" s="167"/>
      <c r="AJ62" s="170"/>
      <c r="AK62" s="170"/>
      <c r="AL62" s="369"/>
      <c r="AP62" s="67"/>
      <c r="AQ62" s="67"/>
      <c r="AR62" s="67"/>
      <c r="AV62" s="553"/>
      <c r="AW62" s="270"/>
      <c r="AX62" s="397"/>
    </row>
  </sheetData>
  <mergeCells count="2">
    <mergeCell ref="K2:AC2"/>
    <mergeCell ref="M5:T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5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rowBreaks count="1" manualBreakCount="1">
    <brk id="60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E. A. Birk</dc:creator>
  <dc:description/>
  <dc:language>en-US</dc:language>
  <cp:lastModifiedBy>LaVon Millard</cp:lastModifiedBy>
  <cp:lastPrinted>2012-12-02T13:45:50Z</cp:lastPrinted>
  <dcterms:modified xsi:type="dcterms:W3CDTF">2012-12-02T13:47:19Z</dcterms:modified>
  <cp:revision>0</cp:revision>
  <dc:subject>MCPHEE IN/OUT FLOW</dc:subject>
  <dc:title>RIVER</dc:title>
</cp:coreProperties>
</file>