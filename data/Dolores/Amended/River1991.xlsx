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NOV" sheetId="1" state="visible" r:id="rId2"/>
    <sheet name="DEC" sheetId="2" state="visible" r:id="rId3"/>
    <sheet name="JAN" sheetId="3" state="visible" r:id="rId4"/>
    <sheet name="FEB" sheetId="4" state="visible" r:id="rId5"/>
    <sheet name="MAR" sheetId="5" state="visible" r:id="rId6"/>
    <sheet name="APR" sheetId="6" state="visible" r:id="rId7"/>
    <sheet name="MAY" sheetId="7" state="visible" r:id="rId8"/>
    <sheet name="JUN" sheetId="8" state="visible" r:id="rId9"/>
    <sheet name="JUL" sheetId="9" state="visible" r:id="rId10"/>
    <sheet name="AUG" sheetId="10" state="visible" r:id="rId11"/>
    <sheet name="SEP" sheetId="11" state="visible" r:id="rId12"/>
    <sheet name="OCT" sheetId="12" state="visible" r:id="rId13"/>
  </sheets>
  <definedNames>
    <definedName function="false" hidden="false" localSheetId="5" name="_xlnm.Print_Area" vbProcedure="false">APR!$A$1:$AD$49</definedName>
    <definedName function="false" hidden="false" localSheetId="9" name="_xlnm.Print_Area" vbProcedure="false">AUG!$A$1:$AD$52</definedName>
    <definedName function="false" hidden="false" localSheetId="1" name="_xlnm.Print_Area" vbProcedure="false">DEC!$A$1:$AD$52</definedName>
    <definedName function="false" hidden="false" localSheetId="3" name="_xlnm.Print_Area" vbProcedure="false">FEB!$A$1:$AD$52</definedName>
    <definedName function="false" hidden="false" localSheetId="2" name="_xlnm.Print_Area" vbProcedure="false">JAN!$A$1:$AD$55</definedName>
    <definedName function="false" hidden="false" localSheetId="8" name="_xlnm.Print_Area" vbProcedure="false">JUL!$A$1:$AD$51</definedName>
    <definedName function="false" hidden="false" localSheetId="7" name="_xlnm.Print_Area" vbProcedure="false">JUN!$A$1:$AD$51</definedName>
    <definedName function="false" hidden="false" localSheetId="4" name="_xlnm.Print_Area" vbProcedure="false">MAR!$A$1:$AD$55</definedName>
    <definedName function="false" hidden="false" localSheetId="6" name="_xlnm.Print_Area" vbProcedure="false">MAY!$A$1:$AD$52</definedName>
    <definedName function="false" hidden="false" localSheetId="0" name="_xlnm.Print_Area" vbProcedure="false">NOV!$A$1:$AD$54</definedName>
    <definedName function="false" hidden="false" localSheetId="11" name="_xlnm.Print_Area" vbProcedure="false">OCT!$A$1:$AD$50</definedName>
    <definedName function="false" hidden="false" localSheetId="10" name="_xlnm.Print_Area" vbProcedure="false">SEP!$A$1:$AD$52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<sst xmlns="http://schemas.openxmlformats.org/spreadsheetml/2006/main" count="843" uniqueCount="85">
  <si>
    <t xml:space="preserve">MC  PHEE  RESERVOIR  IN/OUT  FLOW  TABULATION</t>
  </si>
  <si>
    <t xml:space="preserve">AF/cfs  CONVERT FACTOR</t>
  </si>
  <si>
    <t xml:space="preserve">           NOVEMBER  "1990"</t>
  </si>
  <si>
    <t xml:space="preserve">DATE</t>
  </si>
  <si>
    <t xml:space="preserve">RESERV</t>
  </si>
  <si>
    <t xml:space="preserve">AC  FT</t>
  </si>
  <si>
    <t xml:space="preserve">ACTIVE</t>
  </si>
  <si>
    <t xml:space="preserve">CONV  TO</t>
  </si>
  <si>
    <t xml:space="preserve">DOLORES</t>
  </si>
  <si>
    <t xml:space="preserve">LOST</t>
  </si>
  <si>
    <t xml:space="preserve">RECORDED</t>
  </si>
  <si>
    <t xml:space="preserve">CALC</t>
  </si>
  <si>
    <t xml:space="preserve">TOTAL</t>
  </si>
  <si>
    <t xml:space="preserve">TUNNEL</t>
  </si>
  <si>
    <t xml:space="preserve">LONE</t>
  </si>
  <si>
    <t xml:space="preserve">U</t>
  </si>
  <si>
    <t xml:space="preserve">MVI</t>
  </si>
  <si>
    <t xml:space="preserve">DV  CR</t>
  </si>
  <si>
    <t xml:space="preserve">BELOW</t>
  </si>
  <si>
    <t xml:space="preserve">REMAIN</t>
  </si>
  <si>
    <t xml:space="preserve">RAIN</t>
  </si>
  <si>
    <t xml:space="preserve">MAX</t>
  </si>
  <si>
    <t xml:space="preserve">MIN</t>
  </si>
  <si>
    <t xml:space="preserve">"NOV"</t>
  </si>
  <si>
    <t xml:space="preserve">ELEV</t>
  </si>
  <si>
    <t xml:space="preserve">CHANGE</t>
  </si>
  <si>
    <t xml:space="preserve">CAP</t>
  </si>
  <si>
    <t xml:space="preserve">CFS</t>
  </si>
  <si>
    <t xml:space="preserve">RIVER</t>
  </si>
  <si>
    <t xml:space="preserve">CANYON</t>
  </si>
  <si>
    <t xml:space="preserve">INFLOW</t>
  </si>
  <si>
    <t xml:space="preserve">INF/OTF</t>
  </si>
  <si>
    <t xml:space="preserve">TOT DIV</t>
  </si>
  <si>
    <t xml:space="preserve">WETLAND</t>
  </si>
  <si>
    <t xml:space="preserve">UTE F&amp;R</t>
  </si>
  <si>
    <t xml:space="preserve">MVI,CTZ</t>
  </si>
  <si>
    <t xml:space="preserve">PINE</t>
  </si>
  <si>
    <t xml:space="preserve">LAT</t>
  </si>
  <si>
    <t xml:space="preserve">CALL</t>
  </si>
  <si>
    <t xml:space="preserve">CANAL</t>
  </si>
  <si>
    <t xml:space="preserve">MC  PHEE</t>
  </si>
  <si>
    <t xml:space="preserve">RELEASE</t>
  </si>
  <si>
    <t xml:space="preserve">OUTFLOW</t>
  </si>
  <si>
    <t xml:space="preserve">TMP</t>
  </si>
  <si>
    <t xml:space="preserve">SEASON BAL</t>
  </si>
  <si>
    <t xml:space="preserve">YTD</t>
  </si>
  <si>
    <t xml:space="preserve">MONTH / CFS</t>
  </si>
  <si>
    <t xml:space="preserve">Avg</t>
  </si>
  <si>
    <t xml:space="preserve">MONTH / AF</t>
  </si>
  <si>
    <t xml:space="preserve">HI</t>
  </si>
  <si>
    <t xml:space="preserve">SEASON / CFS</t>
  </si>
  <si>
    <t xml:space="preserve">LO</t>
  </si>
  <si>
    <t xml:space="preserve">SEASON / AF</t>
  </si>
  <si>
    <t xml:space="preserve">YTD / CFS</t>
  </si>
  <si>
    <t xml:space="preserve">YTD / AF</t>
  </si>
  <si>
    <t xml:space="preserve">DECEMBER  "1990"</t>
  </si>
  <si>
    <t xml:space="preserve">"DEC"</t>
  </si>
  <si>
    <t xml:space="preserve">JANUARY  "1991"</t>
  </si>
  <si>
    <t xml:space="preserve">"JAN"</t>
  </si>
  <si>
    <t xml:space="preserve">AVE</t>
  </si>
  <si>
    <t xml:space="preserve">FEBRUARY  "1991"</t>
  </si>
  <si>
    <t xml:space="preserve">FEB</t>
  </si>
  <si>
    <t xml:space="preserve">MARCH  "1991"</t>
  </si>
  <si>
    <t xml:space="preserve">MAR</t>
  </si>
  <si>
    <t xml:space="preserve">APRIL  "1991"</t>
  </si>
  <si>
    <t xml:space="preserve">"APR"</t>
  </si>
  <si>
    <t xml:space="preserve">MVI/CTZ/MWC</t>
  </si>
  <si>
    <t xml:space="preserve">MAY  "1991"</t>
  </si>
  <si>
    <t xml:space="preserve">"MAY"</t>
  </si>
  <si>
    <t xml:space="preserve">AVG</t>
  </si>
  <si>
    <t xml:space="preserve">Diff</t>
  </si>
  <si>
    <t xml:space="preserve">Daily M&amp;I &amp; Evap</t>
  </si>
  <si>
    <t xml:space="preserve">JUNE  "1991"</t>
  </si>
  <si>
    <t xml:space="preserve"> TUNNEL</t>
  </si>
  <si>
    <t xml:space="preserve">"JUN"</t>
  </si>
  <si>
    <t xml:space="preserve">JULY  "1991"</t>
  </si>
  <si>
    <t xml:space="preserve">"JUL"</t>
  </si>
  <si>
    <t xml:space="preserve">AUGUST  "1991"</t>
  </si>
  <si>
    <t xml:space="preserve">DOLORES TUNNEL</t>
  </si>
  <si>
    <t xml:space="preserve">"AUG"</t>
  </si>
  <si>
    <t xml:space="preserve">\</t>
  </si>
  <si>
    <t xml:space="preserve">SEPTEMBER  "1991"</t>
  </si>
  <si>
    <t xml:space="preserve">"SEP"</t>
  </si>
  <si>
    <t xml:space="preserve">OCTOBER  "1991"</t>
  </si>
  <si>
    <t xml:space="preserve">"OCT"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</si>
</sst>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#,##0"/>
    <numFmt numFmtId="166" formatCode="0.00_);\(0.00\)"/>
    <numFmt numFmtId="167" formatCode="0.0"/>
    <numFmt numFmtId="168" formatCode="0"/>
    <numFmt numFmtId="169" formatCode="#,##0.0"/>
    <numFmt numFmtId="170" formatCode="##0.0"/>
    <numFmt numFmtId="171" formatCode="0.00"/>
    <numFmt numFmtId="172" formatCode="0.0000"/>
    <numFmt numFmtId="173" formatCode="0.000"/>
    <numFmt numFmtId="174" formatCode="#,##0.00"/>
    <numFmt numFmtId="175" formatCode="[$-409]d\-mmm"/>
    <numFmt numFmtId="176" formatCode="0%"/>
    <numFmt numFmtId="177" formatCode="0.0_);\(0.0\)"/>
    <numFmt numFmtId="178" formatCode="#,##0.00000"/>
    <numFmt numFmtId="179" formatCode="#,##0.0000"/>
    <numFmt numFmtId="180" formatCode="0.00_);[RED]\(0.00\)"/>
  </numFmts>
  <fonts count="16">
    <font>
      <sz val="8"/>
      <name val="LinePrinter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 Narrow"/>
      <family val="0"/>
    </font>
    <font>
      <b val="true"/>
      <i val="true"/>
      <sz val="12"/>
      <name val="Arial Narrow"/>
      <family val="0"/>
    </font>
    <font>
      <sz val="6"/>
      <name val="Arial Narrow"/>
      <family val="0"/>
    </font>
    <font>
      <b val="true"/>
      <sz val="6"/>
      <name val="Arial Narrow"/>
      <family val="0"/>
    </font>
    <font>
      <sz val="6"/>
      <name val="Arial Narrow"/>
      <family val="2"/>
    </font>
    <font>
      <b val="true"/>
      <sz val="9"/>
      <name val="Arial Narrow"/>
      <family val="0"/>
    </font>
    <font>
      <sz val="6"/>
      <name val="Arial"/>
      <family val="0"/>
    </font>
    <font>
      <sz val="8"/>
      <name val="Arial"/>
      <family val="0"/>
    </font>
    <font>
      <b val="true"/>
      <sz val="12"/>
      <name val="Arial Narrow"/>
      <family val="0"/>
    </font>
    <font>
      <sz val="4"/>
      <name val="LinePrinter"/>
      <family val="3"/>
    </font>
    <font>
      <b val="true"/>
      <sz val="8"/>
      <name val="Arial Narrow"/>
      <family val="0"/>
    </font>
    <font>
      <sz val="8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464648"/>
        <bgColor rgb="FF333300"/>
      </patternFill>
    </fill>
    <fill>
      <patternFill patternType="solid">
        <fgColor rgb="FF1EFC1E"/>
        <bgColor rgb="FF33CCCC"/>
      </patternFill>
    </fill>
    <fill>
      <patternFill patternType="solid">
        <fgColor rgb="FFCC9CCC"/>
        <bgColor rgb="FFFF99CC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 style="thin">
        <color rgb="FFEEEEEC"/>
      </top>
      <bottom style="thin">
        <color rgb="FFEEEEEC"/>
      </bottom>
      <diagonal/>
    </border>
    <border diagonalUp="false" diagonalDown="false">
      <left style="thin">
        <color rgb="FFEEEEEC"/>
      </left>
      <right style="thin">
        <color rgb="FFEEEEEC"/>
      </right>
      <top style="thin">
        <color rgb="FFEEEEEC"/>
      </top>
      <bottom style="thin">
        <color rgb="FFEEEEEC"/>
      </bottom>
      <diagonal/>
    </border>
    <border diagonalUp="false" diagonalDown="false">
      <left/>
      <right/>
      <top style="thin">
        <color rgb="FFEEEEEC"/>
      </top>
      <bottom/>
      <diagonal/>
    </border>
    <border diagonalUp="false" diagonalDown="false">
      <left style="thin">
        <color rgb="FFEEEEEC"/>
      </left>
      <right/>
      <top/>
      <bottom style="thin">
        <color rgb="FFEEEEEC"/>
      </bottom>
      <diagonal/>
    </border>
    <border diagonalUp="false" diagonalDown="false">
      <left/>
      <right style="thin">
        <color rgb="FFEEEEEC"/>
      </right>
      <top/>
      <bottom style="thin">
        <color rgb="FFEEEEE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4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6" fontId="0" fillId="0" borderId="0" applyFont="true" applyBorder="false" applyAlignment="false" applyProtection="false"/>
    <xf numFmtId="164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StyleXfs>
  <cellXfs count="1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4" fillId="0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0" fontId="4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RIVER054" xfId="20"/>
  </cellStyles>
  <colors>
    <indexedColors>
      <rgbColor rgb="FF000000"/>
      <rgbColor rgb="FFEEEEEC"/>
      <rgbColor rgb="FFFF0000"/>
      <rgbColor rgb="FF1EFC1E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CCC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646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485280</xdr:colOff>
      <xdr:row>28</xdr:row>
      <xdr:rowOff>0</xdr:rowOff>
    </xdr:from>
    <xdr:to>
      <xdr:col>7</xdr:col>
      <xdr:colOff>21960</xdr:colOff>
      <xdr:row>29</xdr:row>
      <xdr:rowOff>28440</xdr:rowOff>
    </xdr:to>
    <xdr:sp>
      <xdr:nvSpPr>
        <xdr:cNvPr id="0" name="Text 1"/>
        <xdr:cNvSpPr/>
      </xdr:nvSpPr>
      <xdr:spPr>
        <a:xfrm>
          <a:off x="2802960" y="3920400"/>
          <a:ext cx="496080" cy="1695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pc="-1" strike="noStrike">
              <a:latin typeface="LinePrinter"/>
            </a:rPr>
            <a:t>thawed</a:t>
          </a:r>
          <a:endParaRPr b="0" lang="en-US" sz="800" spc="-1" strike="noStrike">
            <a:latin typeface="Times New Roman"/>
          </a:endParaRPr>
        </a:p>
        <a:p>
          <a:endParaRPr b="0" lang="en-US" sz="8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22</xdr:col>
      <xdr:colOff>129240</xdr:colOff>
      <xdr:row>9</xdr:row>
      <xdr:rowOff>57240</xdr:rowOff>
    </xdr:from>
    <xdr:to>
      <xdr:col>23</xdr:col>
      <xdr:colOff>216360</xdr:colOff>
      <xdr:row>11</xdr:row>
      <xdr:rowOff>19440</xdr:rowOff>
    </xdr:to>
    <xdr:sp>
      <xdr:nvSpPr>
        <xdr:cNvPr id="1" name="Text 2"/>
        <xdr:cNvSpPr/>
      </xdr:nvSpPr>
      <xdr:spPr>
        <a:xfrm>
          <a:off x="8623800" y="1299240"/>
          <a:ext cx="528840" cy="2440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400" spc="-1" strike="noStrike">
              <a:latin typeface="LinePrinter"/>
            </a:rPr>
            <a:t>SPILL STARTED</a:t>
          </a:r>
          <a:endParaRPr b="0" lang="en-US" sz="400" spc="-1" strike="noStrike">
            <a:latin typeface="Times New Roman"/>
          </a:endParaRPr>
        </a:p>
        <a:p>
          <a:r>
            <a:rPr b="0" lang="en-US" sz="400" spc="-1" strike="noStrike">
              <a:latin typeface="LinePrinter"/>
            </a:rPr>
            <a:t>NO DEBIT</a:t>
          </a:r>
          <a:endParaRPr b="0" lang="en-US" sz="400" spc="-1" strike="noStrike">
            <a:latin typeface="Times New Roman"/>
          </a:endParaRPr>
        </a:p>
      </xdr:txBody>
    </xdr:sp>
    <xdr:clientData/>
  </xdr:twoCellAnchor>
</xdr:wsDr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L20" activePane="bottomRight" state="frozen"/>
      <selection pane="topLeft" activeCell="A1" activeCellId="0" sqref="A1"/>
      <selection pane="topRight" activeCell="L1" activeCellId="0" sqref="L1"/>
      <selection pane="bottomLeft" activeCell="A20" activeCellId="0" sqref="A20"/>
      <selection pane="bottomRight" activeCell="AC39" activeCellId="0" sqref="AC39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2" min="2" style="0" width="7.82"/>
    <col collapsed="false" customWidth="true" hidden="false" outlineLevel="0" max="3" min="3" style="1" width="7.49"/>
    <col collapsed="false" customWidth="true" hidden="false" outlineLevel="0" max="4" min="4" style="0" width="6.99"/>
    <col collapsed="false" customWidth="true" hidden="false" outlineLevel="0" max="5" min="5" style="1" width="7.66"/>
    <col collapsed="false" customWidth="true" hidden="false" outlineLevel="0" max="6" min="6" style="0" width="7.66"/>
    <col collapsed="false" customWidth="true" hidden="false" outlineLevel="0" max="7" min="7" style="0" width="7.16"/>
    <col collapsed="false" customWidth="true" hidden="false" outlineLevel="0" max="8" min="8" style="2" width="6.66"/>
    <col collapsed="false" customWidth="true" hidden="false" outlineLevel="0" max="9" min="9" style="0" width="7.99"/>
    <col collapsed="false" customWidth="true" hidden="false" outlineLevel="0" max="10" min="10" style="0" width="6.66"/>
    <col collapsed="false" customWidth="true" hidden="false" outlineLevel="0" max="12" min="11" style="0" width="7.16"/>
    <col collapsed="false" customWidth="true" hidden="false" outlineLevel="0" max="13" min="13" style="3" width="6.16"/>
    <col collapsed="false" customWidth="true" hidden="true" outlineLevel="0" max="14" min="14" style="3" width="7.32"/>
    <col collapsed="false" customWidth="true" hidden="true" outlineLevel="0" max="15" min="15" style="3" width="6.49"/>
    <col collapsed="false" customWidth="true" hidden="true" outlineLevel="0" max="16" min="16" style="0" width="7.16"/>
    <col collapsed="false" customWidth="true" hidden="false" outlineLevel="0" max="17" min="17" style="0" width="6.32"/>
    <col collapsed="false" customWidth="true" hidden="false" outlineLevel="0" max="18" min="18" style="0" width="5.82"/>
    <col collapsed="false" customWidth="true" hidden="false" outlineLevel="0" max="19" min="19" style="1" width="6.82"/>
    <col collapsed="false" customWidth="true" hidden="false" outlineLevel="0" max="20" min="20" style="0" width="7.66"/>
    <col collapsed="false" customWidth="true" hidden="false" outlineLevel="0" max="21" min="21" style="0" width="5.99"/>
    <col collapsed="false" customWidth="true" hidden="false" outlineLevel="0" max="22" min="22" style="1" width="6.66"/>
    <col collapsed="false" customWidth="true" hidden="false" outlineLevel="0" max="23" min="23" style="0" width="6.82"/>
    <col collapsed="false" customWidth="true" hidden="false" outlineLevel="0" max="25" min="24" style="0" width="7.82"/>
    <col collapsed="false" customWidth="true" hidden="false" outlineLevel="0" max="26" min="26" style="2" width="8.16"/>
    <col collapsed="false" customWidth="true" hidden="false" outlineLevel="0" max="27" min="27" style="2" width="4.66"/>
    <col collapsed="false" customWidth="true" hidden="false" outlineLevel="0" max="28" min="28" style="4" width="4.66"/>
    <col collapsed="false" customWidth="true" hidden="false" outlineLevel="0" max="29" min="29" style="5" width="4.66"/>
    <col collapsed="false" customWidth="true" hidden="false" outlineLevel="0" max="30" min="30" style="0" width="5.66"/>
  </cols>
  <sheetData>
    <row r="1" customFormat="false" ht="14.1" hidden="false" customHeight="true" outlineLevel="0" collapsed="false">
      <c r="A1" s="6"/>
      <c r="B1" s="6"/>
      <c r="C1" s="7"/>
      <c r="D1" s="6"/>
      <c r="E1" s="7"/>
      <c r="F1" s="6"/>
      <c r="G1" s="6"/>
      <c r="H1" s="8"/>
      <c r="I1" s="6"/>
      <c r="J1" s="6"/>
      <c r="K1" s="9" t="s">
        <v>0</v>
      </c>
      <c r="L1" s="6"/>
      <c r="M1" s="6"/>
      <c r="N1" s="6"/>
      <c r="O1" s="6"/>
      <c r="P1" s="6"/>
      <c r="Q1" s="6"/>
      <c r="R1" s="6"/>
      <c r="S1" s="7"/>
      <c r="T1" s="6"/>
      <c r="U1" s="6"/>
      <c r="V1" s="7"/>
      <c r="W1" s="6"/>
      <c r="X1" s="6"/>
      <c r="Y1" s="6"/>
      <c r="Z1" s="10"/>
      <c r="AA1" s="11"/>
      <c r="AB1" s="12"/>
      <c r="AC1" s="13"/>
    </row>
    <row r="2" customFormat="false" ht="14.1" hidden="false" customHeight="true" outlineLevel="0" collapsed="false">
      <c r="A2" s="6" t="s">
        <v>1</v>
      </c>
      <c r="B2" s="6"/>
      <c r="C2" s="7"/>
      <c r="D2" s="14" t="n">
        <v>1.9835</v>
      </c>
      <c r="E2" s="7"/>
      <c r="F2" s="6"/>
      <c r="G2" s="6"/>
      <c r="H2" s="8"/>
      <c r="I2" s="6"/>
      <c r="J2" s="6"/>
      <c r="K2" s="6"/>
      <c r="L2" s="9" t="s">
        <v>2</v>
      </c>
      <c r="M2" s="6"/>
      <c r="N2" s="6"/>
      <c r="O2" s="6"/>
      <c r="P2" s="6"/>
      <c r="Q2" s="6"/>
      <c r="R2" s="6"/>
      <c r="S2" s="7"/>
      <c r="T2" s="6"/>
      <c r="U2" s="6"/>
      <c r="V2" s="7"/>
      <c r="W2" s="6"/>
      <c r="X2" s="6"/>
      <c r="Y2" s="6"/>
      <c r="Z2" s="10"/>
      <c r="AA2" s="11"/>
      <c r="AB2" s="12"/>
      <c r="AC2" s="13"/>
    </row>
    <row r="3" customFormat="false" ht="11.1" hidden="false" customHeight="true" outlineLevel="0" collapsed="false">
      <c r="A3" s="6"/>
      <c r="B3" s="6"/>
      <c r="C3" s="7"/>
      <c r="D3" s="15"/>
      <c r="E3" s="7"/>
      <c r="F3" s="6"/>
      <c r="G3" s="6"/>
      <c r="H3" s="8"/>
      <c r="I3" s="6"/>
      <c r="J3" s="6"/>
      <c r="K3" s="6"/>
      <c r="L3" s="6"/>
      <c r="M3" s="6"/>
      <c r="N3" s="6"/>
      <c r="O3" s="6"/>
      <c r="P3" s="6"/>
      <c r="Q3" s="6"/>
      <c r="R3" s="6"/>
      <c r="S3" s="7"/>
      <c r="T3" s="6"/>
      <c r="U3" s="6"/>
      <c r="V3" s="7"/>
      <c r="W3" s="6"/>
      <c r="X3" s="6"/>
      <c r="Y3" s="6"/>
      <c r="Z3" s="10"/>
      <c r="AA3" s="11"/>
      <c r="AB3" s="12"/>
      <c r="AC3" s="13"/>
    </row>
    <row r="4" customFormat="false" ht="11.1" hidden="false" customHeight="true" outlineLevel="0" collapsed="false">
      <c r="A4" s="16" t="s">
        <v>3</v>
      </c>
      <c r="B4" s="16" t="s">
        <v>4</v>
      </c>
      <c r="C4" s="17" t="s">
        <v>4</v>
      </c>
      <c r="D4" s="16" t="s">
        <v>5</v>
      </c>
      <c r="E4" s="17" t="s">
        <v>6</v>
      </c>
      <c r="F4" s="16" t="s">
        <v>7</v>
      </c>
      <c r="G4" s="16" t="s">
        <v>8</v>
      </c>
      <c r="H4" s="18" t="s">
        <v>9</v>
      </c>
      <c r="I4" s="16" t="s">
        <v>10</v>
      </c>
      <c r="J4" s="16" t="s">
        <v>11</v>
      </c>
      <c r="K4" s="16" t="s">
        <v>12</v>
      </c>
      <c r="L4" s="16" t="s">
        <v>11</v>
      </c>
      <c r="M4" s="19" t="s">
        <v>13</v>
      </c>
      <c r="N4" s="19"/>
      <c r="O4" s="19"/>
      <c r="P4" s="19"/>
      <c r="Q4" s="16" t="s">
        <v>14</v>
      </c>
      <c r="R4" s="16" t="s">
        <v>15</v>
      </c>
      <c r="S4" s="16" t="s">
        <v>12</v>
      </c>
      <c r="T4" s="17" t="s">
        <v>16</v>
      </c>
      <c r="U4" s="16" t="s">
        <v>17</v>
      </c>
      <c r="V4" s="16" t="s">
        <v>18</v>
      </c>
      <c r="W4" s="17" t="s">
        <v>19</v>
      </c>
      <c r="X4" s="16" t="s">
        <v>10</v>
      </c>
      <c r="Y4" s="16" t="s">
        <v>11</v>
      </c>
      <c r="Z4" s="16" t="s">
        <v>12</v>
      </c>
      <c r="AA4" s="20" t="s">
        <v>20</v>
      </c>
      <c r="AB4" s="21" t="s">
        <v>21</v>
      </c>
      <c r="AC4" s="21" t="s">
        <v>22</v>
      </c>
      <c r="AD4" s="21" t="s">
        <v>3</v>
      </c>
    </row>
    <row r="5" customFormat="false" ht="11.1" hidden="false" customHeight="true" outlineLevel="0" collapsed="false">
      <c r="A5" s="22" t="s">
        <v>23</v>
      </c>
      <c r="B5" s="16" t="s">
        <v>24</v>
      </c>
      <c r="C5" s="17" t="s">
        <v>5</v>
      </c>
      <c r="D5" s="16" t="s">
        <v>25</v>
      </c>
      <c r="E5" s="17" t="s">
        <v>26</v>
      </c>
      <c r="F5" s="16" t="s">
        <v>27</v>
      </c>
      <c r="G5" s="16" t="s">
        <v>28</v>
      </c>
      <c r="H5" s="18" t="s">
        <v>29</v>
      </c>
      <c r="I5" s="16" t="s">
        <v>30</v>
      </c>
      <c r="J5" s="16" t="s">
        <v>30</v>
      </c>
      <c r="K5" s="16" t="s">
        <v>30</v>
      </c>
      <c r="L5" s="16" t="s">
        <v>31</v>
      </c>
      <c r="M5" s="16" t="s">
        <v>32</v>
      </c>
      <c r="N5" s="16" t="s">
        <v>33</v>
      </c>
      <c r="O5" s="16" t="s">
        <v>34</v>
      </c>
      <c r="P5" s="23" t="s">
        <v>35</v>
      </c>
      <c r="Q5" s="16" t="s">
        <v>36</v>
      </c>
      <c r="R5" s="16" t="s">
        <v>37</v>
      </c>
      <c r="S5" s="16" t="s">
        <v>16</v>
      </c>
      <c r="T5" s="17" t="s">
        <v>38</v>
      </c>
      <c r="U5" s="16" t="s">
        <v>39</v>
      </c>
      <c r="V5" s="16" t="s">
        <v>40</v>
      </c>
      <c r="W5" s="17" t="s">
        <v>41</v>
      </c>
      <c r="X5" s="16" t="s">
        <v>42</v>
      </c>
      <c r="Y5" s="16" t="s">
        <v>42</v>
      </c>
      <c r="Z5" s="16" t="s">
        <v>42</v>
      </c>
      <c r="AA5" s="24"/>
      <c r="AB5" s="21" t="s">
        <v>43</v>
      </c>
      <c r="AC5" s="21" t="s">
        <v>43</v>
      </c>
      <c r="AD5" s="25" t="s">
        <v>23</v>
      </c>
    </row>
    <row r="6" customFormat="false" ht="11.1" hidden="false" customHeight="true" outlineLevel="0" collapsed="false">
      <c r="A6" s="26"/>
      <c r="B6" s="26"/>
      <c r="C6" s="27"/>
      <c r="D6" s="26"/>
      <c r="E6" s="27"/>
      <c r="F6" s="26"/>
      <c r="G6" s="26"/>
      <c r="H6" s="28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7"/>
      <c r="U6" s="26"/>
      <c r="V6" s="26"/>
      <c r="W6" s="29"/>
      <c r="X6" s="26"/>
      <c r="Y6" s="26"/>
      <c r="Z6" s="26"/>
      <c r="AA6" s="11"/>
      <c r="AB6" s="13"/>
      <c r="AC6" s="13"/>
      <c r="AD6" s="13"/>
    </row>
    <row r="7" customFormat="false" ht="11.1" hidden="false" customHeight="true" outlineLevel="0" collapsed="false">
      <c r="A7" s="6" t="s">
        <v>44</v>
      </c>
      <c r="B7" s="6"/>
      <c r="C7" s="7"/>
      <c r="D7" s="7"/>
      <c r="E7" s="7"/>
      <c r="F7" s="7"/>
      <c r="G7" s="7"/>
      <c r="H7" s="12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30"/>
      <c r="X7" s="7"/>
      <c r="Y7" s="7"/>
      <c r="Z7" s="7"/>
      <c r="AA7" s="11"/>
      <c r="AB7" s="12"/>
      <c r="AC7" s="12"/>
      <c r="AD7" s="13"/>
    </row>
    <row r="8" s="1" customFormat="true" ht="11.1" hidden="false" customHeight="true" outlineLevel="0" collapsed="false">
      <c r="A8" s="7" t="s">
        <v>45</v>
      </c>
      <c r="B8" s="31" t="n">
        <v>6887.21</v>
      </c>
      <c r="C8" s="7" t="n">
        <v>238865</v>
      </c>
      <c r="D8" s="7"/>
      <c r="E8" s="7"/>
      <c r="F8" s="7"/>
      <c r="G8" s="7"/>
      <c r="H8" s="12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 t="n">
        <v>15179</v>
      </c>
      <c r="X8" s="7"/>
      <c r="Y8" s="7"/>
      <c r="Z8" s="7"/>
      <c r="AA8" s="11"/>
      <c r="AB8" s="12"/>
      <c r="AC8" s="12"/>
      <c r="AD8" s="13"/>
    </row>
    <row r="9" customFormat="false" ht="3" hidden="false" customHeight="true" outlineLevel="0" collapsed="false">
      <c r="A9" s="32"/>
      <c r="B9" s="33"/>
      <c r="C9" s="34"/>
      <c r="D9" s="32"/>
      <c r="E9" s="34"/>
      <c r="F9" s="32"/>
      <c r="G9" s="32"/>
      <c r="H9" s="35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4"/>
      <c r="U9" s="32"/>
      <c r="V9" s="32"/>
      <c r="W9" s="34"/>
      <c r="X9" s="32"/>
      <c r="Y9" s="32"/>
      <c r="Z9" s="32"/>
      <c r="AA9" s="36"/>
      <c r="AB9" s="37"/>
      <c r="AC9" s="37"/>
      <c r="AD9" s="38"/>
    </row>
    <row r="10" customFormat="false" ht="11.1" hidden="false" customHeight="true" outlineLevel="0" collapsed="false">
      <c r="A10" s="13" t="n">
        <v>1</v>
      </c>
      <c r="B10" s="31" t="n">
        <v>6887.25</v>
      </c>
      <c r="C10" s="7" t="n">
        <v>238997</v>
      </c>
      <c r="D10" s="12" t="n">
        <f aca="false">C10-C8</f>
        <v>132</v>
      </c>
      <c r="E10" s="7" t="n">
        <f aca="false">C10-152000</f>
        <v>86997</v>
      </c>
      <c r="F10" s="6" t="n">
        <f aca="false">D10/$D$2</f>
        <v>66.5490294933199</v>
      </c>
      <c r="G10" s="6" t="n">
        <v>124</v>
      </c>
      <c r="H10" s="8" t="n">
        <v>0</v>
      </c>
      <c r="I10" s="6" t="n">
        <f aca="false">G10+H10</f>
        <v>124</v>
      </c>
      <c r="J10" s="39" t="n">
        <f aca="false">IF(L10&gt;0,L10,0)</f>
        <v>44.7490294933199</v>
      </c>
      <c r="K10" s="6" t="n">
        <f aca="false">I10+J10</f>
        <v>168.74902949332</v>
      </c>
      <c r="L10" s="6" t="n">
        <f aca="false">F10-(I10-X10)</f>
        <v>44.7490294933199</v>
      </c>
      <c r="M10" s="6" t="n">
        <v>48.8</v>
      </c>
      <c r="N10" s="6" t="n">
        <v>0</v>
      </c>
      <c r="O10" s="6" t="n">
        <v>0</v>
      </c>
      <c r="P10" s="6" t="n">
        <f aca="false">M10-(N10+O10)</f>
        <v>48.8</v>
      </c>
      <c r="Q10" s="6" t="n">
        <v>0</v>
      </c>
      <c r="R10" s="6" t="n">
        <v>19.2</v>
      </c>
      <c r="S10" s="6" t="n">
        <f aca="false">SUM(P10:R10)</f>
        <v>68</v>
      </c>
      <c r="T10" s="7"/>
      <c r="U10" s="6" t="n">
        <v>0</v>
      </c>
      <c r="V10" s="6" t="n">
        <v>34.2</v>
      </c>
      <c r="W10" s="7" t="n">
        <f aca="false">W8-V10</f>
        <v>15144.8</v>
      </c>
      <c r="X10" s="6" t="n">
        <f aca="false">N10+O10+S10+U10+V10</f>
        <v>102.2</v>
      </c>
      <c r="Y10" s="6" t="n">
        <f aca="false">IF(L10&lt;0,L10*-1,0)</f>
        <v>0</v>
      </c>
      <c r="Z10" s="6" t="n">
        <f aca="false">X10+Y10</f>
        <v>102.2</v>
      </c>
      <c r="AA10" s="11" t="n">
        <v>0</v>
      </c>
      <c r="AB10" s="12" t="n">
        <v>61</v>
      </c>
      <c r="AC10" s="12" t="n">
        <v>33</v>
      </c>
      <c r="AD10" s="13" t="n">
        <v>1</v>
      </c>
    </row>
    <row r="11" customFormat="false" ht="11.1" hidden="false" customHeight="true" outlineLevel="0" collapsed="false">
      <c r="A11" s="13" t="n">
        <f aca="false">A10+1</f>
        <v>2</v>
      </c>
      <c r="B11" s="40" t="n">
        <v>6887.27</v>
      </c>
      <c r="C11" s="7" t="n">
        <v>239063</v>
      </c>
      <c r="D11" s="12" t="n">
        <f aca="false">C11-C10</f>
        <v>66</v>
      </c>
      <c r="E11" s="7" t="n">
        <f aca="false">C11-152000</f>
        <v>87063</v>
      </c>
      <c r="F11" s="6" t="n">
        <f aca="false">D11/$D$2</f>
        <v>33.2745147466599</v>
      </c>
      <c r="G11" s="6" t="n">
        <v>129.8</v>
      </c>
      <c r="H11" s="8" t="n">
        <v>0</v>
      </c>
      <c r="I11" s="6" t="n">
        <f aca="false">G11+H11</f>
        <v>129.8</v>
      </c>
      <c r="J11" s="39" t="n">
        <f aca="false">IF(L11&gt;0,L11,0)</f>
        <v>5.67451474665994</v>
      </c>
      <c r="K11" s="6" t="n">
        <f aca="false">I11+J11</f>
        <v>135.47451474666</v>
      </c>
      <c r="L11" s="6" t="n">
        <f aca="false">F11-(I11-X11)</f>
        <v>5.67451474665994</v>
      </c>
      <c r="M11" s="6" t="n">
        <v>48.8</v>
      </c>
      <c r="N11" s="6" t="n">
        <v>0</v>
      </c>
      <c r="O11" s="6" t="n">
        <v>0</v>
      </c>
      <c r="P11" s="6" t="n">
        <f aca="false">M11-(N11+O11)</f>
        <v>48.8</v>
      </c>
      <c r="Q11" s="6" t="n">
        <v>0</v>
      </c>
      <c r="R11" s="6" t="n">
        <v>19.2</v>
      </c>
      <c r="S11" s="6" t="n">
        <f aca="false">SUM(P11:R11)</f>
        <v>68</v>
      </c>
      <c r="T11" s="7"/>
      <c r="U11" s="6" t="n">
        <v>0</v>
      </c>
      <c r="V11" s="6" t="n">
        <v>34.2</v>
      </c>
      <c r="W11" s="7" t="n">
        <f aca="false">W10-V11</f>
        <v>15110.6</v>
      </c>
      <c r="X11" s="6" t="n">
        <f aca="false">N11+O11+S11+U11+V11</f>
        <v>102.2</v>
      </c>
      <c r="Y11" s="6" t="n">
        <f aca="false">IF(L11&lt;0,L11*-1,0)</f>
        <v>0</v>
      </c>
      <c r="Z11" s="6" t="n">
        <f aca="false">X11+Y11</f>
        <v>102.2</v>
      </c>
      <c r="AA11" s="11" t="n">
        <v>0.22</v>
      </c>
      <c r="AB11" s="12" t="n">
        <v>45</v>
      </c>
      <c r="AC11" s="12" t="n">
        <v>37</v>
      </c>
      <c r="AD11" s="13" t="n">
        <f aca="false">AD10+1</f>
        <v>2</v>
      </c>
    </row>
    <row r="12" customFormat="false" ht="11.1" hidden="false" customHeight="true" outlineLevel="0" collapsed="false">
      <c r="A12" s="13" t="n">
        <f aca="false">A11+1</f>
        <v>3</v>
      </c>
      <c r="B12" s="31" t="n">
        <v>6887.28</v>
      </c>
      <c r="C12" s="7" t="n">
        <v>239096</v>
      </c>
      <c r="D12" s="12" t="n">
        <f aca="false">C12-C11</f>
        <v>33</v>
      </c>
      <c r="E12" s="7" t="n">
        <f aca="false">C12-152000</f>
        <v>87096</v>
      </c>
      <c r="F12" s="6" t="n">
        <f aca="false">D12/$D$2</f>
        <v>16.63725737333</v>
      </c>
      <c r="G12" s="6" t="n">
        <v>127.5</v>
      </c>
      <c r="H12" s="8" t="n">
        <v>0</v>
      </c>
      <c r="I12" s="6" t="n">
        <f aca="false">G12+H12</f>
        <v>127.5</v>
      </c>
      <c r="J12" s="39" t="n">
        <f aca="false">IF(L12&gt;0,L12,0)</f>
        <v>0</v>
      </c>
      <c r="K12" s="6" t="n">
        <f aca="false">I12+J12</f>
        <v>127.5</v>
      </c>
      <c r="L12" s="6" t="n">
        <f aca="false">F12-(I12-X12)</f>
        <v>-8.76274262667003</v>
      </c>
      <c r="M12" s="6" t="n">
        <v>48.8</v>
      </c>
      <c r="N12" s="6" t="n">
        <v>0</v>
      </c>
      <c r="O12" s="6" t="n">
        <v>0</v>
      </c>
      <c r="P12" s="6" t="n">
        <f aca="false">M12-(N12+O12)</f>
        <v>48.8</v>
      </c>
      <c r="Q12" s="6" t="n">
        <v>0</v>
      </c>
      <c r="R12" s="6" t="n">
        <v>19.2</v>
      </c>
      <c r="S12" s="6" t="n">
        <f aca="false">SUM(P12:R12)</f>
        <v>68</v>
      </c>
      <c r="T12" s="7"/>
      <c r="U12" s="6" t="n">
        <v>0</v>
      </c>
      <c r="V12" s="6" t="n">
        <v>34.1</v>
      </c>
      <c r="W12" s="7" t="n">
        <f aca="false">W11-V12</f>
        <v>15076.5</v>
      </c>
      <c r="X12" s="6" t="n">
        <f aca="false">N12+O12+S12+U12+V12</f>
        <v>102.1</v>
      </c>
      <c r="Y12" s="6" t="n">
        <f aca="false">IF(L12&lt;0,L12*-1,0)</f>
        <v>8.76274262667003</v>
      </c>
      <c r="Z12" s="6" t="n">
        <f aca="false">X12+Y12</f>
        <v>110.86274262667</v>
      </c>
      <c r="AA12" s="11" t="n">
        <v>0</v>
      </c>
      <c r="AB12" s="12" t="n">
        <v>47</v>
      </c>
      <c r="AC12" s="12" t="n">
        <v>36</v>
      </c>
      <c r="AD12" s="13" t="n">
        <f aca="false">AD11+1</f>
        <v>3</v>
      </c>
    </row>
    <row r="13" customFormat="false" ht="11.1" hidden="false" customHeight="true" outlineLevel="0" collapsed="false">
      <c r="A13" s="13" t="n">
        <f aca="false">A12+1</f>
        <v>4</v>
      </c>
      <c r="B13" s="31" t="n">
        <v>6887.29</v>
      </c>
      <c r="C13" s="7" t="n">
        <v>239129</v>
      </c>
      <c r="D13" s="12" t="n">
        <f aca="false">C13-C12</f>
        <v>33</v>
      </c>
      <c r="E13" s="7" t="n">
        <f aca="false">C13-152000</f>
        <v>87129</v>
      </c>
      <c r="F13" s="6" t="n">
        <f aca="false">D13/$D$2</f>
        <v>16.63725737333</v>
      </c>
      <c r="G13" s="6" t="n">
        <v>108.5</v>
      </c>
      <c r="H13" s="8" t="n">
        <v>0</v>
      </c>
      <c r="I13" s="6" t="n">
        <f aca="false">G13+H13</f>
        <v>108.5</v>
      </c>
      <c r="J13" s="39" t="n">
        <f aca="false">IF(L13&gt;0,L13,0)</f>
        <v>10.13725737333</v>
      </c>
      <c r="K13" s="6" t="n">
        <f aca="false">I13+J13</f>
        <v>118.63725737333</v>
      </c>
      <c r="L13" s="6" t="n">
        <f aca="false">F13-(I13-X13)</f>
        <v>10.13725737333</v>
      </c>
      <c r="M13" s="6" t="n">
        <v>48.8</v>
      </c>
      <c r="N13" s="6" t="n">
        <v>0</v>
      </c>
      <c r="O13" s="6" t="n">
        <v>0</v>
      </c>
      <c r="P13" s="6" t="n">
        <f aca="false">M13-(N13+O13)</f>
        <v>48.8</v>
      </c>
      <c r="Q13" s="6" t="n">
        <v>0</v>
      </c>
      <c r="R13" s="6" t="n">
        <v>19.2</v>
      </c>
      <c r="S13" s="6" t="n">
        <f aca="false">SUM(P13:R13)</f>
        <v>68</v>
      </c>
      <c r="T13" s="7"/>
      <c r="U13" s="6" t="n">
        <v>0</v>
      </c>
      <c r="V13" s="6" t="n">
        <v>34</v>
      </c>
      <c r="W13" s="7" t="n">
        <f aca="false">W12-V13</f>
        <v>15042.5</v>
      </c>
      <c r="X13" s="6" t="n">
        <f aca="false">N13+O13+S13+U13+V13</f>
        <v>102</v>
      </c>
      <c r="Y13" s="6" t="n">
        <f aca="false">IF(L13&lt;0,L13*-1,0)</f>
        <v>0</v>
      </c>
      <c r="Z13" s="6" t="n">
        <f aca="false">X13+Y13</f>
        <v>102</v>
      </c>
      <c r="AA13" s="11" t="n">
        <v>0</v>
      </c>
      <c r="AB13" s="12" t="n">
        <v>49</v>
      </c>
      <c r="AC13" s="12" t="n">
        <v>31</v>
      </c>
      <c r="AD13" s="13" t="n">
        <f aca="false">AD12+1</f>
        <v>4</v>
      </c>
    </row>
    <row r="14" customFormat="false" ht="11.1" hidden="false" customHeight="true" outlineLevel="0" collapsed="false">
      <c r="A14" s="13" t="n">
        <f aca="false">A13+1</f>
        <v>5</v>
      </c>
      <c r="B14" s="31" t="n">
        <v>6887.31</v>
      </c>
      <c r="C14" s="7" t="n">
        <v>239195</v>
      </c>
      <c r="D14" s="12" t="n">
        <f aca="false">C14-C13</f>
        <v>66</v>
      </c>
      <c r="E14" s="7" t="n">
        <f aca="false">C14-152000</f>
        <v>87195</v>
      </c>
      <c r="F14" s="6" t="n">
        <f aca="false">D14/$D$2</f>
        <v>33.2745147466599</v>
      </c>
      <c r="G14" s="6" t="n">
        <v>103</v>
      </c>
      <c r="H14" s="8" t="n">
        <v>0</v>
      </c>
      <c r="I14" s="6" t="n">
        <f aca="false">G14+H14</f>
        <v>103</v>
      </c>
      <c r="J14" s="39" t="n">
        <f aca="false">IF(L14&gt;0,L14,0)</f>
        <v>18.0745147466599</v>
      </c>
      <c r="K14" s="6" t="n">
        <f aca="false">I14+J14</f>
        <v>121.07451474666</v>
      </c>
      <c r="L14" s="6" t="n">
        <f aca="false">F14-(I14-X14)</f>
        <v>18.0745147466599</v>
      </c>
      <c r="M14" s="6" t="n">
        <v>36</v>
      </c>
      <c r="N14" s="6" t="n">
        <v>0</v>
      </c>
      <c r="O14" s="6" t="n">
        <v>0</v>
      </c>
      <c r="P14" s="6" t="n">
        <f aca="false">M14-(N14+O14)</f>
        <v>36</v>
      </c>
      <c r="Q14" s="6" t="n">
        <v>0</v>
      </c>
      <c r="R14" s="6" t="n">
        <v>19</v>
      </c>
      <c r="S14" s="6" t="n">
        <f aca="false">SUM(P14:R14)</f>
        <v>55</v>
      </c>
      <c r="T14" s="7"/>
      <c r="U14" s="6" t="n">
        <v>0</v>
      </c>
      <c r="V14" s="6" t="n">
        <v>32.8</v>
      </c>
      <c r="W14" s="7" t="n">
        <f aca="false">W13-V14</f>
        <v>15009.7</v>
      </c>
      <c r="X14" s="6" t="n">
        <f aca="false">N14+O14+S14+U14+V14</f>
        <v>87.8</v>
      </c>
      <c r="Y14" s="6" t="n">
        <f aca="false">IF(L14&lt;0,L14*-1,0)</f>
        <v>0</v>
      </c>
      <c r="Z14" s="6" t="n">
        <f aca="false">X14+Y14</f>
        <v>87.8</v>
      </c>
      <c r="AA14" s="11" t="n">
        <v>0</v>
      </c>
      <c r="AB14" s="12" t="n">
        <v>49</v>
      </c>
      <c r="AC14" s="12" t="n">
        <v>29</v>
      </c>
      <c r="AD14" s="13" t="n">
        <f aca="false">AD13+1</f>
        <v>5</v>
      </c>
    </row>
    <row r="15" customFormat="false" ht="11.1" hidden="false" customHeight="true" outlineLevel="0" collapsed="false">
      <c r="A15" s="13" t="n">
        <f aca="false">A14+1</f>
        <v>6</v>
      </c>
      <c r="B15" s="31" t="n">
        <v>6887.33</v>
      </c>
      <c r="C15" s="7" t="n">
        <v>239260</v>
      </c>
      <c r="D15" s="12" t="n">
        <f aca="false">C15-C14</f>
        <v>65</v>
      </c>
      <c r="E15" s="7" t="n">
        <f aca="false">C15-152000</f>
        <v>87260</v>
      </c>
      <c r="F15" s="6" t="n">
        <f aca="false">D15/$D$2</f>
        <v>32.7703554323166</v>
      </c>
      <c r="G15" s="6" t="n">
        <v>110.1</v>
      </c>
      <c r="H15" s="8" t="n">
        <v>0</v>
      </c>
      <c r="I15" s="6" t="n">
        <f aca="false">G15+H15</f>
        <v>110.1</v>
      </c>
      <c r="J15" s="39" t="n">
        <f aca="false">IF(L15&gt;0,L15,0)</f>
        <v>0</v>
      </c>
      <c r="K15" s="6" t="n">
        <f aca="false">I15+J15</f>
        <v>110.1</v>
      </c>
      <c r="L15" s="6" t="n">
        <f aca="false">F15-(I15-X15)</f>
        <v>-0.529644567683384</v>
      </c>
      <c r="M15" s="6" t="n">
        <v>26.2</v>
      </c>
      <c r="N15" s="6" t="n">
        <v>0</v>
      </c>
      <c r="O15" s="6" t="n">
        <v>0</v>
      </c>
      <c r="P15" s="6" t="n">
        <f aca="false">M15-(N15+O15)</f>
        <v>26.2</v>
      </c>
      <c r="Q15" s="6" t="n">
        <v>0</v>
      </c>
      <c r="R15" s="6" t="n">
        <v>18.8</v>
      </c>
      <c r="S15" s="6" t="n">
        <f aca="false">SUM(P15:R15)</f>
        <v>45</v>
      </c>
      <c r="T15" s="7"/>
      <c r="U15" s="6" t="n">
        <v>0</v>
      </c>
      <c r="V15" s="6" t="n">
        <v>31.8</v>
      </c>
      <c r="W15" s="7" t="n">
        <f aca="false">W14-V15</f>
        <v>14977.9</v>
      </c>
      <c r="X15" s="6" t="n">
        <f aca="false">N15+O15+S15+U15+V15</f>
        <v>76.8</v>
      </c>
      <c r="Y15" s="6" t="n">
        <f aca="false">IF(L15&lt;0,L15*-1,0)</f>
        <v>0.529644567683384</v>
      </c>
      <c r="Z15" s="6" t="n">
        <f aca="false">X15+Y15</f>
        <v>77.3296445676834</v>
      </c>
      <c r="AA15" s="11" t="n">
        <v>0.13</v>
      </c>
      <c r="AB15" s="12" t="n">
        <v>39</v>
      </c>
      <c r="AC15" s="12" t="n">
        <v>21</v>
      </c>
      <c r="AD15" s="13" t="n">
        <f aca="false">AD14+1</f>
        <v>6</v>
      </c>
    </row>
    <row r="16" customFormat="false" ht="11.1" hidden="false" customHeight="true" outlineLevel="0" collapsed="false">
      <c r="A16" s="13" t="n">
        <f aca="false">A15+1</f>
        <v>7</v>
      </c>
      <c r="B16" s="31" t="n">
        <v>6887.35</v>
      </c>
      <c r="C16" s="7" t="n">
        <v>239326</v>
      </c>
      <c r="D16" s="12" t="n">
        <f aca="false">C16-C15</f>
        <v>66</v>
      </c>
      <c r="E16" s="7" t="n">
        <f aca="false">C16-152000</f>
        <v>87326</v>
      </c>
      <c r="F16" s="6" t="n">
        <f aca="false">D16/$D$2</f>
        <v>33.2745147466599</v>
      </c>
      <c r="G16" s="6" t="n">
        <v>106.5</v>
      </c>
      <c r="H16" s="8" t="n">
        <v>0</v>
      </c>
      <c r="I16" s="6" t="n">
        <f aca="false">G16+H16</f>
        <v>106.5</v>
      </c>
      <c r="J16" s="39" t="n">
        <f aca="false">IF(L16&gt;0,L16,0)</f>
        <v>0</v>
      </c>
      <c r="K16" s="6" t="n">
        <f aca="false">I16+J16</f>
        <v>106.5</v>
      </c>
      <c r="L16" s="6" t="n">
        <f aca="false">F16-(I16-X16)</f>
        <v>-0.425485253340057</v>
      </c>
      <c r="M16" s="6" t="n">
        <v>23.3</v>
      </c>
      <c r="N16" s="6" t="n">
        <v>0</v>
      </c>
      <c r="O16" s="6" t="n">
        <v>0</v>
      </c>
      <c r="P16" s="6" t="n">
        <f aca="false">M16-(N16+O16)</f>
        <v>23.3</v>
      </c>
      <c r="Q16" s="6" t="n">
        <v>0</v>
      </c>
      <c r="R16" s="6" t="n">
        <v>18.7</v>
      </c>
      <c r="S16" s="6" t="n">
        <f aca="false">SUM(P16:R16)</f>
        <v>42</v>
      </c>
      <c r="T16" s="7"/>
      <c r="U16" s="6" t="n">
        <v>0</v>
      </c>
      <c r="V16" s="6" t="n">
        <v>30.8</v>
      </c>
      <c r="W16" s="7" t="n">
        <f aca="false">W15-V16</f>
        <v>14947.1</v>
      </c>
      <c r="X16" s="6" t="n">
        <f aca="false">N16+O16+S16+U16+V16</f>
        <v>72.8</v>
      </c>
      <c r="Y16" s="6" t="n">
        <f aca="false">IF(L16&lt;0,L16*-1,0)</f>
        <v>0.425485253340057</v>
      </c>
      <c r="Z16" s="6" t="n">
        <f aca="false">X16+Y16</f>
        <v>73.2254852533401</v>
      </c>
      <c r="AA16" s="11" t="n">
        <v>0.49</v>
      </c>
      <c r="AB16" s="12" t="n">
        <v>41</v>
      </c>
      <c r="AC16" s="12" t="n">
        <v>24</v>
      </c>
      <c r="AD16" s="13" t="n">
        <f aca="false">AD15+1</f>
        <v>7</v>
      </c>
    </row>
    <row r="17" customFormat="false" ht="11.1" hidden="false" customHeight="true" outlineLevel="0" collapsed="false">
      <c r="A17" s="13" t="n">
        <f aca="false">A16+1</f>
        <v>8</v>
      </c>
      <c r="B17" s="31" t="n">
        <v>6887.35</v>
      </c>
      <c r="C17" s="7" t="n">
        <v>239326</v>
      </c>
      <c r="D17" s="12" t="n">
        <f aca="false">C17-C16</f>
        <v>0</v>
      </c>
      <c r="E17" s="7" t="n">
        <f aca="false">C17-152000</f>
        <v>87326</v>
      </c>
      <c r="F17" s="6" t="n">
        <f aca="false">D17/$D$2</f>
        <v>0</v>
      </c>
      <c r="G17" s="6" t="n">
        <v>95.8</v>
      </c>
      <c r="H17" s="8" t="n">
        <v>0</v>
      </c>
      <c r="I17" s="6" t="n">
        <f aca="false">G17+H17</f>
        <v>95.8</v>
      </c>
      <c r="J17" s="39" t="n">
        <f aca="false">IF(L17&gt;0,L17,0)</f>
        <v>0</v>
      </c>
      <c r="K17" s="6" t="n">
        <f aca="false">I17+J17</f>
        <v>95.8</v>
      </c>
      <c r="L17" s="6" t="n">
        <f aca="false">F17-(I17-X17)</f>
        <v>-26.2</v>
      </c>
      <c r="M17" s="6" t="n">
        <v>20.9</v>
      </c>
      <c r="N17" s="6" t="n">
        <v>0</v>
      </c>
      <c r="O17" s="6" t="n">
        <v>0</v>
      </c>
      <c r="P17" s="6" t="n">
        <f aca="false">M17-(N17+O17)</f>
        <v>20.9</v>
      </c>
      <c r="Q17" s="6" t="n">
        <v>0</v>
      </c>
      <c r="R17" s="6" t="n">
        <v>19.1</v>
      </c>
      <c r="S17" s="6" t="n">
        <f aca="false">SUM(P17:R17)</f>
        <v>40</v>
      </c>
      <c r="T17" s="7"/>
      <c r="U17" s="6" t="n">
        <v>0</v>
      </c>
      <c r="V17" s="6" t="n">
        <v>29.6</v>
      </c>
      <c r="W17" s="7" t="n">
        <f aca="false">W16-V17</f>
        <v>14917.5</v>
      </c>
      <c r="X17" s="6" t="n">
        <f aca="false">N17+O17+S17+U17+V17</f>
        <v>69.6</v>
      </c>
      <c r="Y17" s="6" t="n">
        <f aca="false">IF(L17&lt;0,L17*-1,0)</f>
        <v>26.2</v>
      </c>
      <c r="Z17" s="6" t="n">
        <f aca="false">X17+Y17</f>
        <v>95.8</v>
      </c>
      <c r="AA17" s="11" t="n">
        <v>0</v>
      </c>
      <c r="AB17" s="12" t="n">
        <v>39</v>
      </c>
      <c r="AC17" s="12" t="n">
        <v>22</v>
      </c>
      <c r="AD17" s="13" t="n">
        <f aca="false">AD16+1</f>
        <v>8</v>
      </c>
    </row>
    <row r="18" customFormat="false" ht="11.1" hidden="false" customHeight="true" outlineLevel="0" collapsed="false">
      <c r="A18" s="13" t="n">
        <f aca="false">A17+1</f>
        <v>9</v>
      </c>
      <c r="B18" s="31" t="n">
        <v>6887.37</v>
      </c>
      <c r="C18" s="7" t="n">
        <v>239392</v>
      </c>
      <c r="D18" s="12" t="n">
        <f aca="false">C18-C17</f>
        <v>66</v>
      </c>
      <c r="E18" s="7" t="n">
        <f aca="false">C18-152000</f>
        <v>87392</v>
      </c>
      <c r="F18" s="6" t="n">
        <f aca="false">D18/$D$2</f>
        <v>33.2745147466599</v>
      </c>
      <c r="G18" s="6" t="n">
        <v>92.4</v>
      </c>
      <c r="H18" s="8" t="n">
        <v>0</v>
      </c>
      <c r="I18" s="6" t="n">
        <f aca="false">G18+H18</f>
        <v>92.4</v>
      </c>
      <c r="J18" s="39" t="n">
        <f aca="false">IF(L18&gt;0,L18,0)</f>
        <v>10.5745147466599</v>
      </c>
      <c r="K18" s="6" t="n">
        <f aca="false">I18+J18</f>
        <v>102.97451474666</v>
      </c>
      <c r="L18" s="6" t="n">
        <f aca="false">F18-(I18-X18)</f>
        <v>10.5745147466599</v>
      </c>
      <c r="M18" s="6" t="n">
        <v>20.9</v>
      </c>
      <c r="N18" s="6" t="n">
        <v>0</v>
      </c>
      <c r="O18" s="6" t="n">
        <v>0</v>
      </c>
      <c r="P18" s="6" t="n">
        <f aca="false">M18-(N18+O18)</f>
        <v>20.9</v>
      </c>
      <c r="Q18" s="6" t="n">
        <v>0</v>
      </c>
      <c r="R18" s="6" t="n">
        <v>19.1</v>
      </c>
      <c r="S18" s="6" t="n">
        <f aca="false">SUM(P18:R18)</f>
        <v>40</v>
      </c>
      <c r="T18" s="7"/>
      <c r="U18" s="6" t="n">
        <v>0</v>
      </c>
      <c r="V18" s="6" t="n">
        <v>29.7</v>
      </c>
      <c r="W18" s="7" t="n">
        <f aca="false">W17-V18</f>
        <v>14887.8</v>
      </c>
      <c r="X18" s="6" t="n">
        <f aca="false">N18+O18+S18+U18+V18</f>
        <v>69.7</v>
      </c>
      <c r="Y18" s="6" t="n">
        <f aca="false">IF(L18&lt;0,L18*-1,0)</f>
        <v>0</v>
      </c>
      <c r="Z18" s="6" t="n">
        <f aca="false">X18+Y18</f>
        <v>69.7</v>
      </c>
      <c r="AA18" s="11" t="n">
        <v>0</v>
      </c>
      <c r="AB18" s="41" t="n">
        <v>42</v>
      </c>
      <c r="AC18" s="12" t="n">
        <v>20</v>
      </c>
      <c r="AD18" s="13" t="n">
        <f aca="false">AD17+1</f>
        <v>9</v>
      </c>
    </row>
    <row r="19" customFormat="false" ht="11.1" hidden="false" customHeight="true" outlineLevel="0" collapsed="false">
      <c r="A19" s="13" t="n">
        <f aca="false">A18+1</f>
        <v>10</v>
      </c>
      <c r="B19" s="31" t="n">
        <v>6887.39</v>
      </c>
      <c r="C19" s="7" t="n">
        <v>239458</v>
      </c>
      <c r="D19" s="12" t="n">
        <f aca="false">C19-C18</f>
        <v>66</v>
      </c>
      <c r="E19" s="7" t="n">
        <f aca="false">C19-152000</f>
        <v>87458</v>
      </c>
      <c r="F19" s="6" t="n">
        <f aca="false">D19/$D$2</f>
        <v>33.2745147466599</v>
      </c>
      <c r="G19" s="6" t="n">
        <v>94.1</v>
      </c>
      <c r="H19" s="8" t="n">
        <v>0</v>
      </c>
      <c r="I19" s="6" t="n">
        <f aca="false">G19+H19</f>
        <v>94.1</v>
      </c>
      <c r="J19" s="39" t="n">
        <f aca="false">IF(L19&gt;0,L19,0)</f>
        <v>8.87451474665996</v>
      </c>
      <c r="K19" s="6" t="n">
        <f aca="false">I19+J19</f>
        <v>102.97451474666</v>
      </c>
      <c r="L19" s="6" t="n">
        <f aca="false">F19-(I19-X19)</f>
        <v>8.87451474665996</v>
      </c>
      <c r="M19" s="6" t="n">
        <v>20.9</v>
      </c>
      <c r="N19" s="6" t="n">
        <v>0</v>
      </c>
      <c r="O19" s="6" t="n">
        <v>0</v>
      </c>
      <c r="P19" s="6" t="n">
        <f aca="false">M19-(N19+O19)</f>
        <v>20.9</v>
      </c>
      <c r="Q19" s="6" t="n">
        <v>0</v>
      </c>
      <c r="R19" s="6" t="n">
        <v>19.1</v>
      </c>
      <c r="S19" s="6" t="n">
        <f aca="false">SUM(P19:R19)</f>
        <v>40</v>
      </c>
      <c r="T19" s="7"/>
      <c r="U19" s="6" t="n">
        <v>0</v>
      </c>
      <c r="V19" s="6" t="n">
        <v>29.7</v>
      </c>
      <c r="W19" s="7" t="n">
        <f aca="false">W18-V19</f>
        <v>14858.1</v>
      </c>
      <c r="X19" s="6" t="n">
        <f aca="false">N19+O19+S19+U19+V19</f>
        <v>69.7</v>
      </c>
      <c r="Y19" s="6" t="n">
        <f aca="false">IF(L19&lt;0,L19*-1,0)</f>
        <v>0</v>
      </c>
      <c r="Z19" s="6" t="n">
        <f aca="false">X19+Y19</f>
        <v>69.7</v>
      </c>
      <c r="AA19" s="11" t="n">
        <v>0</v>
      </c>
      <c r="AB19" s="12" t="n">
        <v>53</v>
      </c>
      <c r="AC19" s="12" t="n">
        <v>24</v>
      </c>
      <c r="AD19" s="13" t="n">
        <f aca="false">AD18+1</f>
        <v>10</v>
      </c>
    </row>
    <row r="20" customFormat="false" ht="11.1" hidden="false" customHeight="true" outlineLevel="0" collapsed="false">
      <c r="A20" s="13" t="n">
        <f aca="false">A19+1</f>
        <v>11</v>
      </c>
      <c r="B20" s="31" t="n">
        <v>6887.41</v>
      </c>
      <c r="C20" s="7" t="n">
        <v>239524</v>
      </c>
      <c r="D20" s="12" t="n">
        <f aca="false">C20-C19</f>
        <v>66</v>
      </c>
      <c r="E20" s="7" t="n">
        <f aca="false">C20-152000</f>
        <v>87524</v>
      </c>
      <c r="F20" s="6" t="n">
        <f aca="false">D20/$D$2</f>
        <v>33.2745147466599</v>
      </c>
      <c r="G20" s="6" t="n">
        <v>95.7</v>
      </c>
      <c r="H20" s="8" t="n">
        <v>0</v>
      </c>
      <c r="I20" s="6" t="n">
        <f aca="false">G20+H20</f>
        <v>95.7</v>
      </c>
      <c r="J20" s="39" t="n">
        <f aca="false">IF(L20&gt;0,L20,0)</f>
        <v>7.27451474665995</v>
      </c>
      <c r="K20" s="6" t="n">
        <f aca="false">I20+J20</f>
        <v>102.97451474666</v>
      </c>
      <c r="L20" s="6" t="n">
        <f aca="false">F20-(I20-X20)</f>
        <v>7.27451474665995</v>
      </c>
      <c r="M20" s="6" t="n">
        <v>20.9</v>
      </c>
      <c r="N20" s="6" t="n">
        <v>0</v>
      </c>
      <c r="O20" s="6" t="n">
        <v>0</v>
      </c>
      <c r="P20" s="6" t="n">
        <f aca="false">M20-(N20+O20)</f>
        <v>20.9</v>
      </c>
      <c r="Q20" s="6" t="n">
        <v>0</v>
      </c>
      <c r="R20" s="6" t="n">
        <v>19.1</v>
      </c>
      <c r="S20" s="6" t="n">
        <f aca="false">SUM(P20:R20)</f>
        <v>40</v>
      </c>
      <c r="T20" s="7"/>
      <c r="U20" s="6" t="n">
        <v>0</v>
      </c>
      <c r="V20" s="6" t="n">
        <v>29.7</v>
      </c>
      <c r="W20" s="7" t="n">
        <f aca="false">W19-V20</f>
        <v>14828.4</v>
      </c>
      <c r="X20" s="6" t="n">
        <f aca="false">N20+O20+S20+U20+V20</f>
        <v>69.7</v>
      </c>
      <c r="Y20" s="6" t="n">
        <f aca="false">IF(L20&lt;0,L20*-1,0)</f>
        <v>0</v>
      </c>
      <c r="Z20" s="6" t="n">
        <f aca="false">X20+Y20</f>
        <v>69.7</v>
      </c>
      <c r="AA20" s="11" t="n">
        <v>0</v>
      </c>
      <c r="AB20" s="12" t="n">
        <v>55</v>
      </c>
      <c r="AC20" s="12" t="n">
        <v>23</v>
      </c>
      <c r="AD20" s="13" t="n">
        <f aca="false">AD19+1</f>
        <v>11</v>
      </c>
    </row>
    <row r="21" customFormat="false" ht="11.1" hidden="false" customHeight="true" outlineLevel="0" collapsed="false">
      <c r="A21" s="13" t="n">
        <f aca="false">A20+1</f>
        <v>12</v>
      </c>
      <c r="B21" s="31" t="n">
        <v>6887.4</v>
      </c>
      <c r="C21" s="7" t="n">
        <v>239491</v>
      </c>
      <c r="D21" s="12" t="n">
        <f aca="false">C21-C20</f>
        <v>-33</v>
      </c>
      <c r="E21" s="7" t="n">
        <f aca="false">C21-152000</f>
        <v>87491</v>
      </c>
      <c r="F21" s="6" t="n">
        <f aca="false">D21/$D$2</f>
        <v>-16.63725737333</v>
      </c>
      <c r="G21" s="6" t="n">
        <v>95.3</v>
      </c>
      <c r="H21" s="8" t="n">
        <v>0</v>
      </c>
      <c r="I21" s="6" t="n">
        <f aca="false">G21+H21</f>
        <v>95.3</v>
      </c>
      <c r="J21" s="39" t="n">
        <f aca="false">IF(L21&gt;0,L21,0)</f>
        <v>0</v>
      </c>
      <c r="K21" s="6" t="n">
        <f aca="false">I21+J21</f>
        <v>95.3</v>
      </c>
      <c r="L21" s="6" t="n">
        <f aca="false">F21-(I21-X21)</f>
        <v>-36.23725737333</v>
      </c>
      <c r="M21" s="6" t="n">
        <v>27.5</v>
      </c>
      <c r="N21" s="6" t="n">
        <v>0</v>
      </c>
      <c r="O21" s="6" t="n">
        <v>0</v>
      </c>
      <c r="P21" s="6" t="n">
        <f aca="false">M21-(N21+O21)</f>
        <v>27.5</v>
      </c>
      <c r="Q21" s="6" t="n">
        <v>0</v>
      </c>
      <c r="R21" s="6" t="n">
        <v>18.5</v>
      </c>
      <c r="S21" s="6" t="n">
        <f aca="false">SUM(P21:R21)</f>
        <v>46</v>
      </c>
      <c r="T21" s="7"/>
      <c r="U21" s="6" t="n">
        <v>0</v>
      </c>
      <c r="V21" s="6" t="n">
        <v>29.7</v>
      </c>
      <c r="W21" s="7" t="n">
        <f aca="false">W20-V21</f>
        <v>14798.7</v>
      </c>
      <c r="X21" s="6" t="n">
        <f aca="false">N21+O21+S21+U21+V21</f>
        <v>75.7</v>
      </c>
      <c r="Y21" s="6" t="n">
        <f aca="false">IF(L21&lt;0,L21*-1,0)</f>
        <v>36.23725737333</v>
      </c>
      <c r="Z21" s="6" t="n">
        <f aca="false">X21+Y21</f>
        <v>111.93725737333</v>
      </c>
      <c r="AA21" s="11" t="n">
        <v>0</v>
      </c>
      <c r="AB21" s="12" t="n">
        <v>62</v>
      </c>
      <c r="AC21" s="12" t="n">
        <v>23</v>
      </c>
      <c r="AD21" s="13" t="n">
        <f aca="false">AD20+1</f>
        <v>12</v>
      </c>
    </row>
    <row r="22" customFormat="false" ht="11.1" hidden="false" customHeight="true" outlineLevel="0" collapsed="false">
      <c r="A22" s="13" t="n">
        <f aca="false">A21+1</f>
        <v>13</v>
      </c>
      <c r="B22" s="31" t="n">
        <v>6887.41</v>
      </c>
      <c r="C22" s="7" t="n">
        <v>239524</v>
      </c>
      <c r="D22" s="12" t="n">
        <f aca="false">C22-C21</f>
        <v>33</v>
      </c>
      <c r="E22" s="7" t="n">
        <f aca="false">C22-152000</f>
        <v>87524</v>
      </c>
      <c r="F22" s="6" t="n">
        <f aca="false">D22/$D$2</f>
        <v>16.63725737333</v>
      </c>
      <c r="G22" s="6" t="n">
        <v>97.2</v>
      </c>
      <c r="H22" s="8" t="n">
        <v>0</v>
      </c>
      <c r="I22" s="6" t="n">
        <f aca="false">G22+H22</f>
        <v>97.2</v>
      </c>
      <c r="J22" s="39" t="n">
        <f aca="false">IF(L22&gt;0,L22,0)</f>
        <v>0</v>
      </c>
      <c r="K22" s="6" t="n">
        <f aca="false">I22+J22</f>
        <v>97.2</v>
      </c>
      <c r="L22" s="6" t="n">
        <f aca="false">F22-(I22-X22)</f>
        <v>-2.06274262667003</v>
      </c>
      <c r="M22" s="6" t="n">
        <v>31.2</v>
      </c>
      <c r="N22" s="6" t="n">
        <v>0</v>
      </c>
      <c r="O22" s="6" t="n">
        <v>0</v>
      </c>
      <c r="P22" s="6" t="n">
        <f aca="false">M22-(N22+O22)</f>
        <v>31.2</v>
      </c>
      <c r="Q22" s="6" t="n">
        <v>0</v>
      </c>
      <c r="R22" s="6" t="n">
        <v>17.8</v>
      </c>
      <c r="S22" s="6" t="n">
        <f aca="false">SUM(P22:R22)</f>
        <v>49</v>
      </c>
      <c r="T22" s="7"/>
      <c r="U22" s="6" t="n">
        <v>0</v>
      </c>
      <c r="V22" s="6" t="n">
        <v>29.5</v>
      </c>
      <c r="W22" s="7" t="n">
        <f aca="false">W21-V22</f>
        <v>14769.2</v>
      </c>
      <c r="X22" s="6" t="n">
        <f aca="false">N22+O22+S22+U22+V22</f>
        <v>78.5</v>
      </c>
      <c r="Y22" s="6" t="n">
        <f aca="false">IF(L22&lt;0,L22*-1,0)</f>
        <v>2.06274262667003</v>
      </c>
      <c r="Z22" s="6" t="n">
        <f aca="false">X22+Y22</f>
        <v>80.56274262667</v>
      </c>
      <c r="AA22" s="11" t="n">
        <v>0</v>
      </c>
      <c r="AB22" s="12" t="n">
        <v>61</v>
      </c>
      <c r="AC22" s="12" t="n">
        <v>22</v>
      </c>
      <c r="AD22" s="13" t="n">
        <f aca="false">AD21+1</f>
        <v>13</v>
      </c>
    </row>
    <row r="23" customFormat="false" ht="11.1" hidden="false" customHeight="true" outlineLevel="0" collapsed="false">
      <c r="A23" s="13" t="n">
        <f aca="false">A22+1</f>
        <v>14</v>
      </c>
      <c r="B23" s="31" t="n">
        <v>6887.42</v>
      </c>
      <c r="C23" s="7" t="n">
        <v>239557</v>
      </c>
      <c r="D23" s="12" t="n">
        <f aca="false">C23-C22</f>
        <v>33</v>
      </c>
      <c r="E23" s="7" t="n">
        <f aca="false">C23-152000</f>
        <v>87557</v>
      </c>
      <c r="F23" s="6" t="n">
        <f aca="false">D23/$D$2</f>
        <v>16.63725737333</v>
      </c>
      <c r="G23" s="6" t="n">
        <v>95.1</v>
      </c>
      <c r="H23" s="8" t="n">
        <v>0</v>
      </c>
      <c r="I23" s="6" t="n">
        <f aca="false">G23+H23</f>
        <v>95.1</v>
      </c>
      <c r="J23" s="39" t="n">
        <f aca="false">IF(L23&gt;0,L23,0)</f>
        <v>1.23725737332998</v>
      </c>
      <c r="K23" s="6" t="n">
        <f aca="false">I23+J23</f>
        <v>96.33725737333</v>
      </c>
      <c r="L23" s="6" t="n">
        <f aca="false">F23-(I23-X23)</f>
        <v>1.23725737332998</v>
      </c>
      <c r="M23" s="6" t="n">
        <v>31.2</v>
      </c>
      <c r="N23" s="6" t="n">
        <v>0</v>
      </c>
      <c r="O23" s="6" t="n">
        <v>0</v>
      </c>
      <c r="P23" s="6" t="n">
        <f aca="false">M23-(N23+O23)</f>
        <v>31.2</v>
      </c>
      <c r="Q23" s="6" t="n">
        <v>0</v>
      </c>
      <c r="R23" s="6" t="n">
        <v>18.8</v>
      </c>
      <c r="S23" s="6" t="n">
        <f aca="false">SUM(P23:R23)</f>
        <v>50</v>
      </c>
      <c r="T23" s="7"/>
      <c r="U23" s="6" t="n">
        <v>0</v>
      </c>
      <c r="V23" s="6" t="n">
        <v>29.7</v>
      </c>
      <c r="W23" s="7" t="n">
        <f aca="false">W22-V23</f>
        <v>14739.5</v>
      </c>
      <c r="X23" s="6" t="n">
        <f aca="false">N23+O23+S23+U23+V23</f>
        <v>79.7</v>
      </c>
      <c r="Y23" s="6" t="n">
        <f aca="false">IF(L23&lt;0,L23*-1,0)</f>
        <v>0</v>
      </c>
      <c r="Z23" s="6" t="n">
        <f aca="false">X23+Y23</f>
        <v>79.7</v>
      </c>
      <c r="AA23" s="11" t="n">
        <v>0</v>
      </c>
      <c r="AB23" s="41" t="n">
        <v>60</v>
      </c>
      <c r="AC23" s="12" t="n">
        <v>20</v>
      </c>
      <c r="AD23" s="13" t="n">
        <f aca="false">AD22+1</f>
        <v>14</v>
      </c>
    </row>
    <row r="24" customFormat="false" ht="11.1" hidden="false" customHeight="true" outlineLevel="0" collapsed="false">
      <c r="A24" s="13" t="n">
        <f aca="false">A23+1</f>
        <v>15</v>
      </c>
      <c r="B24" s="31" t="n">
        <v>6887.42</v>
      </c>
      <c r="C24" s="7" t="n">
        <v>239557</v>
      </c>
      <c r="D24" s="12" t="n">
        <f aca="false">C24-C23</f>
        <v>0</v>
      </c>
      <c r="E24" s="7" t="n">
        <f aca="false">C24-152000</f>
        <v>87557</v>
      </c>
      <c r="F24" s="6" t="n">
        <f aca="false">D24/$D$2</f>
        <v>0</v>
      </c>
      <c r="G24" s="6" t="n">
        <v>95.9</v>
      </c>
      <c r="H24" s="8" t="n">
        <v>0</v>
      </c>
      <c r="I24" s="6" t="n">
        <f aca="false">G24+H24</f>
        <v>95.9</v>
      </c>
      <c r="J24" s="39" t="n">
        <f aca="false">IF(L24&gt;0,L24,0)</f>
        <v>0</v>
      </c>
      <c r="K24" s="6" t="n">
        <f aca="false">I24+J24</f>
        <v>95.9</v>
      </c>
      <c r="L24" s="6" t="n">
        <f aca="false">F24-(I24-X24)</f>
        <v>-17.3</v>
      </c>
      <c r="M24" s="6" t="n">
        <v>31.2</v>
      </c>
      <c r="N24" s="6" t="n">
        <v>0</v>
      </c>
      <c r="O24" s="6" t="n">
        <v>0</v>
      </c>
      <c r="P24" s="6" t="n">
        <f aca="false">M24-(N24+O24)</f>
        <v>31.2</v>
      </c>
      <c r="Q24" s="6" t="n">
        <v>0</v>
      </c>
      <c r="R24" s="6" t="n">
        <v>17.8</v>
      </c>
      <c r="S24" s="6" t="n">
        <f aca="false">SUM(P24:R24)</f>
        <v>49</v>
      </c>
      <c r="T24" s="7"/>
      <c r="U24" s="6" t="n">
        <v>0</v>
      </c>
      <c r="V24" s="6" t="n">
        <v>29.6</v>
      </c>
      <c r="W24" s="7" t="n">
        <f aca="false">W23-V24</f>
        <v>14709.9</v>
      </c>
      <c r="X24" s="6" t="n">
        <f aca="false">N24+O24+S24+U24+V24</f>
        <v>78.6</v>
      </c>
      <c r="Y24" s="6" t="n">
        <f aca="false">IF(L24&lt;0,L24*-1,0)</f>
        <v>17.3</v>
      </c>
      <c r="Z24" s="6" t="n">
        <f aca="false">X24+Y24</f>
        <v>95.9</v>
      </c>
      <c r="AA24" s="11" t="n">
        <v>0</v>
      </c>
      <c r="AB24" s="41" t="n">
        <v>60</v>
      </c>
      <c r="AC24" s="12" t="n">
        <v>21</v>
      </c>
      <c r="AD24" s="13" t="n">
        <f aca="false">AD23+1</f>
        <v>15</v>
      </c>
    </row>
    <row r="25" customFormat="false" ht="11.1" hidden="false" customHeight="true" outlineLevel="0" collapsed="false">
      <c r="A25" s="13" t="n">
        <f aca="false">A24+1</f>
        <v>16</v>
      </c>
      <c r="B25" s="31" t="n">
        <v>6887.43</v>
      </c>
      <c r="C25" s="7" t="n">
        <v>239590</v>
      </c>
      <c r="D25" s="12" t="n">
        <f aca="false">C25-C24</f>
        <v>33</v>
      </c>
      <c r="E25" s="7" t="n">
        <f aca="false">C25-152000</f>
        <v>87590</v>
      </c>
      <c r="F25" s="6" t="n">
        <f aca="false">D25/$D$2</f>
        <v>16.63725737333</v>
      </c>
      <c r="G25" s="6" t="n">
        <v>98.4</v>
      </c>
      <c r="H25" s="8" t="n">
        <v>0</v>
      </c>
      <c r="I25" s="6" t="n">
        <f aca="false">G25+H25</f>
        <v>98.4</v>
      </c>
      <c r="J25" s="39" t="n">
        <f aca="false">IF(L25&gt;0,L25,0)</f>
        <v>0</v>
      </c>
      <c r="K25" s="6" t="n">
        <f aca="false">I25+J25</f>
        <v>98.4</v>
      </c>
      <c r="L25" s="6" t="n">
        <f aca="false">F25-(I25-X25)</f>
        <v>-2.96274262667004</v>
      </c>
      <c r="M25" s="6" t="n">
        <v>31.2</v>
      </c>
      <c r="N25" s="6" t="n">
        <v>0</v>
      </c>
      <c r="O25" s="6" t="n">
        <v>0</v>
      </c>
      <c r="P25" s="6" t="n">
        <f aca="false">M25-(N25+O25)</f>
        <v>31.2</v>
      </c>
      <c r="Q25" s="6" t="n">
        <v>0</v>
      </c>
      <c r="R25" s="6" t="n">
        <v>17.8</v>
      </c>
      <c r="S25" s="6" t="n">
        <f aca="false">SUM(P25:R25)</f>
        <v>49</v>
      </c>
      <c r="T25" s="7"/>
      <c r="U25" s="6" t="n">
        <v>0</v>
      </c>
      <c r="V25" s="6" t="n">
        <v>29.8</v>
      </c>
      <c r="W25" s="7" t="n">
        <f aca="false">W24-V25</f>
        <v>14680.1</v>
      </c>
      <c r="X25" s="6" t="n">
        <f aca="false">N25+O25+S25+U25+V25</f>
        <v>78.8</v>
      </c>
      <c r="Y25" s="6" t="n">
        <f aca="false">IF(L25&lt;0,L25*-1,0)</f>
        <v>2.96274262667004</v>
      </c>
      <c r="Z25" s="6" t="n">
        <f aca="false">X25+Y25</f>
        <v>81.76274262667</v>
      </c>
      <c r="AA25" s="11" t="n">
        <v>0</v>
      </c>
      <c r="AB25" s="41" t="n">
        <v>60</v>
      </c>
      <c r="AC25" s="12" t="n">
        <v>20</v>
      </c>
      <c r="AD25" s="13" t="n">
        <f aca="false">AD24+1</f>
        <v>16</v>
      </c>
    </row>
    <row r="26" customFormat="false" ht="11.1" hidden="false" customHeight="true" outlineLevel="0" collapsed="false">
      <c r="A26" s="13" t="n">
        <f aca="false">A25+1</f>
        <v>17</v>
      </c>
      <c r="B26" s="31" t="n">
        <v>6887.44</v>
      </c>
      <c r="C26" s="7" t="n">
        <v>239623</v>
      </c>
      <c r="D26" s="12" t="n">
        <f aca="false">C26-C25</f>
        <v>33</v>
      </c>
      <c r="E26" s="7" t="n">
        <f aca="false">C26-152000</f>
        <v>87623</v>
      </c>
      <c r="F26" s="6" t="n">
        <f aca="false">D26/$D$2</f>
        <v>16.63725737333</v>
      </c>
      <c r="G26" s="6" t="n">
        <v>98.5</v>
      </c>
      <c r="H26" s="8" t="n">
        <v>0</v>
      </c>
      <c r="I26" s="6" t="n">
        <f aca="false">G26+H26</f>
        <v>98.5</v>
      </c>
      <c r="J26" s="39" t="n">
        <f aca="false">IF(L26&gt;0,L26,0)</f>
        <v>0</v>
      </c>
      <c r="K26" s="6" t="n">
        <f aca="false">I26+J26</f>
        <v>98.5</v>
      </c>
      <c r="L26" s="6" t="n">
        <f aca="false">F26-(I26-X26)</f>
        <v>-3.16274262667002</v>
      </c>
      <c r="M26" s="6" t="n">
        <v>31.2</v>
      </c>
      <c r="N26" s="6" t="n">
        <v>0</v>
      </c>
      <c r="O26" s="6" t="n">
        <v>0</v>
      </c>
      <c r="P26" s="6" t="n">
        <f aca="false">M26-(N26+O26)</f>
        <v>31.2</v>
      </c>
      <c r="Q26" s="6" t="n">
        <v>0</v>
      </c>
      <c r="R26" s="6" t="n">
        <v>17.8</v>
      </c>
      <c r="S26" s="6" t="n">
        <f aca="false">SUM(P26:R26)</f>
        <v>49</v>
      </c>
      <c r="T26" s="7"/>
      <c r="U26" s="6" t="n">
        <v>0</v>
      </c>
      <c r="V26" s="6" t="n">
        <v>29.7</v>
      </c>
      <c r="W26" s="7" t="n">
        <f aca="false">W25-V26</f>
        <v>14650.4</v>
      </c>
      <c r="X26" s="6" t="n">
        <f aca="false">N26+O26+S26+U26+V26</f>
        <v>78.7</v>
      </c>
      <c r="Y26" s="6" t="n">
        <f aca="false">IF(L26&lt;0,L26*-1,0)</f>
        <v>3.16274262667002</v>
      </c>
      <c r="Z26" s="6" t="n">
        <f aca="false">X26+Y26</f>
        <v>81.86274262667</v>
      </c>
      <c r="AA26" s="11" t="n">
        <v>0</v>
      </c>
      <c r="AB26" s="41" t="n">
        <v>58</v>
      </c>
      <c r="AC26" s="12" t="n">
        <v>28</v>
      </c>
      <c r="AD26" s="13" t="n">
        <f aca="false">AD25+1</f>
        <v>17</v>
      </c>
    </row>
    <row r="27" customFormat="false" ht="11.1" hidden="false" customHeight="true" outlineLevel="0" collapsed="false">
      <c r="A27" s="13" t="n">
        <f aca="false">A26+1</f>
        <v>18</v>
      </c>
      <c r="B27" s="31" t="n">
        <v>6887.45</v>
      </c>
      <c r="C27" s="7" t="n">
        <v>239656</v>
      </c>
      <c r="D27" s="12" t="n">
        <f aca="false">C27-C26</f>
        <v>33</v>
      </c>
      <c r="E27" s="7" t="n">
        <f aca="false">C27-152000</f>
        <v>87656</v>
      </c>
      <c r="F27" s="6" t="n">
        <f aca="false">D27/$D$2</f>
        <v>16.63725737333</v>
      </c>
      <c r="G27" s="6" t="n">
        <v>98.2</v>
      </c>
      <c r="H27" s="8" t="n">
        <v>0</v>
      </c>
      <c r="I27" s="6" t="n">
        <f aca="false">G27+H27</f>
        <v>98.2</v>
      </c>
      <c r="J27" s="39" t="n">
        <f aca="false">IF(L27&gt;0,L27,0)</f>
        <v>0</v>
      </c>
      <c r="K27" s="6" t="n">
        <f aca="false">I27+J27</f>
        <v>98.2</v>
      </c>
      <c r="L27" s="6" t="n">
        <f aca="false">F27-(I27-X27)</f>
        <v>-2.86274262667003</v>
      </c>
      <c r="M27" s="6" t="n">
        <v>31.2</v>
      </c>
      <c r="N27" s="6" t="n">
        <v>0</v>
      </c>
      <c r="O27" s="6" t="n">
        <v>0</v>
      </c>
      <c r="P27" s="6" t="n">
        <f aca="false">M27-(N27+O27)</f>
        <v>31.2</v>
      </c>
      <c r="Q27" s="6" t="n">
        <v>0</v>
      </c>
      <c r="R27" s="6" t="n">
        <v>17.8</v>
      </c>
      <c r="S27" s="6" t="n">
        <f aca="false">SUM(P27:R27)</f>
        <v>49</v>
      </c>
      <c r="T27" s="7"/>
      <c r="U27" s="6" t="n">
        <v>0</v>
      </c>
      <c r="V27" s="6" t="n">
        <v>29.7</v>
      </c>
      <c r="W27" s="7" t="n">
        <f aca="false">W26-V27</f>
        <v>14620.7</v>
      </c>
      <c r="X27" s="6" t="n">
        <f aca="false">N27+O27+S27+U27+V27</f>
        <v>78.7</v>
      </c>
      <c r="Y27" s="6" t="n">
        <f aca="false">IF(L27&lt;0,L27*-1,0)</f>
        <v>2.86274262667003</v>
      </c>
      <c r="Z27" s="6" t="n">
        <f aca="false">X27+Y27</f>
        <v>81.56274262667</v>
      </c>
      <c r="AA27" s="11" t="n">
        <v>0</v>
      </c>
      <c r="AB27" s="41" t="n">
        <v>61</v>
      </c>
      <c r="AC27" s="12" t="n">
        <v>34</v>
      </c>
      <c r="AD27" s="13" t="n">
        <f aca="false">AD26+1</f>
        <v>18</v>
      </c>
    </row>
    <row r="28" customFormat="false" ht="11.1" hidden="false" customHeight="true" outlineLevel="0" collapsed="false">
      <c r="A28" s="13" t="n">
        <f aca="false">A27+1</f>
        <v>19</v>
      </c>
      <c r="B28" s="31" t="n">
        <v>6887.46</v>
      </c>
      <c r="C28" s="7" t="n">
        <v>239689</v>
      </c>
      <c r="D28" s="12" t="n">
        <f aca="false">C28-C27</f>
        <v>33</v>
      </c>
      <c r="E28" s="7" t="n">
        <f aca="false">C28-152000</f>
        <v>87689</v>
      </c>
      <c r="F28" s="6" t="n">
        <f aca="false">D28/$D$2</f>
        <v>16.63725737333</v>
      </c>
      <c r="G28" s="6" t="n">
        <v>92.8</v>
      </c>
      <c r="H28" s="8" t="n">
        <v>0</v>
      </c>
      <c r="I28" s="6" t="n">
        <f aca="false">G28+H28</f>
        <v>92.8</v>
      </c>
      <c r="J28" s="39" t="n">
        <f aca="false">IF(L28&gt;0,L28,0)</f>
        <v>3.93725737332997</v>
      </c>
      <c r="K28" s="6" t="n">
        <f aca="false">I28+J28</f>
        <v>96.73725737333</v>
      </c>
      <c r="L28" s="6" t="n">
        <f aca="false">F28-(I28-X28)</f>
        <v>3.93725737332997</v>
      </c>
      <c r="M28" s="6" t="n">
        <v>31.2</v>
      </c>
      <c r="N28" s="6" t="n">
        <v>0</v>
      </c>
      <c r="O28" s="6" t="n">
        <v>0</v>
      </c>
      <c r="P28" s="6" t="n">
        <f aca="false">M28-(N28+O28)</f>
        <v>31.2</v>
      </c>
      <c r="Q28" s="6" t="n">
        <v>0</v>
      </c>
      <c r="R28" s="6" t="n">
        <v>17.8</v>
      </c>
      <c r="S28" s="6" t="n">
        <f aca="false">SUM(P28:R28)</f>
        <v>49</v>
      </c>
      <c r="T28" s="7"/>
      <c r="U28" s="6" t="n">
        <v>0</v>
      </c>
      <c r="V28" s="6" t="n">
        <v>31.1</v>
      </c>
      <c r="W28" s="7" t="n">
        <f aca="false">W27-V28</f>
        <v>14589.6</v>
      </c>
      <c r="X28" s="6" t="n">
        <f aca="false">N28+O28+S28+U28+V28</f>
        <v>80.1</v>
      </c>
      <c r="Y28" s="6" t="n">
        <f aca="false">IF(L28&lt;0,L28*-1,0)</f>
        <v>0</v>
      </c>
      <c r="Z28" s="6" t="n">
        <f aca="false">X28+Y28</f>
        <v>80.1</v>
      </c>
      <c r="AA28" s="11" t="n">
        <v>0</v>
      </c>
      <c r="AB28" s="41" t="n">
        <v>53</v>
      </c>
      <c r="AC28" s="12" t="n">
        <v>39</v>
      </c>
      <c r="AD28" s="13" t="n">
        <f aca="false">AD27+1</f>
        <v>19</v>
      </c>
    </row>
    <row r="29" customFormat="false" ht="11.1" hidden="false" customHeight="true" outlineLevel="0" collapsed="false">
      <c r="A29" s="13" t="n">
        <f aca="false">A28+1</f>
        <v>20</v>
      </c>
      <c r="B29" s="31" t="n">
        <v>6887.48</v>
      </c>
      <c r="C29" s="7" t="n">
        <v>239755</v>
      </c>
      <c r="D29" s="12" t="n">
        <f aca="false">C29-C28</f>
        <v>66</v>
      </c>
      <c r="E29" s="7" t="n">
        <f aca="false">C29-152000</f>
        <v>87755</v>
      </c>
      <c r="F29" s="6" t="n">
        <f aca="false">D29/$D$2</f>
        <v>33.2745147466599</v>
      </c>
      <c r="G29" s="6" t="n">
        <v>94.1</v>
      </c>
      <c r="H29" s="8" t="n">
        <v>0</v>
      </c>
      <c r="I29" s="6" t="n">
        <f aca="false">G29+H29</f>
        <v>94.1</v>
      </c>
      <c r="J29" s="39" t="n">
        <f aca="false">IF(L29&gt;0,L29,0)</f>
        <v>17.87451474666</v>
      </c>
      <c r="K29" s="6" t="n">
        <f aca="false">I29+J29</f>
        <v>111.97451474666</v>
      </c>
      <c r="L29" s="6" t="n">
        <f aca="false">F29-(I29-X29)</f>
        <v>17.87451474666</v>
      </c>
      <c r="M29" s="6" t="n">
        <v>31.2</v>
      </c>
      <c r="N29" s="6" t="n">
        <v>0</v>
      </c>
      <c r="O29" s="6" t="n">
        <v>0</v>
      </c>
      <c r="P29" s="6" t="n">
        <f aca="false">M29-(N29+O29)</f>
        <v>31.2</v>
      </c>
      <c r="Q29" s="6" t="n">
        <v>0</v>
      </c>
      <c r="R29" s="6" t="n">
        <v>17.8</v>
      </c>
      <c r="S29" s="6" t="n">
        <f aca="false">SUM(P29:R29)</f>
        <v>49</v>
      </c>
      <c r="T29" s="7"/>
      <c r="U29" s="6" t="n">
        <v>0</v>
      </c>
      <c r="V29" s="6" t="n">
        <v>29.7</v>
      </c>
      <c r="W29" s="7" t="n">
        <f aca="false">W28-V29</f>
        <v>14559.9</v>
      </c>
      <c r="X29" s="6" t="n">
        <f aca="false">N29+O29+S29+U29+V29</f>
        <v>78.7</v>
      </c>
      <c r="Y29" s="6" t="n">
        <f aca="false">IF(L29&lt;0,L29*-1,0)</f>
        <v>0</v>
      </c>
      <c r="Z29" s="6" t="n">
        <f aca="false">X29+Y29</f>
        <v>78.7</v>
      </c>
      <c r="AA29" s="11" t="n">
        <v>0</v>
      </c>
      <c r="AB29" s="41" t="n">
        <v>49</v>
      </c>
      <c r="AC29" s="12" t="n">
        <v>43</v>
      </c>
      <c r="AD29" s="13" t="n">
        <f aca="false">AD28+1</f>
        <v>20</v>
      </c>
    </row>
    <row r="30" customFormat="false" ht="11.1" hidden="false" customHeight="true" outlineLevel="0" collapsed="false">
      <c r="A30" s="13" t="n">
        <f aca="false">A29+1</f>
        <v>21</v>
      </c>
      <c r="B30" s="31" t="n">
        <v>6887.48</v>
      </c>
      <c r="C30" s="7" t="n">
        <v>239755</v>
      </c>
      <c r="D30" s="12" t="n">
        <f aca="false">C30-C29</f>
        <v>0</v>
      </c>
      <c r="E30" s="7" t="n">
        <f aca="false">C30-152000</f>
        <v>87755</v>
      </c>
      <c r="F30" s="6" t="n">
        <f aca="false">D30/$D$2</f>
        <v>0</v>
      </c>
      <c r="G30" s="6" t="n">
        <v>92.8</v>
      </c>
      <c r="H30" s="8" t="n">
        <v>0</v>
      </c>
      <c r="I30" s="6" t="n">
        <f aca="false">G30+H30</f>
        <v>92.8</v>
      </c>
      <c r="J30" s="39" t="n">
        <f aca="false">IF(L30&gt;0,L30,0)</f>
        <v>0</v>
      </c>
      <c r="K30" s="6" t="n">
        <f aca="false">I30+J30</f>
        <v>92.8</v>
      </c>
      <c r="L30" s="6" t="n">
        <f aca="false">F30-(I30-X30)</f>
        <v>-47.1</v>
      </c>
      <c r="M30" s="6" t="n">
        <v>15.2</v>
      </c>
      <c r="N30" s="6" t="n">
        <v>0</v>
      </c>
      <c r="O30" s="6" t="n">
        <v>0</v>
      </c>
      <c r="P30" s="6" t="n">
        <f aca="false">M30-(N30+O30)</f>
        <v>15.2</v>
      </c>
      <c r="Q30" s="6" t="n">
        <v>0</v>
      </c>
      <c r="R30" s="6" t="n">
        <v>0.8</v>
      </c>
      <c r="S30" s="6" t="n">
        <f aca="false">SUM(P30:R30)</f>
        <v>16</v>
      </c>
      <c r="T30" s="7"/>
      <c r="U30" s="6" t="n">
        <v>0</v>
      </c>
      <c r="V30" s="6" t="n">
        <v>29.7</v>
      </c>
      <c r="W30" s="7" t="n">
        <f aca="false">W29-V30</f>
        <v>14530.2</v>
      </c>
      <c r="X30" s="6" t="n">
        <f aca="false">N30+O30+S30+U30+V30</f>
        <v>45.7</v>
      </c>
      <c r="Y30" s="6" t="n">
        <f aca="false">IF(L30&lt;0,L30*-1,0)</f>
        <v>47.1</v>
      </c>
      <c r="Z30" s="6" t="n">
        <f aca="false">X30+Y30</f>
        <v>92.8</v>
      </c>
      <c r="AA30" s="11" t="n">
        <v>0</v>
      </c>
      <c r="AB30" s="12" t="n">
        <v>59</v>
      </c>
      <c r="AC30" s="12" t="n">
        <v>17</v>
      </c>
      <c r="AD30" s="13" t="n">
        <f aca="false">AD29+1</f>
        <v>21</v>
      </c>
    </row>
    <row r="31" customFormat="false" ht="11.1" hidden="false" customHeight="true" outlineLevel="0" collapsed="false">
      <c r="A31" s="13" t="n">
        <f aca="false">A30+1</f>
        <v>22</v>
      </c>
      <c r="B31" s="31" t="n">
        <v>6887.49</v>
      </c>
      <c r="C31" s="7" t="n">
        <v>239788</v>
      </c>
      <c r="D31" s="12" t="n">
        <f aca="false">C31-C30</f>
        <v>33</v>
      </c>
      <c r="E31" s="7" t="n">
        <f aca="false">C31-152000</f>
        <v>87788</v>
      </c>
      <c r="F31" s="6" t="n">
        <f aca="false">D31/$D$2</f>
        <v>16.63725737333</v>
      </c>
      <c r="G31" s="6" t="n">
        <v>70.6</v>
      </c>
      <c r="H31" s="8" t="n">
        <v>0</v>
      </c>
      <c r="I31" s="6" t="n">
        <f aca="false">G31+H31</f>
        <v>70.6</v>
      </c>
      <c r="J31" s="39" t="n">
        <f aca="false">IF(L31&gt;0,L31,0)</f>
        <v>0</v>
      </c>
      <c r="K31" s="6" t="n">
        <f aca="false">I31+J31</f>
        <v>70.6</v>
      </c>
      <c r="L31" s="6" t="n">
        <f aca="false">F31-(I31-X31)</f>
        <v>-17.56274262667</v>
      </c>
      <c r="M31" s="6" t="n">
        <v>6.7</v>
      </c>
      <c r="N31" s="6" t="n">
        <v>0</v>
      </c>
      <c r="O31" s="6" t="n">
        <v>0</v>
      </c>
      <c r="P31" s="6" t="n">
        <f aca="false">M31-(N31+O31)</f>
        <v>6.7</v>
      </c>
      <c r="Q31" s="6" t="n">
        <v>0</v>
      </c>
      <c r="R31" s="6" t="n">
        <v>0</v>
      </c>
      <c r="S31" s="6" t="n">
        <f aca="false">SUM(P31:R31)</f>
        <v>6.7</v>
      </c>
      <c r="T31" s="7"/>
      <c r="U31" s="6" t="n">
        <v>0</v>
      </c>
      <c r="V31" s="6" t="n">
        <v>29.7</v>
      </c>
      <c r="W31" s="7" t="n">
        <f aca="false">W30-V31</f>
        <v>14500.5</v>
      </c>
      <c r="X31" s="6" t="n">
        <f aca="false">N31+O31+S31+U31+V31</f>
        <v>36.4</v>
      </c>
      <c r="Y31" s="6" t="n">
        <f aca="false">IF(L31&lt;0,L31*-1,0)</f>
        <v>17.56274262667</v>
      </c>
      <c r="Z31" s="6" t="n">
        <f aca="false">X31+Y31</f>
        <v>53.96274262667</v>
      </c>
      <c r="AA31" s="11" t="n">
        <v>0</v>
      </c>
      <c r="AB31" s="12" t="n">
        <v>58</v>
      </c>
      <c r="AC31" s="12" t="n">
        <v>16</v>
      </c>
      <c r="AD31" s="13" t="n">
        <f aca="false">AD30+1</f>
        <v>22</v>
      </c>
    </row>
    <row r="32" customFormat="false" ht="11.1" hidden="false" customHeight="true" outlineLevel="0" collapsed="false">
      <c r="A32" s="13" t="n">
        <f aca="false">A31+1</f>
        <v>23</v>
      </c>
      <c r="B32" s="31" t="n">
        <v>6887.51</v>
      </c>
      <c r="C32" s="7" t="n">
        <v>239854</v>
      </c>
      <c r="D32" s="12" t="n">
        <f aca="false">C32-C31</f>
        <v>66</v>
      </c>
      <c r="E32" s="7" t="n">
        <f aca="false">C32-152000</f>
        <v>87854</v>
      </c>
      <c r="F32" s="6" t="n">
        <f aca="false">D32/$D$2</f>
        <v>33.2745147466599</v>
      </c>
      <c r="G32" s="6" t="n">
        <v>79.3</v>
      </c>
      <c r="H32" s="8" t="n">
        <v>0</v>
      </c>
      <c r="I32" s="6" t="n">
        <f aca="false">G32+H32</f>
        <v>79.3</v>
      </c>
      <c r="J32" s="39" t="n">
        <f aca="false">IF(L32&gt;0,L32,0)</f>
        <v>0</v>
      </c>
      <c r="K32" s="6" t="n">
        <f aca="false">I32+J32</f>
        <v>79.3</v>
      </c>
      <c r="L32" s="6" t="n">
        <f aca="false">F32-(I32-X32)</f>
        <v>-9.62548525334005</v>
      </c>
      <c r="M32" s="6" t="n">
        <v>6.7</v>
      </c>
      <c r="N32" s="6" t="n">
        <v>0</v>
      </c>
      <c r="O32" s="6" t="n">
        <v>0</v>
      </c>
      <c r="P32" s="6" t="n">
        <f aca="false">M32-(N32+O32)</f>
        <v>6.7</v>
      </c>
      <c r="Q32" s="6" t="n">
        <v>0</v>
      </c>
      <c r="R32" s="6" t="n">
        <v>0</v>
      </c>
      <c r="S32" s="6" t="n">
        <f aca="false">SUM(P32:R32)</f>
        <v>6.7</v>
      </c>
      <c r="T32" s="7"/>
      <c r="U32" s="6" t="n">
        <v>0</v>
      </c>
      <c r="V32" s="6" t="n">
        <v>29.7</v>
      </c>
      <c r="W32" s="7" t="n">
        <f aca="false">W31-V32</f>
        <v>14470.8</v>
      </c>
      <c r="X32" s="6" t="n">
        <f aca="false">N32+O32+S32+U32+V32</f>
        <v>36.4</v>
      </c>
      <c r="Y32" s="6" t="n">
        <f aca="false">IF(L32&lt;0,L32*-1,0)</f>
        <v>9.62548525334005</v>
      </c>
      <c r="Z32" s="6" t="n">
        <f aca="false">X32+Y32</f>
        <v>46.0254852533401</v>
      </c>
      <c r="AA32" s="11" t="n">
        <v>0</v>
      </c>
      <c r="AB32" s="12" t="n">
        <v>58</v>
      </c>
      <c r="AC32" s="41" t="n">
        <v>16</v>
      </c>
      <c r="AD32" s="13" t="n">
        <f aca="false">AD31+1</f>
        <v>23</v>
      </c>
    </row>
    <row r="33" customFormat="false" ht="11.1" hidden="false" customHeight="true" outlineLevel="0" collapsed="false">
      <c r="A33" s="13" t="n">
        <f aca="false">A32+1</f>
        <v>24</v>
      </c>
      <c r="B33" s="31" t="n">
        <v>6887.53</v>
      </c>
      <c r="C33" s="7" t="n">
        <v>239920</v>
      </c>
      <c r="D33" s="12" t="n">
        <f aca="false">C33-C32</f>
        <v>66</v>
      </c>
      <c r="E33" s="7" t="n">
        <f aca="false">C33-152000</f>
        <v>87920</v>
      </c>
      <c r="F33" s="6" t="n">
        <f aca="false">D33/$D$2</f>
        <v>33.2745147466599</v>
      </c>
      <c r="G33" s="6" t="n">
        <v>116.7</v>
      </c>
      <c r="H33" s="8" t="n">
        <v>0</v>
      </c>
      <c r="I33" s="6" t="n">
        <f aca="false">G33+H33</f>
        <v>116.7</v>
      </c>
      <c r="J33" s="39" t="n">
        <f aca="false">IF(L33&gt;0,L33,0)</f>
        <v>0</v>
      </c>
      <c r="K33" s="6" t="n">
        <f aca="false">I33+J33</f>
        <v>116.7</v>
      </c>
      <c r="L33" s="6" t="n">
        <f aca="false">F33-(I33-X33)</f>
        <v>-47.0254852533401</v>
      </c>
      <c r="M33" s="6" t="n">
        <v>6.7</v>
      </c>
      <c r="N33" s="6" t="n">
        <v>0</v>
      </c>
      <c r="O33" s="6" t="n">
        <v>0</v>
      </c>
      <c r="P33" s="6" t="n">
        <f aca="false">M33-(N33+O33)</f>
        <v>6.7</v>
      </c>
      <c r="Q33" s="6" t="n">
        <v>0</v>
      </c>
      <c r="R33" s="6" t="n">
        <v>0</v>
      </c>
      <c r="S33" s="6" t="n">
        <f aca="false">SUM(P33:R33)</f>
        <v>6.7</v>
      </c>
      <c r="T33" s="7"/>
      <c r="U33" s="6" t="n">
        <v>0</v>
      </c>
      <c r="V33" s="6" t="n">
        <v>29.7</v>
      </c>
      <c r="W33" s="7" t="n">
        <f aca="false">W32-V33</f>
        <v>14441.1</v>
      </c>
      <c r="X33" s="6" t="n">
        <f aca="false">N33+O33+S33+U33+V33</f>
        <v>36.4</v>
      </c>
      <c r="Y33" s="6" t="n">
        <f aca="false">IF(L33&lt;0,L33*-1,0)</f>
        <v>47.0254852533401</v>
      </c>
      <c r="Z33" s="6" t="n">
        <f aca="false">X33+Y33</f>
        <v>83.4254852533401</v>
      </c>
      <c r="AA33" s="11" t="n">
        <v>0.64</v>
      </c>
      <c r="AB33" s="12" t="n">
        <v>56</v>
      </c>
      <c r="AC33" s="41" t="n">
        <v>17</v>
      </c>
      <c r="AD33" s="13" t="n">
        <f aca="false">AD32+1</f>
        <v>24</v>
      </c>
    </row>
    <row r="34" customFormat="false" ht="11.1" hidden="false" customHeight="true" outlineLevel="0" collapsed="false">
      <c r="A34" s="13" t="n">
        <f aca="false">A33+1</f>
        <v>25</v>
      </c>
      <c r="B34" s="31" t="n">
        <v>6887.55</v>
      </c>
      <c r="C34" s="7" t="n">
        <v>239986</v>
      </c>
      <c r="D34" s="12" t="n">
        <f aca="false">C34-C33</f>
        <v>66</v>
      </c>
      <c r="E34" s="7" t="n">
        <f aca="false">C34-152000</f>
        <v>87986</v>
      </c>
      <c r="F34" s="6" t="n">
        <f aca="false">D34/$D$2</f>
        <v>33.2745147466599</v>
      </c>
      <c r="G34" s="6" t="n">
        <v>102.2</v>
      </c>
      <c r="H34" s="8" t="n">
        <v>0</v>
      </c>
      <c r="I34" s="6" t="n">
        <f aca="false">G34+H34</f>
        <v>102.2</v>
      </c>
      <c r="J34" s="39" t="n">
        <f aca="false">IF(L34&gt;0,L34,0)</f>
        <v>0</v>
      </c>
      <c r="K34" s="6" t="n">
        <f aca="false">I34+J34</f>
        <v>102.2</v>
      </c>
      <c r="L34" s="6" t="n">
        <f aca="false">F34-(I34-X34)</f>
        <v>-32.5254852533401</v>
      </c>
      <c r="M34" s="6" t="n">
        <v>6.7</v>
      </c>
      <c r="N34" s="6" t="n">
        <v>0</v>
      </c>
      <c r="O34" s="6" t="n">
        <v>0</v>
      </c>
      <c r="P34" s="6" t="n">
        <f aca="false">M34-(N34+O34)</f>
        <v>6.7</v>
      </c>
      <c r="Q34" s="6" t="n">
        <v>0</v>
      </c>
      <c r="R34" s="6" t="n">
        <v>0</v>
      </c>
      <c r="S34" s="6" t="n">
        <f aca="false">SUM(P34:R34)</f>
        <v>6.7</v>
      </c>
      <c r="T34" s="7"/>
      <c r="U34" s="6" t="n">
        <v>0</v>
      </c>
      <c r="V34" s="6" t="n">
        <v>29.7</v>
      </c>
      <c r="W34" s="7" t="n">
        <f aca="false">W33-V34</f>
        <v>14411.4</v>
      </c>
      <c r="X34" s="6" t="n">
        <f aca="false">N34+O34+S34+U34+V34</f>
        <v>36.4</v>
      </c>
      <c r="Y34" s="6" t="n">
        <f aca="false">IF(L34&lt;0,L34*-1,0)</f>
        <v>32.5254852533401</v>
      </c>
      <c r="Z34" s="6" t="n">
        <f aca="false">X34+Y34</f>
        <v>68.9254852533401</v>
      </c>
      <c r="AA34" s="11" t="n">
        <v>0</v>
      </c>
      <c r="AB34" s="12" t="n">
        <v>59</v>
      </c>
      <c r="AC34" s="41" t="n">
        <v>16</v>
      </c>
      <c r="AD34" s="13" t="n">
        <f aca="false">AD33+1</f>
        <v>25</v>
      </c>
    </row>
    <row r="35" customFormat="false" ht="11.1" hidden="false" customHeight="true" outlineLevel="0" collapsed="false">
      <c r="A35" s="13" t="n">
        <f aca="false">A34+1</f>
        <v>26</v>
      </c>
      <c r="B35" s="31" t="n">
        <v>6887.6</v>
      </c>
      <c r="C35" s="7" t="n">
        <v>240151</v>
      </c>
      <c r="D35" s="12" t="n">
        <f aca="false">C35-C34</f>
        <v>165</v>
      </c>
      <c r="E35" s="7" t="n">
        <f aca="false">C35-152000</f>
        <v>88151</v>
      </c>
      <c r="F35" s="6" t="n">
        <f aca="false">D35/$D$2</f>
        <v>83.1862868666499</v>
      </c>
      <c r="G35" s="6" t="n">
        <v>92.7</v>
      </c>
      <c r="H35" s="8" t="n">
        <v>0</v>
      </c>
      <c r="I35" s="6" t="n">
        <f aca="false">G35+H35</f>
        <v>92.7</v>
      </c>
      <c r="J35" s="39" t="n">
        <f aca="false">IF(L35&gt;0,L35,0)</f>
        <v>26.6862868666499</v>
      </c>
      <c r="K35" s="6" t="n">
        <f aca="false">I35+J35</f>
        <v>119.38628686665</v>
      </c>
      <c r="L35" s="6" t="n">
        <f aca="false">F35-(I35-X35)</f>
        <v>26.6862868666499</v>
      </c>
      <c r="M35" s="6" t="n">
        <v>6.7</v>
      </c>
      <c r="N35" s="6" t="n">
        <v>0</v>
      </c>
      <c r="O35" s="6" t="n">
        <v>0</v>
      </c>
      <c r="P35" s="6" t="n">
        <f aca="false">M35-(N35+O35)</f>
        <v>6.7</v>
      </c>
      <c r="Q35" s="6" t="n">
        <v>0</v>
      </c>
      <c r="R35" s="6" t="n">
        <v>0</v>
      </c>
      <c r="S35" s="6" t="n">
        <f aca="false">SUM(P35:R35)</f>
        <v>6.7</v>
      </c>
      <c r="T35" s="7"/>
      <c r="U35" s="6" t="n">
        <v>0</v>
      </c>
      <c r="V35" s="6" t="n">
        <v>29.5</v>
      </c>
      <c r="W35" s="7" t="n">
        <f aca="false">W34-V35</f>
        <v>14381.9</v>
      </c>
      <c r="X35" s="6" t="n">
        <f aca="false">N35+O35+S35+U35+V35</f>
        <v>36.2</v>
      </c>
      <c r="Y35" s="6" t="n">
        <f aca="false">IF(L35&lt;0,L35*-1,0)</f>
        <v>0</v>
      </c>
      <c r="Z35" s="6" t="n">
        <f aca="false">X35+Y35</f>
        <v>36.2</v>
      </c>
      <c r="AA35" s="11" t="n">
        <v>0</v>
      </c>
      <c r="AB35" s="12" t="n">
        <v>41</v>
      </c>
      <c r="AC35" s="12" t="n">
        <v>23</v>
      </c>
      <c r="AD35" s="13" t="n">
        <f aca="false">AD34+1</f>
        <v>26</v>
      </c>
    </row>
    <row r="36" customFormat="false" ht="11.1" hidden="false" customHeight="true" outlineLevel="0" collapsed="false">
      <c r="A36" s="13" t="n">
        <f aca="false">A35+1</f>
        <v>27</v>
      </c>
      <c r="B36" s="31" t="n">
        <v>6887.65</v>
      </c>
      <c r="C36" s="7" t="n">
        <v>240315</v>
      </c>
      <c r="D36" s="12" t="n">
        <f aca="false">C36-C35</f>
        <v>164</v>
      </c>
      <c r="E36" s="7" t="n">
        <f aca="false">C36-152000</f>
        <v>88315</v>
      </c>
      <c r="F36" s="6" t="n">
        <f aca="false">D36/$D$2</f>
        <v>82.6821275523065</v>
      </c>
      <c r="G36" s="6" t="n">
        <v>90</v>
      </c>
      <c r="H36" s="8" t="n">
        <v>0</v>
      </c>
      <c r="I36" s="6" t="n">
        <f aca="false">G36+H36</f>
        <v>90</v>
      </c>
      <c r="J36" s="39" t="n">
        <f aca="false">IF(L36&gt;0,L36,0)</f>
        <v>28.9821275523065</v>
      </c>
      <c r="K36" s="6" t="n">
        <f aca="false">I36+J36</f>
        <v>118.982127552307</v>
      </c>
      <c r="L36" s="6" t="n">
        <f aca="false">F36-(I36-X36)</f>
        <v>28.9821275523065</v>
      </c>
      <c r="M36" s="6" t="n">
        <v>6.7</v>
      </c>
      <c r="N36" s="6" t="n">
        <v>0</v>
      </c>
      <c r="O36" s="6" t="n">
        <v>0</v>
      </c>
      <c r="P36" s="6" t="n">
        <f aca="false">M36-(N36+O36)</f>
        <v>6.7</v>
      </c>
      <c r="Q36" s="6" t="n">
        <v>0</v>
      </c>
      <c r="R36" s="6" t="n">
        <v>0</v>
      </c>
      <c r="S36" s="6" t="n">
        <f aca="false">SUM(P36:R36)</f>
        <v>6.7</v>
      </c>
      <c r="T36" s="7"/>
      <c r="U36" s="6" t="n">
        <v>0</v>
      </c>
      <c r="V36" s="6" t="n">
        <v>29.6</v>
      </c>
      <c r="W36" s="7" t="n">
        <f aca="false">W35-V36</f>
        <v>14352.3</v>
      </c>
      <c r="X36" s="6" t="n">
        <f aca="false">N36+O36+S36+U36+V36</f>
        <v>36.3</v>
      </c>
      <c r="Y36" s="6" t="n">
        <f aca="false">IF(L36&lt;0,L36*-1,0)</f>
        <v>0</v>
      </c>
      <c r="Z36" s="6" t="n">
        <f aca="false">X36+Y36</f>
        <v>36.3</v>
      </c>
      <c r="AA36" s="11" t="n">
        <v>0</v>
      </c>
      <c r="AB36" s="12" t="n">
        <v>30</v>
      </c>
      <c r="AC36" s="12" t="n">
        <v>15</v>
      </c>
      <c r="AD36" s="13" t="n">
        <f aca="false">AD35+1</f>
        <v>27</v>
      </c>
    </row>
    <row r="37" customFormat="false" ht="11.1" hidden="false" customHeight="true" outlineLevel="0" collapsed="false">
      <c r="A37" s="13" t="n">
        <f aca="false">A36+1</f>
        <v>28</v>
      </c>
      <c r="B37" s="31" t="n">
        <v>6887.64</v>
      </c>
      <c r="C37" s="7" t="n">
        <v>240282</v>
      </c>
      <c r="D37" s="12" t="n">
        <f aca="false">C37-C36</f>
        <v>-33</v>
      </c>
      <c r="E37" s="7" t="n">
        <f aca="false">C37-152000</f>
        <v>88282</v>
      </c>
      <c r="F37" s="6" t="n">
        <f aca="false">D37/$D$2</f>
        <v>-16.63725737333</v>
      </c>
      <c r="G37" s="6" t="n">
        <v>69.3</v>
      </c>
      <c r="H37" s="8" t="n">
        <v>0</v>
      </c>
      <c r="I37" s="6" t="n">
        <f aca="false">G37+H37</f>
        <v>69.3</v>
      </c>
      <c r="J37" s="39" t="n">
        <f aca="false">IF(L37&gt;0,L37,0)</f>
        <v>0</v>
      </c>
      <c r="K37" s="6" t="n">
        <f aca="false">I37+J37</f>
        <v>69.3</v>
      </c>
      <c r="L37" s="6" t="n">
        <f aca="false">F37-(I37-X37)</f>
        <v>-50.03725737333</v>
      </c>
      <c r="M37" s="6" t="n">
        <v>6.7</v>
      </c>
      <c r="N37" s="6" t="n">
        <v>0</v>
      </c>
      <c r="O37" s="6" t="n">
        <v>0</v>
      </c>
      <c r="P37" s="6" t="n">
        <f aca="false">M37-(N37+O37)</f>
        <v>6.7</v>
      </c>
      <c r="Q37" s="6" t="n">
        <v>0</v>
      </c>
      <c r="R37" s="6" t="n">
        <v>0</v>
      </c>
      <c r="S37" s="6" t="n">
        <f aca="false">SUM(P37:R37)</f>
        <v>6.7</v>
      </c>
      <c r="T37" s="7"/>
      <c r="U37" s="6" t="n">
        <v>0</v>
      </c>
      <c r="V37" s="6" t="n">
        <v>29.2</v>
      </c>
      <c r="W37" s="7" t="n">
        <f aca="false">W36-V37</f>
        <v>14323.1</v>
      </c>
      <c r="X37" s="6" t="n">
        <f aca="false">N37+O37+S37+U37+V37</f>
        <v>35.9</v>
      </c>
      <c r="Y37" s="6" t="n">
        <f aca="false">IF(L37&lt;0,L37*-1,0)</f>
        <v>50.03725737333</v>
      </c>
      <c r="Z37" s="6" t="n">
        <f aca="false">X37+Y37</f>
        <v>85.93725737333</v>
      </c>
      <c r="AA37" s="11" t="n">
        <v>0</v>
      </c>
      <c r="AB37" s="12" t="n">
        <v>32</v>
      </c>
      <c r="AC37" s="12" t="n">
        <v>5</v>
      </c>
      <c r="AD37" s="13" t="n">
        <f aca="false">AD36+1</f>
        <v>28</v>
      </c>
    </row>
    <row r="38" customFormat="false" ht="11.1" hidden="false" customHeight="true" outlineLevel="0" collapsed="false">
      <c r="A38" s="13" t="n">
        <f aca="false">A37+1</f>
        <v>29</v>
      </c>
      <c r="B38" s="31" t="n">
        <v>6887.62</v>
      </c>
      <c r="C38" s="7" t="n">
        <v>240216</v>
      </c>
      <c r="D38" s="12" t="n">
        <f aca="false">C38-C37</f>
        <v>-66</v>
      </c>
      <c r="E38" s="7" t="n">
        <f aca="false">C38-152000</f>
        <v>88216</v>
      </c>
      <c r="F38" s="6" t="n">
        <f aca="false">D38/$D$2</f>
        <v>-33.2745147466599</v>
      </c>
      <c r="G38" s="6" t="n">
        <v>52.5</v>
      </c>
      <c r="H38" s="8" t="n">
        <v>0</v>
      </c>
      <c r="I38" s="6" t="n">
        <f aca="false">G38+H38</f>
        <v>52.5</v>
      </c>
      <c r="J38" s="39" t="n">
        <f aca="false">IF(L38&gt;0,L38,0)</f>
        <v>0</v>
      </c>
      <c r="K38" s="6" t="n">
        <f aca="false">I38+J38</f>
        <v>52.5</v>
      </c>
      <c r="L38" s="6" t="n">
        <f aca="false">F38-(I38-X38)</f>
        <v>-50.0745147466599</v>
      </c>
      <c r="M38" s="6" t="n">
        <v>6.7</v>
      </c>
      <c r="N38" s="6" t="n">
        <v>0</v>
      </c>
      <c r="O38" s="6" t="n">
        <v>0</v>
      </c>
      <c r="P38" s="6" t="n">
        <f aca="false">M38-(N38+O38)</f>
        <v>6.7</v>
      </c>
      <c r="Q38" s="6" t="n">
        <v>0</v>
      </c>
      <c r="R38" s="6" t="n">
        <v>0</v>
      </c>
      <c r="S38" s="6" t="n">
        <f aca="false">SUM(P38:R38)</f>
        <v>6.7</v>
      </c>
      <c r="T38" s="7"/>
      <c r="U38" s="6" t="n">
        <v>0</v>
      </c>
      <c r="V38" s="6" t="n">
        <v>29</v>
      </c>
      <c r="W38" s="7" t="n">
        <f aca="false">W37-V38</f>
        <v>14294.1</v>
      </c>
      <c r="X38" s="6" t="n">
        <f aca="false">N38+O38+S38+U38+V38</f>
        <v>35.7</v>
      </c>
      <c r="Y38" s="6" t="n">
        <f aca="false">IF(L38&lt;0,L38*-1,0)</f>
        <v>50.0745147466599</v>
      </c>
      <c r="Z38" s="6" t="n">
        <f aca="false">X38+Y38</f>
        <v>85.77451474666</v>
      </c>
      <c r="AA38" s="11" t="n">
        <v>0</v>
      </c>
      <c r="AB38" s="41" t="n">
        <v>43</v>
      </c>
      <c r="AC38" s="12" t="n">
        <v>7</v>
      </c>
      <c r="AD38" s="13" t="n">
        <f aca="false">AD37+1</f>
        <v>29</v>
      </c>
    </row>
    <row r="39" customFormat="false" ht="11.1" hidden="false" customHeight="true" outlineLevel="0" collapsed="false">
      <c r="A39" s="13" t="n">
        <v>30</v>
      </c>
      <c r="B39" s="31" t="n">
        <v>6887.63</v>
      </c>
      <c r="C39" s="7" t="n">
        <v>240249</v>
      </c>
      <c r="D39" s="12" t="n">
        <f aca="false">C39-C38</f>
        <v>33</v>
      </c>
      <c r="E39" s="7" t="n">
        <f aca="false">C39-152000</f>
        <v>88249</v>
      </c>
      <c r="F39" s="6" t="n">
        <f aca="false">D39/$D$2</f>
        <v>16.63725737333</v>
      </c>
      <c r="G39" s="6" t="n">
        <v>52.7</v>
      </c>
      <c r="H39" s="8" t="n">
        <v>0</v>
      </c>
      <c r="I39" s="6" t="n">
        <f aca="false">G39+H39</f>
        <v>52.7</v>
      </c>
      <c r="J39" s="39" t="n">
        <f aca="false">IF(L39&gt;0,L39,0)</f>
        <v>0</v>
      </c>
      <c r="K39" s="6" t="n">
        <f aca="false">I39+J39</f>
        <v>52.7</v>
      </c>
      <c r="L39" s="6" t="n">
        <f aca="false">F39-(I39-X39)</f>
        <v>-0.0627426266700297</v>
      </c>
      <c r="M39" s="6" t="n">
        <v>6.7</v>
      </c>
      <c r="N39" s="6" t="n">
        <v>0</v>
      </c>
      <c r="O39" s="6" t="n">
        <v>0</v>
      </c>
      <c r="P39" s="6" t="n">
        <f aca="false">M39-(N39+O39)</f>
        <v>6.7</v>
      </c>
      <c r="Q39" s="6" t="n">
        <v>0</v>
      </c>
      <c r="R39" s="6" t="n">
        <v>0</v>
      </c>
      <c r="S39" s="6" t="n">
        <f aca="false">SUM(P39:R39)</f>
        <v>6.7</v>
      </c>
      <c r="T39" s="7"/>
      <c r="U39" s="6" t="n">
        <v>0</v>
      </c>
      <c r="V39" s="6" t="n">
        <v>29.3</v>
      </c>
      <c r="W39" s="7" t="n">
        <f aca="false">W38-V39</f>
        <v>14264.8</v>
      </c>
      <c r="X39" s="6" t="n">
        <f aca="false">N39+O39+S39+U39+V39</f>
        <v>36</v>
      </c>
      <c r="Y39" s="6" t="n">
        <f aca="false">IF(L39&lt;0,L39*-1,0)</f>
        <v>0.0627426266700297</v>
      </c>
      <c r="Z39" s="6" t="n">
        <f aca="false">X39+Y39</f>
        <v>36.06274262667</v>
      </c>
      <c r="AA39" s="11" t="n">
        <v>0</v>
      </c>
      <c r="AB39" s="41" t="n">
        <v>38</v>
      </c>
      <c r="AC39" s="12" t="n">
        <v>12</v>
      </c>
      <c r="AD39" s="13" t="n">
        <v>30</v>
      </c>
    </row>
    <row r="40" customFormat="false" ht="3" hidden="false" customHeight="true" outlineLevel="0" collapsed="false">
      <c r="A40" s="32"/>
      <c r="B40" s="32"/>
      <c r="C40" s="34"/>
      <c r="D40" s="32"/>
      <c r="E40" s="34"/>
      <c r="F40" s="32"/>
      <c r="G40" s="32"/>
      <c r="H40" s="35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4"/>
      <c r="U40" s="32"/>
      <c r="V40" s="32"/>
      <c r="W40" s="32"/>
      <c r="X40" s="32"/>
      <c r="Y40" s="32"/>
      <c r="Z40" s="32"/>
      <c r="AA40" s="36"/>
      <c r="AB40" s="37"/>
      <c r="AC40" s="37"/>
      <c r="AD40" s="38"/>
    </row>
    <row r="41" customFormat="false" ht="11.1" hidden="false" customHeight="true" outlineLevel="0" collapsed="false">
      <c r="A41" s="6" t="s">
        <v>46</v>
      </c>
      <c r="B41" s="6"/>
      <c r="C41" s="7"/>
      <c r="D41" s="7"/>
      <c r="E41" s="7"/>
      <c r="F41" s="7" t="n">
        <f aca="false">SUM(F10:F39)</f>
        <v>697.756491051172</v>
      </c>
      <c r="G41" s="7" t="n">
        <f aca="false">SUM(G10:G39)</f>
        <v>2871.7</v>
      </c>
      <c r="H41" s="7" t="n">
        <f aca="false">SUM(H10:H39)</f>
        <v>0</v>
      </c>
      <c r="I41" s="7" t="n">
        <f aca="false">SUM(I10:I39)</f>
        <v>2871.7</v>
      </c>
      <c r="J41" s="7" t="n">
        <f aca="false">SUM(J10:J39)</f>
        <v>184.076304512226</v>
      </c>
      <c r="K41" s="7" t="n">
        <f aca="false">SUM(K10:K39)</f>
        <v>3055.77630451223</v>
      </c>
      <c r="L41" s="7" t="n">
        <f aca="false">SUM(L10:L39)</f>
        <v>-170.443508948828</v>
      </c>
      <c r="M41" s="7" t="n">
        <f aca="false">SUM(M10:M40)</f>
        <v>716.9</v>
      </c>
      <c r="N41" s="7" t="n">
        <f aca="false">SUM(N10:N39)</f>
        <v>0</v>
      </c>
      <c r="O41" s="7" t="n">
        <f aca="false">SUM(O10:O39)</f>
        <v>0</v>
      </c>
      <c r="P41" s="7" t="n">
        <f aca="false">SUM(P10:P39)</f>
        <v>716.9</v>
      </c>
      <c r="Q41" s="7" t="n">
        <f aca="false">SUM(Q10:Q39)</f>
        <v>0</v>
      </c>
      <c r="R41" s="7" t="n">
        <f aca="false">SUM(R10:R39)</f>
        <v>372.4</v>
      </c>
      <c r="S41" s="7" t="n">
        <f aca="false">SUM(S10:S39)</f>
        <v>1089.3</v>
      </c>
      <c r="T41" s="7"/>
      <c r="U41" s="7" t="n">
        <f aca="false">SUM(U10:U39)</f>
        <v>0</v>
      </c>
      <c r="V41" s="7" t="n">
        <f aca="false">SUM(V10:V39)</f>
        <v>914.2</v>
      </c>
      <c r="W41" s="7"/>
      <c r="X41" s="7" t="n">
        <f aca="false">SUM(X10:X39)</f>
        <v>2003.5</v>
      </c>
      <c r="Y41" s="7" t="n">
        <f aca="false">SUM(Y10:Y39)</f>
        <v>354.519813461054</v>
      </c>
      <c r="Z41" s="7" t="n">
        <f aca="false">SUM(Z10:Z39)</f>
        <v>2358.01981346105</v>
      </c>
      <c r="AA41" s="11" t="n">
        <f aca="false">SUM(AA10:AA39)</f>
        <v>1.48</v>
      </c>
      <c r="AB41" s="12" t="n">
        <f aca="false">AVERAGE(AB10:AB39)</f>
        <v>50.6</v>
      </c>
      <c r="AC41" s="12" t="n">
        <f aca="false">AVERAGE(AC10:AC39)</f>
        <v>23.1333333333333</v>
      </c>
      <c r="AD41" s="13" t="s">
        <v>47</v>
      </c>
    </row>
    <row r="42" customFormat="false" ht="11.1" hidden="false" customHeight="true" outlineLevel="0" collapsed="false">
      <c r="A42" s="6" t="s">
        <v>48</v>
      </c>
      <c r="B42" s="6"/>
      <c r="C42" s="7"/>
      <c r="D42" s="7" t="n">
        <f aca="false">SUM(D10:D39)</f>
        <v>1384</v>
      </c>
      <c r="E42" s="7"/>
      <c r="F42" s="7" t="n">
        <f aca="false">F41*$D$2</f>
        <v>1384</v>
      </c>
      <c r="G42" s="7" t="n">
        <f aca="false">G41*$D$2</f>
        <v>5696.01695</v>
      </c>
      <c r="H42" s="7" t="n">
        <f aca="false">H41*$D$2</f>
        <v>0</v>
      </c>
      <c r="I42" s="7" t="n">
        <f aca="false">I41*$D$2</f>
        <v>5696.01695</v>
      </c>
      <c r="J42" s="7" t="n">
        <f aca="false">J41*$D$2</f>
        <v>365.11535</v>
      </c>
      <c r="K42" s="7" t="n">
        <f aca="false">K41*$D$2</f>
        <v>6061.1323</v>
      </c>
      <c r="L42" s="7" t="n">
        <f aca="false">L41*$D$2</f>
        <v>-338.0747</v>
      </c>
      <c r="M42" s="7" t="n">
        <f aca="false">M41*$D$2</f>
        <v>1421.97115</v>
      </c>
      <c r="N42" s="7" t="n">
        <f aca="false">N41*$D$2</f>
        <v>0</v>
      </c>
      <c r="O42" s="7" t="n">
        <f aca="false">O41*$D$2</f>
        <v>0</v>
      </c>
      <c r="P42" s="7" t="n">
        <f aca="false">P41*$D$2</f>
        <v>1421.97115</v>
      </c>
      <c r="Q42" s="7" t="n">
        <f aca="false">Q41*$D$2</f>
        <v>0</v>
      </c>
      <c r="R42" s="7" t="n">
        <f aca="false">R41*$D$2</f>
        <v>738.6554</v>
      </c>
      <c r="S42" s="7" t="n">
        <f aca="false">S41*$D$2</f>
        <v>2160.62655</v>
      </c>
      <c r="T42" s="7"/>
      <c r="U42" s="7" t="n">
        <f aca="false">U41*$D$2</f>
        <v>0</v>
      </c>
      <c r="V42" s="7" t="n">
        <f aca="false">V41*$D$2</f>
        <v>1813.3157</v>
      </c>
      <c r="W42" s="7"/>
      <c r="X42" s="7" t="n">
        <f aca="false">X41*$D$2</f>
        <v>3973.94225</v>
      </c>
      <c r="Y42" s="7" t="n">
        <f aca="false">Y41*$D$2</f>
        <v>703.19005</v>
      </c>
      <c r="Z42" s="7" t="n">
        <f aca="false">Z41*$D$2</f>
        <v>4677.1323</v>
      </c>
      <c r="AA42" s="11"/>
      <c r="AB42" s="12" t="n">
        <f aca="false">MAX(AB10:AB39)</f>
        <v>62</v>
      </c>
      <c r="AC42" s="12" t="n">
        <f aca="false">MAX(AC10:AC39)</f>
        <v>43</v>
      </c>
      <c r="AD42" s="13" t="s">
        <v>49</v>
      </c>
    </row>
    <row r="43" customFormat="false" ht="3" hidden="false" customHeight="true" outlineLevel="0" collapsed="false">
      <c r="A43" s="32"/>
      <c r="B43" s="32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2"/>
      <c r="X43" s="34"/>
      <c r="Y43" s="34"/>
      <c r="Z43" s="34"/>
      <c r="AA43" s="11"/>
      <c r="AB43" s="12"/>
      <c r="AC43" s="12"/>
      <c r="AD43" s="13"/>
    </row>
    <row r="44" customFormat="false" ht="11.1" hidden="false" customHeight="true" outlineLevel="0" collapsed="false">
      <c r="A44" s="6" t="s">
        <v>50</v>
      </c>
      <c r="B44" s="6"/>
      <c r="C44" s="7"/>
      <c r="D44" s="7"/>
      <c r="E44" s="7"/>
      <c r="F44" s="7"/>
      <c r="G44" s="7"/>
      <c r="H44" s="12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11"/>
      <c r="AB44" s="12" t="n">
        <f aca="false">MIN(AB10:AB39)</f>
        <v>30</v>
      </c>
      <c r="AC44" s="12" t="n">
        <f aca="false">MIN(AC10:AC39)</f>
        <v>5</v>
      </c>
      <c r="AD44" s="13" t="s">
        <v>51</v>
      </c>
    </row>
    <row r="45" customFormat="false" ht="11.1" hidden="false" customHeight="true" outlineLevel="0" collapsed="false">
      <c r="A45" s="6" t="s">
        <v>52</v>
      </c>
      <c r="B45" s="6"/>
      <c r="C45" s="7"/>
      <c r="D45" s="7"/>
      <c r="E45" s="7"/>
      <c r="F45" s="7"/>
      <c r="G45" s="7"/>
      <c r="H45" s="12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11"/>
      <c r="AB45" s="12"/>
      <c r="AC45" s="12"/>
      <c r="AD45" s="13"/>
    </row>
    <row r="46" customFormat="false" ht="3" hidden="false" customHeight="true" outlineLevel="0" collapsed="false">
      <c r="A46" s="32"/>
      <c r="B46" s="32"/>
      <c r="C46" s="34"/>
      <c r="D46" s="34"/>
      <c r="E46" s="34"/>
      <c r="F46" s="34"/>
      <c r="G46" s="34"/>
      <c r="H46" s="37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6"/>
      <c r="AB46" s="12"/>
      <c r="AC46" s="12"/>
      <c r="AD46" s="13"/>
    </row>
    <row r="47" customFormat="false" ht="11.1" hidden="false" customHeight="true" outlineLevel="0" collapsed="false">
      <c r="A47" s="6" t="s">
        <v>53</v>
      </c>
      <c r="B47" s="6"/>
      <c r="C47" s="7"/>
      <c r="D47" s="7"/>
      <c r="E47" s="7"/>
      <c r="F47" s="7" t="n">
        <f aca="false">F8+F41</f>
        <v>697.756491051172</v>
      </c>
      <c r="G47" s="7" t="n">
        <f aca="false">G8+G41</f>
        <v>2871.7</v>
      </c>
      <c r="H47" s="12" t="n">
        <f aca="false">H8+H41</f>
        <v>0</v>
      </c>
      <c r="I47" s="7" t="n">
        <f aca="false">I8+I41</f>
        <v>2871.7</v>
      </c>
      <c r="J47" s="7" t="n">
        <f aca="false">J8+J41</f>
        <v>184.076304512226</v>
      </c>
      <c r="K47" s="7" t="n">
        <f aca="false">K8+K41</f>
        <v>3055.77630451223</v>
      </c>
      <c r="L47" s="7" t="n">
        <f aca="false">L8+L41</f>
        <v>-170.443508948828</v>
      </c>
      <c r="M47" s="7" t="n">
        <f aca="false">M8+M41</f>
        <v>716.9</v>
      </c>
      <c r="N47" s="7" t="n">
        <f aca="false">N8+N41</f>
        <v>0</v>
      </c>
      <c r="O47" s="7" t="n">
        <f aca="false">O8+O41</f>
        <v>0</v>
      </c>
      <c r="P47" s="7" t="n">
        <f aca="false">P8+P41</f>
        <v>716.9</v>
      </c>
      <c r="Q47" s="7" t="n">
        <f aca="false">Q8+Q41</f>
        <v>0</v>
      </c>
      <c r="R47" s="7" t="n">
        <f aca="false">R8+R41</f>
        <v>372.4</v>
      </c>
      <c r="S47" s="7" t="n">
        <f aca="false">S8+S41</f>
        <v>1089.3</v>
      </c>
      <c r="T47" s="7"/>
      <c r="U47" s="7" t="n">
        <f aca="false">U8+U41</f>
        <v>0</v>
      </c>
      <c r="V47" s="7" t="n">
        <f aca="false">V8+V41</f>
        <v>914.2</v>
      </c>
      <c r="W47" s="7" t="n">
        <f aca="false">W39</f>
        <v>14264.8</v>
      </c>
      <c r="X47" s="7" t="n">
        <f aca="false">X8+X41</f>
        <v>2003.5</v>
      </c>
      <c r="Y47" s="7" t="n">
        <f aca="false">Y8+Y41</f>
        <v>354.519813461054</v>
      </c>
      <c r="Z47" s="7" t="n">
        <f aca="false">Z8+Z41</f>
        <v>2358.01981346105</v>
      </c>
      <c r="AA47" s="11" t="n">
        <f aca="false">AA8+AA41</f>
        <v>1.48</v>
      </c>
      <c r="AB47" s="12"/>
      <c r="AC47" s="12"/>
      <c r="AD47" s="13"/>
    </row>
    <row r="48" customFormat="false" ht="11.1" hidden="false" customHeight="true" outlineLevel="0" collapsed="false">
      <c r="A48" s="6" t="s">
        <v>54</v>
      </c>
      <c r="B48" s="6"/>
      <c r="C48" s="7"/>
      <c r="D48" s="7" t="n">
        <f aca="false">D8+D42</f>
        <v>1384</v>
      </c>
      <c r="E48" s="7" t="n">
        <f aca="false">E39</f>
        <v>88249</v>
      </c>
      <c r="F48" s="7" t="n">
        <f aca="false">F47*$D$2</f>
        <v>1384</v>
      </c>
      <c r="G48" s="7" t="n">
        <f aca="false">G47*$D$2</f>
        <v>5696.01695</v>
      </c>
      <c r="H48" s="12" t="n">
        <f aca="false">H47*$D$2</f>
        <v>0</v>
      </c>
      <c r="I48" s="7" t="n">
        <f aca="false">I47*$D$2</f>
        <v>5696.01695</v>
      </c>
      <c r="J48" s="7" t="n">
        <f aca="false">J47*$D$2</f>
        <v>365.11535</v>
      </c>
      <c r="K48" s="7" t="n">
        <f aca="false">K47*$D$2</f>
        <v>6061.1323</v>
      </c>
      <c r="L48" s="7" t="n">
        <f aca="false">L47*$D$2</f>
        <v>-338.0747</v>
      </c>
      <c r="M48" s="7" t="n">
        <f aca="false">M47*$D$2</f>
        <v>1421.97115</v>
      </c>
      <c r="N48" s="7" t="n">
        <f aca="false">N47*$D$2</f>
        <v>0</v>
      </c>
      <c r="O48" s="7" t="n">
        <f aca="false">O47*$D$2</f>
        <v>0</v>
      </c>
      <c r="P48" s="7" t="n">
        <f aca="false">P47*$D$2</f>
        <v>1421.97115</v>
      </c>
      <c r="Q48" s="7" t="n">
        <f aca="false">Q47*$D$2</f>
        <v>0</v>
      </c>
      <c r="R48" s="7" t="n">
        <f aca="false">R47*$D$2</f>
        <v>738.6554</v>
      </c>
      <c r="S48" s="7" t="n">
        <f aca="false">S47*$D$2</f>
        <v>2160.62655</v>
      </c>
      <c r="T48" s="7" t="n">
        <f aca="false">T47*$D$2</f>
        <v>0</v>
      </c>
      <c r="U48" s="7" t="n">
        <f aca="false">U47*$D$2</f>
        <v>0</v>
      </c>
      <c r="V48" s="7" t="n">
        <f aca="false">V47*$D$2</f>
        <v>1813.3157</v>
      </c>
      <c r="W48" s="7" t="n">
        <f aca="false">W47*$D$2</f>
        <v>28294.2308</v>
      </c>
      <c r="X48" s="7" t="n">
        <f aca="false">X47*$D$2</f>
        <v>3973.94225</v>
      </c>
      <c r="Y48" s="7" t="n">
        <f aca="false">Y47*$D$2</f>
        <v>703.19005</v>
      </c>
      <c r="Z48" s="7" t="n">
        <f aca="false">Z47*$D$2</f>
        <v>4677.1323</v>
      </c>
      <c r="AA48" s="11"/>
      <c r="AB48" s="12"/>
      <c r="AC48" s="12"/>
      <c r="AD48" s="13"/>
    </row>
    <row r="49" customFormat="false" ht="3" hidden="false" customHeight="true" outlineLevel="0" collapsed="false">
      <c r="A49" s="32"/>
      <c r="B49" s="32"/>
      <c r="C49" s="34"/>
      <c r="D49" s="32"/>
      <c r="E49" s="34"/>
      <c r="F49" s="32"/>
      <c r="G49" s="32"/>
      <c r="H49" s="35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4"/>
      <c r="U49" s="32"/>
      <c r="V49" s="32"/>
      <c r="W49" s="34"/>
      <c r="X49" s="32"/>
      <c r="Y49" s="32"/>
      <c r="Z49" s="32"/>
      <c r="AA49" s="11"/>
      <c r="AB49" s="12"/>
      <c r="AC49" s="12"/>
      <c r="AD49" s="13"/>
    </row>
    <row r="50" customFormat="false" ht="14.1" hidden="false" customHeight="true" outlineLevel="0" collapsed="false">
      <c r="A50" s="42"/>
      <c r="B50" s="43"/>
      <c r="C50" s="7"/>
      <c r="D50" s="6"/>
      <c r="E50" s="7"/>
      <c r="F50" s="6"/>
      <c r="G50" s="6"/>
      <c r="H50" s="11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7"/>
      <c r="U50" s="6"/>
      <c r="V50" s="6"/>
      <c r="W50" s="7"/>
      <c r="X50" s="6"/>
      <c r="Y50" s="6"/>
      <c r="Z50" s="11"/>
      <c r="AA50" s="11"/>
      <c r="AB50" s="12"/>
      <c r="AC50" s="12"/>
      <c r="AD50" s="13"/>
    </row>
    <row r="51" customFormat="false" ht="11.1" hidden="false" customHeight="true" outlineLevel="0" collapsed="false">
      <c r="A51" s="6"/>
      <c r="B51" s="31"/>
      <c r="C51" s="7"/>
      <c r="D51" s="41"/>
      <c r="E51" s="7"/>
      <c r="F51" s="6"/>
      <c r="G51" s="6"/>
      <c r="H51" s="11"/>
      <c r="I51" s="8"/>
      <c r="J51" s="6"/>
      <c r="K51" s="44"/>
      <c r="L51" s="6"/>
      <c r="M51" s="6"/>
      <c r="N51" s="6"/>
      <c r="O51" s="6"/>
      <c r="P51" s="6"/>
      <c r="Q51" s="6"/>
      <c r="R51" s="6"/>
      <c r="S51" s="6"/>
      <c r="T51" s="7"/>
      <c r="U51" s="6"/>
      <c r="V51" s="6"/>
      <c r="W51" s="7"/>
      <c r="X51" s="6"/>
      <c r="Y51" s="6"/>
      <c r="Z51" s="11"/>
      <c r="AA51" s="11"/>
      <c r="AB51" s="12"/>
      <c r="AC51" s="12"/>
      <c r="AD51" s="13"/>
    </row>
    <row r="52" customFormat="false" ht="11.1" hidden="false" customHeight="true" outlineLevel="0" collapsed="false">
      <c r="B52" s="41"/>
      <c r="C52" s="7"/>
      <c r="D52" s="7"/>
      <c r="E52" s="7"/>
      <c r="F52" s="41"/>
      <c r="G52" s="41"/>
      <c r="H52" s="11"/>
      <c r="I52" s="41"/>
      <c r="J52" s="41"/>
      <c r="K52" s="41"/>
      <c r="L52" s="41"/>
      <c r="M52" s="39"/>
      <c r="N52" s="39"/>
      <c r="O52" s="39"/>
      <c r="P52" s="39"/>
      <c r="Q52" s="41"/>
      <c r="R52" s="41"/>
      <c r="S52" s="41"/>
      <c r="T52" s="7"/>
      <c r="U52" s="41"/>
      <c r="V52" s="41"/>
      <c r="W52" s="7"/>
      <c r="X52" s="41"/>
      <c r="Y52" s="41"/>
      <c r="Z52" s="11"/>
      <c r="AA52" s="11"/>
      <c r="AB52" s="12"/>
      <c r="AC52" s="12"/>
      <c r="AD52" s="13"/>
    </row>
    <row r="53" customFormat="false" ht="11.1" hidden="false" customHeight="true" outlineLevel="0" collapsed="false">
      <c r="A53" s="41"/>
      <c r="B53" s="10"/>
      <c r="C53" s="7"/>
      <c r="D53" s="7"/>
      <c r="E53" s="7"/>
      <c r="F53" s="41"/>
      <c r="G53" s="41"/>
      <c r="H53" s="11"/>
      <c r="I53" s="41"/>
      <c r="J53" s="41"/>
      <c r="K53" s="41"/>
      <c r="L53" s="41"/>
      <c r="M53" s="39"/>
      <c r="N53" s="39"/>
      <c r="O53" s="39"/>
      <c r="P53" s="39"/>
      <c r="Q53" s="41"/>
      <c r="R53" s="41"/>
      <c r="S53" s="41"/>
      <c r="T53" s="7"/>
      <c r="U53" s="41"/>
      <c r="V53" s="41"/>
      <c r="W53" s="7"/>
      <c r="X53" s="41"/>
      <c r="Y53" s="41"/>
      <c r="Z53" s="11"/>
      <c r="AA53" s="11"/>
      <c r="AB53" s="12"/>
      <c r="AC53" s="12"/>
      <c r="AD53" s="13"/>
    </row>
    <row r="54" customFormat="false" ht="11.1" hidden="false" customHeight="true" outlineLevel="0" collapsed="false">
      <c r="A54" s="41"/>
      <c r="B54" s="41"/>
      <c r="C54" s="7"/>
      <c r="D54" s="41"/>
      <c r="E54" s="7"/>
      <c r="F54" s="41"/>
      <c r="G54" s="45"/>
      <c r="H54" s="11"/>
      <c r="I54" s="41"/>
      <c r="J54" s="41"/>
      <c r="K54" s="41"/>
      <c r="L54" s="41"/>
      <c r="M54" s="39"/>
      <c r="N54" s="39"/>
      <c r="O54" s="39"/>
      <c r="P54" s="41"/>
      <c r="Q54" s="41"/>
      <c r="R54" s="41"/>
      <c r="S54" s="7"/>
      <c r="T54" s="41"/>
      <c r="U54" s="41"/>
      <c r="V54" s="7"/>
      <c r="W54" s="41"/>
      <c r="X54" s="41"/>
      <c r="Y54" s="41"/>
      <c r="Z54" s="11"/>
      <c r="AA54" s="11"/>
      <c r="AB54" s="12"/>
      <c r="AC54" s="13"/>
    </row>
  </sheetData>
  <mergeCells count="1"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K27" activePane="bottomRight" state="frozen"/>
      <selection pane="topLeft" activeCell="A1" activeCellId="0" sqref="A1"/>
      <selection pane="topRight" activeCell="K1" activeCellId="0" sqref="K1"/>
      <selection pane="bottomLeft" activeCell="A27" activeCellId="0" sqref="A27"/>
      <selection pane="bottomRight" activeCell="AC40" activeCellId="0" sqref="AC40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5.66"/>
    <col collapsed="false" customWidth="true" hidden="false" outlineLevel="0" max="2" min="2" style="46" width="7.82"/>
    <col collapsed="false" customWidth="true" hidden="false" outlineLevel="0" max="3" min="3" style="47" width="7.66"/>
    <col collapsed="false" customWidth="true" hidden="false" outlineLevel="0" max="4" min="4" style="46" width="6.99"/>
    <col collapsed="false" customWidth="true" hidden="false" outlineLevel="0" max="5" min="5" style="47" width="7.66"/>
    <col collapsed="false" customWidth="true" hidden="false" outlineLevel="0" max="6" min="6" style="46" width="7.66"/>
    <col collapsed="false" customWidth="true" hidden="false" outlineLevel="0" max="7" min="7" style="46" width="7.16"/>
    <col collapsed="false" customWidth="true" hidden="false" outlineLevel="0" max="8" min="8" style="48" width="6.66"/>
    <col collapsed="false" customWidth="true" hidden="false" outlineLevel="0" max="9" min="9" style="46" width="7.99"/>
    <col collapsed="false" customWidth="true" hidden="false" outlineLevel="0" max="10" min="10" style="46" width="6.66"/>
    <col collapsed="false" customWidth="true" hidden="false" outlineLevel="0" max="12" min="11" style="46" width="7.16"/>
    <col collapsed="false" customWidth="true" hidden="false" outlineLevel="0" max="13" min="13" style="49" width="6.16"/>
    <col collapsed="false" customWidth="true" hidden="true" outlineLevel="0" max="14" min="14" style="49" width="7.32"/>
    <col collapsed="false" customWidth="true" hidden="true" outlineLevel="0" max="15" min="15" style="49" width="6.49"/>
    <col collapsed="false" customWidth="true" hidden="true" outlineLevel="0" max="16" min="16" style="46" width="7.16"/>
    <col collapsed="false" customWidth="true" hidden="false" outlineLevel="0" max="17" min="17" style="46" width="6.32"/>
    <col collapsed="false" customWidth="true" hidden="false" outlineLevel="0" max="18" min="18" style="46" width="5.82"/>
    <col collapsed="false" customWidth="true" hidden="false" outlineLevel="0" max="19" min="19" style="47" width="6.82"/>
    <col collapsed="false" customWidth="true" hidden="false" outlineLevel="0" max="20" min="20" style="46" width="7.66"/>
    <col collapsed="false" customWidth="true" hidden="false" outlineLevel="0" max="21" min="21" style="46" width="5.99"/>
    <col collapsed="false" customWidth="true" hidden="false" outlineLevel="0" max="22" min="22" style="47" width="6.66"/>
    <col collapsed="false" customWidth="true" hidden="false" outlineLevel="0" max="23" min="23" style="46" width="6.82"/>
    <col collapsed="false" customWidth="true" hidden="false" outlineLevel="0" max="25" min="24" style="46" width="7.82"/>
    <col collapsed="false" customWidth="true" hidden="false" outlineLevel="0" max="26" min="26" style="50" width="8.16"/>
    <col collapsed="false" customWidth="true" hidden="false" outlineLevel="0" max="27" min="27" style="48" width="4.66"/>
    <col collapsed="false" customWidth="true" hidden="false" outlineLevel="0" max="28" min="28" style="51" width="4.66"/>
    <col collapsed="false" customWidth="true" hidden="false" outlineLevel="0" max="29" min="29" style="52" width="4.66"/>
    <col collapsed="false" customWidth="true" hidden="false" outlineLevel="0" max="30" min="30" style="46" width="5.66"/>
    <col collapsed="false" customWidth="false" hidden="false" outlineLevel="0" max="257" min="31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5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9"/>
      <c r="AC1" s="60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1.9835</v>
      </c>
      <c r="E2" s="54"/>
      <c r="F2" s="53"/>
      <c r="G2" s="53"/>
      <c r="H2" s="55"/>
      <c r="I2" s="53"/>
      <c r="J2" s="53"/>
      <c r="K2" s="62" t="s">
        <v>55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8"/>
      <c r="AB2" s="59"/>
      <c r="AC2" s="60"/>
    </row>
    <row r="3" customFormat="false" ht="11.1" hidden="false" customHeight="true" outlineLevel="0" collapsed="false">
      <c r="A3" s="53"/>
      <c r="B3" s="53"/>
      <c r="C3" s="54"/>
      <c r="D3" s="63"/>
      <c r="E3" s="54"/>
      <c r="F3" s="53"/>
      <c r="G3" s="53"/>
      <c r="H3" s="55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9"/>
      <c r="AC3" s="60"/>
    </row>
    <row r="4" customFormat="false" ht="11.1" hidden="false" customHeight="true" outlineLevel="0" collapsed="false">
      <c r="A4" s="64" t="s">
        <v>3</v>
      </c>
      <c r="B4" s="64" t="s">
        <v>4</v>
      </c>
      <c r="C4" s="65" t="s">
        <v>4</v>
      </c>
      <c r="D4" s="64" t="s">
        <v>5</v>
      </c>
      <c r="E4" s="65" t="s">
        <v>6</v>
      </c>
      <c r="F4" s="64" t="s">
        <v>7</v>
      </c>
      <c r="G4" s="64" t="s">
        <v>8</v>
      </c>
      <c r="H4" s="66" t="s">
        <v>9</v>
      </c>
      <c r="I4" s="64" t="s">
        <v>10</v>
      </c>
      <c r="J4" s="64" t="s">
        <v>11</v>
      </c>
      <c r="K4" s="64" t="s">
        <v>12</v>
      </c>
      <c r="L4" s="64" t="s">
        <v>11</v>
      </c>
      <c r="M4" s="64" t="s">
        <v>13</v>
      </c>
      <c r="N4" s="64"/>
      <c r="O4" s="64"/>
      <c r="P4" s="64"/>
      <c r="Q4" s="64" t="s">
        <v>14</v>
      </c>
      <c r="R4" s="64" t="s">
        <v>15</v>
      </c>
      <c r="S4" s="64" t="s">
        <v>12</v>
      </c>
      <c r="T4" s="65" t="s">
        <v>16</v>
      </c>
      <c r="U4" s="64" t="s">
        <v>17</v>
      </c>
      <c r="V4" s="64" t="s">
        <v>18</v>
      </c>
      <c r="W4" s="65" t="s">
        <v>19</v>
      </c>
      <c r="X4" s="64" t="s">
        <v>10</v>
      </c>
      <c r="Y4" s="64" t="s">
        <v>11</v>
      </c>
      <c r="Z4" s="64" t="s">
        <v>12</v>
      </c>
      <c r="AA4" s="67" t="s">
        <v>20</v>
      </c>
      <c r="AB4" s="68" t="s">
        <v>21</v>
      </c>
      <c r="AC4" s="68" t="s">
        <v>22</v>
      </c>
      <c r="AD4" s="68" t="s">
        <v>3</v>
      </c>
    </row>
    <row r="5" customFormat="false" ht="11.1" hidden="false" customHeight="true" outlineLevel="0" collapsed="false">
      <c r="A5" s="69" t="s">
        <v>56</v>
      </c>
      <c r="B5" s="64" t="s">
        <v>24</v>
      </c>
      <c r="C5" s="65" t="s">
        <v>5</v>
      </c>
      <c r="D5" s="64" t="s">
        <v>25</v>
      </c>
      <c r="E5" s="65" t="s">
        <v>26</v>
      </c>
      <c r="F5" s="64" t="s">
        <v>27</v>
      </c>
      <c r="G5" s="64" t="s">
        <v>28</v>
      </c>
      <c r="H5" s="66" t="s">
        <v>29</v>
      </c>
      <c r="I5" s="64" t="s">
        <v>30</v>
      </c>
      <c r="J5" s="64" t="s">
        <v>30</v>
      </c>
      <c r="K5" s="64" t="s">
        <v>30</v>
      </c>
      <c r="L5" s="64" t="s">
        <v>31</v>
      </c>
      <c r="M5" s="64" t="s">
        <v>32</v>
      </c>
      <c r="N5" s="64" t="s">
        <v>33</v>
      </c>
      <c r="O5" s="64" t="s">
        <v>34</v>
      </c>
      <c r="P5" s="64" t="s">
        <v>35</v>
      </c>
      <c r="Q5" s="64" t="s">
        <v>36</v>
      </c>
      <c r="R5" s="64" t="s">
        <v>37</v>
      </c>
      <c r="S5" s="64" t="s">
        <v>16</v>
      </c>
      <c r="T5" s="65" t="s">
        <v>38</v>
      </c>
      <c r="U5" s="64" t="s">
        <v>39</v>
      </c>
      <c r="V5" s="64" t="s">
        <v>40</v>
      </c>
      <c r="W5" s="65" t="s">
        <v>41</v>
      </c>
      <c r="X5" s="64" t="s">
        <v>42</v>
      </c>
      <c r="Y5" s="64" t="s">
        <v>42</v>
      </c>
      <c r="Z5" s="64" t="s">
        <v>42</v>
      </c>
      <c r="AA5" s="70"/>
      <c r="AB5" s="68" t="s">
        <v>43</v>
      </c>
      <c r="AC5" s="68" t="s">
        <v>43</v>
      </c>
      <c r="AD5" s="71" t="s">
        <v>56</v>
      </c>
    </row>
    <row r="6" customFormat="false" ht="11.1" hidden="false" customHeight="true" outlineLevel="0" collapsed="false">
      <c r="A6" s="72"/>
      <c r="B6" s="72"/>
      <c r="C6" s="73"/>
      <c r="D6" s="72"/>
      <c r="E6" s="73"/>
      <c r="F6" s="72"/>
      <c r="G6" s="72"/>
      <c r="H6" s="74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3"/>
      <c r="U6" s="72"/>
      <c r="V6" s="72"/>
      <c r="W6" s="73"/>
      <c r="X6" s="72"/>
      <c r="Y6" s="72"/>
      <c r="Z6" s="72"/>
      <c r="AA6" s="58"/>
      <c r="AB6" s="60"/>
      <c r="AC6" s="60"/>
      <c r="AD6" s="60"/>
    </row>
    <row r="7" customFormat="false" ht="11.1" hidden="false" customHeight="true" outlineLevel="0" collapsed="false">
      <c r="A7" s="53" t="s">
        <v>44</v>
      </c>
      <c r="B7" s="53"/>
      <c r="C7" s="54"/>
      <c r="D7" s="54"/>
      <c r="E7" s="54"/>
      <c r="F7" s="54"/>
      <c r="G7" s="54"/>
      <c r="H7" s="59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8"/>
      <c r="AB7" s="59"/>
      <c r="AC7" s="59"/>
      <c r="AD7" s="60"/>
    </row>
    <row r="8" s="47" customFormat="true" ht="11.1" hidden="false" customHeight="true" outlineLevel="0" collapsed="false">
      <c r="A8" s="54" t="s">
        <v>45</v>
      </c>
      <c r="B8" s="75" t="n">
        <f aca="false">NOV!B39</f>
        <v>6887.63</v>
      </c>
      <c r="C8" s="54" t="n">
        <f aca="false">NOV!C39</f>
        <v>240249</v>
      </c>
      <c r="D8" s="54" t="n">
        <f aca="false">NOV!$D$48</f>
        <v>1384</v>
      </c>
      <c r="E8" s="54" t="n">
        <f aca="false">NOV!$E$39</f>
        <v>88249</v>
      </c>
      <c r="F8" s="54" t="n">
        <f aca="false">NOV!F47</f>
        <v>697.756491051172</v>
      </c>
      <c r="G8" s="54" t="n">
        <f aca="false">NOV!G47</f>
        <v>2871.7</v>
      </c>
      <c r="H8" s="59" t="n">
        <f aca="false">NOV!H47</f>
        <v>0</v>
      </c>
      <c r="I8" s="54" t="n">
        <f aca="false">NOV!I47</f>
        <v>2871.7</v>
      </c>
      <c r="J8" s="54" t="n">
        <f aca="false">NOV!J47</f>
        <v>184.076304512226</v>
      </c>
      <c r="K8" s="54" t="n">
        <f aca="false">NOV!K47</f>
        <v>3055.77630451223</v>
      </c>
      <c r="L8" s="54" t="n">
        <f aca="false">NOV!L47</f>
        <v>-170.443508948828</v>
      </c>
      <c r="M8" s="54" t="n">
        <f aca="false">NOV!M47</f>
        <v>716.9</v>
      </c>
      <c r="N8" s="54" t="n">
        <f aca="false">NOV!N47</f>
        <v>0</v>
      </c>
      <c r="O8" s="54" t="n">
        <f aca="false">NOV!O47</f>
        <v>0</v>
      </c>
      <c r="P8" s="54" t="n">
        <f aca="false">NOV!P47</f>
        <v>716.9</v>
      </c>
      <c r="Q8" s="54" t="n">
        <f aca="false">NOV!Q47</f>
        <v>0</v>
      </c>
      <c r="R8" s="54" t="n">
        <f aca="false">NOV!R47</f>
        <v>372.4</v>
      </c>
      <c r="S8" s="54" t="n">
        <f aca="false">NOV!S47</f>
        <v>1089.3</v>
      </c>
      <c r="T8" s="54" t="n">
        <f aca="false">NOV!T47</f>
        <v>0</v>
      </c>
      <c r="U8" s="54" t="n">
        <f aca="false">NOV!U47</f>
        <v>0</v>
      </c>
      <c r="V8" s="54" t="n">
        <f aca="false">NOV!V47</f>
        <v>914.2</v>
      </c>
      <c r="W8" s="54" t="n">
        <f aca="false">NOV!W47</f>
        <v>14264.8</v>
      </c>
      <c r="X8" s="54" t="n">
        <f aca="false">NOV!X47</f>
        <v>2003.5</v>
      </c>
      <c r="Y8" s="54" t="n">
        <f aca="false">NOV!Y47</f>
        <v>354.519813461054</v>
      </c>
      <c r="Z8" s="54" t="n">
        <f aca="false">NOV!Z47</f>
        <v>2358.01981346105</v>
      </c>
      <c r="AA8" s="58" t="n">
        <f aca="false">NOV!AA47</f>
        <v>1.48</v>
      </c>
      <c r="AB8" s="59"/>
      <c r="AC8" s="59"/>
      <c r="AD8" s="60"/>
    </row>
    <row r="9" customFormat="false" ht="3" hidden="false" customHeight="true" outlineLevel="0" collapsed="false">
      <c r="A9" s="76"/>
      <c r="B9" s="77"/>
      <c r="C9" s="78"/>
      <c r="D9" s="76"/>
      <c r="E9" s="78"/>
      <c r="F9" s="76"/>
      <c r="G9" s="76"/>
      <c r="H9" s="79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8"/>
      <c r="U9" s="76"/>
      <c r="V9" s="76"/>
      <c r="W9" s="78"/>
      <c r="X9" s="76"/>
      <c r="Y9" s="76"/>
      <c r="Z9" s="76"/>
      <c r="AA9" s="80"/>
      <c r="AB9" s="81"/>
      <c r="AC9" s="81"/>
      <c r="AD9" s="82"/>
    </row>
    <row r="10" customFormat="false" ht="11.1" hidden="false" customHeight="true" outlineLevel="0" collapsed="false">
      <c r="A10" s="60" t="n">
        <v>1</v>
      </c>
      <c r="B10" s="75" t="n">
        <v>6887.64</v>
      </c>
      <c r="C10" s="54" t="n">
        <v>240282</v>
      </c>
      <c r="D10" s="59" t="n">
        <f aca="false">C10-C8</f>
        <v>33</v>
      </c>
      <c r="E10" s="54" t="n">
        <f aca="false">C10-152000</f>
        <v>88282</v>
      </c>
      <c r="F10" s="53" t="n">
        <f aca="false">D10/$D$2</f>
        <v>16.63725737333</v>
      </c>
      <c r="G10" s="53" t="n">
        <v>52.8</v>
      </c>
      <c r="H10" s="55" t="n">
        <v>0</v>
      </c>
      <c r="I10" s="53" t="n">
        <f aca="false">G10+H10</f>
        <v>52.8</v>
      </c>
      <c r="J10" s="83" t="n">
        <f aca="false">IF(L10&gt;0,L10,0)</f>
        <v>0</v>
      </c>
      <c r="K10" s="53" t="n">
        <f aca="false">I10+J10</f>
        <v>52.8</v>
      </c>
      <c r="L10" s="53" t="n">
        <f aca="false">F10-(I10-X10)</f>
        <v>-0.0627426266700226</v>
      </c>
      <c r="M10" s="53" t="n">
        <v>6.7</v>
      </c>
      <c r="N10" s="53" t="n">
        <v>0</v>
      </c>
      <c r="O10" s="53" t="n">
        <v>0</v>
      </c>
      <c r="P10" s="6" t="n">
        <f aca="false">M10-(N10+O10)</f>
        <v>6.7</v>
      </c>
      <c r="Q10" s="53" t="n">
        <v>0</v>
      </c>
      <c r="R10" s="53" t="n">
        <v>0</v>
      </c>
      <c r="S10" s="53" t="n">
        <f aca="false">SUM(P10:R10)</f>
        <v>6.7</v>
      </c>
      <c r="T10" s="54"/>
      <c r="U10" s="53" t="n">
        <v>0</v>
      </c>
      <c r="V10" s="53" t="n">
        <v>29.4</v>
      </c>
      <c r="W10" s="54" t="n">
        <f aca="false">W8-V10</f>
        <v>14235.4</v>
      </c>
      <c r="X10" s="6" t="n">
        <f aca="false">N10+O10+S10+U10+V10</f>
        <v>36.1</v>
      </c>
      <c r="Y10" s="53" t="n">
        <f aca="false">IF(L10&lt;0,L10*-1,0)</f>
        <v>0.0627426266700226</v>
      </c>
      <c r="Z10" s="53" t="n">
        <f aca="false">X10+Y10</f>
        <v>36.16274262667</v>
      </c>
      <c r="AA10" s="58" t="n">
        <v>0</v>
      </c>
      <c r="AB10" s="59" t="n">
        <v>35</v>
      </c>
      <c r="AC10" s="59" t="n">
        <v>11</v>
      </c>
      <c r="AD10" s="60" t="n">
        <v>1</v>
      </c>
    </row>
    <row r="11" customFormat="false" ht="11.1" hidden="false" customHeight="true" outlineLevel="0" collapsed="false">
      <c r="A11" s="60" t="n">
        <f aca="false">A10+1</f>
        <v>2</v>
      </c>
      <c r="B11" s="75" t="n">
        <v>6887.64</v>
      </c>
      <c r="C11" s="54" t="n">
        <v>240282</v>
      </c>
      <c r="D11" s="59" t="n">
        <f aca="false">C11-C10</f>
        <v>0</v>
      </c>
      <c r="E11" s="54" t="n">
        <f aca="false">C11-152000</f>
        <v>88282</v>
      </c>
      <c r="F11" s="53" t="n">
        <f aca="false">D11/$D$2</f>
        <v>0</v>
      </c>
      <c r="G11" s="53" t="n">
        <v>33.4</v>
      </c>
      <c r="H11" s="55" t="n">
        <v>0</v>
      </c>
      <c r="I11" s="53" t="n">
        <f aca="false">G11+H11</f>
        <v>33.4</v>
      </c>
      <c r="J11" s="83" t="n">
        <f aca="false">IF(L11&gt;0,L11,0)</f>
        <v>0</v>
      </c>
      <c r="K11" s="53" t="n">
        <f aca="false">I11+J11</f>
        <v>33.4</v>
      </c>
      <c r="L11" s="53" t="n">
        <f aca="false">F11-(I11-X11)</f>
        <v>0</v>
      </c>
      <c r="M11" s="53" t="n">
        <v>4.4</v>
      </c>
      <c r="N11" s="53" t="n">
        <v>0</v>
      </c>
      <c r="O11" s="53" t="n">
        <v>0</v>
      </c>
      <c r="P11" s="6" t="n">
        <f aca="false">M11-(N11+O11)</f>
        <v>4.4</v>
      </c>
      <c r="Q11" s="53" t="n">
        <v>0</v>
      </c>
      <c r="R11" s="53" t="n">
        <v>0</v>
      </c>
      <c r="S11" s="53" t="n">
        <f aca="false">SUM(P11:R11)</f>
        <v>4.4</v>
      </c>
      <c r="T11" s="54"/>
      <c r="U11" s="53" t="n">
        <v>0</v>
      </c>
      <c r="V11" s="53" t="n">
        <v>29</v>
      </c>
      <c r="W11" s="54" t="n">
        <f aca="false">W10-V11</f>
        <v>14206.4</v>
      </c>
      <c r="X11" s="6" t="n">
        <f aca="false">N11+O11+S11+U11+V11</f>
        <v>33.4</v>
      </c>
      <c r="Y11" s="53" t="n">
        <f aca="false">IF(L11&lt;0,L11*-1,0)</f>
        <v>0</v>
      </c>
      <c r="Z11" s="53" t="n">
        <f aca="false">X11+Y11</f>
        <v>33.4</v>
      </c>
      <c r="AA11" s="58" t="n">
        <v>0</v>
      </c>
      <c r="AB11" s="59" t="n">
        <v>26</v>
      </c>
      <c r="AC11" s="59" t="n">
        <v>7</v>
      </c>
      <c r="AD11" s="60" t="n">
        <f aca="false">AD10+1</f>
        <v>2</v>
      </c>
    </row>
    <row r="12" customFormat="false" ht="11.1" hidden="false" customHeight="true" outlineLevel="0" collapsed="false">
      <c r="A12" s="60" t="n">
        <f aca="false">A11+1</f>
        <v>3</v>
      </c>
      <c r="B12" s="75" t="n">
        <v>6887.65</v>
      </c>
      <c r="C12" s="54" t="n">
        <v>240315</v>
      </c>
      <c r="D12" s="59" t="n">
        <f aca="false">C12-C11</f>
        <v>33</v>
      </c>
      <c r="E12" s="54" t="n">
        <f aca="false">C12-152000</f>
        <v>88315</v>
      </c>
      <c r="F12" s="53" t="n">
        <f aca="false">D12/$D$2</f>
        <v>16.63725737333</v>
      </c>
      <c r="G12" s="53" t="n">
        <v>50</v>
      </c>
      <c r="H12" s="55" t="n">
        <v>0</v>
      </c>
      <c r="I12" s="53" t="n">
        <f aca="false">G12+H12</f>
        <v>50</v>
      </c>
      <c r="J12" s="83" t="n">
        <f aca="false">IF(L12&gt;0,L12,0)</f>
        <v>0.0372573733299717</v>
      </c>
      <c r="K12" s="53" t="n">
        <f aca="false">I12+J12</f>
        <v>50.03725737333</v>
      </c>
      <c r="L12" s="53" t="n">
        <f aca="false">F12-(I12-X12)</f>
        <v>0.0372573733299717</v>
      </c>
      <c r="M12" s="53" t="n">
        <v>4.4</v>
      </c>
      <c r="N12" s="53" t="n">
        <v>0</v>
      </c>
      <c r="O12" s="53" t="n">
        <v>0</v>
      </c>
      <c r="P12" s="6" t="n">
        <f aca="false">M12-(N12+O12)</f>
        <v>4.4</v>
      </c>
      <c r="Q12" s="53" t="n">
        <v>0</v>
      </c>
      <c r="R12" s="53" t="n">
        <v>0</v>
      </c>
      <c r="S12" s="53" t="n">
        <f aca="false">SUM(P12:R12)</f>
        <v>4.4</v>
      </c>
      <c r="T12" s="54"/>
      <c r="U12" s="53" t="n">
        <v>0</v>
      </c>
      <c r="V12" s="53" t="n">
        <v>29</v>
      </c>
      <c r="W12" s="54" t="n">
        <f aca="false">W11-V12</f>
        <v>14177.4</v>
      </c>
      <c r="X12" s="6" t="n">
        <f aca="false">N12+O12+S12+U12+V12</f>
        <v>33.4</v>
      </c>
      <c r="Y12" s="53" t="n">
        <f aca="false">IF(L12&lt;0,L12*-1,0)</f>
        <v>0</v>
      </c>
      <c r="Z12" s="53" t="n">
        <f aca="false">X12+Y12</f>
        <v>33.4</v>
      </c>
      <c r="AA12" s="58" t="n">
        <v>0</v>
      </c>
      <c r="AB12" s="59" t="n">
        <v>34</v>
      </c>
      <c r="AC12" s="59" t="n">
        <v>0</v>
      </c>
      <c r="AD12" s="60" t="n">
        <f aca="false">AD11+1</f>
        <v>3</v>
      </c>
    </row>
    <row r="13" customFormat="false" ht="11.1" hidden="false" customHeight="true" outlineLevel="0" collapsed="false">
      <c r="A13" s="60" t="n">
        <f aca="false">A12+1</f>
        <v>4</v>
      </c>
      <c r="B13" s="75" t="n">
        <v>6887.66</v>
      </c>
      <c r="C13" s="54" t="n">
        <v>240348</v>
      </c>
      <c r="D13" s="59" t="n">
        <f aca="false">C13-C12</f>
        <v>33</v>
      </c>
      <c r="E13" s="54" t="n">
        <f aca="false">C13-152000</f>
        <v>88348</v>
      </c>
      <c r="F13" s="53" t="n">
        <f aca="false">D13/$D$2</f>
        <v>16.63725737333</v>
      </c>
      <c r="G13" s="53" t="n">
        <v>50.5</v>
      </c>
      <c r="H13" s="55" t="n">
        <v>0</v>
      </c>
      <c r="I13" s="53" t="n">
        <f aca="false">G13+H13</f>
        <v>50.5</v>
      </c>
      <c r="J13" s="83" t="n">
        <f aca="false">IF(L13&gt;0,L13,0)</f>
        <v>0.0372573733299717</v>
      </c>
      <c r="K13" s="53" t="n">
        <f aca="false">I13+J13</f>
        <v>50.53725737333</v>
      </c>
      <c r="L13" s="53" t="n">
        <f aca="false">F13-(I13-X13)</f>
        <v>0.0372573733299717</v>
      </c>
      <c r="M13" s="53" t="n">
        <v>4.2</v>
      </c>
      <c r="N13" s="53" t="n">
        <v>0</v>
      </c>
      <c r="O13" s="53" t="n">
        <v>0</v>
      </c>
      <c r="P13" s="6" t="n">
        <f aca="false">M13-(N13+O13)</f>
        <v>4.2</v>
      </c>
      <c r="Q13" s="53" t="n">
        <v>0</v>
      </c>
      <c r="R13" s="53" t="n">
        <v>0</v>
      </c>
      <c r="S13" s="53" t="n">
        <f aca="false">SUM(P13:R13)</f>
        <v>4.2</v>
      </c>
      <c r="T13" s="54"/>
      <c r="U13" s="53" t="n">
        <v>0</v>
      </c>
      <c r="V13" s="53" t="n">
        <v>29.7</v>
      </c>
      <c r="W13" s="54" t="n">
        <f aca="false">W12-V13</f>
        <v>14147.7</v>
      </c>
      <c r="X13" s="6" t="n">
        <f aca="false">N13+O13+S13+U13+V13</f>
        <v>33.9</v>
      </c>
      <c r="Y13" s="53" t="n">
        <f aca="false">IF(L13&lt;0,L13*-1,0)</f>
        <v>0</v>
      </c>
      <c r="Z13" s="53" t="n">
        <f aca="false">X13+Y13</f>
        <v>33.9</v>
      </c>
      <c r="AA13" s="58" t="n">
        <v>0</v>
      </c>
      <c r="AB13" s="59" t="n">
        <v>36</v>
      </c>
      <c r="AC13" s="59" t="n">
        <v>9</v>
      </c>
      <c r="AD13" s="60" t="n">
        <f aca="false">AD12+1</f>
        <v>4</v>
      </c>
    </row>
    <row r="14" customFormat="false" ht="11.1" hidden="false" customHeight="true" outlineLevel="0" collapsed="false">
      <c r="A14" s="60" t="n">
        <f aca="false">A13+1</f>
        <v>5</v>
      </c>
      <c r="B14" s="75" t="n">
        <v>6887.673</v>
      </c>
      <c r="C14" s="54" t="n">
        <v>240381</v>
      </c>
      <c r="D14" s="59" t="n">
        <f aca="false">C14-C13</f>
        <v>33</v>
      </c>
      <c r="E14" s="54" t="n">
        <f aca="false">C14-152000</f>
        <v>88381</v>
      </c>
      <c r="F14" s="53" t="n">
        <f aca="false">D14/$D$2</f>
        <v>16.63725737333</v>
      </c>
      <c r="G14" s="53" t="n">
        <v>51.2</v>
      </c>
      <c r="H14" s="55" t="n">
        <v>0</v>
      </c>
      <c r="I14" s="53" t="n">
        <f aca="false">G14+H14</f>
        <v>51.2</v>
      </c>
      <c r="J14" s="83" t="n">
        <f aca="false">IF(L14&gt;0,L14,0)</f>
        <v>0.0372573733299717</v>
      </c>
      <c r="K14" s="53" t="n">
        <f aca="false">I14+J14</f>
        <v>51.23725737333</v>
      </c>
      <c r="L14" s="53" t="n">
        <f aca="false">F14-(I14-X14)</f>
        <v>0.0372573733299717</v>
      </c>
      <c r="M14" s="53" t="n">
        <v>4.1</v>
      </c>
      <c r="N14" s="53" t="n">
        <v>0</v>
      </c>
      <c r="O14" s="53" t="n">
        <v>0</v>
      </c>
      <c r="P14" s="6" t="n">
        <f aca="false">M14-(N14+O14)</f>
        <v>4.1</v>
      </c>
      <c r="Q14" s="53" t="n">
        <v>0</v>
      </c>
      <c r="R14" s="53" t="n">
        <v>0</v>
      </c>
      <c r="S14" s="53" t="n">
        <f aca="false">SUM(P14:R14)</f>
        <v>4.1</v>
      </c>
      <c r="T14" s="54"/>
      <c r="U14" s="53" t="n">
        <v>0</v>
      </c>
      <c r="V14" s="53" t="n">
        <v>30.5</v>
      </c>
      <c r="W14" s="54" t="n">
        <f aca="false">W13-V14</f>
        <v>14117.2</v>
      </c>
      <c r="X14" s="6" t="n">
        <f aca="false">N14+O14+S14+U14+V14</f>
        <v>34.6</v>
      </c>
      <c r="Y14" s="53" t="n">
        <f aca="false">IF(L14&lt;0,L14*-1,0)</f>
        <v>0</v>
      </c>
      <c r="Z14" s="53" t="n">
        <f aca="false">X14+Y14</f>
        <v>34.6</v>
      </c>
      <c r="AA14" s="58" t="n">
        <v>0</v>
      </c>
      <c r="AB14" s="59" t="n">
        <v>39</v>
      </c>
      <c r="AC14" s="59" t="n">
        <v>12</v>
      </c>
      <c r="AD14" s="60" t="n">
        <f aca="false">AD13+1</f>
        <v>5</v>
      </c>
    </row>
    <row r="15" customFormat="false" ht="11.1" hidden="false" customHeight="true" outlineLevel="0" collapsed="false">
      <c r="A15" s="60" t="n">
        <f aca="false">A14+1</f>
        <v>6</v>
      </c>
      <c r="B15" s="75" t="n">
        <v>6887.68</v>
      </c>
      <c r="C15" s="54" t="n">
        <v>240414</v>
      </c>
      <c r="D15" s="59" t="n">
        <f aca="false">C15-C14</f>
        <v>33</v>
      </c>
      <c r="E15" s="54" t="n">
        <f aca="false">C15-152000</f>
        <v>88414</v>
      </c>
      <c r="F15" s="53" t="n">
        <f aca="false">D15/$D$2</f>
        <v>16.63725737333</v>
      </c>
      <c r="G15" s="53" t="n">
        <v>51.2</v>
      </c>
      <c r="H15" s="55" t="n">
        <v>0</v>
      </c>
      <c r="I15" s="53" t="n">
        <f aca="false">G15+H15</f>
        <v>51.2</v>
      </c>
      <c r="J15" s="83" t="n">
        <f aca="false">IF(L15&gt;0,L15,0)</f>
        <v>0</v>
      </c>
      <c r="K15" s="53" t="n">
        <f aca="false">I15+J15</f>
        <v>51.2</v>
      </c>
      <c r="L15" s="53" t="n">
        <f aca="false">F15-(I15-X15)</f>
        <v>-0.0627426266700297</v>
      </c>
      <c r="M15" s="53" t="n">
        <v>4</v>
      </c>
      <c r="N15" s="53" t="n">
        <v>0</v>
      </c>
      <c r="O15" s="53" t="n">
        <v>0</v>
      </c>
      <c r="P15" s="6" t="n">
        <f aca="false">M15-(N15+O15)</f>
        <v>4</v>
      </c>
      <c r="Q15" s="53" t="n">
        <v>0</v>
      </c>
      <c r="R15" s="53" t="n">
        <v>0</v>
      </c>
      <c r="S15" s="53" t="n">
        <f aca="false">SUM(P15:R15)</f>
        <v>4</v>
      </c>
      <c r="T15" s="54"/>
      <c r="U15" s="53" t="n">
        <v>0</v>
      </c>
      <c r="V15" s="53" t="n">
        <v>30.5</v>
      </c>
      <c r="W15" s="54" t="n">
        <f aca="false">W14-V15</f>
        <v>14086.7</v>
      </c>
      <c r="X15" s="6" t="n">
        <f aca="false">N15+O15+S15+U15+V15</f>
        <v>34.5</v>
      </c>
      <c r="Y15" s="53" t="n">
        <f aca="false">IF(L15&lt;0,L15*-1,0)</f>
        <v>0.0627426266700297</v>
      </c>
      <c r="Z15" s="53" t="n">
        <f aca="false">X15+Y15</f>
        <v>34.56274262667</v>
      </c>
      <c r="AA15" s="58" t="n">
        <v>0</v>
      </c>
      <c r="AB15" s="59" t="n">
        <v>31</v>
      </c>
      <c r="AC15" s="59" t="n">
        <v>9</v>
      </c>
      <c r="AD15" s="60" t="n">
        <f aca="false">AD14+1</f>
        <v>6</v>
      </c>
    </row>
    <row r="16" customFormat="false" ht="11.1" hidden="false" customHeight="true" outlineLevel="0" collapsed="false">
      <c r="A16" s="60" t="n">
        <f aca="false">A15+1</f>
        <v>7</v>
      </c>
      <c r="B16" s="75" t="n">
        <v>6887.69</v>
      </c>
      <c r="C16" s="54" t="n">
        <v>240447</v>
      </c>
      <c r="D16" s="59" t="n">
        <f aca="false">C16-C15</f>
        <v>33</v>
      </c>
      <c r="E16" s="54" t="n">
        <f aca="false">C16-152000</f>
        <v>88447</v>
      </c>
      <c r="F16" s="53" t="n">
        <f aca="false">D16/$D$2</f>
        <v>16.63725737333</v>
      </c>
      <c r="G16" s="53" t="n">
        <v>51.2</v>
      </c>
      <c r="H16" s="55" t="n">
        <v>0</v>
      </c>
      <c r="I16" s="53" t="n">
        <f aca="false">G16+H16</f>
        <v>51.2</v>
      </c>
      <c r="J16" s="83" t="n">
        <f aca="false">IF(L16&gt;0,L16,0)</f>
        <v>0.0372573733299717</v>
      </c>
      <c r="K16" s="53" t="n">
        <f aca="false">I16+J16</f>
        <v>51.23725737333</v>
      </c>
      <c r="L16" s="53" t="n">
        <f aca="false">F16-(I16-X16)</f>
        <v>0.0372573733299717</v>
      </c>
      <c r="M16" s="53" t="n">
        <v>4.1</v>
      </c>
      <c r="N16" s="53" t="n">
        <v>0</v>
      </c>
      <c r="O16" s="53" t="n">
        <v>0</v>
      </c>
      <c r="P16" s="6" t="n">
        <f aca="false">M16-(N16+O16)</f>
        <v>4.1</v>
      </c>
      <c r="Q16" s="53" t="n">
        <v>0</v>
      </c>
      <c r="R16" s="53" t="n">
        <v>0</v>
      </c>
      <c r="S16" s="53" t="n">
        <f aca="false">SUM(P16:R16)</f>
        <v>4.1</v>
      </c>
      <c r="T16" s="54"/>
      <c r="U16" s="53" t="n">
        <v>0</v>
      </c>
      <c r="V16" s="53" t="n">
        <v>30.5</v>
      </c>
      <c r="W16" s="54" t="n">
        <f aca="false">W15-V16</f>
        <v>14056.2</v>
      </c>
      <c r="X16" s="6" t="n">
        <f aca="false">N16+O16+S16+U16+V16</f>
        <v>34.6</v>
      </c>
      <c r="Y16" s="53" t="n">
        <f aca="false">IF(L16&lt;0,L16*-1,0)</f>
        <v>0</v>
      </c>
      <c r="Z16" s="53" t="n">
        <f aca="false">X16+Y16</f>
        <v>34.6</v>
      </c>
      <c r="AA16" s="58" t="n">
        <v>0</v>
      </c>
      <c r="AB16" s="59" t="n">
        <v>12</v>
      </c>
      <c r="AC16" s="59" t="n">
        <v>7</v>
      </c>
      <c r="AD16" s="60" t="n">
        <f aca="false">AD15+1</f>
        <v>7</v>
      </c>
    </row>
    <row r="17" customFormat="false" ht="11.1" hidden="false" customHeight="true" outlineLevel="0" collapsed="false">
      <c r="A17" s="60" t="n">
        <f aca="false">A16+1</f>
        <v>8</v>
      </c>
      <c r="B17" s="75" t="n">
        <v>6887.7</v>
      </c>
      <c r="C17" s="54" t="n">
        <v>240480</v>
      </c>
      <c r="D17" s="59" t="n">
        <f aca="false">C17-C16</f>
        <v>33</v>
      </c>
      <c r="E17" s="54" t="n">
        <f aca="false">C17-152000</f>
        <v>88480</v>
      </c>
      <c r="F17" s="53" t="n">
        <f aca="false">D17/$D$2</f>
        <v>16.63725737333</v>
      </c>
      <c r="G17" s="53" t="n">
        <v>51</v>
      </c>
      <c r="H17" s="55" t="n">
        <v>0</v>
      </c>
      <c r="I17" s="53" t="n">
        <f aca="false">G17+H17</f>
        <v>51</v>
      </c>
      <c r="J17" s="83" t="n">
        <f aca="false">IF(L17&gt;0,L17,0)</f>
        <v>0.0372573733299717</v>
      </c>
      <c r="K17" s="53" t="n">
        <f aca="false">I17+J17</f>
        <v>51.03725737333</v>
      </c>
      <c r="L17" s="53" t="n">
        <f aca="false">F17-(I17-X17)</f>
        <v>0.0372573733299717</v>
      </c>
      <c r="M17" s="53" t="n">
        <v>4.1</v>
      </c>
      <c r="N17" s="53" t="n">
        <v>0</v>
      </c>
      <c r="O17" s="53" t="n">
        <v>0</v>
      </c>
      <c r="P17" s="6" t="n">
        <f aca="false">M17-(N17+O17)</f>
        <v>4.1</v>
      </c>
      <c r="Q17" s="53" t="n">
        <v>0</v>
      </c>
      <c r="R17" s="53" t="n">
        <v>0</v>
      </c>
      <c r="S17" s="53" t="n">
        <f aca="false">SUM(P17:R17)</f>
        <v>4.1</v>
      </c>
      <c r="T17" s="54"/>
      <c r="U17" s="53" t="n">
        <v>0</v>
      </c>
      <c r="V17" s="53" t="n">
        <v>30.3</v>
      </c>
      <c r="W17" s="54" t="n">
        <f aca="false">W16-V17</f>
        <v>14025.9</v>
      </c>
      <c r="X17" s="6" t="n">
        <f aca="false">N17+O17+S17+U17+V17</f>
        <v>34.4</v>
      </c>
      <c r="Y17" s="53" t="n">
        <f aca="false">IF(L17&lt;0,L17*-1,0)</f>
        <v>0</v>
      </c>
      <c r="Z17" s="53" t="n">
        <f aca="false">X17+Y17</f>
        <v>34.4</v>
      </c>
      <c r="AA17" s="58" t="n">
        <v>0</v>
      </c>
      <c r="AB17" s="59" t="n">
        <v>37</v>
      </c>
      <c r="AC17" s="59" t="n">
        <v>10</v>
      </c>
      <c r="AD17" s="60" t="n">
        <f aca="false">AD16+1</f>
        <v>8</v>
      </c>
    </row>
    <row r="18" customFormat="false" ht="11.1" hidden="false" customHeight="true" outlineLevel="0" collapsed="false">
      <c r="A18" s="60" t="n">
        <f aca="false">A17+1</f>
        <v>9</v>
      </c>
      <c r="B18" s="75" t="n">
        <v>6887.71</v>
      </c>
      <c r="C18" s="54" t="n">
        <v>240513</v>
      </c>
      <c r="D18" s="59" t="n">
        <f aca="false">C18-C17</f>
        <v>33</v>
      </c>
      <c r="E18" s="54" t="n">
        <f aca="false">C18-152000</f>
        <v>88513</v>
      </c>
      <c r="F18" s="53" t="n">
        <f aca="false">D18/$D$2</f>
        <v>16.63725737333</v>
      </c>
      <c r="G18" s="53" t="n">
        <v>50.4</v>
      </c>
      <c r="H18" s="55" t="n">
        <v>0</v>
      </c>
      <c r="I18" s="53" t="n">
        <f aca="false">G18+H18</f>
        <v>50.4</v>
      </c>
      <c r="J18" s="83" t="n">
        <f aca="false">IF(L18&gt;0,L18,0)</f>
        <v>0.0372573733299717</v>
      </c>
      <c r="K18" s="53" t="n">
        <f aca="false">I18+J18</f>
        <v>50.43725737333</v>
      </c>
      <c r="L18" s="53" t="n">
        <f aca="false">F18-(I18-X18)</f>
        <v>0.0372573733299717</v>
      </c>
      <c r="M18" s="53" t="n">
        <v>4.1</v>
      </c>
      <c r="N18" s="53" t="n">
        <v>0</v>
      </c>
      <c r="O18" s="53" t="n">
        <v>0</v>
      </c>
      <c r="P18" s="6" t="n">
        <f aca="false">M18-(N18+O18)</f>
        <v>4.1</v>
      </c>
      <c r="Q18" s="53" t="n">
        <v>0</v>
      </c>
      <c r="R18" s="53" t="n">
        <v>0</v>
      </c>
      <c r="S18" s="53" t="n">
        <f aca="false">SUM(P18:R18)</f>
        <v>4.1</v>
      </c>
      <c r="T18" s="54"/>
      <c r="U18" s="53" t="n">
        <v>0</v>
      </c>
      <c r="V18" s="53" t="n">
        <v>29.7</v>
      </c>
      <c r="W18" s="54" t="n">
        <f aca="false">W17-V18</f>
        <v>13996.2</v>
      </c>
      <c r="X18" s="6" t="n">
        <f aca="false">N18+O18+S18+U18+V18</f>
        <v>33.8</v>
      </c>
      <c r="Y18" s="53" t="n">
        <f aca="false">IF(L18&lt;0,L18*-1,0)</f>
        <v>0</v>
      </c>
      <c r="Z18" s="53" t="n">
        <f aca="false">X18+Y18</f>
        <v>33.8</v>
      </c>
      <c r="AA18" s="58" t="n">
        <v>0</v>
      </c>
      <c r="AB18" s="84" t="n">
        <v>42</v>
      </c>
      <c r="AC18" s="59" t="n">
        <v>11</v>
      </c>
      <c r="AD18" s="60" t="n">
        <f aca="false">AD17+1</f>
        <v>9</v>
      </c>
    </row>
    <row r="19" customFormat="false" ht="11.1" hidden="false" customHeight="true" outlineLevel="0" collapsed="false">
      <c r="A19" s="60" t="n">
        <f aca="false">A18+1</f>
        <v>10</v>
      </c>
      <c r="B19" s="75" t="n">
        <v>6887.73</v>
      </c>
      <c r="C19" s="54" t="n">
        <v>240579</v>
      </c>
      <c r="D19" s="59" t="n">
        <f aca="false">C19-C18</f>
        <v>66</v>
      </c>
      <c r="E19" s="54" t="n">
        <f aca="false">C19-152000</f>
        <v>88579</v>
      </c>
      <c r="F19" s="53" t="n">
        <f aca="false">D19/$D$2</f>
        <v>33.2745147466599</v>
      </c>
      <c r="G19" s="53" t="n">
        <v>67.9</v>
      </c>
      <c r="H19" s="55" t="n">
        <v>0</v>
      </c>
      <c r="I19" s="53" t="n">
        <f aca="false">G19+H19</f>
        <v>67.9</v>
      </c>
      <c r="J19" s="83" t="n">
        <f aca="false">IF(L19&gt;0,L19,0)</f>
        <v>0.0745147466599434</v>
      </c>
      <c r="K19" s="53" t="n">
        <f aca="false">I19+J19</f>
        <v>67.97451474666</v>
      </c>
      <c r="L19" s="53" t="n">
        <f aca="false">F19-(I19-X19)</f>
        <v>0.0745147466599434</v>
      </c>
      <c r="M19" s="53" t="n">
        <v>4.1</v>
      </c>
      <c r="N19" s="53" t="n">
        <v>0</v>
      </c>
      <c r="O19" s="53" t="n">
        <v>0</v>
      </c>
      <c r="P19" s="6" t="n">
        <f aca="false">M19-(N19+O19)</f>
        <v>4.1</v>
      </c>
      <c r="Q19" s="53" t="n">
        <v>0</v>
      </c>
      <c r="R19" s="53" t="n">
        <v>0</v>
      </c>
      <c r="S19" s="53" t="n">
        <f aca="false">SUM(P19:R19)</f>
        <v>4.1</v>
      </c>
      <c r="T19" s="54"/>
      <c r="U19" s="53" t="n">
        <v>0</v>
      </c>
      <c r="V19" s="53" t="n">
        <v>30.6</v>
      </c>
      <c r="W19" s="54" t="n">
        <f aca="false">W18-V19</f>
        <v>13965.6</v>
      </c>
      <c r="X19" s="6" t="n">
        <f aca="false">N19+O19+S19+U19+V19</f>
        <v>34.7</v>
      </c>
      <c r="Y19" s="53" t="n">
        <f aca="false">IF(L19&lt;0,L19*-1,0)</f>
        <v>0</v>
      </c>
      <c r="Z19" s="53" t="n">
        <f aca="false">X19+Y19</f>
        <v>34.7</v>
      </c>
      <c r="AA19" s="58" t="n">
        <v>0</v>
      </c>
      <c r="AB19" s="59" t="n">
        <v>41</v>
      </c>
      <c r="AC19" s="59" t="n">
        <v>12</v>
      </c>
      <c r="AD19" s="60" t="n">
        <f aca="false">AD18+1</f>
        <v>10</v>
      </c>
    </row>
    <row r="20" customFormat="false" ht="11.1" hidden="false" customHeight="true" outlineLevel="0" collapsed="false">
      <c r="A20" s="60" t="n">
        <f aca="false">A19+1</f>
        <v>11</v>
      </c>
      <c r="B20" s="75" t="n">
        <v>6887.76</v>
      </c>
      <c r="C20" s="54" t="n">
        <v>240678</v>
      </c>
      <c r="D20" s="59" t="n">
        <f aca="false">C20-C19</f>
        <v>99</v>
      </c>
      <c r="E20" s="54" t="n">
        <f aca="false">C20-152000</f>
        <v>88678</v>
      </c>
      <c r="F20" s="53" t="n">
        <f aca="false">D20/$D$2</f>
        <v>49.9117721199899</v>
      </c>
      <c r="G20" s="53" t="n">
        <v>85.2</v>
      </c>
      <c r="H20" s="55" t="n">
        <v>0</v>
      </c>
      <c r="I20" s="53" t="n">
        <f aca="false">G20+H20</f>
        <v>85.2</v>
      </c>
      <c r="J20" s="83" t="n">
        <f aca="false">IF(L20&gt;0,L20,0)</f>
        <v>0.0117721199899066</v>
      </c>
      <c r="K20" s="53" t="n">
        <f aca="false">I20+J20</f>
        <v>85.2117721199899</v>
      </c>
      <c r="L20" s="53" t="n">
        <f aca="false">F20-(I20-X20)</f>
        <v>0.0117721199899066</v>
      </c>
      <c r="M20" s="53" t="n">
        <v>4.1</v>
      </c>
      <c r="N20" s="53" t="n">
        <v>0</v>
      </c>
      <c r="O20" s="53" t="n">
        <v>0</v>
      </c>
      <c r="P20" s="6" t="n">
        <f aca="false">M20-(N20+O20)</f>
        <v>4.1</v>
      </c>
      <c r="Q20" s="53" t="n">
        <v>0</v>
      </c>
      <c r="R20" s="53" t="n">
        <v>0</v>
      </c>
      <c r="S20" s="53" t="n">
        <f aca="false">SUM(P20:R20)</f>
        <v>4.1</v>
      </c>
      <c r="T20" s="54"/>
      <c r="U20" s="53" t="n">
        <v>0</v>
      </c>
      <c r="V20" s="53" t="n">
        <v>31.2</v>
      </c>
      <c r="W20" s="54" t="n">
        <f aca="false">W19-V20</f>
        <v>13934.4</v>
      </c>
      <c r="X20" s="6" t="n">
        <f aca="false">N20+O20+S20+U20+V20</f>
        <v>35.3</v>
      </c>
      <c r="Y20" s="53" t="n">
        <f aca="false">IF(L20&lt;0,L20*-1,0)</f>
        <v>0</v>
      </c>
      <c r="Z20" s="53" t="n">
        <f aca="false">X20+Y20</f>
        <v>35.3</v>
      </c>
      <c r="AA20" s="58" t="n">
        <v>0</v>
      </c>
      <c r="AB20" s="59" t="n">
        <v>54</v>
      </c>
      <c r="AC20" s="59" t="n">
        <v>11</v>
      </c>
      <c r="AD20" s="60" t="n">
        <f aca="false">AD19+1</f>
        <v>11</v>
      </c>
    </row>
    <row r="21" customFormat="false" ht="11.1" hidden="false" customHeight="true" outlineLevel="0" collapsed="false">
      <c r="A21" s="60" t="n">
        <f aca="false">A20+1</f>
        <v>12</v>
      </c>
      <c r="B21" s="75" t="n">
        <v>6887.78</v>
      </c>
      <c r="C21" s="54" t="n">
        <v>240744</v>
      </c>
      <c r="D21" s="59" t="n">
        <f aca="false">C21-C20</f>
        <v>66</v>
      </c>
      <c r="E21" s="54" t="n">
        <f aca="false">C21-152000</f>
        <v>88744</v>
      </c>
      <c r="F21" s="53" t="n">
        <f aca="false">D21/$D$2</f>
        <v>33.2745147466599</v>
      </c>
      <c r="G21" s="53" t="n">
        <v>71</v>
      </c>
      <c r="H21" s="55" t="n">
        <v>0</v>
      </c>
      <c r="I21" s="53" t="n">
        <f aca="false">G21+H21</f>
        <v>71</v>
      </c>
      <c r="J21" s="83" t="n">
        <f aca="false">IF(L21&gt;0,L21,0)</f>
        <v>0.0745147466599505</v>
      </c>
      <c r="K21" s="53" t="n">
        <f aca="false">I21+J21</f>
        <v>71.07451474666</v>
      </c>
      <c r="L21" s="53" t="n">
        <f aca="false">F21-(I21-X21)</f>
        <v>0.0745147466599505</v>
      </c>
      <c r="M21" s="53" t="n">
        <v>4.1</v>
      </c>
      <c r="N21" s="53" t="n">
        <v>0</v>
      </c>
      <c r="O21" s="53" t="n">
        <v>0</v>
      </c>
      <c r="P21" s="6" t="n">
        <f aca="false">M21-(N21+O21)</f>
        <v>4.1</v>
      </c>
      <c r="Q21" s="53" t="n">
        <v>0</v>
      </c>
      <c r="R21" s="53" t="n">
        <v>0</v>
      </c>
      <c r="S21" s="53" t="n">
        <f aca="false">SUM(P21:R21)</f>
        <v>4.1</v>
      </c>
      <c r="T21" s="54"/>
      <c r="U21" s="53" t="n">
        <v>0</v>
      </c>
      <c r="V21" s="53" t="n">
        <v>33.7</v>
      </c>
      <c r="W21" s="54" t="n">
        <f aca="false">W20-V21</f>
        <v>13900.7</v>
      </c>
      <c r="X21" s="6" t="n">
        <f aca="false">N21+O21+S21+U21+V21</f>
        <v>37.8</v>
      </c>
      <c r="Y21" s="53" t="n">
        <f aca="false">IF(L21&lt;0,L21*-1,0)</f>
        <v>0</v>
      </c>
      <c r="Z21" s="53" t="n">
        <f aca="false">X21+Y21</f>
        <v>37.8</v>
      </c>
      <c r="AA21" s="58" t="n">
        <v>0.16</v>
      </c>
      <c r="AB21" s="59" t="n">
        <v>39</v>
      </c>
      <c r="AC21" s="59" t="n">
        <v>30</v>
      </c>
      <c r="AD21" s="60" t="n">
        <f aca="false">AD20+1</f>
        <v>12</v>
      </c>
    </row>
    <row r="22" customFormat="false" ht="11.1" hidden="false" customHeight="true" outlineLevel="0" collapsed="false">
      <c r="A22" s="60" t="n">
        <f aca="false">A21+1</f>
        <v>13</v>
      </c>
      <c r="B22" s="75" t="n">
        <v>6887.81</v>
      </c>
      <c r="C22" s="54" t="n">
        <v>240843</v>
      </c>
      <c r="D22" s="59" t="n">
        <f aca="false">C22-C21</f>
        <v>99</v>
      </c>
      <c r="E22" s="54" t="n">
        <f aca="false">C22-152000</f>
        <v>88843</v>
      </c>
      <c r="F22" s="53" t="n">
        <f aca="false">D22/$D$2</f>
        <v>49.9117721199899</v>
      </c>
      <c r="G22" s="53" t="n">
        <v>89.4</v>
      </c>
      <c r="H22" s="55" t="n">
        <v>0</v>
      </c>
      <c r="I22" s="53" t="n">
        <f aca="false">G22+H22</f>
        <v>89.4</v>
      </c>
      <c r="J22" s="83" t="n">
        <f aca="false">IF(L22&gt;0,L22,0)</f>
        <v>0.111772119989908</v>
      </c>
      <c r="K22" s="53" t="n">
        <f aca="false">I22+J22</f>
        <v>89.5117721199899</v>
      </c>
      <c r="L22" s="53" t="n">
        <f aca="false">F22-(I22-X22)</f>
        <v>0.111772119989908</v>
      </c>
      <c r="M22" s="53" t="n">
        <v>4.1</v>
      </c>
      <c r="N22" s="53" t="n">
        <v>0</v>
      </c>
      <c r="O22" s="53" t="n">
        <v>0</v>
      </c>
      <c r="P22" s="6" t="n">
        <f aca="false">M22-(N22+O22)</f>
        <v>4.1</v>
      </c>
      <c r="Q22" s="53" t="n">
        <v>0</v>
      </c>
      <c r="R22" s="53" t="n">
        <v>0</v>
      </c>
      <c r="S22" s="53" t="n">
        <f aca="false">SUM(P22:R22)</f>
        <v>4.1</v>
      </c>
      <c r="T22" s="54"/>
      <c r="U22" s="53" t="n">
        <v>0</v>
      </c>
      <c r="V22" s="53" t="n">
        <v>35.5</v>
      </c>
      <c r="W22" s="54" t="n">
        <f aca="false">W21-V22</f>
        <v>13865.2</v>
      </c>
      <c r="X22" s="6" t="n">
        <f aca="false">N22+O22+S22+U22+V22</f>
        <v>39.6</v>
      </c>
      <c r="Y22" s="53" t="n">
        <f aca="false">IF(L22&lt;0,L22*-1,0)</f>
        <v>0</v>
      </c>
      <c r="Z22" s="53" t="n">
        <f aca="false">X22+Y22</f>
        <v>39.6</v>
      </c>
      <c r="AA22" s="58" t="n">
        <v>0.12</v>
      </c>
      <c r="AB22" s="59" t="n">
        <v>36</v>
      </c>
      <c r="AC22" s="59" t="n">
        <v>32</v>
      </c>
      <c r="AD22" s="60" t="n">
        <f aca="false">AD21+1</f>
        <v>13</v>
      </c>
    </row>
    <row r="23" customFormat="false" ht="11.1" hidden="false" customHeight="true" outlineLevel="0" collapsed="false">
      <c r="A23" s="60" t="n">
        <f aca="false">A22+1</f>
        <v>14</v>
      </c>
      <c r="B23" s="75" t="n">
        <v>6887.82</v>
      </c>
      <c r="C23" s="54" t="n">
        <v>240876</v>
      </c>
      <c r="D23" s="59" t="n">
        <f aca="false">C23-C22</f>
        <v>33</v>
      </c>
      <c r="E23" s="54" t="n">
        <f aca="false">C23-152000</f>
        <v>88876</v>
      </c>
      <c r="F23" s="53" t="n">
        <f aca="false">D23/$D$2</f>
        <v>16.63725737333</v>
      </c>
      <c r="G23" s="53" t="n">
        <v>56.3</v>
      </c>
      <c r="H23" s="55" t="n">
        <v>0</v>
      </c>
      <c r="I23" s="53" t="n">
        <f aca="false">G23+H23</f>
        <v>56.3</v>
      </c>
      <c r="J23" s="83" t="n">
        <f aca="false">IF(L23&gt;0,L23,0)</f>
        <v>0.0372573733299788</v>
      </c>
      <c r="K23" s="53" t="n">
        <f aca="false">I23+J23</f>
        <v>56.33725737333</v>
      </c>
      <c r="L23" s="53" t="n">
        <f aca="false">F23-(I23-X23)</f>
        <v>0.0372573733299788</v>
      </c>
      <c r="M23" s="53" t="n">
        <v>4.1</v>
      </c>
      <c r="N23" s="53" t="n">
        <v>0</v>
      </c>
      <c r="O23" s="53" t="n">
        <v>0</v>
      </c>
      <c r="P23" s="6" t="n">
        <f aca="false">M23-(N23+O23)</f>
        <v>4.1</v>
      </c>
      <c r="Q23" s="53" t="n">
        <v>0</v>
      </c>
      <c r="R23" s="53" t="n">
        <v>0</v>
      </c>
      <c r="S23" s="53" t="n">
        <f aca="false">SUM(P23:R23)</f>
        <v>4.1</v>
      </c>
      <c r="T23" s="54"/>
      <c r="U23" s="53" t="n">
        <v>0</v>
      </c>
      <c r="V23" s="53" t="n">
        <v>35.6</v>
      </c>
      <c r="W23" s="54" t="n">
        <f aca="false">W22-V23</f>
        <v>13829.6</v>
      </c>
      <c r="X23" s="6" t="n">
        <f aca="false">N23+O23+S23+U23+V23</f>
        <v>39.7</v>
      </c>
      <c r="Y23" s="53" t="n">
        <f aca="false">IF(L23&lt;0,L23*-1,0)</f>
        <v>0</v>
      </c>
      <c r="Z23" s="53" t="n">
        <f aca="false">X23+Y23</f>
        <v>39.7</v>
      </c>
      <c r="AA23" s="58" t="n">
        <v>0</v>
      </c>
      <c r="AB23" s="84" t="n">
        <v>37</v>
      </c>
      <c r="AC23" s="59" t="n">
        <v>20</v>
      </c>
      <c r="AD23" s="60" t="n">
        <f aca="false">AD22+1</f>
        <v>14</v>
      </c>
    </row>
    <row r="24" customFormat="false" ht="11.1" hidden="false" customHeight="true" outlineLevel="0" collapsed="false">
      <c r="A24" s="60" t="n">
        <f aca="false">A23+1</f>
        <v>15</v>
      </c>
      <c r="B24" s="75" t="n">
        <v>6887.83</v>
      </c>
      <c r="C24" s="54" t="n">
        <v>240909</v>
      </c>
      <c r="D24" s="59" t="n">
        <f aca="false">C24-C23</f>
        <v>33</v>
      </c>
      <c r="E24" s="54" t="n">
        <f aca="false">C24-152000</f>
        <v>88909</v>
      </c>
      <c r="F24" s="53" t="n">
        <f aca="false">D24/$D$2</f>
        <v>16.63725737333</v>
      </c>
      <c r="G24" s="53" t="n">
        <v>57.1</v>
      </c>
      <c r="H24" s="55" t="n">
        <v>0</v>
      </c>
      <c r="I24" s="53" t="n">
        <f aca="false">G24+H24</f>
        <v>57.1</v>
      </c>
      <c r="J24" s="83" t="n">
        <f aca="false">IF(L24&gt;0,L24,0)</f>
        <v>0.0372573733299717</v>
      </c>
      <c r="K24" s="53" t="n">
        <f aca="false">I24+J24</f>
        <v>57.13725737333</v>
      </c>
      <c r="L24" s="53" t="n">
        <f aca="false">F24-(I24-X24)</f>
        <v>0.0372573733299717</v>
      </c>
      <c r="M24" s="53" t="n">
        <v>4.1</v>
      </c>
      <c r="N24" s="53" t="n">
        <v>0</v>
      </c>
      <c r="O24" s="53" t="n">
        <v>0</v>
      </c>
      <c r="P24" s="6" t="n">
        <f aca="false">M24-(N24+O24)</f>
        <v>4.1</v>
      </c>
      <c r="Q24" s="53" t="n">
        <v>0</v>
      </c>
      <c r="R24" s="53" t="n">
        <v>0</v>
      </c>
      <c r="S24" s="53" t="n">
        <f aca="false">SUM(P24:R24)</f>
        <v>4.1</v>
      </c>
      <c r="T24" s="54"/>
      <c r="U24" s="53" t="n">
        <v>0</v>
      </c>
      <c r="V24" s="53" t="n">
        <v>36.4</v>
      </c>
      <c r="W24" s="54" t="n">
        <f aca="false">W23-V24</f>
        <v>13793.2</v>
      </c>
      <c r="X24" s="6" t="n">
        <f aca="false">N24+O24+S24+U24+V24</f>
        <v>40.5</v>
      </c>
      <c r="Y24" s="53" t="n">
        <f aca="false">IF(L24&lt;0,L24*-1,0)</f>
        <v>0</v>
      </c>
      <c r="Z24" s="53" t="n">
        <f aca="false">X24+Y24</f>
        <v>40.5</v>
      </c>
      <c r="AA24" s="58" t="n">
        <v>0</v>
      </c>
      <c r="AB24" s="84" t="n">
        <v>36</v>
      </c>
      <c r="AC24" s="59" t="n">
        <v>23</v>
      </c>
      <c r="AD24" s="60" t="n">
        <f aca="false">AD23+1</f>
        <v>15</v>
      </c>
    </row>
    <row r="25" customFormat="false" ht="11.1" hidden="false" customHeight="true" outlineLevel="0" collapsed="false">
      <c r="A25" s="60" t="n">
        <f aca="false">A24+1</f>
        <v>16</v>
      </c>
      <c r="B25" s="75" t="n">
        <v>6887.85</v>
      </c>
      <c r="C25" s="54" t="n">
        <v>240975</v>
      </c>
      <c r="D25" s="59" t="n">
        <f aca="false">C25-C24</f>
        <v>66</v>
      </c>
      <c r="E25" s="54" t="n">
        <f aca="false">C25-152000</f>
        <v>88975</v>
      </c>
      <c r="F25" s="53" t="n">
        <f aca="false">D25/$D$2</f>
        <v>33.2745147466599</v>
      </c>
      <c r="G25" s="53" t="n">
        <v>72</v>
      </c>
      <c r="H25" s="55" t="n">
        <v>0</v>
      </c>
      <c r="I25" s="53" t="n">
        <f aca="false">G25+H25</f>
        <v>72</v>
      </c>
      <c r="J25" s="83" t="n">
        <f aca="false">IF(L25&gt;0,L25,0)</f>
        <v>0.0745147466599505</v>
      </c>
      <c r="K25" s="53" t="n">
        <f aca="false">I25+J25</f>
        <v>72.07451474666</v>
      </c>
      <c r="L25" s="53" t="n">
        <f aca="false">F25-(I25-X25)</f>
        <v>0.0745147466599505</v>
      </c>
      <c r="M25" s="53" t="n">
        <v>4.1</v>
      </c>
      <c r="N25" s="53" t="n">
        <v>0</v>
      </c>
      <c r="O25" s="53" t="n">
        <v>0</v>
      </c>
      <c r="P25" s="6" t="n">
        <f aca="false">M25-(N25+O25)</f>
        <v>4.1</v>
      </c>
      <c r="Q25" s="53" t="n">
        <v>0</v>
      </c>
      <c r="R25" s="53" t="n">
        <v>0</v>
      </c>
      <c r="S25" s="53" t="n">
        <f aca="false">SUM(P25:R25)</f>
        <v>4.1</v>
      </c>
      <c r="T25" s="54"/>
      <c r="U25" s="53" t="n">
        <v>0</v>
      </c>
      <c r="V25" s="53" t="n">
        <v>34.7</v>
      </c>
      <c r="W25" s="54" t="n">
        <f aca="false">W24-V25</f>
        <v>13758.5</v>
      </c>
      <c r="X25" s="6" t="n">
        <f aca="false">N25+O25+S25+U25+V25</f>
        <v>38.8</v>
      </c>
      <c r="Y25" s="53" t="n">
        <f aca="false">IF(L25&lt;0,L25*-1,0)</f>
        <v>0</v>
      </c>
      <c r="Z25" s="53" t="n">
        <f aca="false">X25+Y25</f>
        <v>38.8</v>
      </c>
      <c r="AA25" s="58" t="n">
        <v>0</v>
      </c>
      <c r="AB25" s="84" t="n">
        <v>38</v>
      </c>
      <c r="AC25" s="59" t="n">
        <v>26</v>
      </c>
      <c r="AD25" s="60" t="n">
        <f aca="false">AD24+1</f>
        <v>16</v>
      </c>
    </row>
    <row r="26" customFormat="false" ht="11.1" hidden="false" customHeight="true" outlineLevel="0" collapsed="false">
      <c r="A26" s="60" t="n">
        <f aca="false">A25+1</f>
        <v>17</v>
      </c>
      <c r="B26" s="75" t="n">
        <v>6887.86</v>
      </c>
      <c r="C26" s="54" t="n">
        <v>241008</v>
      </c>
      <c r="D26" s="59" t="n">
        <f aca="false">C26-C25</f>
        <v>33</v>
      </c>
      <c r="E26" s="54" t="n">
        <f aca="false">C26-152000</f>
        <v>89008</v>
      </c>
      <c r="F26" s="53" t="n">
        <f aca="false">D26/$D$2</f>
        <v>16.63725737333</v>
      </c>
      <c r="G26" s="53" t="n">
        <v>54.6</v>
      </c>
      <c r="H26" s="55" t="n">
        <v>0</v>
      </c>
      <c r="I26" s="53" t="n">
        <f aca="false">G26+H26</f>
        <v>54.6</v>
      </c>
      <c r="J26" s="83" t="n">
        <f aca="false">IF(L26&gt;0,L26,0)</f>
        <v>0.0372573733299717</v>
      </c>
      <c r="K26" s="53" t="n">
        <f aca="false">I26+J26</f>
        <v>54.63725737333</v>
      </c>
      <c r="L26" s="53" t="n">
        <f aca="false">F26-(I26-X26)</f>
        <v>0.0372573733299717</v>
      </c>
      <c r="M26" s="53" t="n">
        <v>4.1</v>
      </c>
      <c r="N26" s="53" t="n">
        <v>0</v>
      </c>
      <c r="O26" s="53" t="n">
        <v>0</v>
      </c>
      <c r="P26" s="6" t="n">
        <f aca="false">M26-(N26+O26)</f>
        <v>4.1</v>
      </c>
      <c r="Q26" s="53" t="n">
        <v>0</v>
      </c>
      <c r="R26" s="53" t="n">
        <v>0</v>
      </c>
      <c r="S26" s="53" t="n">
        <f aca="false">SUM(P26:R26)</f>
        <v>4.1</v>
      </c>
      <c r="T26" s="54"/>
      <c r="U26" s="53" t="n">
        <v>0</v>
      </c>
      <c r="V26" s="53" t="n">
        <v>33.9</v>
      </c>
      <c r="W26" s="54" t="n">
        <f aca="false">W25-V26</f>
        <v>13724.6</v>
      </c>
      <c r="X26" s="6" t="n">
        <f aca="false">N26+O26+S26+U26+V26</f>
        <v>38</v>
      </c>
      <c r="Y26" s="53" t="n">
        <f aca="false">IF(L26&lt;0,L26*-1,0)</f>
        <v>0</v>
      </c>
      <c r="Z26" s="53" t="n">
        <f aca="false">X26+Y26</f>
        <v>38</v>
      </c>
      <c r="AA26" s="58" t="n">
        <v>0</v>
      </c>
      <c r="AB26" s="84" t="n">
        <v>36</v>
      </c>
      <c r="AC26" s="59" t="n">
        <v>24</v>
      </c>
      <c r="AD26" s="60" t="n">
        <f aca="false">AD25+1</f>
        <v>17</v>
      </c>
    </row>
    <row r="27" customFormat="false" ht="11.1" hidden="false" customHeight="true" outlineLevel="0" collapsed="false">
      <c r="A27" s="60" t="n">
        <f aca="false">A26+1</f>
        <v>18</v>
      </c>
      <c r="B27" s="75" t="n">
        <v>6887.87</v>
      </c>
      <c r="C27" s="54" t="n">
        <v>241041</v>
      </c>
      <c r="D27" s="59" t="n">
        <f aca="false">C27-C26</f>
        <v>33</v>
      </c>
      <c r="E27" s="54" t="n">
        <f aca="false">C27-152000</f>
        <v>89041</v>
      </c>
      <c r="F27" s="53" t="n">
        <f aca="false">D27/$D$2</f>
        <v>16.63725737333</v>
      </c>
      <c r="G27" s="53" t="n">
        <v>53.4</v>
      </c>
      <c r="H27" s="55" t="n">
        <v>0</v>
      </c>
      <c r="I27" s="53" t="n">
        <f aca="false">G27+H27</f>
        <v>53.4</v>
      </c>
      <c r="J27" s="83" t="n">
        <f aca="false">IF(L27&gt;0,L27,0)</f>
        <v>0.0372573733299788</v>
      </c>
      <c r="K27" s="53" t="n">
        <f aca="false">I27+J27</f>
        <v>53.43725737333</v>
      </c>
      <c r="L27" s="53" t="n">
        <f aca="false">F27-(I27-X27)</f>
        <v>0.0372573733299788</v>
      </c>
      <c r="M27" s="53" t="n">
        <v>4.1</v>
      </c>
      <c r="N27" s="53" t="n">
        <v>0</v>
      </c>
      <c r="O27" s="53" t="n">
        <v>0</v>
      </c>
      <c r="P27" s="6" t="n">
        <f aca="false">M27-(N27+O27)</f>
        <v>4.1</v>
      </c>
      <c r="Q27" s="53" t="n">
        <v>0</v>
      </c>
      <c r="R27" s="53" t="n">
        <v>0</v>
      </c>
      <c r="S27" s="53" t="n">
        <f aca="false">SUM(P27:R27)</f>
        <v>4.1</v>
      </c>
      <c r="T27" s="54"/>
      <c r="U27" s="53" t="n">
        <v>0</v>
      </c>
      <c r="V27" s="53" t="n">
        <v>32.7</v>
      </c>
      <c r="W27" s="54" t="n">
        <f aca="false">W26-V27</f>
        <v>13691.9</v>
      </c>
      <c r="X27" s="6" t="n">
        <f aca="false">N27+O27+S27+U27+V27</f>
        <v>36.8</v>
      </c>
      <c r="Y27" s="53" t="n">
        <f aca="false">IF(L27&lt;0,L27*-1,0)</f>
        <v>0</v>
      </c>
      <c r="Z27" s="53" t="n">
        <f aca="false">X27+Y27</f>
        <v>36.8</v>
      </c>
      <c r="AA27" s="58" t="n">
        <v>0</v>
      </c>
      <c r="AB27" s="84" t="n">
        <v>32</v>
      </c>
      <c r="AC27" s="59" t="n">
        <v>11</v>
      </c>
      <c r="AD27" s="60" t="n">
        <f aca="false">AD26+1</f>
        <v>18</v>
      </c>
    </row>
    <row r="28" customFormat="false" ht="11.1" hidden="false" customHeight="true" outlineLevel="0" collapsed="false">
      <c r="A28" s="60" t="n">
        <f aca="false">A27+1</f>
        <v>19</v>
      </c>
      <c r="B28" s="75" t="n">
        <v>6887.88</v>
      </c>
      <c r="C28" s="54" t="n">
        <v>241074</v>
      </c>
      <c r="D28" s="59" t="n">
        <f aca="false">C28-C27</f>
        <v>33</v>
      </c>
      <c r="E28" s="54" t="n">
        <f aca="false">C28-152000</f>
        <v>89074</v>
      </c>
      <c r="F28" s="53" t="n">
        <f aca="false">D28/$D$2</f>
        <v>16.63725737333</v>
      </c>
      <c r="G28" s="53" t="n">
        <v>53.9</v>
      </c>
      <c r="H28" s="55" t="n">
        <v>0</v>
      </c>
      <c r="I28" s="53" t="n">
        <f aca="false">G28+H28</f>
        <v>53.9</v>
      </c>
      <c r="J28" s="83" t="n">
        <f aca="false">IF(L28&gt;0,L28,0)</f>
        <v>0.0372573733299788</v>
      </c>
      <c r="K28" s="53" t="n">
        <f aca="false">I28+J28</f>
        <v>53.93725737333</v>
      </c>
      <c r="L28" s="53" t="n">
        <f aca="false">F28-(I28-X28)</f>
        <v>0.0372573733299788</v>
      </c>
      <c r="M28" s="53" t="n">
        <v>4.1</v>
      </c>
      <c r="N28" s="53" t="n">
        <v>0</v>
      </c>
      <c r="O28" s="53" t="n">
        <v>0</v>
      </c>
      <c r="P28" s="6" t="n">
        <f aca="false">M28-(N28+O28)</f>
        <v>4.1</v>
      </c>
      <c r="Q28" s="53" t="n">
        <v>0</v>
      </c>
      <c r="R28" s="53" t="n">
        <v>0</v>
      </c>
      <c r="S28" s="53" t="n">
        <f aca="false">SUM(P28:R28)</f>
        <v>4.1</v>
      </c>
      <c r="T28" s="54"/>
      <c r="U28" s="53" t="n">
        <v>0</v>
      </c>
      <c r="V28" s="53" t="n">
        <v>33.2</v>
      </c>
      <c r="W28" s="54" t="n">
        <f aca="false">W27-V28</f>
        <v>13658.7</v>
      </c>
      <c r="X28" s="6" t="n">
        <f aca="false">N28+O28+S28+U28+V28</f>
        <v>37.3</v>
      </c>
      <c r="Y28" s="53" t="n">
        <f aca="false">IF(L28&lt;0,L28*-1,0)</f>
        <v>0</v>
      </c>
      <c r="Z28" s="53" t="n">
        <f aca="false">X28+Y28</f>
        <v>37.3</v>
      </c>
      <c r="AA28" s="58" t="n">
        <v>0.11</v>
      </c>
      <c r="AB28" s="84" t="n">
        <v>20</v>
      </c>
      <c r="AC28" s="59" t="n">
        <v>7</v>
      </c>
      <c r="AD28" s="60" t="n">
        <f aca="false">AD27+1</f>
        <v>19</v>
      </c>
    </row>
    <row r="29" customFormat="false" ht="11.1" hidden="false" customHeight="true" outlineLevel="0" collapsed="false">
      <c r="A29" s="60" t="n">
        <f aca="false">A28+1</f>
        <v>20</v>
      </c>
      <c r="B29" s="75" t="n">
        <v>6887.9</v>
      </c>
      <c r="C29" s="54" t="n">
        <v>241149</v>
      </c>
      <c r="D29" s="59" t="n">
        <f aca="false">C29-C28</f>
        <v>75</v>
      </c>
      <c r="E29" s="54" t="n">
        <f aca="false">C29-152000</f>
        <v>89149</v>
      </c>
      <c r="F29" s="53" t="n">
        <f aca="false">D29/$D$2</f>
        <v>37.8119485757499</v>
      </c>
      <c r="G29" s="53" t="n">
        <v>75.3</v>
      </c>
      <c r="H29" s="55" t="n">
        <v>0</v>
      </c>
      <c r="I29" s="53" t="n">
        <f aca="false">G29+H29</f>
        <v>75.3</v>
      </c>
      <c r="J29" s="83" t="n">
        <f aca="false">IF(L29&gt;0,L29,0)</f>
        <v>0.0119485757499405</v>
      </c>
      <c r="K29" s="53" t="n">
        <f aca="false">I29+J29</f>
        <v>75.3119485757499</v>
      </c>
      <c r="L29" s="53" t="n">
        <f aca="false">F29-(I29-X29)</f>
        <v>0.0119485757499405</v>
      </c>
      <c r="M29" s="53" t="n">
        <v>4.1</v>
      </c>
      <c r="N29" s="53" t="n">
        <v>0</v>
      </c>
      <c r="O29" s="53" t="n">
        <v>0</v>
      </c>
      <c r="P29" s="6" t="n">
        <f aca="false">M29-(N29+O29)</f>
        <v>4.1</v>
      </c>
      <c r="Q29" s="53" t="n">
        <v>0</v>
      </c>
      <c r="R29" s="53" t="n">
        <v>0</v>
      </c>
      <c r="S29" s="53" t="n">
        <f aca="false">SUM(P29:R29)</f>
        <v>4.1</v>
      </c>
      <c r="T29" s="54"/>
      <c r="U29" s="53" t="n">
        <v>0</v>
      </c>
      <c r="V29" s="53" t="n">
        <v>33.4</v>
      </c>
      <c r="W29" s="54" t="n">
        <f aca="false">W28-V29</f>
        <v>13625.3</v>
      </c>
      <c r="X29" s="6" t="n">
        <f aca="false">N29+O29+S29+U29+V29</f>
        <v>37.5</v>
      </c>
      <c r="Y29" s="53" t="n">
        <f aca="false">IF(L29&lt;0,L29*-1,0)</f>
        <v>0</v>
      </c>
      <c r="Z29" s="53" t="n">
        <f aca="false">X29+Y29</f>
        <v>37.5</v>
      </c>
      <c r="AA29" s="58" t="n">
        <v>0.12</v>
      </c>
      <c r="AB29" s="84" t="n">
        <v>20</v>
      </c>
      <c r="AC29" s="59" t="n">
        <v>14</v>
      </c>
      <c r="AD29" s="60" t="n">
        <f aca="false">AD28+1</f>
        <v>20</v>
      </c>
    </row>
    <row r="30" customFormat="false" ht="11.1" hidden="false" customHeight="true" outlineLevel="0" collapsed="false">
      <c r="A30" s="60" t="n">
        <f aca="false">A29+1</f>
        <v>21</v>
      </c>
      <c r="B30" s="75" t="n">
        <v>6887.9</v>
      </c>
      <c r="C30" s="54" t="n">
        <v>241149</v>
      </c>
      <c r="D30" s="59" t="n">
        <f aca="false">C30-C29</f>
        <v>0</v>
      </c>
      <c r="E30" s="54" t="n">
        <f aca="false">C30-152000</f>
        <v>89149</v>
      </c>
      <c r="F30" s="53" t="n">
        <f aca="false">D30/$D$2</f>
        <v>0</v>
      </c>
      <c r="G30" s="53" t="n">
        <v>38</v>
      </c>
      <c r="H30" s="55" t="n">
        <v>0</v>
      </c>
      <c r="I30" s="53" t="n">
        <f aca="false">G30+H30</f>
        <v>38</v>
      </c>
      <c r="J30" s="83" t="n">
        <f aca="false">IF(L30&gt;0,L30,0)</f>
        <v>0</v>
      </c>
      <c r="K30" s="53" t="n">
        <f aca="false">I30+J30</f>
        <v>38</v>
      </c>
      <c r="L30" s="53" t="n">
        <f aca="false">F30-(I30-X30)</f>
        <v>0</v>
      </c>
      <c r="M30" s="53" t="n">
        <v>4.1</v>
      </c>
      <c r="N30" s="53" t="n">
        <v>0</v>
      </c>
      <c r="O30" s="53" t="n">
        <v>0</v>
      </c>
      <c r="P30" s="6" t="n">
        <f aca="false">M30-(N30+O30)</f>
        <v>4.1</v>
      </c>
      <c r="Q30" s="53" t="n">
        <v>0</v>
      </c>
      <c r="R30" s="53" t="n">
        <v>0</v>
      </c>
      <c r="S30" s="53" t="n">
        <f aca="false">SUM(P30:R30)</f>
        <v>4.1</v>
      </c>
      <c r="T30" s="54"/>
      <c r="U30" s="53" t="n">
        <v>0</v>
      </c>
      <c r="V30" s="53" t="n">
        <v>33.9</v>
      </c>
      <c r="W30" s="54" t="n">
        <f aca="false">W29-V30</f>
        <v>13591.4</v>
      </c>
      <c r="X30" s="6" t="n">
        <f aca="false">N30+O30+S30+U30+V30</f>
        <v>38</v>
      </c>
      <c r="Y30" s="53" t="n">
        <f aca="false">IF(L30&lt;0,L30*-1,0)</f>
        <v>0</v>
      </c>
      <c r="Z30" s="53" t="n">
        <f aca="false">X30+Y30</f>
        <v>38</v>
      </c>
      <c r="AA30" s="58" t="n">
        <v>0</v>
      </c>
      <c r="AB30" s="59" t="n">
        <v>14</v>
      </c>
      <c r="AC30" s="59" t="n">
        <v>8</v>
      </c>
      <c r="AD30" s="60" t="n">
        <f aca="false">AD29+1</f>
        <v>21</v>
      </c>
    </row>
    <row r="31" customFormat="false" ht="11.1" hidden="false" customHeight="true" outlineLevel="0" collapsed="false">
      <c r="A31" s="60" t="n">
        <f aca="false">A30+1</f>
        <v>22</v>
      </c>
      <c r="B31" s="75" t="n">
        <v>9887.91</v>
      </c>
      <c r="C31" s="54" t="n">
        <v>241172</v>
      </c>
      <c r="D31" s="59" t="n">
        <f aca="false">C31-C30</f>
        <v>23</v>
      </c>
      <c r="E31" s="54" t="n">
        <f aca="false">C31-152000</f>
        <v>89172</v>
      </c>
      <c r="F31" s="53" t="n">
        <f aca="false">D31/$D$2</f>
        <v>11.5956642298966</v>
      </c>
      <c r="G31" s="53" t="n">
        <v>49.9</v>
      </c>
      <c r="H31" s="55" t="n">
        <v>0</v>
      </c>
      <c r="I31" s="53" t="n">
        <f aca="false">G31+H31</f>
        <v>49.9</v>
      </c>
      <c r="J31" s="83" t="n">
        <f aca="false">IF(L31&gt;0,L31,0)</f>
        <v>0</v>
      </c>
      <c r="K31" s="53" t="n">
        <f aca="false">I31+J31</f>
        <v>49.9</v>
      </c>
      <c r="L31" s="53" t="n">
        <f aca="false">F31-(I31-X31)</f>
        <v>-0.00433577010334751</v>
      </c>
      <c r="M31" s="53" t="n">
        <v>4.1</v>
      </c>
      <c r="N31" s="53" t="n">
        <v>0</v>
      </c>
      <c r="O31" s="53" t="n">
        <v>0</v>
      </c>
      <c r="P31" s="6" t="n">
        <f aca="false">M31-(N31+O31)</f>
        <v>4.1</v>
      </c>
      <c r="Q31" s="53" t="n">
        <v>0</v>
      </c>
      <c r="R31" s="53" t="n">
        <v>0</v>
      </c>
      <c r="S31" s="53" t="n">
        <f aca="false">SUM(P31:R31)</f>
        <v>4.1</v>
      </c>
      <c r="T31" s="54"/>
      <c r="U31" s="53" t="n">
        <v>0</v>
      </c>
      <c r="V31" s="53" t="n">
        <v>34.2</v>
      </c>
      <c r="W31" s="54" t="n">
        <f aca="false">W30-V31</f>
        <v>13557.2</v>
      </c>
      <c r="X31" s="6" t="n">
        <f aca="false">N31+O31+S31+U31+V31</f>
        <v>38.3</v>
      </c>
      <c r="Y31" s="53" t="n">
        <f aca="false">IF(L31&lt;0,L31*-1,0)</f>
        <v>0.00433577010334751</v>
      </c>
      <c r="Z31" s="53" t="n">
        <f aca="false">X31+Y31</f>
        <v>38.3043357701033</v>
      </c>
      <c r="AA31" s="58" t="n">
        <v>0</v>
      </c>
      <c r="AB31" s="59" t="n">
        <v>11</v>
      </c>
      <c r="AC31" s="59" t="n">
        <v>-8</v>
      </c>
      <c r="AD31" s="60" t="n">
        <f aca="false">AD30+1</f>
        <v>22</v>
      </c>
    </row>
    <row r="32" customFormat="false" ht="11.1" hidden="false" customHeight="true" outlineLevel="0" collapsed="false">
      <c r="A32" s="60" t="n">
        <f aca="false">A31+1</f>
        <v>23</v>
      </c>
      <c r="B32" s="75" t="n">
        <v>6887.92</v>
      </c>
      <c r="C32" s="54" t="n">
        <v>241205</v>
      </c>
      <c r="D32" s="59" t="n">
        <f aca="false">C32-C31</f>
        <v>33</v>
      </c>
      <c r="E32" s="54" t="n">
        <f aca="false">C32-152000</f>
        <v>89205</v>
      </c>
      <c r="F32" s="53" t="n">
        <f aca="false">D32/$D$2</f>
        <v>16.63725737333</v>
      </c>
      <c r="G32" s="53" t="n">
        <v>54.9</v>
      </c>
      <c r="H32" s="55" t="n">
        <v>0</v>
      </c>
      <c r="I32" s="53" t="n">
        <f aca="false">G32+H32</f>
        <v>54.9</v>
      </c>
      <c r="J32" s="83" t="n">
        <f aca="false">IF(L32&gt;0,L32,0)</f>
        <v>0.0372573733299788</v>
      </c>
      <c r="K32" s="53" t="n">
        <f aca="false">I32+J32</f>
        <v>54.93725737333</v>
      </c>
      <c r="L32" s="53" t="n">
        <f aca="false">F32-(I32-X32)</f>
        <v>0.0372573733299788</v>
      </c>
      <c r="M32" s="53" t="n">
        <v>4.1</v>
      </c>
      <c r="N32" s="53" t="n">
        <v>0</v>
      </c>
      <c r="O32" s="53" t="n">
        <v>0</v>
      </c>
      <c r="P32" s="6" t="n">
        <f aca="false">M32-(N32+O32)</f>
        <v>4.1</v>
      </c>
      <c r="Q32" s="53" t="n">
        <v>0</v>
      </c>
      <c r="R32" s="53" t="n">
        <v>0</v>
      </c>
      <c r="S32" s="53" t="n">
        <f aca="false">SUM(P32:R32)</f>
        <v>4.1</v>
      </c>
      <c r="T32" s="54"/>
      <c r="U32" s="53" t="n">
        <v>0</v>
      </c>
      <c r="V32" s="53" t="n">
        <v>34.2</v>
      </c>
      <c r="W32" s="54" t="n">
        <f aca="false">W31-V32</f>
        <v>13523</v>
      </c>
      <c r="X32" s="6" t="n">
        <f aca="false">N32+O32+S32+U32+V32</f>
        <v>38.3</v>
      </c>
      <c r="Y32" s="53" t="n">
        <f aca="false">IF(L32&lt;0,L32*-1,0)</f>
        <v>0</v>
      </c>
      <c r="Z32" s="53" t="n">
        <f aca="false">X32+Y32</f>
        <v>38.3</v>
      </c>
      <c r="AA32" s="58" t="n">
        <v>0</v>
      </c>
      <c r="AB32" s="59" t="n">
        <v>8</v>
      </c>
      <c r="AC32" s="84" t="n">
        <v>-10</v>
      </c>
      <c r="AD32" s="60" t="n">
        <f aca="false">AD31+1</f>
        <v>23</v>
      </c>
    </row>
    <row r="33" customFormat="false" ht="11.1" hidden="false" customHeight="true" outlineLevel="0" collapsed="false">
      <c r="A33" s="60" t="n">
        <f aca="false">A32+1</f>
        <v>24</v>
      </c>
      <c r="B33" s="75" t="n">
        <v>6887.93</v>
      </c>
      <c r="C33" s="54" t="n">
        <v>241238</v>
      </c>
      <c r="D33" s="59" t="n">
        <f aca="false">C33-C32</f>
        <v>33</v>
      </c>
      <c r="E33" s="54" t="n">
        <f aca="false">C33-152000</f>
        <v>89238</v>
      </c>
      <c r="F33" s="53" t="n">
        <f aca="false">D33/$D$2</f>
        <v>16.63725737333</v>
      </c>
      <c r="G33" s="53" t="n">
        <v>55.5</v>
      </c>
      <c r="H33" s="55" t="n">
        <v>0</v>
      </c>
      <c r="I33" s="53" t="n">
        <f aca="false">G33+H33</f>
        <v>55.5</v>
      </c>
      <c r="J33" s="83" t="n">
        <f aca="false">IF(L33&gt;0,L33,0)</f>
        <v>0.0372573733299717</v>
      </c>
      <c r="K33" s="53" t="n">
        <f aca="false">I33+J33</f>
        <v>55.53725737333</v>
      </c>
      <c r="L33" s="53" t="n">
        <f aca="false">F33-(I33-X33)</f>
        <v>0.0372573733299717</v>
      </c>
      <c r="M33" s="53" t="n">
        <v>4.1</v>
      </c>
      <c r="N33" s="53" t="n">
        <v>0</v>
      </c>
      <c r="O33" s="53" t="n">
        <v>0</v>
      </c>
      <c r="P33" s="6" t="n">
        <f aca="false">M33-(N33+O33)</f>
        <v>4.1</v>
      </c>
      <c r="Q33" s="53" t="n">
        <v>0</v>
      </c>
      <c r="R33" s="53" t="n">
        <v>0</v>
      </c>
      <c r="S33" s="53" t="n">
        <f aca="false">SUM(P33:R33)</f>
        <v>4.1</v>
      </c>
      <c r="T33" s="54"/>
      <c r="U33" s="53" t="n">
        <v>0</v>
      </c>
      <c r="V33" s="53" t="n">
        <v>34.8</v>
      </c>
      <c r="W33" s="54" t="n">
        <f aca="false">W32-V33</f>
        <v>13488.2</v>
      </c>
      <c r="X33" s="6" t="n">
        <f aca="false">N33+O33+S33+U33+V33</f>
        <v>38.9</v>
      </c>
      <c r="Y33" s="53" t="n">
        <f aca="false">IF(L33&lt;0,L33*-1,0)</f>
        <v>0</v>
      </c>
      <c r="Z33" s="53" t="n">
        <f aca="false">X33+Y33</f>
        <v>38.9</v>
      </c>
      <c r="AA33" s="58" t="n">
        <v>0</v>
      </c>
      <c r="AB33" s="59" t="n">
        <v>15</v>
      </c>
      <c r="AC33" s="84" t="n">
        <v>-13</v>
      </c>
      <c r="AD33" s="60" t="n">
        <f aca="false">AD32+1</f>
        <v>24</v>
      </c>
    </row>
    <row r="34" customFormat="false" ht="11.1" hidden="false" customHeight="true" outlineLevel="0" collapsed="false">
      <c r="A34" s="60" t="n">
        <f aca="false">A33+1</f>
        <v>25</v>
      </c>
      <c r="B34" s="75" t="n">
        <v>6887.94</v>
      </c>
      <c r="C34" s="54" t="n">
        <v>241271</v>
      </c>
      <c r="D34" s="59" t="n">
        <f aca="false">C34-C33</f>
        <v>33</v>
      </c>
      <c r="E34" s="54" t="n">
        <f aca="false">C34-152000</f>
        <v>89271</v>
      </c>
      <c r="F34" s="53" t="n">
        <f aca="false">D34/$D$2</f>
        <v>16.63725737333</v>
      </c>
      <c r="G34" s="53" t="n">
        <v>52.6</v>
      </c>
      <c r="H34" s="55" t="n">
        <v>0</v>
      </c>
      <c r="I34" s="53" t="n">
        <f aca="false">G34+H34</f>
        <v>52.6</v>
      </c>
      <c r="J34" s="83" t="n">
        <f aca="false">IF(L34&gt;0,L34,0)</f>
        <v>0.0372573733299717</v>
      </c>
      <c r="K34" s="53" t="n">
        <f aca="false">I34+J34</f>
        <v>52.63725737333</v>
      </c>
      <c r="L34" s="53" t="n">
        <f aca="false">F34-(I34-X34)</f>
        <v>0.0372573733299717</v>
      </c>
      <c r="M34" s="53" t="n">
        <v>4.1</v>
      </c>
      <c r="N34" s="53" t="n">
        <v>0</v>
      </c>
      <c r="O34" s="53" t="n">
        <v>0</v>
      </c>
      <c r="P34" s="6" t="n">
        <f aca="false">M34-(N34+O34)</f>
        <v>4.1</v>
      </c>
      <c r="Q34" s="53" t="n">
        <v>0</v>
      </c>
      <c r="R34" s="53" t="n">
        <v>0</v>
      </c>
      <c r="S34" s="53" t="n">
        <f aca="false">SUM(P34:R34)</f>
        <v>4.1</v>
      </c>
      <c r="T34" s="54"/>
      <c r="U34" s="53" t="n">
        <v>0</v>
      </c>
      <c r="V34" s="53" t="n">
        <v>31.9</v>
      </c>
      <c r="W34" s="54" t="n">
        <f aca="false">W33-V34</f>
        <v>13456.3</v>
      </c>
      <c r="X34" s="6" t="n">
        <f aca="false">N34+O34+S34+U34+V34</f>
        <v>36</v>
      </c>
      <c r="Y34" s="53" t="n">
        <f aca="false">IF(L34&lt;0,L34*-1,0)</f>
        <v>0</v>
      </c>
      <c r="Z34" s="53" t="n">
        <f aca="false">X34+Y34</f>
        <v>36</v>
      </c>
      <c r="AA34" s="58" t="n">
        <v>0</v>
      </c>
      <c r="AB34" s="59" t="n">
        <v>14</v>
      </c>
      <c r="AC34" s="84" t="n">
        <v>-11</v>
      </c>
      <c r="AD34" s="60" t="n">
        <f aca="false">AD33+1</f>
        <v>25</v>
      </c>
    </row>
    <row r="35" customFormat="false" ht="11.1" hidden="false" customHeight="true" outlineLevel="0" collapsed="false">
      <c r="A35" s="60" t="n">
        <f aca="false">A34+1</f>
        <v>26</v>
      </c>
      <c r="B35" s="75" t="n">
        <v>6887.95</v>
      </c>
      <c r="C35" s="54" t="n">
        <v>241304</v>
      </c>
      <c r="D35" s="59" t="n">
        <f aca="false">C35-C34</f>
        <v>33</v>
      </c>
      <c r="E35" s="54" t="n">
        <f aca="false">C35-152000</f>
        <v>89304</v>
      </c>
      <c r="F35" s="53" t="n">
        <f aca="false">D35/$D$2</f>
        <v>16.63725737333</v>
      </c>
      <c r="G35" s="53" t="n">
        <v>52.6</v>
      </c>
      <c r="H35" s="55" t="n">
        <v>0</v>
      </c>
      <c r="I35" s="53" t="n">
        <f aca="false">G35+H35</f>
        <v>52.6</v>
      </c>
      <c r="J35" s="83" t="n">
        <f aca="false">IF(L35&gt;0,L35,0)</f>
        <v>0.0372573733299717</v>
      </c>
      <c r="K35" s="53" t="n">
        <f aca="false">I35+J35</f>
        <v>52.63725737333</v>
      </c>
      <c r="L35" s="53" t="n">
        <f aca="false">F35-(I35-X35)</f>
        <v>0.0372573733299717</v>
      </c>
      <c r="M35" s="53" t="n">
        <v>4.1</v>
      </c>
      <c r="N35" s="53" t="n">
        <v>0</v>
      </c>
      <c r="O35" s="53" t="n">
        <v>0</v>
      </c>
      <c r="P35" s="6" t="n">
        <f aca="false">M35-(N35+O35)</f>
        <v>4.1</v>
      </c>
      <c r="Q35" s="53" t="n">
        <v>0</v>
      </c>
      <c r="R35" s="53" t="n">
        <v>0</v>
      </c>
      <c r="S35" s="53" t="n">
        <f aca="false">SUM(P35:R35)</f>
        <v>4.1</v>
      </c>
      <c r="T35" s="54"/>
      <c r="U35" s="53" t="n">
        <v>0</v>
      </c>
      <c r="V35" s="53" t="n">
        <v>31.9</v>
      </c>
      <c r="W35" s="54" t="n">
        <f aca="false">W34-V35</f>
        <v>13424.4</v>
      </c>
      <c r="X35" s="6" t="n">
        <f aca="false">N35+O35+S35+U35+V35</f>
        <v>36</v>
      </c>
      <c r="Y35" s="53" t="n">
        <f aca="false">IF(L35&lt;0,L35*-1,0)</f>
        <v>0</v>
      </c>
      <c r="Z35" s="53" t="n">
        <f aca="false">X35+Y35</f>
        <v>36</v>
      </c>
      <c r="AA35" s="58" t="n">
        <v>0</v>
      </c>
      <c r="AB35" s="59" t="n">
        <v>20</v>
      </c>
      <c r="AC35" s="59" t="n">
        <v>-4</v>
      </c>
      <c r="AD35" s="60" t="n">
        <f aca="false">AD34+1</f>
        <v>26</v>
      </c>
    </row>
    <row r="36" customFormat="false" ht="11.1" hidden="false" customHeight="true" outlineLevel="0" collapsed="false">
      <c r="A36" s="60" t="n">
        <f aca="false">A35+1</f>
        <v>27</v>
      </c>
      <c r="B36" s="75" t="n">
        <v>6887.95</v>
      </c>
      <c r="C36" s="54" t="n">
        <v>241304</v>
      </c>
      <c r="D36" s="59" t="n">
        <f aca="false">C36-C35</f>
        <v>0</v>
      </c>
      <c r="E36" s="54" t="n">
        <f aca="false">C36-152000</f>
        <v>89304</v>
      </c>
      <c r="F36" s="53" t="n">
        <f aca="false">D36/$D$2</f>
        <v>0</v>
      </c>
      <c r="G36" s="53" t="n">
        <v>36</v>
      </c>
      <c r="H36" s="55" t="n">
        <v>0</v>
      </c>
      <c r="I36" s="53" t="n">
        <f aca="false">G36+H36</f>
        <v>36</v>
      </c>
      <c r="J36" s="83" t="n">
        <f aca="false">IF(L36&gt;0,L36,0)</f>
        <v>0</v>
      </c>
      <c r="K36" s="53" t="n">
        <f aca="false">I36+J36</f>
        <v>36</v>
      </c>
      <c r="L36" s="53" t="n">
        <f aca="false">F36-(I36-X36)</f>
        <v>0</v>
      </c>
      <c r="M36" s="53" t="n">
        <v>4.1</v>
      </c>
      <c r="N36" s="53" t="n">
        <v>0</v>
      </c>
      <c r="O36" s="53" t="n">
        <v>0</v>
      </c>
      <c r="P36" s="6" t="n">
        <f aca="false">M36-(N36+O36)</f>
        <v>4.1</v>
      </c>
      <c r="Q36" s="53" t="n">
        <v>0</v>
      </c>
      <c r="R36" s="53" t="n">
        <v>0</v>
      </c>
      <c r="S36" s="53" t="n">
        <f aca="false">SUM(P36:R36)</f>
        <v>4.1</v>
      </c>
      <c r="T36" s="54"/>
      <c r="U36" s="53" t="n">
        <v>0</v>
      </c>
      <c r="V36" s="53" t="n">
        <v>31.9</v>
      </c>
      <c r="W36" s="54" t="n">
        <f aca="false">W35-V36</f>
        <v>13392.5</v>
      </c>
      <c r="X36" s="6" t="n">
        <f aca="false">N36+O36+S36+U36+V36</f>
        <v>36</v>
      </c>
      <c r="Y36" s="53" t="n">
        <f aca="false">IF(L36&lt;0,L36*-1,0)</f>
        <v>0</v>
      </c>
      <c r="Z36" s="53" t="n">
        <f aca="false">X36+Y36</f>
        <v>36</v>
      </c>
      <c r="AA36" s="58" t="n">
        <v>0</v>
      </c>
      <c r="AB36" s="59" t="n">
        <v>34</v>
      </c>
      <c r="AC36" s="59" t="n">
        <v>-1</v>
      </c>
      <c r="AD36" s="60" t="n">
        <f aca="false">AD35+1</f>
        <v>27</v>
      </c>
    </row>
    <row r="37" customFormat="false" ht="11.1" hidden="false" customHeight="true" outlineLevel="0" collapsed="false">
      <c r="A37" s="60" t="n">
        <f aca="false">A36+1</f>
        <v>28</v>
      </c>
      <c r="B37" s="75" t="n">
        <v>6887.95</v>
      </c>
      <c r="C37" s="54" t="n">
        <v>241304</v>
      </c>
      <c r="D37" s="59" t="n">
        <f aca="false">C37-C36</f>
        <v>0</v>
      </c>
      <c r="E37" s="54" t="n">
        <f aca="false">C37-152000</f>
        <v>89304</v>
      </c>
      <c r="F37" s="53" t="n">
        <f aca="false">D37/$D$2</f>
        <v>0</v>
      </c>
      <c r="G37" s="53" t="n">
        <v>36</v>
      </c>
      <c r="H37" s="55" t="n">
        <v>0</v>
      </c>
      <c r="I37" s="53" t="n">
        <f aca="false">G37+H37</f>
        <v>36</v>
      </c>
      <c r="J37" s="83" t="n">
        <f aca="false">IF(L37&gt;0,L37,0)</f>
        <v>0</v>
      </c>
      <c r="K37" s="53" t="n">
        <f aca="false">I37+J37</f>
        <v>36</v>
      </c>
      <c r="L37" s="53" t="n">
        <f aca="false">F37-(I37-X37)</f>
        <v>0</v>
      </c>
      <c r="M37" s="53" t="n">
        <v>4.1</v>
      </c>
      <c r="N37" s="53" t="n">
        <v>0</v>
      </c>
      <c r="O37" s="53" t="n">
        <v>0</v>
      </c>
      <c r="P37" s="6" t="n">
        <f aca="false">M37-(N37+O37)</f>
        <v>4.1</v>
      </c>
      <c r="Q37" s="53" t="n">
        <v>0</v>
      </c>
      <c r="R37" s="53" t="n">
        <v>0</v>
      </c>
      <c r="S37" s="53" t="n">
        <f aca="false">SUM(P37:R37)</f>
        <v>4.1</v>
      </c>
      <c r="T37" s="54"/>
      <c r="U37" s="53" t="n">
        <v>0</v>
      </c>
      <c r="V37" s="53" t="n">
        <v>31.9</v>
      </c>
      <c r="W37" s="54" t="n">
        <f aca="false">W36-V37</f>
        <v>13360.6</v>
      </c>
      <c r="X37" s="6" t="n">
        <f aca="false">N37+O37+S37+U37+V37</f>
        <v>36</v>
      </c>
      <c r="Y37" s="53" t="n">
        <f aca="false">IF(L37&lt;0,L37*-1,0)</f>
        <v>0</v>
      </c>
      <c r="Z37" s="53" t="n">
        <f aca="false">X37+Y37</f>
        <v>36</v>
      </c>
      <c r="AA37" s="58" t="n">
        <v>0.15</v>
      </c>
      <c r="AB37" s="59" t="n">
        <v>31</v>
      </c>
      <c r="AC37" s="59" t="n">
        <v>2</v>
      </c>
      <c r="AD37" s="60" t="n">
        <f aca="false">AD36+1</f>
        <v>28</v>
      </c>
    </row>
    <row r="38" customFormat="false" ht="11.1" hidden="false" customHeight="true" outlineLevel="0" collapsed="false">
      <c r="A38" s="60" t="n">
        <f aca="false">A37+1</f>
        <v>29</v>
      </c>
      <c r="B38" s="75" t="n">
        <v>6887.97</v>
      </c>
      <c r="C38" s="54" t="n">
        <v>241370</v>
      </c>
      <c r="D38" s="59" t="n">
        <f aca="false">C38-C37</f>
        <v>66</v>
      </c>
      <c r="E38" s="54" t="n">
        <f aca="false">C38-152000</f>
        <v>89370</v>
      </c>
      <c r="F38" s="53" t="n">
        <f aca="false">D38/$D$2</f>
        <v>33.2745147466599</v>
      </c>
      <c r="G38" s="53" t="n">
        <v>69.2</v>
      </c>
      <c r="H38" s="55" t="n">
        <v>0</v>
      </c>
      <c r="I38" s="53" t="n">
        <f aca="false">G38+H38</f>
        <v>69.2</v>
      </c>
      <c r="J38" s="83" t="n">
        <f aca="false">IF(L38&gt;0,L38,0)</f>
        <v>0.0745147466599434</v>
      </c>
      <c r="K38" s="53" t="n">
        <f aca="false">I38+J38</f>
        <v>69.27451474666</v>
      </c>
      <c r="L38" s="53" t="n">
        <f aca="false">F38-(I38-X38)</f>
        <v>0.0745147466599434</v>
      </c>
      <c r="M38" s="53" t="n">
        <v>4.1</v>
      </c>
      <c r="N38" s="53" t="n">
        <v>0</v>
      </c>
      <c r="O38" s="53" t="n">
        <v>0</v>
      </c>
      <c r="P38" s="6" t="n">
        <f aca="false">M38-(N38+O38)</f>
        <v>4.1</v>
      </c>
      <c r="Q38" s="53" t="n">
        <v>0</v>
      </c>
      <c r="R38" s="53" t="n">
        <v>0</v>
      </c>
      <c r="S38" s="53" t="n">
        <f aca="false">SUM(P38:R38)</f>
        <v>4.1</v>
      </c>
      <c r="T38" s="54"/>
      <c r="U38" s="53" t="n">
        <v>0</v>
      </c>
      <c r="V38" s="53" t="n">
        <v>31.9</v>
      </c>
      <c r="W38" s="54" t="n">
        <f aca="false">W37-V38</f>
        <v>13328.7</v>
      </c>
      <c r="X38" s="6" t="n">
        <f aca="false">N38+O38+S38+U38+V38</f>
        <v>36</v>
      </c>
      <c r="Y38" s="53" t="n">
        <f aca="false">IF(L38&lt;0,L38*-1,0)</f>
        <v>0</v>
      </c>
      <c r="Z38" s="53" t="n">
        <f aca="false">X38+Y38</f>
        <v>36</v>
      </c>
      <c r="AA38" s="58" t="n">
        <v>0.19</v>
      </c>
      <c r="AB38" s="84" t="n">
        <v>37</v>
      </c>
      <c r="AC38" s="59" t="n">
        <v>8</v>
      </c>
      <c r="AD38" s="60" t="n">
        <f aca="false">AD37+1</f>
        <v>29</v>
      </c>
    </row>
    <row r="39" customFormat="false" ht="11.1" hidden="false" customHeight="true" outlineLevel="0" collapsed="false">
      <c r="A39" s="60" t="n">
        <v>30</v>
      </c>
      <c r="B39" s="75" t="n">
        <v>6888</v>
      </c>
      <c r="C39" s="54" t="n">
        <v>241469</v>
      </c>
      <c r="D39" s="59" t="n">
        <f aca="false">C39-C38</f>
        <v>99</v>
      </c>
      <c r="E39" s="54" t="n">
        <f aca="false">C39-152000</f>
        <v>89469</v>
      </c>
      <c r="F39" s="53" t="n">
        <f aca="false">D39/$D$2</f>
        <v>49.9117721199899</v>
      </c>
      <c r="G39" s="53" t="n">
        <v>85.9</v>
      </c>
      <c r="H39" s="55" t="n">
        <v>0</v>
      </c>
      <c r="I39" s="53" t="n">
        <f aca="false">G39+H39</f>
        <v>85.9</v>
      </c>
      <c r="J39" s="83" t="n">
        <f aca="false">IF(L39&gt;0,L39,0)</f>
        <v>0.0117721199899066</v>
      </c>
      <c r="K39" s="53" t="n">
        <f aca="false">I39+J39</f>
        <v>85.9117721199899</v>
      </c>
      <c r="L39" s="53" t="n">
        <f aca="false">F39-(I39-X39)</f>
        <v>0.0117721199899066</v>
      </c>
      <c r="M39" s="53" t="n">
        <v>4.1</v>
      </c>
      <c r="N39" s="53" t="n">
        <v>0</v>
      </c>
      <c r="O39" s="53" t="n">
        <v>0</v>
      </c>
      <c r="P39" s="6" t="n">
        <f aca="false">M39-(N39+O39)</f>
        <v>4.1</v>
      </c>
      <c r="Q39" s="53" t="n">
        <v>0</v>
      </c>
      <c r="R39" s="53" t="n">
        <v>0</v>
      </c>
      <c r="S39" s="53" t="n">
        <f aca="false">SUM(P39:R39)</f>
        <v>4.1</v>
      </c>
      <c r="T39" s="54"/>
      <c r="U39" s="53" t="n">
        <v>0</v>
      </c>
      <c r="V39" s="53" t="n">
        <v>31.9</v>
      </c>
      <c r="W39" s="54" t="n">
        <f aca="false">W38-V39</f>
        <v>13296.8</v>
      </c>
      <c r="X39" s="6" t="n">
        <f aca="false">N39+O39+S39+U39+V39</f>
        <v>36</v>
      </c>
      <c r="Y39" s="53" t="n">
        <f aca="false">IF(L39&lt;0,L39*-1,0)</f>
        <v>0</v>
      </c>
      <c r="Z39" s="53" t="n">
        <f aca="false">X39+Y39</f>
        <v>36</v>
      </c>
      <c r="AA39" s="58" t="n">
        <v>0</v>
      </c>
      <c r="AB39" s="84" t="n">
        <v>33</v>
      </c>
      <c r="AC39" s="59" t="n">
        <v>10</v>
      </c>
      <c r="AD39" s="60" t="n">
        <v>30</v>
      </c>
    </row>
    <row r="40" customFormat="false" ht="11.1" hidden="false" customHeight="true" outlineLevel="0" collapsed="false">
      <c r="A40" s="60" t="n">
        <v>31</v>
      </c>
      <c r="B40" s="75" t="n">
        <v>6888.02</v>
      </c>
      <c r="C40" s="54" t="n">
        <v>241536</v>
      </c>
      <c r="D40" s="59" t="n">
        <f aca="false">C40-C39</f>
        <v>67</v>
      </c>
      <c r="E40" s="54" t="n">
        <f aca="false">C40-152000</f>
        <v>89536</v>
      </c>
      <c r="F40" s="53" t="n">
        <f aca="false">D40/$D$2</f>
        <v>33.7786740610033</v>
      </c>
      <c r="G40" s="53" t="n">
        <v>69.8</v>
      </c>
      <c r="H40" s="55" t="n">
        <v>0</v>
      </c>
      <c r="I40" s="53" t="n">
        <f aca="false">G40+H40</f>
        <v>69.8</v>
      </c>
      <c r="J40" s="83" t="n">
        <f aca="false">IF(L40&gt;0,L40,0)</f>
        <v>0</v>
      </c>
      <c r="K40" s="53" t="n">
        <f aca="false">I40+J40</f>
        <v>69.8</v>
      </c>
      <c r="L40" s="53" t="n">
        <f aca="false">F40-(I40-X40)</f>
        <v>-0.0213259389967178</v>
      </c>
      <c r="M40" s="53" t="n">
        <v>4.1</v>
      </c>
      <c r="N40" s="53" t="n">
        <v>0</v>
      </c>
      <c r="O40" s="53" t="n">
        <v>0</v>
      </c>
      <c r="P40" s="6" t="n">
        <f aca="false">M40-(N40+O40)</f>
        <v>4.1</v>
      </c>
      <c r="Q40" s="53" t="n">
        <v>0</v>
      </c>
      <c r="R40" s="53" t="n">
        <v>0</v>
      </c>
      <c r="S40" s="53" t="n">
        <f aca="false">SUM(P40:R40)</f>
        <v>4.1</v>
      </c>
      <c r="T40" s="54"/>
      <c r="U40" s="53" t="n">
        <v>0</v>
      </c>
      <c r="V40" s="53" t="n">
        <v>31.9</v>
      </c>
      <c r="W40" s="54" t="n">
        <f aca="false">W39-V40</f>
        <v>13264.9</v>
      </c>
      <c r="X40" s="6" t="n">
        <f aca="false">N40+O40+S40+U40+V40</f>
        <v>36</v>
      </c>
      <c r="Y40" s="53" t="n">
        <f aca="false">IF(L40&lt;0,L40*-1,0)</f>
        <v>0.0213259389967178</v>
      </c>
      <c r="Z40" s="53" t="n">
        <f aca="false">X40+Y40</f>
        <v>36.0213259389967</v>
      </c>
      <c r="AA40" s="58" t="n">
        <v>0</v>
      </c>
      <c r="AB40" s="84" t="n">
        <v>32</v>
      </c>
      <c r="AC40" s="59" t="n">
        <v>-11</v>
      </c>
      <c r="AD40" s="60" t="n">
        <v>31</v>
      </c>
    </row>
    <row r="41" customFormat="false" ht="3" hidden="false" customHeight="true" outlineLevel="0" collapsed="false">
      <c r="A41" s="76"/>
      <c r="B41" s="76"/>
      <c r="C41" s="78"/>
      <c r="D41" s="76"/>
      <c r="E41" s="78"/>
      <c r="F41" s="76"/>
      <c r="G41" s="76"/>
      <c r="H41" s="79"/>
      <c r="I41" s="76"/>
      <c r="J41" s="76"/>
      <c r="K41" s="76"/>
      <c r="L41" s="85"/>
      <c r="M41" s="85"/>
      <c r="N41" s="85"/>
      <c r="O41" s="76"/>
      <c r="P41" s="76"/>
      <c r="Q41" s="76"/>
      <c r="R41" s="76"/>
      <c r="S41" s="76"/>
      <c r="T41" s="78"/>
      <c r="U41" s="76"/>
      <c r="V41" s="85"/>
      <c r="W41" s="76"/>
      <c r="X41" s="76"/>
      <c r="Y41" s="76"/>
      <c r="Z41" s="76"/>
      <c r="AA41" s="80"/>
      <c r="AB41" s="81"/>
      <c r="AC41" s="81"/>
      <c r="AD41" s="82"/>
    </row>
    <row r="42" customFormat="false" ht="11.1" hidden="false" customHeight="true" outlineLevel="0" collapsed="false">
      <c r="A42" s="53" t="s">
        <v>46</v>
      </c>
      <c r="B42" s="53"/>
      <c r="C42" s="54"/>
      <c r="D42" s="54"/>
      <c r="E42" s="54"/>
      <c r="F42" s="54" t="n">
        <f aca="false">SUM(F10:F40)</f>
        <v>648.853037559869</v>
      </c>
      <c r="G42" s="54" t="n">
        <f aca="false">SUM(G10:G40)</f>
        <v>1778.2</v>
      </c>
      <c r="H42" s="54" t="n">
        <f aca="false">SUM(H10:H40)</f>
        <v>0</v>
      </c>
      <c r="I42" s="54" t="n">
        <f aca="false">SUM(I10:I40)</f>
        <v>1778.2</v>
      </c>
      <c r="J42" s="54" t="n">
        <f aca="false">SUM(J10:J40)</f>
        <v>1.00418452230905</v>
      </c>
      <c r="K42" s="54" t="n">
        <f aca="false">SUM(K10:K40)</f>
        <v>1779.20418452231</v>
      </c>
      <c r="L42" s="54" t="n">
        <f aca="false">SUM(L10:L40)</f>
        <v>0.853037559868936</v>
      </c>
      <c r="M42" s="54" t="n">
        <f aca="false">SUM(M10:M40)</f>
        <v>130.3</v>
      </c>
      <c r="N42" s="54" t="n">
        <f aca="false">SUM(N10:N40)</f>
        <v>0</v>
      </c>
      <c r="O42" s="54" t="n">
        <f aca="false">SUM(O10:O40)</f>
        <v>0</v>
      </c>
      <c r="P42" s="54" t="n">
        <f aca="false">SUM(P10:P40)</f>
        <v>130.3</v>
      </c>
      <c r="Q42" s="54" t="n">
        <f aca="false">SUM(Q10:Q40)</f>
        <v>0</v>
      </c>
      <c r="R42" s="54" t="n">
        <f aca="false">SUM(R10:R40)</f>
        <v>0</v>
      </c>
      <c r="S42" s="54" t="n">
        <f aca="false">SUM(S10:S40)</f>
        <v>130.3</v>
      </c>
      <c r="T42" s="54"/>
      <c r="U42" s="54" t="n">
        <f aca="false">SUM(U10:U40)</f>
        <v>0</v>
      </c>
      <c r="V42" s="54" t="n">
        <f aca="false">SUM(V10:V40)</f>
        <v>999.9</v>
      </c>
      <c r="W42" s="54"/>
      <c r="X42" s="54" t="n">
        <f aca="false">SUM(X10:X40)</f>
        <v>1130.2</v>
      </c>
      <c r="Y42" s="54" t="n">
        <f aca="false">SUM(Y10:Y40)</f>
        <v>0.151146962440118</v>
      </c>
      <c r="Z42" s="54" t="n">
        <f aca="false">SUM(Z10:Z40)</f>
        <v>1130.35114696244</v>
      </c>
      <c r="AA42" s="58" t="n">
        <f aca="false">SUM(AA10:AA40)</f>
        <v>0.85</v>
      </c>
      <c r="AB42" s="59" t="n">
        <f aca="false">AVERAGE(AB10:AB40)</f>
        <v>30</v>
      </c>
      <c r="AC42" s="59" t="n">
        <f aca="false">AVERAGE(AC10:AC40)</f>
        <v>8.25806451612903</v>
      </c>
      <c r="AD42" s="60" t="s">
        <v>47</v>
      </c>
    </row>
    <row r="43" customFormat="false" ht="11.1" hidden="false" customHeight="true" outlineLevel="0" collapsed="false">
      <c r="A43" s="53" t="s">
        <v>48</v>
      </c>
      <c r="B43" s="53"/>
      <c r="C43" s="54"/>
      <c r="D43" s="54" t="n">
        <f aca="false">SUM(D10:D40)</f>
        <v>1287</v>
      </c>
      <c r="E43" s="54"/>
      <c r="F43" s="54" t="n">
        <f aca="false">F42*$D$2</f>
        <v>1287</v>
      </c>
      <c r="G43" s="54" t="n">
        <f aca="false">G42*$D$2</f>
        <v>3527.0597</v>
      </c>
      <c r="H43" s="54" t="n">
        <f aca="false">H42*$D$2</f>
        <v>0</v>
      </c>
      <c r="I43" s="54" t="n">
        <f aca="false">I42*$D$2</f>
        <v>3527.0597</v>
      </c>
      <c r="J43" s="54" t="n">
        <f aca="false">J42*$D$2</f>
        <v>1.99180000000001</v>
      </c>
      <c r="K43" s="54" t="n">
        <f aca="false">K42*$D$2</f>
        <v>3529.0515</v>
      </c>
      <c r="L43" s="54" t="n">
        <f aca="false">L42*$D$2</f>
        <v>1.69200000000003</v>
      </c>
      <c r="M43" s="54" t="n">
        <f aca="false">M42*$D$2</f>
        <v>258.45005</v>
      </c>
      <c r="N43" s="54" t="n">
        <f aca="false">N42*$D$2</f>
        <v>0</v>
      </c>
      <c r="O43" s="54" t="n">
        <f aca="false">O42*$D$2</f>
        <v>0</v>
      </c>
      <c r="P43" s="54" t="n">
        <f aca="false">P42*$D$2</f>
        <v>258.45005</v>
      </c>
      <c r="Q43" s="54" t="n">
        <f aca="false">Q42*$D$2</f>
        <v>0</v>
      </c>
      <c r="R43" s="54" t="n">
        <f aca="false">R42*$D$2</f>
        <v>0</v>
      </c>
      <c r="S43" s="54" t="n">
        <f aca="false">S42*$D$2</f>
        <v>258.45005</v>
      </c>
      <c r="T43" s="54"/>
      <c r="U43" s="54" t="n">
        <f aca="false">U42*$D$2</f>
        <v>0</v>
      </c>
      <c r="V43" s="54" t="n">
        <f aca="false">V42*$D$2</f>
        <v>1983.30165</v>
      </c>
      <c r="W43" s="54"/>
      <c r="X43" s="54" t="n">
        <f aca="false">X42*$D$2</f>
        <v>2241.7517</v>
      </c>
      <c r="Y43" s="54" t="n">
        <f aca="false">Y42*$D$2</f>
        <v>0.299799999999973</v>
      </c>
      <c r="Z43" s="54" t="n">
        <f aca="false">Z42*$D$2</f>
        <v>2242.0515</v>
      </c>
      <c r="AA43" s="58"/>
      <c r="AB43" s="59" t="n">
        <f aca="false">MAX(AB10:AB40)</f>
        <v>54</v>
      </c>
      <c r="AC43" s="59" t="n">
        <f aca="false">MAX(AC10:AC40)</f>
        <v>32</v>
      </c>
      <c r="AD43" s="60" t="s">
        <v>49</v>
      </c>
    </row>
    <row r="44" customFormat="false" ht="3" hidden="false" customHeight="true" outlineLevel="0" collapsed="false">
      <c r="A44" s="76"/>
      <c r="B44" s="76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6"/>
      <c r="X44" s="78"/>
      <c r="Y44" s="78"/>
      <c r="Z44" s="78"/>
      <c r="AA44" s="58"/>
      <c r="AB44" s="59"/>
      <c r="AC44" s="59"/>
      <c r="AD44" s="60"/>
    </row>
    <row r="45" customFormat="false" ht="11.1" hidden="false" customHeight="true" outlineLevel="0" collapsed="false">
      <c r="A45" s="53" t="s">
        <v>50</v>
      </c>
      <c r="B45" s="53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8"/>
      <c r="AB45" s="59" t="n">
        <f aca="false">MIN(AB10:AB40)</f>
        <v>8</v>
      </c>
      <c r="AC45" s="59" t="n">
        <f aca="false">MIN(AC10:AC40)</f>
        <v>-13</v>
      </c>
      <c r="AD45" s="60" t="s">
        <v>51</v>
      </c>
    </row>
    <row r="46" customFormat="false" ht="11.1" hidden="false" customHeight="true" outlineLevel="0" collapsed="false">
      <c r="A46" s="53" t="s">
        <v>52</v>
      </c>
      <c r="B46" s="53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8"/>
      <c r="AB46" s="59"/>
      <c r="AC46" s="59"/>
      <c r="AD46" s="60"/>
    </row>
    <row r="47" customFormat="false" ht="3" hidden="false" customHeight="true" outlineLevel="0" collapsed="false">
      <c r="A47" s="76"/>
      <c r="B47" s="76"/>
      <c r="C47" s="78"/>
      <c r="D47" s="78"/>
      <c r="E47" s="78"/>
      <c r="F47" s="78"/>
      <c r="G47" s="78"/>
      <c r="H47" s="81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80"/>
      <c r="AB47" s="59"/>
      <c r="AC47" s="59"/>
      <c r="AD47" s="60"/>
    </row>
    <row r="48" customFormat="false" ht="11.1" hidden="false" customHeight="true" outlineLevel="0" collapsed="false">
      <c r="A48" s="53" t="s">
        <v>53</v>
      </c>
      <c r="B48" s="53"/>
      <c r="C48" s="54"/>
      <c r="D48" s="54"/>
      <c r="E48" s="54"/>
      <c r="F48" s="54" t="n">
        <f aca="false">F8+F42</f>
        <v>1346.60952861104</v>
      </c>
      <c r="G48" s="54" t="n">
        <f aca="false">G8+G42</f>
        <v>4649.9</v>
      </c>
      <c r="H48" s="59" t="n">
        <f aca="false">H8+H42</f>
        <v>0</v>
      </c>
      <c r="I48" s="54" t="n">
        <f aca="false">I8+I42</f>
        <v>4649.9</v>
      </c>
      <c r="J48" s="54" t="n">
        <f aca="false">J8+J42</f>
        <v>185.080489034535</v>
      </c>
      <c r="K48" s="54" t="n">
        <f aca="false">K8+K42</f>
        <v>4834.98048903453</v>
      </c>
      <c r="L48" s="54" t="n">
        <f aca="false">L8+L42</f>
        <v>-169.590471388959</v>
      </c>
      <c r="M48" s="54" t="n">
        <f aca="false">M8+M42</f>
        <v>847.2</v>
      </c>
      <c r="N48" s="54" t="n">
        <f aca="false">N8+N42</f>
        <v>0</v>
      </c>
      <c r="O48" s="54" t="n">
        <f aca="false">O8+O42</f>
        <v>0</v>
      </c>
      <c r="P48" s="54" t="n">
        <f aca="false">P8+P42</f>
        <v>847.2</v>
      </c>
      <c r="Q48" s="54" t="n">
        <f aca="false">Q8+Q42</f>
        <v>0</v>
      </c>
      <c r="R48" s="54" t="n">
        <f aca="false">R8+R42</f>
        <v>372.4</v>
      </c>
      <c r="S48" s="54" t="n">
        <f aca="false">S8+S42</f>
        <v>1219.6</v>
      </c>
      <c r="T48" s="54"/>
      <c r="U48" s="54" t="n">
        <f aca="false">U8+U42</f>
        <v>0</v>
      </c>
      <c r="V48" s="54" t="n">
        <f aca="false">V8+V42</f>
        <v>1914.1</v>
      </c>
      <c r="W48" s="54" t="n">
        <f aca="false">W40</f>
        <v>13264.9</v>
      </c>
      <c r="X48" s="54" t="n">
        <f aca="false">X8+X42</f>
        <v>3133.7</v>
      </c>
      <c r="Y48" s="54" t="n">
        <f aca="false">Y8+Y42</f>
        <v>354.670960423494</v>
      </c>
      <c r="Z48" s="54" t="n">
        <f aca="false">Z8+Z42</f>
        <v>3488.37096042349</v>
      </c>
      <c r="AA48" s="58" t="n">
        <f aca="false">AA8+AA42</f>
        <v>2.33</v>
      </c>
      <c r="AB48" s="59"/>
      <c r="AC48" s="59"/>
      <c r="AD48" s="60"/>
    </row>
    <row r="49" customFormat="false" ht="11.1" hidden="false" customHeight="true" outlineLevel="0" collapsed="false">
      <c r="A49" s="53" t="s">
        <v>54</v>
      </c>
      <c r="B49" s="53"/>
      <c r="C49" s="54"/>
      <c r="D49" s="54" t="n">
        <f aca="false">D8+D43</f>
        <v>2671</v>
      </c>
      <c r="E49" s="54" t="n">
        <f aca="false">E40</f>
        <v>89536</v>
      </c>
      <c r="F49" s="54" t="n">
        <f aca="false">F48*$D$2</f>
        <v>2671</v>
      </c>
      <c r="G49" s="54" t="n">
        <f aca="false">G48*$D$2</f>
        <v>9223.07665</v>
      </c>
      <c r="H49" s="59" t="n">
        <f aca="false">H48*$D$2</f>
        <v>0</v>
      </c>
      <c r="I49" s="54" t="n">
        <f aca="false">I48*$D$2</f>
        <v>9223.07665</v>
      </c>
      <c r="J49" s="54" t="n">
        <f aca="false">J48*$D$2</f>
        <v>367.10715</v>
      </c>
      <c r="K49" s="54" t="n">
        <f aca="false">K48*$D$2</f>
        <v>9590.1838</v>
      </c>
      <c r="L49" s="54" t="n">
        <f aca="false">L48*$D$2</f>
        <v>-336.3827</v>
      </c>
      <c r="M49" s="54" t="n">
        <f aca="false">M48*$D$2</f>
        <v>1680.4212</v>
      </c>
      <c r="N49" s="54" t="n">
        <f aca="false">N48*$D$2</f>
        <v>0</v>
      </c>
      <c r="O49" s="54" t="n">
        <f aca="false">O48*$D$2</f>
        <v>0</v>
      </c>
      <c r="P49" s="54" t="n">
        <f aca="false">P48*$D$2</f>
        <v>1680.4212</v>
      </c>
      <c r="Q49" s="54" t="n">
        <f aca="false">Q48*$D$2</f>
        <v>0</v>
      </c>
      <c r="R49" s="54" t="n">
        <f aca="false">R48*$D$2</f>
        <v>738.6554</v>
      </c>
      <c r="S49" s="54" t="n">
        <f aca="false">S48*$D$2</f>
        <v>2419.0766</v>
      </c>
      <c r="T49" s="54" t="n">
        <f aca="false">T48*$D$2</f>
        <v>0</v>
      </c>
      <c r="U49" s="54" t="n">
        <f aca="false">U48*$D$2</f>
        <v>0</v>
      </c>
      <c r="V49" s="54" t="n">
        <f aca="false">V48*$D$2</f>
        <v>3796.61735</v>
      </c>
      <c r="W49" s="54" t="n">
        <f aca="false">W48*$D$2</f>
        <v>26310.92915</v>
      </c>
      <c r="X49" s="54" t="n">
        <f aca="false">X48*$D$2</f>
        <v>6215.69395</v>
      </c>
      <c r="Y49" s="54" t="n">
        <f aca="false">Y48*$D$2</f>
        <v>703.48985</v>
      </c>
      <c r="Z49" s="54" t="n">
        <f aca="false">Z48*$D$2</f>
        <v>6919.1838</v>
      </c>
      <c r="AA49" s="58"/>
      <c r="AB49" s="59"/>
      <c r="AC49" s="59"/>
      <c r="AD49" s="60"/>
    </row>
    <row r="50" customFormat="false" ht="3" hidden="false" customHeight="true" outlineLevel="0" collapsed="false">
      <c r="A50" s="76"/>
      <c r="B50" s="76"/>
      <c r="C50" s="78"/>
      <c r="D50" s="76"/>
      <c r="E50" s="78"/>
      <c r="F50" s="76"/>
      <c r="G50" s="76"/>
      <c r="H50" s="79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8"/>
      <c r="U50" s="76"/>
      <c r="V50" s="76"/>
      <c r="W50" s="78"/>
      <c r="X50" s="76"/>
      <c r="Y50" s="76"/>
      <c r="Z50" s="76"/>
      <c r="AA50" s="58"/>
      <c r="AB50" s="59"/>
      <c r="AC50" s="59"/>
      <c r="AD50" s="60"/>
    </row>
    <row r="51" customFormat="false" ht="11.1" hidden="false" customHeight="true" outlineLevel="0" collapsed="false">
      <c r="A51" s="53"/>
      <c r="B51" s="86"/>
      <c r="C51" s="54"/>
      <c r="D51" s="53"/>
      <c r="E51" s="54"/>
      <c r="F51" s="53"/>
      <c r="G51" s="53"/>
      <c r="H51" s="58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4"/>
      <c r="U51" s="53"/>
      <c r="V51" s="53"/>
      <c r="W51" s="54"/>
      <c r="X51" s="53"/>
      <c r="Y51" s="53"/>
      <c r="Z51" s="53"/>
      <c r="AA51" s="58"/>
      <c r="AB51" s="59"/>
      <c r="AC51" s="59"/>
      <c r="AD51" s="60"/>
    </row>
    <row r="52" customFormat="false" ht="11.1" hidden="false" customHeight="true" outlineLevel="0" collapsed="false">
      <c r="A52" s="53"/>
      <c r="B52" s="75"/>
      <c r="C52" s="54"/>
      <c r="D52" s="84"/>
      <c r="E52" s="54"/>
      <c r="F52" s="53"/>
      <c r="G52" s="53"/>
      <c r="H52" s="58"/>
      <c r="I52" s="55"/>
      <c r="J52" s="53"/>
      <c r="K52" s="44"/>
      <c r="L52" s="53"/>
      <c r="M52" s="53"/>
      <c r="N52" s="53"/>
      <c r="O52" s="53"/>
      <c r="P52" s="53"/>
      <c r="Q52" s="53"/>
      <c r="R52" s="53"/>
      <c r="S52" s="53"/>
      <c r="T52" s="54"/>
      <c r="U52" s="53"/>
      <c r="V52" s="53"/>
      <c r="W52" s="54"/>
      <c r="X52" s="53"/>
      <c r="Y52" s="53"/>
      <c r="Z52" s="53"/>
      <c r="AA52" s="58"/>
      <c r="AB52" s="59"/>
      <c r="AC52" s="59"/>
      <c r="AD52" s="60"/>
    </row>
    <row r="53" customFormat="false" ht="11.1" hidden="false" customHeight="true" outlineLevel="0" collapsed="false">
      <c r="A53" s="84"/>
      <c r="B53" s="84"/>
      <c r="C53" s="54"/>
      <c r="D53" s="54"/>
      <c r="E53" s="54"/>
      <c r="F53" s="84"/>
      <c r="G53" s="84"/>
      <c r="H53" s="58"/>
      <c r="I53" s="84"/>
      <c r="J53" s="84"/>
      <c r="K53" s="84"/>
      <c r="L53" s="84"/>
      <c r="M53" s="83"/>
      <c r="N53" s="83"/>
      <c r="O53" s="83"/>
      <c r="P53" s="83"/>
      <c r="Q53" s="84"/>
      <c r="R53" s="84"/>
      <c r="S53" s="84"/>
      <c r="T53" s="54"/>
      <c r="U53" s="84"/>
      <c r="V53" s="84"/>
      <c r="W53" s="54"/>
      <c r="X53" s="84"/>
      <c r="Y53" s="84"/>
      <c r="Z53" s="84"/>
      <c r="AA53" s="58"/>
      <c r="AB53" s="59"/>
      <c r="AC53" s="59"/>
      <c r="AD53" s="60"/>
    </row>
    <row r="54" customFormat="false" ht="11.1" hidden="false" customHeight="true" outlineLevel="0" collapsed="false">
      <c r="A54" s="84"/>
      <c r="B54" s="57"/>
      <c r="C54" s="54"/>
      <c r="D54" s="54"/>
      <c r="E54" s="54"/>
      <c r="F54" s="84"/>
      <c r="G54" s="84"/>
      <c r="H54" s="58"/>
      <c r="I54" s="84"/>
      <c r="J54" s="84"/>
      <c r="K54" s="84"/>
      <c r="L54" s="84"/>
      <c r="M54" s="83"/>
      <c r="N54" s="83"/>
      <c r="O54" s="83"/>
      <c r="P54" s="84"/>
      <c r="Q54" s="84"/>
      <c r="R54" s="84"/>
      <c r="S54" s="54"/>
      <c r="T54" s="84"/>
      <c r="U54" s="84"/>
      <c r="V54" s="54"/>
      <c r="W54" s="84"/>
      <c r="X54" s="84"/>
      <c r="Y54" s="84"/>
      <c r="Z54" s="57"/>
      <c r="AA54" s="58"/>
      <c r="AB54" s="59"/>
      <c r="AC54" s="60"/>
    </row>
    <row r="55" customFormat="false" ht="11.1" hidden="false" customHeight="true" outlineLevel="0" collapsed="false">
      <c r="A55" s="84"/>
      <c r="B55" s="84"/>
      <c r="C55" s="54"/>
      <c r="D55" s="84"/>
      <c r="E55" s="54"/>
      <c r="F55" s="84"/>
      <c r="G55" s="87"/>
      <c r="H55" s="58"/>
      <c r="I55" s="84"/>
      <c r="J55" s="84"/>
      <c r="K55" s="84"/>
      <c r="L55" s="84"/>
      <c r="M55" s="83"/>
      <c r="N55" s="83"/>
      <c r="O55" s="83"/>
      <c r="P55" s="84"/>
      <c r="Q55" s="84"/>
      <c r="R55" s="84"/>
      <c r="S55" s="54"/>
      <c r="T55" s="84"/>
      <c r="U55" s="84"/>
      <c r="V55" s="54"/>
      <c r="W55" s="84"/>
      <c r="X55" s="84"/>
      <c r="Y55" s="84"/>
      <c r="Z55" s="57"/>
      <c r="AA55" s="58"/>
      <c r="AB55" s="59"/>
      <c r="AC55" s="60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R23" activePane="bottomRight" state="frozen"/>
      <selection pane="topLeft" activeCell="A1" activeCellId="0" sqref="A1"/>
      <selection pane="topRight" activeCell="R1" activeCellId="0" sqref="R1"/>
      <selection pane="bottomLeft" activeCell="A23" activeCellId="0" sqref="A23"/>
      <selection pane="bottomRight" activeCell="AC43" activeCellId="0" sqref="AC43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5.66"/>
    <col collapsed="false" customWidth="true" hidden="false" outlineLevel="0" max="2" min="2" style="46" width="7.82"/>
    <col collapsed="false" customWidth="true" hidden="false" outlineLevel="0" max="3" min="3" style="47" width="7.66"/>
    <col collapsed="false" customWidth="true" hidden="false" outlineLevel="0" max="4" min="4" style="46" width="6.99"/>
    <col collapsed="false" customWidth="true" hidden="false" outlineLevel="0" max="5" min="5" style="47" width="7.66"/>
    <col collapsed="false" customWidth="true" hidden="false" outlineLevel="0" max="6" min="6" style="46" width="7.66"/>
    <col collapsed="false" customWidth="true" hidden="false" outlineLevel="0" max="7" min="7" style="46" width="7.16"/>
    <col collapsed="false" customWidth="true" hidden="false" outlineLevel="0" max="8" min="8" style="48" width="6.66"/>
    <col collapsed="false" customWidth="true" hidden="false" outlineLevel="0" max="9" min="9" style="46" width="7.99"/>
    <col collapsed="false" customWidth="true" hidden="false" outlineLevel="0" max="10" min="10" style="46" width="6.66"/>
    <col collapsed="false" customWidth="true" hidden="false" outlineLevel="0" max="12" min="11" style="46" width="7.16"/>
    <col collapsed="false" customWidth="true" hidden="false" outlineLevel="0" max="13" min="13" style="88" width="6.16"/>
    <col collapsed="false" customWidth="true" hidden="true" outlineLevel="0" max="14" min="14" style="49" width="7.32"/>
    <col collapsed="false" customWidth="true" hidden="true" outlineLevel="0" max="15" min="15" style="49" width="6.49"/>
    <col collapsed="false" customWidth="true" hidden="true" outlineLevel="0" max="16" min="16" style="46" width="7.16"/>
    <col collapsed="false" customWidth="true" hidden="false" outlineLevel="0" max="17" min="17" style="46" width="6.32"/>
    <col collapsed="false" customWidth="true" hidden="false" outlineLevel="0" max="18" min="18" style="46" width="5.82"/>
    <col collapsed="false" customWidth="true" hidden="false" outlineLevel="0" max="19" min="19" style="47" width="6.82"/>
    <col collapsed="false" customWidth="true" hidden="false" outlineLevel="0" max="20" min="20" style="46" width="7.66"/>
    <col collapsed="false" customWidth="true" hidden="false" outlineLevel="0" max="21" min="21" style="46" width="5.99"/>
    <col collapsed="false" customWidth="true" hidden="false" outlineLevel="0" max="22" min="22" style="47" width="6.66"/>
    <col collapsed="false" customWidth="true" hidden="false" outlineLevel="0" max="23" min="23" style="46" width="7.66"/>
    <col collapsed="false" customWidth="true" hidden="false" outlineLevel="0" max="25" min="24" style="46" width="7.82"/>
    <col collapsed="false" customWidth="true" hidden="false" outlineLevel="0" max="26" min="26" style="50" width="8.16"/>
    <col collapsed="false" customWidth="true" hidden="false" outlineLevel="0" max="27" min="27" style="48" width="4.66"/>
    <col collapsed="false" customWidth="true" hidden="false" outlineLevel="0" max="28" min="28" style="51" width="4.66"/>
    <col collapsed="false" customWidth="true" hidden="false" outlineLevel="0" max="29" min="29" style="52" width="4.66"/>
    <col collapsed="false" customWidth="true" hidden="false" outlineLevel="0" max="30" min="30" style="46" width="5.66"/>
    <col collapsed="false" customWidth="false" hidden="false" outlineLevel="0" max="257" min="31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8"/>
      <c r="I1" s="53"/>
      <c r="J1" s="53"/>
      <c r="K1" s="56" t="s">
        <v>0</v>
      </c>
      <c r="L1" s="53"/>
      <c r="M1" s="89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9"/>
      <c r="AC1" s="60"/>
      <c r="AD1" s="90"/>
      <c r="AE1" s="90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1.9835</v>
      </c>
      <c r="E2" s="54"/>
      <c r="F2" s="53"/>
      <c r="G2" s="53"/>
      <c r="H2" s="58"/>
      <c r="I2" s="53"/>
      <c r="J2" s="53"/>
      <c r="K2" s="62" t="s">
        <v>57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8"/>
      <c r="AB2" s="59"/>
      <c r="AC2" s="60"/>
      <c r="AD2" s="90"/>
      <c r="AE2" s="90"/>
    </row>
    <row r="3" customFormat="false" ht="11.1" hidden="false" customHeight="true" outlineLevel="0" collapsed="false">
      <c r="A3" s="53"/>
      <c r="B3" s="53"/>
      <c r="C3" s="54"/>
      <c r="D3" s="63"/>
      <c r="E3" s="54"/>
      <c r="F3" s="53"/>
      <c r="G3" s="53"/>
      <c r="H3" s="58"/>
      <c r="I3" s="53"/>
      <c r="J3" s="53"/>
      <c r="K3" s="53"/>
      <c r="L3" s="53"/>
      <c r="M3" s="89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9"/>
      <c r="AC3" s="60"/>
      <c r="AD3" s="90"/>
      <c r="AE3" s="90"/>
    </row>
    <row r="4" customFormat="false" ht="11.1" hidden="false" customHeight="true" outlineLevel="0" collapsed="false">
      <c r="A4" s="64" t="s">
        <v>3</v>
      </c>
      <c r="B4" s="64" t="s">
        <v>4</v>
      </c>
      <c r="C4" s="65" t="s">
        <v>4</v>
      </c>
      <c r="D4" s="64" t="s">
        <v>5</v>
      </c>
      <c r="E4" s="65" t="s">
        <v>6</v>
      </c>
      <c r="F4" s="64" t="s">
        <v>7</v>
      </c>
      <c r="G4" s="64" t="s">
        <v>8</v>
      </c>
      <c r="H4" s="67" t="s">
        <v>9</v>
      </c>
      <c r="I4" s="64" t="s">
        <v>10</v>
      </c>
      <c r="J4" s="64" t="s">
        <v>11</v>
      </c>
      <c r="K4" s="64" t="s">
        <v>12</v>
      </c>
      <c r="L4" s="64" t="s">
        <v>11</v>
      </c>
      <c r="M4" s="91" t="s">
        <v>13</v>
      </c>
      <c r="N4" s="91"/>
      <c r="O4" s="91"/>
      <c r="P4" s="91"/>
      <c r="Q4" s="64" t="s">
        <v>14</v>
      </c>
      <c r="R4" s="64" t="s">
        <v>15</v>
      </c>
      <c r="S4" s="64" t="s">
        <v>12</v>
      </c>
      <c r="T4" s="65" t="s">
        <v>16</v>
      </c>
      <c r="U4" s="64" t="s">
        <v>17</v>
      </c>
      <c r="V4" s="64" t="s">
        <v>18</v>
      </c>
      <c r="W4" s="65" t="s">
        <v>19</v>
      </c>
      <c r="X4" s="64" t="s">
        <v>10</v>
      </c>
      <c r="Y4" s="64" t="s">
        <v>11</v>
      </c>
      <c r="Z4" s="64" t="s">
        <v>12</v>
      </c>
      <c r="AA4" s="67" t="s">
        <v>20</v>
      </c>
      <c r="AB4" s="68" t="s">
        <v>21</v>
      </c>
      <c r="AC4" s="68" t="s">
        <v>22</v>
      </c>
      <c r="AD4" s="68" t="s">
        <v>3</v>
      </c>
      <c r="AE4" s="90"/>
      <c r="AF4" s="90"/>
    </row>
    <row r="5" customFormat="false" ht="11.1" hidden="false" customHeight="true" outlineLevel="0" collapsed="false">
      <c r="A5" s="69" t="s">
        <v>58</v>
      </c>
      <c r="B5" s="64" t="s">
        <v>24</v>
      </c>
      <c r="C5" s="65" t="s">
        <v>5</v>
      </c>
      <c r="D5" s="64" t="s">
        <v>25</v>
      </c>
      <c r="E5" s="65" t="s">
        <v>26</v>
      </c>
      <c r="F5" s="64" t="s">
        <v>27</v>
      </c>
      <c r="G5" s="64" t="s">
        <v>28</v>
      </c>
      <c r="H5" s="67" t="s">
        <v>29</v>
      </c>
      <c r="I5" s="64" t="s">
        <v>30</v>
      </c>
      <c r="J5" s="64" t="s">
        <v>30</v>
      </c>
      <c r="K5" s="64" t="s">
        <v>30</v>
      </c>
      <c r="L5" s="64" t="s">
        <v>31</v>
      </c>
      <c r="M5" s="91" t="s">
        <v>32</v>
      </c>
      <c r="N5" s="64" t="s">
        <v>33</v>
      </c>
      <c r="O5" s="64" t="s">
        <v>34</v>
      </c>
      <c r="P5" s="64" t="s">
        <v>35</v>
      </c>
      <c r="Q5" s="64" t="s">
        <v>36</v>
      </c>
      <c r="R5" s="64" t="s">
        <v>37</v>
      </c>
      <c r="S5" s="64" t="s">
        <v>16</v>
      </c>
      <c r="T5" s="65" t="s">
        <v>38</v>
      </c>
      <c r="U5" s="64" t="s">
        <v>39</v>
      </c>
      <c r="V5" s="64" t="s">
        <v>40</v>
      </c>
      <c r="W5" s="65" t="s">
        <v>41</v>
      </c>
      <c r="X5" s="64" t="s">
        <v>42</v>
      </c>
      <c r="Y5" s="64" t="s">
        <v>42</v>
      </c>
      <c r="Z5" s="64" t="s">
        <v>42</v>
      </c>
      <c r="AA5" s="70"/>
      <c r="AB5" s="68" t="s">
        <v>43</v>
      </c>
      <c r="AC5" s="68" t="s">
        <v>43</v>
      </c>
      <c r="AD5" s="71" t="s">
        <v>58</v>
      </c>
      <c r="AE5" s="90"/>
      <c r="AF5" s="90"/>
    </row>
    <row r="6" customFormat="false" ht="11.1" hidden="false" customHeight="true" outlineLevel="0" collapsed="false">
      <c r="A6" s="72"/>
      <c r="B6" s="72"/>
      <c r="C6" s="73"/>
      <c r="D6" s="72"/>
      <c r="E6" s="73"/>
      <c r="F6" s="72"/>
      <c r="G6" s="72"/>
      <c r="H6" s="92"/>
      <c r="I6" s="72"/>
      <c r="J6" s="72"/>
      <c r="K6" s="72"/>
      <c r="L6" s="72"/>
      <c r="M6" s="93"/>
      <c r="N6" s="72"/>
      <c r="O6" s="72"/>
      <c r="P6" s="72"/>
      <c r="Q6" s="72"/>
      <c r="R6" s="72"/>
      <c r="S6" s="72"/>
      <c r="T6" s="73"/>
      <c r="U6" s="72"/>
      <c r="V6" s="72"/>
      <c r="W6" s="73"/>
      <c r="X6" s="72"/>
      <c r="Y6" s="72"/>
      <c r="Z6" s="72"/>
      <c r="AA6" s="58"/>
      <c r="AB6" s="60"/>
      <c r="AC6" s="60"/>
      <c r="AD6" s="60"/>
      <c r="AE6" s="94"/>
      <c r="AF6" s="94"/>
      <c r="AG6" s="95"/>
    </row>
    <row r="7" customFormat="false" ht="11.1" hidden="false" customHeight="true" outlineLevel="0" collapsed="false">
      <c r="A7" s="53" t="s">
        <v>44</v>
      </c>
      <c r="B7" s="53"/>
      <c r="C7" s="54"/>
      <c r="D7" s="54"/>
      <c r="E7" s="54"/>
      <c r="F7" s="54"/>
      <c r="G7" s="54"/>
      <c r="H7" s="58"/>
      <c r="I7" s="54"/>
      <c r="J7" s="54"/>
      <c r="K7" s="54"/>
      <c r="L7" s="54"/>
      <c r="M7" s="89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8"/>
      <c r="AB7" s="59"/>
      <c r="AC7" s="59"/>
      <c r="AD7" s="60"/>
      <c r="AE7" s="94"/>
      <c r="AF7" s="95"/>
      <c r="AG7" s="95"/>
    </row>
    <row r="8" s="47" customFormat="true" ht="11.1" hidden="false" customHeight="true" outlineLevel="0" collapsed="false">
      <c r="A8" s="54" t="s">
        <v>45</v>
      </c>
      <c r="B8" s="75" t="n">
        <f aca="false">DEC!B40</f>
        <v>6888.02</v>
      </c>
      <c r="C8" s="54" t="n">
        <f aca="false">DEC!C40</f>
        <v>241536</v>
      </c>
      <c r="D8" s="54" t="n">
        <f aca="false">DEC!$D$49</f>
        <v>2671</v>
      </c>
      <c r="E8" s="54" t="n">
        <f aca="false">DEC!$E$40</f>
        <v>89536</v>
      </c>
      <c r="F8" s="54" t="n">
        <f aca="false">DEC!F48</f>
        <v>1346.60952861104</v>
      </c>
      <c r="G8" s="54" t="n">
        <f aca="false">DEC!G48</f>
        <v>4649.9</v>
      </c>
      <c r="H8" s="58" t="n">
        <f aca="false">DEC!H48</f>
        <v>0</v>
      </c>
      <c r="I8" s="54" t="n">
        <f aca="false">DEC!I48</f>
        <v>4649.9</v>
      </c>
      <c r="J8" s="54" t="n">
        <f aca="false">DEC!J48</f>
        <v>185.080489034535</v>
      </c>
      <c r="K8" s="54" t="n">
        <f aca="false">DEC!K48</f>
        <v>4834.98048903453</v>
      </c>
      <c r="L8" s="54" t="n">
        <f aca="false">DEC!L48</f>
        <v>-169.590471388959</v>
      </c>
      <c r="M8" s="89" t="n">
        <f aca="false">DEC!M48</f>
        <v>847.2</v>
      </c>
      <c r="N8" s="54" t="n">
        <f aca="false">DEC!N48</f>
        <v>0</v>
      </c>
      <c r="O8" s="54" t="n">
        <f aca="false">DEC!O48</f>
        <v>0</v>
      </c>
      <c r="P8" s="54" t="n">
        <f aca="false">DEC!P48</f>
        <v>847.2</v>
      </c>
      <c r="Q8" s="54" t="n">
        <f aca="false">DEC!Q48</f>
        <v>0</v>
      </c>
      <c r="R8" s="54" t="n">
        <f aca="false">DEC!R48</f>
        <v>372.4</v>
      </c>
      <c r="S8" s="54" t="n">
        <f aca="false">DEC!S48</f>
        <v>1219.6</v>
      </c>
      <c r="T8" s="54" t="n">
        <f aca="false">DEC!T48</f>
        <v>0</v>
      </c>
      <c r="U8" s="54" t="n">
        <f aca="false">DEC!U48</f>
        <v>0</v>
      </c>
      <c r="V8" s="54" t="n">
        <f aca="false">DEC!V48</f>
        <v>1914.1</v>
      </c>
      <c r="W8" s="54" t="n">
        <f aca="false">DEC!W48</f>
        <v>13264.9</v>
      </c>
      <c r="X8" s="54" t="n">
        <f aca="false">DEC!X48</f>
        <v>3133.7</v>
      </c>
      <c r="Y8" s="54" t="n">
        <f aca="false">DEC!Y48</f>
        <v>354.670960423494</v>
      </c>
      <c r="Z8" s="54" t="n">
        <f aca="false">DEC!Z48</f>
        <v>3488.37096042349</v>
      </c>
      <c r="AA8" s="58" t="n">
        <f aca="false">DEC!AA48</f>
        <v>2.33</v>
      </c>
      <c r="AB8" s="59"/>
      <c r="AC8" s="59"/>
      <c r="AD8" s="60"/>
      <c r="AE8" s="96"/>
      <c r="AF8" s="94"/>
      <c r="AG8" s="96"/>
    </row>
    <row r="9" customFormat="false" ht="3" hidden="false" customHeight="true" outlineLevel="0" collapsed="false">
      <c r="A9" s="76"/>
      <c r="B9" s="77"/>
      <c r="C9" s="78"/>
      <c r="D9" s="76"/>
      <c r="E9" s="78"/>
      <c r="F9" s="76"/>
      <c r="G9" s="76"/>
      <c r="H9" s="80"/>
      <c r="I9" s="76"/>
      <c r="J9" s="76"/>
      <c r="K9" s="76"/>
      <c r="L9" s="76"/>
      <c r="M9" s="97"/>
      <c r="N9" s="76"/>
      <c r="O9" s="76"/>
      <c r="P9" s="76"/>
      <c r="Q9" s="76"/>
      <c r="R9" s="76"/>
      <c r="S9" s="76"/>
      <c r="T9" s="78"/>
      <c r="U9" s="76"/>
      <c r="V9" s="76"/>
      <c r="W9" s="78"/>
      <c r="X9" s="76"/>
      <c r="Y9" s="76"/>
      <c r="Z9" s="76"/>
      <c r="AA9" s="80"/>
      <c r="AB9" s="81"/>
      <c r="AC9" s="81"/>
      <c r="AD9" s="82"/>
      <c r="AE9" s="94"/>
      <c r="AF9" s="94"/>
      <c r="AG9" s="95"/>
    </row>
    <row r="10" customFormat="false" ht="11.1" hidden="false" customHeight="true" outlineLevel="0" collapsed="false">
      <c r="A10" s="60" t="n">
        <v>1</v>
      </c>
      <c r="B10" s="75" t="n">
        <v>6888.03</v>
      </c>
      <c r="C10" s="54" t="n">
        <v>241569</v>
      </c>
      <c r="D10" s="59" t="n">
        <f aca="false">C10-C8</f>
        <v>33</v>
      </c>
      <c r="E10" s="54" t="n">
        <f aca="false">C10-152000</f>
        <v>89569</v>
      </c>
      <c r="F10" s="53" t="n">
        <f aca="false">D10/$D$2</f>
        <v>16.63725737333</v>
      </c>
      <c r="G10" s="53" t="n">
        <v>52.6</v>
      </c>
      <c r="H10" s="58" t="n">
        <v>0</v>
      </c>
      <c r="I10" s="53" t="n">
        <f aca="false">G10+H10</f>
        <v>52.6</v>
      </c>
      <c r="J10" s="83" t="n">
        <f aca="false">IF(L10&gt;0,L10,0)</f>
        <v>0.0372573733299717</v>
      </c>
      <c r="K10" s="53" t="n">
        <f aca="false">I10+J10</f>
        <v>52.63725737333</v>
      </c>
      <c r="L10" s="53" t="n">
        <f aca="false">F10-(I10-X10)</f>
        <v>0.0372573733299717</v>
      </c>
      <c r="M10" s="89" t="n">
        <v>4.1</v>
      </c>
      <c r="N10" s="53" t="n">
        <v>0</v>
      </c>
      <c r="O10" s="53" t="n">
        <v>0</v>
      </c>
      <c r="P10" s="6" t="n">
        <f aca="false">M10-(N10+O10)</f>
        <v>4.1</v>
      </c>
      <c r="Q10" s="53" t="n">
        <v>0</v>
      </c>
      <c r="R10" s="53" t="n">
        <v>0</v>
      </c>
      <c r="S10" s="53" t="n">
        <f aca="false">SUM(P10:R10)</f>
        <v>4.1</v>
      </c>
      <c r="T10" s="54"/>
      <c r="U10" s="53" t="n">
        <v>0</v>
      </c>
      <c r="V10" s="53" t="n">
        <v>31.9</v>
      </c>
      <c r="W10" s="54" t="n">
        <f aca="false">W8-V10</f>
        <v>13233</v>
      </c>
      <c r="X10" s="6" t="n">
        <f aca="false">N10+O10+S10+U10+V10</f>
        <v>36</v>
      </c>
      <c r="Y10" s="53" t="n">
        <f aca="false">IF(L10&lt;0,L10*-1,0)</f>
        <v>0</v>
      </c>
      <c r="Z10" s="53" t="n">
        <f aca="false">X10+Y10</f>
        <v>36</v>
      </c>
      <c r="AA10" s="58" t="n">
        <v>0</v>
      </c>
      <c r="AB10" s="59" t="n">
        <v>32</v>
      </c>
      <c r="AC10" s="59" t="n">
        <v>-2</v>
      </c>
      <c r="AD10" s="60" t="n">
        <v>1</v>
      </c>
      <c r="AE10" s="95"/>
      <c r="AF10" s="96"/>
      <c r="AG10" s="95"/>
    </row>
    <row r="11" customFormat="false" ht="11.1" hidden="false" customHeight="true" outlineLevel="0" collapsed="false">
      <c r="A11" s="60" t="n">
        <f aca="false">A10+1</f>
        <v>2</v>
      </c>
      <c r="B11" s="75" t="n">
        <v>6888.05</v>
      </c>
      <c r="C11" s="54" t="n">
        <v>241636</v>
      </c>
      <c r="D11" s="59" t="n">
        <f aca="false">C11-C10</f>
        <v>67</v>
      </c>
      <c r="E11" s="54" t="n">
        <f aca="false">C11-152000</f>
        <v>89636</v>
      </c>
      <c r="F11" s="53" t="n">
        <f aca="false">D11/$D$2</f>
        <v>33.7786740610033</v>
      </c>
      <c r="G11" s="53" t="n">
        <v>69.5</v>
      </c>
      <c r="H11" s="58" t="n">
        <v>0</v>
      </c>
      <c r="I11" s="53" t="n">
        <f aca="false">G11+H11</f>
        <v>69.5</v>
      </c>
      <c r="J11" s="83" t="n">
        <f aca="false">IF(L11&gt;0,L11,0)</f>
        <v>0</v>
      </c>
      <c r="K11" s="53" t="n">
        <f aca="false">I11+J11</f>
        <v>69.5</v>
      </c>
      <c r="L11" s="53" t="n">
        <f aca="false">F11-(I11-X11)</f>
        <v>-0.0213259389967178</v>
      </c>
      <c r="M11" s="89" t="n">
        <v>4.1</v>
      </c>
      <c r="N11" s="53" t="n">
        <v>0</v>
      </c>
      <c r="O11" s="53" t="n">
        <v>0</v>
      </c>
      <c r="P11" s="6" t="n">
        <f aca="false">M11-(N11+O11)</f>
        <v>4.1</v>
      </c>
      <c r="Q11" s="53" t="n">
        <v>0</v>
      </c>
      <c r="R11" s="53" t="n">
        <v>0</v>
      </c>
      <c r="S11" s="53" t="n">
        <f aca="false">SUM(P11:R11)</f>
        <v>4.1</v>
      </c>
      <c r="T11" s="54"/>
      <c r="U11" s="53" t="n">
        <v>0</v>
      </c>
      <c r="V11" s="53" t="n">
        <v>31.6</v>
      </c>
      <c r="W11" s="54" t="n">
        <f aca="false">W10-V11</f>
        <v>13201.4</v>
      </c>
      <c r="X11" s="6" t="n">
        <f aca="false">N11+O11+S11+U11+V11</f>
        <v>35.7</v>
      </c>
      <c r="Y11" s="53" t="n">
        <f aca="false">IF(L11&lt;0,L11*-1,0)</f>
        <v>0.0213259389967178</v>
      </c>
      <c r="Z11" s="53" t="n">
        <f aca="false">X11+Y11</f>
        <v>35.7213259389967</v>
      </c>
      <c r="AA11" s="58" t="n">
        <v>0</v>
      </c>
      <c r="AB11" s="59" t="n">
        <v>39</v>
      </c>
      <c r="AC11" s="59" t="n">
        <v>3</v>
      </c>
      <c r="AD11" s="60" t="n">
        <f aca="false">AD10+1</f>
        <v>2</v>
      </c>
      <c r="AE11" s="95"/>
      <c r="AF11" s="96"/>
      <c r="AG11" s="95"/>
    </row>
    <row r="12" customFormat="false" ht="11.1" hidden="false" customHeight="true" outlineLevel="0" collapsed="false">
      <c r="A12" s="60" t="n">
        <f aca="false">A11+1</f>
        <v>3</v>
      </c>
      <c r="B12" s="75" t="n">
        <v>6888.08</v>
      </c>
      <c r="C12" s="54" t="n">
        <v>241736</v>
      </c>
      <c r="D12" s="59" t="n">
        <f aca="false">C12-C11</f>
        <v>100</v>
      </c>
      <c r="E12" s="54" t="n">
        <f aca="false">C12-152000</f>
        <v>89736</v>
      </c>
      <c r="F12" s="53" t="n">
        <f aca="false">D12/$D$2</f>
        <v>50.4159314343332</v>
      </c>
      <c r="G12" s="53" t="n">
        <v>85.7</v>
      </c>
      <c r="H12" s="58" t="n">
        <v>0</v>
      </c>
      <c r="I12" s="53" t="n">
        <f aca="false">G12+H12</f>
        <v>85.7</v>
      </c>
      <c r="J12" s="83" t="n">
        <f aca="false">IF(L12&gt;0,L12,0)</f>
        <v>0.0159314343332397</v>
      </c>
      <c r="K12" s="53" t="n">
        <f aca="false">I12+J12</f>
        <v>85.7159314343332</v>
      </c>
      <c r="L12" s="53" t="n">
        <f aca="false">F12-(I12-X12)</f>
        <v>0.0159314343332397</v>
      </c>
      <c r="M12" s="89" t="n">
        <v>4.1</v>
      </c>
      <c r="N12" s="53" t="n">
        <v>0</v>
      </c>
      <c r="O12" s="53" t="n">
        <v>0</v>
      </c>
      <c r="P12" s="6" t="n">
        <f aca="false">M12-(N12+O12)</f>
        <v>4.1</v>
      </c>
      <c r="Q12" s="53" t="n">
        <v>0</v>
      </c>
      <c r="R12" s="53" t="n">
        <v>0</v>
      </c>
      <c r="S12" s="53" t="n">
        <f aca="false">SUM(P12:R12)</f>
        <v>4.1</v>
      </c>
      <c r="T12" s="54"/>
      <c r="U12" s="53" t="n">
        <v>0</v>
      </c>
      <c r="V12" s="53" t="n">
        <v>31.2</v>
      </c>
      <c r="W12" s="54" t="n">
        <f aca="false">W11-V12</f>
        <v>13170.2</v>
      </c>
      <c r="X12" s="6" t="n">
        <f aca="false">N12+O12+S12+U12+V12</f>
        <v>35.3</v>
      </c>
      <c r="Y12" s="53" t="n">
        <f aca="false">IF(L12&lt;0,L12*-1,0)</f>
        <v>0</v>
      </c>
      <c r="Z12" s="53" t="n">
        <f aca="false">X12+Y12</f>
        <v>35.3</v>
      </c>
      <c r="AA12" s="58" t="n">
        <v>0.47</v>
      </c>
      <c r="AB12" s="59" t="n">
        <v>39</v>
      </c>
      <c r="AC12" s="59" t="n">
        <v>5</v>
      </c>
      <c r="AD12" s="60" t="n">
        <f aca="false">AD11+1</f>
        <v>3</v>
      </c>
      <c r="AE12" s="95"/>
      <c r="AF12" s="96"/>
      <c r="AG12" s="95"/>
    </row>
    <row r="13" customFormat="false" ht="11.1" hidden="false" customHeight="true" outlineLevel="0" collapsed="false">
      <c r="A13" s="60" t="n">
        <f aca="false">A12+1</f>
        <v>4</v>
      </c>
      <c r="B13" s="75" t="n">
        <v>3888.12</v>
      </c>
      <c r="C13" s="54" t="n">
        <v>241869</v>
      </c>
      <c r="D13" s="59" t="n">
        <f aca="false">C13-C12</f>
        <v>133</v>
      </c>
      <c r="E13" s="54" t="n">
        <f aca="false">C13-152000</f>
        <v>89869</v>
      </c>
      <c r="F13" s="53" t="n">
        <f aca="false">D13/$D$2</f>
        <v>67.0531888076632</v>
      </c>
      <c r="G13" s="53" t="n">
        <v>95.9</v>
      </c>
      <c r="H13" s="58" t="n">
        <v>0</v>
      </c>
      <c r="I13" s="53" t="n">
        <f aca="false">G13+H13</f>
        <v>95.9</v>
      </c>
      <c r="J13" s="83" t="n">
        <f aca="false">IF(L13&gt;0,L13,0)</f>
        <v>0.0531888076632185</v>
      </c>
      <c r="K13" s="53" t="n">
        <f aca="false">I13+J13</f>
        <v>95.9531888076632</v>
      </c>
      <c r="L13" s="53" t="n">
        <f aca="false">F13-(I13-X13)</f>
        <v>0.0531888076632185</v>
      </c>
      <c r="M13" s="89" t="n">
        <v>4.1</v>
      </c>
      <c r="N13" s="53" t="n">
        <v>0</v>
      </c>
      <c r="O13" s="53" t="n">
        <v>0</v>
      </c>
      <c r="P13" s="6" t="n">
        <f aca="false">M13-(N13+O13)</f>
        <v>4.1</v>
      </c>
      <c r="Q13" s="53" t="n">
        <v>0</v>
      </c>
      <c r="R13" s="53" t="n">
        <v>0</v>
      </c>
      <c r="S13" s="53" t="n">
        <f aca="false">SUM(P13:R13)</f>
        <v>4.1</v>
      </c>
      <c r="T13" s="54"/>
      <c r="U13" s="53" t="n">
        <v>0</v>
      </c>
      <c r="V13" s="53" t="n">
        <v>24.8</v>
      </c>
      <c r="W13" s="54" t="n">
        <f aca="false">W12-V13</f>
        <v>13145.4</v>
      </c>
      <c r="X13" s="6" t="n">
        <f aca="false">N13+O13+S13+U13+V13</f>
        <v>28.9</v>
      </c>
      <c r="Y13" s="53" t="n">
        <f aca="false">IF(L13&lt;0,L13*-1,0)</f>
        <v>0</v>
      </c>
      <c r="Z13" s="53" t="n">
        <f aca="false">X13+Y13</f>
        <v>28.9</v>
      </c>
      <c r="AA13" s="58" t="n">
        <v>0</v>
      </c>
      <c r="AB13" s="59" t="n">
        <v>36</v>
      </c>
      <c r="AC13" s="59" t="n">
        <v>7</v>
      </c>
      <c r="AD13" s="60" t="n">
        <f aca="false">AD12+1</f>
        <v>4</v>
      </c>
      <c r="AE13" s="95"/>
      <c r="AF13" s="96"/>
      <c r="AG13" s="95"/>
    </row>
    <row r="14" customFormat="false" ht="11.1" hidden="false" customHeight="true" outlineLevel="0" collapsed="false">
      <c r="A14" s="60" t="n">
        <f aca="false">A13+1</f>
        <v>5</v>
      </c>
      <c r="B14" s="75" t="n">
        <v>6888.16</v>
      </c>
      <c r="C14" s="54" t="n">
        <v>242002</v>
      </c>
      <c r="D14" s="59" t="n">
        <f aca="false">C14-C13</f>
        <v>133</v>
      </c>
      <c r="E14" s="54" t="n">
        <f aca="false">C14-152000</f>
        <v>90002</v>
      </c>
      <c r="F14" s="53" t="n">
        <f aca="false">D14/$D$2</f>
        <v>67.0531888076632</v>
      </c>
      <c r="G14" s="53" t="n">
        <v>98.7</v>
      </c>
      <c r="H14" s="58" t="n">
        <v>0</v>
      </c>
      <c r="I14" s="53" t="n">
        <f aca="false">G14+H14</f>
        <v>98.7</v>
      </c>
      <c r="J14" s="83" t="n">
        <f aca="false">IF(L14&gt;0,L14,0)</f>
        <v>0.0531888076632185</v>
      </c>
      <c r="K14" s="53" t="n">
        <f aca="false">I14+J14</f>
        <v>98.7531888076632</v>
      </c>
      <c r="L14" s="53" t="n">
        <f aca="false">F14-(I14-X14)</f>
        <v>0.0531888076632185</v>
      </c>
      <c r="M14" s="89" t="n">
        <v>4.1</v>
      </c>
      <c r="N14" s="53" t="n">
        <v>0</v>
      </c>
      <c r="O14" s="53" t="n">
        <v>0</v>
      </c>
      <c r="P14" s="6" t="n">
        <f aca="false">M14-(N14+O14)</f>
        <v>4.1</v>
      </c>
      <c r="Q14" s="53" t="n">
        <v>0</v>
      </c>
      <c r="R14" s="53" t="n">
        <v>0</v>
      </c>
      <c r="S14" s="53" t="n">
        <f aca="false">SUM(P14:R14)</f>
        <v>4.1</v>
      </c>
      <c r="T14" s="54"/>
      <c r="U14" s="53" t="n">
        <v>0</v>
      </c>
      <c r="V14" s="53" t="n">
        <v>27.6</v>
      </c>
      <c r="W14" s="54" t="n">
        <f aca="false">W13-V14</f>
        <v>13117.8</v>
      </c>
      <c r="X14" s="6" t="n">
        <f aca="false">N14+O14+S14+U14+V14</f>
        <v>31.7</v>
      </c>
      <c r="Y14" s="53" t="n">
        <f aca="false">IF(L14&lt;0,L14*-1,0)</f>
        <v>0</v>
      </c>
      <c r="Z14" s="53" t="n">
        <f aca="false">X14+Y14</f>
        <v>31.7</v>
      </c>
      <c r="AA14" s="58" t="n">
        <v>0</v>
      </c>
      <c r="AB14" s="59" t="n">
        <v>42</v>
      </c>
      <c r="AC14" s="59" t="n">
        <v>8</v>
      </c>
      <c r="AD14" s="60" t="n">
        <f aca="false">AD13+1</f>
        <v>5</v>
      </c>
      <c r="AE14" s="95"/>
      <c r="AF14" s="96"/>
      <c r="AG14" s="95"/>
    </row>
    <row r="15" customFormat="false" ht="11.1" hidden="false" customHeight="true" outlineLevel="0" collapsed="false">
      <c r="A15" s="60" t="n">
        <f aca="false">A14+1</f>
        <v>6</v>
      </c>
      <c r="B15" s="75" t="n">
        <v>6888.21</v>
      </c>
      <c r="C15" s="54" t="n">
        <v>242169</v>
      </c>
      <c r="D15" s="59" t="n">
        <f aca="false">C15-C14</f>
        <v>167</v>
      </c>
      <c r="E15" s="54" t="n">
        <f aca="false">C15-152000</f>
        <v>90169</v>
      </c>
      <c r="F15" s="53" t="n">
        <f aca="false">D15/$D$2</f>
        <v>84.1946054953365</v>
      </c>
      <c r="G15" s="53" t="n">
        <v>115.8</v>
      </c>
      <c r="H15" s="58" t="n">
        <v>0</v>
      </c>
      <c r="I15" s="53" t="n">
        <f aca="false">G15+H15</f>
        <v>115.8</v>
      </c>
      <c r="J15" s="83" t="n">
        <f aca="false">IF(L15&gt;0,L15,0)</f>
        <v>0</v>
      </c>
      <c r="K15" s="53" t="n">
        <f aca="false">I15+J15</f>
        <v>115.8</v>
      </c>
      <c r="L15" s="53" t="n">
        <f aca="false">F15-(I15-X15)</f>
        <v>-0.00539450466347091</v>
      </c>
      <c r="M15" s="89" t="n">
        <v>4.1</v>
      </c>
      <c r="N15" s="53" t="n">
        <v>0</v>
      </c>
      <c r="O15" s="53" t="n">
        <v>0</v>
      </c>
      <c r="P15" s="6" t="n">
        <f aca="false">M15-(N15+O15)</f>
        <v>4.1</v>
      </c>
      <c r="Q15" s="53" t="n">
        <v>0</v>
      </c>
      <c r="R15" s="53" t="n">
        <v>0</v>
      </c>
      <c r="S15" s="53" t="n">
        <f aca="false">SUM(P15:R15)</f>
        <v>4.1</v>
      </c>
      <c r="T15" s="54"/>
      <c r="U15" s="53" t="n">
        <v>0</v>
      </c>
      <c r="V15" s="53" t="n">
        <v>27.5</v>
      </c>
      <c r="W15" s="54" t="n">
        <f aca="false">W14-V15</f>
        <v>13090.3</v>
      </c>
      <c r="X15" s="6" t="n">
        <f aca="false">N15+O15+S15+U15+V15</f>
        <v>31.6</v>
      </c>
      <c r="Y15" s="53" t="n">
        <f aca="false">IF(L15&lt;0,L15*-1,0)</f>
        <v>0.00539450466347091</v>
      </c>
      <c r="Z15" s="53" t="n">
        <f aca="false">X15+Y15</f>
        <v>31.6053945046635</v>
      </c>
      <c r="AA15" s="58" t="n">
        <v>0.35</v>
      </c>
      <c r="AB15" s="59" t="n">
        <v>38</v>
      </c>
      <c r="AC15" s="59" t="n">
        <v>11</v>
      </c>
      <c r="AD15" s="60" t="n">
        <f aca="false">AD14+1</f>
        <v>6</v>
      </c>
      <c r="AE15" s="94"/>
      <c r="AF15" s="96"/>
      <c r="AG15" s="95"/>
    </row>
    <row r="16" customFormat="false" ht="11.1" hidden="false" customHeight="true" outlineLevel="0" collapsed="false">
      <c r="A16" s="60" t="n">
        <f aca="false">A15+1</f>
        <v>7</v>
      </c>
      <c r="B16" s="75" t="n">
        <v>6888.24</v>
      </c>
      <c r="C16" s="54" t="n">
        <v>242269</v>
      </c>
      <c r="D16" s="59" t="n">
        <f aca="false">C16-C15</f>
        <v>100</v>
      </c>
      <c r="E16" s="54" t="n">
        <f aca="false">C16-152000</f>
        <v>90269</v>
      </c>
      <c r="F16" s="53" t="n">
        <f aca="false">D16/$D$2</f>
        <v>50.4159314343332</v>
      </c>
      <c r="G16" s="53" t="n">
        <v>83.8</v>
      </c>
      <c r="H16" s="58" t="n">
        <v>0</v>
      </c>
      <c r="I16" s="53" t="n">
        <f aca="false">G16+H16</f>
        <v>83.8</v>
      </c>
      <c r="J16" s="83" t="n">
        <f aca="false">IF(L16&gt;0,L16,0)</f>
        <v>0.0159314343332468</v>
      </c>
      <c r="K16" s="53" t="n">
        <f aca="false">I16+J16</f>
        <v>83.8159314343332</v>
      </c>
      <c r="L16" s="53" t="n">
        <f aca="false">F16-(I16-X16)</f>
        <v>0.0159314343332468</v>
      </c>
      <c r="M16" s="89" t="n">
        <v>4.1</v>
      </c>
      <c r="N16" s="53" t="n">
        <v>0</v>
      </c>
      <c r="O16" s="53" t="n">
        <v>0</v>
      </c>
      <c r="P16" s="6" t="n">
        <f aca="false">M16-(N16+O16)</f>
        <v>4.1</v>
      </c>
      <c r="Q16" s="53" t="n">
        <v>0</v>
      </c>
      <c r="R16" s="53" t="n">
        <v>0</v>
      </c>
      <c r="S16" s="53" t="n">
        <f aca="false">SUM(P16:R16)</f>
        <v>4.1</v>
      </c>
      <c r="T16" s="54"/>
      <c r="U16" s="53" t="n">
        <v>0</v>
      </c>
      <c r="V16" s="53" t="n">
        <v>29.3</v>
      </c>
      <c r="W16" s="54" t="n">
        <f aca="false">W15-V16</f>
        <v>13061</v>
      </c>
      <c r="X16" s="6" t="n">
        <f aca="false">N16+O16+S16+U16+V16</f>
        <v>33.4</v>
      </c>
      <c r="Y16" s="53" t="n">
        <f aca="false">IF(L16&lt;0,L16*-1,0)</f>
        <v>0</v>
      </c>
      <c r="Z16" s="53" t="n">
        <f aca="false">X16+Y16</f>
        <v>33.4</v>
      </c>
      <c r="AA16" s="58" t="n">
        <v>0</v>
      </c>
      <c r="AB16" s="59" t="n">
        <v>43</v>
      </c>
      <c r="AC16" s="59" t="n">
        <v>13</v>
      </c>
      <c r="AD16" s="60" t="n">
        <f aca="false">AD15+1</f>
        <v>7</v>
      </c>
      <c r="AE16" s="94"/>
      <c r="AF16" s="96"/>
      <c r="AG16" s="95"/>
    </row>
    <row r="17" customFormat="false" ht="11.1" hidden="false" customHeight="true" outlineLevel="0" collapsed="false">
      <c r="A17" s="60" t="n">
        <f aca="false">A16+1</f>
        <v>8</v>
      </c>
      <c r="B17" s="75" t="n">
        <v>6888.25</v>
      </c>
      <c r="C17" s="54" t="n">
        <v>242302</v>
      </c>
      <c r="D17" s="59" t="n">
        <f aca="false">C17-C16</f>
        <v>33</v>
      </c>
      <c r="E17" s="54" t="n">
        <f aca="false">C17-152000</f>
        <v>90302</v>
      </c>
      <c r="F17" s="53" t="n">
        <f aca="false">D17/$D$2</f>
        <v>16.63725737333</v>
      </c>
      <c r="G17" s="53" t="n">
        <v>52.5</v>
      </c>
      <c r="H17" s="58" t="n">
        <v>0</v>
      </c>
      <c r="I17" s="53" t="n">
        <v>36</v>
      </c>
      <c r="J17" s="83" t="n">
        <f aca="false">IF(L17&gt;0,L17,0)</f>
        <v>16.53725737333</v>
      </c>
      <c r="K17" s="53" t="n">
        <f aca="false">I17+J17</f>
        <v>52.53725737333</v>
      </c>
      <c r="L17" s="53" t="n">
        <f aca="false">F17-(I17-X17)</f>
        <v>16.53725737333</v>
      </c>
      <c r="M17" s="89" t="n">
        <v>4.1</v>
      </c>
      <c r="N17" s="53" t="n">
        <v>0</v>
      </c>
      <c r="O17" s="53" t="n">
        <v>0</v>
      </c>
      <c r="P17" s="6" t="n">
        <f aca="false">M17-(N17+O17)</f>
        <v>4.1</v>
      </c>
      <c r="Q17" s="53" t="n">
        <v>0</v>
      </c>
      <c r="R17" s="53" t="n">
        <v>0</v>
      </c>
      <c r="S17" s="53" t="n">
        <f aca="false">SUM(P17:R17)</f>
        <v>4.1</v>
      </c>
      <c r="T17" s="54"/>
      <c r="U17" s="53" t="n">
        <v>0</v>
      </c>
      <c r="V17" s="53" t="n">
        <v>31.8</v>
      </c>
      <c r="W17" s="54" t="n">
        <f aca="false">W16-V17</f>
        <v>13029.2</v>
      </c>
      <c r="X17" s="6" t="n">
        <f aca="false">N17+O17+S17+U17+V17</f>
        <v>35.9</v>
      </c>
      <c r="Y17" s="53" t="n">
        <f aca="false">IF(L17&lt;0,L17*-1,0)</f>
        <v>0</v>
      </c>
      <c r="Z17" s="53" t="n">
        <f aca="false">X17+Y17</f>
        <v>35.9</v>
      </c>
      <c r="AA17" s="58" t="n">
        <v>0</v>
      </c>
      <c r="AB17" s="59" t="n">
        <v>35</v>
      </c>
      <c r="AC17" s="59" t="n">
        <v>19</v>
      </c>
      <c r="AD17" s="60" t="n">
        <f aca="false">AD16+1</f>
        <v>8</v>
      </c>
      <c r="AE17" s="94"/>
      <c r="AF17" s="96"/>
      <c r="AG17" s="95"/>
    </row>
    <row r="18" customFormat="false" ht="11.1" hidden="false" customHeight="true" outlineLevel="0" collapsed="false">
      <c r="A18" s="60" t="n">
        <f aca="false">A17+1</f>
        <v>9</v>
      </c>
      <c r="B18" s="75" t="n">
        <v>6888.25</v>
      </c>
      <c r="C18" s="54" t="n">
        <v>242302</v>
      </c>
      <c r="D18" s="59" t="n">
        <f aca="false">C18-C17</f>
        <v>0</v>
      </c>
      <c r="E18" s="54" t="n">
        <f aca="false">C18-152000</f>
        <v>90302</v>
      </c>
      <c r="F18" s="53" t="n">
        <f aca="false">D18/$D$2</f>
        <v>0</v>
      </c>
      <c r="G18" s="53" t="n">
        <v>36</v>
      </c>
      <c r="H18" s="58" t="n">
        <v>0</v>
      </c>
      <c r="I18" s="53" t="n">
        <v>36</v>
      </c>
      <c r="J18" s="83" t="n">
        <f aca="false">IF(L18&gt;0,L18,0)</f>
        <v>0</v>
      </c>
      <c r="K18" s="53" t="n">
        <f aca="false">I18+J18</f>
        <v>36</v>
      </c>
      <c r="L18" s="53" t="n">
        <f aca="false">F18-(I18-X18)</f>
        <v>0</v>
      </c>
      <c r="M18" s="89" t="n">
        <v>4.1</v>
      </c>
      <c r="N18" s="53" t="n">
        <v>0</v>
      </c>
      <c r="O18" s="53" t="n">
        <v>0</v>
      </c>
      <c r="P18" s="6" t="n">
        <f aca="false">M18-(N18+O18)</f>
        <v>4.1</v>
      </c>
      <c r="Q18" s="53" t="n">
        <v>0</v>
      </c>
      <c r="R18" s="53" t="n">
        <v>0</v>
      </c>
      <c r="S18" s="53" t="n">
        <f aca="false">SUM(P18:R18)</f>
        <v>4.1</v>
      </c>
      <c r="T18" s="54"/>
      <c r="U18" s="53" t="n">
        <v>0</v>
      </c>
      <c r="V18" s="53" t="n">
        <v>31.9</v>
      </c>
      <c r="W18" s="54" t="n">
        <f aca="false">W17-V18</f>
        <v>12997.3</v>
      </c>
      <c r="X18" s="6" t="n">
        <f aca="false">N18+O18+S18+U18+V18</f>
        <v>36</v>
      </c>
      <c r="Y18" s="53" t="n">
        <f aca="false">IF(L18&lt;0,L18*-1,0)</f>
        <v>0</v>
      </c>
      <c r="Z18" s="53" t="n">
        <f aca="false">X18+Y18</f>
        <v>36</v>
      </c>
      <c r="AA18" s="58" t="n">
        <v>0</v>
      </c>
      <c r="AB18" s="84" t="n">
        <v>40</v>
      </c>
      <c r="AC18" s="59" t="n">
        <v>17</v>
      </c>
      <c r="AD18" s="60" t="n">
        <f aca="false">AD17+1</f>
        <v>9</v>
      </c>
      <c r="AE18" s="94"/>
      <c r="AF18" s="96"/>
      <c r="AG18" s="95"/>
    </row>
    <row r="19" customFormat="false" ht="11.1" hidden="false" customHeight="true" outlineLevel="0" collapsed="false">
      <c r="A19" s="60" t="n">
        <f aca="false">A18+1</f>
        <v>10</v>
      </c>
      <c r="B19" s="75" t="n">
        <v>6888.26</v>
      </c>
      <c r="C19" s="54" t="n">
        <v>242335</v>
      </c>
      <c r="D19" s="59" t="n">
        <f aca="false">C19-C18</f>
        <v>33</v>
      </c>
      <c r="E19" s="54" t="n">
        <f aca="false">C19-152000</f>
        <v>90335</v>
      </c>
      <c r="F19" s="53" t="n">
        <f aca="false">D19/$D$2</f>
        <v>16.63725737333</v>
      </c>
      <c r="G19" s="53" t="n">
        <v>53.7</v>
      </c>
      <c r="H19" s="58" t="n">
        <v>0</v>
      </c>
      <c r="I19" s="53" t="n">
        <v>49.6</v>
      </c>
      <c r="J19" s="83" t="n">
        <f aca="false">IF(L19&gt;0,L19,0)</f>
        <v>4.13725737332997</v>
      </c>
      <c r="K19" s="53" t="n">
        <f aca="false">I19+J19</f>
        <v>53.73725737333</v>
      </c>
      <c r="L19" s="53" t="n">
        <f aca="false">F19-(I19-X19)</f>
        <v>4.13725737332997</v>
      </c>
      <c r="M19" s="89" t="n">
        <v>5.8</v>
      </c>
      <c r="N19" s="53" t="n">
        <v>0</v>
      </c>
      <c r="O19" s="53" t="n">
        <v>0</v>
      </c>
      <c r="P19" s="6" t="n">
        <f aca="false">M19-(N19+O19)</f>
        <v>5.8</v>
      </c>
      <c r="Q19" s="53" t="n">
        <v>0</v>
      </c>
      <c r="R19" s="53" t="n">
        <v>0</v>
      </c>
      <c r="S19" s="53" t="n">
        <f aca="false">SUM(P19:R19)</f>
        <v>5.8</v>
      </c>
      <c r="T19" s="54"/>
      <c r="U19" s="53" t="n">
        <v>0</v>
      </c>
      <c r="V19" s="53" t="n">
        <v>31.3</v>
      </c>
      <c r="W19" s="54" t="n">
        <f aca="false">W18-V19</f>
        <v>12966</v>
      </c>
      <c r="X19" s="6" t="n">
        <f aca="false">N19+O19+S19+U19+V19</f>
        <v>37.1</v>
      </c>
      <c r="Y19" s="53" t="n">
        <f aca="false">IF(L19&lt;0,L19*-1,0)</f>
        <v>0</v>
      </c>
      <c r="Z19" s="53" t="n">
        <f aca="false">X19+Y19</f>
        <v>37.1</v>
      </c>
      <c r="AA19" s="58" t="n">
        <v>0</v>
      </c>
      <c r="AB19" s="59" t="n">
        <v>30</v>
      </c>
      <c r="AC19" s="59" t="n">
        <v>14</v>
      </c>
      <c r="AD19" s="60" t="n">
        <f aca="false">AD18+1</f>
        <v>10</v>
      </c>
      <c r="AE19" s="94"/>
      <c r="AF19" s="96"/>
      <c r="AG19" s="95"/>
    </row>
    <row r="20" customFormat="false" ht="11.1" hidden="false" customHeight="true" outlineLevel="0" collapsed="false">
      <c r="A20" s="60" t="n">
        <f aca="false">A19+1</f>
        <v>11</v>
      </c>
      <c r="B20" s="75" t="n">
        <v>6888.27</v>
      </c>
      <c r="C20" s="54" t="n">
        <v>242369</v>
      </c>
      <c r="D20" s="59" t="n">
        <f aca="false">C20-C19</f>
        <v>34</v>
      </c>
      <c r="E20" s="54" t="n">
        <f aca="false">C20-152000</f>
        <v>90369</v>
      </c>
      <c r="F20" s="53" t="n">
        <f aca="false">D20/$D$2</f>
        <v>17.1414166876733</v>
      </c>
      <c r="G20" s="53" t="n">
        <v>54.6</v>
      </c>
      <c r="H20" s="58" t="n">
        <v>0</v>
      </c>
      <c r="I20" s="53" t="n">
        <v>31.1</v>
      </c>
      <c r="J20" s="83" t="n">
        <f aca="false">IF(L20&gt;0,L20,0)</f>
        <v>23.5414166876733</v>
      </c>
      <c r="K20" s="53" t="n">
        <f aca="false">I20+J20</f>
        <v>54.6414166876733</v>
      </c>
      <c r="L20" s="53" t="n">
        <f aca="false">F20-(I20-X20)</f>
        <v>23.5414166876733</v>
      </c>
      <c r="M20" s="89" t="n">
        <v>5.4</v>
      </c>
      <c r="N20" s="53" t="n">
        <v>0</v>
      </c>
      <c r="O20" s="53" t="n">
        <v>0</v>
      </c>
      <c r="P20" s="6" t="n">
        <f aca="false">M20-(N20+O20)</f>
        <v>5.4</v>
      </c>
      <c r="Q20" s="53" t="n">
        <v>0</v>
      </c>
      <c r="R20" s="53" t="n">
        <v>0</v>
      </c>
      <c r="S20" s="53" t="n">
        <f aca="false">SUM(P20:R20)</f>
        <v>5.4</v>
      </c>
      <c r="T20" s="54"/>
      <c r="U20" s="53" t="n">
        <v>0</v>
      </c>
      <c r="V20" s="53" t="n">
        <v>32.1</v>
      </c>
      <c r="W20" s="54" t="n">
        <f aca="false">W19-V20</f>
        <v>12933.9</v>
      </c>
      <c r="X20" s="6" t="n">
        <f aca="false">N20+O20+S20+U20+V20</f>
        <v>37.5</v>
      </c>
      <c r="Y20" s="53" t="n">
        <f aca="false">IF(L20&lt;0,L20*-1,0)</f>
        <v>0</v>
      </c>
      <c r="Z20" s="53" t="n">
        <f aca="false">X20+Y20</f>
        <v>37.5</v>
      </c>
      <c r="AA20" s="58" t="n">
        <v>0</v>
      </c>
      <c r="AB20" s="59" t="n">
        <v>33</v>
      </c>
      <c r="AC20" s="59" t="n">
        <v>10</v>
      </c>
      <c r="AD20" s="60" t="n">
        <f aca="false">AD19+1</f>
        <v>11</v>
      </c>
      <c r="AE20" s="94"/>
      <c r="AF20" s="96"/>
      <c r="AG20" s="95"/>
    </row>
    <row r="21" customFormat="false" ht="11.1" hidden="false" customHeight="true" outlineLevel="0" collapsed="false">
      <c r="A21" s="60" t="n">
        <f aca="false">A20+1</f>
        <v>12</v>
      </c>
      <c r="B21" s="75" t="n">
        <v>6888.28</v>
      </c>
      <c r="C21" s="54" t="n">
        <v>242402</v>
      </c>
      <c r="D21" s="59" t="n">
        <f aca="false">C21-C20</f>
        <v>33</v>
      </c>
      <c r="E21" s="54" t="n">
        <f aca="false">C21-152000</f>
        <v>90402</v>
      </c>
      <c r="F21" s="53" t="n">
        <f aca="false">D21/$D$2</f>
        <v>16.63725737333</v>
      </c>
      <c r="G21" s="53" t="n">
        <v>55.2</v>
      </c>
      <c r="H21" s="58" t="n">
        <v>0</v>
      </c>
      <c r="I21" s="53" t="n">
        <v>34.1</v>
      </c>
      <c r="J21" s="83" t="n">
        <f aca="false">IF(L21&gt;0,L21,0)</f>
        <v>21.13725737333</v>
      </c>
      <c r="K21" s="53" t="n">
        <f aca="false">I21+J21</f>
        <v>55.23725737333</v>
      </c>
      <c r="L21" s="53" t="n">
        <f aca="false">F21-(I21-X21)</f>
        <v>21.13725737333</v>
      </c>
      <c r="M21" s="89" t="n">
        <v>5.3</v>
      </c>
      <c r="N21" s="53" t="n">
        <v>0</v>
      </c>
      <c r="O21" s="53" t="n">
        <v>0</v>
      </c>
      <c r="P21" s="6" t="n">
        <f aca="false">M21-(N21+O21)</f>
        <v>5.3</v>
      </c>
      <c r="Q21" s="53" t="n">
        <v>0</v>
      </c>
      <c r="R21" s="53" t="n">
        <v>0</v>
      </c>
      <c r="S21" s="53" t="n">
        <f aca="false">SUM(P21:R21)</f>
        <v>5.3</v>
      </c>
      <c r="T21" s="54"/>
      <c r="U21" s="53" t="n">
        <v>0</v>
      </c>
      <c r="V21" s="53" t="n">
        <v>33.3</v>
      </c>
      <c r="W21" s="54" t="n">
        <f aca="false">W20-V21</f>
        <v>12900.6</v>
      </c>
      <c r="X21" s="6" t="n">
        <f aca="false">N21+O21+S21+U21+V21</f>
        <v>38.6</v>
      </c>
      <c r="Y21" s="53" t="n">
        <f aca="false">IF(L21&lt;0,L21*-1,0)</f>
        <v>0</v>
      </c>
      <c r="Z21" s="53" t="n">
        <f aca="false">X21+Y21</f>
        <v>38.6</v>
      </c>
      <c r="AA21" s="58" t="n">
        <v>0</v>
      </c>
      <c r="AB21" s="59" t="n">
        <v>34</v>
      </c>
      <c r="AC21" s="59" t="n">
        <v>7</v>
      </c>
      <c r="AD21" s="60" t="n">
        <f aca="false">AD20+1</f>
        <v>12</v>
      </c>
      <c r="AE21" s="94"/>
      <c r="AF21" s="96"/>
      <c r="AG21" s="95"/>
    </row>
    <row r="22" customFormat="false" ht="11.1" hidden="false" customHeight="true" outlineLevel="0" collapsed="false">
      <c r="A22" s="60" t="n">
        <v>13</v>
      </c>
      <c r="B22" s="75" t="n">
        <v>6888.3</v>
      </c>
      <c r="C22" s="54" t="n">
        <v>242469</v>
      </c>
      <c r="D22" s="59" t="n">
        <f aca="false">C22-C21</f>
        <v>67</v>
      </c>
      <c r="E22" s="54" t="n">
        <f aca="false">C22-152000</f>
        <v>90469</v>
      </c>
      <c r="F22" s="53" t="n">
        <f aca="false">D22/$D$2</f>
        <v>33.7786740610033</v>
      </c>
      <c r="G22" s="53" t="n">
        <v>72.1</v>
      </c>
      <c r="H22" s="58" t="n">
        <v>0</v>
      </c>
      <c r="I22" s="53" t="n">
        <v>34.1</v>
      </c>
      <c r="J22" s="83" t="n">
        <f aca="false">IF(L22&gt;0,L22,0)</f>
        <v>37.9786740610033</v>
      </c>
      <c r="K22" s="53" t="n">
        <f aca="false">I22+J22</f>
        <v>72.0786740610033</v>
      </c>
      <c r="L22" s="53" t="n">
        <f aca="false">F22-(I22-X22)</f>
        <v>37.9786740610033</v>
      </c>
      <c r="M22" s="89" t="n">
        <v>5.1</v>
      </c>
      <c r="N22" s="53" t="n">
        <v>0</v>
      </c>
      <c r="O22" s="53" t="n">
        <v>0</v>
      </c>
      <c r="P22" s="6" t="n">
        <f aca="false">M22-(N22+O22)</f>
        <v>5.1</v>
      </c>
      <c r="Q22" s="53" t="n">
        <v>0</v>
      </c>
      <c r="R22" s="53" t="n">
        <v>0</v>
      </c>
      <c r="S22" s="53" t="n">
        <f aca="false">SUM(P22:R22)</f>
        <v>5.1</v>
      </c>
      <c r="T22" s="54"/>
      <c r="U22" s="53" t="n">
        <v>0</v>
      </c>
      <c r="V22" s="53" t="n">
        <v>33.2</v>
      </c>
      <c r="W22" s="54" t="n">
        <f aca="false">W21-V22</f>
        <v>12867.4</v>
      </c>
      <c r="X22" s="6" t="n">
        <f aca="false">N22+O22+S22+U22+V22</f>
        <v>38.3</v>
      </c>
      <c r="Y22" s="53" t="n">
        <f aca="false">IF(L22&lt;0,L22*-1,0)</f>
        <v>0</v>
      </c>
      <c r="Z22" s="53" t="n">
        <f aca="false">X22+Y22</f>
        <v>38.3</v>
      </c>
      <c r="AA22" s="58" t="n">
        <v>0.06</v>
      </c>
      <c r="AB22" s="59" t="n">
        <v>33</v>
      </c>
      <c r="AC22" s="59" t="n">
        <v>5</v>
      </c>
      <c r="AD22" s="60" t="n">
        <f aca="false">AD21+1</f>
        <v>13</v>
      </c>
      <c r="AE22" s="94"/>
      <c r="AF22" s="96"/>
      <c r="AG22" s="95"/>
    </row>
    <row r="23" customFormat="false" ht="11.1" hidden="false" customHeight="true" outlineLevel="0" collapsed="false">
      <c r="A23" s="60" t="n">
        <f aca="false">A22+1</f>
        <v>14</v>
      </c>
      <c r="B23" s="75" t="n">
        <v>6888.32</v>
      </c>
      <c r="C23" s="54" t="n">
        <v>242535</v>
      </c>
      <c r="D23" s="59" t="n">
        <f aca="false">C23-C22</f>
        <v>66</v>
      </c>
      <c r="E23" s="54" t="n">
        <f aca="false">C23-152000</f>
        <v>90535</v>
      </c>
      <c r="F23" s="53" t="n">
        <f aca="false">D23/$D$2</f>
        <v>33.2745147466599</v>
      </c>
      <c r="G23" s="53" t="n">
        <v>70.7</v>
      </c>
      <c r="H23" s="58" t="n">
        <v>0</v>
      </c>
      <c r="I23" s="53" t="n">
        <f aca="false">G23+H23</f>
        <v>70.7</v>
      </c>
      <c r="J23" s="83" t="n">
        <f aca="false">IF(L23&gt;0,L23,0)</f>
        <v>1.07451474665994</v>
      </c>
      <c r="K23" s="53" t="n">
        <f aca="false">I23+J23</f>
        <v>71.77451474666</v>
      </c>
      <c r="L23" s="53" t="n">
        <f aca="false">F23-(I23-X23)</f>
        <v>1.07451474665994</v>
      </c>
      <c r="M23" s="89" t="n">
        <v>5.4</v>
      </c>
      <c r="N23" s="53" t="n">
        <v>0</v>
      </c>
      <c r="O23" s="53" t="n">
        <v>0</v>
      </c>
      <c r="P23" s="6" t="n">
        <f aca="false">M23-(N23+O23)</f>
        <v>5.4</v>
      </c>
      <c r="Q23" s="53" t="n">
        <v>0</v>
      </c>
      <c r="R23" s="53" t="n">
        <v>0</v>
      </c>
      <c r="S23" s="53" t="n">
        <f aca="false">SUM(P23:R23)</f>
        <v>5.4</v>
      </c>
      <c r="T23" s="54"/>
      <c r="U23" s="53" t="n">
        <v>0</v>
      </c>
      <c r="V23" s="53" t="n">
        <v>33.1</v>
      </c>
      <c r="W23" s="54" t="n">
        <f aca="false">W22-V23</f>
        <v>12834.3</v>
      </c>
      <c r="X23" s="6" t="n">
        <f aca="false">N23+O23+S23+U23+V23</f>
        <v>38.5</v>
      </c>
      <c r="Y23" s="53" t="n">
        <f aca="false">IF(L23&lt;0,L23*-1,0)</f>
        <v>0</v>
      </c>
      <c r="Z23" s="53" t="n">
        <f aca="false">X23+Y23</f>
        <v>38.5</v>
      </c>
      <c r="AA23" s="58" t="n">
        <v>0</v>
      </c>
      <c r="AB23" s="84" t="n">
        <v>33</v>
      </c>
      <c r="AC23" s="59" t="n">
        <v>9</v>
      </c>
      <c r="AD23" s="60" t="n">
        <f aca="false">AD22+1</f>
        <v>14</v>
      </c>
      <c r="AE23" s="94"/>
      <c r="AF23" s="96"/>
      <c r="AG23" s="95"/>
    </row>
    <row r="24" customFormat="false" ht="11.1" hidden="false" customHeight="true" outlineLevel="0" collapsed="false">
      <c r="A24" s="60" t="n">
        <f aca="false">A23+1</f>
        <v>15</v>
      </c>
      <c r="B24" s="75" t="n">
        <v>6888.33</v>
      </c>
      <c r="C24" s="54" t="n">
        <v>242569</v>
      </c>
      <c r="D24" s="59" t="n">
        <f aca="false">C24-C23</f>
        <v>34</v>
      </c>
      <c r="E24" s="54" t="n">
        <f aca="false">C24-152000</f>
        <v>90569</v>
      </c>
      <c r="F24" s="53" t="n">
        <f aca="false">D24/$D$2</f>
        <v>17.1414166876733</v>
      </c>
      <c r="G24" s="53" t="n">
        <v>53.8</v>
      </c>
      <c r="H24" s="58" t="n">
        <v>0</v>
      </c>
      <c r="I24" s="53" t="n">
        <f aca="false">G24+H24</f>
        <v>53.8</v>
      </c>
      <c r="J24" s="83" t="n">
        <f aca="false">IF(L24&gt;0,L24,0)</f>
        <v>0</v>
      </c>
      <c r="K24" s="53" t="n">
        <f aca="false">I24+J24</f>
        <v>53.8</v>
      </c>
      <c r="L24" s="53" t="n">
        <f aca="false">F24-(I24-X24)</f>
        <v>-0.058583312326693</v>
      </c>
      <c r="M24" s="89" t="n">
        <v>5.1</v>
      </c>
      <c r="N24" s="53" t="n">
        <v>0</v>
      </c>
      <c r="O24" s="53" t="n">
        <v>0</v>
      </c>
      <c r="P24" s="6" t="n">
        <f aca="false">M24-(N24+O24)</f>
        <v>5.1</v>
      </c>
      <c r="Q24" s="53" t="n">
        <v>0</v>
      </c>
      <c r="R24" s="53" t="n">
        <v>0</v>
      </c>
      <c r="S24" s="53" t="n">
        <f aca="false">SUM(P24:R24)</f>
        <v>5.1</v>
      </c>
      <c r="T24" s="54"/>
      <c r="U24" s="53" t="n">
        <v>0</v>
      </c>
      <c r="V24" s="53" t="n">
        <v>31.5</v>
      </c>
      <c r="W24" s="54" t="n">
        <f aca="false">W23-V24</f>
        <v>12802.8</v>
      </c>
      <c r="X24" s="6" t="n">
        <f aca="false">N24+O24+S24+U24+V24</f>
        <v>36.6</v>
      </c>
      <c r="Y24" s="53" t="n">
        <f aca="false">IF(L24&lt;0,L24*-1,0)</f>
        <v>0.058583312326693</v>
      </c>
      <c r="Z24" s="53" t="n">
        <f aca="false">X24+Y24</f>
        <v>36.6585833123267</v>
      </c>
      <c r="AA24" s="58" t="n">
        <v>0.02</v>
      </c>
      <c r="AB24" s="84" t="n">
        <v>32</v>
      </c>
      <c r="AC24" s="59" t="n">
        <v>5</v>
      </c>
      <c r="AD24" s="60" t="n">
        <f aca="false">AD23+1</f>
        <v>15</v>
      </c>
      <c r="AE24" s="94"/>
      <c r="AF24" s="96"/>
      <c r="AG24" s="95"/>
    </row>
    <row r="25" customFormat="false" ht="11.1" hidden="false" customHeight="true" outlineLevel="0" collapsed="false">
      <c r="A25" s="60" t="n">
        <f aca="false">A24+1</f>
        <v>16</v>
      </c>
      <c r="B25" s="75" t="n">
        <v>6888.34</v>
      </c>
      <c r="C25" s="54" t="n">
        <v>242602</v>
      </c>
      <c r="D25" s="59" t="n">
        <f aca="false">C25-C24</f>
        <v>33</v>
      </c>
      <c r="E25" s="54" t="n">
        <f aca="false">C25-152000</f>
        <v>90602</v>
      </c>
      <c r="F25" s="53" t="n">
        <f aca="false">D25/$D$2</f>
        <v>16.63725737333</v>
      </c>
      <c r="G25" s="53" t="n">
        <v>53</v>
      </c>
      <c r="H25" s="58" t="n">
        <v>0</v>
      </c>
      <c r="I25" s="53" t="n">
        <f aca="false">G25+H25</f>
        <v>53</v>
      </c>
      <c r="J25" s="83" t="n">
        <f aca="false">IF(L25&gt;0,L25,0)</f>
        <v>0.0372573733299717</v>
      </c>
      <c r="K25" s="53" t="n">
        <f aca="false">I25+J25</f>
        <v>53.03725737333</v>
      </c>
      <c r="L25" s="53" t="n">
        <f aca="false">F25-(I25-X25)</f>
        <v>0.0372573733299717</v>
      </c>
      <c r="M25" s="89" t="n">
        <v>5.1</v>
      </c>
      <c r="N25" s="53" t="n">
        <v>0</v>
      </c>
      <c r="O25" s="53" t="n">
        <v>0</v>
      </c>
      <c r="P25" s="6" t="n">
        <f aca="false">M25-(N25+O25)</f>
        <v>5.1</v>
      </c>
      <c r="Q25" s="53" t="n">
        <v>0</v>
      </c>
      <c r="R25" s="53" t="n">
        <v>0</v>
      </c>
      <c r="S25" s="53" t="n">
        <f aca="false">SUM(P25:R25)</f>
        <v>5.1</v>
      </c>
      <c r="T25" s="54"/>
      <c r="U25" s="53" t="n">
        <v>0</v>
      </c>
      <c r="V25" s="53" t="n">
        <v>31.3</v>
      </c>
      <c r="W25" s="54" t="n">
        <f aca="false">W24-V25</f>
        <v>12771.5</v>
      </c>
      <c r="X25" s="6" t="n">
        <f aca="false">N25+O25+S25+U25+V25</f>
        <v>36.4</v>
      </c>
      <c r="Y25" s="53" t="n">
        <f aca="false">IF(L25&lt;0,L25*-1,0)</f>
        <v>0</v>
      </c>
      <c r="Z25" s="53" t="n">
        <f aca="false">X25+Y25</f>
        <v>36.4</v>
      </c>
      <c r="AA25" s="58" t="n">
        <v>0</v>
      </c>
      <c r="AB25" s="84" t="n">
        <v>35</v>
      </c>
      <c r="AC25" s="59" t="n">
        <v>16</v>
      </c>
      <c r="AD25" s="60" t="n">
        <f aca="false">AD24+1</f>
        <v>16</v>
      </c>
      <c r="AE25" s="94"/>
      <c r="AF25" s="98"/>
      <c r="AG25" s="95"/>
    </row>
    <row r="26" customFormat="false" ht="11.1" hidden="false" customHeight="true" outlineLevel="0" collapsed="false">
      <c r="A26" s="60" t="n">
        <f aca="false">A25+1</f>
        <v>17</v>
      </c>
      <c r="B26" s="75" t="n">
        <v>6888.35</v>
      </c>
      <c r="C26" s="54" t="n">
        <v>242635</v>
      </c>
      <c r="D26" s="59" t="n">
        <f aca="false">C26-C25</f>
        <v>33</v>
      </c>
      <c r="E26" s="54" t="n">
        <f aca="false">C26-152000</f>
        <v>90635</v>
      </c>
      <c r="F26" s="53" t="n">
        <f aca="false">D26/$D$2</f>
        <v>16.63725737333</v>
      </c>
      <c r="G26" s="53" t="n">
        <v>53</v>
      </c>
      <c r="H26" s="58" t="n">
        <v>0</v>
      </c>
      <c r="I26" s="53" t="n">
        <f aca="false">G26+H26</f>
        <v>53</v>
      </c>
      <c r="J26" s="83" t="n">
        <f aca="false">IF(L26&gt;0,L26,0)</f>
        <v>0</v>
      </c>
      <c r="K26" s="53" t="n">
        <f aca="false">I26+J26</f>
        <v>53</v>
      </c>
      <c r="L26" s="53" t="n">
        <f aca="false">F26-(I26-X26)</f>
        <v>-0.0627426266700297</v>
      </c>
      <c r="M26" s="89" t="n">
        <v>5.1</v>
      </c>
      <c r="N26" s="53" t="n">
        <v>0</v>
      </c>
      <c r="O26" s="53" t="n">
        <v>0</v>
      </c>
      <c r="P26" s="6" t="n">
        <f aca="false">M26-(N26+O26)</f>
        <v>5.1</v>
      </c>
      <c r="Q26" s="53" t="n">
        <v>0</v>
      </c>
      <c r="R26" s="53" t="n">
        <v>0</v>
      </c>
      <c r="S26" s="53" t="n">
        <f aca="false">SUM(P26:R26)</f>
        <v>5.1</v>
      </c>
      <c r="T26" s="54"/>
      <c r="U26" s="53" t="n">
        <v>0</v>
      </c>
      <c r="V26" s="53" t="n">
        <v>31.2</v>
      </c>
      <c r="W26" s="54" t="n">
        <f aca="false">W25-V26</f>
        <v>12740.3</v>
      </c>
      <c r="X26" s="6" t="n">
        <f aca="false">N26+O26+S26+U26+V26</f>
        <v>36.3</v>
      </c>
      <c r="Y26" s="53" t="n">
        <f aca="false">IF(L26&lt;0,L26*-1,0)</f>
        <v>0.0627426266700297</v>
      </c>
      <c r="Z26" s="53" t="n">
        <f aca="false">X26+Y26</f>
        <v>36.36274262667</v>
      </c>
      <c r="AA26" s="58" t="n">
        <v>0</v>
      </c>
      <c r="AB26" s="84" t="n">
        <v>36</v>
      </c>
      <c r="AC26" s="59" t="n">
        <v>4</v>
      </c>
      <c r="AD26" s="60" t="n">
        <f aca="false">AD25+1</f>
        <v>17</v>
      </c>
      <c r="AE26" s="94"/>
      <c r="AF26" s="96"/>
      <c r="AG26" s="95"/>
    </row>
    <row r="27" customFormat="false" ht="11.1" hidden="false" customHeight="true" outlineLevel="0" collapsed="false">
      <c r="A27" s="60" t="n">
        <f aca="false">A26+1</f>
        <v>18</v>
      </c>
      <c r="B27" s="75" t="n">
        <v>6888.37</v>
      </c>
      <c r="C27" s="54" t="n">
        <v>242702</v>
      </c>
      <c r="D27" s="59" t="n">
        <f aca="false">C27-C26</f>
        <v>67</v>
      </c>
      <c r="E27" s="54" t="n">
        <f aca="false">C27-152000</f>
        <v>90702</v>
      </c>
      <c r="F27" s="53" t="n">
        <f aca="false">D27/$D$2</f>
        <v>33.7786740610033</v>
      </c>
      <c r="G27" s="53" t="n">
        <v>70.1</v>
      </c>
      <c r="H27" s="58" t="n">
        <v>0</v>
      </c>
      <c r="I27" s="53" t="n">
        <f aca="false">G27+H27</f>
        <v>70.1</v>
      </c>
      <c r="J27" s="83" t="n">
        <f aca="false">IF(L27&gt;0,L27,0)</f>
        <v>0</v>
      </c>
      <c r="K27" s="53" t="n">
        <f aca="false">I27+J27</f>
        <v>70.1</v>
      </c>
      <c r="L27" s="53" t="n">
        <f aca="false">F27-(I27-X27)</f>
        <v>-0.0213259389967178</v>
      </c>
      <c r="M27" s="89" t="n">
        <v>5.1</v>
      </c>
      <c r="N27" s="53" t="n">
        <v>0</v>
      </c>
      <c r="O27" s="53" t="n">
        <v>0</v>
      </c>
      <c r="P27" s="6" t="n">
        <f aca="false">M27-(N27+O27)</f>
        <v>5.1</v>
      </c>
      <c r="Q27" s="53" t="n">
        <v>0</v>
      </c>
      <c r="R27" s="53" t="n">
        <v>0</v>
      </c>
      <c r="S27" s="53" t="n">
        <f aca="false">SUM(P27:R27)</f>
        <v>5.1</v>
      </c>
      <c r="T27" s="54"/>
      <c r="U27" s="53" t="n">
        <v>0</v>
      </c>
      <c r="V27" s="53" t="n">
        <v>31.2</v>
      </c>
      <c r="W27" s="54" t="n">
        <f aca="false">W26-V27</f>
        <v>12709.1</v>
      </c>
      <c r="X27" s="6" t="n">
        <f aca="false">N27+O27+S27+U27+V27</f>
        <v>36.3</v>
      </c>
      <c r="Y27" s="53" t="n">
        <f aca="false">IF(L27&lt;0,L27*-1,0)</f>
        <v>0.0213259389967178</v>
      </c>
      <c r="Z27" s="53" t="n">
        <f aca="false">X27+Y27</f>
        <v>36.3213259389967</v>
      </c>
      <c r="AA27" s="58" t="n">
        <v>0</v>
      </c>
      <c r="AB27" s="84" t="n">
        <v>36</v>
      </c>
      <c r="AC27" s="59" t="n">
        <v>7</v>
      </c>
      <c r="AD27" s="60" t="n">
        <f aca="false">AD26+1</f>
        <v>18</v>
      </c>
      <c r="AE27" s="94"/>
      <c r="AF27" s="96"/>
      <c r="AG27" s="95"/>
    </row>
    <row r="28" customFormat="false" ht="11.1" hidden="false" customHeight="true" outlineLevel="0" collapsed="false">
      <c r="A28" s="60" t="n">
        <f aca="false">A27+1</f>
        <v>19</v>
      </c>
      <c r="B28" s="75" t="n">
        <v>6888.39</v>
      </c>
      <c r="C28" s="54" t="n">
        <v>242769</v>
      </c>
      <c r="D28" s="59" t="n">
        <f aca="false">C28-C27</f>
        <v>67</v>
      </c>
      <c r="E28" s="54" t="n">
        <f aca="false">C28-152000</f>
        <v>90769</v>
      </c>
      <c r="F28" s="53" t="n">
        <f aca="false">D28/$D$2</f>
        <v>33.7786740610033</v>
      </c>
      <c r="G28" s="53" t="n">
        <v>70.2</v>
      </c>
      <c r="H28" s="58" t="n">
        <v>0</v>
      </c>
      <c r="I28" s="53" t="n">
        <f aca="false">G28+H28</f>
        <v>70.2</v>
      </c>
      <c r="J28" s="83" t="n">
        <f aca="false">IF(L28&gt;0,L28,0)</f>
        <v>0</v>
      </c>
      <c r="K28" s="53" t="n">
        <f aca="false">I28+J28</f>
        <v>70.2</v>
      </c>
      <c r="L28" s="53" t="n">
        <f aca="false">F28-(I28-X28)</f>
        <v>-0.0213259389967249</v>
      </c>
      <c r="M28" s="89" t="n">
        <v>5.1</v>
      </c>
      <c r="N28" s="53" t="n">
        <v>0</v>
      </c>
      <c r="O28" s="53" t="n">
        <v>0</v>
      </c>
      <c r="P28" s="6" t="n">
        <f aca="false">M28-(N28+O28)</f>
        <v>5.1</v>
      </c>
      <c r="Q28" s="53" t="n">
        <v>0</v>
      </c>
      <c r="R28" s="53" t="n">
        <v>0</v>
      </c>
      <c r="S28" s="53" t="n">
        <f aca="false">SUM(P28:R28)</f>
        <v>5.1</v>
      </c>
      <c r="T28" s="54"/>
      <c r="U28" s="53" t="n">
        <v>0</v>
      </c>
      <c r="V28" s="53" t="n">
        <v>31.3</v>
      </c>
      <c r="W28" s="54" t="n">
        <f aca="false">W27-V28</f>
        <v>12677.8</v>
      </c>
      <c r="X28" s="6" t="n">
        <f aca="false">N28+O28+S28+U28+V28</f>
        <v>36.4</v>
      </c>
      <c r="Y28" s="53" t="n">
        <f aca="false">IF(L28&lt;0,L28*-1,0)</f>
        <v>0.0213259389967249</v>
      </c>
      <c r="Z28" s="53" t="n">
        <f aca="false">X28+Y28</f>
        <v>36.4213259389967</v>
      </c>
      <c r="AA28" s="58" t="n">
        <v>0</v>
      </c>
      <c r="AB28" s="84" t="n">
        <v>33</v>
      </c>
      <c r="AC28" s="59" t="n">
        <v>9</v>
      </c>
      <c r="AD28" s="60" t="n">
        <f aca="false">AD27+1</f>
        <v>19</v>
      </c>
      <c r="AE28" s="94"/>
      <c r="AF28" s="96"/>
      <c r="AG28" s="95"/>
    </row>
    <row r="29" customFormat="false" ht="11.1" hidden="false" customHeight="true" outlineLevel="0" collapsed="false">
      <c r="A29" s="60" t="n">
        <f aca="false">A28+1</f>
        <v>20</v>
      </c>
      <c r="B29" s="75" t="n">
        <v>6888.41</v>
      </c>
      <c r="C29" s="54" t="n">
        <v>242835</v>
      </c>
      <c r="D29" s="59" t="n">
        <f aca="false">C29-C28</f>
        <v>66</v>
      </c>
      <c r="E29" s="54" t="n">
        <f aca="false">C29-152000</f>
        <v>90835</v>
      </c>
      <c r="F29" s="53" t="n">
        <f aca="false">D29/$D$2</f>
        <v>33.2745147466599</v>
      </c>
      <c r="G29" s="53" t="n">
        <v>69.7</v>
      </c>
      <c r="H29" s="58" t="n">
        <v>0</v>
      </c>
      <c r="I29" s="53" t="n">
        <f aca="false">G29+H29</f>
        <v>69.7</v>
      </c>
      <c r="J29" s="83" t="n">
        <f aca="false">IF(L29&gt;0,L29,0)</f>
        <v>0.0745147466599434</v>
      </c>
      <c r="K29" s="53" t="n">
        <f aca="false">I29+J29</f>
        <v>69.77451474666</v>
      </c>
      <c r="L29" s="53" t="n">
        <f aca="false">F29-(I29-X29)</f>
        <v>0.0745147466599434</v>
      </c>
      <c r="M29" s="89" t="n">
        <v>5.1</v>
      </c>
      <c r="N29" s="53" t="n">
        <v>0</v>
      </c>
      <c r="O29" s="53" t="n">
        <v>0</v>
      </c>
      <c r="P29" s="6" t="n">
        <f aca="false">M29-(N29+O29)</f>
        <v>5.1</v>
      </c>
      <c r="Q29" s="53" t="n">
        <v>0</v>
      </c>
      <c r="R29" s="53" t="n">
        <v>0</v>
      </c>
      <c r="S29" s="53" t="n">
        <f aca="false">SUM(P29:R29)</f>
        <v>5.1</v>
      </c>
      <c r="T29" s="54"/>
      <c r="U29" s="53" t="n">
        <v>0</v>
      </c>
      <c r="V29" s="53" t="n">
        <v>31.4</v>
      </c>
      <c r="W29" s="54" t="n">
        <f aca="false">W28-V29</f>
        <v>12646.4</v>
      </c>
      <c r="X29" s="6" t="n">
        <f aca="false">N29+O29+S29+U29+V29</f>
        <v>36.5</v>
      </c>
      <c r="Y29" s="53" t="n">
        <f aca="false">IF(L29&lt;0,L29*-1,0)</f>
        <v>0</v>
      </c>
      <c r="Z29" s="53" t="n">
        <f aca="false">X29+Y29</f>
        <v>36.5</v>
      </c>
      <c r="AA29" s="58" t="n">
        <v>0.02</v>
      </c>
      <c r="AB29" s="84" t="n">
        <v>31</v>
      </c>
      <c r="AC29" s="59" t="n">
        <v>8</v>
      </c>
      <c r="AD29" s="60" t="n">
        <f aca="false">AD28+1</f>
        <v>20</v>
      </c>
      <c r="AE29" s="94"/>
      <c r="AF29" s="96"/>
      <c r="AG29" s="95"/>
    </row>
    <row r="30" customFormat="false" ht="11.1" hidden="false" customHeight="true" outlineLevel="0" collapsed="false">
      <c r="A30" s="60" t="n">
        <f aca="false">A29+1</f>
        <v>21</v>
      </c>
      <c r="B30" s="75" t="n">
        <v>6888.41</v>
      </c>
      <c r="C30" s="54" t="n">
        <v>242835</v>
      </c>
      <c r="D30" s="59" t="n">
        <f aca="false">C30-C29</f>
        <v>0</v>
      </c>
      <c r="E30" s="54" t="n">
        <f aca="false">C30-152000</f>
        <v>90835</v>
      </c>
      <c r="F30" s="53" t="n">
        <f aca="false">D30/$D$2</f>
        <v>0</v>
      </c>
      <c r="G30" s="53" t="n">
        <v>36.4</v>
      </c>
      <c r="H30" s="58" t="n">
        <v>0</v>
      </c>
      <c r="I30" s="53" t="n">
        <f aca="false">G30+H30</f>
        <v>36.4</v>
      </c>
      <c r="J30" s="83" t="n">
        <f aca="false">IF(L30&gt;0,L30,0)</f>
        <v>0</v>
      </c>
      <c r="K30" s="53" t="n">
        <f aca="false">I30+J30</f>
        <v>36.4</v>
      </c>
      <c r="L30" s="53" t="n">
        <f aca="false">F30-(I30-X30)</f>
        <v>-0.100000000000001</v>
      </c>
      <c r="M30" s="89" t="n">
        <v>5.1</v>
      </c>
      <c r="N30" s="53" t="n">
        <v>0</v>
      </c>
      <c r="O30" s="53" t="n">
        <v>0</v>
      </c>
      <c r="P30" s="6" t="n">
        <f aca="false">M30-(N30+O30)</f>
        <v>5.1</v>
      </c>
      <c r="Q30" s="53" t="n">
        <v>0</v>
      </c>
      <c r="R30" s="53" t="n">
        <v>0</v>
      </c>
      <c r="S30" s="53" t="n">
        <f aca="false">SUM(P30:R30)</f>
        <v>5.1</v>
      </c>
      <c r="T30" s="54"/>
      <c r="U30" s="53" t="n">
        <v>0</v>
      </c>
      <c r="V30" s="53" t="n">
        <v>31.2</v>
      </c>
      <c r="W30" s="54" t="n">
        <f aca="false">W29-V30</f>
        <v>12615.2</v>
      </c>
      <c r="X30" s="6" t="n">
        <f aca="false">N30+O30+S30+U30+V30</f>
        <v>36.3</v>
      </c>
      <c r="Y30" s="53" t="n">
        <f aca="false">IF(L30&lt;0,L30*-1,0)</f>
        <v>0.100000000000001</v>
      </c>
      <c r="Z30" s="53" t="n">
        <f aca="false">X30+Y30</f>
        <v>36.4</v>
      </c>
      <c r="AA30" s="58" t="n">
        <v>0</v>
      </c>
      <c r="AB30" s="59" t="n">
        <v>26</v>
      </c>
      <c r="AC30" s="59" t="n">
        <v>11</v>
      </c>
      <c r="AD30" s="60" t="n">
        <f aca="false">AD29+1</f>
        <v>21</v>
      </c>
      <c r="AE30" s="94"/>
      <c r="AF30" s="96"/>
      <c r="AG30" s="95"/>
    </row>
    <row r="31" customFormat="false" ht="11.1" hidden="false" customHeight="true" outlineLevel="0" collapsed="false">
      <c r="A31" s="60" t="n">
        <f aca="false">A30+1</f>
        <v>22</v>
      </c>
      <c r="B31" s="75" t="n">
        <v>6888.41</v>
      </c>
      <c r="C31" s="54" t="n">
        <v>242835</v>
      </c>
      <c r="D31" s="59" t="n">
        <f aca="false">C31-C30</f>
        <v>0</v>
      </c>
      <c r="E31" s="54" t="n">
        <f aca="false">C31-152000</f>
        <v>90835</v>
      </c>
      <c r="F31" s="53" t="n">
        <f aca="false">D31/$D$2</f>
        <v>0</v>
      </c>
      <c r="G31" s="53" t="n">
        <v>36.3</v>
      </c>
      <c r="H31" s="58" t="n">
        <v>0</v>
      </c>
      <c r="I31" s="53" t="n">
        <f aca="false">G31+H31</f>
        <v>36.3</v>
      </c>
      <c r="J31" s="83" t="n">
        <f aca="false">IF(L31&gt;0,L31,0)</f>
        <v>0</v>
      </c>
      <c r="K31" s="53" t="n">
        <f aca="false">I31+J31</f>
        <v>36.3</v>
      </c>
      <c r="L31" s="53" t="n">
        <f aca="false">F31-(I31-X31)</f>
        <v>0</v>
      </c>
      <c r="M31" s="89" t="n">
        <v>5.1</v>
      </c>
      <c r="N31" s="53" t="n">
        <v>0</v>
      </c>
      <c r="O31" s="53" t="n">
        <v>0</v>
      </c>
      <c r="P31" s="6" t="n">
        <f aca="false">M31-(N31+O31)</f>
        <v>5.1</v>
      </c>
      <c r="Q31" s="53" t="n">
        <v>0</v>
      </c>
      <c r="R31" s="53" t="n">
        <v>0</v>
      </c>
      <c r="S31" s="53" t="n">
        <f aca="false">SUM(P31:R31)</f>
        <v>5.1</v>
      </c>
      <c r="T31" s="54"/>
      <c r="U31" s="53" t="n">
        <v>0</v>
      </c>
      <c r="V31" s="53" t="n">
        <v>31.2</v>
      </c>
      <c r="W31" s="54" t="n">
        <f aca="false">W30-V31</f>
        <v>12584</v>
      </c>
      <c r="X31" s="6" t="n">
        <f aca="false">N31+O31+S31+U31+V31</f>
        <v>36.3</v>
      </c>
      <c r="Y31" s="53" t="n">
        <f aca="false">IF(L31&lt;0,L31*-1,0)</f>
        <v>0</v>
      </c>
      <c r="Z31" s="53" t="n">
        <f aca="false">X31+Y31</f>
        <v>36.3</v>
      </c>
      <c r="AA31" s="58" t="n">
        <v>0</v>
      </c>
      <c r="AB31" s="59" t="n">
        <v>28</v>
      </c>
      <c r="AC31" s="59" t="n">
        <v>-7</v>
      </c>
      <c r="AD31" s="60" t="n">
        <f aca="false">AD30+1</f>
        <v>22</v>
      </c>
      <c r="AE31" s="94"/>
      <c r="AF31" s="96"/>
      <c r="AG31" s="95"/>
    </row>
    <row r="32" customFormat="false" ht="11.1" hidden="false" customHeight="true" outlineLevel="0" collapsed="false">
      <c r="A32" s="60" t="n">
        <f aca="false">A31+1</f>
        <v>23</v>
      </c>
      <c r="B32" s="75" t="n">
        <v>6888.42</v>
      </c>
      <c r="C32" s="54" t="n">
        <v>242869</v>
      </c>
      <c r="D32" s="59" t="n">
        <f aca="false">C32-C31</f>
        <v>34</v>
      </c>
      <c r="E32" s="54" t="n">
        <f aca="false">C32-152000</f>
        <v>90869</v>
      </c>
      <c r="F32" s="53" t="n">
        <f aca="false">D32/$D$2</f>
        <v>17.1414166876733</v>
      </c>
      <c r="G32" s="53" t="n">
        <v>53.5</v>
      </c>
      <c r="H32" s="58" t="n">
        <v>0</v>
      </c>
      <c r="I32" s="53" t="n">
        <f aca="false">G32+H32</f>
        <v>53.5</v>
      </c>
      <c r="J32" s="83" t="n">
        <f aca="false">IF(L32&gt;0,L32,0)</f>
        <v>0</v>
      </c>
      <c r="K32" s="53" t="n">
        <f aca="false">I32+J32</f>
        <v>53.5</v>
      </c>
      <c r="L32" s="53" t="n">
        <f aca="false">F32-(I32-X32)</f>
        <v>-0.0585833123267001</v>
      </c>
      <c r="M32" s="89" t="n">
        <v>5.1</v>
      </c>
      <c r="N32" s="53" t="n">
        <v>0</v>
      </c>
      <c r="O32" s="53" t="n">
        <v>0</v>
      </c>
      <c r="P32" s="6" t="n">
        <f aca="false">M32-(N32+O32)</f>
        <v>5.1</v>
      </c>
      <c r="Q32" s="53" t="n">
        <v>0</v>
      </c>
      <c r="R32" s="53" t="n">
        <v>0</v>
      </c>
      <c r="S32" s="53" t="n">
        <f aca="false">SUM(P32:R32)</f>
        <v>5.1</v>
      </c>
      <c r="T32" s="54"/>
      <c r="U32" s="53" t="n">
        <v>0</v>
      </c>
      <c r="V32" s="53" t="n">
        <v>31.2</v>
      </c>
      <c r="W32" s="54" t="n">
        <f aca="false">W31-V32</f>
        <v>12552.8</v>
      </c>
      <c r="X32" s="6" t="n">
        <f aca="false">N32+O32+S32+U32+V32</f>
        <v>36.3</v>
      </c>
      <c r="Y32" s="53" t="n">
        <f aca="false">IF(L32&lt;0,L32*-1,0)</f>
        <v>0.0585833123267001</v>
      </c>
      <c r="Z32" s="53" t="n">
        <f aca="false">X32+Y32</f>
        <v>36.3585833123267</v>
      </c>
      <c r="AA32" s="58" t="n">
        <v>0</v>
      </c>
      <c r="AB32" s="59" t="n">
        <v>25</v>
      </c>
      <c r="AC32" s="84" t="n">
        <v>-5</v>
      </c>
      <c r="AD32" s="60" t="n">
        <f aca="false">AD31+1</f>
        <v>23</v>
      </c>
      <c r="AE32" s="94"/>
      <c r="AF32" s="96"/>
      <c r="AG32" s="95"/>
    </row>
    <row r="33" customFormat="false" ht="11.1" hidden="false" customHeight="true" outlineLevel="0" collapsed="false">
      <c r="A33" s="60" t="n">
        <f aca="false">A32+1</f>
        <v>24</v>
      </c>
      <c r="B33" s="75" t="n">
        <v>6888.43</v>
      </c>
      <c r="C33" s="54" t="n">
        <v>242902</v>
      </c>
      <c r="D33" s="59" t="n">
        <f aca="false">C33-C32</f>
        <v>33</v>
      </c>
      <c r="E33" s="54" t="n">
        <f aca="false">C33-152000</f>
        <v>90902</v>
      </c>
      <c r="F33" s="53" t="n">
        <f aca="false">D33/$D$2</f>
        <v>16.63725737333</v>
      </c>
      <c r="G33" s="53" t="n">
        <v>53</v>
      </c>
      <c r="H33" s="58" t="n">
        <v>0</v>
      </c>
      <c r="I33" s="53" t="n">
        <f aca="false">G33+H33</f>
        <v>53</v>
      </c>
      <c r="J33" s="83" t="n">
        <f aca="false">IF(L33&gt;0,L33,0)</f>
        <v>0</v>
      </c>
      <c r="K33" s="53" t="n">
        <f aca="false">I33+J33</f>
        <v>53</v>
      </c>
      <c r="L33" s="53" t="n">
        <f aca="false">F33-(I33-X33)</f>
        <v>-0.0627426266700297</v>
      </c>
      <c r="M33" s="89" t="n">
        <v>5.1</v>
      </c>
      <c r="N33" s="53" t="n">
        <v>0</v>
      </c>
      <c r="O33" s="53" t="n">
        <v>0</v>
      </c>
      <c r="P33" s="6" t="n">
        <f aca="false">M33-(N33+O33)</f>
        <v>5.1</v>
      </c>
      <c r="Q33" s="53" t="n">
        <v>0</v>
      </c>
      <c r="R33" s="53" t="n">
        <v>0</v>
      </c>
      <c r="S33" s="53" t="n">
        <f aca="false">SUM(P33:R33)</f>
        <v>5.1</v>
      </c>
      <c r="T33" s="54"/>
      <c r="U33" s="53" t="n">
        <v>0</v>
      </c>
      <c r="V33" s="53" t="n">
        <v>31.2</v>
      </c>
      <c r="W33" s="54" t="n">
        <f aca="false">W32-V33</f>
        <v>12521.6</v>
      </c>
      <c r="X33" s="6" t="n">
        <f aca="false">N33+O33+S33+U33+V33</f>
        <v>36.3</v>
      </c>
      <c r="Y33" s="53" t="n">
        <f aca="false">IF(L33&lt;0,L33*-1,0)</f>
        <v>0.0627426266700297</v>
      </c>
      <c r="Z33" s="53" t="n">
        <f aca="false">X33+Y33</f>
        <v>36.36274262667</v>
      </c>
      <c r="AA33" s="58" t="n">
        <v>0</v>
      </c>
      <c r="AB33" s="59" t="n">
        <v>35</v>
      </c>
      <c r="AC33" s="84" t="n">
        <v>-6</v>
      </c>
      <c r="AD33" s="60" t="n">
        <f aca="false">AD32+1</f>
        <v>24</v>
      </c>
      <c r="AE33" s="94"/>
      <c r="AF33" s="96"/>
      <c r="AG33" s="95"/>
    </row>
    <row r="34" customFormat="false" ht="11.1" hidden="false" customHeight="true" outlineLevel="0" collapsed="false">
      <c r="A34" s="60" t="n">
        <f aca="false">A33+1</f>
        <v>25</v>
      </c>
      <c r="B34" s="75" t="n">
        <v>6888.44</v>
      </c>
      <c r="C34" s="54" t="n">
        <v>242935</v>
      </c>
      <c r="D34" s="59" t="n">
        <f aca="false">C34-C33</f>
        <v>33</v>
      </c>
      <c r="E34" s="54" t="n">
        <f aca="false">C34-152000</f>
        <v>90935</v>
      </c>
      <c r="F34" s="53" t="n">
        <f aca="false">D34/$D$2</f>
        <v>16.63725737333</v>
      </c>
      <c r="G34" s="53" t="n">
        <v>52.5</v>
      </c>
      <c r="H34" s="58" t="n">
        <v>0</v>
      </c>
      <c r="I34" s="53" t="n">
        <f aca="false">G34+H34</f>
        <v>52.5</v>
      </c>
      <c r="J34" s="83" t="n">
        <f aca="false">IF(L34&gt;0,L34,0)</f>
        <v>0</v>
      </c>
      <c r="K34" s="53" t="n">
        <f aca="false">I34+J34</f>
        <v>52.5</v>
      </c>
      <c r="L34" s="53" t="n">
        <f aca="false">F34-(I34-X34)</f>
        <v>-0.162742626670024</v>
      </c>
      <c r="M34" s="89" t="n">
        <v>4.5</v>
      </c>
      <c r="N34" s="53" t="n">
        <v>0</v>
      </c>
      <c r="O34" s="53" t="n">
        <v>0</v>
      </c>
      <c r="P34" s="6" t="n">
        <f aca="false">M34-(N34+O34)</f>
        <v>4.5</v>
      </c>
      <c r="Q34" s="53" t="n">
        <v>0</v>
      </c>
      <c r="R34" s="53" t="n">
        <v>0</v>
      </c>
      <c r="S34" s="53" t="n">
        <f aca="false">SUM(P34:R34)</f>
        <v>4.5</v>
      </c>
      <c r="T34" s="54"/>
      <c r="U34" s="53" t="n">
        <v>0</v>
      </c>
      <c r="V34" s="53" t="n">
        <v>31.2</v>
      </c>
      <c r="W34" s="54" t="n">
        <f aca="false">W33-V34</f>
        <v>12490.4</v>
      </c>
      <c r="X34" s="6" t="n">
        <f aca="false">N34+O34+S34+U34+V34</f>
        <v>35.7</v>
      </c>
      <c r="Y34" s="53" t="n">
        <f aca="false">IF(L34&lt;0,L34*-1,0)</f>
        <v>0.162742626670024</v>
      </c>
      <c r="Z34" s="53" t="n">
        <f aca="false">X34+Y34</f>
        <v>35.86274262667</v>
      </c>
      <c r="AA34" s="58" t="n">
        <v>0</v>
      </c>
      <c r="AB34" s="59" t="n">
        <v>36</v>
      </c>
      <c r="AC34" s="84" t="n">
        <v>1</v>
      </c>
      <c r="AD34" s="60" t="n">
        <f aca="false">AD33+1</f>
        <v>25</v>
      </c>
      <c r="AE34" s="94"/>
      <c r="AF34" s="96"/>
      <c r="AG34" s="95"/>
    </row>
    <row r="35" customFormat="false" ht="11.1" hidden="false" customHeight="true" outlineLevel="0" collapsed="false">
      <c r="A35" s="60" t="n">
        <f aca="false">A34+1</f>
        <v>26</v>
      </c>
      <c r="B35" s="75" t="n">
        <v>6888.45</v>
      </c>
      <c r="C35" s="54" t="n">
        <v>242969</v>
      </c>
      <c r="D35" s="59" t="n">
        <f aca="false">C35-C34</f>
        <v>34</v>
      </c>
      <c r="E35" s="54" t="n">
        <f aca="false">C35-152000</f>
        <v>90969</v>
      </c>
      <c r="F35" s="53" t="n">
        <f aca="false">D35/$D$2</f>
        <v>17.1414166876733</v>
      </c>
      <c r="G35" s="53" t="n">
        <v>52.6</v>
      </c>
      <c r="H35" s="58" t="n">
        <v>0</v>
      </c>
      <c r="I35" s="53" t="n">
        <f aca="false">G35+H35</f>
        <v>52.6</v>
      </c>
      <c r="J35" s="83" t="n">
        <f aca="false">IF(L35&gt;0,L35,0)</f>
        <v>0.0414166876733013</v>
      </c>
      <c r="K35" s="53" t="n">
        <f aca="false">I35+J35</f>
        <v>52.6414166876733</v>
      </c>
      <c r="L35" s="53" t="n">
        <f aca="false">F35-(I35-X35)</f>
        <v>0.0414166876733013</v>
      </c>
      <c r="M35" s="89" t="n">
        <v>4.3</v>
      </c>
      <c r="N35" s="53" t="n">
        <v>0</v>
      </c>
      <c r="O35" s="53" t="n">
        <v>0</v>
      </c>
      <c r="P35" s="6" t="n">
        <f aca="false">M35-(N35+O35)</f>
        <v>4.3</v>
      </c>
      <c r="Q35" s="53" t="n">
        <v>0</v>
      </c>
      <c r="R35" s="53" t="n">
        <v>0</v>
      </c>
      <c r="S35" s="53" t="n">
        <f aca="false">SUM(P35:R35)</f>
        <v>4.3</v>
      </c>
      <c r="T35" s="54"/>
      <c r="U35" s="53" t="n">
        <v>0</v>
      </c>
      <c r="V35" s="53" t="n">
        <v>31.2</v>
      </c>
      <c r="W35" s="54" t="n">
        <f aca="false">W34-V35</f>
        <v>12459.2</v>
      </c>
      <c r="X35" s="6" t="n">
        <f aca="false">N35+O35+S35+U35+V35</f>
        <v>35.5</v>
      </c>
      <c r="Y35" s="53" t="n">
        <f aca="false">IF(L35&lt;0,L35*-1,0)</f>
        <v>0</v>
      </c>
      <c r="Z35" s="53" t="n">
        <f aca="false">X35+Y35</f>
        <v>35.5</v>
      </c>
      <c r="AA35" s="58" t="n">
        <v>0</v>
      </c>
      <c r="AB35" s="59" t="n">
        <v>37</v>
      </c>
      <c r="AC35" s="59" t="n">
        <v>2</v>
      </c>
      <c r="AD35" s="60" t="n">
        <f aca="false">AD34+1</f>
        <v>26</v>
      </c>
      <c r="AE35" s="94"/>
      <c r="AF35" s="96"/>
      <c r="AG35" s="95"/>
    </row>
    <row r="36" customFormat="false" ht="11.1" hidden="false" customHeight="true" outlineLevel="0" collapsed="false">
      <c r="A36" s="60" t="n">
        <f aca="false">A35+1</f>
        <v>27</v>
      </c>
      <c r="B36" s="75" t="n">
        <v>6888.46</v>
      </c>
      <c r="C36" s="54" t="n">
        <v>243002</v>
      </c>
      <c r="D36" s="59" t="n">
        <f aca="false">C36-C35</f>
        <v>33</v>
      </c>
      <c r="E36" s="54" t="n">
        <f aca="false">C36-152000</f>
        <v>91002</v>
      </c>
      <c r="F36" s="53" t="n">
        <f aca="false">D36/$D$2</f>
        <v>16.63725737333</v>
      </c>
      <c r="G36" s="53" t="n">
        <v>52.1</v>
      </c>
      <c r="H36" s="58" t="n">
        <v>0</v>
      </c>
      <c r="I36" s="53" t="n">
        <f aca="false">G36+H36</f>
        <v>52.1</v>
      </c>
      <c r="J36" s="83" t="n">
        <f aca="false">IF(L36&gt;0,L36,0)</f>
        <v>0.0372573733299717</v>
      </c>
      <c r="K36" s="53" t="n">
        <f aca="false">I36+J36</f>
        <v>52.13725737333</v>
      </c>
      <c r="L36" s="53" t="n">
        <f aca="false">F36-(I36-X36)</f>
        <v>0.0372573733299717</v>
      </c>
      <c r="M36" s="89" t="n">
        <v>4.3</v>
      </c>
      <c r="N36" s="53" t="n">
        <v>0</v>
      </c>
      <c r="O36" s="53" t="n">
        <v>0</v>
      </c>
      <c r="P36" s="6" t="n">
        <f aca="false">M36-(N36+O36)</f>
        <v>4.3</v>
      </c>
      <c r="Q36" s="53" t="n">
        <v>0</v>
      </c>
      <c r="R36" s="53" t="n">
        <v>0</v>
      </c>
      <c r="S36" s="53" t="n">
        <f aca="false">SUM(P36:R36)</f>
        <v>4.3</v>
      </c>
      <c r="T36" s="54"/>
      <c r="U36" s="53" t="n">
        <v>0</v>
      </c>
      <c r="V36" s="53" t="n">
        <v>31.2</v>
      </c>
      <c r="W36" s="54" t="n">
        <f aca="false">W35-V36</f>
        <v>12428</v>
      </c>
      <c r="X36" s="6" t="n">
        <f aca="false">N36+O36+S36+U36+V36</f>
        <v>35.5</v>
      </c>
      <c r="Y36" s="53" t="n">
        <f aca="false">IF(L36&lt;0,L36*-1,0)</f>
        <v>0</v>
      </c>
      <c r="Z36" s="53" t="n">
        <f aca="false">X36+Y36</f>
        <v>35.5</v>
      </c>
      <c r="AA36" s="58" t="n">
        <v>0</v>
      </c>
      <c r="AB36" s="59" t="n">
        <v>39</v>
      </c>
      <c r="AC36" s="59" t="n">
        <v>4</v>
      </c>
      <c r="AD36" s="60" t="n">
        <f aca="false">AD35+1</f>
        <v>27</v>
      </c>
      <c r="AE36" s="94"/>
      <c r="AF36" s="96"/>
      <c r="AG36" s="95"/>
    </row>
    <row r="37" customFormat="false" ht="11.1" hidden="false" customHeight="true" outlineLevel="0" collapsed="false">
      <c r="A37" s="60" t="n">
        <f aca="false">A36+1</f>
        <v>28</v>
      </c>
      <c r="B37" s="75" t="n">
        <v>6888.47</v>
      </c>
      <c r="C37" s="54" t="n">
        <v>243035</v>
      </c>
      <c r="D37" s="59" t="n">
        <f aca="false">C37-C36</f>
        <v>33</v>
      </c>
      <c r="E37" s="54" t="n">
        <f aca="false">C37-152000</f>
        <v>91035</v>
      </c>
      <c r="F37" s="53" t="n">
        <f aca="false">D37/$D$2</f>
        <v>16.63725737333</v>
      </c>
      <c r="G37" s="53" t="n">
        <v>55.8</v>
      </c>
      <c r="H37" s="58" t="n">
        <v>0</v>
      </c>
      <c r="I37" s="53" t="n">
        <f aca="false">G37+H37</f>
        <v>55.8</v>
      </c>
      <c r="J37" s="83" t="n">
        <f aca="false">IF(L37&gt;0,L37,0)</f>
        <v>0</v>
      </c>
      <c r="K37" s="53" t="n">
        <f aca="false">I37+J37</f>
        <v>55.8</v>
      </c>
      <c r="L37" s="53" t="n">
        <f aca="false">F37-(I37-X37)</f>
        <v>-0.0627426266700297</v>
      </c>
      <c r="M37" s="89" t="n">
        <v>4.3</v>
      </c>
      <c r="N37" s="53" t="n">
        <v>0</v>
      </c>
      <c r="O37" s="53" t="n">
        <v>0</v>
      </c>
      <c r="P37" s="6" t="n">
        <f aca="false">M37-(N37+O37)</f>
        <v>4.3</v>
      </c>
      <c r="Q37" s="53" t="n">
        <v>0</v>
      </c>
      <c r="R37" s="53" t="n">
        <v>0</v>
      </c>
      <c r="S37" s="53" t="n">
        <f aca="false">SUM(P37:R37)</f>
        <v>4.3</v>
      </c>
      <c r="T37" s="54"/>
      <c r="U37" s="53" t="n">
        <v>0</v>
      </c>
      <c r="V37" s="53" t="n">
        <v>34.8</v>
      </c>
      <c r="W37" s="54" t="n">
        <f aca="false">W36-V37</f>
        <v>12393.2</v>
      </c>
      <c r="X37" s="6" t="n">
        <f aca="false">N37+O37+S37+U37+V37</f>
        <v>39.1</v>
      </c>
      <c r="Y37" s="53" t="n">
        <f aca="false">IF(L37&lt;0,L37*-1,0)</f>
        <v>0.0627426266700297</v>
      </c>
      <c r="Z37" s="53" t="n">
        <f aca="false">X37+Y37</f>
        <v>39.16274262667</v>
      </c>
      <c r="AA37" s="58" t="n">
        <v>0</v>
      </c>
      <c r="AB37" s="59" t="n">
        <v>37</v>
      </c>
      <c r="AC37" s="59" t="n">
        <v>4</v>
      </c>
      <c r="AD37" s="60" t="n">
        <f aca="false">AD36+1</f>
        <v>28</v>
      </c>
      <c r="AE37" s="94"/>
      <c r="AF37" s="96"/>
      <c r="AG37" s="95"/>
    </row>
    <row r="38" customFormat="false" ht="11.1" hidden="false" customHeight="true" outlineLevel="0" collapsed="false">
      <c r="A38" s="60" t="n">
        <f aca="false">A37+1</f>
        <v>29</v>
      </c>
      <c r="B38" s="75" t="n">
        <v>6888.47</v>
      </c>
      <c r="C38" s="54" t="n">
        <v>243035</v>
      </c>
      <c r="D38" s="59" t="n">
        <f aca="false">C38-C37</f>
        <v>0</v>
      </c>
      <c r="E38" s="54" t="n">
        <f aca="false">C38-152000</f>
        <v>91035</v>
      </c>
      <c r="F38" s="53" t="n">
        <f aca="false">D38/$D$2</f>
        <v>0</v>
      </c>
      <c r="G38" s="53" t="n">
        <v>43</v>
      </c>
      <c r="H38" s="58" t="n">
        <v>0</v>
      </c>
      <c r="I38" s="53" t="n">
        <f aca="false">G38+H38</f>
        <v>43</v>
      </c>
      <c r="J38" s="83" t="n">
        <f aca="false">IF(L38&gt;0,L38,0)</f>
        <v>0</v>
      </c>
      <c r="K38" s="53" t="n">
        <f aca="false">I38+J38</f>
        <v>43</v>
      </c>
      <c r="L38" s="53" t="n">
        <f aca="false">F38-(I38-X38)</f>
        <v>0</v>
      </c>
      <c r="M38" s="89" t="n">
        <v>4.2</v>
      </c>
      <c r="N38" s="53" t="n">
        <v>0</v>
      </c>
      <c r="O38" s="53" t="n">
        <v>0</v>
      </c>
      <c r="P38" s="6" t="n">
        <f aca="false">M38-(N38+O38)</f>
        <v>4.2</v>
      </c>
      <c r="Q38" s="53" t="n">
        <v>0</v>
      </c>
      <c r="R38" s="53" t="n">
        <v>0</v>
      </c>
      <c r="S38" s="53" t="n">
        <f aca="false">SUM(P38:R38)</f>
        <v>4.2</v>
      </c>
      <c r="T38" s="54"/>
      <c r="U38" s="53" t="n">
        <v>0</v>
      </c>
      <c r="V38" s="53" t="n">
        <v>38.8</v>
      </c>
      <c r="W38" s="54" t="n">
        <f aca="false">W37-V38</f>
        <v>12354.4</v>
      </c>
      <c r="X38" s="6" t="n">
        <f aca="false">N38+O38+S38+U38+V38</f>
        <v>43</v>
      </c>
      <c r="Y38" s="53" t="n">
        <f aca="false">IF(L38&lt;0,L38*-1,0)</f>
        <v>0</v>
      </c>
      <c r="Z38" s="53" t="n">
        <f aca="false">X38+Y38</f>
        <v>43</v>
      </c>
      <c r="AA38" s="58" t="n">
        <v>0</v>
      </c>
      <c r="AB38" s="84" t="n">
        <v>26</v>
      </c>
      <c r="AC38" s="59" t="n">
        <v>11</v>
      </c>
      <c r="AD38" s="60" t="n">
        <f aca="false">AD37+1</f>
        <v>29</v>
      </c>
      <c r="AE38" s="94"/>
      <c r="AF38" s="96"/>
      <c r="AG38" s="95"/>
    </row>
    <row r="39" customFormat="false" ht="11.1" hidden="false" customHeight="true" outlineLevel="0" collapsed="false">
      <c r="A39" s="60" t="n">
        <v>30</v>
      </c>
      <c r="B39" s="75" t="n">
        <v>6888.48</v>
      </c>
      <c r="C39" s="54" t="n">
        <v>243069</v>
      </c>
      <c r="D39" s="59" t="n">
        <f aca="false">C39-C38</f>
        <v>34</v>
      </c>
      <c r="E39" s="54" t="n">
        <f aca="false">C39-152000</f>
        <v>91069</v>
      </c>
      <c r="F39" s="53" t="n">
        <f aca="false">D39/$D$2</f>
        <v>17.1414166876733</v>
      </c>
      <c r="G39" s="53" t="n">
        <v>60</v>
      </c>
      <c r="H39" s="58" t="n">
        <v>0</v>
      </c>
      <c r="I39" s="53" t="n">
        <f aca="false">G39+H39</f>
        <v>60</v>
      </c>
      <c r="J39" s="83" t="n">
        <f aca="false">IF(L39&gt;0,L39,0)</f>
        <v>0.0414166876733013</v>
      </c>
      <c r="K39" s="53" t="n">
        <f aca="false">I39+J39</f>
        <v>60.0414166876733</v>
      </c>
      <c r="L39" s="53" t="n">
        <f aca="false">F39-(I39-X39)</f>
        <v>0.0414166876733013</v>
      </c>
      <c r="M39" s="89" t="n">
        <v>4.1</v>
      </c>
      <c r="N39" s="53" t="n">
        <v>0</v>
      </c>
      <c r="O39" s="53" t="n">
        <v>0</v>
      </c>
      <c r="P39" s="6" t="n">
        <f aca="false">M39-(N39+O39)</f>
        <v>4.1</v>
      </c>
      <c r="Q39" s="53" t="n">
        <v>0</v>
      </c>
      <c r="R39" s="53" t="n">
        <v>0</v>
      </c>
      <c r="S39" s="53" t="n">
        <f aca="false">SUM(P39:R39)</f>
        <v>4.1</v>
      </c>
      <c r="T39" s="54"/>
      <c r="U39" s="53" t="n">
        <v>0</v>
      </c>
      <c r="V39" s="53" t="n">
        <v>38.8</v>
      </c>
      <c r="W39" s="54" t="n">
        <f aca="false">W38-V39</f>
        <v>12315.6</v>
      </c>
      <c r="X39" s="6" t="n">
        <f aca="false">N39+O39+S39+U39+V39</f>
        <v>42.9</v>
      </c>
      <c r="Y39" s="53" t="n">
        <f aca="false">IF(L39&lt;0,L39*-1,0)</f>
        <v>0</v>
      </c>
      <c r="Z39" s="53" t="n">
        <f aca="false">X39+Y39</f>
        <v>42.9</v>
      </c>
      <c r="AA39" s="58" t="n">
        <v>0</v>
      </c>
      <c r="AB39" s="84" t="n">
        <v>29</v>
      </c>
      <c r="AC39" s="59" t="n">
        <v>-3</v>
      </c>
      <c r="AD39" s="60" t="n">
        <v>30</v>
      </c>
      <c r="AE39" s="94"/>
      <c r="AF39" s="96"/>
      <c r="AG39" s="95"/>
    </row>
    <row r="40" customFormat="false" ht="11.1" hidden="false" customHeight="true" outlineLevel="0" collapsed="false">
      <c r="A40" s="60" t="n">
        <v>31</v>
      </c>
      <c r="B40" s="75" t="n">
        <v>6888.48</v>
      </c>
      <c r="C40" s="54" t="n">
        <v>243069</v>
      </c>
      <c r="D40" s="59" t="n">
        <f aca="false">C40-C39</f>
        <v>0</v>
      </c>
      <c r="E40" s="54" t="n">
        <f aca="false">C40-152000</f>
        <v>91069</v>
      </c>
      <c r="F40" s="53" t="n">
        <f aca="false">D40/$D$2</f>
        <v>0</v>
      </c>
      <c r="G40" s="53" t="n">
        <v>42.9</v>
      </c>
      <c r="H40" s="58" t="n">
        <v>0</v>
      </c>
      <c r="I40" s="53" t="n">
        <f aca="false">G40+H40</f>
        <v>42.9</v>
      </c>
      <c r="J40" s="83" t="n">
        <f aca="false">IF(L40&gt;0,L40,0)</f>
        <v>0</v>
      </c>
      <c r="K40" s="53" t="n">
        <f aca="false">I40+J40</f>
        <v>42.9</v>
      </c>
      <c r="L40" s="53" t="n">
        <f aca="false">F40-(I40-X40)</f>
        <v>0</v>
      </c>
      <c r="M40" s="89" t="n">
        <v>4.1</v>
      </c>
      <c r="N40" s="53" t="n">
        <v>0</v>
      </c>
      <c r="O40" s="53" t="n">
        <v>0</v>
      </c>
      <c r="P40" s="6" t="n">
        <f aca="false">M40-(N40+O40)</f>
        <v>4.1</v>
      </c>
      <c r="Q40" s="53" t="n">
        <v>0</v>
      </c>
      <c r="R40" s="53" t="n">
        <v>0</v>
      </c>
      <c r="S40" s="53" t="n">
        <f aca="false">SUM(P40:R40)</f>
        <v>4.1</v>
      </c>
      <c r="T40" s="54"/>
      <c r="U40" s="53" t="n">
        <v>0</v>
      </c>
      <c r="V40" s="53" t="n">
        <v>38.8</v>
      </c>
      <c r="W40" s="54" t="n">
        <f aca="false">W39-V40</f>
        <v>12276.8</v>
      </c>
      <c r="X40" s="6" t="n">
        <f aca="false">N40+O40+S40+U40+V40</f>
        <v>42.9</v>
      </c>
      <c r="Y40" s="53" t="n">
        <f aca="false">IF(L40&lt;0,L40*-1,0)</f>
        <v>0</v>
      </c>
      <c r="Z40" s="53" t="n">
        <f aca="false">X40+Y40</f>
        <v>42.9</v>
      </c>
      <c r="AA40" s="58" t="n">
        <v>0</v>
      </c>
      <c r="AB40" s="84" t="n">
        <v>37</v>
      </c>
      <c r="AC40" s="59" t="n">
        <v>-2</v>
      </c>
      <c r="AD40" s="60" t="n">
        <v>31</v>
      </c>
      <c r="AE40" s="94"/>
      <c r="AF40" s="94"/>
      <c r="AG40" s="95"/>
    </row>
    <row r="41" customFormat="false" ht="3" hidden="false" customHeight="true" outlineLevel="0" collapsed="false">
      <c r="A41" s="76"/>
      <c r="B41" s="85"/>
      <c r="C41" s="78"/>
      <c r="D41" s="76"/>
      <c r="E41" s="78"/>
      <c r="F41" s="76"/>
      <c r="G41" s="85"/>
      <c r="H41" s="80"/>
      <c r="I41" s="76"/>
      <c r="J41" s="76"/>
      <c r="K41" s="76"/>
      <c r="L41" s="76"/>
      <c r="M41" s="99"/>
      <c r="N41" s="85"/>
      <c r="O41" s="76"/>
      <c r="P41" s="76"/>
      <c r="Q41" s="76"/>
      <c r="R41" s="76"/>
      <c r="S41" s="76"/>
      <c r="T41" s="78"/>
      <c r="U41" s="76"/>
      <c r="V41" s="85"/>
      <c r="W41" s="76"/>
      <c r="X41" s="76"/>
      <c r="Y41" s="76"/>
      <c r="Z41" s="76"/>
      <c r="AA41" s="80"/>
      <c r="AB41" s="81" t="n">
        <v>39</v>
      </c>
      <c r="AC41" s="81"/>
      <c r="AD41" s="82"/>
      <c r="AE41" s="94"/>
      <c r="AF41" s="94"/>
      <c r="AG41" s="95"/>
    </row>
    <row r="42" customFormat="false" ht="11.1" hidden="false" customHeight="true" outlineLevel="0" collapsed="false">
      <c r="A42" s="53" t="s">
        <v>46</v>
      </c>
      <c r="B42" s="53"/>
      <c r="C42" s="54"/>
      <c r="D42" s="54"/>
      <c r="E42" s="54"/>
      <c r="F42" s="54" t="n">
        <f aca="false">SUM(F10:F40)</f>
        <v>772.876228888329</v>
      </c>
      <c r="G42" s="54" t="n">
        <f aca="false">SUM(G10:G40)</f>
        <v>1904.7</v>
      </c>
      <c r="H42" s="58" t="n">
        <f aca="false">SUM(H10:H40)</f>
        <v>0</v>
      </c>
      <c r="I42" s="54" t="n">
        <f aca="false">SUM(I10:I40)</f>
        <v>1801.5</v>
      </c>
      <c r="J42" s="54" t="n">
        <f aca="false">SUM(J10:J40)</f>
        <v>104.813738341316</v>
      </c>
      <c r="K42" s="54" t="n">
        <f aca="false">SUM(K10:K40)</f>
        <v>1906.31373834132</v>
      </c>
      <c r="L42" s="54" t="n">
        <f aca="false">SUM(L10:L40)</f>
        <v>104.176228888329</v>
      </c>
      <c r="M42" s="89" t="n">
        <f aca="false">SUM(M10:M40)</f>
        <v>144.7</v>
      </c>
      <c r="N42" s="54" t="n">
        <f aca="false">SUM(N10:N40)</f>
        <v>0</v>
      </c>
      <c r="O42" s="54" t="n">
        <f aca="false">SUM(O10:O40)</f>
        <v>0</v>
      </c>
      <c r="P42" s="54" t="n">
        <f aca="false">SUM(P10:P40)</f>
        <v>144.7</v>
      </c>
      <c r="Q42" s="54" t="n">
        <f aca="false">SUM(Q10:Q40)</f>
        <v>0</v>
      </c>
      <c r="R42" s="54" t="n">
        <f aca="false">SUM(R10:R40)</f>
        <v>0</v>
      </c>
      <c r="S42" s="54" t="n">
        <f aca="false">SUM(S10:S40)</f>
        <v>144.7</v>
      </c>
      <c r="T42" s="54"/>
      <c r="U42" s="54" t="n">
        <f aca="false">SUM(U10:U40)</f>
        <v>0</v>
      </c>
      <c r="V42" s="54" t="n">
        <f aca="false">SUM(V10:V40)</f>
        <v>988.1</v>
      </c>
      <c r="W42" s="54"/>
      <c r="X42" s="54" t="n">
        <f aca="false">SUM(X10:X40)</f>
        <v>1132.8</v>
      </c>
      <c r="Y42" s="54" t="n">
        <f aca="false">SUM(Y10:Y40)</f>
        <v>0.637509452987139</v>
      </c>
      <c r="Z42" s="54" t="n">
        <f aca="false">SUM(Z10:Z40)</f>
        <v>1133.43750945299</v>
      </c>
      <c r="AA42" s="58" t="n">
        <f aca="false">SUM(AA10:AA40)</f>
        <v>0.92</v>
      </c>
      <c r="AB42" s="59" t="n">
        <f aca="false">AVERAGE(AB10:AB40)</f>
        <v>34.3548387096774</v>
      </c>
      <c r="AC42" s="59" t="n">
        <f aca="false">AVERAGE(AC10:AC40)</f>
        <v>5.96774193548387</v>
      </c>
      <c r="AD42" s="60" t="s">
        <v>59</v>
      </c>
      <c r="AE42" s="94"/>
      <c r="AF42" s="94"/>
      <c r="AG42" s="95"/>
    </row>
    <row r="43" customFormat="false" ht="11.1" hidden="false" customHeight="true" outlineLevel="0" collapsed="false">
      <c r="A43" s="53" t="s">
        <v>48</v>
      </c>
      <c r="B43" s="53"/>
      <c r="C43" s="54"/>
      <c r="D43" s="54" t="n">
        <f aca="false">SUM(D10:D40)</f>
        <v>1533</v>
      </c>
      <c r="E43" s="54"/>
      <c r="F43" s="54" t="n">
        <f aca="false">F42*$D$2</f>
        <v>1533</v>
      </c>
      <c r="G43" s="54" t="n">
        <f aca="false">G42*$D$2</f>
        <v>3777.97245</v>
      </c>
      <c r="H43" s="58" t="n">
        <f aca="false">H42*$D$2</f>
        <v>0</v>
      </c>
      <c r="I43" s="54" t="n">
        <f aca="false">I42*$D$2</f>
        <v>3573.27525</v>
      </c>
      <c r="J43" s="54" t="n">
        <f aca="false">J42*$D$2</f>
        <v>207.89805</v>
      </c>
      <c r="K43" s="54" t="n">
        <f aca="false">K42*$D$2</f>
        <v>3781.1733</v>
      </c>
      <c r="L43" s="54" t="n">
        <f aca="false">L42*$D$2</f>
        <v>206.63355</v>
      </c>
      <c r="M43" s="89" t="n">
        <f aca="false">M42*$D$2</f>
        <v>287.01245</v>
      </c>
      <c r="N43" s="54" t="n">
        <f aca="false">N42*$D$2</f>
        <v>0</v>
      </c>
      <c r="O43" s="54" t="n">
        <f aca="false">O42*$D$2</f>
        <v>0</v>
      </c>
      <c r="P43" s="54" t="n">
        <f aca="false">P42*$D$2</f>
        <v>287.01245</v>
      </c>
      <c r="Q43" s="54" t="n">
        <f aca="false">Q42*$D$2</f>
        <v>0</v>
      </c>
      <c r="R43" s="54" t="n">
        <f aca="false">R42*$D$2</f>
        <v>0</v>
      </c>
      <c r="S43" s="54" t="n">
        <f aca="false">S42*$D$2</f>
        <v>287.01245</v>
      </c>
      <c r="T43" s="54"/>
      <c r="U43" s="54" t="n">
        <f aca="false">U42*$D$2</f>
        <v>0</v>
      </c>
      <c r="V43" s="54" t="n">
        <f aca="false">V42*$D$2</f>
        <v>1959.89635</v>
      </c>
      <c r="W43" s="54"/>
      <c r="X43" s="54" t="n">
        <f aca="false">X42*$D$2</f>
        <v>2246.9088</v>
      </c>
      <c r="Y43" s="54" t="n">
        <f aca="false">Y42*$D$2</f>
        <v>1.26449999999999</v>
      </c>
      <c r="Z43" s="54" t="n">
        <f aca="false">Z42*$D$2</f>
        <v>2248.1733</v>
      </c>
      <c r="AA43" s="58"/>
      <c r="AB43" s="59" t="n">
        <f aca="false">MAX(AB10:AB40)</f>
        <v>43</v>
      </c>
      <c r="AC43" s="59" t="n">
        <f aca="false">MAX(AC10:AC40)</f>
        <v>19</v>
      </c>
      <c r="AD43" s="60" t="s">
        <v>49</v>
      </c>
      <c r="AE43" s="94"/>
      <c r="AF43" s="94"/>
      <c r="AG43" s="95"/>
    </row>
    <row r="44" customFormat="false" ht="3" hidden="false" customHeight="true" outlineLevel="0" collapsed="false">
      <c r="A44" s="76"/>
      <c r="B44" s="76"/>
      <c r="C44" s="78"/>
      <c r="D44" s="78"/>
      <c r="E44" s="78"/>
      <c r="F44" s="78"/>
      <c r="G44" s="78"/>
      <c r="H44" s="80"/>
      <c r="I44" s="78"/>
      <c r="J44" s="78"/>
      <c r="K44" s="78"/>
      <c r="L44" s="78"/>
      <c r="M44" s="97"/>
      <c r="N44" s="78"/>
      <c r="O44" s="78"/>
      <c r="P44" s="78"/>
      <c r="Q44" s="78"/>
      <c r="R44" s="78"/>
      <c r="S44" s="78"/>
      <c r="T44" s="78"/>
      <c r="U44" s="78"/>
      <c r="V44" s="78"/>
      <c r="W44" s="76"/>
      <c r="X44" s="78"/>
      <c r="Y44" s="78"/>
      <c r="Z44" s="78"/>
      <c r="AA44" s="58"/>
      <c r="AB44" s="59"/>
      <c r="AC44" s="59"/>
      <c r="AD44" s="60"/>
      <c r="AE44" s="94"/>
      <c r="AF44" s="94"/>
      <c r="AG44" s="95"/>
    </row>
    <row r="45" customFormat="false" ht="11.1" hidden="false" customHeight="true" outlineLevel="0" collapsed="false">
      <c r="A45" s="53" t="s">
        <v>50</v>
      </c>
      <c r="B45" s="53"/>
      <c r="C45" s="54"/>
      <c r="D45" s="54"/>
      <c r="E45" s="54"/>
      <c r="F45" s="54"/>
      <c r="G45" s="54"/>
      <c r="H45" s="58"/>
      <c r="I45" s="54"/>
      <c r="J45" s="54"/>
      <c r="K45" s="54"/>
      <c r="L45" s="54"/>
      <c r="M45" s="89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8"/>
      <c r="AB45" s="59" t="n">
        <f aca="false">MIN(AB10:AB40)</f>
        <v>25</v>
      </c>
      <c r="AC45" s="59" t="n">
        <f aca="false">MIN(AC10:AC40)</f>
        <v>-7</v>
      </c>
      <c r="AD45" s="60" t="s">
        <v>51</v>
      </c>
      <c r="AE45" s="94"/>
      <c r="AF45" s="94"/>
      <c r="AG45" s="95"/>
    </row>
    <row r="46" customFormat="false" ht="11.1" hidden="false" customHeight="true" outlineLevel="0" collapsed="false">
      <c r="A46" s="53" t="s">
        <v>52</v>
      </c>
      <c r="B46" s="53"/>
      <c r="C46" s="54"/>
      <c r="D46" s="54"/>
      <c r="E46" s="54"/>
      <c r="F46" s="54"/>
      <c r="G46" s="54"/>
      <c r="H46" s="58"/>
      <c r="I46" s="54"/>
      <c r="J46" s="54"/>
      <c r="K46" s="54"/>
      <c r="L46" s="54"/>
      <c r="M46" s="89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8"/>
      <c r="AB46" s="59"/>
      <c r="AC46" s="59"/>
      <c r="AD46" s="60"/>
      <c r="AE46" s="94"/>
      <c r="AF46" s="94"/>
      <c r="AG46" s="95"/>
    </row>
    <row r="47" customFormat="false" ht="3" hidden="false" customHeight="true" outlineLevel="0" collapsed="false">
      <c r="A47" s="76"/>
      <c r="B47" s="76"/>
      <c r="C47" s="78"/>
      <c r="D47" s="78"/>
      <c r="E47" s="78"/>
      <c r="F47" s="78"/>
      <c r="G47" s="78"/>
      <c r="H47" s="80"/>
      <c r="I47" s="78"/>
      <c r="J47" s="78"/>
      <c r="K47" s="78"/>
      <c r="L47" s="78"/>
      <c r="M47" s="97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80"/>
      <c r="AB47" s="59"/>
      <c r="AC47" s="59"/>
      <c r="AD47" s="60"/>
      <c r="AE47" s="94"/>
      <c r="AF47" s="94"/>
      <c r="AG47" s="95"/>
    </row>
    <row r="48" customFormat="false" ht="11.1" hidden="false" customHeight="true" outlineLevel="0" collapsed="false">
      <c r="A48" s="53" t="s">
        <v>53</v>
      </c>
      <c r="B48" s="53"/>
      <c r="C48" s="54"/>
      <c r="D48" s="54"/>
      <c r="E48" s="54"/>
      <c r="F48" s="54" t="n">
        <f aca="false">F8+F42</f>
        <v>2119.48575749937</v>
      </c>
      <c r="G48" s="54" t="n">
        <f aca="false">G8+G42</f>
        <v>6554.6</v>
      </c>
      <c r="H48" s="58" t="n">
        <f aca="false">H8+H42</f>
        <v>0</v>
      </c>
      <c r="I48" s="54" t="n">
        <f aca="false">I8+I42</f>
        <v>6451.4</v>
      </c>
      <c r="J48" s="54" t="n">
        <f aca="false">J8+J42</f>
        <v>289.894227375851</v>
      </c>
      <c r="K48" s="54" t="n">
        <f aca="false">K8+K42</f>
        <v>6741.29422737585</v>
      </c>
      <c r="L48" s="54" t="n">
        <f aca="false">L8+L42</f>
        <v>-65.4142425006302</v>
      </c>
      <c r="M48" s="89" t="n">
        <f aca="false">M8+M42</f>
        <v>991.9</v>
      </c>
      <c r="N48" s="54" t="n">
        <f aca="false">N8+N42</f>
        <v>0</v>
      </c>
      <c r="O48" s="54" t="n">
        <f aca="false">O8+O42</f>
        <v>0</v>
      </c>
      <c r="P48" s="54" t="n">
        <f aca="false">P8+P42</f>
        <v>991.9</v>
      </c>
      <c r="Q48" s="54" t="n">
        <f aca="false">Q8+Q42</f>
        <v>0</v>
      </c>
      <c r="R48" s="54" t="n">
        <f aca="false">R8+R42</f>
        <v>372.4</v>
      </c>
      <c r="S48" s="54" t="n">
        <f aca="false">S8+S42</f>
        <v>1364.3</v>
      </c>
      <c r="T48" s="54"/>
      <c r="U48" s="54" t="n">
        <f aca="false">U8+U42</f>
        <v>0</v>
      </c>
      <c r="V48" s="54" t="n">
        <f aca="false">V8+V42</f>
        <v>2902.2</v>
      </c>
      <c r="W48" s="54" t="n">
        <f aca="false">W40</f>
        <v>12276.8</v>
      </c>
      <c r="X48" s="54" t="n">
        <f aca="false">X8+X42</f>
        <v>4266.5</v>
      </c>
      <c r="Y48" s="54" t="n">
        <f aca="false">Y8+Y42</f>
        <v>355.308469876481</v>
      </c>
      <c r="Z48" s="54" t="n">
        <f aca="false">Z8+Z42</f>
        <v>4621.80846987648</v>
      </c>
      <c r="AA48" s="58" t="n">
        <f aca="false">AA8+AA42</f>
        <v>3.25</v>
      </c>
      <c r="AB48" s="59"/>
      <c r="AC48" s="59"/>
      <c r="AD48" s="60"/>
      <c r="AE48" s="94"/>
      <c r="AF48" s="94"/>
      <c r="AG48" s="95"/>
    </row>
    <row r="49" customFormat="false" ht="11.1" hidden="false" customHeight="true" outlineLevel="0" collapsed="false">
      <c r="A49" s="53" t="s">
        <v>54</v>
      </c>
      <c r="B49" s="53"/>
      <c r="C49" s="54"/>
      <c r="D49" s="54" t="n">
        <f aca="false">D8+D43</f>
        <v>4204</v>
      </c>
      <c r="E49" s="54" t="n">
        <f aca="false">E40</f>
        <v>91069</v>
      </c>
      <c r="F49" s="54" t="n">
        <f aca="false">F48*$D$2</f>
        <v>4204</v>
      </c>
      <c r="G49" s="54" t="n">
        <f aca="false">G48*$D$2</f>
        <v>13001.0491</v>
      </c>
      <c r="H49" s="58" t="n">
        <f aca="false">H48*$D$2</f>
        <v>0</v>
      </c>
      <c r="I49" s="54" t="n">
        <f aca="false">I48*$D$2</f>
        <v>12796.3519</v>
      </c>
      <c r="J49" s="54" t="n">
        <f aca="false">J48*$D$2</f>
        <v>575.0052</v>
      </c>
      <c r="K49" s="54" t="n">
        <f aca="false">K48*$D$2</f>
        <v>13371.3571</v>
      </c>
      <c r="L49" s="54" t="n">
        <f aca="false">L48*$D$2</f>
        <v>-129.74915</v>
      </c>
      <c r="M49" s="89" t="n">
        <f aca="false">M48*$D$2</f>
        <v>1967.43365</v>
      </c>
      <c r="N49" s="54" t="n">
        <f aca="false">N48*$D$2</f>
        <v>0</v>
      </c>
      <c r="O49" s="54" t="n">
        <f aca="false">O48*$D$2</f>
        <v>0</v>
      </c>
      <c r="P49" s="54" t="n">
        <f aca="false">P48*$D$2</f>
        <v>1967.43365</v>
      </c>
      <c r="Q49" s="54" t="n">
        <f aca="false">Q48*$D$2</f>
        <v>0</v>
      </c>
      <c r="R49" s="54" t="n">
        <f aca="false">R48*$D$2</f>
        <v>738.6554</v>
      </c>
      <c r="S49" s="54" t="n">
        <f aca="false">S48*$D$2</f>
        <v>2706.08905</v>
      </c>
      <c r="T49" s="54" t="n">
        <f aca="false">T48*$D$2</f>
        <v>0</v>
      </c>
      <c r="U49" s="54" t="n">
        <f aca="false">U48*$D$2</f>
        <v>0</v>
      </c>
      <c r="V49" s="54" t="n">
        <f aca="false">V48*$D$2</f>
        <v>5756.5137</v>
      </c>
      <c r="W49" s="54" t="n">
        <f aca="false">W48*$D$2</f>
        <v>24351.0328</v>
      </c>
      <c r="X49" s="54" t="n">
        <f aca="false">X48*$D$2</f>
        <v>8462.60275</v>
      </c>
      <c r="Y49" s="54" t="n">
        <f aca="false">Y48*$D$2</f>
        <v>704.75435</v>
      </c>
      <c r="Z49" s="54" t="n">
        <f aca="false">Z48*$D$2</f>
        <v>9167.3571</v>
      </c>
      <c r="AA49" s="58"/>
      <c r="AB49" s="59"/>
      <c r="AC49" s="59"/>
      <c r="AD49" s="60"/>
      <c r="AE49" s="94"/>
      <c r="AF49" s="94"/>
      <c r="AG49" s="95"/>
    </row>
    <row r="50" customFormat="false" ht="3" hidden="false" customHeight="true" outlineLevel="0" collapsed="false">
      <c r="A50" s="76"/>
      <c r="B50" s="76"/>
      <c r="C50" s="78"/>
      <c r="D50" s="76"/>
      <c r="E50" s="78"/>
      <c r="F50" s="76"/>
      <c r="G50" s="76"/>
      <c r="H50" s="80"/>
      <c r="I50" s="76"/>
      <c r="J50" s="76"/>
      <c r="K50" s="76"/>
      <c r="L50" s="76"/>
      <c r="M50" s="97"/>
      <c r="N50" s="76"/>
      <c r="O50" s="76"/>
      <c r="P50" s="76"/>
      <c r="Q50" s="76"/>
      <c r="R50" s="76"/>
      <c r="S50" s="76"/>
      <c r="T50" s="78"/>
      <c r="U50" s="76"/>
      <c r="V50" s="76"/>
      <c r="W50" s="78"/>
      <c r="X50" s="76"/>
      <c r="Y50" s="76"/>
      <c r="Z50" s="76"/>
      <c r="AA50" s="58"/>
      <c r="AB50" s="59"/>
      <c r="AC50" s="59"/>
      <c r="AD50" s="60"/>
      <c r="AE50" s="94"/>
      <c r="AF50" s="94"/>
      <c r="AG50" s="95"/>
    </row>
    <row r="51" customFormat="false" ht="11.1" hidden="false" customHeight="true" outlineLevel="0" collapsed="false">
      <c r="A51" s="53"/>
      <c r="B51" s="86"/>
      <c r="C51" s="54"/>
      <c r="D51" s="53"/>
      <c r="E51" s="54"/>
      <c r="F51" s="53"/>
      <c r="G51" s="53"/>
      <c r="H51" s="58"/>
      <c r="I51" s="53"/>
      <c r="J51" s="53"/>
      <c r="K51" s="53"/>
      <c r="L51" s="53"/>
      <c r="M51" s="89"/>
      <c r="N51" s="53"/>
      <c r="O51" s="53"/>
      <c r="P51" s="53"/>
      <c r="Q51" s="53"/>
      <c r="R51" s="53"/>
      <c r="S51" s="53"/>
      <c r="T51" s="54"/>
      <c r="U51" s="53"/>
      <c r="V51" s="53"/>
      <c r="W51" s="54"/>
      <c r="X51" s="53"/>
      <c r="Y51" s="53"/>
      <c r="Z51" s="53"/>
      <c r="AA51" s="58"/>
      <c r="AB51" s="59"/>
      <c r="AC51" s="59"/>
      <c r="AD51" s="60"/>
      <c r="AE51" s="90"/>
      <c r="AF51" s="90"/>
    </row>
    <row r="52" customFormat="false" ht="11.1" hidden="false" customHeight="true" outlineLevel="0" collapsed="false">
      <c r="A52" s="53"/>
      <c r="B52" s="75"/>
      <c r="C52" s="54"/>
      <c r="D52" s="84"/>
      <c r="E52" s="54"/>
      <c r="F52" s="53"/>
      <c r="G52" s="53"/>
      <c r="H52" s="58"/>
      <c r="I52" s="55"/>
      <c r="J52" s="53"/>
      <c r="K52" s="44"/>
      <c r="L52" s="53"/>
      <c r="M52" s="89"/>
      <c r="N52" s="53"/>
      <c r="O52" s="53"/>
      <c r="P52" s="53"/>
      <c r="Q52" s="53"/>
      <c r="R52" s="53"/>
      <c r="S52" s="53"/>
      <c r="T52" s="54"/>
      <c r="U52" s="53"/>
      <c r="V52" s="53"/>
      <c r="W52" s="54"/>
      <c r="X52" s="53"/>
      <c r="Y52" s="53"/>
      <c r="Z52" s="53"/>
      <c r="AA52" s="58"/>
      <c r="AB52" s="59"/>
      <c r="AC52" s="59"/>
      <c r="AD52" s="60"/>
      <c r="AE52" s="90"/>
      <c r="AF52" s="90"/>
    </row>
    <row r="53" customFormat="false" ht="11.1" hidden="false" customHeight="true" outlineLevel="0" collapsed="false">
      <c r="A53" s="84"/>
      <c r="B53" s="84"/>
      <c r="C53" s="54"/>
      <c r="D53" s="54"/>
      <c r="E53" s="54"/>
      <c r="F53" s="84"/>
      <c r="G53" s="84"/>
      <c r="H53" s="58"/>
      <c r="I53" s="84"/>
      <c r="J53" s="84"/>
      <c r="K53" s="84"/>
      <c r="L53" s="84"/>
      <c r="M53" s="89"/>
      <c r="N53" s="83"/>
      <c r="O53" s="83"/>
      <c r="P53" s="83"/>
      <c r="Q53" s="84"/>
      <c r="R53" s="84"/>
      <c r="S53" s="84"/>
      <c r="T53" s="54"/>
      <c r="U53" s="84"/>
      <c r="V53" s="84"/>
      <c r="W53" s="54"/>
      <c r="X53" s="84"/>
      <c r="Y53" s="84"/>
      <c r="Z53" s="84"/>
      <c r="AA53" s="58"/>
      <c r="AB53" s="59"/>
      <c r="AC53" s="59"/>
      <c r="AD53" s="60"/>
      <c r="AE53" s="100"/>
      <c r="AF53" s="100"/>
    </row>
    <row r="54" customFormat="false" ht="11.1" hidden="false" customHeight="true" outlineLevel="0" collapsed="false">
      <c r="A54" s="84"/>
      <c r="B54" s="57"/>
      <c r="C54" s="54"/>
      <c r="D54" s="54"/>
      <c r="E54" s="54"/>
      <c r="F54" s="84"/>
      <c r="G54" s="84"/>
      <c r="H54" s="58"/>
      <c r="I54" s="84"/>
      <c r="J54" s="84"/>
      <c r="K54" s="84"/>
      <c r="L54" s="84"/>
      <c r="M54" s="89"/>
      <c r="N54" s="83"/>
      <c r="O54" s="83"/>
      <c r="P54" s="84"/>
      <c r="Q54" s="84"/>
      <c r="R54" s="84"/>
      <c r="S54" s="54"/>
      <c r="T54" s="84"/>
      <c r="U54" s="84"/>
      <c r="V54" s="54"/>
      <c r="W54" s="84"/>
      <c r="X54" s="84"/>
      <c r="Y54" s="84"/>
      <c r="Z54" s="57"/>
      <c r="AA54" s="58"/>
      <c r="AB54" s="59"/>
      <c r="AC54" s="60"/>
      <c r="AD54" s="100"/>
      <c r="AE54" s="100"/>
    </row>
    <row r="55" customFormat="false" ht="11.1" hidden="false" customHeight="true" outlineLevel="0" collapsed="false">
      <c r="A55" s="84"/>
      <c r="B55" s="84"/>
      <c r="C55" s="54"/>
      <c r="D55" s="84"/>
      <c r="E55" s="54"/>
      <c r="F55" s="84"/>
      <c r="G55" s="87"/>
      <c r="H55" s="58"/>
      <c r="I55" s="84"/>
      <c r="J55" s="84"/>
      <c r="K55" s="84"/>
      <c r="L55" s="84"/>
      <c r="M55" s="89"/>
      <c r="N55" s="83"/>
      <c r="O55" s="83"/>
      <c r="P55" s="84"/>
      <c r="Q55" s="84"/>
      <c r="R55" s="84"/>
      <c r="S55" s="54"/>
      <c r="T55" s="84"/>
      <c r="U55" s="84"/>
      <c r="V55" s="54"/>
      <c r="W55" s="84"/>
      <c r="X55" s="84"/>
      <c r="Y55" s="84"/>
      <c r="Z55" s="57"/>
      <c r="AA55" s="58"/>
      <c r="AB55" s="59"/>
      <c r="AC55" s="60"/>
      <c r="AD55" s="100"/>
      <c r="AE55" s="100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Q18" activePane="bottomRight" state="frozen"/>
      <selection pane="topLeft" activeCell="A1" activeCellId="0" sqref="A1"/>
      <selection pane="topRight" activeCell="Q1" activeCellId="0" sqref="Q1"/>
      <selection pane="bottomLeft" activeCell="A18" activeCellId="0" sqref="A18"/>
      <selection pane="bottomRight" activeCell="AC38" activeCellId="0" sqref="AC38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5.66"/>
    <col collapsed="false" customWidth="true" hidden="false" outlineLevel="0" max="2" min="2" style="46" width="7.82"/>
    <col collapsed="false" customWidth="true" hidden="false" outlineLevel="0" max="3" min="3" style="47" width="7.66"/>
    <col collapsed="false" customWidth="true" hidden="false" outlineLevel="0" max="4" min="4" style="46" width="6.99"/>
    <col collapsed="false" customWidth="true" hidden="false" outlineLevel="0" max="5" min="5" style="47" width="7.66"/>
    <col collapsed="false" customWidth="true" hidden="false" outlineLevel="0" max="6" min="6" style="46" width="7.66"/>
    <col collapsed="false" customWidth="true" hidden="false" outlineLevel="0" max="7" min="7" style="46" width="7.16"/>
    <col collapsed="false" customWidth="true" hidden="false" outlineLevel="0" max="8" min="8" style="48" width="6.66"/>
    <col collapsed="false" customWidth="true" hidden="false" outlineLevel="0" max="9" min="9" style="46" width="7.99"/>
    <col collapsed="false" customWidth="true" hidden="false" outlineLevel="0" max="10" min="10" style="46" width="6.66"/>
    <col collapsed="false" customWidth="true" hidden="false" outlineLevel="0" max="12" min="11" style="46" width="7.16"/>
    <col collapsed="false" customWidth="true" hidden="false" outlineLevel="0" max="13" min="13" style="49" width="6.16"/>
    <col collapsed="false" customWidth="true" hidden="true" outlineLevel="0" max="14" min="14" style="49" width="7.32"/>
    <col collapsed="false" customWidth="true" hidden="true" outlineLevel="0" max="15" min="15" style="49" width="6.49"/>
    <col collapsed="false" customWidth="true" hidden="true" outlineLevel="0" max="16" min="16" style="46" width="7.16"/>
    <col collapsed="false" customWidth="true" hidden="false" outlineLevel="0" max="17" min="17" style="46" width="6.32"/>
    <col collapsed="false" customWidth="true" hidden="false" outlineLevel="0" max="18" min="18" style="46" width="5.82"/>
    <col collapsed="false" customWidth="true" hidden="false" outlineLevel="0" max="19" min="19" style="47" width="6.82"/>
    <col collapsed="false" customWidth="true" hidden="false" outlineLevel="0" max="20" min="20" style="46" width="7.66"/>
    <col collapsed="false" customWidth="true" hidden="false" outlineLevel="0" max="21" min="21" style="46" width="5.99"/>
    <col collapsed="false" customWidth="true" hidden="false" outlineLevel="0" max="22" min="22" style="47" width="6.66"/>
    <col collapsed="false" customWidth="true" hidden="false" outlineLevel="0" max="23" min="23" style="46" width="6.82"/>
    <col collapsed="false" customWidth="true" hidden="false" outlineLevel="0" max="25" min="24" style="46" width="7.82"/>
    <col collapsed="false" customWidth="true" hidden="false" outlineLevel="0" max="26" min="26" style="50" width="8.16"/>
    <col collapsed="false" customWidth="true" hidden="false" outlineLevel="0" max="27" min="27" style="48" width="4.66"/>
    <col collapsed="false" customWidth="true" hidden="false" outlineLevel="0" max="28" min="28" style="51" width="4.66"/>
    <col collapsed="false" customWidth="true" hidden="false" outlineLevel="0" max="29" min="29" style="52" width="4.66"/>
    <col collapsed="false" customWidth="true" hidden="false" outlineLevel="0" max="30" min="30" style="46" width="5.66"/>
    <col collapsed="false" customWidth="false" hidden="false" outlineLevel="0" max="257" min="31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8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9"/>
      <c r="AC1" s="60"/>
      <c r="AD1" s="90"/>
      <c r="AE1" s="90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1.9835</v>
      </c>
      <c r="E2" s="54"/>
      <c r="F2" s="53"/>
      <c r="G2" s="53"/>
      <c r="H2" s="58"/>
      <c r="I2" s="53"/>
      <c r="J2" s="53"/>
      <c r="K2" s="62" t="s">
        <v>60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8"/>
      <c r="AB2" s="59"/>
      <c r="AC2" s="60"/>
      <c r="AD2" s="90"/>
      <c r="AE2" s="90"/>
    </row>
    <row r="3" customFormat="false" ht="11.1" hidden="false" customHeight="true" outlineLevel="0" collapsed="false">
      <c r="A3" s="53"/>
      <c r="B3" s="53"/>
      <c r="C3" s="54"/>
      <c r="D3" s="63"/>
      <c r="E3" s="54"/>
      <c r="F3" s="53"/>
      <c r="G3" s="53"/>
      <c r="H3" s="58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9"/>
      <c r="AC3" s="60"/>
      <c r="AD3" s="90"/>
      <c r="AE3" s="90"/>
    </row>
    <row r="4" customFormat="false" ht="11.1" hidden="false" customHeight="true" outlineLevel="0" collapsed="false">
      <c r="A4" s="64" t="s">
        <v>3</v>
      </c>
      <c r="B4" s="64" t="s">
        <v>4</v>
      </c>
      <c r="C4" s="65" t="s">
        <v>4</v>
      </c>
      <c r="D4" s="64" t="s">
        <v>5</v>
      </c>
      <c r="E4" s="65" t="s">
        <v>6</v>
      </c>
      <c r="F4" s="64" t="s">
        <v>7</v>
      </c>
      <c r="G4" s="64" t="s">
        <v>8</v>
      </c>
      <c r="H4" s="67" t="s">
        <v>9</v>
      </c>
      <c r="I4" s="64" t="s">
        <v>10</v>
      </c>
      <c r="J4" s="64" t="s">
        <v>11</v>
      </c>
      <c r="K4" s="64" t="s">
        <v>12</v>
      </c>
      <c r="L4" s="64" t="s">
        <v>11</v>
      </c>
      <c r="M4" s="64" t="s">
        <v>13</v>
      </c>
      <c r="N4" s="64"/>
      <c r="O4" s="64"/>
      <c r="P4" s="64"/>
      <c r="Q4" s="64" t="s">
        <v>14</v>
      </c>
      <c r="R4" s="64" t="s">
        <v>15</v>
      </c>
      <c r="S4" s="64" t="s">
        <v>12</v>
      </c>
      <c r="T4" s="65" t="s">
        <v>16</v>
      </c>
      <c r="U4" s="64" t="s">
        <v>17</v>
      </c>
      <c r="V4" s="64" t="s">
        <v>18</v>
      </c>
      <c r="W4" s="65" t="s">
        <v>19</v>
      </c>
      <c r="X4" s="64" t="s">
        <v>10</v>
      </c>
      <c r="Y4" s="64" t="s">
        <v>11</v>
      </c>
      <c r="Z4" s="64" t="s">
        <v>12</v>
      </c>
      <c r="AA4" s="67" t="s">
        <v>20</v>
      </c>
      <c r="AB4" s="68" t="s">
        <v>21</v>
      </c>
      <c r="AC4" s="68" t="s">
        <v>22</v>
      </c>
      <c r="AD4" s="68" t="s">
        <v>3</v>
      </c>
      <c r="AE4" s="90"/>
      <c r="AF4" s="90"/>
    </row>
    <row r="5" customFormat="false" ht="11.1" hidden="false" customHeight="true" outlineLevel="0" collapsed="false">
      <c r="A5" s="69" t="s">
        <v>61</v>
      </c>
      <c r="B5" s="64" t="s">
        <v>24</v>
      </c>
      <c r="C5" s="65" t="s">
        <v>5</v>
      </c>
      <c r="D5" s="64" t="s">
        <v>25</v>
      </c>
      <c r="E5" s="65" t="s">
        <v>26</v>
      </c>
      <c r="F5" s="64" t="s">
        <v>27</v>
      </c>
      <c r="G5" s="64" t="s">
        <v>28</v>
      </c>
      <c r="H5" s="67" t="s">
        <v>29</v>
      </c>
      <c r="I5" s="64" t="s">
        <v>30</v>
      </c>
      <c r="J5" s="64" t="s">
        <v>30</v>
      </c>
      <c r="K5" s="64" t="s">
        <v>30</v>
      </c>
      <c r="L5" s="64" t="s">
        <v>31</v>
      </c>
      <c r="M5" s="64" t="s">
        <v>32</v>
      </c>
      <c r="N5" s="64" t="s">
        <v>33</v>
      </c>
      <c r="O5" s="64" t="s">
        <v>34</v>
      </c>
      <c r="P5" s="64" t="s">
        <v>35</v>
      </c>
      <c r="Q5" s="64" t="s">
        <v>36</v>
      </c>
      <c r="R5" s="64" t="s">
        <v>37</v>
      </c>
      <c r="S5" s="64" t="s">
        <v>16</v>
      </c>
      <c r="T5" s="65" t="s">
        <v>38</v>
      </c>
      <c r="U5" s="64" t="s">
        <v>39</v>
      </c>
      <c r="V5" s="64" t="s">
        <v>40</v>
      </c>
      <c r="W5" s="65" t="s">
        <v>41</v>
      </c>
      <c r="X5" s="64" t="s">
        <v>42</v>
      </c>
      <c r="Y5" s="64" t="s">
        <v>42</v>
      </c>
      <c r="Z5" s="64" t="s">
        <v>42</v>
      </c>
      <c r="AA5" s="70"/>
      <c r="AB5" s="68" t="s">
        <v>43</v>
      </c>
      <c r="AC5" s="68" t="s">
        <v>43</v>
      </c>
      <c r="AD5" s="71" t="s">
        <v>61</v>
      </c>
      <c r="AE5" s="90"/>
      <c r="AF5" s="90"/>
    </row>
    <row r="6" customFormat="false" ht="11.1" hidden="false" customHeight="true" outlineLevel="0" collapsed="false">
      <c r="A6" s="72"/>
      <c r="B6" s="72"/>
      <c r="C6" s="73"/>
      <c r="D6" s="72"/>
      <c r="E6" s="73"/>
      <c r="F6" s="72"/>
      <c r="G6" s="72"/>
      <c r="H6" s="9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3"/>
      <c r="U6" s="72"/>
      <c r="V6" s="72"/>
      <c r="W6" s="73"/>
      <c r="X6" s="72"/>
      <c r="Y6" s="72"/>
      <c r="Z6" s="72"/>
      <c r="AA6" s="58"/>
      <c r="AB6" s="60"/>
      <c r="AC6" s="60"/>
      <c r="AD6" s="60"/>
      <c r="AE6" s="94"/>
      <c r="AF6" s="94"/>
      <c r="AG6" s="95"/>
    </row>
    <row r="7" customFormat="false" ht="11.1" hidden="false" customHeight="true" outlineLevel="0" collapsed="false">
      <c r="A7" s="53" t="s">
        <v>44</v>
      </c>
      <c r="B7" s="53"/>
      <c r="C7" s="54"/>
      <c r="D7" s="54"/>
      <c r="E7" s="54"/>
      <c r="F7" s="54"/>
      <c r="G7" s="54"/>
      <c r="H7" s="58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8"/>
      <c r="AB7" s="59"/>
      <c r="AC7" s="59"/>
      <c r="AD7" s="60"/>
      <c r="AE7" s="94"/>
      <c r="AF7" s="95"/>
      <c r="AG7" s="95"/>
    </row>
    <row r="8" s="47" customFormat="true" ht="11.1" hidden="false" customHeight="true" outlineLevel="0" collapsed="false">
      <c r="A8" s="54" t="s">
        <v>45</v>
      </c>
      <c r="B8" s="75" t="n">
        <f aca="false">JAN!B40</f>
        <v>6888.48</v>
      </c>
      <c r="C8" s="54" t="n">
        <f aca="false">JAN!C40</f>
        <v>243069</v>
      </c>
      <c r="D8" s="54" t="n">
        <f aca="false">JAN!$D$49</f>
        <v>4204</v>
      </c>
      <c r="E8" s="54" t="n">
        <f aca="false">JAN!$E$40</f>
        <v>91069</v>
      </c>
      <c r="F8" s="54" t="n">
        <f aca="false">JAN!F48</f>
        <v>2119.48575749937</v>
      </c>
      <c r="G8" s="54" t="n">
        <f aca="false">JAN!G48</f>
        <v>6554.6</v>
      </c>
      <c r="H8" s="58" t="n">
        <f aca="false">JAN!H48</f>
        <v>0</v>
      </c>
      <c r="I8" s="54" t="n">
        <f aca="false">JAN!I48</f>
        <v>6451.4</v>
      </c>
      <c r="J8" s="54" t="n">
        <f aca="false">JAN!J48</f>
        <v>289.894227375851</v>
      </c>
      <c r="K8" s="54" t="n">
        <f aca="false">JAN!K48</f>
        <v>6741.29422737585</v>
      </c>
      <c r="L8" s="54" t="n">
        <f aca="false">JAN!L48</f>
        <v>-65.4142425006302</v>
      </c>
      <c r="M8" s="54" t="n">
        <f aca="false">JAN!M48</f>
        <v>991.9</v>
      </c>
      <c r="N8" s="54" t="n">
        <f aca="false">JAN!N48</f>
        <v>0</v>
      </c>
      <c r="O8" s="54" t="n">
        <f aca="false">JAN!O48</f>
        <v>0</v>
      </c>
      <c r="P8" s="54" t="n">
        <f aca="false">JAN!P48</f>
        <v>991.9</v>
      </c>
      <c r="Q8" s="54" t="n">
        <f aca="false">JAN!Q48</f>
        <v>0</v>
      </c>
      <c r="R8" s="54" t="n">
        <f aca="false">JAN!R48</f>
        <v>372.4</v>
      </c>
      <c r="S8" s="54" t="n">
        <f aca="false">JAN!S48</f>
        <v>1364.3</v>
      </c>
      <c r="T8" s="54" t="n">
        <f aca="false">JAN!T48</f>
        <v>0</v>
      </c>
      <c r="U8" s="54" t="n">
        <f aca="false">JAN!U48</f>
        <v>0</v>
      </c>
      <c r="V8" s="54" t="n">
        <f aca="false">JAN!V48</f>
        <v>2902.2</v>
      </c>
      <c r="W8" s="54" t="n">
        <f aca="false">JAN!W48</f>
        <v>12276.8</v>
      </c>
      <c r="X8" s="54" t="n">
        <f aca="false">JAN!X48</f>
        <v>4266.5</v>
      </c>
      <c r="Y8" s="54" t="n">
        <f aca="false">JAN!Y48</f>
        <v>355.308469876481</v>
      </c>
      <c r="Z8" s="54" t="n">
        <f aca="false">JAN!Z48</f>
        <v>4621.80846987648</v>
      </c>
      <c r="AA8" s="58" t="n">
        <f aca="false">JAN!AA48</f>
        <v>3.25</v>
      </c>
      <c r="AB8" s="59"/>
      <c r="AC8" s="59"/>
      <c r="AD8" s="60"/>
      <c r="AE8" s="96"/>
      <c r="AF8" s="94"/>
      <c r="AG8" s="96"/>
    </row>
    <row r="9" customFormat="false" ht="3" hidden="false" customHeight="true" outlineLevel="0" collapsed="false">
      <c r="A9" s="76"/>
      <c r="B9" s="77"/>
      <c r="C9" s="78"/>
      <c r="D9" s="76"/>
      <c r="E9" s="78"/>
      <c r="F9" s="76"/>
      <c r="G9" s="76"/>
      <c r="H9" s="80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8"/>
      <c r="U9" s="76"/>
      <c r="V9" s="76"/>
      <c r="W9" s="78"/>
      <c r="X9" s="76"/>
      <c r="Y9" s="76"/>
      <c r="Z9" s="76"/>
      <c r="AA9" s="80"/>
      <c r="AB9" s="81"/>
      <c r="AC9" s="81"/>
      <c r="AD9" s="82"/>
      <c r="AE9" s="94"/>
      <c r="AF9" s="94"/>
      <c r="AG9" s="95"/>
    </row>
    <row r="10" customFormat="false" ht="11.1" hidden="false" customHeight="true" outlineLevel="0" collapsed="false">
      <c r="A10" s="60" t="n">
        <v>1</v>
      </c>
      <c r="B10" s="75" t="n">
        <v>6888.48</v>
      </c>
      <c r="C10" s="54" t="n">
        <v>243069</v>
      </c>
      <c r="D10" s="59" t="n">
        <f aca="false">C10-C8</f>
        <v>0</v>
      </c>
      <c r="E10" s="54" t="n">
        <f aca="false">C10-152000</f>
        <v>91069</v>
      </c>
      <c r="F10" s="53" t="n">
        <f aca="false">D10/$D$2</f>
        <v>0</v>
      </c>
      <c r="G10" s="53" t="n">
        <v>42</v>
      </c>
      <c r="H10" s="58" t="n">
        <v>0</v>
      </c>
      <c r="I10" s="53" t="n">
        <f aca="false">G10+H10</f>
        <v>42</v>
      </c>
      <c r="J10" s="83" t="n">
        <f aca="false">IF(L10&gt;0,L10,0)</f>
        <v>0.0200000000000031</v>
      </c>
      <c r="K10" s="53" t="n">
        <f aca="false">I10+J10</f>
        <v>42.02</v>
      </c>
      <c r="L10" s="53" t="n">
        <f aca="false">F10-(I10-X10)</f>
        <v>0.0200000000000031</v>
      </c>
      <c r="M10" s="53" t="n">
        <v>3.6</v>
      </c>
      <c r="N10" s="53" t="n">
        <v>0</v>
      </c>
      <c r="O10" s="53" t="n">
        <v>0</v>
      </c>
      <c r="P10" s="6" t="n">
        <f aca="false">M10-(N10+O10)</f>
        <v>3.6</v>
      </c>
      <c r="Q10" s="53" t="n">
        <v>0</v>
      </c>
      <c r="R10" s="53" t="n">
        <v>0</v>
      </c>
      <c r="S10" s="53" t="n">
        <f aca="false">SUM(P10:R10)</f>
        <v>3.6</v>
      </c>
      <c r="T10" s="54"/>
      <c r="U10" s="53" t="n">
        <v>0</v>
      </c>
      <c r="V10" s="53" t="n">
        <v>38.42</v>
      </c>
      <c r="W10" s="54" t="n">
        <f aca="false">W8-V10</f>
        <v>12238.38</v>
      </c>
      <c r="X10" s="6" t="n">
        <f aca="false">N10+O10+S10+U10+V10</f>
        <v>42.02</v>
      </c>
      <c r="Y10" s="53" t="n">
        <f aca="false">IF(L10&lt;0,L10*-1,0)</f>
        <v>0</v>
      </c>
      <c r="Z10" s="53" t="n">
        <f aca="false">X10+Y10</f>
        <v>42.02</v>
      </c>
      <c r="AA10" s="58" t="n">
        <v>0</v>
      </c>
      <c r="AB10" s="59" t="n">
        <v>45</v>
      </c>
      <c r="AC10" s="59" t="n">
        <v>3</v>
      </c>
      <c r="AD10" s="60" t="n">
        <v>1</v>
      </c>
      <c r="AE10" s="95"/>
      <c r="AF10" s="96"/>
      <c r="AG10" s="95"/>
    </row>
    <row r="11" customFormat="false" ht="11.1" hidden="false" customHeight="true" outlineLevel="0" collapsed="false">
      <c r="A11" s="60" t="n">
        <f aca="false">A10+1</f>
        <v>2</v>
      </c>
      <c r="B11" s="75" t="n">
        <v>6888.49</v>
      </c>
      <c r="C11" s="54" t="n">
        <v>243102</v>
      </c>
      <c r="D11" s="59" t="n">
        <f aca="false">C11-C10</f>
        <v>33</v>
      </c>
      <c r="E11" s="54" t="n">
        <f aca="false">C11-152000</f>
        <v>91102</v>
      </c>
      <c r="F11" s="53" t="n">
        <f aca="false">D11/$D$2</f>
        <v>16.63725737333</v>
      </c>
      <c r="G11" s="53" t="n">
        <v>57.8</v>
      </c>
      <c r="H11" s="58" t="n">
        <v>0</v>
      </c>
      <c r="I11" s="53" t="n">
        <f aca="false">G11+H11</f>
        <v>57.8</v>
      </c>
      <c r="J11" s="83" t="n">
        <f aca="false">IF(L11&gt;0,L11,0)</f>
        <v>0</v>
      </c>
      <c r="K11" s="53" t="n">
        <f aca="false">I11+J11</f>
        <v>57.8</v>
      </c>
      <c r="L11" s="53" t="n">
        <f aca="false">F11-(I11-X11)</f>
        <v>-0.0127426266700255</v>
      </c>
      <c r="M11" s="53" t="n">
        <v>3.08</v>
      </c>
      <c r="N11" s="53" t="n">
        <v>0</v>
      </c>
      <c r="O11" s="53" t="n">
        <v>0</v>
      </c>
      <c r="P11" s="6" t="n">
        <f aca="false">M11-(N11+O11)</f>
        <v>3.08</v>
      </c>
      <c r="Q11" s="53" t="n">
        <v>0</v>
      </c>
      <c r="R11" s="53" t="n">
        <v>0</v>
      </c>
      <c r="S11" s="53" t="n">
        <f aca="false">SUM(P11:R11)</f>
        <v>3.08</v>
      </c>
      <c r="T11" s="54"/>
      <c r="U11" s="53" t="n">
        <v>0</v>
      </c>
      <c r="V11" s="53" t="n">
        <v>38.07</v>
      </c>
      <c r="W11" s="54" t="n">
        <f aca="false">W10-V11</f>
        <v>12200.31</v>
      </c>
      <c r="X11" s="6" t="n">
        <f aca="false">N11+O11+S11+U11+V11</f>
        <v>41.15</v>
      </c>
      <c r="Y11" s="53" t="n">
        <f aca="false">IF(L11&lt;0,L11*-1,0)</f>
        <v>0.0127426266700255</v>
      </c>
      <c r="Z11" s="53" t="n">
        <f aca="false">X11+Y11</f>
        <v>41.16274262667</v>
      </c>
      <c r="AA11" s="58" t="n">
        <v>0</v>
      </c>
      <c r="AB11" s="59" t="n">
        <v>46</v>
      </c>
      <c r="AC11" s="59" t="n">
        <v>5</v>
      </c>
      <c r="AD11" s="60" t="n">
        <f aca="false">AD10+1</f>
        <v>2</v>
      </c>
      <c r="AE11" s="95"/>
      <c r="AF11" s="96"/>
      <c r="AG11" s="95"/>
    </row>
    <row r="12" customFormat="false" ht="11.1" hidden="false" customHeight="true" outlineLevel="0" collapsed="false">
      <c r="A12" s="60" t="n">
        <f aca="false">A11+1</f>
        <v>3</v>
      </c>
      <c r="B12" s="75" t="n">
        <v>6888.49</v>
      </c>
      <c r="C12" s="54" t="n">
        <v>243102</v>
      </c>
      <c r="D12" s="59" t="n">
        <f aca="false">C12-C11</f>
        <v>0</v>
      </c>
      <c r="E12" s="54" t="n">
        <f aca="false">C12-152000</f>
        <v>91102</v>
      </c>
      <c r="F12" s="53" t="n">
        <f aca="false">D12/$D$2</f>
        <v>0</v>
      </c>
      <c r="G12" s="53" t="n">
        <v>42.4</v>
      </c>
      <c r="H12" s="58" t="n">
        <v>0</v>
      </c>
      <c r="I12" s="53" t="n">
        <f aca="false">G12+H12</f>
        <v>42.4</v>
      </c>
      <c r="J12" s="83" t="n">
        <f aca="false">IF(L12&gt;0,L12,0)</f>
        <v>0</v>
      </c>
      <c r="K12" s="53" t="n">
        <f aca="false">I12+J12</f>
        <v>42.4</v>
      </c>
      <c r="L12" s="53" t="n">
        <f aca="false">F12-(I12-X12)</f>
        <v>-0.160000000000004</v>
      </c>
      <c r="M12" s="53" t="n">
        <v>3.08</v>
      </c>
      <c r="N12" s="53" t="n">
        <v>0</v>
      </c>
      <c r="O12" s="53" t="n">
        <v>0</v>
      </c>
      <c r="P12" s="6" t="n">
        <f aca="false">M12-(N12+O12)</f>
        <v>3.08</v>
      </c>
      <c r="Q12" s="53" t="n">
        <v>0</v>
      </c>
      <c r="R12" s="53" t="n">
        <v>0</v>
      </c>
      <c r="S12" s="53" t="n">
        <f aca="false">SUM(P12:R12)</f>
        <v>3.08</v>
      </c>
      <c r="T12" s="54"/>
      <c r="U12" s="53" t="n">
        <v>0</v>
      </c>
      <c r="V12" s="53" t="n">
        <v>39.16</v>
      </c>
      <c r="W12" s="54" t="n">
        <f aca="false">W11-V12</f>
        <v>12161.15</v>
      </c>
      <c r="X12" s="6" t="n">
        <f aca="false">N12+O12+S12+U12+V12</f>
        <v>42.24</v>
      </c>
      <c r="Y12" s="53" t="n">
        <f aca="false">IF(L12&lt;0,L12*-1,0)</f>
        <v>0.160000000000004</v>
      </c>
      <c r="Z12" s="53" t="n">
        <f aca="false">X12+Y12</f>
        <v>42.4</v>
      </c>
      <c r="AA12" s="58" t="n">
        <v>0</v>
      </c>
      <c r="AB12" s="59" t="n">
        <v>48</v>
      </c>
      <c r="AC12" s="59" t="n">
        <v>7</v>
      </c>
      <c r="AD12" s="60" t="n">
        <f aca="false">AD11+1</f>
        <v>3</v>
      </c>
      <c r="AE12" s="95"/>
      <c r="AF12" s="96"/>
      <c r="AG12" s="95"/>
    </row>
    <row r="13" customFormat="false" ht="11.1" hidden="false" customHeight="true" outlineLevel="0" collapsed="false">
      <c r="A13" s="60" t="n">
        <f aca="false">A12+1</f>
        <v>4</v>
      </c>
      <c r="B13" s="75" t="n">
        <v>6888.5</v>
      </c>
      <c r="C13" s="54" t="n">
        <v>243135</v>
      </c>
      <c r="D13" s="59" t="n">
        <f aca="false">C13-C12</f>
        <v>33</v>
      </c>
      <c r="E13" s="54" t="n">
        <f aca="false">C13-152000</f>
        <v>91135</v>
      </c>
      <c r="F13" s="53" t="n">
        <f aca="false">D13/$D$2</f>
        <v>16.63725737333</v>
      </c>
      <c r="G13" s="53" t="n">
        <v>60.5</v>
      </c>
      <c r="H13" s="58" t="n">
        <v>0</v>
      </c>
      <c r="I13" s="53" t="n">
        <f aca="false">G13+H13</f>
        <v>60.5</v>
      </c>
      <c r="J13" s="83" t="n">
        <f aca="false">IF(L13&gt;0,L13,0)</f>
        <v>0</v>
      </c>
      <c r="K13" s="53" t="n">
        <f aca="false">I13+J13</f>
        <v>60.5</v>
      </c>
      <c r="L13" s="53" t="n">
        <f aca="false">F13-(I13-X13)</f>
        <v>-0.0227426266700306</v>
      </c>
      <c r="M13" s="53" t="n">
        <v>4.68</v>
      </c>
      <c r="N13" s="53" t="n">
        <v>0</v>
      </c>
      <c r="O13" s="53" t="n">
        <v>0</v>
      </c>
      <c r="P13" s="6" t="n">
        <f aca="false">M13-(N13+O13)</f>
        <v>4.68</v>
      </c>
      <c r="Q13" s="53" t="n">
        <v>0</v>
      </c>
      <c r="R13" s="53" t="n">
        <v>0</v>
      </c>
      <c r="S13" s="53" t="n">
        <f aca="false">SUM(P13:R13)</f>
        <v>4.68</v>
      </c>
      <c r="T13" s="54"/>
      <c r="U13" s="53" t="n">
        <v>0</v>
      </c>
      <c r="V13" s="53" t="n">
        <v>39.16</v>
      </c>
      <c r="W13" s="54" t="n">
        <f aca="false">W12-V13</f>
        <v>12121.99</v>
      </c>
      <c r="X13" s="6" t="n">
        <f aca="false">N13+O13+S13+U13+V13</f>
        <v>43.84</v>
      </c>
      <c r="Y13" s="53" t="n">
        <f aca="false">IF(L13&lt;0,L13*-1,0)</f>
        <v>0.0227426266700306</v>
      </c>
      <c r="Z13" s="53" t="n">
        <f aca="false">X13+Y13</f>
        <v>43.86274262667</v>
      </c>
      <c r="AA13" s="58" t="n">
        <v>0</v>
      </c>
      <c r="AB13" s="59" t="n">
        <v>46</v>
      </c>
      <c r="AC13" s="59" t="n">
        <v>10</v>
      </c>
      <c r="AD13" s="60" t="n">
        <f aca="false">AD12+1</f>
        <v>4</v>
      </c>
      <c r="AE13" s="95"/>
      <c r="AF13" s="96"/>
      <c r="AG13" s="95"/>
    </row>
    <row r="14" customFormat="false" ht="11.1" hidden="false" customHeight="true" outlineLevel="0" collapsed="false">
      <c r="A14" s="60" t="n">
        <f aca="false">A13+1</f>
        <v>5</v>
      </c>
      <c r="B14" s="75" t="n">
        <v>6888.5</v>
      </c>
      <c r="C14" s="54" t="n">
        <v>243135</v>
      </c>
      <c r="D14" s="59" t="n">
        <f aca="false">C14-C13</f>
        <v>0</v>
      </c>
      <c r="E14" s="54" t="n">
        <f aca="false">C14-152000</f>
        <v>91135</v>
      </c>
      <c r="F14" s="53" t="n">
        <f aca="false">D14/$D$2</f>
        <v>0</v>
      </c>
      <c r="G14" s="53" t="n">
        <v>42.6</v>
      </c>
      <c r="H14" s="58" t="n">
        <v>0</v>
      </c>
      <c r="I14" s="53" t="n">
        <f aca="false">G14+H14</f>
        <v>42.6</v>
      </c>
      <c r="J14" s="83" t="n">
        <f aca="false">IF(L14&gt;0,L14,0)</f>
        <v>0</v>
      </c>
      <c r="K14" s="53" t="n">
        <f aca="false">I14+J14</f>
        <v>42.6</v>
      </c>
      <c r="L14" s="53" t="n">
        <f aca="false">F14-(I14-X14)</f>
        <v>-0.0500000000000043</v>
      </c>
      <c r="M14" s="53" t="n">
        <v>3.39</v>
      </c>
      <c r="N14" s="53" t="n">
        <v>0</v>
      </c>
      <c r="O14" s="53" t="n">
        <v>0</v>
      </c>
      <c r="P14" s="6" t="n">
        <f aca="false">M14-(N14+O14)</f>
        <v>3.39</v>
      </c>
      <c r="Q14" s="53" t="n">
        <v>0</v>
      </c>
      <c r="R14" s="53" t="n">
        <v>0</v>
      </c>
      <c r="S14" s="53" t="n">
        <f aca="false">SUM(P14:R14)</f>
        <v>3.39</v>
      </c>
      <c r="T14" s="54"/>
      <c r="U14" s="53" t="n">
        <v>0</v>
      </c>
      <c r="V14" s="53" t="n">
        <v>39.16</v>
      </c>
      <c r="W14" s="54" t="n">
        <f aca="false">W13-V14</f>
        <v>12082.83</v>
      </c>
      <c r="X14" s="6" t="n">
        <f aca="false">N14+O14+S14+U14+V14</f>
        <v>42.55</v>
      </c>
      <c r="Y14" s="53" t="n">
        <f aca="false">IF(L14&lt;0,L14*-1,0)</f>
        <v>0.0500000000000043</v>
      </c>
      <c r="Z14" s="53" t="n">
        <f aca="false">X14+Y14</f>
        <v>42.6</v>
      </c>
      <c r="AA14" s="58" t="n">
        <v>0</v>
      </c>
      <c r="AB14" s="59" t="n">
        <v>45</v>
      </c>
      <c r="AC14" s="59" t="n">
        <v>10</v>
      </c>
      <c r="AD14" s="60" t="n">
        <f aca="false">AD13+1</f>
        <v>5</v>
      </c>
      <c r="AE14" s="95"/>
      <c r="AF14" s="96"/>
      <c r="AG14" s="95"/>
    </row>
    <row r="15" customFormat="false" ht="11.1" hidden="false" customHeight="true" outlineLevel="0" collapsed="false">
      <c r="A15" s="60" t="n">
        <f aca="false">A14+1</f>
        <v>6</v>
      </c>
      <c r="B15" s="75" t="n">
        <v>6888.5</v>
      </c>
      <c r="C15" s="54" t="n">
        <v>243135</v>
      </c>
      <c r="D15" s="59" t="n">
        <f aca="false">C15-C14</f>
        <v>0</v>
      </c>
      <c r="E15" s="54" t="n">
        <f aca="false">C15-152000</f>
        <v>91135</v>
      </c>
      <c r="F15" s="53" t="n">
        <f aca="false">D15/$D$2</f>
        <v>0</v>
      </c>
      <c r="G15" s="53" t="n">
        <v>42.6</v>
      </c>
      <c r="H15" s="58" t="n">
        <v>0</v>
      </c>
      <c r="I15" s="53" t="n">
        <f aca="false">G15+H15</f>
        <v>42.6</v>
      </c>
      <c r="J15" s="83" t="n">
        <f aca="false">IF(L15&gt;0,L15,0)</f>
        <v>0</v>
      </c>
      <c r="K15" s="53" t="n">
        <f aca="false">I15+J15</f>
        <v>42.6</v>
      </c>
      <c r="L15" s="53" t="n">
        <f aca="false">F15-(I15-X15)</f>
        <v>-0.0500000000000043</v>
      </c>
      <c r="M15" s="53" t="n">
        <v>3.39</v>
      </c>
      <c r="N15" s="53" t="n">
        <v>0</v>
      </c>
      <c r="O15" s="53" t="n">
        <v>0</v>
      </c>
      <c r="P15" s="6" t="n">
        <f aca="false">M15-(N15+O15)</f>
        <v>3.39</v>
      </c>
      <c r="Q15" s="53" t="n">
        <v>0</v>
      </c>
      <c r="R15" s="53" t="n">
        <v>0</v>
      </c>
      <c r="S15" s="53" t="n">
        <f aca="false">SUM(P15:R15)</f>
        <v>3.39</v>
      </c>
      <c r="T15" s="54"/>
      <c r="U15" s="53" t="n">
        <v>0</v>
      </c>
      <c r="V15" s="53" t="n">
        <v>39.16</v>
      </c>
      <c r="W15" s="54" t="n">
        <f aca="false">W14-V15</f>
        <v>12043.67</v>
      </c>
      <c r="X15" s="6" t="n">
        <f aca="false">N15+O15+S15+U15+V15</f>
        <v>42.55</v>
      </c>
      <c r="Y15" s="53" t="n">
        <f aca="false">IF(L15&lt;0,L15*-1,0)</f>
        <v>0.0500000000000043</v>
      </c>
      <c r="Z15" s="53" t="n">
        <f aca="false">X15+Y15</f>
        <v>42.6</v>
      </c>
      <c r="AA15" s="58" t="n">
        <v>0</v>
      </c>
      <c r="AB15" s="59" t="n">
        <v>50</v>
      </c>
      <c r="AC15" s="59" t="n">
        <v>9</v>
      </c>
      <c r="AD15" s="60" t="n">
        <f aca="false">AD14+1</f>
        <v>6</v>
      </c>
      <c r="AE15" s="94"/>
      <c r="AF15" s="96"/>
      <c r="AG15" s="95"/>
    </row>
    <row r="16" customFormat="false" ht="11.1" hidden="false" customHeight="true" outlineLevel="0" collapsed="false">
      <c r="A16" s="60" t="n">
        <f aca="false">A15+1</f>
        <v>7</v>
      </c>
      <c r="B16" s="75" t="n">
        <v>6888.51</v>
      </c>
      <c r="C16" s="54" t="n">
        <v>243168</v>
      </c>
      <c r="D16" s="59" t="n">
        <f aca="false">C16-C15</f>
        <v>33</v>
      </c>
      <c r="E16" s="54" t="n">
        <f aca="false">C16-152000</f>
        <v>91168</v>
      </c>
      <c r="F16" s="53" t="n">
        <f aca="false">D16/$D$2</f>
        <v>16.63725737333</v>
      </c>
      <c r="G16" s="53" t="n">
        <v>59.2</v>
      </c>
      <c r="H16" s="58" t="n">
        <v>0</v>
      </c>
      <c r="I16" s="53" t="n">
        <f aca="false">G16+H16</f>
        <v>59.2</v>
      </c>
      <c r="J16" s="83" t="n">
        <f aca="false">IF(L16&gt;0,L16,0)</f>
        <v>0</v>
      </c>
      <c r="K16" s="53" t="n">
        <f aca="false">I16+J16</f>
        <v>59.2</v>
      </c>
      <c r="L16" s="53" t="n">
        <f aca="false">F16-(I16-X16)</f>
        <v>-0.0127426266700326</v>
      </c>
      <c r="M16" s="53" t="n">
        <v>3.39</v>
      </c>
      <c r="N16" s="53" t="n">
        <v>0</v>
      </c>
      <c r="O16" s="53" t="n">
        <v>0</v>
      </c>
      <c r="P16" s="6" t="n">
        <f aca="false">M16-(N16+O16)</f>
        <v>3.39</v>
      </c>
      <c r="Q16" s="53" t="n">
        <v>0</v>
      </c>
      <c r="R16" s="53" t="n">
        <v>0</v>
      </c>
      <c r="S16" s="53" t="n">
        <f aca="false">SUM(P16:R16)</f>
        <v>3.39</v>
      </c>
      <c r="T16" s="54"/>
      <c r="U16" s="53" t="n">
        <v>0</v>
      </c>
      <c r="V16" s="53" t="n">
        <v>39.16</v>
      </c>
      <c r="W16" s="54" t="n">
        <f aca="false">W15-V16</f>
        <v>12004.51</v>
      </c>
      <c r="X16" s="6" t="n">
        <f aca="false">N16+O16+S16+U16+V16</f>
        <v>42.55</v>
      </c>
      <c r="Y16" s="53" t="n">
        <f aca="false">IF(L16&lt;0,L16*-1,0)</f>
        <v>0.0127426266700326</v>
      </c>
      <c r="Z16" s="53" t="n">
        <f aca="false">X16+Y16</f>
        <v>42.56274262667</v>
      </c>
      <c r="AA16" s="58" t="n">
        <v>0</v>
      </c>
      <c r="AB16" s="59" t="n">
        <v>53</v>
      </c>
      <c r="AC16" s="59" t="n">
        <v>20</v>
      </c>
      <c r="AD16" s="60" t="n">
        <f aca="false">AD15+1</f>
        <v>7</v>
      </c>
      <c r="AE16" s="94"/>
      <c r="AF16" s="96"/>
      <c r="AG16" s="95"/>
    </row>
    <row r="17" customFormat="false" ht="11.1" hidden="false" customHeight="true" outlineLevel="0" collapsed="false">
      <c r="A17" s="60" t="n">
        <f aca="false">A16+1</f>
        <v>8</v>
      </c>
      <c r="B17" s="75" t="n">
        <v>6888.52</v>
      </c>
      <c r="C17" s="54" t="n">
        <v>243202</v>
      </c>
      <c r="D17" s="59" t="n">
        <f aca="false">C17-C16</f>
        <v>34</v>
      </c>
      <c r="E17" s="54" t="n">
        <f aca="false">C17-152000</f>
        <v>91202</v>
      </c>
      <c r="F17" s="53" t="n">
        <f aca="false">D17/$D$2</f>
        <v>17.1414166876733</v>
      </c>
      <c r="G17" s="53" t="n">
        <v>55.5</v>
      </c>
      <c r="H17" s="58" t="n">
        <v>0</v>
      </c>
      <c r="I17" s="53" t="n">
        <f aca="false">G17+H17</f>
        <v>55.5</v>
      </c>
      <c r="J17" s="83" t="n">
        <f aca="false">IF(L17&gt;0,L17,0)</f>
        <v>0.0314166876733033</v>
      </c>
      <c r="K17" s="53" t="n">
        <f aca="false">I17+J17</f>
        <v>55.5314166876733</v>
      </c>
      <c r="L17" s="53" t="n">
        <f aca="false">F17-(I17-X17)</f>
        <v>0.0314166876733033</v>
      </c>
      <c r="M17" s="53" t="n">
        <v>3.39</v>
      </c>
      <c r="N17" s="53" t="n">
        <v>0</v>
      </c>
      <c r="O17" s="53" t="n">
        <v>0</v>
      </c>
      <c r="P17" s="6" t="n">
        <f aca="false">M17-(N17+O17)</f>
        <v>3.39</v>
      </c>
      <c r="Q17" s="53" t="n">
        <v>0</v>
      </c>
      <c r="R17" s="53" t="n">
        <v>0</v>
      </c>
      <c r="S17" s="53" t="n">
        <f aca="false">SUM(P17:R17)</f>
        <v>3.39</v>
      </c>
      <c r="T17" s="54"/>
      <c r="U17" s="53" t="n">
        <v>0</v>
      </c>
      <c r="V17" s="53" t="n">
        <v>35</v>
      </c>
      <c r="W17" s="54" t="n">
        <f aca="false">W16-V17</f>
        <v>11969.51</v>
      </c>
      <c r="X17" s="6" t="n">
        <f aca="false">N17+O17+S17+U17+V17</f>
        <v>38.39</v>
      </c>
      <c r="Y17" s="53" t="n">
        <f aca="false">IF(L17&lt;0,L17*-1,0)</f>
        <v>0</v>
      </c>
      <c r="Z17" s="53" t="n">
        <f aca="false">X17+Y17</f>
        <v>38.39</v>
      </c>
      <c r="AA17" s="58" t="n">
        <v>0</v>
      </c>
      <c r="AB17" s="59" t="n">
        <v>51</v>
      </c>
      <c r="AC17" s="59" t="n">
        <v>20</v>
      </c>
      <c r="AD17" s="60" t="n">
        <f aca="false">AD16+1</f>
        <v>8</v>
      </c>
      <c r="AE17" s="94"/>
      <c r="AF17" s="96"/>
      <c r="AG17" s="95"/>
    </row>
    <row r="18" customFormat="false" ht="11.1" hidden="false" customHeight="true" outlineLevel="0" collapsed="false">
      <c r="A18" s="60" t="n">
        <f aca="false">A17+1</f>
        <v>9</v>
      </c>
      <c r="B18" s="75" t="n">
        <v>6888.53</v>
      </c>
      <c r="C18" s="54" t="n">
        <v>243235</v>
      </c>
      <c r="D18" s="59" t="n">
        <f aca="false">C18-C17</f>
        <v>33</v>
      </c>
      <c r="E18" s="54" t="n">
        <f aca="false">C18-152000</f>
        <v>91235</v>
      </c>
      <c r="F18" s="53" t="n">
        <f aca="false">D18/$D$2</f>
        <v>16.63725737333</v>
      </c>
      <c r="G18" s="53" t="n">
        <v>49.7</v>
      </c>
      <c r="H18" s="58" t="n">
        <v>0</v>
      </c>
      <c r="I18" s="53" t="n">
        <f aca="false">G18+H18</f>
        <v>49.7</v>
      </c>
      <c r="J18" s="83" t="n">
        <f aca="false">IF(L18&gt;0,L18,0)</f>
        <v>0.0272573733299666</v>
      </c>
      <c r="K18" s="53" t="n">
        <f aca="false">I18+J18</f>
        <v>49.72725737333</v>
      </c>
      <c r="L18" s="53" t="n">
        <f aca="false">F18-(I18-X18)</f>
        <v>0.0272573733299666</v>
      </c>
      <c r="M18" s="53" t="n">
        <v>3.39</v>
      </c>
      <c r="N18" s="53" t="n">
        <v>0</v>
      </c>
      <c r="O18" s="53" t="n">
        <v>0</v>
      </c>
      <c r="P18" s="6" t="n">
        <f aca="false">M18-(N18+O18)</f>
        <v>3.39</v>
      </c>
      <c r="Q18" s="53" t="n">
        <v>0</v>
      </c>
      <c r="R18" s="53" t="n">
        <v>0</v>
      </c>
      <c r="S18" s="53" t="n">
        <f aca="false">SUM(P18:R18)</f>
        <v>3.39</v>
      </c>
      <c r="T18" s="54"/>
      <c r="U18" s="53" t="n">
        <v>0</v>
      </c>
      <c r="V18" s="53" t="n">
        <v>29.7</v>
      </c>
      <c r="W18" s="54" t="n">
        <f aca="false">W17-V18</f>
        <v>11939.81</v>
      </c>
      <c r="X18" s="6" t="n">
        <f aca="false">N18+O18+S18+U18+V18</f>
        <v>33.09</v>
      </c>
      <c r="Y18" s="53" t="n">
        <f aca="false">IF(L18&lt;0,L18*-1,0)</f>
        <v>0</v>
      </c>
      <c r="Z18" s="53" t="n">
        <f aca="false">X18+Y18</f>
        <v>33.09</v>
      </c>
      <c r="AA18" s="58" t="n">
        <v>0</v>
      </c>
      <c r="AB18" s="84" t="n">
        <v>49</v>
      </c>
      <c r="AC18" s="59" t="n">
        <v>16</v>
      </c>
      <c r="AD18" s="60" t="n">
        <f aca="false">AD17+1</f>
        <v>9</v>
      </c>
      <c r="AE18" s="94"/>
      <c r="AF18" s="96"/>
      <c r="AG18" s="95"/>
    </row>
    <row r="19" customFormat="false" ht="11.1" hidden="false" customHeight="true" outlineLevel="0" collapsed="false">
      <c r="A19" s="60" t="n">
        <f aca="false">A18+1</f>
        <v>10</v>
      </c>
      <c r="B19" s="75" t="n">
        <v>6888.54</v>
      </c>
      <c r="C19" s="54" t="n">
        <v>243268</v>
      </c>
      <c r="D19" s="59" t="n">
        <f aca="false">C19-C18</f>
        <v>33</v>
      </c>
      <c r="E19" s="54" t="n">
        <f aca="false">C19-152000</f>
        <v>91268</v>
      </c>
      <c r="F19" s="53" t="n">
        <f aca="false">D19/$D$2</f>
        <v>16.63725737333</v>
      </c>
      <c r="G19" s="53" t="n">
        <v>49.7</v>
      </c>
      <c r="H19" s="58" t="n">
        <v>0</v>
      </c>
      <c r="I19" s="53" t="n">
        <f aca="false">G19+H19</f>
        <v>49.7</v>
      </c>
      <c r="J19" s="83" t="n">
        <f aca="false">IF(L19&gt;0,L19,0)</f>
        <v>0.0272573733299666</v>
      </c>
      <c r="K19" s="53" t="n">
        <f aca="false">I19+J19</f>
        <v>49.72725737333</v>
      </c>
      <c r="L19" s="53" t="n">
        <f aca="false">F19-(I19-X19)</f>
        <v>0.0272573733299666</v>
      </c>
      <c r="M19" s="53" t="n">
        <v>3.39</v>
      </c>
      <c r="N19" s="53" t="n">
        <v>0</v>
      </c>
      <c r="O19" s="53" t="n">
        <v>0</v>
      </c>
      <c r="P19" s="6" t="n">
        <f aca="false">M19-(N19+O19)</f>
        <v>3.39</v>
      </c>
      <c r="Q19" s="53" t="n">
        <v>0</v>
      </c>
      <c r="R19" s="53" t="n">
        <v>0</v>
      </c>
      <c r="S19" s="53" t="n">
        <f aca="false">SUM(P19:R19)</f>
        <v>3.39</v>
      </c>
      <c r="T19" s="54"/>
      <c r="U19" s="53" t="n">
        <v>0</v>
      </c>
      <c r="V19" s="53" t="n">
        <v>29.7</v>
      </c>
      <c r="W19" s="54" t="n">
        <f aca="false">W18-V19</f>
        <v>11910.11</v>
      </c>
      <c r="X19" s="6" t="n">
        <f aca="false">N19+O19+S19+U19+V19</f>
        <v>33.09</v>
      </c>
      <c r="Y19" s="53" t="n">
        <f aca="false">IF(L19&lt;0,L19*-1,0)</f>
        <v>0</v>
      </c>
      <c r="Z19" s="53" t="n">
        <f aca="false">X19+Y19</f>
        <v>33.09</v>
      </c>
      <c r="AA19" s="58" t="n">
        <v>0</v>
      </c>
      <c r="AB19" s="59" t="n">
        <v>48</v>
      </c>
      <c r="AC19" s="59" t="n">
        <v>14</v>
      </c>
      <c r="AD19" s="60" t="n">
        <f aca="false">AD18+1</f>
        <v>10</v>
      </c>
      <c r="AE19" s="94"/>
      <c r="AF19" s="96"/>
      <c r="AG19" s="95"/>
    </row>
    <row r="20" customFormat="false" ht="11.1" hidden="false" customHeight="true" outlineLevel="0" collapsed="false">
      <c r="A20" s="60" t="n">
        <f aca="false">A19+1</f>
        <v>11</v>
      </c>
      <c r="B20" s="75" t="n">
        <v>6888.57</v>
      </c>
      <c r="C20" s="54" t="n">
        <v>243368</v>
      </c>
      <c r="D20" s="59" t="n">
        <f aca="false">C20-C19</f>
        <v>100</v>
      </c>
      <c r="E20" s="54" t="n">
        <f aca="false">C20-152000</f>
        <v>91368</v>
      </c>
      <c r="F20" s="53" t="n">
        <f aca="false">D20/$D$2</f>
        <v>50.4159314343332</v>
      </c>
      <c r="G20" s="53" t="n">
        <v>82.7</v>
      </c>
      <c r="H20" s="58" t="n">
        <v>0</v>
      </c>
      <c r="I20" s="53" t="n">
        <f aca="false">G20+H20</f>
        <v>82.7</v>
      </c>
      <c r="J20" s="83" t="n">
        <f aca="false">IF(L20&gt;0,L20,0)</f>
        <v>0.0159314343332397</v>
      </c>
      <c r="K20" s="53" t="n">
        <f aca="false">I20+J20</f>
        <v>82.7159314343333</v>
      </c>
      <c r="L20" s="53" t="n">
        <f aca="false">F20-(I20-X20)</f>
        <v>0.0159314343332397</v>
      </c>
      <c r="M20" s="53" t="n">
        <v>3.39</v>
      </c>
      <c r="N20" s="53" t="n">
        <v>0</v>
      </c>
      <c r="O20" s="53" t="n">
        <v>0</v>
      </c>
      <c r="P20" s="6" t="n">
        <f aca="false">M20-(N20+O20)</f>
        <v>3.39</v>
      </c>
      <c r="Q20" s="53" t="n">
        <v>0</v>
      </c>
      <c r="R20" s="53" t="n">
        <v>0</v>
      </c>
      <c r="S20" s="53" t="n">
        <f aca="false">SUM(P20:R20)</f>
        <v>3.39</v>
      </c>
      <c r="T20" s="54"/>
      <c r="U20" s="53" t="n">
        <v>0</v>
      </c>
      <c r="V20" s="53" t="n">
        <v>28.91</v>
      </c>
      <c r="W20" s="54" t="n">
        <f aca="false">W19-V20</f>
        <v>11881.2</v>
      </c>
      <c r="X20" s="6" t="n">
        <f aca="false">N20+O20+S20+U20+V20</f>
        <v>32.3</v>
      </c>
      <c r="Y20" s="53" t="n">
        <f aca="false">IF(L20&lt;0,L20*-1,0)</f>
        <v>0</v>
      </c>
      <c r="Z20" s="53" t="n">
        <f aca="false">X20+Y20</f>
        <v>32.3</v>
      </c>
      <c r="AA20" s="58" t="n">
        <v>0</v>
      </c>
      <c r="AB20" s="59" t="n">
        <v>51</v>
      </c>
      <c r="AC20" s="59" t="n">
        <v>12</v>
      </c>
      <c r="AD20" s="60" t="n">
        <f aca="false">AD19+1</f>
        <v>11</v>
      </c>
      <c r="AE20" s="94"/>
      <c r="AF20" s="96"/>
      <c r="AG20" s="95"/>
    </row>
    <row r="21" customFormat="false" ht="11.1" hidden="false" customHeight="true" outlineLevel="0" collapsed="false">
      <c r="A21" s="60" t="n">
        <f aca="false">A20+1</f>
        <v>12</v>
      </c>
      <c r="B21" s="75" t="n">
        <v>6888.58</v>
      </c>
      <c r="C21" s="54" t="n">
        <v>243402</v>
      </c>
      <c r="D21" s="59" t="n">
        <f aca="false">C21-C20</f>
        <v>34</v>
      </c>
      <c r="E21" s="54" t="n">
        <f aca="false">C21-152000</f>
        <v>91402</v>
      </c>
      <c r="F21" s="53" t="n">
        <f aca="false">D21/$D$2</f>
        <v>17.1414166876733</v>
      </c>
      <c r="G21" s="53" t="n">
        <v>50.6</v>
      </c>
      <c r="H21" s="58" t="n">
        <v>0</v>
      </c>
      <c r="I21" s="53" t="n">
        <f aca="false">G21+H21</f>
        <v>50.6</v>
      </c>
      <c r="J21" s="83" t="n">
        <f aca="false">IF(L21&gt;0,L21,0)</f>
        <v>0.0114166876733002</v>
      </c>
      <c r="K21" s="53" t="n">
        <f aca="false">I21+J21</f>
        <v>50.6114166876733</v>
      </c>
      <c r="L21" s="53" t="n">
        <f aca="false">F21-(I21-X21)</f>
        <v>0.0114166876733002</v>
      </c>
      <c r="M21" s="53" t="n">
        <v>3.39</v>
      </c>
      <c r="N21" s="53" t="n">
        <v>0</v>
      </c>
      <c r="O21" s="53" t="n">
        <v>0</v>
      </c>
      <c r="P21" s="6" t="n">
        <f aca="false">M21-(N21+O21)</f>
        <v>3.39</v>
      </c>
      <c r="Q21" s="53" t="n">
        <v>0</v>
      </c>
      <c r="R21" s="53" t="n">
        <v>0</v>
      </c>
      <c r="S21" s="53" t="n">
        <f aca="false">SUM(P21:R21)</f>
        <v>3.39</v>
      </c>
      <c r="T21" s="54"/>
      <c r="U21" s="53" t="n">
        <v>0</v>
      </c>
      <c r="V21" s="53" t="n">
        <v>30.08</v>
      </c>
      <c r="W21" s="54" t="n">
        <f aca="false">W20-V21</f>
        <v>11851.12</v>
      </c>
      <c r="X21" s="6" t="n">
        <f aca="false">N21+O21+S21+U21+V21</f>
        <v>33.47</v>
      </c>
      <c r="Y21" s="53" t="n">
        <f aca="false">IF(L21&lt;0,L21*-1,0)</f>
        <v>0</v>
      </c>
      <c r="Z21" s="53" t="n">
        <f aca="false">X21+Y21</f>
        <v>33.47</v>
      </c>
      <c r="AA21" s="58" t="n">
        <v>0</v>
      </c>
      <c r="AB21" s="59" t="n">
        <v>48</v>
      </c>
      <c r="AC21" s="59" t="n">
        <v>17</v>
      </c>
      <c r="AD21" s="60" t="n">
        <f aca="false">AD20+1</f>
        <v>12</v>
      </c>
      <c r="AE21" s="94"/>
      <c r="AF21" s="96"/>
      <c r="AG21" s="95"/>
    </row>
    <row r="22" customFormat="false" ht="11.1" hidden="false" customHeight="true" outlineLevel="0" collapsed="false">
      <c r="A22" s="60" t="n">
        <f aca="false">A21+1</f>
        <v>13</v>
      </c>
      <c r="B22" s="75" t="n">
        <v>6888.59</v>
      </c>
      <c r="C22" s="54" t="n">
        <v>243435</v>
      </c>
      <c r="D22" s="59" t="n">
        <f aca="false">C22-C21</f>
        <v>33</v>
      </c>
      <c r="E22" s="54" t="n">
        <f aca="false">C22-152000</f>
        <v>91435</v>
      </c>
      <c r="F22" s="53" t="n">
        <f aca="false">D22/$D$2</f>
        <v>16.63725737333</v>
      </c>
      <c r="G22" s="53" t="n">
        <v>50.6</v>
      </c>
      <c r="H22" s="58" t="n">
        <v>0</v>
      </c>
      <c r="I22" s="53" t="n">
        <f aca="false">G22+H22</f>
        <v>50.6</v>
      </c>
      <c r="J22" s="83" t="n">
        <f aca="false">IF(L22&gt;0,L22,0)</f>
        <v>0</v>
      </c>
      <c r="K22" s="53" t="n">
        <f aca="false">I22+J22</f>
        <v>50.6</v>
      </c>
      <c r="L22" s="53" t="n">
        <f aca="false">F22-(I22-X22)</f>
        <v>-0.0427426266700266</v>
      </c>
      <c r="M22" s="53" t="n">
        <v>3.39</v>
      </c>
      <c r="N22" s="53" t="n">
        <v>0</v>
      </c>
      <c r="O22" s="53" t="n">
        <v>0</v>
      </c>
      <c r="P22" s="6" t="n">
        <f aca="false">M22-(N22+O22)</f>
        <v>3.39</v>
      </c>
      <c r="Q22" s="53" t="n">
        <v>0</v>
      </c>
      <c r="R22" s="53" t="n">
        <v>0</v>
      </c>
      <c r="S22" s="53" t="n">
        <f aca="false">SUM(P22:R22)</f>
        <v>3.39</v>
      </c>
      <c r="T22" s="54"/>
      <c r="U22" s="53" t="n">
        <v>0</v>
      </c>
      <c r="V22" s="53" t="n">
        <v>30.53</v>
      </c>
      <c r="W22" s="54" t="n">
        <f aca="false">W21-V22</f>
        <v>11820.59</v>
      </c>
      <c r="X22" s="6" t="n">
        <f aca="false">N22+O22+S22+U22+V22</f>
        <v>33.92</v>
      </c>
      <c r="Y22" s="53" t="n">
        <f aca="false">IF(L22&lt;0,L22*-1,0)</f>
        <v>0.0427426266700266</v>
      </c>
      <c r="Z22" s="53" t="n">
        <f aca="false">X22+Y22</f>
        <v>33.96274262667</v>
      </c>
      <c r="AA22" s="58" t="n">
        <v>0</v>
      </c>
      <c r="AB22" s="59" t="n">
        <v>48</v>
      </c>
      <c r="AC22" s="59" t="n">
        <v>20</v>
      </c>
      <c r="AD22" s="60" t="n">
        <f aca="false">AD21+1</f>
        <v>13</v>
      </c>
      <c r="AE22" s="94"/>
      <c r="AF22" s="96"/>
      <c r="AG22" s="95"/>
    </row>
    <row r="23" customFormat="false" ht="11.1" hidden="false" customHeight="true" outlineLevel="0" collapsed="false">
      <c r="A23" s="60" t="n">
        <f aca="false">A22+1</f>
        <v>14</v>
      </c>
      <c r="B23" s="75" t="n">
        <v>6888.61</v>
      </c>
      <c r="C23" s="54" t="n">
        <v>243502</v>
      </c>
      <c r="D23" s="59" t="n">
        <f aca="false">C23-C22</f>
        <v>67</v>
      </c>
      <c r="E23" s="54" t="n">
        <f aca="false">C23-152000</f>
        <v>91502</v>
      </c>
      <c r="F23" s="53" t="n">
        <f aca="false">D23/$D$2</f>
        <v>33.7786740610033</v>
      </c>
      <c r="G23" s="53" t="n">
        <v>69</v>
      </c>
      <c r="H23" s="58" t="n">
        <v>0</v>
      </c>
      <c r="I23" s="53" t="n">
        <f aca="false">G23+H23</f>
        <v>69</v>
      </c>
      <c r="J23" s="83" t="n">
        <f aca="false">IF(L23&gt;0,L23,0)</f>
        <v>4.93867406100328</v>
      </c>
      <c r="K23" s="53" t="n">
        <f aca="false">I23+J23</f>
        <v>73.9386740610033</v>
      </c>
      <c r="L23" s="53" t="n">
        <f aca="false">F23-(I23-X23)</f>
        <v>4.93867406100328</v>
      </c>
      <c r="M23" s="53" t="n">
        <v>4.57</v>
      </c>
      <c r="N23" s="53" t="n">
        <v>0</v>
      </c>
      <c r="O23" s="53" t="n">
        <v>0</v>
      </c>
      <c r="P23" s="6" t="n">
        <f aca="false">M23-(N23+O23)</f>
        <v>4.57</v>
      </c>
      <c r="Q23" s="53" t="n">
        <v>0</v>
      </c>
      <c r="R23" s="53" t="n">
        <v>0</v>
      </c>
      <c r="S23" s="53" t="n">
        <f aca="false">SUM(P23:R23)</f>
        <v>4.57</v>
      </c>
      <c r="T23" s="54"/>
      <c r="U23" s="53" t="n">
        <v>0</v>
      </c>
      <c r="V23" s="53" t="n">
        <v>35.59</v>
      </c>
      <c r="W23" s="54" t="n">
        <f aca="false">W22-V23</f>
        <v>11785</v>
      </c>
      <c r="X23" s="6" t="n">
        <f aca="false">N23+O23+S23+U23+V23</f>
        <v>40.16</v>
      </c>
      <c r="Y23" s="53" t="n">
        <f aca="false">IF(L23&lt;0,L23*-1,0)</f>
        <v>0</v>
      </c>
      <c r="Z23" s="53" t="n">
        <f aca="false">X23+Y23</f>
        <v>40.16</v>
      </c>
      <c r="AA23" s="58" t="n">
        <v>0</v>
      </c>
      <c r="AB23" s="84" t="n">
        <v>50</v>
      </c>
      <c r="AC23" s="59" t="n">
        <v>20</v>
      </c>
      <c r="AD23" s="60" t="n">
        <f aca="false">AD22+1</f>
        <v>14</v>
      </c>
      <c r="AE23" s="94"/>
      <c r="AF23" s="96"/>
      <c r="AG23" s="95"/>
    </row>
    <row r="24" customFormat="false" ht="11.1" hidden="false" customHeight="true" outlineLevel="0" collapsed="false">
      <c r="A24" s="60" t="n">
        <f aca="false">A23+1</f>
        <v>15</v>
      </c>
      <c r="B24" s="75" t="n">
        <v>6888.65</v>
      </c>
      <c r="C24" s="54" t="n">
        <v>243635</v>
      </c>
      <c r="D24" s="59" t="n">
        <f aca="false">C24-C23</f>
        <v>133</v>
      </c>
      <c r="E24" s="54" t="n">
        <f aca="false">C24-152000</f>
        <v>91635</v>
      </c>
      <c r="F24" s="53" t="n">
        <f aca="false">D24/$D$2</f>
        <v>67.0531888076632</v>
      </c>
      <c r="G24" s="53" t="n">
        <v>102</v>
      </c>
      <c r="H24" s="58" t="n">
        <v>0</v>
      </c>
      <c r="I24" s="53" t="n">
        <f aca="false">G24+H24</f>
        <v>102</v>
      </c>
      <c r="J24" s="83" t="n">
        <f aca="false">IF(L24&gt;0,L24,0)</f>
        <v>0</v>
      </c>
      <c r="K24" s="53" t="n">
        <f aca="false">I24+J24</f>
        <v>102</v>
      </c>
      <c r="L24" s="53" t="n">
        <f aca="false">F24-(I24-X24)</f>
        <v>-0.0568111923367809</v>
      </c>
      <c r="M24" s="53" t="n">
        <v>4.57</v>
      </c>
      <c r="N24" s="53" t="n">
        <v>0</v>
      </c>
      <c r="O24" s="53" t="n">
        <v>0</v>
      </c>
      <c r="P24" s="6" t="n">
        <f aca="false">M24-(N24+O24)</f>
        <v>4.57</v>
      </c>
      <c r="Q24" s="53" t="n">
        <v>0</v>
      </c>
      <c r="R24" s="53" t="n">
        <v>0</v>
      </c>
      <c r="S24" s="53" t="n">
        <f aca="false">SUM(P24:R24)</f>
        <v>4.57</v>
      </c>
      <c r="T24" s="54"/>
      <c r="U24" s="53" t="n">
        <v>0</v>
      </c>
      <c r="V24" s="53" t="n">
        <v>30.32</v>
      </c>
      <c r="W24" s="54" t="n">
        <f aca="false">W23-V24</f>
        <v>11754.68</v>
      </c>
      <c r="X24" s="6" t="n">
        <f aca="false">N24+O24+S24+U24+V24</f>
        <v>34.89</v>
      </c>
      <c r="Y24" s="53" t="n">
        <f aca="false">IF(L24&lt;0,L24*-1,0)</f>
        <v>0.0568111923367809</v>
      </c>
      <c r="Z24" s="53" t="n">
        <f aca="false">X24+Y24</f>
        <v>34.9468111923368</v>
      </c>
      <c r="AA24" s="58" t="n">
        <v>0</v>
      </c>
      <c r="AB24" s="84" t="n">
        <v>47</v>
      </c>
      <c r="AC24" s="59" t="n">
        <v>17</v>
      </c>
      <c r="AD24" s="60" t="n">
        <f aca="false">AD23+1</f>
        <v>15</v>
      </c>
      <c r="AE24" s="94"/>
      <c r="AF24" s="96"/>
      <c r="AG24" s="95"/>
    </row>
    <row r="25" customFormat="false" ht="11.1" hidden="false" customHeight="true" outlineLevel="0" collapsed="false">
      <c r="A25" s="60" t="n">
        <f aca="false">A24+1</f>
        <v>16</v>
      </c>
      <c r="B25" s="75" t="n">
        <v>6888.68</v>
      </c>
      <c r="C25" s="54" t="n">
        <v>243735</v>
      </c>
      <c r="D25" s="59" t="n">
        <f aca="false">C25-C24</f>
        <v>100</v>
      </c>
      <c r="E25" s="54" t="n">
        <f aca="false">C25-152000</f>
        <v>91735</v>
      </c>
      <c r="F25" s="53" t="n">
        <f aca="false">D25/$D$2</f>
        <v>50.4159314343332</v>
      </c>
      <c r="G25" s="53" t="n">
        <v>86.1</v>
      </c>
      <c r="H25" s="58" t="n">
        <v>0</v>
      </c>
      <c r="I25" s="53" t="n">
        <f aca="false">G25+H25</f>
        <v>86.1</v>
      </c>
      <c r="J25" s="83" t="n">
        <f aca="false">IF(L25&gt;0,L25,0)</f>
        <v>0.00593143433324883</v>
      </c>
      <c r="K25" s="53" t="n">
        <f aca="false">I25+J25</f>
        <v>86.1059314343332</v>
      </c>
      <c r="L25" s="53" t="n">
        <f aca="false">F25-(I25-X25)</f>
        <v>0.00593143433324883</v>
      </c>
      <c r="M25" s="53" t="n">
        <v>4.4</v>
      </c>
      <c r="N25" s="53" t="n">
        <v>0</v>
      </c>
      <c r="O25" s="53" t="n">
        <v>0</v>
      </c>
      <c r="P25" s="6" t="n">
        <f aca="false">M25-(N25+O25)</f>
        <v>4.4</v>
      </c>
      <c r="Q25" s="53" t="n">
        <v>0</v>
      </c>
      <c r="R25" s="53" t="n">
        <v>0</v>
      </c>
      <c r="S25" s="53" t="n">
        <f aca="false">SUM(P25:R25)</f>
        <v>4.4</v>
      </c>
      <c r="T25" s="54"/>
      <c r="U25" s="53" t="n">
        <v>0</v>
      </c>
      <c r="V25" s="53" t="n">
        <v>31.29</v>
      </c>
      <c r="W25" s="54" t="n">
        <f aca="false">W24-V25</f>
        <v>11723.39</v>
      </c>
      <c r="X25" s="6" t="n">
        <f aca="false">N25+O25+S25+U25+V25</f>
        <v>35.69</v>
      </c>
      <c r="Y25" s="53" t="n">
        <f aca="false">IF(L25&lt;0,L25*-1,0)</f>
        <v>0</v>
      </c>
      <c r="Z25" s="53" t="n">
        <f aca="false">X25+Y25</f>
        <v>35.69</v>
      </c>
      <c r="AA25" s="58" t="n">
        <v>0</v>
      </c>
      <c r="AB25" s="84" t="n">
        <v>35</v>
      </c>
      <c r="AC25" s="59" t="n">
        <v>15</v>
      </c>
      <c r="AD25" s="60" t="n">
        <f aca="false">AD24+1</f>
        <v>16</v>
      </c>
      <c r="AE25" s="94"/>
      <c r="AF25" s="96"/>
      <c r="AG25" s="95"/>
    </row>
    <row r="26" customFormat="false" ht="11.1" hidden="false" customHeight="true" outlineLevel="0" collapsed="false">
      <c r="A26" s="60" t="n">
        <f aca="false">A25+1</f>
        <v>17</v>
      </c>
      <c r="B26" s="75" t="n">
        <v>6888.71</v>
      </c>
      <c r="C26" s="54" t="n">
        <v>243835</v>
      </c>
      <c r="D26" s="59" t="n">
        <f aca="false">C26-C25</f>
        <v>100</v>
      </c>
      <c r="E26" s="54" t="n">
        <f aca="false">C26-152000</f>
        <v>91835</v>
      </c>
      <c r="F26" s="53" t="n">
        <f aca="false">D26/$D$2</f>
        <v>50.4159314343332</v>
      </c>
      <c r="G26" s="53" t="n">
        <v>86.2</v>
      </c>
      <c r="H26" s="58" t="n">
        <v>0</v>
      </c>
      <c r="I26" s="53" t="n">
        <f aca="false">G26+H26</f>
        <v>86.2</v>
      </c>
      <c r="J26" s="83" t="n">
        <f aca="false">IF(L26&gt;0,L26,0)</f>
        <v>0.0259314343332449</v>
      </c>
      <c r="K26" s="53" t="n">
        <f aca="false">I26+J26</f>
        <v>86.2259314343332</v>
      </c>
      <c r="L26" s="53" t="n">
        <f aca="false">F26-(I26-X26)</f>
        <v>0.0259314343332449</v>
      </c>
      <c r="M26" s="53" t="n">
        <v>4.4</v>
      </c>
      <c r="N26" s="53" t="n">
        <v>0</v>
      </c>
      <c r="O26" s="53" t="n">
        <v>0</v>
      </c>
      <c r="P26" s="6" t="n">
        <f aca="false">M26-(N26+O26)</f>
        <v>4.4</v>
      </c>
      <c r="Q26" s="53" t="n">
        <v>0</v>
      </c>
      <c r="R26" s="53" t="n">
        <v>0</v>
      </c>
      <c r="S26" s="53" t="n">
        <f aca="false">SUM(P26:R26)</f>
        <v>4.4</v>
      </c>
      <c r="T26" s="54"/>
      <c r="U26" s="53" t="n">
        <v>0</v>
      </c>
      <c r="V26" s="53" t="n">
        <v>31.41</v>
      </c>
      <c r="W26" s="54" t="n">
        <f aca="false">W25-V26</f>
        <v>11691.98</v>
      </c>
      <c r="X26" s="6" t="n">
        <f aca="false">N26+O26+S26+U26+V26</f>
        <v>35.81</v>
      </c>
      <c r="Y26" s="53" t="n">
        <f aca="false">IF(L26&lt;0,L26*-1,0)</f>
        <v>0</v>
      </c>
      <c r="Z26" s="53" t="n">
        <f aca="false">X26+Y26</f>
        <v>35.81</v>
      </c>
      <c r="AA26" s="58" t="n">
        <v>0</v>
      </c>
      <c r="AB26" s="84" t="n">
        <v>31</v>
      </c>
      <c r="AC26" s="59" t="n">
        <v>14</v>
      </c>
      <c r="AD26" s="60" t="n">
        <f aca="false">AD25+1</f>
        <v>17</v>
      </c>
      <c r="AE26" s="94"/>
      <c r="AF26" s="96"/>
      <c r="AG26" s="95"/>
    </row>
    <row r="27" customFormat="false" ht="11.1" hidden="false" customHeight="true" outlineLevel="0" collapsed="false">
      <c r="A27" s="60" t="n">
        <f aca="false">A26+1</f>
        <v>18</v>
      </c>
      <c r="B27" s="75" t="n">
        <v>6888.72</v>
      </c>
      <c r="C27" s="54" t="n">
        <v>243868</v>
      </c>
      <c r="D27" s="59" t="n">
        <f aca="false">C27-C26</f>
        <v>33</v>
      </c>
      <c r="E27" s="54" t="n">
        <f aca="false">C27-152000</f>
        <v>91868</v>
      </c>
      <c r="F27" s="53" t="n">
        <f aca="false">D27/$D$2</f>
        <v>16.63725737333</v>
      </c>
      <c r="G27" s="53" t="n">
        <v>52.3</v>
      </c>
      <c r="H27" s="58" t="n">
        <v>0</v>
      </c>
      <c r="I27" s="53" t="n">
        <f aca="false">G27+H27</f>
        <v>52.3</v>
      </c>
      <c r="J27" s="83" t="n">
        <f aca="false">IF(L27&gt;0,L27,0)</f>
        <v>0</v>
      </c>
      <c r="K27" s="53" t="n">
        <f aca="false">I27+J27</f>
        <v>52.3</v>
      </c>
      <c r="L27" s="53" t="n">
        <f aca="false">F27-(I27-X27)</f>
        <v>-0.00274262667002034</v>
      </c>
      <c r="M27" s="53" t="n">
        <v>4.4</v>
      </c>
      <c r="N27" s="53" t="n">
        <v>0</v>
      </c>
      <c r="O27" s="53" t="n">
        <v>0</v>
      </c>
      <c r="P27" s="6" t="n">
        <f aca="false">M27-(N27+O27)</f>
        <v>4.4</v>
      </c>
      <c r="Q27" s="53" t="n">
        <v>0</v>
      </c>
      <c r="R27" s="53" t="n">
        <v>0</v>
      </c>
      <c r="S27" s="53" t="n">
        <f aca="false">SUM(P27:R27)</f>
        <v>4.4</v>
      </c>
      <c r="T27" s="54"/>
      <c r="U27" s="53" t="n">
        <v>0</v>
      </c>
      <c r="V27" s="53" t="n">
        <v>31.26</v>
      </c>
      <c r="W27" s="54" t="n">
        <f aca="false">W26-V27</f>
        <v>11660.72</v>
      </c>
      <c r="X27" s="6" t="n">
        <f aca="false">N27+O27+S27+U27+V27</f>
        <v>35.66</v>
      </c>
      <c r="Y27" s="53" t="n">
        <f aca="false">IF(L27&lt;0,L27*-1,0)</f>
        <v>0.00274262667002034</v>
      </c>
      <c r="Z27" s="53" t="n">
        <f aca="false">X27+Y27</f>
        <v>35.66274262667</v>
      </c>
      <c r="AA27" s="101" t="n">
        <v>0</v>
      </c>
      <c r="AB27" s="84" t="n">
        <v>32</v>
      </c>
      <c r="AC27" s="59" t="n">
        <v>14</v>
      </c>
      <c r="AD27" s="60" t="n">
        <f aca="false">AD26+1</f>
        <v>18</v>
      </c>
      <c r="AE27" s="94"/>
      <c r="AF27" s="96"/>
      <c r="AG27" s="95"/>
    </row>
    <row r="28" customFormat="false" ht="11.1" hidden="false" customHeight="true" outlineLevel="0" collapsed="false">
      <c r="A28" s="60" t="n">
        <f aca="false">A27+1</f>
        <v>19</v>
      </c>
      <c r="B28" s="75" t="n">
        <v>6888.73</v>
      </c>
      <c r="C28" s="102" t="n">
        <v>243902</v>
      </c>
      <c r="D28" s="59" t="n">
        <f aca="false">C28-C27</f>
        <v>34</v>
      </c>
      <c r="E28" s="54" t="n">
        <f aca="false">C28-152000</f>
        <v>91902</v>
      </c>
      <c r="F28" s="53" t="n">
        <f aca="false">D28/$D$2</f>
        <v>17.1414166876733</v>
      </c>
      <c r="G28" s="53" t="n">
        <v>52.84</v>
      </c>
      <c r="H28" s="58" t="n">
        <v>0</v>
      </c>
      <c r="I28" s="53" t="n">
        <f aca="false">G28+H28</f>
        <v>52.84</v>
      </c>
      <c r="J28" s="83" t="n">
        <f aca="false">IF(L28&gt;0,L28,0)</f>
        <v>0</v>
      </c>
      <c r="K28" s="53" t="n">
        <f aca="false">I28+J28</f>
        <v>52.84</v>
      </c>
      <c r="L28" s="53" t="n">
        <f aca="false">F28-(I28-X28)</f>
        <v>-0.00858331232670295</v>
      </c>
      <c r="M28" s="53" t="n">
        <v>4.4</v>
      </c>
      <c r="N28" s="53" t="n">
        <v>0</v>
      </c>
      <c r="O28" s="53" t="n">
        <v>0</v>
      </c>
      <c r="P28" s="6" t="n">
        <f aca="false">M28-(N28+O28)</f>
        <v>4.4</v>
      </c>
      <c r="Q28" s="53" t="n">
        <v>0</v>
      </c>
      <c r="R28" s="53" t="n">
        <v>0</v>
      </c>
      <c r="S28" s="53" t="n">
        <f aca="false">SUM(P28:R28)</f>
        <v>4.4</v>
      </c>
      <c r="T28" s="54"/>
      <c r="U28" s="53" t="n">
        <v>0</v>
      </c>
      <c r="V28" s="53" t="n">
        <v>31.29</v>
      </c>
      <c r="W28" s="54" t="n">
        <f aca="false">W27-V28</f>
        <v>11629.43</v>
      </c>
      <c r="X28" s="6" t="n">
        <f aca="false">N28+O28+S28+U28+V28</f>
        <v>35.69</v>
      </c>
      <c r="Y28" s="53" t="n">
        <f aca="false">IF(L28&lt;0,L28*-1,0)</f>
        <v>0.00858331232670295</v>
      </c>
      <c r="Z28" s="53" t="n">
        <f aca="false">X28+Y28</f>
        <v>35.6985833123267</v>
      </c>
      <c r="AA28" s="58" t="n">
        <v>0</v>
      </c>
      <c r="AB28" s="84" t="n">
        <v>37</v>
      </c>
      <c r="AC28" s="59" t="n">
        <v>9</v>
      </c>
      <c r="AD28" s="60" t="n">
        <f aca="false">AD27+1</f>
        <v>19</v>
      </c>
      <c r="AE28" s="94"/>
      <c r="AF28" s="96"/>
      <c r="AG28" s="95"/>
    </row>
    <row r="29" customFormat="false" ht="11.1" hidden="false" customHeight="true" outlineLevel="0" collapsed="false">
      <c r="A29" s="60" t="n">
        <f aca="false">A28+1</f>
        <v>20</v>
      </c>
      <c r="B29" s="75" t="n">
        <v>6888.74</v>
      </c>
      <c r="C29" s="54" t="n">
        <v>243935</v>
      </c>
      <c r="D29" s="59" t="n">
        <f aca="false">C29-C28</f>
        <v>33</v>
      </c>
      <c r="E29" s="54" t="n">
        <f aca="false">C29-152000</f>
        <v>91935</v>
      </c>
      <c r="F29" s="53" t="n">
        <f aca="false">D29/$D$2</f>
        <v>16.63725737333</v>
      </c>
      <c r="G29" s="53" t="n">
        <v>52.24</v>
      </c>
      <c r="H29" s="58" t="n">
        <v>0</v>
      </c>
      <c r="I29" s="53" t="n">
        <f aca="false">G29+H29</f>
        <v>52.24</v>
      </c>
      <c r="J29" s="83" t="n">
        <f aca="false">IF(L29&gt;0,L29,0)</f>
        <v>0</v>
      </c>
      <c r="K29" s="53" t="n">
        <f aca="false">I29+J29</f>
        <v>52.24</v>
      </c>
      <c r="L29" s="53" t="n">
        <f aca="false">F29-(I29-X29)</f>
        <v>-0.00274262667002745</v>
      </c>
      <c r="M29" s="53" t="n">
        <v>4.4</v>
      </c>
      <c r="N29" s="53" t="n">
        <v>0</v>
      </c>
      <c r="O29" s="53" t="n">
        <v>0</v>
      </c>
      <c r="P29" s="6" t="n">
        <f aca="false">M29-(N29+O29)</f>
        <v>4.4</v>
      </c>
      <c r="Q29" s="53" t="n">
        <v>0</v>
      </c>
      <c r="R29" s="53" t="n">
        <v>0</v>
      </c>
      <c r="S29" s="53" t="n">
        <f aca="false">SUM(P29:R29)</f>
        <v>4.4</v>
      </c>
      <c r="T29" s="54"/>
      <c r="U29" s="53" t="n">
        <v>0</v>
      </c>
      <c r="V29" s="53" t="n">
        <v>31.2</v>
      </c>
      <c r="W29" s="54" t="n">
        <f aca="false">W28-V29</f>
        <v>11598.23</v>
      </c>
      <c r="X29" s="6" t="n">
        <f aca="false">N29+O29+S29+U29+V29</f>
        <v>35.6</v>
      </c>
      <c r="Y29" s="53" t="n">
        <f aca="false">IF(L29&lt;0,L29*-1,0)</f>
        <v>0.00274262667002745</v>
      </c>
      <c r="Z29" s="53" t="n">
        <f aca="false">X29+Y29</f>
        <v>35.60274262667</v>
      </c>
      <c r="AA29" s="58" t="n">
        <v>0</v>
      </c>
      <c r="AB29" s="84" t="n">
        <v>40</v>
      </c>
      <c r="AC29" s="59" t="n">
        <v>12</v>
      </c>
      <c r="AD29" s="60" t="n">
        <f aca="false">AD28+1</f>
        <v>20</v>
      </c>
      <c r="AE29" s="94"/>
      <c r="AF29" s="96"/>
      <c r="AG29" s="95"/>
    </row>
    <row r="30" customFormat="false" ht="11.1" hidden="false" customHeight="true" outlineLevel="0" collapsed="false">
      <c r="A30" s="60" t="n">
        <f aca="false">A29+1</f>
        <v>21</v>
      </c>
      <c r="B30" s="75" t="n">
        <v>6888.76</v>
      </c>
      <c r="C30" s="54" t="n">
        <v>244002</v>
      </c>
      <c r="D30" s="59" t="n">
        <f aca="false">C30-C29</f>
        <v>67</v>
      </c>
      <c r="E30" s="54" t="n">
        <f aca="false">C30-152000</f>
        <v>92002</v>
      </c>
      <c r="F30" s="53" t="n">
        <f aca="false">D30/$D$2</f>
        <v>33.7786740610033</v>
      </c>
      <c r="G30" s="53" t="n">
        <v>125</v>
      </c>
      <c r="H30" s="58" t="n">
        <v>0</v>
      </c>
      <c r="I30" s="53" t="n">
        <f aca="false">G30+H30</f>
        <v>125</v>
      </c>
      <c r="J30" s="83" t="n">
        <f aca="false">IF(L30&gt;0,L30,0)</f>
        <v>0</v>
      </c>
      <c r="K30" s="53" t="n">
        <f aca="false">I30+J30</f>
        <v>125</v>
      </c>
      <c r="L30" s="53" t="n">
        <f aca="false">F30-(I30-X30)</f>
        <v>-55.6213259389967</v>
      </c>
      <c r="M30" s="53" t="n">
        <v>4.4</v>
      </c>
      <c r="N30" s="53" t="n">
        <v>0</v>
      </c>
      <c r="O30" s="53" t="n">
        <v>0</v>
      </c>
      <c r="P30" s="6" t="n">
        <f aca="false">M30-(N30+O30)</f>
        <v>4.4</v>
      </c>
      <c r="Q30" s="53" t="n">
        <v>0</v>
      </c>
      <c r="R30" s="53" t="n">
        <v>0</v>
      </c>
      <c r="S30" s="53" t="n">
        <f aca="false">SUM(P30:R30)</f>
        <v>4.4</v>
      </c>
      <c r="T30" s="54"/>
      <c r="U30" s="53" t="n">
        <v>0</v>
      </c>
      <c r="V30" s="53" t="n">
        <v>31.2</v>
      </c>
      <c r="W30" s="54" t="n">
        <f aca="false">W29-V30</f>
        <v>11567.03</v>
      </c>
      <c r="X30" s="6" t="n">
        <f aca="false">N30+O30+S30+U30+V30</f>
        <v>35.6</v>
      </c>
      <c r="Y30" s="53" t="n">
        <f aca="false">IF(L30&lt;0,L30*-1,0)</f>
        <v>55.6213259389967</v>
      </c>
      <c r="Z30" s="53" t="n">
        <f aca="false">X30+Y30</f>
        <v>91.2213259389967</v>
      </c>
      <c r="AA30" s="58" t="n">
        <v>0</v>
      </c>
      <c r="AB30" s="59" t="n">
        <v>50</v>
      </c>
      <c r="AC30" s="59" t="n">
        <v>15</v>
      </c>
      <c r="AD30" s="60" t="n">
        <f aca="false">AD29+1</f>
        <v>21</v>
      </c>
      <c r="AE30" s="94"/>
      <c r="AF30" s="96"/>
      <c r="AG30" s="95"/>
    </row>
    <row r="31" customFormat="false" ht="11.1" hidden="false" customHeight="true" outlineLevel="0" collapsed="false">
      <c r="A31" s="60" t="n">
        <f aca="false">A30+1</f>
        <v>22</v>
      </c>
      <c r="B31" s="75" t="n">
        <v>6888.77</v>
      </c>
      <c r="C31" s="54" t="n">
        <v>244035</v>
      </c>
      <c r="D31" s="59" t="n">
        <f aca="false">C31-C30</f>
        <v>33</v>
      </c>
      <c r="E31" s="54" t="n">
        <f aca="false">C31-152000</f>
        <v>92035</v>
      </c>
      <c r="F31" s="53" t="n">
        <f aca="false">D31/$D$2</f>
        <v>16.63725737333</v>
      </c>
      <c r="G31" s="53" t="n">
        <v>107.4</v>
      </c>
      <c r="H31" s="58" t="n">
        <v>0</v>
      </c>
      <c r="I31" s="53" t="n">
        <f aca="false">G31+H31</f>
        <v>107.4</v>
      </c>
      <c r="J31" s="83" t="n">
        <f aca="false">IF(L31&gt;0,L31,0)</f>
        <v>0</v>
      </c>
      <c r="K31" s="53" t="n">
        <f aca="false">I31+J31</f>
        <v>107.4</v>
      </c>
      <c r="L31" s="53" t="n">
        <f aca="false">F31-(I31-X31)</f>
        <v>-55.31274262667</v>
      </c>
      <c r="M31" s="53" t="n">
        <v>4.4</v>
      </c>
      <c r="N31" s="53" t="n">
        <v>0</v>
      </c>
      <c r="O31" s="53" t="n">
        <v>0</v>
      </c>
      <c r="P31" s="6" t="n">
        <f aca="false">M31-(N31+O31)</f>
        <v>4.4</v>
      </c>
      <c r="Q31" s="53" t="n">
        <v>0</v>
      </c>
      <c r="R31" s="53" t="n">
        <v>0</v>
      </c>
      <c r="S31" s="53" t="n">
        <f aca="false">SUM(P31:R31)</f>
        <v>4.4</v>
      </c>
      <c r="T31" s="54"/>
      <c r="U31" s="53" t="n">
        <v>0</v>
      </c>
      <c r="V31" s="53" t="n">
        <v>31.05</v>
      </c>
      <c r="W31" s="54" t="n">
        <f aca="false">W30-V31</f>
        <v>11535.98</v>
      </c>
      <c r="X31" s="6" t="n">
        <f aca="false">N31+O31+S31+U31+V31</f>
        <v>35.45</v>
      </c>
      <c r="Y31" s="53" t="n">
        <f aca="false">IF(L31&lt;0,L31*-1,0)</f>
        <v>55.31274262667</v>
      </c>
      <c r="Z31" s="53" t="n">
        <f aca="false">X31+Y31</f>
        <v>90.76274262667</v>
      </c>
      <c r="AA31" s="58" t="n">
        <v>0</v>
      </c>
      <c r="AB31" s="59" t="n">
        <v>52</v>
      </c>
      <c r="AC31" s="59" t="n">
        <v>17</v>
      </c>
      <c r="AD31" s="60" t="n">
        <f aca="false">AD30+1</f>
        <v>22</v>
      </c>
      <c r="AE31" s="94"/>
      <c r="AF31" s="96"/>
      <c r="AG31" s="95"/>
    </row>
    <row r="32" customFormat="false" ht="11.1" hidden="false" customHeight="true" outlineLevel="0" collapsed="false">
      <c r="A32" s="60" t="n">
        <f aca="false">A31+1</f>
        <v>23</v>
      </c>
      <c r="B32" s="75" t="n">
        <v>6888.79</v>
      </c>
      <c r="C32" s="54" t="n">
        <v>244101</v>
      </c>
      <c r="D32" s="59" t="n">
        <f aca="false">C32-C31</f>
        <v>66</v>
      </c>
      <c r="E32" s="54" t="n">
        <f aca="false">C32-152000</f>
        <v>92101</v>
      </c>
      <c r="F32" s="53" t="n">
        <f aca="false">D32/$D$2</f>
        <v>33.2745147466599</v>
      </c>
      <c r="G32" s="53" t="n">
        <v>68.88</v>
      </c>
      <c r="H32" s="58" t="n">
        <v>0</v>
      </c>
      <c r="I32" s="53" t="n">
        <f aca="false">G32+H32</f>
        <v>68.88</v>
      </c>
      <c r="J32" s="83" t="n">
        <f aca="false">IF(L32&gt;0,L32,0)</f>
        <v>0</v>
      </c>
      <c r="K32" s="53" t="n">
        <f aca="false">I32+J32</f>
        <v>68.88</v>
      </c>
      <c r="L32" s="53" t="n">
        <f aca="false">F32-(I32-X32)</f>
        <v>-0.00548525334004779</v>
      </c>
      <c r="M32" s="53" t="n">
        <v>4.4</v>
      </c>
      <c r="N32" s="53" t="n">
        <v>0</v>
      </c>
      <c r="O32" s="53" t="n">
        <v>0</v>
      </c>
      <c r="P32" s="6" t="n">
        <f aca="false">M32-(N32+O32)</f>
        <v>4.4</v>
      </c>
      <c r="Q32" s="53" t="n">
        <v>0</v>
      </c>
      <c r="R32" s="53" t="n">
        <v>0</v>
      </c>
      <c r="S32" s="53" t="n">
        <f aca="false">SUM(P32:R32)</f>
        <v>4.4</v>
      </c>
      <c r="T32" s="54"/>
      <c r="U32" s="53" t="n">
        <v>0</v>
      </c>
      <c r="V32" s="53" t="n">
        <v>31.2</v>
      </c>
      <c r="W32" s="54" t="n">
        <f aca="false">W31-V32</f>
        <v>11504.78</v>
      </c>
      <c r="X32" s="6" t="n">
        <f aca="false">N32+O32+S32+U32+V32</f>
        <v>35.6</v>
      </c>
      <c r="Y32" s="53" t="n">
        <f aca="false">IF(L32&lt;0,L32*-1,0)</f>
        <v>0.00548525334004779</v>
      </c>
      <c r="Z32" s="53" t="n">
        <f aca="false">X32+Y32</f>
        <v>35.60548525334</v>
      </c>
      <c r="AA32" s="58" t="n">
        <v>0</v>
      </c>
      <c r="AB32" s="59" t="n">
        <v>49</v>
      </c>
      <c r="AC32" s="84" t="n">
        <v>16</v>
      </c>
      <c r="AD32" s="60" t="n">
        <f aca="false">AD31+1</f>
        <v>23</v>
      </c>
      <c r="AE32" s="94"/>
      <c r="AF32" s="96"/>
      <c r="AG32" s="95"/>
    </row>
    <row r="33" customFormat="false" ht="11.1" hidden="false" customHeight="true" outlineLevel="0" collapsed="false">
      <c r="A33" s="60" t="n">
        <f aca="false">A32+1</f>
        <v>24</v>
      </c>
      <c r="B33" s="75" t="n">
        <v>6888.81</v>
      </c>
      <c r="C33" s="54" t="n">
        <v>244168</v>
      </c>
      <c r="D33" s="59" t="n">
        <f aca="false">C33-C32</f>
        <v>67</v>
      </c>
      <c r="E33" s="54" t="n">
        <f aca="false">C33-152000</f>
        <v>92168</v>
      </c>
      <c r="F33" s="53" t="n">
        <f aca="false">D33/$D$2</f>
        <v>33.7786740610033</v>
      </c>
      <c r="G33" s="53" t="n">
        <v>69.39</v>
      </c>
      <c r="H33" s="58" t="n">
        <v>0</v>
      </c>
      <c r="I33" s="53" t="n">
        <f aca="false">G33+H33</f>
        <v>69.39</v>
      </c>
      <c r="J33" s="83" t="n">
        <f aca="false">IF(L33&gt;0,L33,0)</f>
        <v>0</v>
      </c>
      <c r="K33" s="53" t="n">
        <f aca="false">I33+J33</f>
        <v>69.39</v>
      </c>
      <c r="L33" s="53" t="n">
        <f aca="false">F33-(I33-X33)</f>
        <v>-0.0113259389967197</v>
      </c>
      <c r="M33" s="53" t="n">
        <v>4.4</v>
      </c>
      <c r="N33" s="53" t="n">
        <v>0</v>
      </c>
      <c r="O33" s="53" t="n">
        <v>0</v>
      </c>
      <c r="P33" s="6" t="n">
        <f aca="false">M33-(N33+O33)</f>
        <v>4.4</v>
      </c>
      <c r="Q33" s="53" t="n">
        <v>0</v>
      </c>
      <c r="R33" s="53" t="n">
        <v>0</v>
      </c>
      <c r="S33" s="53" t="n">
        <f aca="false">SUM(P33:R33)</f>
        <v>4.4</v>
      </c>
      <c r="T33" s="54"/>
      <c r="U33" s="53" t="n">
        <v>0</v>
      </c>
      <c r="V33" s="53" t="n">
        <v>31.2</v>
      </c>
      <c r="W33" s="54" t="n">
        <f aca="false">W32-V33</f>
        <v>11473.58</v>
      </c>
      <c r="X33" s="6" t="n">
        <f aca="false">N33+O33+S33+U33+V33</f>
        <v>35.6</v>
      </c>
      <c r="Y33" s="53" t="n">
        <f aca="false">IF(L33&lt;0,L33*-1,0)</f>
        <v>0.0113259389967197</v>
      </c>
      <c r="Z33" s="53" t="n">
        <f aca="false">X33+Y33</f>
        <v>35.6113259389967</v>
      </c>
      <c r="AA33" s="58" t="n">
        <v>0</v>
      </c>
      <c r="AB33" s="59" t="n">
        <v>48</v>
      </c>
      <c r="AC33" s="84" t="n">
        <v>15</v>
      </c>
      <c r="AD33" s="60" t="n">
        <f aca="false">AD32+1</f>
        <v>24</v>
      </c>
      <c r="AE33" s="94"/>
      <c r="AF33" s="96"/>
      <c r="AG33" s="95"/>
    </row>
    <row r="34" customFormat="false" ht="11.1" hidden="false" customHeight="true" outlineLevel="0" collapsed="false">
      <c r="A34" s="60" t="n">
        <f aca="false">A33+1</f>
        <v>25</v>
      </c>
      <c r="B34" s="75" t="n">
        <v>6888.85</v>
      </c>
      <c r="C34" s="54" t="n">
        <v>244301</v>
      </c>
      <c r="D34" s="59" t="n">
        <f aca="false">C34-C33</f>
        <v>133</v>
      </c>
      <c r="E34" s="54" t="n">
        <f aca="false">C34-152000</f>
        <v>92301</v>
      </c>
      <c r="F34" s="53" t="n">
        <f aca="false">D34/$D$2</f>
        <v>67.0531888076632</v>
      </c>
      <c r="G34" s="53" t="n">
        <v>102.67</v>
      </c>
      <c r="H34" s="58" t="n">
        <v>0</v>
      </c>
      <c r="I34" s="53" t="n">
        <f aca="false">G34+H34</f>
        <v>102.67</v>
      </c>
      <c r="J34" s="83" t="n">
        <f aca="false">IF(L34&gt;0,L34,0)</f>
        <v>0</v>
      </c>
      <c r="K34" s="53" t="n">
        <f aca="false">I34+J34</f>
        <v>102.67</v>
      </c>
      <c r="L34" s="53" t="n">
        <f aca="false">F34-(I34-X34)</f>
        <v>-0.0168111923367746</v>
      </c>
      <c r="M34" s="53" t="n">
        <v>4.4</v>
      </c>
      <c r="N34" s="53" t="n">
        <v>0</v>
      </c>
      <c r="O34" s="53" t="n">
        <v>0</v>
      </c>
      <c r="P34" s="6" t="n">
        <f aca="false">M34-(N34+O34)</f>
        <v>4.4</v>
      </c>
      <c r="Q34" s="53" t="n">
        <v>0</v>
      </c>
      <c r="R34" s="53" t="n">
        <v>0</v>
      </c>
      <c r="S34" s="53" t="n">
        <f aca="false">SUM(P34:R34)</f>
        <v>4.4</v>
      </c>
      <c r="T34" s="54"/>
      <c r="U34" s="53" t="n">
        <v>0</v>
      </c>
      <c r="V34" s="53" t="n">
        <v>31.2</v>
      </c>
      <c r="W34" s="54" t="n">
        <f aca="false">W33-V34</f>
        <v>11442.38</v>
      </c>
      <c r="X34" s="6" t="n">
        <f aca="false">N34+O34+S34+U34+V34</f>
        <v>35.6</v>
      </c>
      <c r="Y34" s="53" t="n">
        <f aca="false">IF(L34&lt;0,L34*-1,0)</f>
        <v>0.0168111923367746</v>
      </c>
      <c r="Z34" s="53" t="n">
        <f aca="false">X34+Y34</f>
        <v>35.6168111923368</v>
      </c>
      <c r="AA34" s="58" t="n">
        <v>0</v>
      </c>
      <c r="AB34" s="59" t="n">
        <v>46</v>
      </c>
      <c r="AC34" s="84" t="n">
        <v>14</v>
      </c>
      <c r="AD34" s="60" t="n">
        <f aca="false">AD33+1</f>
        <v>25</v>
      </c>
      <c r="AE34" s="94"/>
      <c r="AF34" s="96"/>
      <c r="AG34" s="95"/>
    </row>
    <row r="35" customFormat="false" ht="11.1" hidden="false" customHeight="true" outlineLevel="0" collapsed="false">
      <c r="A35" s="60" t="n">
        <f aca="false">A34+1</f>
        <v>26</v>
      </c>
      <c r="B35" s="75" t="n">
        <v>6888.85</v>
      </c>
      <c r="C35" s="54" t="n">
        <v>244301</v>
      </c>
      <c r="D35" s="59" t="n">
        <f aca="false">C35-C34</f>
        <v>0</v>
      </c>
      <c r="E35" s="54" t="n">
        <f aca="false">C35-152000</f>
        <v>92301</v>
      </c>
      <c r="F35" s="53" t="n">
        <f aca="false">D35/$D$2</f>
        <v>0</v>
      </c>
      <c r="G35" s="53" t="n">
        <v>35.6</v>
      </c>
      <c r="H35" s="58" t="n">
        <v>0</v>
      </c>
      <c r="I35" s="53" t="n">
        <f aca="false">G35+H35</f>
        <v>35.6</v>
      </c>
      <c r="J35" s="83" t="n">
        <f aca="false">IF(L35&gt;0,L35,0)</f>
        <v>0</v>
      </c>
      <c r="K35" s="53" t="n">
        <f aca="false">I35+J35</f>
        <v>35.6</v>
      </c>
      <c r="L35" s="53" t="n">
        <f aca="false">F35-(I35-X35)</f>
        <v>0</v>
      </c>
      <c r="M35" s="53" t="n">
        <v>4.4</v>
      </c>
      <c r="N35" s="53" t="n">
        <v>0</v>
      </c>
      <c r="O35" s="53" t="n">
        <v>0</v>
      </c>
      <c r="P35" s="6" t="n">
        <f aca="false">M35-(N35+O35)</f>
        <v>4.4</v>
      </c>
      <c r="Q35" s="53" t="n">
        <v>0</v>
      </c>
      <c r="R35" s="53" t="n">
        <v>0</v>
      </c>
      <c r="S35" s="53" t="n">
        <f aca="false">SUM(P35:R35)</f>
        <v>4.4</v>
      </c>
      <c r="T35" s="54"/>
      <c r="U35" s="53" t="n">
        <v>0</v>
      </c>
      <c r="V35" s="53" t="n">
        <v>31.2</v>
      </c>
      <c r="W35" s="54" t="n">
        <f aca="false">W34-V35</f>
        <v>11411.18</v>
      </c>
      <c r="X35" s="6" t="n">
        <f aca="false">N35+O35+S35+U35+V35</f>
        <v>35.6</v>
      </c>
      <c r="Y35" s="53" t="n">
        <f aca="false">IF(L35&lt;0,L35*-1,0)</f>
        <v>0</v>
      </c>
      <c r="Z35" s="53" t="n">
        <f aca="false">X35+Y35</f>
        <v>35.6</v>
      </c>
      <c r="AA35" s="58" t="n">
        <v>0.1</v>
      </c>
      <c r="AB35" s="59" t="n">
        <v>44</v>
      </c>
      <c r="AC35" s="59" t="n">
        <v>15</v>
      </c>
      <c r="AD35" s="60" t="n">
        <f aca="false">AD34+1</f>
        <v>26</v>
      </c>
      <c r="AE35" s="94"/>
      <c r="AF35" s="96"/>
      <c r="AG35" s="95"/>
    </row>
    <row r="36" customFormat="false" ht="11.1" hidden="false" customHeight="true" outlineLevel="0" collapsed="false">
      <c r="A36" s="60" t="n">
        <f aca="false">A35+1</f>
        <v>27</v>
      </c>
      <c r="B36" s="75" t="n">
        <v>6888.89</v>
      </c>
      <c r="C36" s="54" t="n">
        <v>244435</v>
      </c>
      <c r="D36" s="59" t="n">
        <f aca="false">C36-C35</f>
        <v>134</v>
      </c>
      <c r="E36" s="54" t="n">
        <f aca="false">C36-152000</f>
        <v>92435</v>
      </c>
      <c r="F36" s="53" t="n">
        <f aca="false">D36/$D$2</f>
        <v>67.5573481220066</v>
      </c>
      <c r="G36" s="53" t="n">
        <v>103.2</v>
      </c>
      <c r="H36" s="58" t="n">
        <v>0</v>
      </c>
      <c r="I36" s="53" t="n">
        <f aca="false">G36+H36</f>
        <v>103.2</v>
      </c>
      <c r="J36" s="83" t="n">
        <f aca="false">IF(L36&gt;0,L36,0)</f>
        <v>0</v>
      </c>
      <c r="K36" s="53" t="n">
        <f aca="false">I36+J36</f>
        <v>103.2</v>
      </c>
      <c r="L36" s="53" t="n">
        <f aca="false">F36-(I36-X36)</f>
        <v>-0.0426518779934355</v>
      </c>
      <c r="M36" s="53" t="n">
        <v>4.4</v>
      </c>
      <c r="N36" s="53" t="n">
        <v>0</v>
      </c>
      <c r="O36" s="53" t="n">
        <v>0</v>
      </c>
      <c r="P36" s="6" t="n">
        <f aca="false">M36-(N36+O36)</f>
        <v>4.4</v>
      </c>
      <c r="Q36" s="53" t="n">
        <v>0</v>
      </c>
      <c r="R36" s="53" t="n">
        <v>0</v>
      </c>
      <c r="S36" s="53" t="n">
        <f aca="false">SUM(P36:R36)</f>
        <v>4.4</v>
      </c>
      <c r="T36" s="54"/>
      <c r="U36" s="53" t="n">
        <v>0</v>
      </c>
      <c r="V36" s="53" t="n">
        <v>31.2</v>
      </c>
      <c r="W36" s="54" t="n">
        <f aca="false">W35-V36</f>
        <v>11379.98</v>
      </c>
      <c r="X36" s="6" t="n">
        <f aca="false">N36+O36+S36+U36+V36</f>
        <v>35.6</v>
      </c>
      <c r="Y36" s="53" t="n">
        <f aca="false">IF(L36&lt;0,L36*-1,0)</f>
        <v>0.0426518779934355</v>
      </c>
      <c r="Z36" s="53" t="n">
        <f aca="false">X36+Y36</f>
        <v>35.6426518779934</v>
      </c>
      <c r="AA36" s="58" t="n">
        <v>0.17</v>
      </c>
      <c r="AB36" s="59" t="n">
        <v>36</v>
      </c>
      <c r="AC36" s="59" t="n">
        <v>16</v>
      </c>
      <c r="AD36" s="60" t="n">
        <f aca="false">AD35+1</f>
        <v>27</v>
      </c>
      <c r="AE36" s="94"/>
      <c r="AF36" s="96"/>
      <c r="AG36" s="95"/>
    </row>
    <row r="37" customFormat="false" ht="11.1" hidden="false" customHeight="true" outlineLevel="0" collapsed="false">
      <c r="A37" s="60" t="n">
        <v>28</v>
      </c>
      <c r="B37" s="75" t="n">
        <v>6888.94</v>
      </c>
      <c r="C37" s="54" t="n">
        <v>244601</v>
      </c>
      <c r="D37" s="59" t="n">
        <f aca="false">C37-C36</f>
        <v>166</v>
      </c>
      <c r="E37" s="54" t="n">
        <f aca="false">C37-152000</f>
        <v>92601</v>
      </c>
      <c r="F37" s="53" t="n">
        <f aca="false">D37/$D$2</f>
        <v>83.6904461809932</v>
      </c>
      <c r="G37" s="53" t="n">
        <v>122</v>
      </c>
      <c r="H37" s="58" t="n">
        <v>0</v>
      </c>
      <c r="I37" s="53" t="n">
        <f aca="false">G37+H37</f>
        <v>122</v>
      </c>
      <c r="J37" s="83" t="n">
        <f aca="false">IF(L37&gt;0,L37,0)</f>
        <v>0</v>
      </c>
      <c r="K37" s="53" t="n">
        <f aca="false">I37+J37</f>
        <v>122</v>
      </c>
      <c r="L37" s="53" t="n">
        <f aca="false">F37-(I37-X37)</f>
        <v>-0.00955381900681118</v>
      </c>
      <c r="M37" s="53" t="n">
        <v>6.64</v>
      </c>
      <c r="N37" s="53" t="n">
        <v>0</v>
      </c>
      <c r="O37" s="53" t="n">
        <v>0</v>
      </c>
      <c r="P37" s="6" t="n">
        <f aca="false">M37-(N37+O37)</f>
        <v>6.64</v>
      </c>
      <c r="Q37" s="53" t="n">
        <v>0</v>
      </c>
      <c r="R37" s="53" t="n">
        <v>0</v>
      </c>
      <c r="S37" s="53" t="n">
        <f aca="false">SUM(P37:R37)</f>
        <v>6.64</v>
      </c>
      <c r="T37" s="54"/>
      <c r="U37" s="53" t="n">
        <v>0</v>
      </c>
      <c r="V37" s="53" t="n">
        <v>31.66</v>
      </c>
      <c r="W37" s="54" t="n">
        <f aca="false">W36-V37</f>
        <v>11348.32</v>
      </c>
      <c r="X37" s="6" t="n">
        <f aca="false">N37+O37+S37+U37+V37</f>
        <v>38.3</v>
      </c>
      <c r="Y37" s="53" t="n">
        <f aca="false">IF(L37&lt;0,L37*-1,0)</f>
        <v>0.00955381900681118</v>
      </c>
      <c r="Z37" s="53" t="n">
        <f aca="false">X37+Y37</f>
        <v>38.3095538190068</v>
      </c>
      <c r="AA37" s="58" t="n">
        <v>0.5</v>
      </c>
      <c r="AB37" s="59" t="n">
        <v>48</v>
      </c>
      <c r="AC37" s="59" t="n">
        <v>18</v>
      </c>
      <c r="AD37" s="60" t="n">
        <v>28</v>
      </c>
      <c r="AE37" s="94"/>
      <c r="AF37" s="96"/>
      <c r="AG37" s="95"/>
    </row>
    <row r="38" customFormat="false" ht="3" hidden="false" customHeight="true" outlineLevel="0" collapsed="false">
      <c r="A38" s="76"/>
      <c r="B38" s="76"/>
      <c r="C38" s="78"/>
      <c r="D38" s="76"/>
      <c r="E38" s="78"/>
      <c r="F38" s="76"/>
      <c r="G38" s="76"/>
      <c r="H38" s="80" t="n">
        <v>0</v>
      </c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8"/>
      <c r="U38" s="76"/>
      <c r="V38" s="76"/>
      <c r="W38" s="76"/>
      <c r="X38" s="76"/>
      <c r="Y38" s="76"/>
      <c r="Z38" s="76"/>
      <c r="AA38" s="80"/>
      <c r="AB38" s="81"/>
      <c r="AC38" s="81"/>
      <c r="AD38" s="82"/>
      <c r="AE38" s="94"/>
      <c r="AF38" s="94"/>
      <c r="AG38" s="95"/>
    </row>
    <row r="39" customFormat="false" ht="11.1" hidden="false" customHeight="true" outlineLevel="0" collapsed="false">
      <c r="A39" s="53" t="s">
        <v>46</v>
      </c>
      <c r="B39" s="53"/>
      <c r="C39" s="54"/>
      <c r="D39" s="54"/>
      <c r="E39" s="54"/>
      <c r="F39" s="54" t="n">
        <f aca="false">SUM(F10:F37)</f>
        <v>772.372069573985</v>
      </c>
      <c r="G39" s="54" t="n">
        <f aca="false">SUM(G10:G37)</f>
        <v>1920.72</v>
      </c>
      <c r="H39" s="58" t="n">
        <f aca="false">SUM(H10:H38)</f>
        <v>0</v>
      </c>
      <c r="I39" s="54" t="n">
        <f aca="false">SUM(I10:I37)</f>
        <v>1920.72</v>
      </c>
      <c r="J39" s="54" t="n">
        <f aca="false">SUM(J10:J37)</f>
        <v>5.10381648600956</v>
      </c>
      <c r="K39" s="54" t="n">
        <f aca="false">SUM(K10:K37)</f>
        <v>1925.82381648601</v>
      </c>
      <c r="L39" s="54" t="n">
        <f aca="false">SUM(L10:L37)</f>
        <v>-106.337930426015</v>
      </c>
      <c r="M39" s="54" t="n">
        <f aca="false">SUM(M10:M38)</f>
        <v>113.53</v>
      </c>
      <c r="N39" s="54" t="n">
        <f aca="false">SUM(N10:N37)</f>
        <v>0</v>
      </c>
      <c r="O39" s="54" t="n">
        <f aca="false">SUM(O10:O37)</f>
        <v>0</v>
      </c>
      <c r="P39" s="54" t="n">
        <f aca="false">SUM(P10:P37)</f>
        <v>113.53</v>
      </c>
      <c r="Q39" s="54" t="n">
        <f aca="false">SUM(Q10:Q37)</f>
        <v>0</v>
      </c>
      <c r="R39" s="54" t="n">
        <f aca="false">SUM(R10:R37)</f>
        <v>0</v>
      </c>
      <c r="S39" s="54" t="n">
        <f aca="false">SUM(S10:S37)</f>
        <v>113.53</v>
      </c>
      <c r="T39" s="54"/>
      <c r="U39" s="54" t="n">
        <f aca="false">SUM(U10:U37)</f>
        <v>0</v>
      </c>
      <c r="V39" s="54" t="n">
        <f aca="false">SUM(V10:V37)</f>
        <v>928.48</v>
      </c>
      <c r="W39" s="54"/>
      <c r="X39" s="54" t="n">
        <f aca="false">SUM(X10:X37)</f>
        <v>1042.01</v>
      </c>
      <c r="Y39" s="54" t="n">
        <f aca="false">SUM(Y10:Y37)</f>
        <v>111.441746912024</v>
      </c>
      <c r="Z39" s="54" t="n">
        <f aca="false">SUM(Z10:Z37)</f>
        <v>1153.45174691202</v>
      </c>
      <c r="AA39" s="58" t="n">
        <f aca="false">SUM(AA10:AA37)</f>
        <v>0.77</v>
      </c>
      <c r="AB39" s="59" t="n">
        <f aca="false">AVERAGE(AB10:AB37)</f>
        <v>45.4642857142857</v>
      </c>
      <c r="AC39" s="59" t="n">
        <f aca="false">AVERAGE(AC10:AC37)</f>
        <v>13.9285714285714</v>
      </c>
      <c r="AD39" s="60" t="s">
        <v>59</v>
      </c>
      <c r="AE39" s="94"/>
      <c r="AF39" s="94"/>
      <c r="AG39" s="95"/>
    </row>
    <row r="40" customFormat="false" ht="11.1" hidden="false" customHeight="true" outlineLevel="0" collapsed="false">
      <c r="A40" s="53" t="s">
        <v>48</v>
      </c>
      <c r="B40" s="53"/>
      <c r="C40" s="54"/>
      <c r="D40" s="54" t="n">
        <f aca="false">SUM(D10:D37)</f>
        <v>1532</v>
      </c>
      <c r="E40" s="54"/>
      <c r="F40" s="54" t="n">
        <f aca="false">F39*$D$2</f>
        <v>1532</v>
      </c>
      <c r="G40" s="54" t="n">
        <f aca="false">G39*$D$2</f>
        <v>3809.74812</v>
      </c>
      <c r="H40" s="58" t="n">
        <f aca="false">H39*$D$2</f>
        <v>0</v>
      </c>
      <c r="I40" s="54" t="n">
        <f aca="false">I39*$D$2</f>
        <v>3809.74812</v>
      </c>
      <c r="J40" s="54" t="n">
        <f aca="false">J39*$D$2</f>
        <v>10.12342</v>
      </c>
      <c r="K40" s="54" t="n">
        <f aca="false">K39*$D$2</f>
        <v>3819.87154</v>
      </c>
      <c r="L40" s="54" t="n">
        <f aca="false">L39*$D$2</f>
        <v>-210.921285</v>
      </c>
      <c r="M40" s="54" t="n">
        <f aca="false">M39*$D$2</f>
        <v>225.186755</v>
      </c>
      <c r="N40" s="54" t="n">
        <f aca="false">N39*$D$2</f>
        <v>0</v>
      </c>
      <c r="O40" s="54" t="n">
        <f aca="false">O39*$D$2</f>
        <v>0</v>
      </c>
      <c r="P40" s="54" t="n">
        <f aca="false">P39*$D$2</f>
        <v>225.186755</v>
      </c>
      <c r="Q40" s="54" t="n">
        <f aca="false">Q39*$D$2</f>
        <v>0</v>
      </c>
      <c r="R40" s="54" t="n">
        <f aca="false">R39*$D$2</f>
        <v>0</v>
      </c>
      <c r="S40" s="54" t="n">
        <f aca="false">S39*$D$2</f>
        <v>225.186755</v>
      </c>
      <c r="T40" s="54"/>
      <c r="U40" s="54" t="n">
        <f aca="false">U39*$D$2</f>
        <v>0</v>
      </c>
      <c r="V40" s="54" t="n">
        <f aca="false">V39*$D$2</f>
        <v>1841.64008</v>
      </c>
      <c r="W40" s="54"/>
      <c r="X40" s="54" t="n">
        <f aca="false">X39*$D$2</f>
        <v>2066.826835</v>
      </c>
      <c r="Y40" s="54" t="n">
        <f aca="false">Y39*$D$2</f>
        <v>221.044705</v>
      </c>
      <c r="Z40" s="54" t="n">
        <f aca="false">Z39*$D$2</f>
        <v>2287.87154</v>
      </c>
      <c r="AA40" s="58"/>
      <c r="AB40" s="59" t="n">
        <f aca="false">MAX(AB10:AB37)</f>
        <v>53</v>
      </c>
      <c r="AC40" s="59" t="n">
        <f aca="false">MAX(AC10:AC37)</f>
        <v>20</v>
      </c>
      <c r="AD40" s="60" t="s">
        <v>49</v>
      </c>
      <c r="AE40" s="94"/>
      <c r="AF40" s="94"/>
      <c r="AG40" s="95"/>
    </row>
    <row r="41" customFormat="false" ht="3" hidden="false" customHeight="true" outlineLevel="0" collapsed="false">
      <c r="A41" s="76"/>
      <c r="B41" s="76"/>
      <c r="C41" s="78"/>
      <c r="D41" s="78"/>
      <c r="E41" s="78"/>
      <c r="F41" s="78"/>
      <c r="G41" s="78"/>
      <c r="H41" s="80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6"/>
      <c r="X41" s="78"/>
      <c r="Y41" s="78"/>
      <c r="Z41" s="78"/>
      <c r="AA41" s="58"/>
      <c r="AB41" s="59"/>
      <c r="AC41" s="59"/>
      <c r="AD41" s="60"/>
      <c r="AE41" s="94"/>
      <c r="AF41" s="94"/>
      <c r="AG41" s="95"/>
    </row>
    <row r="42" customFormat="false" ht="11.1" hidden="false" customHeight="true" outlineLevel="0" collapsed="false">
      <c r="A42" s="53" t="s">
        <v>50</v>
      </c>
      <c r="B42" s="53"/>
      <c r="C42" s="54"/>
      <c r="D42" s="54"/>
      <c r="E42" s="54"/>
      <c r="F42" s="54"/>
      <c r="G42" s="54"/>
      <c r="H42" s="58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8"/>
      <c r="AB42" s="59" t="n">
        <f aca="false">MIN(AB10:AB37)</f>
        <v>31</v>
      </c>
      <c r="AC42" s="59" t="n">
        <f aca="false">MIN(AC10:AC37)</f>
        <v>3</v>
      </c>
      <c r="AD42" s="60" t="s">
        <v>51</v>
      </c>
      <c r="AE42" s="94"/>
      <c r="AF42" s="94"/>
      <c r="AG42" s="95"/>
    </row>
    <row r="43" customFormat="false" ht="11.1" hidden="false" customHeight="true" outlineLevel="0" collapsed="false">
      <c r="A43" s="53" t="s">
        <v>52</v>
      </c>
      <c r="B43" s="53"/>
      <c r="C43" s="54"/>
      <c r="D43" s="54"/>
      <c r="E43" s="54"/>
      <c r="F43" s="54"/>
      <c r="G43" s="54"/>
      <c r="H43" s="58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8"/>
      <c r="AB43" s="59"/>
      <c r="AC43" s="59"/>
      <c r="AD43" s="60"/>
      <c r="AE43" s="94"/>
      <c r="AF43" s="94"/>
      <c r="AG43" s="95"/>
    </row>
    <row r="44" customFormat="false" ht="3" hidden="false" customHeight="true" outlineLevel="0" collapsed="false">
      <c r="A44" s="76"/>
      <c r="B44" s="76"/>
      <c r="C44" s="78"/>
      <c r="D44" s="78"/>
      <c r="E44" s="78"/>
      <c r="F44" s="78"/>
      <c r="G44" s="78"/>
      <c r="H44" s="80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80"/>
      <c r="AB44" s="59"/>
      <c r="AC44" s="59"/>
      <c r="AD44" s="60"/>
      <c r="AE44" s="94"/>
      <c r="AF44" s="94"/>
      <c r="AG44" s="95"/>
    </row>
    <row r="45" customFormat="false" ht="11.1" hidden="false" customHeight="true" outlineLevel="0" collapsed="false">
      <c r="A45" s="53" t="s">
        <v>53</v>
      </c>
      <c r="B45" s="53"/>
      <c r="C45" s="54"/>
      <c r="D45" s="54"/>
      <c r="E45" s="54"/>
      <c r="F45" s="54" t="n">
        <f aca="false">F8+F39</f>
        <v>2891.85782707335</v>
      </c>
      <c r="G45" s="54" t="n">
        <f aca="false">G8+G39</f>
        <v>8475.32</v>
      </c>
      <c r="H45" s="58" t="n">
        <f aca="false">H8+H39</f>
        <v>0</v>
      </c>
      <c r="I45" s="54" t="n">
        <f aca="false">I8+I39</f>
        <v>8372.12</v>
      </c>
      <c r="J45" s="54" t="n">
        <f aca="false">J8+J39</f>
        <v>294.99804386186</v>
      </c>
      <c r="K45" s="54" t="n">
        <f aca="false">K8+K39</f>
        <v>8667.11804386186</v>
      </c>
      <c r="L45" s="54" t="n">
        <f aca="false">L8+L39</f>
        <v>-171.752172926645</v>
      </c>
      <c r="M45" s="54" t="n">
        <f aca="false">M8+M39</f>
        <v>1105.43</v>
      </c>
      <c r="N45" s="54" t="n">
        <f aca="false">N8+N39</f>
        <v>0</v>
      </c>
      <c r="O45" s="54" t="n">
        <f aca="false">O8+O39</f>
        <v>0</v>
      </c>
      <c r="P45" s="54" t="n">
        <f aca="false">P8+P39</f>
        <v>1105.43</v>
      </c>
      <c r="Q45" s="54" t="n">
        <f aca="false">Q8+Q39</f>
        <v>0</v>
      </c>
      <c r="R45" s="54" t="n">
        <f aca="false">R8+R39</f>
        <v>372.4</v>
      </c>
      <c r="S45" s="54" t="n">
        <f aca="false">S8+S39</f>
        <v>1477.83</v>
      </c>
      <c r="T45" s="54"/>
      <c r="U45" s="54" t="n">
        <f aca="false">U8+U39</f>
        <v>0</v>
      </c>
      <c r="V45" s="54" t="n">
        <f aca="false">V8+V39</f>
        <v>3830.68</v>
      </c>
      <c r="W45" s="54" t="n">
        <f aca="false">W37</f>
        <v>11348.32</v>
      </c>
      <c r="X45" s="54" t="n">
        <f aca="false">X8+X39</f>
        <v>5308.51</v>
      </c>
      <c r="Y45" s="54" t="n">
        <f aca="false">Y8+Y39</f>
        <v>466.750216788505</v>
      </c>
      <c r="Z45" s="54" t="n">
        <f aca="false">Z8+Z39</f>
        <v>5775.26021678851</v>
      </c>
      <c r="AA45" s="58" t="n">
        <f aca="false">AA8+AA39</f>
        <v>4.02</v>
      </c>
      <c r="AB45" s="59"/>
      <c r="AC45" s="59"/>
      <c r="AD45" s="60"/>
      <c r="AE45" s="94"/>
      <c r="AF45" s="94"/>
      <c r="AG45" s="95"/>
    </row>
    <row r="46" customFormat="false" ht="11.1" hidden="false" customHeight="true" outlineLevel="0" collapsed="false">
      <c r="A46" s="53" t="s">
        <v>54</v>
      </c>
      <c r="B46" s="53"/>
      <c r="C46" s="54"/>
      <c r="D46" s="54" t="n">
        <f aca="false">D8+D40</f>
        <v>5736</v>
      </c>
      <c r="E46" s="54" t="n">
        <f aca="false">E37</f>
        <v>92601</v>
      </c>
      <c r="F46" s="54" t="n">
        <f aca="false">F45*$D$2</f>
        <v>5736</v>
      </c>
      <c r="G46" s="54" t="n">
        <f aca="false">G45*$D$2</f>
        <v>16810.79722</v>
      </c>
      <c r="H46" s="58" t="n">
        <f aca="false">H45*$D$2</f>
        <v>0</v>
      </c>
      <c r="I46" s="54" t="n">
        <f aca="false">I45*$D$2</f>
        <v>16606.10002</v>
      </c>
      <c r="J46" s="54" t="n">
        <f aca="false">J45*$D$2</f>
        <v>585.12862</v>
      </c>
      <c r="K46" s="54" t="n">
        <f aca="false">K45*$D$2</f>
        <v>17191.22864</v>
      </c>
      <c r="L46" s="54" t="n">
        <f aca="false">L45*$D$2</f>
        <v>-340.670435</v>
      </c>
      <c r="M46" s="54" t="n">
        <f aca="false">M45*$D$2</f>
        <v>2192.620405</v>
      </c>
      <c r="N46" s="54" t="n">
        <f aca="false">N45*$D$2</f>
        <v>0</v>
      </c>
      <c r="O46" s="54" t="n">
        <f aca="false">O45*$D$2</f>
        <v>0</v>
      </c>
      <c r="P46" s="54" t="n">
        <f aca="false">P45*$D$2</f>
        <v>2192.620405</v>
      </c>
      <c r="Q46" s="54" t="n">
        <f aca="false">Q45*$D$2</f>
        <v>0</v>
      </c>
      <c r="R46" s="54" t="n">
        <f aca="false">R45*$D$2</f>
        <v>738.6554</v>
      </c>
      <c r="S46" s="54" t="n">
        <f aca="false">S45*$D$2</f>
        <v>2931.275805</v>
      </c>
      <c r="T46" s="54" t="n">
        <f aca="false">T45*$D$2</f>
        <v>0</v>
      </c>
      <c r="U46" s="54" t="n">
        <f aca="false">U45*$D$2</f>
        <v>0</v>
      </c>
      <c r="V46" s="54" t="n">
        <f aca="false">V45*$D$2</f>
        <v>7598.15378</v>
      </c>
      <c r="W46" s="54" t="n">
        <f aca="false">W45*$D$2</f>
        <v>22509.39272</v>
      </c>
      <c r="X46" s="54" t="n">
        <f aca="false">X45*$D$2</f>
        <v>10529.429585</v>
      </c>
      <c r="Y46" s="54" t="n">
        <f aca="false">Y45*$D$2</f>
        <v>925.799055</v>
      </c>
      <c r="Z46" s="54" t="n">
        <f aca="false">Z45*$D$2</f>
        <v>11455.22864</v>
      </c>
      <c r="AA46" s="58"/>
      <c r="AB46" s="59"/>
      <c r="AC46" s="59"/>
      <c r="AD46" s="60"/>
      <c r="AE46" s="94"/>
      <c r="AF46" s="94"/>
      <c r="AG46" s="95"/>
    </row>
    <row r="47" customFormat="false" ht="3" hidden="false" customHeight="true" outlineLevel="0" collapsed="false">
      <c r="A47" s="76"/>
      <c r="B47" s="76"/>
      <c r="C47" s="78"/>
      <c r="D47" s="76"/>
      <c r="E47" s="78"/>
      <c r="F47" s="76"/>
      <c r="G47" s="76"/>
      <c r="H47" s="80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8"/>
      <c r="U47" s="76"/>
      <c r="V47" s="76"/>
      <c r="W47" s="78"/>
      <c r="X47" s="76"/>
      <c r="Y47" s="76"/>
      <c r="Z47" s="76"/>
      <c r="AA47" s="58"/>
      <c r="AB47" s="59"/>
      <c r="AC47" s="59"/>
      <c r="AD47" s="60"/>
      <c r="AE47" s="94"/>
      <c r="AF47" s="94"/>
      <c r="AG47" s="95"/>
    </row>
    <row r="48" customFormat="false" ht="11.1" hidden="false" customHeight="true" outlineLevel="0" collapsed="false">
      <c r="A48" s="53"/>
      <c r="B48" s="86"/>
      <c r="C48" s="54"/>
      <c r="D48" s="53"/>
      <c r="E48" s="54"/>
      <c r="F48" s="53"/>
      <c r="G48" s="53"/>
      <c r="H48" s="58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4"/>
      <c r="U48" s="53"/>
      <c r="V48" s="53"/>
      <c r="W48" s="54"/>
      <c r="X48" s="53"/>
      <c r="Y48" s="53"/>
      <c r="Z48" s="53"/>
      <c r="AA48" s="58"/>
      <c r="AB48" s="59"/>
      <c r="AC48" s="59"/>
      <c r="AD48" s="60"/>
      <c r="AE48" s="90"/>
      <c r="AF48" s="90"/>
    </row>
    <row r="49" customFormat="false" ht="11.1" hidden="false" customHeight="true" outlineLevel="0" collapsed="false">
      <c r="A49" s="53"/>
      <c r="B49" s="75"/>
      <c r="C49" s="54"/>
      <c r="D49" s="84"/>
      <c r="E49" s="54"/>
      <c r="F49" s="53"/>
      <c r="G49" s="53"/>
      <c r="H49" s="2"/>
      <c r="I49" s="54"/>
      <c r="J49" s="53"/>
      <c r="K49" s="44"/>
      <c r="L49" s="53"/>
      <c r="M49" s="53"/>
      <c r="N49" s="53"/>
      <c r="O49" s="53"/>
      <c r="P49" s="53"/>
      <c r="Q49" s="53"/>
      <c r="R49" s="53"/>
      <c r="S49" s="53"/>
      <c r="T49" s="54"/>
      <c r="U49" s="53"/>
      <c r="V49" s="53"/>
      <c r="W49" s="54"/>
      <c r="X49" s="53"/>
      <c r="Y49" s="53"/>
      <c r="Z49" s="53"/>
      <c r="AA49" s="58"/>
      <c r="AB49" s="59"/>
      <c r="AC49" s="59"/>
      <c r="AD49" s="60"/>
      <c r="AE49" s="90"/>
      <c r="AF49" s="90"/>
    </row>
    <row r="50" customFormat="false" ht="11.1" hidden="false" customHeight="true" outlineLevel="0" collapsed="false">
      <c r="A50" s="84"/>
      <c r="B50" s="84"/>
      <c r="C50" s="54"/>
      <c r="D50" s="54"/>
      <c r="E50" s="54"/>
      <c r="F50" s="84"/>
      <c r="G50" s="84"/>
      <c r="H50" s="58"/>
      <c r="I50" s="54"/>
      <c r="J50" s="84"/>
      <c r="K50" s="84"/>
      <c r="L50" s="84"/>
      <c r="M50" s="83"/>
      <c r="N50" s="83"/>
      <c r="O50" s="83"/>
      <c r="P50" s="83"/>
      <c r="Q50" s="84"/>
      <c r="R50" s="84"/>
      <c r="S50" s="84"/>
      <c r="T50" s="54"/>
      <c r="U50" s="84"/>
      <c r="V50" s="84"/>
      <c r="W50" s="54"/>
      <c r="X50" s="84"/>
      <c r="Y50" s="84"/>
      <c r="Z50" s="84"/>
      <c r="AA50" s="58"/>
      <c r="AB50" s="59"/>
      <c r="AC50" s="59"/>
      <c r="AD50" s="60"/>
      <c r="AE50" s="100"/>
      <c r="AF50" s="100"/>
    </row>
    <row r="51" customFormat="false" ht="11.1" hidden="false" customHeight="true" outlineLevel="0" collapsed="false">
      <c r="A51" s="84"/>
      <c r="B51" s="57"/>
      <c r="C51" s="54"/>
      <c r="D51" s="54"/>
      <c r="E51" s="54"/>
      <c r="F51" s="84"/>
      <c r="G51" s="84"/>
      <c r="H51" s="58"/>
      <c r="I51" s="54"/>
      <c r="J51" s="84"/>
      <c r="K51" s="84"/>
      <c r="L51" s="84"/>
      <c r="M51" s="83"/>
      <c r="N51" s="83"/>
      <c r="O51" s="83"/>
      <c r="P51" s="83"/>
      <c r="Q51" s="84"/>
      <c r="R51" s="84"/>
      <c r="S51" s="84"/>
      <c r="T51" s="54"/>
      <c r="U51" s="84"/>
      <c r="V51" s="84"/>
      <c r="W51" s="54"/>
      <c r="X51" s="84"/>
      <c r="Y51" s="84"/>
      <c r="Z51" s="84"/>
      <c r="AA51" s="58"/>
      <c r="AB51" s="59"/>
      <c r="AC51" s="59"/>
      <c r="AD51" s="60"/>
      <c r="AE51" s="100"/>
      <c r="AF51" s="100"/>
    </row>
    <row r="52" customFormat="false" ht="11.1" hidden="false" customHeight="true" outlineLevel="0" collapsed="false">
      <c r="A52" s="84"/>
      <c r="B52" s="84"/>
      <c r="C52" s="54"/>
      <c r="D52" s="84"/>
      <c r="E52" s="54"/>
      <c r="F52" s="84"/>
      <c r="G52" s="87"/>
      <c r="H52" s="58"/>
      <c r="I52" s="84"/>
      <c r="J52" s="84"/>
      <c r="K52" s="84"/>
      <c r="L52" s="84"/>
      <c r="M52" s="83"/>
      <c r="N52" s="83"/>
      <c r="O52" s="83"/>
      <c r="P52" s="83"/>
      <c r="Q52" s="84"/>
      <c r="R52" s="84"/>
      <c r="S52" s="84"/>
      <c r="T52" s="54"/>
      <c r="U52" s="84"/>
      <c r="V52" s="84"/>
      <c r="W52" s="54"/>
      <c r="X52" s="84"/>
      <c r="Y52" s="84"/>
      <c r="Z52" s="84"/>
      <c r="AA52" s="58"/>
      <c r="AB52" s="59"/>
      <c r="AC52" s="59"/>
      <c r="AD52" s="60"/>
      <c r="AE52" s="100"/>
      <c r="AF52" s="100"/>
    </row>
    <row r="53" customFormat="false" ht="11.1" hidden="false" customHeight="true" outlineLevel="0" collapsed="false">
      <c r="P53" s="49"/>
      <c r="S53" s="46"/>
      <c r="T53" s="47"/>
      <c r="V53" s="46"/>
      <c r="W53" s="47"/>
      <c r="Z53" s="46"/>
      <c r="AC53" s="51"/>
      <c r="AD53" s="52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S21" activePane="bottomRight" state="frozen"/>
      <selection pane="topLeft" activeCell="A1" activeCellId="0" sqref="A1"/>
      <selection pane="topRight" activeCell="S1" activeCellId="0" sqref="S1"/>
      <selection pane="bottomLeft" activeCell="A21" activeCellId="0" sqref="A21"/>
      <selection pane="bottomRight" activeCell="AC40" activeCellId="0" sqref="AC40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5.66"/>
    <col collapsed="false" customWidth="true" hidden="false" outlineLevel="0" max="2" min="2" style="46" width="7.82"/>
    <col collapsed="false" customWidth="true" hidden="false" outlineLevel="0" max="3" min="3" style="47" width="7.66"/>
    <col collapsed="false" customWidth="true" hidden="false" outlineLevel="0" max="4" min="4" style="46" width="6.99"/>
    <col collapsed="false" customWidth="true" hidden="false" outlineLevel="0" max="5" min="5" style="47" width="7.66"/>
    <col collapsed="false" customWidth="true" hidden="false" outlineLevel="0" max="6" min="6" style="46" width="7.66"/>
    <col collapsed="false" customWidth="true" hidden="false" outlineLevel="0" max="7" min="7" style="46" width="7.16"/>
    <col collapsed="false" customWidth="true" hidden="false" outlineLevel="0" max="8" min="8" style="88" width="6.66"/>
    <col collapsed="false" customWidth="true" hidden="false" outlineLevel="0" max="9" min="9" style="46" width="7.99"/>
    <col collapsed="false" customWidth="true" hidden="false" outlineLevel="0" max="10" min="10" style="46" width="6.66"/>
    <col collapsed="false" customWidth="true" hidden="false" outlineLevel="0" max="12" min="11" style="46" width="7.16"/>
    <col collapsed="false" customWidth="true" hidden="false" outlineLevel="0" max="13" min="13" style="49" width="6.16"/>
    <col collapsed="false" customWidth="true" hidden="true" outlineLevel="0" max="14" min="14" style="49" width="7.32"/>
    <col collapsed="false" customWidth="true" hidden="true" outlineLevel="0" max="15" min="15" style="49" width="6.49"/>
    <col collapsed="false" customWidth="true" hidden="true" outlineLevel="0" max="16" min="16" style="46" width="7.16"/>
    <col collapsed="false" customWidth="true" hidden="false" outlineLevel="0" max="17" min="17" style="46" width="6.32"/>
    <col collapsed="false" customWidth="true" hidden="false" outlineLevel="0" max="18" min="18" style="46" width="5.82"/>
    <col collapsed="false" customWidth="true" hidden="false" outlineLevel="0" max="19" min="19" style="47" width="6.82"/>
    <col collapsed="false" customWidth="true" hidden="false" outlineLevel="0" max="20" min="20" style="46" width="7.66"/>
    <col collapsed="false" customWidth="true" hidden="false" outlineLevel="0" max="21" min="21" style="46" width="5.99"/>
    <col collapsed="false" customWidth="true" hidden="false" outlineLevel="0" max="22" min="22" style="47" width="6.66"/>
    <col collapsed="false" customWidth="true" hidden="false" outlineLevel="0" max="23" min="23" style="46" width="6.82"/>
    <col collapsed="false" customWidth="true" hidden="false" outlineLevel="0" max="25" min="24" style="46" width="7.82"/>
    <col collapsed="false" customWidth="true" hidden="false" outlineLevel="0" max="26" min="26" style="50" width="8.16"/>
    <col collapsed="false" customWidth="true" hidden="false" outlineLevel="0" max="27" min="27" style="48" width="4.66"/>
    <col collapsed="false" customWidth="true" hidden="false" outlineLevel="0" max="28" min="28" style="51" width="4.66"/>
    <col collapsed="false" customWidth="true" hidden="false" outlineLevel="0" max="29" min="29" style="52" width="4.66"/>
    <col collapsed="false" customWidth="true" hidden="false" outlineLevel="0" max="30" min="30" style="46" width="5.66"/>
    <col collapsed="false" customWidth="false" hidden="false" outlineLevel="0" max="257" min="31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89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9"/>
      <c r="AC1" s="60"/>
      <c r="AD1" s="90"/>
      <c r="AE1" s="90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1.9835</v>
      </c>
      <c r="E2" s="54"/>
      <c r="F2" s="53"/>
      <c r="G2" s="53"/>
      <c r="H2" s="89"/>
      <c r="I2" s="53"/>
      <c r="J2" s="53"/>
      <c r="K2" s="62" t="s">
        <v>62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8"/>
      <c r="AB2" s="59"/>
      <c r="AC2" s="60"/>
      <c r="AD2" s="90"/>
      <c r="AE2" s="90"/>
    </row>
    <row r="3" customFormat="false" ht="11.1" hidden="false" customHeight="true" outlineLevel="0" collapsed="false">
      <c r="A3" s="53"/>
      <c r="B3" s="53"/>
      <c r="C3" s="54"/>
      <c r="D3" s="63"/>
      <c r="E3" s="54"/>
      <c r="F3" s="53"/>
      <c r="G3" s="53"/>
      <c r="H3" s="89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9"/>
      <c r="AC3" s="60"/>
      <c r="AD3" s="90"/>
      <c r="AE3" s="90"/>
    </row>
    <row r="4" customFormat="false" ht="11.1" hidden="false" customHeight="true" outlineLevel="0" collapsed="false">
      <c r="A4" s="64" t="s">
        <v>3</v>
      </c>
      <c r="B4" s="64" t="s">
        <v>4</v>
      </c>
      <c r="C4" s="65" t="s">
        <v>4</v>
      </c>
      <c r="D4" s="64" t="s">
        <v>5</v>
      </c>
      <c r="E4" s="65" t="s">
        <v>6</v>
      </c>
      <c r="F4" s="64" t="s">
        <v>7</v>
      </c>
      <c r="G4" s="64" t="s">
        <v>8</v>
      </c>
      <c r="H4" s="91" t="s">
        <v>9</v>
      </c>
      <c r="I4" s="64" t="s">
        <v>10</v>
      </c>
      <c r="J4" s="64" t="s">
        <v>11</v>
      </c>
      <c r="K4" s="64" t="s">
        <v>12</v>
      </c>
      <c r="L4" s="64" t="s">
        <v>11</v>
      </c>
      <c r="M4" s="64" t="s">
        <v>13</v>
      </c>
      <c r="N4" s="64"/>
      <c r="O4" s="64"/>
      <c r="P4" s="64"/>
      <c r="Q4" s="64" t="s">
        <v>14</v>
      </c>
      <c r="R4" s="64" t="s">
        <v>15</v>
      </c>
      <c r="S4" s="64" t="s">
        <v>12</v>
      </c>
      <c r="T4" s="65" t="s">
        <v>16</v>
      </c>
      <c r="U4" s="64" t="s">
        <v>17</v>
      </c>
      <c r="V4" s="64" t="s">
        <v>18</v>
      </c>
      <c r="W4" s="65" t="s">
        <v>19</v>
      </c>
      <c r="X4" s="64" t="s">
        <v>10</v>
      </c>
      <c r="Y4" s="64" t="s">
        <v>11</v>
      </c>
      <c r="Z4" s="64" t="s">
        <v>12</v>
      </c>
      <c r="AA4" s="67" t="s">
        <v>20</v>
      </c>
      <c r="AB4" s="68" t="s">
        <v>21</v>
      </c>
      <c r="AC4" s="68" t="s">
        <v>22</v>
      </c>
      <c r="AD4" s="68" t="s">
        <v>3</v>
      </c>
      <c r="AE4" s="90"/>
      <c r="AF4" s="90"/>
    </row>
    <row r="5" customFormat="false" ht="11.1" hidden="false" customHeight="true" outlineLevel="0" collapsed="false">
      <c r="A5" s="69" t="s">
        <v>63</v>
      </c>
      <c r="B5" s="64" t="s">
        <v>24</v>
      </c>
      <c r="C5" s="65" t="s">
        <v>5</v>
      </c>
      <c r="D5" s="64" t="s">
        <v>25</v>
      </c>
      <c r="E5" s="65" t="s">
        <v>26</v>
      </c>
      <c r="F5" s="64" t="s">
        <v>27</v>
      </c>
      <c r="G5" s="64" t="s">
        <v>28</v>
      </c>
      <c r="H5" s="91" t="s">
        <v>29</v>
      </c>
      <c r="I5" s="64" t="s">
        <v>30</v>
      </c>
      <c r="J5" s="64" t="s">
        <v>30</v>
      </c>
      <c r="K5" s="64" t="s">
        <v>30</v>
      </c>
      <c r="L5" s="64" t="s">
        <v>31</v>
      </c>
      <c r="M5" s="64" t="s">
        <v>32</v>
      </c>
      <c r="N5" s="64" t="s">
        <v>33</v>
      </c>
      <c r="O5" s="64" t="s">
        <v>34</v>
      </c>
      <c r="P5" s="64" t="s">
        <v>35</v>
      </c>
      <c r="Q5" s="64" t="s">
        <v>36</v>
      </c>
      <c r="R5" s="64" t="s">
        <v>37</v>
      </c>
      <c r="S5" s="64" t="s">
        <v>16</v>
      </c>
      <c r="T5" s="65" t="s">
        <v>38</v>
      </c>
      <c r="U5" s="64" t="s">
        <v>39</v>
      </c>
      <c r="V5" s="64" t="s">
        <v>40</v>
      </c>
      <c r="W5" s="65" t="s">
        <v>41</v>
      </c>
      <c r="X5" s="64" t="s">
        <v>42</v>
      </c>
      <c r="Y5" s="64" t="s">
        <v>42</v>
      </c>
      <c r="Z5" s="64" t="s">
        <v>42</v>
      </c>
      <c r="AA5" s="70"/>
      <c r="AB5" s="68" t="s">
        <v>43</v>
      </c>
      <c r="AC5" s="68" t="s">
        <v>43</v>
      </c>
      <c r="AD5" s="71" t="s">
        <v>63</v>
      </c>
      <c r="AE5" s="90"/>
      <c r="AF5" s="90"/>
    </row>
    <row r="6" customFormat="false" ht="11.1" hidden="false" customHeight="true" outlineLevel="0" collapsed="false">
      <c r="A6" s="72"/>
      <c r="B6" s="72"/>
      <c r="C6" s="73"/>
      <c r="D6" s="72"/>
      <c r="E6" s="73"/>
      <c r="F6" s="72"/>
      <c r="G6" s="72"/>
      <c r="H6" s="93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3"/>
      <c r="U6" s="72"/>
      <c r="V6" s="72"/>
      <c r="W6" s="73"/>
      <c r="X6" s="72"/>
      <c r="Y6" s="72"/>
      <c r="Z6" s="72"/>
      <c r="AA6" s="58"/>
      <c r="AB6" s="60"/>
      <c r="AC6" s="60"/>
      <c r="AD6" s="60"/>
      <c r="AE6" s="94"/>
      <c r="AF6" s="94"/>
      <c r="AG6" s="95"/>
    </row>
    <row r="7" customFormat="false" ht="11.1" hidden="false" customHeight="true" outlineLevel="0" collapsed="false">
      <c r="A7" s="53" t="s">
        <v>44</v>
      </c>
      <c r="B7" s="53"/>
      <c r="C7" s="54"/>
      <c r="D7" s="54"/>
      <c r="E7" s="54"/>
      <c r="F7" s="54"/>
      <c r="G7" s="54"/>
      <c r="H7" s="89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8"/>
      <c r="AB7" s="59"/>
      <c r="AC7" s="59"/>
      <c r="AD7" s="60"/>
      <c r="AE7" s="94"/>
      <c r="AF7" s="95"/>
      <c r="AG7" s="95"/>
    </row>
    <row r="8" s="47" customFormat="true" ht="11.1" hidden="false" customHeight="true" outlineLevel="0" collapsed="false">
      <c r="A8" s="54" t="s">
        <v>45</v>
      </c>
      <c r="B8" s="75" t="n">
        <f aca="false">FEB!B37</f>
        <v>6888.94</v>
      </c>
      <c r="C8" s="54" t="n">
        <f aca="false">FEB!C37</f>
        <v>244601</v>
      </c>
      <c r="D8" s="54" t="n">
        <f aca="false">FEB!$D$46</f>
        <v>5736</v>
      </c>
      <c r="E8" s="54" t="n">
        <f aca="false">FEB!$E$37</f>
        <v>92601</v>
      </c>
      <c r="F8" s="54" t="n">
        <f aca="false">FEB!F45</f>
        <v>2891.85782707335</v>
      </c>
      <c r="G8" s="54" t="n">
        <f aca="false">FEB!G45</f>
        <v>8475.32</v>
      </c>
      <c r="H8" s="89" t="n">
        <f aca="false">FEB!H45</f>
        <v>0</v>
      </c>
      <c r="I8" s="54" t="n">
        <f aca="false">FEB!I45</f>
        <v>8372.12</v>
      </c>
      <c r="J8" s="54" t="n">
        <f aca="false">FEB!J45</f>
        <v>294.99804386186</v>
      </c>
      <c r="K8" s="54" t="n">
        <f aca="false">FEB!K45</f>
        <v>8667.11804386186</v>
      </c>
      <c r="L8" s="54" t="n">
        <f aca="false">FEB!L45</f>
        <v>-171.752172926645</v>
      </c>
      <c r="M8" s="54" t="n">
        <f aca="false">FEB!M45</f>
        <v>1105.43</v>
      </c>
      <c r="N8" s="54" t="n">
        <f aca="false">FEB!N45</f>
        <v>0</v>
      </c>
      <c r="O8" s="54" t="n">
        <f aca="false">FEB!O45</f>
        <v>0</v>
      </c>
      <c r="P8" s="54" t="n">
        <f aca="false">FEB!P45</f>
        <v>1105.43</v>
      </c>
      <c r="Q8" s="54" t="n">
        <f aca="false">FEB!Q45</f>
        <v>0</v>
      </c>
      <c r="R8" s="54" t="n">
        <f aca="false">FEB!R45</f>
        <v>372.4</v>
      </c>
      <c r="S8" s="54" t="n">
        <f aca="false">FEB!S45</f>
        <v>1477.83</v>
      </c>
      <c r="T8" s="54" t="n">
        <f aca="false">FEB!T45</f>
        <v>0</v>
      </c>
      <c r="U8" s="54" t="n">
        <f aca="false">FEB!U45</f>
        <v>0</v>
      </c>
      <c r="V8" s="54" t="n">
        <f aca="false">FEB!V45</f>
        <v>3830.68</v>
      </c>
      <c r="W8" s="54" t="n">
        <f aca="false">FEB!W45</f>
        <v>11348.32</v>
      </c>
      <c r="X8" s="54" t="n">
        <f aca="false">FEB!X45</f>
        <v>5308.51</v>
      </c>
      <c r="Y8" s="54" t="n">
        <f aca="false">FEB!Y45</f>
        <v>466.750216788505</v>
      </c>
      <c r="Z8" s="54" t="n">
        <f aca="false">FEB!Z45</f>
        <v>5775.26021678851</v>
      </c>
      <c r="AA8" s="58" t="n">
        <f aca="false">FEB!AA45</f>
        <v>4.02</v>
      </c>
      <c r="AB8" s="59"/>
      <c r="AC8" s="59"/>
      <c r="AD8" s="60"/>
      <c r="AE8" s="96"/>
      <c r="AF8" s="94"/>
      <c r="AG8" s="96"/>
    </row>
    <row r="9" customFormat="false" ht="3" hidden="false" customHeight="true" outlineLevel="0" collapsed="false">
      <c r="A9" s="76"/>
      <c r="B9" s="77"/>
      <c r="C9" s="78"/>
      <c r="D9" s="76"/>
      <c r="E9" s="78"/>
      <c r="F9" s="76"/>
      <c r="G9" s="76"/>
      <c r="H9" s="97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8"/>
      <c r="U9" s="76"/>
      <c r="V9" s="76"/>
      <c r="W9" s="78"/>
      <c r="X9" s="76"/>
      <c r="Y9" s="76"/>
      <c r="Z9" s="76"/>
      <c r="AA9" s="80"/>
      <c r="AB9" s="81"/>
      <c r="AC9" s="81"/>
      <c r="AD9" s="82"/>
      <c r="AE9" s="94"/>
      <c r="AF9" s="94"/>
      <c r="AG9" s="95"/>
    </row>
    <row r="10" customFormat="false" ht="11.1" hidden="false" customHeight="true" outlineLevel="0" collapsed="false">
      <c r="A10" s="60" t="n">
        <v>1</v>
      </c>
      <c r="B10" s="75" t="n">
        <v>6889</v>
      </c>
      <c r="C10" s="54" t="n">
        <v>244801</v>
      </c>
      <c r="D10" s="59" t="n">
        <f aca="false">C10-C8</f>
        <v>200</v>
      </c>
      <c r="E10" s="54" t="n">
        <f aca="false">C10-152000</f>
        <v>92801</v>
      </c>
      <c r="F10" s="53" t="n">
        <f aca="false">D10/$D$2</f>
        <v>100.831862868667</v>
      </c>
      <c r="G10" s="53" t="n">
        <v>136.75</v>
      </c>
      <c r="H10" s="103" t="n">
        <v>0</v>
      </c>
      <c r="I10" s="53" t="n">
        <f aca="false">G10+H10</f>
        <v>136.75</v>
      </c>
      <c r="J10" s="83" t="n">
        <f aca="false">IF(L10&gt;0,L10,0)</f>
        <v>0</v>
      </c>
      <c r="K10" s="53" t="n">
        <f aca="false">I10+J10</f>
        <v>136.75</v>
      </c>
      <c r="L10" s="53" t="n">
        <f aca="false">F10-(I10-X10)</f>
        <v>-0.0481371313335046</v>
      </c>
      <c r="M10" s="53" t="n">
        <v>4.4</v>
      </c>
      <c r="N10" s="53" t="n">
        <v>0</v>
      </c>
      <c r="O10" s="53" t="n">
        <v>0</v>
      </c>
      <c r="P10" s="6" t="n">
        <f aca="false">M10-(N10+O10)</f>
        <v>4.4</v>
      </c>
      <c r="Q10" s="53" t="n">
        <v>0</v>
      </c>
      <c r="R10" s="53" t="n">
        <v>0</v>
      </c>
      <c r="S10" s="53" t="n">
        <f aca="false">SUM(P10:R10)</f>
        <v>4.4</v>
      </c>
      <c r="T10" s="54"/>
      <c r="U10" s="53" t="n">
        <v>0</v>
      </c>
      <c r="V10" s="53" t="n">
        <v>31.47</v>
      </c>
      <c r="W10" s="54" t="n">
        <f aca="false">W8-V10</f>
        <v>11316.85</v>
      </c>
      <c r="X10" s="6" t="n">
        <f aca="false">N10+O10+S10+U10+V10</f>
        <v>35.87</v>
      </c>
      <c r="Y10" s="53" t="n">
        <f aca="false">IF(L10&lt;0,L10*-1,0)</f>
        <v>0.0481371313335046</v>
      </c>
      <c r="Z10" s="53" t="n">
        <f aca="false">X10+Y10</f>
        <v>35.9181371313335</v>
      </c>
      <c r="AA10" s="58" t="n">
        <v>0.21</v>
      </c>
      <c r="AB10" s="59" t="n">
        <v>34</v>
      </c>
      <c r="AC10" s="59" t="n">
        <v>28</v>
      </c>
      <c r="AD10" s="60" t="n">
        <v>1</v>
      </c>
      <c r="AE10" s="95"/>
      <c r="AF10" s="96"/>
      <c r="AG10" s="95"/>
    </row>
    <row r="11" customFormat="false" ht="11.1" hidden="false" customHeight="true" outlineLevel="0" collapsed="false">
      <c r="A11" s="60" t="n">
        <f aca="false">A10+1</f>
        <v>2</v>
      </c>
      <c r="B11" s="75" t="n">
        <v>6889.06</v>
      </c>
      <c r="C11" s="54" t="n">
        <v>245003</v>
      </c>
      <c r="D11" s="59" t="n">
        <f aca="false">C11-C10</f>
        <v>202</v>
      </c>
      <c r="E11" s="54" t="n">
        <f aca="false">C11-152000</f>
        <v>93003</v>
      </c>
      <c r="F11" s="53" t="n">
        <f aca="false">D11/$D$2</f>
        <v>101.840181497353</v>
      </c>
      <c r="G11" s="53" t="n">
        <v>137.29</v>
      </c>
      <c r="H11" s="103" t="n">
        <v>0</v>
      </c>
      <c r="I11" s="53" t="n">
        <f aca="false">G11+H11</f>
        <v>137.29</v>
      </c>
      <c r="J11" s="83" t="n">
        <f aca="false">IF(L11&gt;0,L11,0)</f>
        <v>0</v>
      </c>
      <c r="K11" s="53" t="n">
        <f aca="false">I11+J11</f>
        <v>137.29</v>
      </c>
      <c r="L11" s="53" t="n">
        <f aca="false">F11-(I11-X11)</f>
        <v>-0.0298185026468332</v>
      </c>
      <c r="M11" s="53" t="n">
        <v>4.4</v>
      </c>
      <c r="N11" s="53" t="n">
        <v>0</v>
      </c>
      <c r="O11" s="53" t="n">
        <v>0</v>
      </c>
      <c r="P11" s="6" t="n">
        <f aca="false">M11-(N11+O11)</f>
        <v>4.4</v>
      </c>
      <c r="Q11" s="53" t="n">
        <v>0</v>
      </c>
      <c r="R11" s="53" t="n">
        <v>0</v>
      </c>
      <c r="S11" s="53" t="n">
        <f aca="false">SUM(P11:R11)</f>
        <v>4.4</v>
      </c>
      <c r="T11" s="54"/>
      <c r="U11" s="53" t="n">
        <v>0</v>
      </c>
      <c r="V11" s="53" t="n">
        <v>31.02</v>
      </c>
      <c r="W11" s="54" t="n">
        <f aca="false">W10-V11</f>
        <v>11285.83</v>
      </c>
      <c r="X11" s="6" t="n">
        <f aca="false">N11+O11+S11+U11+V11</f>
        <v>35.42</v>
      </c>
      <c r="Y11" s="53" t="n">
        <f aca="false">IF(L11&lt;0,L11*-1,0)</f>
        <v>0.0298185026468332</v>
      </c>
      <c r="Z11" s="53" t="n">
        <f aca="false">X11+Y11</f>
        <v>35.4498185026468</v>
      </c>
      <c r="AA11" s="58" t="n">
        <v>0.18</v>
      </c>
      <c r="AB11" s="59" t="n">
        <v>39</v>
      </c>
      <c r="AC11" s="59" t="n">
        <v>18</v>
      </c>
      <c r="AD11" s="60" t="n">
        <f aca="false">AD10+1</f>
        <v>2</v>
      </c>
      <c r="AE11" s="95"/>
      <c r="AF11" s="96"/>
      <c r="AG11" s="95"/>
    </row>
    <row r="12" customFormat="false" ht="11.1" hidden="false" customHeight="true" outlineLevel="0" collapsed="false">
      <c r="A12" s="60" t="n">
        <f aca="false">A11+1</f>
        <v>3</v>
      </c>
      <c r="B12" s="75" t="n">
        <v>6889.12</v>
      </c>
      <c r="C12" s="54" t="n">
        <v>245205</v>
      </c>
      <c r="D12" s="59" t="n">
        <f aca="false">C12-C11</f>
        <v>202</v>
      </c>
      <c r="E12" s="54" t="n">
        <f aca="false">C12-152000</f>
        <v>93205</v>
      </c>
      <c r="F12" s="53" t="n">
        <f aca="false">D12/$D$2</f>
        <v>101.840181497353</v>
      </c>
      <c r="G12" s="53" t="n">
        <v>137.41</v>
      </c>
      <c r="H12" s="103" t="n">
        <v>0</v>
      </c>
      <c r="I12" s="53" t="n">
        <f aca="false">G12+H12</f>
        <v>137.41</v>
      </c>
      <c r="J12" s="83" t="n">
        <f aca="false">IF(L12&gt;0,L12,0)</f>
        <v>0</v>
      </c>
      <c r="K12" s="53" t="n">
        <f aca="false">I12+J12</f>
        <v>137.41</v>
      </c>
      <c r="L12" s="53" t="n">
        <f aca="false">F12-(I12-X12)</f>
        <v>-0.0298185026468474</v>
      </c>
      <c r="M12" s="53" t="n">
        <v>4.4</v>
      </c>
      <c r="N12" s="53" t="n">
        <v>0</v>
      </c>
      <c r="O12" s="53" t="n">
        <v>0</v>
      </c>
      <c r="P12" s="6" t="n">
        <f aca="false">M12-(N12+O12)</f>
        <v>4.4</v>
      </c>
      <c r="Q12" s="53" t="n">
        <v>0</v>
      </c>
      <c r="R12" s="53" t="n">
        <v>0</v>
      </c>
      <c r="S12" s="53" t="n">
        <f aca="false">SUM(P12:R12)</f>
        <v>4.4</v>
      </c>
      <c r="T12" s="54"/>
      <c r="U12" s="53" t="n">
        <v>0</v>
      </c>
      <c r="V12" s="53" t="n">
        <v>31.14</v>
      </c>
      <c r="W12" s="54" t="n">
        <f aca="false">W11-V12</f>
        <v>11254.69</v>
      </c>
      <c r="X12" s="6" t="n">
        <f aca="false">N12+O12+S12+U12+V12</f>
        <v>35.54</v>
      </c>
      <c r="Y12" s="53" t="n">
        <f aca="false">IF(L12&lt;0,L12*-1,0)</f>
        <v>0.0298185026468474</v>
      </c>
      <c r="Z12" s="53" t="n">
        <f aca="false">X12+Y12</f>
        <v>35.5698185026468</v>
      </c>
      <c r="AA12" s="58" t="n">
        <v>0</v>
      </c>
      <c r="AB12" s="59" t="n">
        <v>48</v>
      </c>
      <c r="AC12" s="59" t="n">
        <v>21</v>
      </c>
      <c r="AD12" s="60" t="n">
        <f aca="false">AD11+1</f>
        <v>3</v>
      </c>
      <c r="AE12" s="95"/>
      <c r="AF12" s="96"/>
      <c r="AG12" s="95"/>
    </row>
    <row r="13" customFormat="false" ht="11.1" hidden="false" customHeight="true" outlineLevel="0" collapsed="false">
      <c r="A13" s="60" t="n">
        <f aca="false">A12+1</f>
        <v>4</v>
      </c>
      <c r="B13" s="75" t="n">
        <v>6889.17</v>
      </c>
      <c r="C13" s="54" t="n">
        <v>245374</v>
      </c>
      <c r="D13" s="59" t="n">
        <f aca="false">C13-C12</f>
        <v>169</v>
      </c>
      <c r="E13" s="54" t="n">
        <f aca="false">C13-152000</f>
        <v>93374</v>
      </c>
      <c r="F13" s="53" t="n">
        <f aca="false">D13/$D$2</f>
        <v>85.2029241240232</v>
      </c>
      <c r="G13" s="53" t="n">
        <v>120.48</v>
      </c>
      <c r="H13" s="103" t="n">
        <v>0</v>
      </c>
      <c r="I13" s="53" t="n">
        <f aca="false">G13+H13</f>
        <v>120.48</v>
      </c>
      <c r="J13" s="83" t="n">
        <f aca="false">IF(L13&gt;0,L13,0)</f>
        <v>0</v>
      </c>
      <c r="K13" s="53" t="n">
        <f aca="false">I13+J13</f>
        <v>120.48</v>
      </c>
      <c r="L13" s="53" t="n">
        <f aca="false">F13-(I13-X13)</f>
        <v>-0.0170758759768148</v>
      </c>
      <c r="M13" s="53" t="n">
        <v>4.42</v>
      </c>
      <c r="N13" s="53" t="n">
        <v>0</v>
      </c>
      <c r="O13" s="53" t="n">
        <v>0</v>
      </c>
      <c r="P13" s="6" t="n">
        <f aca="false">M13-(N13+O13)</f>
        <v>4.42</v>
      </c>
      <c r="Q13" s="53" t="n">
        <v>0</v>
      </c>
      <c r="R13" s="53" t="n">
        <v>0</v>
      </c>
      <c r="S13" s="53" t="n">
        <f aca="false">SUM(P13:R13)</f>
        <v>4.42</v>
      </c>
      <c r="T13" s="54"/>
      <c r="U13" s="53" t="n">
        <v>0</v>
      </c>
      <c r="V13" s="53" t="n">
        <v>30.84</v>
      </c>
      <c r="W13" s="54" t="n">
        <f aca="false">W12-V13</f>
        <v>11223.85</v>
      </c>
      <c r="X13" s="6" t="n">
        <f aca="false">N13+O13+S13+U13+V13</f>
        <v>35.26</v>
      </c>
      <c r="Y13" s="53" t="n">
        <f aca="false">IF(L13&lt;0,L13*-1,0)</f>
        <v>0.0170758759768148</v>
      </c>
      <c r="Z13" s="53" t="n">
        <f aca="false">X13+Y13</f>
        <v>35.2770758759768</v>
      </c>
      <c r="AA13" s="58" t="n">
        <v>0.03</v>
      </c>
      <c r="AB13" s="59" t="n">
        <v>52</v>
      </c>
      <c r="AC13" s="59" t="n">
        <v>25</v>
      </c>
      <c r="AD13" s="60" t="n">
        <f aca="false">AD12+1</f>
        <v>4</v>
      </c>
      <c r="AE13" s="95"/>
      <c r="AF13" s="96"/>
      <c r="AG13" s="95"/>
    </row>
    <row r="14" customFormat="false" ht="11.1" hidden="false" customHeight="true" outlineLevel="0" collapsed="false">
      <c r="A14" s="60" t="n">
        <f aca="false">A13+1</f>
        <v>5</v>
      </c>
      <c r="B14" s="75" t="n">
        <v>6889.51</v>
      </c>
      <c r="C14" s="54" t="n">
        <v>245508</v>
      </c>
      <c r="D14" s="59" t="n">
        <f aca="false">C14-C13</f>
        <v>134</v>
      </c>
      <c r="E14" s="54" t="n">
        <f aca="false">C14-152000</f>
        <v>93508</v>
      </c>
      <c r="F14" s="53" t="n">
        <f aca="false">D14/$D$2</f>
        <v>67.5573481220066</v>
      </c>
      <c r="G14" s="53" t="n">
        <v>102.54</v>
      </c>
      <c r="H14" s="103" t="n">
        <v>0</v>
      </c>
      <c r="I14" s="53" t="n">
        <f aca="false">G14+H14</f>
        <v>102.54</v>
      </c>
      <c r="J14" s="83" t="n">
        <f aca="false">IF(L14&gt;0,L14,0)</f>
        <v>0.227348122006546</v>
      </c>
      <c r="K14" s="53" t="n">
        <f aca="false">I14+J14</f>
        <v>102.767348122007</v>
      </c>
      <c r="L14" s="53" t="n">
        <f aca="false">F14-(I14-X14)</f>
        <v>0.227348122006546</v>
      </c>
      <c r="M14" s="53" t="n">
        <v>4.71</v>
      </c>
      <c r="N14" s="53" t="n">
        <v>0</v>
      </c>
      <c r="O14" s="53" t="n">
        <v>0</v>
      </c>
      <c r="P14" s="6" t="n">
        <f aca="false">M14-(N14+O14)</f>
        <v>4.71</v>
      </c>
      <c r="Q14" s="53" t="n">
        <v>0</v>
      </c>
      <c r="R14" s="53" t="n">
        <v>0</v>
      </c>
      <c r="S14" s="53" t="n">
        <f aca="false">SUM(P14:R14)</f>
        <v>4.71</v>
      </c>
      <c r="T14" s="54"/>
      <c r="U14" s="53" t="n">
        <v>0</v>
      </c>
      <c r="V14" s="53" t="n">
        <v>30.5</v>
      </c>
      <c r="W14" s="54" t="n">
        <f aca="false">W13-V14</f>
        <v>11193.35</v>
      </c>
      <c r="X14" s="6" t="n">
        <f aca="false">N14+O14+S14+U14+V14</f>
        <v>35.21</v>
      </c>
      <c r="Y14" s="53" t="n">
        <f aca="false">IF(L14&lt;0,L14*-1,0)</f>
        <v>0</v>
      </c>
      <c r="Z14" s="53" t="n">
        <f aca="false">X14+Y14</f>
        <v>35.21</v>
      </c>
      <c r="AA14" s="58" t="n">
        <v>0.05</v>
      </c>
      <c r="AB14" s="59" t="n">
        <v>48</v>
      </c>
      <c r="AC14" s="59" t="n">
        <v>36</v>
      </c>
      <c r="AD14" s="60" t="n">
        <f aca="false">AD13+1</f>
        <v>5</v>
      </c>
      <c r="AE14" s="95"/>
      <c r="AF14" s="96"/>
      <c r="AG14" s="95"/>
    </row>
    <row r="15" customFormat="false" ht="11.1" hidden="false" customHeight="true" outlineLevel="0" collapsed="false">
      <c r="A15" s="60" t="n">
        <f aca="false">A14+1</f>
        <v>6</v>
      </c>
      <c r="B15" s="75" t="n">
        <v>6889.25</v>
      </c>
      <c r="C15" s="54" t="n">
        <v>245643</v>
      </c>
      <c r="D15" s="59" t="n">
        <f aca="false">C15-C14</f>
        <v>135</v>
      </c>
      <c r="E15" s="54" t="n">
        <f aca="false">C15-152000</f>
        <v>93643</v>
      </c>
      <c r="F15" s="53" t="n">
        <f aca="false">D15/$D$2</f>
        <v>68.0615074363499</v>
      </c>
      <c r="G15" s="53" t="n">
        <v>103.15</v>
      </c>
      <c r="H15" s="103" t="n">
        <v>0</v>
      </c>
      <c r="I15" s="53" t="n">
        <f aca="false">G15+H15</f>
        <v>103.15</v>
      </c>
      <c r="J15" s="83" t="n">
        <f aca="false">IF(L15&gt;0,L15,0)</f>
        <v>0</v>
      </c>
      <c r="K15" s="53" t="n">
        <f aca="false">I15+J15</f>
        <v>103.15</v>
      </c>
      <c r="L15" s="53" t="n">
        <f aca="false">F15-(I15-X15)</f>
        <v>-0.0184925636501276</v>
      </c>
      <c r="M15" s="53" t="n">
        <v>4.57</v>
      </c>
      <c r="N15" s="53" t="n">
        <v>0</v>
      </c>
      <c r="O15" s="53" t="n">
        <v>0</v>
      </c>
      <c r="P15" s="6" t="n">
        <f aca="false">M15-(N15+O15)</f>
        <v>4.57</v>
      </c>
      <c r="Q15" s="53" t="n">
        <v>0</v>
      </c>
      <c r="R15" s="53" t="n">
        <v>0</v>
      </c>
      <c r="S15" s="53" t="n">
        <f aca="false">SUM(P15:R15)</f>
        <v>4.57</v>
      </c>
      <c r="T15" s="54"/>
      <c r="U15" s="53" t="n">
        <v>0</v>
      </c>
      <c r="V15" s="53" t="n">
        <v>30.5</v>
      </c>
      <c r="W15" s="54" t="n">
        <f aca="false">W14-V15</f>
        <v>11162.85</v>
      </c>
      <c r="X15" s="6" t="n">
        <f aca="false">N15+O15+S15+U15+V15</f>
        <v>35.07</v>
      </c>
      <c r="Y15" s="53" t="n">
        <f aca="false">IF(L15&lt;0,L15*-1,0)</f>
        <v>0.0184925636501276</v>
      </c>
      <c r="Z15" s="53" t="n">
        <f aca="false">X15+Y15</f>
        <v>35.0884925636501</v>
      </c>
      <c r="AA15" s="58" t="n">
        <v>0</v>
      </c>
      <c r="AB15" s="59" t="n">
        <v>36</v>
      </c>
      <c r="AC15" s="59" t="n">
        <v>22</v>
      </c>
      <c r="AD15" s="60" t="n">
        <f aca="false">AD14+1</f>
        <v>6</v>
      </c>
      <c r="AE15" s="94"/>
      <c r="AF15" s="96"/>
      <c r="AG15" s="95"/>
    </row>
    <row r="16" customFormat="false" ht="11.1" hidden="false" customHeight="true" outlineLevel="0" collapsed="false">
      <c r="A16" s="60" t="n">
        <f aca="false">A15+1</f>
        <v>7</v>
      </c>
      <c r="B16" s="75" t="n">
        <v>6889.27</v>
      </c>
      <c r="C16" s="54" t="n">
        <v>245710</v>
      </c>
      <c r="D16" s="59" t="n">
        <f aca="false">C16-C15</f>
        <v>67</v>
      </c>
      <c r="E16" s="54" t="n">
        <f aca="false">C16-152000</f>
        <v>93710</v>
      </c>
      <c r="F16" s="53" t="n">
        <f aca="false">D16/$D$2</f>
        <v>33.7786740610033</v>
      </c>
      <c r="G16" s="53" t="n">
        <v>68.66</v>
      </c>
      <c r="H16" s="103" t="n">
        <v>0</v>
      </c>
      <c r="I16" s="53" t="n">
        <f aca="false">G16+H16</f>
        <v>68.66</v>
      </c>
      <c r="J16" s="83" t="n">
        <f aca="false">IF(L16&gt;0,L16,0)</f>
        <v>0</v>
      </c>
      <c r="K16" s="53" t="n">
        <f aca="false">I16+J16</f>
        <v>68.66</v>
      </c>
      <c r="L16" s="53" t="n">
        <f aca="false">F16-(I16-X16)</f>
        <v>-0.0113259389967197</v>
      </c>
      <c r="M16" s="53" t="n">
        <v>4.4</v>
      </c>
      <c r="N16" s="53" t="n">
        <v>0</v>
      </c>
      <c r="O16" s="53" t="n">
        <v>0</v>
      </c>
      <c r="P16" s="6" t="n">
        <f aca="false">M16-(N16+O16)</f>
        <v>4.4</v>
      </c>
      <c r="Q16" s="53" t="n">
        <v>0</v>
      </c>
      <c r="R16" s="53" t="n">
        <v>0</v>
      </c>
      <c r="S16" s="53" t="n">
        <f aca="false">SUM(P16:R16)</f>
        <v>4.4</v>
      </c>
      <c r="T16" s="54"/>
      <c r="U16" s="53" t="n">
        <v>0</v>
      </c>
      <c r="V16" s="53" t="n">
        <v>30.47</v>
      </c>
      <c r="W16" s="54" t="n">
        <f aca="false">W15-V16</f>
        <v>11132.38</v>
      </c>
      <c r="X16" s="6" t="n">
        <f aca="false">N16+O16+S16+U16+V16</f>
        <v>34.87</v>
      </c>
      <c r="Y16" s="53" t="n">
        <f aca="false">IF(L16&lt;0,L16*-1,0)</f>
        <v>0.0113259389967197</v>
      </c>
      <c r="Z16" s="53" t="n">
        <f aca="false">X16+Y16</f>
        <v>34.8813259389967</v>
      </c>
      <c r="AA16" s="58" t="n">
        <v>0</v>
      </c>
      <c r="AB16" s="59" t="n">
        <v>38</v>
      </c>
      <c r="AC16" s="59" t="n">
        <v>17</v>
      </c>
      <c r="AD16" s="60" t="n">
        <f aca="false">AD15+1</f>
        <v>7</v>
      </c>
      <c r="AE16" s="94"/>
      <c r="AF16" s="96"/>
      <c r="AG16" s="95"/>
    </row>
    <row r="17" customFormat="false" ht="11.1" hidden="false" customHeight="true" outlineLevel="0" collapsed="false">
      <c r="A17" s="60" t="n">
        <f aca="false">A16+1</f>
        <v>8</v>
      </c>
      <c r="B17" s="75" t="n">
        <v>6889.28</v>
      </c>
      <c r="C17" s="54" t="n">
        <v>245744</v>
      </c>
      <c r="D17" s="59" t="n">
        <f aca="false">C17-C16</f>
        <v>34</v>
      </c>
      <c r="E17" s="54" t="n">
        <f aca="false">C17-152000</f>
        <v>93744</v>
      </c>
      <c r="F17" s="53" t="n">
        <f aca="false">D17/$D$2</f>
        <v>17.1414166876733</v>
      </c>
      <c r="G17" s="53" t="n">
        <v>52.05</v>
      </c>
      <c r="H17" s="103" t="n">
        <v>0</v>
      </c>
      <c r="I17" s="53" t="n">
        <f aca="false">G17+H17</f>
        <v>52.05</v>
      </c>
      <c r="J17" s="83" t="n">
        <f aca="false">IF(L17&gt;0,L17,0)</f>
        <v>0</v>
      </c>
      <c r="K17" s="53" t="n">
        <f aca="false">I17+J17</f>
        <v>52.05</v>
      </c>
      <c r="L17" s="53" t="n">
        <f aca="false">F17-(I17-X17)</f>
        <v>-0.00858331232669585</v>
      </c>
      <c r="M17" s="53" t="n">
        <v>4.4</v>
      </c>
      <c r="N17" s="53" t="n">
        <v>0</v>
      </c>
      <c r="O17" s="53" t="n">
        <v>0</v>
      </c>
      <c r="P17" s="6" t="n">
        <f aca="false">M17-(N17+O17)</f>
        <v>4.4</v>
      </c>
      <c r="Q17" s="53" t="n">
        <v>0</v>
      </c>
      <c r="R17" s="53" t="n">
        <v>0</v>
      </c>
      <c r="S17" s="53" t="n">
        <f aca="false">SUM(P17:R17)</f>
        <v>4.4</v>
      </c>
      <c r="T17" s="54"/>
      <c r="U17" s="53" t="n">
        <v>0</v>
      </c>
      <c r="V17" s="53" t="n">
        <v>30.5</v>
      </c>
      <c r="W17" s="54" t="n">
        <f aca="false">W16-V17</f>
        <v>11101.88</v>
      </c>
      <c r="X17" s="6" t="n">
        <f aca="false">N17+O17+S17+U17+V17</f>
        <v>34.9</v>
      </c>
      <c r="Y17" s="53" t="n">
        <f aca="false">IF(L17&lt;0,L17*-1,0)</f>
        <v>0.00858331232669585</v>
      </c>
      <c r="Z17" s="53" t="n">
        <f aca="false">X17+Y17</f>
        <v>34.9085833123267</v>
      </c>
      <c r="AA17" s="58" t="n">
        <v>0</v>
      </c>
      <c r="AB17" s="59" t="n">
        <v>44</v>
      </c>
      <c r="AC17" s="59" t="n">
        <v>11</v>
      </c>
      <c r="AD17" s="60" t="n">
        <f aca="false">AD16+1</f>
        <v>8</v>
      </c>
      <c r="AE17" s="94"/>
      <c r="AF17" s="96"/>
      <c r="AG17" s="95"/>
    </row>
    <row r="18" customFormat="false" ht="11.1" hidden="false" customHeight="true" outlineLevel="0" collapsed="false">
      <c r="A18" s="60" t="n">
        <f aca="false">A17+1</f>
        <v>9</v>
      </c>
      <c r="B18" s="75" t="n">
        <v>6889.29</v>
      </c>
      <c r="C18" s="54" t="n">
        <v>245778</v>
      </c>
      <c r="D18" s="59" t="n">
        <f aca="false">C18-C17</f>
        <v>34</v>
      </c>
      <c r="E18" s="54" t="n">
        <f aca="false">C18-152000</f>
        <v>93778</v>
      </c>
      <c r="F18" s="53" t="n">
        <f aca="false">D18/$D$2</f>
        <v>17.1414166876733</v>
      </c>
      <c r="G18" s="53" t="n">
        <v>52.14</v>
      </c>
      <c r="H18" s="103" t="n">
        <v>0</v>
      </c>
      <c r="I18" s="53" t="n">
        <f aca="false">G18+H18</f>
        <v>52.14</v>
      </c>
      <c r="J18" s="83" t="n">
        <f aca="false">IF(L18&gt;0,L18,0)</f>
        <v>0</v>
      </c>
      <c r="K18" s="53" t="n">
        <f aca="false">I18+J18</f>
        <v>52.14</v>
      </c>
      <c r="L18" s="53" t="n">
        <f aca="false">F18-(I18-X18)</f>
        <v>-0.00858331232669585</v>
      </c>
      <c r="M18" s="53" t="n">
        <v>4.49</v>
      </c>
      <c r="N18" s="53" t="n">
        <v>0</v>
      </c>
      <c r="O18" s="53" t="n">
        <v>0</v>
      </c>
      <c r="P18" s="6" t="n">
        <f aca="false">M18-(N18+O18)</f>
        <v>4.49</v>
      </c>
      <c r="Q18" s="53" t="n">
        <v>0</v>
      </c>
      <c r="R18" s="53" t="n">
        <v>0</v>
      </c>
      <c r="S18" s="53" t="n">
        <f aca="false">SUM(P18:R18)</f>
        <v>4.49</v>
      </c>
      <c r="T18" s="54"/>
      <c r="U18" s="53" t="n">
        <v>0</v>
      </c>
      <c r="V18" s="53" t="n">
        <v>30.5</v>
      </c>
      <c r="W18" s="54" t="n">
        <f aca="false">W17-V18</f>
        <v>11071.38</v>
      </c>
      <c r="X18" s="6" t="n">
        <f aca="false">N18+O18+S18+U18+V18</f>
        <v>34.99</v>
      </c>
      <c r="Y18" s="53" t="n">
        <f aca="false">IF(L18&lt;0,L18*-1,0)</f>
        <v>0.00858331232669585</v>
      </c>
      <c r="Z18" s="53" t="n">
        <f aca="false">X18+Y18</f>
        <v>34.9985833123267</v>
      </c>
      <c r="AA18" s="58" t="n">
        <v>0</v>
      </c>
      <c r="AB18" s="84" t="n">
        <v>43</v>
      </c>
      <c r="AC18" s="59" t="n">
        <v>20</v>
      </c>
      <c r="AD18" s="60" t="n">
        <f aca="false">AD17+1</f>
        <v>9</v>
      </c>
      <c r="AE18" s="94"/>
      <c r="AF18" s="96"/>
      <c r="AG18" s="95"/>
    </row>
    <row r="19" customFormat="false" ht="11.1" hidden="false" customHeight="true" outlineLevel="0" collapsed="false">
      <c r="A19" s="60" t="n">
        <f aca="false">A18+1</f>
        <v>10</v>
      </c>
      <c r="B19" s="75" t="n">
        <v>6889.3</v>
      </c>
      <c r="C19" s="54" t="n">
        <v>245811</v>
      </c>
      <c r="D19" s="59" t="n">
        <f aca="false">C19-C18</f>
        <v>33</v>
      </c>
      <c r="E19" s="54" t="n">
        <f aca="false">C19-152000</f>
        <v>93811</v>
      </c>
      <c r="F19" s="53" t="n">
        <f aca="false">D19/$D$2</f>
        <v>16.63725737333</v>
      </c>
      <c r="G19" s="53" t="n">
        <v>51.57</v>
      </c>
      <c r="H19" s="103" t="n">
        <v>0</v>
      </c>
      <c r="I19" s="53" t="n">
        <f aca="false">G19+H19</f>
        <v>51.57</v>
      </c>
      <c r="J19" s="83" t="n">
        <f aca="false">IF(L19&gt;0,L19,0)</f>
        <v>0</v>
      </c>
      <c r="K19" s="53" t="n">
        <f aca="false">I19+J19</f>
        <v>51.57</v>
      </c>
      <c r="L19" s="53" t="n">
        <f aca="false">F19-(I19-X19)</f>
        <v>-0.00274262667002745</v>
      </c>
      <c r="M19" s="104" t="n">
        <v>4.43</v>
      </c>
      <c r="N19" s="104" t="n">
        <v>0</v>
      </c>
      <c r="O19" s="53" t="n">
        <v>0</v>
      </c>
      <c r="P19" s="6" t="n">
        <f aca="false">M19-(N19+O19)</f>
        <v>4.43</v>
      </c>
      <c r="Q19" s="53" t="n">
        <v>0</v>
      </c>
      <c r="R19" s="53" t="n">
        <v>0</v>
      </c>
      <c r="S19" s="53" t="n">
        <f aca="false">SUM(P19:R19)</f>
        <v>4.43</v>
      </c>
      <c r="T19" s="54"/>
      <c r="U19" s="53" t="n">
        <v>0</v>
      </c>
      <c r="V19" s="53" t="n">
        <v>30.5</v>
      </c>
      <c r="W19" s="54" t="n">
        <f aca="false">W18-V19</f>
        <v>11040.88</v>
      </c>
      <c r="X19" s="6" t="n">
        <f aca="false">N19+O19+S19+U19+V19</f>
        <v>34.93</v>
      </c>
      <c r="Y19" s="53" t="n">
        <f aca="false">IF(L19&lt;0,L19*-1,0)</f>
        <v>0.00274262667002745</v>
      </c>
      <c r="Z19" s="53" t="n">
        <f aca="false">X19+Y19</f>
        <v>34.93274262667</v>
      </c>
      <c r="AA19" s="58" t="n">
        <v>0.17</v>
      </c>
      <c r="AB19" s="59" t="n">
        <v>47</v>
      </c>
      <c r="AC19" s="59" t="n">
        <v>22</v>
      </c>
      <c r="AD19" s="60" t="n">
        <f aca="false">AD18+1</f>
        <v>10</v>
      </c>
      <c r="AE19" s="94"/>
      <c r="AF19" s="96"/>
      <c r="AG19" s="95"/>
    </row>
    <row r="20" customFormat="false" ht="11.1" hidden="false" customHeight="true" outlineLevel="0" collapsed="false">
      <c r="A20" s="60" t="n">
        <f aca="false">A19+1</f>
        <v>11</v>
      </c>
      <c r="B20" s="75" t="n">
        <v>6889.38</v>
      </c>
      <c r="C20" s="54" t="n">
        <v>246081</v>
      </c>
      <c r="D20" s="59" t="n">
        <f aca="false">C20-C19</f>
        <v>270</v>
      </c>
      <c r="E20" s="54" t="n">
        <f aca="false">C20-152000</f>
        <v>94081</v>
      </c>
      <c r="F20" s="53" t="n">
        <f aca="false">D20/$D$2</f>
        <v>136.1230148727</v>
      </c>
      <c r="G20" s="53" t="n">
        <v>194.16</v>
      </c>
      <c r="H20" s="103" t="n">
        <v>0</v>
      </c>
      <c r="I20" s="53" t="n">
        <f aca="false">G20+H20</f>
        <v>194.16</v>
      </c>
      <c r="J20" s="83" t="n">
        <f aca="false">IF(L20&gt;0,L20,0)</f>
        <v>0</v>
      </c>
      <c r="K20" s="53" t="n">
        <f aca="false">I20+J20</f>
        <v>194.16</v>
      </c>
      <c r="L20" s="53" t="n">
        <f aca="false">F20-(I20-X20)</f>
        <v>-0.0369851273002268</v>
      </c>
      <c r="M20" s="104" t="n">
        <v>28</v>
      </c>
      <c r="N20" s="104" t="n">
        <v>0</v>
      </c>
      <c r="O20" s="53" t="n">
        <v>0</v>
      </c>
      <c r="P20" s="6" t="n">
        <f aca="false">M20-(N20+O20)</f>
        <v>28</v>
      </c>
      <c r="Q20" s="53" t="n">
        <v>0</v>
      </c>
      <c r="R20" s="53" t="n">
        <v>0</v>
      </c>
      <c r="S20" s="53" t="n">
        <f aca="false">SUM(P20:R20)</f>
        <v>28</v>
      </c>
      <c r="T20" s="54"/>
      <c r="U20" s="53" t="n">
        <v>0</v>
      </c>
      <c r="V20" s="53" t="n">
        <v>30</v>
      </c>
      <c r="W20" s="54" t="n">
        <f aca="false">W19-V20</f>
        <v>11010.88</v>
      </c>
      <c r="X20" s="6" t="n">
        <f aca="false">N20+O20+S20+U20+V20</f>
        <v>58</v>
      </c>
      <c r="Y20" s="53" t="n">
        <f aca="false">IF(L20&lt;0,L20*-1,0)</f>
        <v>0.0369851273002268</v>
      </c>
      <c r="Z20" s="53" t="n">
        <f aca="false">X20+Y20</f>
        <v>58.0369851273002</v>
      </c>
      <c r="AA20" s="58" t="n">
        <v>0</v>
      </c>
      <c r="AB20" s="59" t="n">
        <v>43</v>
      </c>
      <c r="AC20" s="59" t="n">
        <v>26</v>
      </c>
      <c r="AD20" s="60" t="n">
        <f aca="false">AD19+1</f>
        <v>11</v>
      </c>
      <c r="AE20" s="94"/>
      <c r="AF20" s="96"/>
      <c r="AG20" s="95"/>
    </row>
    <row r="21" customFormat="false" ht="11.1" hidden="false" customHeight="true" outlineLevel="0" collapsed="false">
      <c r="A21" s="60" t="n">
        <f aca="false">A20+1</f>
        <v>12</v>
      </c>
      <c r="B21" s="75" t="n">
        <v>6889.39</v>
      </c>
      <c r="C21" s="54" t="n">
        <v>246114</v>
      </c>
      <c r="D21" s="59" t="n">
        <f aca="false">C21-C20</f>
        <v>33</v>
      </c>
      <c r="E21" s="54" t="n">
        <f aca="false">C21-152000</f>
        <v>94114</v>
      </c>
      <c r="F21" s="53" t="n">
        <f aca="false">D21/$D$2</f>
        <v>16.63725737333</v>
      </c>
      <c r="G21" s="53" t="n">
        <v>84.64</v>
      </c>
      <c r="H21" s="103" t="n">
        <v>0</v>
      </c>
      <c r="I21" s="53" t="n">
        <f aca="false">G21+H21</f>
        <v>84.64</v>
      </c>
      <c r="J21" s="83" t="n">
        <f aca="false">IF(L21&gt;0,L21,0)</f>
        <v>0</v>
      </c>
      <c r="K21" s="53" t="n">
        <f aca="false">I21+J21</f>
        <v>84.64</v>
      </c>
      <c r="L21" s="53" t="n">
        <f aca="false">F21-(I21-X21)</f>
        <v>-0.00274262667002745</v>
      </c>
      <c r="M21" s="104" t="n">
        <v>38</v>
      </c>
      <c r="N21" s="104" t="n">
        <v>0</v>
      </c>
      <c r="O21" s="53" t="n">
        <v>0</v>
      </c>
      <c r="P21" s="6" t="n">
        <f aca="false">M21-(N21+O21)</f>
        <v>38</v>
      </c>
      <c r="Q21" s="53" t="n">
        <v>0</v>
      </c>
      <c r="R21" s="53" t="n">
        <v>0</v>
      </c>
      <c r="S21" s="53" t="n">
        <f aca="false">SUM(P21:R21)</f>
        <v>38</v>
      </c>
      <c r="T21" s="54"/>
      <c r="U21" s="53" t="n">
        <v>0</v>
      </c>
      <c r="V21" s="53" t="n">
        <v>30</v>
      </c>
      <c r="W21" s="54" t="n">
        <f aca="false">W20-V21</f>
        <v>10980.88</v>
      </c>
      <c r="X21" s="6" t="n">
        <f aca="false">N21+O21+S21+U21+V21</f>
        <v>68</v>
      </c>
      <c r="Y21" s="53" t="n">
        <f aca="false">IF(L21&lt;0,L21*-1,0)</f>
        <v>0.00274262667002745</v>
      </c>
      <c r="Z21" s="53" t="n">
        <f aca="false">X21+Y21</f>
        <v>68.00274262667</v>
      </c>
      <c r="AA21" s="58" t="n">
        <v>0</v>
      </c>
      <c r="AB21" s="59" t="n">
        <v>43</v>
      </c>
      <c r="AC21" s="59" t="n">
        <v>19</v>
      </c>
      <c r="AD21" s="60" t="n">
        <f aca="false">AD20+1</f>
        <v>12</v>
      </c>
      <c r="AE21" s="94"/>
      <c r="AF21" s="96"/>
      <c r="AG21" s="95"/>
    </row>
    <row r="22" customFormat="false" ht="11.1" hidden="false" customHeight="true" outlineLevel="0" collapsed="false">
      <c r="A22" s="60" t="n">
        <f aca="false">A21+1</f>
        <v>13</v>
      </c>
      <c r="B22" s="75" t="n">
        <v>6889.4</v>
      </c>
      <c r="C22" s="54" t="n">
        <v>246148</v>
      </c>
      <c r="D22" s="59" t="n">
        <f aca="false">C22-C21</f>
        <v>34</v>
      </c>
      <c r="E22" s="54" t="n">
        <f aca="false">C22-152000</f>
        <v>94148</v>
      </c>
      <c r="F22" s="53" t="n">
        <f aca="false">D22/$D$2</f>
        <v>17.1414166876733</v>
      </c>
      <c r="G22" s="53" t="n">
        <v>85.15</v>
      </c>
      <c r="H22" s="103" t="n">
        <v>0</v>
      </c>
      <c r="I22" s="53" t="n">
        <f aca="false">G22+H22</f>
        <v>85.15</v>
      </c>
      <c r="J22" s="83" t="n">
        <f aca="false">IF(L22&gt;0,L22,0)</f>
        <v>0</v>
      </c>
      <c r="K22" s="53" t="n">
        <f aca="false">I22+J22</f>
        <v>85.15</v>
      </c>
      <c r="L22" s="53" t="n">
        <f aca="false">F22-(I22-X22)</f>
        <v>-0.00858331232670295</v>
      </c>
      <c r="M22" s="104" t="n">
        <v>38</v>
      </c>
      <c r="N22" s="104" t="n">
        <v>0</v>
      </c>
      <c r="O22" s="53" t="n">
        <v>0</v>
      </c>
      <c r="P22" s="6" t="n">
        <f aca="false">M22-(N22+O22)</f>
        <v>38</v>
      </c>
      <c r="Q22" s="53" t="n">
        <v>0</v>
      </c>
      <c r="R22" s="53" t="n">
        <v>0</v>
      </c>
      <c r="S22" s="53" t="n">
        <f aca="false">SUM(P22:R22)</f>
        <v>38</v>
      </c>
      <c r="T22" s="54"/>
      <c r="U22" s="53" t="n">
        <v>0</v>
      </c>
      <c r="V22" s="53" t="n">
        <v>30</v>
      </c>
      <c r="W22" s="54" t="n">
        <f aca="false">W21-V22</f>
        <v>10950.88</v>
      </c>
      <c r="X22" s="6" t="n">
        <f aca="false">N22+O22+S22+U22+V22</f>
        <v>68</v>
      </c>
      <c r="Y22" s="53" t="n">
        <f aca="false">IF(L22&lt;0,L22*-1,0)</f>
        <v>0.00858331232670295</v>
      </c>
      <c r="Z22" s="53" t="n">
        <f aca="false">X22+Y22</f>
        <v>68.0085833123267</v>
      </c>
      <c r="AA22" s="58" t="n">
        <v>0</v>
      </c>
      <c r="AB22" s="59" t="n">
        <v>46</v>
      </c>
      <c r="AC22" s="59" t="n">
        <v>17</v>
      </c>
      <c r="AD22" s="60" t="n">
        <f aca="false">AD21+1</f>
        <v>13</v>
      </c>
      <c r="AE22" s="94"/>
      <c r="AF22" s="96"/>
      <c r="AG22" s="95"/>
    </row>
    <row r="23" customFormat="false" ht="11.1" hidden="false" customHeight="true" outlineLevel="0" collapsed="false">
      <c r="A23" s="60" t="n">
        <f aca="false">A22+1</f>
        <v>14</v>
      </c>
      <c r="B23" s="75" t="n">
        <v>6889.45</v>
      </c>
      <c r="C23" s="54" t="n">
        <v>246316</v>
      </c>
      <c r="D23" s="59" t="n">
        <f aca="false">C23-C22</f>
        <v>168</v>
      </c>
      <c r="E23" s="54" t="n">
        <f aca="false">C23-152000</f>
        <v>94316</v>
      </c>
      <c r="F23" s="53" t="n">
        <f aca="false">D23/$D$2</f>
        <v>84.6987648096799</v>
      </c>
      <c r="G23" s="53" t="n">
        <v>152.72</v>
      </c>
      <c r="H23" s="89" t="n">
        <v>0</v>
      </c>
      <c r="I23" s="53" t="n">
        <f aca="false">G23+H23</f>
        <v>152.72</v>
      </c>
      <c r="J23" s="83" t="n">
        <f aca="false">IF(L23&gt;0,L23,0)</f>
        <v>0</v>
      </c>
      <c r="K23" s="53" t="n">
        <f aca="false">I23+J23</f>
        <v>152.72</v>
      </c>
      <c r="L23" s="53" t="n">
        <f aca="false">F23-(I23-X23)</f>
        <v>-0.0212351903201409</v>
      </c>
      <c r="M23" s="53" t="n">
        <v>38</v>
      </c>
      <c r="N23" s="53" t="n">
        <v>0</v>
      </c>
      <c r="O23" s="53" t="n">
        <v>0</v>
      </c>
      <c r="P23" s="6" t="n">
        <f aca="false">M23-(N23+O23)</f>
        <v>38</v>
      </c>
      <c r="Q23" s="53" t="n">
        <v>0</v>
      </c>
      <c r="R23" s="53" t="n">
        <v>0</v>
      </c>
      <c r="S23" s="53" t="n">
        <f aca="false">SUM(P23:R23)</f>
        <v>38</v>
      </c>
      <c r="T23" s="54"/>
      <c r="U23" s="53" t="n">
        <v>0</v>
      </c>
      <c r="V23" s="53" t="n">
        <v>30</v>
      </c>
      <c r="W23" s="54" t="n">
        <f aca="false">W22-V23</f>
        <v>10920.88</v>
      </c>
      <c r="X23" s="6" t="n">
        <f aca="false">N23+O23+S23+U23+V23</f>
        <v>68</v>
      </c>
      <c r="Y23" s="53" t="n">
        <f aca="false">IF(L23&lt;0,L23*-1,0)</f>
        <v>0.0212351903201409</v>
      </c>
      <c r="Z23" s="53" t="n">
        <f aca="false">X23+Y23</f>
        <v>68.0212351903201</v>
      </c>
      <c r="AA23" s="58" t="n">
        <v>0.27</v>
      </c>
      <c r="AB23" s="84" t="n">
        <v>36</v>
      </c>
      <c r="AC23" s="59" t="n">
        <v>21</v>
      </c>
      <c r="AD23" s="60" t="n">
        <f aca="false">AD22+1</f>
        <v>14</v>
      </c>
      <c r="AE23" s="94"/>
      <c r="AF23" s="96"/>
      <c r="AG23" s="95"/>
    </row>
    <row r="24" customFormat="false" ht="11.1" hidden="false" customHeight="true" outlineLevel="0" collapsed="false">
      <c r="A24" s="60" t="n">
        <f aca="false">A23+1</f>
        <v>15</v>
      </c>
      <c r="B24" s="75" t="n">
        <v>6889.47</v>
      </c>
      <c r="C24" s="54" t="n">
        <v>246384</v>
      </c>
      <c r="D24" s="59" t="n">
        <f aca="false">C24-C23</f>
        <v>68</v>
      </c>
      <c r="E24" s="54" t="n">
        <f aca="false">C24-152000</f>
        <v>94384</v>
      </c>
      <c r="F24" s="53" t="n">
        <f aca="false">D24/$D$2</f>
        <v>34.2828333753466</v>
      </c>
      <c r="G24" s="53" t="n">
        <v>102.19</v>
      </c>
      <c r="H24" s="89" t="n">
        <v>0</v>
      </c>
      <c r="I24" s="53" t="n">
        <f aca="false">G24+H24</f>
        <v>102.19</v>
      </c>
      <c r="J24" s="83" t="n">
        <f aca="false">IF(L24&gt;0,L24,0)</f>
        <v>0.0928333753466077</v>
      </c>
      <c r="K24" s="53" t="n">
        <f aca="false">I24+J24</f>
        <v>102.282833375347</v>
      </c>
      <c r="L24" s="53" t="n">
        <f aca="false">F24-(I24-X24)</f>
        <v>0.0928333753466077</v>
      </c>
      <c r="M24" s="53" t="n">
        <v>38</v>
      </c>
      <c r="N24" s="53" t="n">
        <v>0</v>
      </c>
      <c r="O24" s="53" t="n">
        <v>0</v>
      </c>
      <c r="P24" s="6" t="n">
        <f aca="false">M24-(N24+O24)</f>
        <v>38</v>
      </c>
      <c r="Q24" s="53" t="n">
        <v>0</v>
      </c>
      <c r="R24" s="53" t="n">
        <v>0</v>
      </c>
      <c r="S24" s="53" t="n">
        <f aca="false">SUM(P24:R24)</f>
        <v>38</v>
      </c>
      <c r="T24" s="54"/>
      <c r="U24" s="53" t="n">
        <v>0</v>
      </c>
      <c r="V24" s="53" t="n">
        <v>30</v>
      </c>
      <c r="W24" s="54" t="n">
        <f aca="false">W23-V24</f>
        <v>10890.88</v>
      </c>
      <c r="X24" s="6" t="n">
        <f aca="false">N24+O24+S24+U24+V24</f>
        <v>68</v>
      </c>
      <c r="Y24" s="53" t="n">
        <f aca="false">IF(L24&lt;0,L24*-1,0)</f>
        <v>0</v>
      </c>
      <c r="Z24" s="53" t="n">
        <f aca="false">X24+Y24</f>
        <v>68</v>
      </c>
      <c r="AA24" s="58" t="n">
        <v>0.11</v>
      </c>
      <c r="AB24" s="84" t="n">
        <v>39</v>
      </c>
      <c r="AC24" s="59" t="n">
        <v>27</v>
      </c>
      <c r="AD24" s="60" t="n">
        <f aca="false">AD23+1</f>
        <v>15</v>
      </c>
      <c r="AE24" s="94"/>
      <c r="AF24" s="96"/>
      <c r="AG24" s="95"/>
    </row>
    <row r="25" customFormat="false" ht="11.1" hidden="false" customHeight="true" outlineLevel="0" collapsed="false">
      <c r="A25" s="60" t="n">
        <f aca="false">A24+1</f>
        <v>16</v>
      </c>
      <c r="B25" s="75" t="n">
        <v>6889.49</v>
      </c>
      <c r="C25" s="54" t="n">
        <v>246451</v>
      </c>
      <c r="D25" s="59" t="n">
        <f aca="false">C25-C24</f>
        <v>67</v>
      </c>
      <c r="E25" s="54" t="n">
        <f aca="false">C25-152000</f>
        <v>94451</v>
      </c>
      <c r="F25" s="53" t="n">
        <f aca="false">D25/$D$2</f>
        <v>33.7786740610033</v>
      </c>
      <c r="G25" s="53" t="n">
        <v>84.79</v>
      </c>
      <c r="H25" s="89" t="n">
        <v>0</v>
      </c>
      <c r="I25" s="53" t="n">
        <f aca="false">G25+H25</f>
        <v>84.79</v>
      </c>
      <c r="J25" s="83" t="n">
        <f aca="false">IF(L25&gt;0,L25,0)</f>
        <v>0</v>
      </c>
      <c r="K25" s="53" t="n">
        <f aca="false">I25+J25</f>
        <v>84.79</v>
      </c>
      <c r="L25" s="53" t="n">
        <f aca="false">F25-(I25-X25)</f>
        <v>-0.0113259389967268</v>
      </c>
      <c r="M25" s="53" t="n">
        <v>21</v>
      </c>
      <c r="N25" s="53" t="n">
        <v>0</v>
      </c>
      <c r="O25" s="53" t="n">
        <v>0</v>
      </c>
      <c r="P25" s="6" t="n">
        <f aca="false">M25-(N25+O25)</f>
        <v>21</v>
      </c>
      <c r="Q25" s="53" t="n">
        <v>0</v>
      </c>
      <c r="R25" s="53" t="n">
        <v>0</v>
      </c>
      <c r="S25" s="53" t="n">
        <f aca="false">SUM(P25:R25)</f>
        <v>21</v>
      </c>
      <c r="T25" s="54"/>
      <c r="U25" s="53" t="n">
        <v>0</v>
      </c>
      <c r="V25" s="53" t="n">
        <v>30</v>
      </c>
      <c r="W25" s="54" t="n">
        <f aca="false">W24-V25</f>
        <v>10860.88</v>
      </c>
      <c r="X25" s="6" t="n">
        <f aca="false">N25+O25+S25+U25+V25</f>
        <v>51</v>
      </c>
      <c r="Y25" s="53" t="n">
        <f aca="false">IF(L25&lt;0,L25*-1,0)</f>
        <v>0.0113259389967268</v>
      </c>
      <c r="Z25" s="53" t="n">
        <f aca="false">X25+Y25</f>
        <v>51.0113259389967</v>
      </c>
      <c r="AA25" s="58" t="n">
        <v>0</v>
      </c>
      <c r="AB25" s="84" t="n">
        <v>43</v>
      </c>
      <c r="AC25" s="59" t="n">
        <v>25</v>
      </c>
      <c r="AD25" s="60" t="n">
        <f aca="false">AD24+1</f>
        <v>16</v>
      </c>
      <c r="AE25" s="94"/>
      <c r="AF25" s="0"/>
      <c r="AG25" s="95"/>
    </row>
    <row r="26" customFormat="false" ht="11.1" hidden="false" customHeight="true" outlineLevel="0" collapsed="false">
      <c r="A26" s="60" t="n">
        <f aca="false">A25+1</f>
        <v>17</v>
      </c>
      <c r="B26" s="75" t="n">
        <v>6889.51</v>
      </c>
      <c r="C26" s="54" t="n">
        <v>246552</v>
      </c>
      <c r="D26" s="59" t="n">
        <f aca="false">C26-C25</f>
        <v>101</v>
      </c>
      <c r="E26" s="54" t="n">
        <f aca="false">C26-152000</f>
        <v>94552</v>
      </c>
      <c r="F26" s="53" t="n">
        <f aca="false">D26/$D$2</f>
        <v>50.9200907486766</v>
      </c>
      <c r="G26" s="53" t="n">
        <v>91.93</v>
      </c>
      <c r="H26" s="89" t="n">
        <v>3.9</v>
      </c>
      <c r="I26" s="53" t="n">
        <f aca="false">G26+H26</f>
        <v>95.83</v>
      </c>
      <c r="J26" s="83" t="n">
        <f aca="false">IF(L26&gt;0,L26,0)</f>
        <v>0</v>
      </c>
      <c r="K26" s="53" t="n">
        <f aca="false">I26+J26</f>
        <v>95.83</v>
      </c>
      <c r="L26" s="53" t="n">
        <f aca="false">F26-(I26-X26)</f>
        <v>-0.00990925132343534</v>
      </c>
      <c r="M26" s="53" t="n">
        <v>14.4</v>
      </c>
      <c r="N26" s="53" t="n">
        <v>0</v>
      </c>
      <c r="O26" s="53" t="n">
        <v>0</v>
      </c>
      <c r="P26" s="6" t="n">
        <f aca="false">M26-(N26+O26)</f>
        <v>14.4</v>
      </c>
      <c r="Q26" s="53" t="n">
        <v>0</v>
      </c>
      <c r="R26" s="53" t="n">
        <v>0</v>
      </c>
      <c r="S26" s="53" t="n">
        <f aca="false">SUM(P26:R26)</f>
        <v>14.4</v>
      </c>
      <c r="T26" s="54"/>
      <c r="U26" s="53" t="n">
        <v>0</v>
      </c>
      <c r="V26" s="53" t="n">
        <v>30.5</v>
      </c>
      <c r="W26" s="54" t="n">
        <f aca="false">W25-V26</f>
        <v>10830.38</v>
      </c>
      <c r="X26" s="6" t="n">
        <f aca="false">N26+O26+S26+U26+V26</f>
        <v>44.9</v>
      </c>
      <c r="Y26" s="53" t="n">
        <f aca="false">IF(L26&lt;0,L26*-1,0)</f>
        <v>0.00990925132343534</v>
      </c>
      <c r="Z26" s="53" t="n">
        <f aca="false">X26+Y26</f>
        <v>44.9099092513234</v>
      </c>
      <c r="AA26" s="58" t="n">
        <v>0</v>
      </c>
      <c r="AB26" s="84" t="n">
        <v>46</v>
      </c>
      <c r="AC26" s="59" t="n">
        <v>24</v>
      </c>
      <c r="AD26" s="60" t="n">
        <f aca="false">AD25+1</f>
        <v>17</v>
      </c>
      <c r="AE26" s="94"/>
      <c r="AF26" s="96"/>
      <c r="AG26" s="95"/>
    </row>
    <row r="27" customFormat="false" ht="11.1" hidden="false" customHeight="true" outlineLevel="0" collapsed="false">
      <c r="A27" s="60" t="n">
        <f aca="false">A26+1</f>
        <v>18</v>
      </c>
      <c r="B27" s="75" t="n">
        <v>6889.52</v>
      </c>
      <c r="C27" s="54" t="n">
        <v>246552</v>
      </c>
      <c r="D27" s="59" t="n">
        <f aca="false">C27-C26</f>
        <v>0</v>
      </c>
      <c r="E27" s="54" t="n">
        <f aca="false">C27-152000</f>
        <v>94552</v>
      </c>
      <c r="F27" s="53" t="n">
        <f aca="false">D27/$D$2</f>
        <v>0</v>
      </c>
      <c r="G27" s="53" t="n">
        <v>78.24</v>
      </c>
      <c r="H27" s="89" t="n">
        <v>4</v>
      </c>
      <c r="I27" s="53" t="n">
        <f aca="false">G27+H27</f>
        <v>82.24</v>
      </c>
      <c r="J27" s="83" t="n">
        <f aca="false">IF(L27&gt;0,L27,0)</f>
        <v>2.34</v>
      </c>
      <c r="K27" s="53" t="n">
        <f aca="false">I27+J27</f>
        <v>84.58</v>
      </c>
      <c r="L27" s="53" t="n">
        <f aca="false">F27-(I27-X27)</f>
        <v>2.34</v>
      </c>
      <c r="M27" s="53" t="n">
        <v>8.2</v>
      </c>
      <c r="N27" s="53" t="n">
        <v>0</v>
      </c>
      <c r="O27" s="53" t="n">
        <v>0</v>
      </c>
      <c r="P27" s="6" t="n">
        <f aca="false">M27-(N27+O27)</f>
        <v>8.2</v>
      </c>
      <c r="Q27" s="53" t="n">
        <v>45.88</v>
      </c>
      <c r="R27" s="53" t="n">
        <v>0</v>
      </c>
      <c r="S27" s="53" t="n">
        <f aca="false">SUM(P27:R27)</f>
        <v>54.08</v>
      </c>
      <c r="T27" s="54"/>
      <c r="U27" s="53" t="n">
        <v>0</v>
      </c>
      <c r="V27" s="53" t="n">
        <v>30.5</v>
      </c>
      <c r="W27" s="54" t="n">
        <f aca="false">W26-V27</f>
        <v>10799.88</v>
      </c>
      <c r="X27" s="6" t="n">
        <f aca="false">N27+O27+S27+U27+V27</f>
        <v>84.58</v>
      </c>
      <c r="Y27" s="53" t="n">
        <f aca="false">IF(L27&lt;0,L27*-1,0)</f>
        <v>0</v>
      </c>
      <c r="Z27" s="53" t="n">
        <f aca="false">X27+Y27</f>
        <v>84.58</v>
      </c>
      <c r="AA27" s="58" t="n">
        <v>0</v>
      </c>
      <c r="AB27" s="84" t="n">
        <v>54</v>
      </c>
      <c r="AC27" s="59" t="n">
        <v>19</v>
      </c>
      <c r="AD27" s="60" t="n">
        <f aca="false">AD26+1</f>
        <v>18</v>
      </c>
      <c r="AE27" s="94"/>
      <c r="AF27" s="96"/>
      <c r="AG27" s="95"/>
    </row>
    <row r="28" customFormat="false" ht="11.1" hidden="false" customHeight="true" outlineLevel="0" collapsed="false">
      <c r="A28" s="60" t="n">
        <f aca="false">A27+1</f>
        <v>19</v>
      </c>
      <c r="B28" s="75" t="n">
        <v>6889.53</v>
      </c>
      <c r="C28" s="102" t="n">
        <v>246586</v>
      </c>
      <c r="D28" s="59" t="n">
        <f aca="false">C28-C27</f>
        <v>34</v>
      </c>
      <c r="E28" s="54" t="n">
        <f aca="false">C28-152000</f>
        <v>94586</v>
      </c>
      <c r="F28" s="53" t="n">
        <f aca="false">D28/$D$2</f>
        <v>17.1414166876733</v>
      </c>
      <c r="G28" s="53" t="n">
        <v>79.01</v>
      </c>
      <c r="H28" s="89" t="n">
        <v>4.5</v>
      </c>
      <c r="I28" s="53" t="n">
        <f aca="false">G28+H28</f>
        <v>83.51</v>
      </c>
      <c r="J28" s="83" t="n">
        <f aca="false">IF(L28&gt;0,L28,0)</f>
        <v>24.1014166876733</v>
      </c>
      <c r="K28" s="53" t="n">
        <f aca="false">I28+J28</f>
        <v>107.611416687673</v>
      </c>
      <c r="L28" s="53" t="n">
        <f aca="false">F28-(I28-X28)</f>
        <v>24.1014166876733</v>
      </c>
      <c r="M28" s="53" t="n">
        <v>4.54</v>
      </c>
      <c r="N28" s="53" t="n">
        <v>0</v>
      </c>
      <c r="O28" s="53" t="n">
        <v>0</v>
      </c>
      <c r="P28" s="6" t="n">
        <f aca="false">M28-(N28+O28)</f>
        <v>4.54</v>
      </c>
      <c r="Q28" s="53" t="n">
        <v>55.43</v>
      </c>
      <c r="R28" s="53" t="n">
        <v>0</v>
      </c>
      <c r="S28" s="53" t="n">
        <f aca="false">SUM(P28:R28)</f>
        <v>59.97</v>
      </c>
      <c r="T28" s="54"/>
      <c r="U28" s="53" t="n">
        <v>0</v>
      </c>
      <c r="V28" s="53" t="n">
        <v>30.5</v>
      </c>
      <c r="W28" s="54" t="n">
        <f aca="false">W27-V28</f>
        <v>10769.38</v>
      </c>
      <c r="X28" s="6" t="n">
        <f aca="false">N28+O28+S28+U28+V28</f>
        <v>90.47</v>
      </c>
      <c r="Y28" s="53" t="n">
        <f aca="false">IF(L28&lt;0,L28*-1,0)</f>
        <v>0</v>
      </c>
      <c r="Z28" s="53" t="n">
        <f aca="false">X28+Y28</f>
        <v>90.47</v>
      </c>
      <c r="AA28" s="58" t="n">
        <v>0.17</v>
      </c>
      <c r="AB28" s="84" t="n">
        <v>50</v>
      </c>
      <c r="AC28" s="59" t="n">
        <v>31</v>
      </c>
      <c r="AD28" s="60" t="n">
        <f aca="false">AD27+1</f>
        <v>19</v>
      </c>
      <c r="AE28" s="94"/>
      <c r="AF28" s="96"/>
      <c r="AG28" s="95"/>
    </row>
    <row r="29" customFormat="false" ht="11.1" hidden="false" customHeight="true" outlineLevel="0" collapsed="false">
      <c r="A29" s="60" t="n">
        <f aca="false">A28+1</f>
        <v>20</v>
      </c>
      <c r="B29" s="75" t="n">
        <v>6889.55</v>
      </c>
      <c r="C29" s="54" t="n">
        <v>246653</v>
      </c>
      <c r="D29" s="59" t="n">
        <f aca="false">C29-C28</f>
        <v>67</v>
      </c>
      <c r="E29" s="54" t="n">
        <f aca="false">C29-152000</f>
        <v>94653</v>
      </c>
      <c r="F29" s="53" t="n">
        <f aca="false">D29/$D$2</f>
        <v>33.7786740610033</v>
      </c>
      <c r="G29" s="53" t="n">
        <v>86.35</v>
      </c>
      <c r="H29" s="89" t="n">
        <v>4.5</v>
      </c>
      <c r="I29" s="53" t="n">
        <f aca="false">G29+H29</f>
        <v>90.85</v>
      </c>
      <c r="J29" s="83" t="n">
        <f aca="false">IF(L29&gt;0,L29,0)</f>
        <v>33.2886740610033</v>
      </c>
      <c r="K29" s="53" t="n">
        <f aca="false">I29+J29</f>
        <v>124.138674061003</v>
      </c>
      <c r="L29" s="53" t="n">
        <f aca="false">F29-(I29-X29)</f>
        <v>33.2886740610033</v>
      </c>
      <c r="M29" s="53" t="n">
        <v>4.53</v>
      </c>
      <c r="N29" s="53" t="n">
        <v>0</v>
      </c>
      <c r="O29" s="53" t="n">
        <v>0</v>
      </c>
      <c r="P29" s="6" t="n">
        <f aca="false">M29-(N29+O29)</f>
        <v>4.53</v>
      </c>
      <c r="Q29" s="53" t="n">
        <v>55.33</v>
      </c>
      <c r="R29" s="53" t="n">
        <v>0</v>
      </c>
      <c r="S29" s="53" t="n">
        <f aca="false">SUM(P29:R29)</f>
        <v>59.86</v>
      </c>
      <c r="T29" s="54"/>
      <c r="U29" s="53" t="n">
        <v>0</v>
      </c>
      <c r="V29" s="53" t="n">
        <v>30.5</v>
      </c>
      <c r="W29" s="54" t="n">
        <f aca="false">W28-V29</f>
        <v>10738.88</v>
      </c>
      <c r="X29" s="6" t="n">
        <f aca="false">N29+O29+S29+U29+V29</f>
        <v>90.36</v>
      </c>
      <c r="Y29" s="53" t="n">
        <f aca="false">IF(L29&lt;0,L29*-1,0)</f>
        <v>0</v>
      </c>
      <c r="Z29" s="53" t="n">
        <f aca="false">X29+Y29</f>
        <v>90.36</v>
      </c>
      <c r="AA29" s="58" t="n">
        <v>0.17</v>
      </c>
      <c r="AB29" s="84" t="n">
        <v>46</v>
      </c>
      <c r="AC29" s="59" t="n">
        <v>24</v>
      </c>
      <c r="AD29" s="60" t="n">
        <f aca="false">AD28+1</f>
        <v>20</v>
      </c>
      <c r="AE29" s="94"/>
      <c r="AF29" s="96"/>
      <c r="AG29" s="95"/>
    </row>
    <row r="30" customFormat="false" ht="11.1" hidden="false" customHeight="true" outlineLevel="0" collapsed="false">
      <c r="A30" s="60" t="n">
        <f aca="false">A29+1</f>
        <v>21</v>
      </c>
      <c r="B30" s="75" t="n">
        <v>6889.6</v>
      </c>
      <c r="C30" s="54" t="n">
        <v>246821</v>
      </c>
      <c r="D30" s="59" t="n">
        <f aca="false">C30-C29</f>
        <v>168</v>
      </c>
      <c r="E30" s="54" t="n">
        <f aca="false">C30-152000</f>
        <v>94821</v>
      </c>
      <c r="F30" s="53" t="n">
        <f aca="false">D30/$D$2</f>
        <v>84.6987648096799</v>
      </c>
      <c r="G30" s="104" t="n">
        <v>85.74</v>
      </c>
      <c r="H30" s="89" t="n">
        <v>4.6</v>
      </c>
      <c r="I30" s="53" t="n">
        <f aca="false">G30+H30</f>
        <v>90.34</v>
      </c>
      <c r="J30" s="83" t="n">
        <f aca="false">IF(L30&gt;0,L30,0)</f>
        <v>84.9187648096799</v>
      </c>
      <c r="K30" s="53" t="n">
        <f aca="false">I30+J30</f>
        <v>175.25876480968</v>
      </c>
      <c r="L30" s="53" t="n">
        <f aca="false">F30-(I30-X30)</f>
        <v>84.9187648096799</v>
      </c>
      <c r="M30" s="53" t="n">
        <v>4.63</v>
      </c>
      <c r="N30" s="53" t="n">
        <v>0</v>
      </c>
      <c r="O30" s="53" t="n">
        <v>0</v>
      </c>
      <c r="P30" s="6" t="n">
        <f aca="false">M30-(N30+O30)</f>
        <v>4.63</v>
      </c>
      <c r="Q30" s="53" t="n">
        <v>55.4</v>
      </c>
      <c r="R30" s="53" t="n">
        <v>0</v>
      </c>
      <c r="S30" s="53" t="n">
        <f aca="false">SUM(P30:R30)</f>
        <v>60.03</v>
      </c>
      <c r="T30" s="54"/>
      <c r="U30" s="53" t="n">
        <v>0</v>
      </c>
      <c r="V30" s="53" t="n">
        <v>30.53</v>
      </c>
      <c r="W30" s="54" t="n">
        <f aca="false">W29-V30</f>
        <v>10708.35</v>
      </c>
      <c r="X30" s="6" t="n">
        <f aca="false">N30+O30+S30+U30+V30</f>
        <v>90.56</v>
      </c>
      <c r="Y30" s="53" t="n">
        <f aca="false">IF(L30&lt;0,L30*-1,0)</f>
        <v>0</v>
      </c>
      <c r="Z30" s="53" t="n">
        <f aca="false">X30+Y30</f>
        <v>90.56</v>
      </c>
      <c r="AA30" s="58" t="n">
        <v>0.14</v>
      </c>
      <c r="AB30" s="59" t="n">
        <v>34</v>
      </c>
      <c r="AC30" s="59" t="n">
        <v>24</v>
      </c>
      <c r="AD30" s="60" t="n">
        <f aca="false">AD29+1</f>
        <v>21</v>
      </c>
      <c r="AE30" s="94"/>
      <c r="AF30" s="96"/>
      <c r="AG30" s="95"/>
    </row>
    <row r="31" customFormat="false" ht="11.1" hidden="false" customHeight="true" outlineLevel="0" collapsed="false">
      <c r="A31" s="60" t="n">
        <f aca="false">A30+1</f>
        <v>22</v>
      </c>
      <c r="B31" s="75" t="n">
        <v>6889.6</v>
      </c>
      <c r="C31" s="54" t="n">
        <v>246821</v>
      </c>
      <c r="D31" s="59" t="n">
        <f aca="false">C31-C30</f>
        <v>0</v>
      </c>
      <c r="E31" s="54" t="n">
        <f aca="false">C31-152000</f>
        <v>94821</v>
      </c>
      <c r="F31" s="53" t="n">
        <f aca="false">D31/$D$2</f>
        <v>0</v>
      </c>
      <c r="G31" s="53" t="n">
        <v>86.03</v>
      </c>
      <c r="H31" s="89" t="n">
        <v>4.5</v>
      </c>
      <c r="I31" s="53" t="n">
        <f aca="false">G31+H31</f>
        <v>90.53</v>
      </c>
      <c r="J31" s="83" t="n">
        <f aca="false">IF(L31&gt;0,L31,0)</f>
        <v>0</v>
      </c>
      <c r="K31" s="53" t="n">
        <f aca="false">I31+J31</f>
        <v>90.53</v>
      </c>
      <c r="L31" s="53" t="n">
        <f aca="false">F31-(I31-X31)</f>
        <v>-0.340000000000003</v>
      </c>
      <c r="M31" s="53" t="n">
        <v>4.4</v>
      </c>
      <c r="N31" s="53" t="n">
        <v>0</v>
      </c>
      <c r="O31" s="53" t="n">
        <v>0</v>
      </c>
      <c r="P31" s="6" t="n">
        <f aca="false">M31-(N31+O31)</f>
        <v>4.4</v>
      </c>
      <c r="Q31" s="53" t="n">
        <v>55.29</v>
      </c>
      <c r="R31" s="53" t="n">
        <v>0</v>
      </c>
      <c r="S31" s="53" t="n">
        <f aca="false">SUM(P31:R31)</f>
        <v>59.69</v>
      </c>
      <c r="T31" s="54"/>
      <c r="U31" s="53" t="n">
        <v>0</v>
      </c>
      <c r="V31" s="53" t="n">
        <v>30.5</v>
      </c>
      <c r="W31" s="54" t="n">
        <f aca="false">W30-V31</f>
        <v>10677.85</v>
      </c>
      <c r="X31" s="6" t="n">
        <f aca="false">N31+O31+S31+U31+V31</f>
        <v>90.19</v>
      </c>
      <c r="Y31" s="53" t="n">
        <f aca="false">IF(L31&lt;0,L31*-1,0)</f>
        <v>0.340000000000003</v>
      </c>
      <c r="Z31" s="53" t="n">
        <f aca="false">X31+Y31</f>
        <v>90.53</v>
      </c>
      <c r="AA31" s="58" t="n">
        <v>0</v>
      </c>
      <c r="AB31" s="59" t="n">
        <v>45</v>
      </c>
      <c r="AC31" s="59" t="n">
        <v>21</v>
      </c>
      <c r="AD31" s="60" t="n">
        <f aca="false">AD30+1</f>
        <v>22</v>
      </c>
      <c r="AE31" s="94"/>
      <c r="AF31" s="96"/>
      <c r="AG31" s="95"/>
    </row>
    <row r="32" customFormat="false" ht="11.1" hidden="false" customHeight="true" outlineLevel="0" collapsed="false">
      <c r="A32" s="60" t="n">
        <f aca="false">A31+1</f>
        <v>23</v>
      </c>
      <c r="B32" s="75" t="n">
        <v>6889.6</v>
      </c>
      <c r="C32" s="54" t="n">
        <v>246821</v>
      </c>
      <c r="D32" s="59" t="n">
        <f aca="false">C32-C31</f>
        <v>0</v>
      </c>
      <c r="E32" s="54" t="n">
        <f aca="false">C32-152000</f>
        <v>94821</v>
      </c>
      <c r="F32" s="53" t="n">
        <f aca="false">D32/$D$2</f>
        <v>0</v>
      </c>
      <c r="G32" s="53" t="n">
        <v>77.34</v>
      </c>
      <c r="H32" s="89" t="n">
        <v>4.4</v>
      </c>
      <c r="I32" s="53" t="n">
        <f aca="false">G32+H32</f>
        <v>81.74</v>
      </c>
      <c r="J32" s="83" t="n">
        <f aca="false">IF(L32&gt;0,L32,0)</f>
        <v>8.48999999999998</v>
      </c>
      <c r="K32" s="53" t="n">
        <f aca="false">I32+J32</f>
        <v>90.23</v>
      </c>
      <c r="L32" s="53" t="n">
        <f aca="false">F32-(I32-X32)</f>
        <v>8.48999999999998</v>
      </c>
      <c r="M32" s="53" t="n">
        <v>4.4</v>
      </c>
      <c r="N32" s="53" t="n">
        <v>0</v>
      </c>
      <c r="O32" s="53" t="n">
        <v>0</v>
      </c>
      <c r="P32" s="6" t="n">
        <f aca="false">M32-(N32+O32)</f>
        <v>4.4</v>
      </c>
      <c r="Q32" s="53" t="n">
        <v>55.33</v>
      </c>
      <c r="R32" s="53" t="n">
        <v>0</v>
      </c>
      <c r="S32" s="53" t="n">
        <f aca="false">SUM(P32:R32)</f>
        <v>59.73</v>
      </c>
      <c r="T32" s="54"/>
      <c r="U32" s="53" t="n">
        <v>0</v>
      </c>
      <c r="V32" s="53" t="n">
        <v>30.5</v>
      </c>
      <c r="W32" s="54" t="n">
        <f aca="false">W31-V32</f>
        <v>10647.35</v>
      </c>
      <c r="X32" s="6" t="n">
        <f aca="false">N32+O32+S32+U32+V32</f>
        <v>90.23</v>
      </c>
      <c r="Y32" s="53" t="n">
        <f aca="false">IF(L32&lt;0,L32*-1,0)</f>
        <v>0</v>
      </c>
      <c r="Z32" s="53" t="n">
        <f aca="false">X32+Y32</f>
        <v>90.23</v>
      </c>
      <c r="AA32" s="58" t="n">
        <v>0</v>
      </c>
      <c r="AB32" s="59" t="n">
        <v>47</v>
      </c>
      <c r="AC32" s="84" t="n">
        <v>22</v>
      </c>
      <c r="AD32" s="60" t="n">
        <f aca="false">AD31+1</f>
        <v>23</v>
      </c>
      <c r="AE32" s="94"/>
      <c r="AF32" s="96"/>
      <c r="AG32" s="95"/>
    </row>
    <row r="33" customFormat="false" ht="11.1" hidden="false" customHeight="true" outlineLevel="0" collapsed="false">
      <c r="A33" s="60" t="n">
        <f aca="false">A32+1</f>
        <v>24</v>
      </c>
      <c r="B33" s="75" t="n">
        <v>6889.6</v>
      </c>
      <c r="C33" s="54" t="n">
        <v>246821</v>
      </c>
      <c r="D33" s="59" t="n">
        <f aca="false">C33-C32</f>
        <v>0</v>
      </c>
      <c r="E33" s="54" t="n">
        <f aca="false">C33-152000</f>
        <v>94821</v>
      </c>
      <c r="F33" s="53" t="n">
        <f aca="false">D33/$D$2</f>
        <v>0</v>
      </c>
      <c r="G33" s="53" t="n">
        <v>82.84</v>
      </c>
      <c r="H33" s="89" t="n">
        <v>4.7</v>
      </c>
      <c r="I33" s="53" t="n">
        <f aca="false">G33+H33</f>
        <v>87.54</v>
      </c>
      <c r="J33" s="83" t="n">
        <f aca="false">IF(L33&gt;0,L33,0)</f>
        <v>2.61999999999999</v>
      </c>
      <c r="K33" s="53" t="n">
        <f aca="false">I33+J33</f>
        <v>90.16</v>
      </c>
      <c r="L33" s="53" t="n">
        <f aca="false">F33-(I33-X33)</f>
        <v>2.61999999999999</v>
      </c>
      <c r="M33" s="53" t="n">
        <v>4.4</v>
      </c>
      <c r="N33" s="53" t="n">
        <v>0</v>
      </c>
      <c r="O33" s="53" t="n">
        <v>0</v>
      </c>
      <c r="P33" s="6" t="n">
        <f aca="false">M33-(N33+O33)</f>
        <v>4.4</v>
      </c>
      <c r="Q33" s="53" t="n">
        <v>55.26</v>
      </c>
      <c r="R33" s="53" t="n">
        <v>0</v>
      </c>
      <c r="S33" s="53" t="n">
        <f aca="false">SUM(P33:R33)</f>
        <v>59.66</v>
      </c>
      <c r="T33" s="54"/>
      <c r="U33" s="53" t="n">
        <v>0</v>
      </c>
      <c r="V33" s="53" t="n">
        <v>30.5</v>
      </c>
      <c r="W33" s="54" t="n">
        <f aca="false">W32-V33</f>
        <v>10616.85</v>
      </c>
      <c r="X33" s="6" t="n">
        <f aca="false">N33+O33+S33+U33+V33</f>
        <v>90.16</v>
      </c>
      <c r="Y33" s="53" t="n">
        <f aca="false">IF(L33&lt;0,L33*-1,0)</f>
        <v>0</v>
      </c>
      <c r="Z33" s="53" t="n">
        <f aca="false">X33+Y33</f>
        <v>90.16</v>
      </c>
      <c r="AA33" s="58" t="n">
        <v>0</v>
      </c>
      <c r="AB33" s="59" t="n">
        <v>52</v>
      </c>
      <c r="AC33" s="84" t="n">
        <v>25</v>
      </c>
      <c r="AD33" s="60" t="n">
        <f aca="false">AD32+1</f>
        <v>24</v>
      </c>
      <c r="AE33" s="94"/>
      <c r="AF33" s="96"/>
      <c r="AG33" s="95"/>
    </row>
    <row r="34" customFormat="false" ht="11.1" hidden="false" customHeight="true" outlineLevel="0" collapsed="false">
      <c r="A34" s="60" t="n">
        <f aca="false">A33+1</f>
        <v>25</v>
      </c>
      <c r="B34" s="75" t="n">
        <v>6889.48</v>
      </c>
      <c r="C34" s="54" t="n">
        <v>246417</v>
      </c>
      <c r="D34" s="59" t="n">
        <f aca="false">C34-C33</f>
        <v>-404</v>
      </c>
      <c r="E34" s="54" t="n">
        <f aca="false">C34-152000</f>
        <v>94417</v>
      </c>
      <c r="F34" s="53" t="n">
        <f aca="false">D34/$D$2</f>
        <v>-203.680362994706</v>
      </c>
      <c r="G34" s="53" t="n">
        <v>95.14</v>
      </c>
      <c r="H34" s="89" t="n">
        <v>5.41</v>
      </c>
      <c r="I34" s="53" t="n">
        <f aca="false">G34+H34</f>
        <v>100.55</v>
      </c>
      <c r="J34" s="83" t="n">
        <f aca="false">IF(L34&gt;0,L34,0)</f>
        <v>0</v>
      </c>
      <c r="K34" s="53" t="n">
        <f aca="false">I34+J34</f>
        <v>100.55</v>
      </c>
      <c r="L34" s="53" t="n">
        <f aca="false">F34-(I34-X34)</f>
        <v>-66.8003629947063</v>
      </c>
      <c r="M34" s="53" t="n">
        <v>3.81</v>
      </c>
      <c r="N34" s="53" t="n">
        <v>0</v>
      </c>
      <c r="O34" s="53" t="n">
        <v>0</v>
      </c>
      <c r="P34" s="6" t="n">
        <f aca="false">M34-(N34+O34)</f>
        <v>3.81</v>
      </c>
      <c r="Q34" s="53" t="n">
        <v>203.09</v>
      </c>
      <c r="R34" s="53" t="n">
        <v>0</v>
      </c>
      <c r="S34" s="53" t="n">
        <f aca="false">SUM(P34:R34)</f>
        <v>206.9</v>
      </c>
      <c r="T34" s="54"/>
      <c r="U34" s="53" t="n">
        <v>0</v>
      </c>
      <c r="V34" s="53" t="n">
        <v>30.53</v>
      </c>
      <c r="W34" s="54" t="n">
        <f aca="false">W33-V34</f>
        <v>10586.32</v>
      </c>
      <c r="X34" s="6" t="n">
        <f aca="false">N34+O34+S34+U34+V34</f>
        <v>237.43</v>
      </c>
      <c r="Y34" s="53" t="n">
        <f aca="false">IF(L34&lt;0,L34*-1,0)</f>
        <v>66.8003629947063</v>
      </c>
      <c r="Z34" s="53" t="n">
        <f aca="false">X34+Y34</f>
        <v>304.230362994706</v>
      </c>
      <c r="AA34" s="58" t="n">
        <v>0</v>
      </c>
      <c r="AB34" s="59" t="n">
        <v>48</v>
      </c>
      <c r="AC34" s="84" t="n">
        <v>34</v>
      </c>
      <c r="AD34" s="60" t="n">
        <f aca="false">AD33+1</f>
        <v>25</v>
      </c>
      <c r="AE34" s="94"/>
      <c r="AF34" s="96"/>
      <c r="AG34" s="95"/>
    </row>
    <row r="35" customFormat="false" ht="11.1" hidden="false" customHeight="true" outlineLevel="0" collapsed="false">
      <c r="A35" s="60" t="n">
        <f aca="false">A34+1</f>
        <v>26</v>
      </c>
      <c r="B35" s="75" t="n">
        <v>6889.38</v>
      </c>
      <c r="C35" s="54" t="n">
        <v>246081</v>
      </c>
      <c r="D35" s="59" t="n">
        <f aca="false">C35-C34</f>
        <v>-336</v>
      </c>
      <c r="E35" s="54" t="n">
        <f aca="false">C35-152000</f>
        <v>94081</v>
      </c>
      <c r="F35" s="53" t="n">
        <f aca="false">D35/$D$2</f>
        <v>-169.39752961936</v>
      </c>
      <c r="G35" s="53" t="n">
        <v>96.39</v>
      </c>
      <c r="H35" s="89" t="n">
        <v>5.6</v>
      </c>
      <c r="I35" s="53" t="n">
        <f aca="false">G35+H35</f>
        <v>101.99</v>
      </c>
      <c r="J35" s="83" t="n">
        <f aca="false">IF(L35&gt;0,L35,0)</f>
        <v>52.6224703806403</v>
      </c>
      <c r="K35" s="53" t="n">
        <f aca="false">I35+J35</f>
        <v>154.61247038064</v>
      </c>
      <c r="L35" s="53" t="n">
        <f aca="false">F35-(I35-X35)</f>
        <v>52.6224703806403</v>
      </c>
      <c r="M35" s="53" t="n">
        <v>6.07</v>
      </c>
      <c r="N35" s="53" t="n">
        <v>0.08</v>
      </c>
      <c r="O35" s="53" t="n">
        <v>0</v>
      </c>
      <c r="P35" s="6" t="n">
        <f aca="false">M35-(N35+O35)</f>
        <v>5.99</v>
      </c>
      <c r="Q35" s="53" t="n">
        <v>287.23</v>
      </c>
      <c r="R35" s="53" t="n">
        <v>0</v>
      </c>
      <c r="S35" s="53" t="n">
        <f aca="false">SUM(P35:R35)</f>
        <v>293.22</v>
      </c>
      <c r="T35" s="54"/>
      <c r="U35" s="53" t="n">
        <v>0</v>
      </c>
      <c r="V35" s="53" t="n">
        <v>30.71</v>
      </c>
      <c r="W35" s="54" t="n">
        <f aca="false">W34-V35</f>
        <v>10555.61</v>
      </c>
      <c r="X35" s="6" t="n">
        <f aca="false">N35+O35+S35+U35+V35</f>
        <v>324.01</v>
      </c>
      <c r="Y35" s="53" t="n">
        <f aca="false">IF(L35&lt;0,L35*-1,0)</f>
        <v>0</v>
      </c>
      <c r="Z35" s="53" t="n">
        <f aca="false">X35+Y35</f>
        <v>324.01</v>
      </c>
      <c r="AA35" s="58" t="n">
        <v>0.25</v>
      </c>
      <c r="AB35" s="59" t="n">
        <v>44</v>
      </c>
      <c r="AC35" s="59" t="n">
        <v>28</v>
      </c>
      <c r="AD35" s="60" t="n">
        <f aca="false">AD34+1</f>
        <v>26</v>
      </c>
      <c r="AE35" s="94"/>
      <c r="AF35" s="96"/>
      <c r="AG35" s="95"/>
    </row>
    <row r="36" customFormat="false" ht="11.1" hidden="false" customHeight="true" outlineLevel="0" collapsed="false">
      <c r="A36" s="60" t="n">
        <f aca="false">A35+1</f>
        <v>27</v>
      </c>
      <c r="B36" s="75" t="n">
        <v>6889.26</v>
      </c>
      <c r="C36" s="54" t="n">
        <v>245677</v>
      </c>
      <c r="D36" s="59" t="n">
        <f aca="false">C36-C35</f>
        <v>-404</v>
      </c>
      <c r="E36" s="54" t="n">
        <f aca="false">C36-152000</f>
        <v>93677</v>
      </c>
      <c r="F36" s="53" t="n">
        <f aca="false">D36/$D$2</f>
        <v>-203.680362994706</v>
      </c>
      <c r="G36" s="53" t="n">
        <v>94.98</v>
      </c>
      <c r="H36" s="89" t="n">
        <v>5.29</v>
      </c>
      <c r="I36" s="53" t="n">
        <f aca="false">G36+H36</f>
        <v>100.27</v>
      </c>
      <c r="J36" s="83" t="n">
        <f aca="false">IF(L36&gt;0,L36,0)</f>
        <v>10.5996370052936</v>
      </c>
      <c r="K36" s="53" t="n">
        <f aca="false">I36+J36</f>
        <v>110.869637005294</v>
      </c>
      <c r="L36" s="53" t="n">
        <f aca="false">F36-(I36-X36)</f>
        <v>10.5996370052936</v>
      </c>
      <c r="M36" s="53" t="n">
        <v>4.28</v>
      </c>
      <c r="N36" s="53" t="n">
        <v>0</v>
      </c>
      <c r="O36" s="53" t="n">
        <v>0</v>
      </c>
      <c r="P36" s="6" t="n">
        <f aca="false">M36-(N36+O36)</f>
        <v>4.28</v>
      </c>
      <c r="Q36" s="53" t="n">
        <v>279.68</v>
      </c>
      <c r="R36" s="53" t="n">
        <v>0</v>
      </c>
      <c r="S36" s="53" t="n">
        <f aca="false">SUM(P36:R36)</f>
        <v>283.96</v>
      </c>
      <c r="T36" s="54"/>
      <c r="U36" s="53" t="n">
        <v>0</v>
      </c>
      <c r="V36" s="53" t="n">
        <v>30.59</v>
      </c>
      <c r="W36" s="54" t="n">
        <f aca="false">W35-V36</f>
        <v>10525.02</v>
      </c>
      <c r="X36" s="6" t="n">
        <f aca="false">N36+O36+S36+U36+V36</f>
        <v>314.55</v>
      </c>
      <c r="Y36" s="53" t="n">
        <f aca="false">IF(L36&lt;0,L36*-1,0)</f>
        <v>0</v>
      </c>
      <c r="Z36" s="53" t="n">
        <f aca="false">X36+Y36</f>
        <v>314.55</v>
      </c>
      <c r="AA36" s="58" t="n">
        <v>0</v>
      </c>
      <c r="AB36" s="59" t="n">
        <v>44</v>
      </c>
      <c r="AC36" s="59" t="n">
        <v>21</v>
      </c>
      <c r="AD36" s="60" t="n">
        <f aca="false">AD35+1</f>
        <v>27</v>
      </c>
      <c r="AE36" s="94"/>
      <c r="AF36" s="96"/>
      <c r="AG36" s="95"/>
    </row>
    <row r="37" customFormat="false" ht="11.1" hidden="false" customHeight="true" outlineLevel="0" collapsed="false">
      <c r="A37" s="60" t="n">
        <f aca="false">A36+1</f>
        <v>28</v>
      </c>
      <c r="B37" s="75" t="n">
        <v>6889.14</v>
      </c>
      <c r="C37" s="54" t="n">
        <v>245273</v>
      </c>
      <c r="D37" s="59" t="n">
        <f aca="false">C37-C36</f>
        <v>-404</v>
      </c>
      <c r="E37" s="54" t="n">
        <f aca="false">C37-152000</f>
        <v>93273</v>
      </c>
      <c r="F37" s="53" t="n">
        <f aca="false">D37/$D$2</f>
        <v>-203.680362994706</v>
      </c>
      <c r="G37" s="53" t="n">
        <v>89.35</v>
      </c>
      <c r="H37" s="89" t="n">
        <v>5.24</v>
      </c>
      <c r="I37" s="53" t="n">
        <f aca="false">G37+H37</f>
        <v>94.59</v>
      </c>
      <c r="J37" s="83" t="n">
        <f aca="false">IF(L37&gt;0,L37,0)</f>
        <v>13.5196370052937</v>
      </c>
      <c r="K37" s="53" t="n">
        <f aca="false">I37+J37</f>
        <v>108.109637005294</v>
      </c>
      <c r="L37" s="53" t="n">
        <f aca="false">F37-(I37-X37)</f>
        <v>13.5196370052937</v>
      </c>
      <c r="M37" s="53" t="n">
        <v>4.33</v>
      </c>
      <c r="N37" s="53" t="n">
        <v>0</v>
      </c>
      <c r="O37" s="53" t="n">
        <v>0</v>
      </c>
      <c r="P37" s="6" t="n">
        <f aca="false">M37-(N37+O37)</f>
        <v>4.33</v>
      </c>
      <c r="Q37" s="53" t="n">
        <v>276.87</v>
      </c>
      <c r="R37" s="53" t="n">
        <v>0</v>
      </c>
      <c r="S37" s="53" t="n">
        <f aca="false">SUM(P37:R37)</f>
        <v>281.2</v>
      </c>
      <c r="T37" s="54"/>
      <c r="U37" s="53" t="n">
        <v>0</v>
      </c>
      <c r="V37" s="53" t="n">
        <v>30.59</v>
      </c>
      <c r="W37" s="54" t="n">
        <f aca="false">W36-V37</f>
        <v>10494.43</v>
      </c>
      <c r="X37" s="6" t="n">
        <f aca="false">N37+O37+S37+U37+V37</f>
        <v>311.79</v>
      </c>
      <c r="Y37" s="53" t="n">
        <f aca="false">IF(L37&lt;0,L37*-1,0)</f>
        <v>0</v>
      </c>
      <c r="Z37" s="53" t="n">
        <f aca="false">X37+Y37</f>
        <v>311.79</v>
      </c>
      <c r="AA37" s="58" t="n">
        <v>0</v>
      </c>
      <c r="AB37" s="59" t="n">
        <v>42</v>
      </c>
      <c r="AC37" s="59" t="n">
        <v>22</v>
      </c>
      <c r="AD37" s="60" t="n">
        <f aca="false">AD36+1</f>
        <v>28</v>
      </c>
      <c r="AE37" s="94"/>
      <c r="AF37" s="96"/>
      <c r="AG37" s="95"/>
    </row>
    <row r="38" customFormat="false" ht="11.1" hidden="false" customHeight="true" outlineLevel="0" collapsed="false">
      <c r="A38" s="60" t="n">
        <f aca="false">A37+1</f>
        <v>29</v>
      </c>
      <c r="B38" s="75" t="n">
        <v>6889.13</v>
      </c>
      <c r="C38" s="54" t="n">
        <v>245239</v>
      </c>
      <c r="D38" s="59" t="n">
        <f aca="false">C38-C37</f>
        <v>-34</v>
      </c>
      <c r="E38" s="54" t="n">
        <f aca="false">C38-152000</f>
        <v>93239</v>
      </c>
      <c r="F38" s="53" t="n">
        <f aca="false">D38/$D$2</f>
        <v>-17.1414166876733</v>
      </c>
      <c r="G38" s="53" t="n">
        <v>89.03</v>
      </c>
      <c r="H38" s="89" t="n">
        <v>5.5</v>
      </c>
      <c r="I38" s="53" t="n">
        <f aca="false">G38+H38</f>
        <v>94.53</v>
      </c>
      <c r="J38" s="83" t="n">
        <f aca="false">IF(L38&gt;0,L38,0)</f>
        <v>106.128583312327</v>
      </c>
      <c r="K38" s="53" t="n">
        <f aca="false">I38+J38</f>
        <v>200.658583312327</v>
      </c>
      <c r="L38" s="53" t="n">
        <f aca="false">F38-(I38-X38)</f>
        <v>106.128583312327</v>
      </c>
      <c r="M38" s="53" t="n">
        <v>6.9</v>
      </c>
      <c r="N38" s="53" t="n">
        <v>0</v>
      </c>
      <c r="O38" s="53" t="n">
        <v>0</v>
      </c>
      <c r="P38" s="6" t="n">
        <f aca="false">M38-(N38+O38)</f>
        <v>6.9</v>
      </c>
      <c r="Q38" s="53" t="n">
        <v>180.4</v>
      </c>
      <c r="R38" s="53" t="n">
        <v>0</v>
      </c>
      <c r="S38" s="53" t="n">
        <f aca="false">SUM(P38:R38)</f>
        <v>187.3</v>
      </c>
      <c r="T38" s="54"/>
      <c r="U38" s="53" t="n">
        <v>0</v>
      </c>
      <c r="V38" s="53" t="n">
        <v>30.5</v>
      </c>
      <c r="W38" s="54" t="n">
        <f aca="false">W37-V38</f>
        <v>10463.93</v>
      </c>
      <c r="X38" s="6" t="n">
        <f aca="false">N38+O38+S38+U38+V38</f>
        <v>217.8</v>
      </c>
      <c r="Y38" s="53" t="n">
        <f aca="false">IF(L38&lt;0,L38*-1,0)</f>
        <v>0</v>
      </c>
      <c r="Z38" s="53" t="n">
        <f aca="false">X38+Y38</f>
        <v>217.8</v>
      </c>
      <c r="AA38" s="58" t="n">
        <v>0.17</v>
      </c>
      <c r="AB38" s="84" t="n">
        <v>44</v>
      </c>
      <c r="AC38" s="59" t="n">
        <v>20</v>
      </c>
      <c r="AD38" s="60" t="n">
        <f aca="false">AD37+1</f>
        <v>29</v>
      </c>
      <c r="AE38" s="94"/>
      <c r="AF38" s="96"/>
      <c r="AG38" s="95"/>
    </row>
    <row r="39" customFormat="false" ht="11.1" hidden="false" customHeight="true" outlineLevel="0" collapsed="false">
      <c r="A39" s="60" t="n">
        <v>30</v>
      </c>
      <c r="B39" s="75" t="n">
        <v>6889.17</v>
      </c>
      <c r="C39" s="54" t="n">
        <v>245374</v>
      </c>
      <c r="D39" s="59" t="n">
        <f aca="false">C39-C38</f>
        <v>135</v>
      </c>
      <c r="E39" s="54" t="n">
        <f aca="false">C39-152000</f>
        <v>93374</v>
      </c>
      <c r="F39" s="53" t="n">
        <f aca="false">D39/$D$2</f>
        <v>68.0615074363499</v>
      </c>
      <c r="G39" s="53" t="n">
        <v>90.32</v>
      </c>
      <c r="H39" s="89" t="n">
        <v>6.36</v>
      </c>
      <c r="I39" s="53" t="n">
        <f aca="false">G39+H39</f>
        <v>96.68</v>
      </c>
      <c r="J39" s="83" t="n">
        <f aca="false">IF(L39&gt;0,L39,0)</f>
        <v>7.16150743634989</v>
      </c>
      <c r="K39" s="53" t="n">
        <f aca="false">I39+J39</f>
        <v>103.84150743635</v>
      </c>
      <c r="L39" s="53" t="n">
        <f aca="false">F39-(I39-X39)</f>
        <v>7.16150743634989</v>
      </c>
      <c r="M39" s="53" t="n">
        <v>5.25</v>
      </c>
      <c r="N39" s="53" t="n">
        <v>0</v>
      </c>
      <c r="O39" s="53" t="n">
        <v>0</v>
      </c>
      <c r="P39" s="6" t="n">
        <f aca="false">M39-(N39+O39)</f>
        <v>5.25</v>
      </c>
      <c r="Q39" s="53" t="n">
        <v>0</v>
      </c>
      <c r="R39" s="53" t="n">
        <v>0</v>
      </c>
      <c r="S39" s="53" t="n">
        <f aca="false">SUM(P39:R39)</f>
        <v>5.25</v>
      </c>
      <c r="T39" s="54"/>
      <c r="U39" s="53" t="n">
        <v>0</v>
      </c>
      <c r="V39" s="53" t="n">
        <v>30.53</v>
      </c>
      <c r="W39" s="54" t="n">
        <f aca="false">W38-V39</f>
        <v>10433.4</v>
      </c>
      <c r="X39" s="6" t="n">
        <f aca="false">N39+O39+S39+U39+V39</f>
        <v>35.78</v>
      </c>
      <c r="Y39" s="53" t="n">
        <f aca="false">IF(L39&lt;0,L39*-1,0)</f>
        <v>0</v>
      </c>
      <c r="Z39" s="53" t="n">
        <f aca="false">X39+Y39</f>
        <v>35.78</v>
      </c>
      <c r="AA39" s="58" t="n">
        <v>0</v>
      </c>
      <c r="AB39" s="84" t="n">
        <v>45</v>
      </c>
      <c r="AC39" s="59" t="n">
        <v>24</v>
      </c>
      <c r="AD39" s="60" t="n">
        <v>30</v>
      </c>
      <c r="AE39" s="94"/>
      <c r="AF39" s="96"/>
      <c r="AG39" s="95"/>
    </row>
    <row r="40" customFormat="false" ht="11.1" hidden="false" customHeight="true" outlineLevel="0" collapsed="false">
      <c r="A40" s="60" t="n">
        <v>31</v>
      </c>
      <c r="B40" s="75" t="n">
        <v>6889.21</v>
      </c>
      <c r="C40" s="54" t="n">
        <v>245508</v>
      </c>
      <c r="D40" s="59" t="n">
        <f aca="false">C40-C39</f>
        <v>134</v>
      </c>
      <c r="E40" s="54" t="n">
        <f aca="false">C40-152000</f>
        <v>93508</v>
      </c>
      <c r="F40" s="53" t="n">
        <f aca="false">D40/$D$2</f>
        <v>67.5573481220066</v>
      </c>
      <c r="G40" s="53" t="n">
        <v>101.07</v>
      </c>
      <c r="H40" s="89" t="n">
        <v>6.15</v>
      </c>
      <c r="I40" s="53" t="n">
        <f aca="false">G40+H40</f>
        <v>107.22</v>
      </c>
      <c r="J40" s="83" t="n">
        <f aca="false">IF(L40&gt;0,L40,0)</f>
        <v>0</v>
      </c>
      <c r="K40" s="53" t="n">
        <f aca="false">I40+J40</f>
        <v>107.22</v>
      </c>
      <c r="L40" s="53" t="n">
        <f aca="false">F40-(I40-X40)</f>
        <v>-4.03265187799344</v>
      </c>
      <c r="M40" s="53" t="n">
        <v>5.13</v>
      </c>
      <c r="N40" s="53" t="n">
        <v>0</v>
      </c>
      <c r="O40" s="53" t="n">
        <v>0</v>
      </c>
      <c r="P40" s="6" t="n">
        <f aca="false">M40-(N40+O40)</f>
        <v>5.13</v>
      </c>
      <c r="Q40" s="53" t="n">
        <v>0</v>
      </c>
      <c r="R40" s="53" t="n">
        <v>0</v>
      </c>
      <c r="S40" s="53" t="n">
        <f aca="false">SUM(P40:R40)</f>
        <v>5.13</v>
      </c>
      <c r="T40" s="54"/>
      <c r="U40" s="53" t="n">
        <v>0</v>
      </c>
      <c r="V40" s="53" t="n">
        <v>30.5</v>
      </c>
      <c r="W40" s="54" t="n">
        <f aca="false">W39-V40</f>
        <v>10402.9</v>
      </c>
      <c r="X40" s="6" t="n">
        <f aca="false">N40+O40+S40+U40+V40</f>
        <v>35.63</v>
      </c>
      <c r="Y40" s="53" t="n">
        <f aca="false">IF(L40&lt;0,L40*-1,0)</f>
        <v>4.03265187799344</v>
      </c>
      <c r="Z40" s="53" t="n">
        <f aca="false">X40+Y40</f>
        <v>39.6626518779934</v>
      </c>
      <c r="AA40" s="58" t="n">
        <v>0</v>
      </c>
      <c r="AB40" s="84" t="n">
        <v>49</v>
      </c>
      <c r="AC40" s="59" t="n">
        <v>26</v>
      </c>
      <c r="AD40" s="60" t="n">
        <v>31</v>
      </c>
      <c r="AE40" s="94"/>
      <c r="AF40" s="94"/>
      <c r="AG40" s="95"/>
    </row>
    <row r="41" customFormat="false" ht="3" hidden="false" customHeight="true" outlineLevel="0" collapsed="false">
      <c r="A41" s="76"/>
      <c r="B41" s="76"/>
      <c r="C41" s="78"/>
      <c r="D41" s="76"/>
      <c r="E41" s="78"/>
      <c r="F41" s="76"/>
      <c r="G41" s="76"/>
      <c r="H41" s="97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8"/>
      <c r="U41" s="76"/>
      <c r="V41" s="76"/>
      <c r="W41" s="76"/>
      <c r="X41" s="76"/>
      <c r="Y41" s="76"/>
      <c r="Z41" s="76"/>
      <c r="AA41" s="80"/>
      <c r="AB41" s="81"/>
      <c r="AC41" s="81"/>
      <c r="AD41" s="82"/>
      <c r="AE41" s="94"/>
      <c r="AF41" s="94"/>
      <c r="AG41" s="95"/>
    </row>
    <row r="42" customFormat="false" ht="11.1" hidden="false" customHeight="true" outlineLevel="0" collapsed="false">
      <c r="A42" s="53" t="s">
        <v>46</v>
      </c>
      <c r="B42" s="53"/>
      <c r="C42" s="54"/>
      <c r="D42" s="54"/>
      <c r="E42" s="54"/>
      <c r="F42" s="54" t="n">
        <f aca="false">SUM(F10:F40)</f>
        <v>457.272498109403</v>
      </c>
      <c r="G42" s="54" t="n">
        <f aca="false">SUM(G10:G40)</f>
        <v>2989.45</v>
      </c>
      <c r="H42" s="89" t="n">
        <f aca="false">SUM(H10:H40)</f>
        <v>74.65</v>
      </c>
      <c r="I42" s="54" t="n">
        <f aca="false">SUM(I10:I40)</f>
        <v>3064.1</v>
      </c>
      <c r="J42" s="54" t="n">
        <f aca="false">SUM(J10:J40)</f>
        <v>346.110872195614</v>
      </c>
      <c r="K42" s="54" t="n">
        <f aca="false">SUM(K10:K40)</f>
        <v>3410.21087219561</v>
      </c>
      <c r="L42" s="54" t="n">
        <f aca="false">SUM(L10:L40)</f>
        <v>274.672498109402</v>
      </c>
      <c r="M42" s="54" t="n">
        <f aca="false">SUM(M10:M40)</f>
        <v>330.89</v>
      </c>
      <c r="N42" s="54" t="n">
        <f aca="false">SUM(N10:N40)</f>
        <v>0.08</v>
      </c>
      <c r="O42" s="54" t="n">
        <f aca="false">SUM(O10:O40)</f>
        <v>0</v>
      </c>
      <c r="P42" s="54" t="n">
        <f aca="false">SUM(P10:P40)</f>
        <v>330.81</v>
      </c>
      <c r="Q42" s="54" t="n">
        <f aca="false">SUM(Q10:Q40)</f>
        <v>1605.19</v>
      </c>
      <c r="R42" s="54" t="n">
        <f aca="false">SUM(R10:R40)</f>
        <v>0</v>
      </c>
      <c r="S42" s="54" t="n">
        <f aca="false">SUM(S10:S40)</f>
        <v>1936</v>
      </c>
      <c r="T42" s="54"/>
      <c r="U42" s="54" t="n">
        <f aca="false">SUM(U10:U40)</f>
        <v>0</v>
      </c>
      <c r="V42" s="54" t="n">
        <f aca="false">SUM(V10:V40)</f>
        <v>945.42</v>
      </c>
      <c r="W42" s="54"/>
      <c r="X42" s="54" t="n">
        <f aca="false">SUM(X10:X40)</f>
        <v>2881.5</v>
      </c>
      <c r="Y42" s="54" t="n">
        <f aca="false">SUM(Y10:Y40)</f>
        <v>71.4383740862113</v>
      </c>
      <c r="Z42" s="54" t="n">
        <f aca="false">SUM(Z10:Z40)</f>
        <v>2952.93837408621</v>
      </c>
      <c r="AA42" s="58" t="n">
        <f aca="false">SUM(AA10:AA40)</f>
        <v>1.92</v>
      </c>
      <c r="AB42" s="59" t="n">
        <f aca="false">AVERAGE(AB10:AB40)</f>
        <v>44.1612903225806</v>
      </c>
      <c r="AC42" s="59" t="n">
        <f aca="false">AVERAGE(AC10:AC40)</f>
        <v>23.2258064516129</v>
      </c>
      <c r="AD42" s="60" t="s">
        <v>59</v>
      </c>
      <c r="AE42" s="94"/>
      <c r="AF42" s="94"/>
      <c r="AG42" s="95"/>
    </row>
    <row r="43" customFormat="false" ht="11.1" hidden="false" customHeight="true" outlineLevel="0" collapsed="false">
      <c r="A43" s="53" t="s">
        <v>48</v>
      </c>
      <c r="B43" s="53"/>
      <c r="C43" s="54"/>
      <c r="D43" s="54" t="n">
        <f aca="false">SUM(D10:D40)</f>
        <v>907</v>
      </c>
      <c r="E43" s="54"/>
      <c r="F43" s="54" t="n">
        <f aca="false">F42*$D$2</f>
        <v>907</v>
      </c>
      <c r="G43" s="54" t="n">
        <f aca="false">G42*$D$2</f>
        <v>5929.574075</v>
      </c>
      <c r="H43" s="89" t="n">
        <f aca="false">H42*$D$2</f>
        <v>148.068275</v>
      </c>
      <c r="I43" s="54" t="n">
        <f aca="false">I42*$D$2</f>
        <v>6077.64235</v>
      </c>
      <c r="J43" s="54" t="n">
        <f aca="false">J42*$D$2</f>
        <v>686.510915</v>
      </c>
      <c r="K43" s="54" t="n">
        <f aca="false">K42*$D$2</f>
        <v>6764.153265</v>
      </c>
      <c r="L43" s="54" t="n">
        <f aca="false">L42*$D$2</f>
        <v>544.8129</v>
      </c>
      <c r="M43" s="54" t="n">
        <f aca="false">M42*$D$2</f>
        <v>656.320315</v>
      </c>
      <c r="N43" s="54" t="n">
        <f aca="false">N42*$D$2</f>
        <v>0.15868</v>
      </c>
      <c r="O43" s="54" t="n">
        <f aca="false">O42*$D$2</f>
        <v>0</v>
      </c>
      <c r="P43" s="54" t="n">
        <f aca="false">P42*$D$2</f>
        <v>656.161635</v>
      </c>
      <c r="Q43" s="54" t="n">
        <f aca="false">Q42*$D$2</f>
        <v>3183.894365</v>
      </c>
      <c r="R43" s="54" t="n">
        <f aca="false">R42*$D$2</f>
        <v>0</v>
      </c>
      <c r="S43" s="54" t="n">
        <f aca="false">S42*$D$2</f>
        <v>3840.056</v>
      </c>
      <c r="T43" s="54"/>
      <c r="U43" s="54" t="n">
        <f aca="false">U42*$D$2</f>
        <v>0</v>
      </c>
      <c r="V43" s="54" t="n">
        <f aca="false">V42*$D$2</f>
        <v>1875.24057</v>
      </c>
      <c r="W43" s="54"/>
      <c r="X43" s="54" t="n">
        <f aca="false">X42*$D$2</f>
        <v>5715.45525</v>
      </c>
      <c r="Y43" s="54" t="n">
        <f aca="false">Y42*$D$2</f>
        <v>141.698015</v>
      </c>
      <c r="Z43" s="54" t="n">
        <f aca="false">Z42*$D$2</f>
        <v>5857.153265</v>
      </c>
      <c r="AA43" s="58"/>
      <c r="AB43" s="59" t="n">
        <f aca="false">MAX(AB10:AB40)</f>
        <v>54</v>
      </c>
      <c r="AC43" s="59" t="n">
        <f aca="false">MAX(AC10:AC40)</f>
        <v>36</v>
      </c>
      <c r="AD43" s="60" t="s">
        <v>49</v>
      </c>
      <c r="AE43" s="94"/>
      <c r="AF43" s="94"/>
      <c r="AG43" s="95"/>
    </row>
    <row r="44" customFormat="false" ht="3" hidden="false" customHeight="true" outlineLevel="0" collapsed="false">
      <c r="A44" s="76"/>
      <c r="B44" s="76"/>
      <c r="C44" s="78"/>
      <c r="D44" s="78"/>
      <c r="E44" s="78"/>
      <c r="F44" s="78"/>
      <c r="G44" s="78"/>
      <c r="H44" s="97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6"/>
      <c r="X44" s="78"/>
      <c r="Y44" s="78"/>
      <c r="Z44" s="78"/>
      <c r="AA44" s="58"/>
      <c r="AB44" s="59"/>
      <c r="AC44" s="59"/>
      <c r="AD44" s="60"/>
      <c r="AE44" s="94"/>
      <c r="AF44" s="94"/>
      <c r="AG44" s="95"/>
    </row>
    <row r="45" customFormat="false" ht="11.1" hidden="false" customHeight="true" outlineLevel="0" collapsed="false">
      <c r="A45" s="53" t="s">
        <v>50</v>
      </c>
      <c r="B45" s="53"/>
      <c r="C45" s="54"/>
      <c r="D45" s="54"/>
      <c r="E45" s="54"/>
      <c r="F45" s="54"/>
      <c r="G45" s="54"/>
      <c r="H45" s="89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8"/>
      <c r="AB45" s="59" t="n">
        <f aca="false">MIN(AB10:AB40)</f>
        <v>34</v>
      </c>
      <c r="AC45" s="59" t="n">
        <f aca="false">MIN(AC10:AC40)</f>
        <v>11</v>
      </c>
      <c r="AD45" s="60" t="s">
        <v>51</v>
      </c>
      <c r="AE45" s="94"/>
      <c r="AF45" s="94"/>
      <c r="AG45" s="95"/>
    </row>
    <row r="46" customFormat="false" ht="11.1" hidden="false" customHeight="true" outlineLevel="0" collapsed="false">
      <c r="A46" s="53" t="s">
        <v>52</v>
      </c>
      <c r="B46" s="53"/>
      <c r="C46" s="54"/>
      <c r="D46" s="54"/>
      <c r="E46" s="54"/>
      <c r="F46" s="54"/>
      <c r="G46" s="54"/>
      <c r="H46" s="89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8"/>
      <c r="AB46" s="59"/>
      <c r="AC46" s="59"/>
      <c r="AD46" s="60"/>
      <c r="AE46" s="94"/>
      <c r="AF46" s="94"/>
      <c r="AG46" s="95"/>
    </row>
    <row r="47" customFormat="false" ht="3" hidden="false" customHeight="true" outlineLevel="0" collapsed="false">
      <c r="A47" s="76"/>
      <c r="B47" s="76"/>
      <c r="C47" s="78"/>
      <c r="D47" s="78"/>
      <c r="E47" s="78"/>
      <c r="F47" s="78"/>
      <c r="G47" s="78"/>
      <c r="H47" s="97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80"/>
      <c r="AB47" s="59"/>
      <c r="AC47" s="59"/>
      <c r="AD47" s="60"/>
      <c r="AE47" s="94"/>
      <c r="AF47" s="94"/>
      <c r="AG47" s="95"/>
    </row>
    <row r="48" customFormat="false" ht="11.1" hidden="false" customHeight="true" outlineLevel="0" collapsed="false">
      <c r="A48" s="53" t="s">
        <v>53</v>
      </c>
      <c r="B48" s="53"/>
      <c r="C48" s="54"/>
      <c r="D48" s="54"/>
      <c r="E48" s="54"/>
      <c r="F48" s="54" t="n">
        <f aca="false">F8+F42</f>
        <v>3349.13032518276</v>
      </c>
      <c r="G48" s="54" t="n">
        <f aca="false">G8+G42</f>
        <v>11464.77</v>
      </c>
      <c r="H48" s="89" t="n">
        <f aca="false">H8+H42</f>
        <v>74.65</v>
      </c>
      <c r="I48" s="54" t="n">
        <f aca="false">I8+I42</f>
        <v>11436.22</v>
      </c>
      <c r="J48" s="54" t="n">
        <f aca="false">J8+J42</f>
        <v>641.108916057474</v>
      </c>
      <c r="K48" s="54" t="n">
        <f aca="false">K8+K42</f>
        <v>12077.3289160575</v>
      </c>
      <c r="L48" s="54" t="n">
        <f aca="false">L8+L42</f>
        <v>102.920325182758</v>
      </c>
      <c r="M48" s="54" t="n">
        <f aca="false">M8+M42</f>
        <v>1436.32</v>
      </c>
      <c r="N48" s="54" t="n">
        <f aca="false">N8+N42</f>
        <v>0.08</v>
      </c>
      <c r="O48" s="54" t="n">
        <f aca="false">O8+O42</f>
        <v>0</v>
      </c>
      <c r="P48" s="54" t="n">
        <f aca="false">P8+P42</f>
        <v>1436.24</v>
      </c>
      <c r="Q48" s="54" t="n">
        <f aca="false">Q8+Q42</f>
        <v>1605.19</v>
      </c>
      <c r="R48" s="54" t="n">
        <f aca="false">R8+R42</f>
        <v>372.4</v>
      </c>
      <c r="S48" s="54" t="n">
        <f aca="false">S8+S42</f>
        <v>3413.83</v>
      </c>
      <c r="T48" s="54"/>
      <c r="U48" s="54" t="n">
        <f aca="false">U8+U42</f>
        <v>0</v>
      </c>
      <c r="V48" s="54" t="n">
        <f aca="false">V8+V42</f>
        <v>4776.1</v>
      </c>
      <c r="W48" s="54" t="n">
        <f aca="false">W40</f>
        <v>10402.9</v>
      </c>
      <c r="X48" s="54" t="n">
        <f aca="false">X8+X42</f>
        <v>8190.01</v>
      </c>
      <c r="Y48" s="54" t="n">
        <f aca="false">Y8+Y42</f>
        <v>538.188590874717</v>
      </c>
      <c r="Z48" s="54" t="n">
        <f aca="false">Z8+Z42</f>
        <v>8728.19859087472</v>
      </c>
      <c r="AA48" s="58" t="n">
        <f aca="false">AA8+AA42</f>
        <v>5.94</v>
      </c>
      <c r="AB48" s="59"/>
      <c r="AC48" s="59"/>
      <c r="AD48" s="60"/>
      <c r="AE48" s="94"/>
      <c r="AF48" s="94"/>
      <c r="AG48" s="95"/>
    </row>
    <row r="49" customFormat="false" ht="11.1" hidden="false" customHeight="true" outlineLevel="0" collapsed="false">
      <c r="A49" s="53" t="s">
        <v>54</v>
      </c>
      <c r="B49" s="53"/>
      <c r="C49" s="54"/>
      <c r="D49" s="54" t="n">
        <f aca="false">D8+D43</f>
        <v>6643</v>
      </c>
      <c r="E49" s="54" t="n">
        <f aca="false">E40</f>
        <v>93508</v>
      </c>
      <c r="F49" s="54" t="n">
        <f aca="false">F48*$D$2</f>
        <v>6643</v>
      </c>
      <c r="G49" s="54" t="n">
        <f aca="false">G48*$D$2</f>
        <v>22740.371295</v>
      </c>
      <c r="H49" s="89" t="n">
        <f aca="false">H48*$D$2</f>
        <v>148.068275</v>
      </c>
      <c r="I49" s="54" t="n">
        <f aca="false">I48*$D$2</f>
        <v>22683.74237</v>
      </c>
      <c r="J49" s="54" t="n">
        <f aca="false">J48*$D$2</f>
        <v>1271.639535</v>
      </c>
      <c r="K49" s="54" t="n">
        <f aca="false">K48*$D$2</f>
        <v>23955.381905</v>
      </c>
      <c r="L49" s="54" t="n">
        <f aca="false">L48*$D$2</f>
        <v>204.142465</v>
      </c>
      <c r="M49" s="54" t="n">
        <f aca="false">M48*$D$2</f>
        <v>2848.94072</v>
      </c>
      <c r="N49" s="54" t="n">
        <f aca="false">N48*$D$2</f>
        <v>0.15868</v>
      </c>
      <c r="O49" s="54" t="n">
        <f aca="false">O48*$D$2</f>
        <v>0</v>
      </c>
      <c r="P49" s="54" t="n">
        <f aca="false">P48*$D$2</f>
        <v>2848.78204</v>
      </c>
      <c r="Q49" s="54" t="n">
        <f aca="false">Q48*$D$2</f>
        <v>3183.894365</v>
      </c>
      <c r="R49" s="54" t="n">
        <f aca="false">R48*$D$2</f>
        <v>738.6554</v>
      </c>
      <c r="S49" s="54" t="n">
        <f aca="false">S48*$D$2</f>
        <v>6771.331805</v>
      </c>
      <c r="T49" s="54" t="n">
        <f aca="false">T48*$D$2</f>
        <v>0</v>
      </c>
      <c r="U49" s="54" t="n">
        <f aca="false">U48*$D$2</f>
        <v>0</v>
      </c>
      <c r="V49" s="54" t="n">
        <f aca="false">V48*$D$2</f>
        <v>9473.39435</v>
      </c>
      <c r="W49" s="54" t="n">
        <f aca="false">W48*$D$2</f>
        <v>20634.15215</v>
      </c>
      <c r="X49" s="54" t="n">
        <f aca="false">X48*$D$2</f>
        <v>16244.884835</v>
      </c>
      <c r="Y49" s="54" t="n">
        <f aca="false">Y48*$D$2</f>
        <v>1067.49707</v>
      </c>
      <c r="Z49" s="54" t="n">
        <f aca="false">Z48*$D$2</f>
        <v>17312.381905</v>
      </c>
      <c r="AA49" s="58"/>
      <c r="AB49" s="59"/>
      <c r="AC49" s="59"/>
      <c r="AD49" s="60"/>
      <c r="AE49" s="94"/>
      <c r="AF49" s="94"/>
      <c r="AG49" s="95"/>
    </row>
    <row r="50" customFormat="false" ht="3" hidden="false" customHeight="true" outlineLevel="0" collapsed="false">
      <c r="A50" s="76"/>
      <c r="B50" s="76"/>
      <c r="C50" s="78"/>
      <c r="D50" s="76"/>
      <c r="E50" s="78"/>
      <c r="F50" s="76"/>
      <c r="G50" s="76"/>
      <c r="H50" s="97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8"/>
      <c r="U50" s="76"/>
      <c r="V50" s="76"/>
      <c r="W50" s="78"/>
      <c r="X50" s="76"/>
      <c r="Y50" s="76"/>
      <c r="Z50" s="76"/>
      <c r="AA50" s="58"/>
      <c r="AB50" s="59"/>
      <c r="AC50" s="59"/>
      <c r="AD50" s="60"/>
      <c r="AE50" s="94"/>
      <c r="AF50" s="94"/>
      <c r="AG50" s="95"/>
    </row>
    <row r="51" customFormat="false" ht="11.1" hidden="false" customHeight="true" outlineLevel="0" collapsed="false">
      <c r="A51" s="53"/>
      <c r="B51" s="86"/>
      <c r="C51" s="54"/>
      <c r="D51" s="53"/>
      <c r="E51" s="54"/>
      <c r="F51" s="53"/>
      <c r="G51" s="53"/>
      <c r="H51" s="89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4"/>
      <c r="U51" s="53"/>
      <c r="V51" s="53"/>
      <c r="W51" s="54"/>
      <c r="X51" s="53"/>
      <c r="Y51" s="53"/>
      <c r="Z51" s="53"/>
      <c r="AA51" s="58"/>
      <c r="AB51" s="59"/>
      <c r="AC51" s="59"/>
      <c r="AD51" s="60"/>
      <c r="AE51" s="90"/>
      <c r="AF51" s="90"/>
    </row>
    <row r="52" customFormat="false" ht="11.1" hidden="false" customHeight="true" outlineLevel="0" collapsed="false">
      <c r="A52" s="53"/>
      <c r="B52" s="75"/>
      <c r="C52" s="54"/>
      <c r="D52" s="84"/>
      <c r="E52" s="54"/>
      <c r="F52" s="53"/>
      <c r="G52" s="53"/>
      <c r="H52" s="89"/>
      <c r="I52" s="55"/>
      <c r="J52" s="53"/>
      <c r="K52" s="44"/>
      <c r="L52" s="53"/>
      <c r="M52" s="53"/>
      <c r="N52" s="53"/>
      <c r="O52" s="53"/>
      <c r="P52" s="53"/>
      <c r="Q52" s="53"/>
      <c r="R52" s="53"/>
      <c r="S52" s="53"/>
      <c r="T52" s="54"/>
      <c r="U52" s="53"/>
      <c r="V52" s="53"/>
      <c r="W52" s="54"/>
      <c r="X52" s="53"/>
      <c r="Y52" s="53"/>
      <c r="Z52" s="53"/>
      <c r="AA52" s="58"/>
      <c r="AB52" s="59"/>
      <c r="AC52" s="59"/>
      <c r="AD52" s="60"/>
      <c r="AE52" s="90"/>
      <c r="AF52" s="90"/>
    </row>
    <row r="53" customFormat="false" ht="11.1" hidden="false" customHeight="true" outlineLevel="0" collapsed="false">
      <c r="A53" s="84"/>
      <c r="B53" s="84"/>
      <c r="C53" s="54"/>
      <c r="D53" s="54"/>
      <c r="E53" s="54"/>
      <c r="F53" s="84"/>
      <c r="G53" s="84"/>
      <c r="H53" s="89"/>
      <c r="I53" s="84"/>
      <c r="J53" s="84"/>
      <c r="K53" s="84"/>
      <c r="L53" s="84"/>
      <c r="M53" s="83"/>
      <c r="N53" s="83"/>
      <c r="O53" s="83"/>
      <c r="P53" s="83"/>
      <c r="Q53" s="84"/>
      <c r="R53" s="84"/>
      <c r="S53" s="84"/>
      <c r="T53" s="54"/>
      <c r="U53" s="84"/>
      <c r="V53" s="84"/>
      <c r="W53" s="54"/>
      <c r="X53" s="84"/>
      <c r="Y53" s="84"/>
      <c r="Z53" s="84"/>
      <c r="AA53" s="58"/>
      <c r="AB53" s="59"/>
      <c r="AC53" s="59"/>
      <c r="AD53" s="60"/>
      <c r="AE53" s="100"/>
      <c r="AF53" s="100"/>
    </row>
    <row r="54" customFormat="false" ht="11.1" hidden="false" customHeight="true" outlineLevel="0" collapsed="false">
      <c r="A54" s="84"/>
      <c r="B54" s="57"/>
      <c r="C54" s="54"/>
      <c r="D54" s="54"/>
      <c r="E54" s="54"/>
      <c r="F54" s="84"/>
      <c r="G54" s="84"/>
      <c r="H54" s="89"/>
      <c r="I54" s="84"/>
      <c r="J54" s="84"/>
      <c r="K54" s="84"/>
      <c r="L54" s="84"/>
      <c r="M54" s="83"/>
      <c r="N54" s="83"/>
      <c r="O54" s="83"/>
      <c r="P54" s="84"/>
      <c r="Q54" s="84"/>
      <c r="R54" s="84"/>
      <c r="S54" s="54"/>
      <c r="T54" s="84"/>
      <c r="U54" s="84"/>
      <c r="V54" s="54"/>
      <c r="W54" s="84"/>
      <c r="X54" s="84"/>
      <c r="Y54" s="84"/>
      <c r="Z54" s="57"/>
      <c r="AA54" s="58"/>
      <c r="AB54" s="59"/>
      <c r="AC54" s="60"/>
      <c r="AD54" s="100"/>
      <c r="AE54" s="100"/>
    </row>
    <row r="55" customFormat="false" ht="11.1" hidden="false" customHeight="true" outlineLevel="0" collapsed="false">
      <c r="A55" s="84"/>
      <c r="B55" s="84"/>
      <c r="C55" s="54"/>
      <c r="D55" s="84"/>
      <c r="E55" s="54"/>
      <c r="F55" s="84"/>
      <c r="G55" s="87"/>
      <c r="H55" s="89"/>
      <c r="I55" s="84"/>
      <c r="J55" s="84"/>
      <c r="K55" s="84"/>
      <c r="L55" s="84"/>
      <c r="M55" s="83"/>
      <c r="N55" s="83"/>
      <c r="O55" s="83"/>
      <c r="P55" s="84"/>
      <c r="Q55" s="84"/>
      <c r="R55" s="84"/>
      <c r="S55" s="54"/>
      <c r="T55" s="84"/>
      <c r="U55" s="84"/>
      <c r="V55" s="54"/>
      <c r="W55" s="84"/>
      <c r="X55" s="84"/>
      <c r="Y55" s="84"/>
      <c r="Z55" s="57"/>
      <c r="AA55" s="58"/>
      <c r="AB55" s="59"/>
      <c r="AC55" s="60"/>
      <c r="AD55" s="100"/>
      <c r="AE55" s="100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L20" activePane="bottomRight" state="frozen"/>
      <selection pane="topLeft" activeCell="A1" activeCellId="0" sqref="A1"/>
      <selection pane="topRight" activeCell="L1" activeCellId="0" sqref="L1"/>
      <selection pane="bottomLeft" activeCell="A20" activeCellId="0" sqref="A20"/>
      <selection pane="bottomRight" activeCell="AC39" activeCellId="0" sqref="AC39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2" min="2" style="0" width="7.82"/>
    <col collapsed="false" customWidth="true" hidden="false" outlineLevel="0" max="3" min="3" style="1" width="7.66"/>
    <col collapsed="false" customWidth="true" hidden="false" outlineLevel="0" max="4" min="4" style="0" width="6.99"/>
    <col collapsed="false" customWidth="true" hidden="false" outlineLevel="0" max="5" min="5" style="1" width="7.66"/>
    <col collapsed="false" customWidth="true" hidden="false" outlineLevel="0" max="6" min="6" style="0" width="7.66"/>
    <col collapsed="false" customWidth="true" hidden="false" outlineLevel="0" max="7" min="7" style="0" width="7.16"/>
    <col collapsed="false" customWidth="true" hidden="false" outlineLevel="0" max="8" min="8" style="105" width="6.66"/>
    <col collapsed="false" customWidth="true" hidden="false" outlineLevel="0" max="9" min="9" style="0" width="7.99"/>
    <col collapsed="false" customWidth="true" hidden="false" outlineLevel="0" max="11" min="10" style="0" width="6.66"/>
    <col collapsed="false" customWidth="true" hidden="false" outlineLevel="0" max="12" min="12" style="0" width="7.16"/>
    <col collapsed="false" customWidth="true" hidden="false" outlineLevel="0" max="13" min="13" style="3" width="6.16"/>
    <col collapsed="false" customWidth="true" hidden="true" outlineLevel="0" max="14" min="14" style="3" width="7.32"/>
    <col collapsed="false" customWidth="true" hidden="true" outlineLevel="0" max="15" min="15" style="3" width="6.49"/>
    <col collapsed="false" customWidth="true" hidden="true" outlineLevel="0" max="16" min="16" style="0" width="7.16"/>
    <col collapsed="false" customWidth="true" hidden="false" outlineLevel="0" max="17" min="17" style="0" width="6.32"/>
    <col collapsed="false" customWidth="true" hidden="false" outlineLevel="0" max="18" min="18" style="0" width="5.82"/>
    <col collapsed="false" customWidth="true" hidden="false" outlineLevel="0" max="19" min="19" style="1" width="6.82"/>
    <col collapsed="false" customWidth="true" hidden="false" outlineLevel="0" max="20" min="20" style="0" width="7.66"/>
    <col collapsed="false" customWidth="true" hidden="false" outlineLevel="0" max="21" min="21" style="0" width="5.99"/>
    <col collapsed="false" customWidth="true" hidden="false" outlineLevel="0" max="22" min="22" style="1" width="6.66"/>
    <col collapsed="false" customWidth="true" hidden="false" outlineLevel="0" max="23" min="23" style="0" width="6.82"/>
    <col collapsed="false" customWidth="true" hidden="false" outlineLevel="0" max="25" min="24" style="0" width="7.82"/>
    <col collapsed="false" customWidth="true" hidden="false" outlineLevel="0" max="26" min="26" style="106" width="8.16"/>
    <col collapsed="false" customWidth="true" hidden="false" outlineLevel="0" max="27" min="27" style="2" width="4.66"/>
    <col collapsed="false" customWidth="true" hidden="false" outlineLevel="0" max="28" min="28" style="4" width="4.66"/>
    <col collapsed="false" customWidth="true" hidden="false" outlineLevel="0" max="29" min="29" style="5" width="4.66"/>
    <col collapsed="false" customWidth="true" hidden="false" outlineLevel="0" max="30" min="30" style="0" width="5.66"/>
  </cols>
  <sheetData>
    <row r="1" customFormat="false" ht="14.1" hidden="false" customHeight="true" outlineLevel="0" collapsed="false">
      <c r="A1" s="6"/>
      <c r="B1" s="6"/>
      <c r="C1" s="7"/>
      <c r="D1" s="6"/>
      <c r="E1" s="7"/>
      <c r="F1" s="6"/>
      <c r="G1" s="6"/>
      <c r="H1" s="8"/>
      <c r="I1" s="6"/>
      <c r="J1" s="6"/>
      <c r="K1" s="9" t="s">
        <v>0</v>
      </c>
      <c r="L1" s="6"/>
      <c r="M1" s="6"/>
      <c r="N1" s="6"/>
      <c r="O1" s="6"/>
      <c r="P1" s="6"/>
      <c r="Q1" s="6"/>
      <c r="R1" s="6"/>
      <c r="S1" s="7"/>
      <c r="T1" s="6"/>
      <c r="U1" s="6"/>
      <c r="V1" s="7"/>
      <c r="W1" s="6"/>
      <c r="X1" s="6"/>
      <c r="Y1" s="6"/>
      <c r="Z1" s="10"/>
      <c r="AA1" s="11"/>
      <c r="AB1" s="12"/>
      <c r="AC1" s="13"/>
      <c r="AD1" s="107"/>
    </row>
    <row r="2" customFormat="false" ht="14.1" hidden="false" customHeight="true" outlineLevel="0" collapsed="false">
      <c r="A2" s="6" t="s">
        <v>1</v>
      </c>
      <c r="B2" s="6"/>
      <c r="C2" s="7"/>
      <c r="D2" s="14" t="n">
        <v>1.9835</v>
      </c>
      <c r="E2" s="7"/>
      <c r="F2" s="6"/>
      <c r="G2" s="6"/>
      <c r="H2" s="8"/>
      <c r="I2" s="6"/>
      <c r="J2" s="6"/>
      <c r="K2" s="108" t="s">
        <v>64</v>
      </c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6"/>
      <c r="X2" s="6"/>
      <c r="Y2" s="6"/>
      <c r="Z2" s="10"/>
      <c r="AA2" s="11"/>
      <c r="AB2" s="12"/>
      <c r="AC2" s="13"/>
      <c r="AD2" s="107"/>
    </row>
    <row r="3" customFormat="false" ht="11.1" hidden="false" customHeight="true" outlineLevel="0" collapsed="false">
      <c r="A3" s="6"/>
      <c r="B3" s="6"/>
      <c r="C3" s="7"/>
      <c r="D3" s="15"/>
      <c r="E3" s="7"/>
      <c r="F3" s="6"/>
      <c r="G3" s="6"/>
      <c r="H3" s="8"/>
      <c r="I3" s="6"/>
      <c r="J3" s="6"/>
      <c r="K3" s="6"/>
      <c r="L3" s="6"/>
      <c r="M3" s="6"/>
      <c r="N3" s="6"/>
      <c r="O3" s="6"/>
      <c r="P3" s="6"/>
      <c r="Q3" s="6"/>
      <c r="R3" s="6"/>
      <c r="S3" s="7"/>
      <c r="T3" s="6"/>
      <c r="U3" s="6"/>
      <c r="V3" s="7"/>
      <c r="W3" s="6"/>
      <c r="X3" s="6"/>
      <c r="Y3" s="6" t="n">
        <v>5</v>
      </c>
      <c r="Z3" s="10"/>
      <c r="AA3" s="11"/>
      <c r="AB3" s="12"/>
      <c r="AC3" s="13"/>
      <c r="AD3" s="107"/>
    </row>
    <row r="4" customFormat="false" ht="11.1" hidden="false" customHeight="true" outlineLevel="0" collapsed="false">
      <c r="A4" s="16" t="s">
        <v>3</v>
      </c>
      <c r="B4" s="16" t="s">
        <v>4</v>
      </c>
      <c r="C4" s="17" t="s">
        <v>4</v>
      </c>
      <c r="D4" s="16" t="s">
        <v>5</v>
      </c>
      <c r="E4" s="17" t="s">
        <v>6</v>
      </c>
      <c r="F4" s="16" t="s">
        <v>7</v>
      </c>
      <c r="G4" s="16" t="s">
        <v>8</v>
      </c>
      <c r="H4" s="18" t="s">
        <v>9</v>
      </c>
      <c r="I4" s="16" t="s">
        <v>10</v>
      </c>
      <c r="J4" s="16" t="s">
        <v>11</v>
      </c>
      <c r="K4" s="16" t="s">
        <v>12</v>
      </c>
      <c r="L4" s="16" t="s">
        <v>11</v>
      </c>
      <c r="M4" s="19" t="s">
        <v>13</v>
      </c>
      <c r="N4" s="19"/>
      <c r="O4" s="19"/>
      <c r="P4" s="19"/>
      <c r="Q4" s="16" t="s">
        <v>14</v>
      </c>
      <c r="R4" s="16" t="s">
        <v>15</v>
      </c>
      <c r="S4" s="16" t="s">
        <v>12</v>
      </c>
      <c r="T4" s="17" t="s">
        <v>16</v>
      </c>
      <c r="U4" s="16" t="s">
        <v>17</v>
      </c>
      <c r="V4" s="16" t="s">
        <v>18</v>
      </c>
      <c r="W4" s="17" t="s">
        <v>19</v>
      </c>
      <c r="X4" s="16" t="s">
        <v>10</v>
      </c>
      <c r="Y4" s="16" t="s">
        <v>11</v>
      </c>
      <c r="Z4" s="16" t="s">
        <v>12</v>
      </c>
      <c r="AA4" s="20" t="s">
        <v>20</v>
      </c>
      <c r="AB4" s="21" t="s">
        <v>21</v>
      </c>
      <c r="AC4" s="21" t="s">
        <v>22</v>
      </c>
      <c r="AD4" s="21" t="s">
        <v>3</v>
      </c>
      <c r="AE4" s="107"/>
    </row>
    <row r="5" customFormat="false" ht="11.1" hidden="false" customHeight="true" outlineLevel="0" collapsed="false">
      <c r="A5" s="22" t="s">
        <v>65</v>
      </c>
      <c r="B5" s="16" t="s">
        <v>24</v>
      </c>
      <c r="C5" s="17" t="s">
        <v>5</v>
      </c>
      <c r="D5" s="16" t="s">
        <v>25</v>
      </c>
      <c r="E5" s="17" t="s">
        <v>26</v>
      </c>
      <c r="F5" s="16" t="s">
        <v>27</v>
      </c>
      <c r="G5" s="16" t="s">
        <v>28</v>
      </c>
      <c r="H5" s="18" t="s">
        <v>29</v>
      </c>
      <c r="I5" s="16" t="s">
        <v>30</v>
      </c>
      <c r="J5" s="16" t="s">
        <v>30</v>
      </c>
      <c r="K5" s="16" t="s">
        <v>30</v>
      </c>
      <c r="L5" s="16" t="s">
        <v>31</v>
      </c>
      <c r="M5" s="16" t="s">
        <v>32</v>
      </c>
      <c r="N5" s="16" t="s">
        <v>33</v>
      </c>
      <c r="O5" s="16" t="s">
        <v>34</v>
      </c>
      <c r="P5" s="16" t="s">
        <v>66</v>
      </c>
      <c r="Q5" s="16" t="s">
        <v>36</v>
      </c>
      <c r="R5" s="16" t="s">
        <v>37</v>
      </c>
      <c r="S5" s="16" t="s">
        <v>16</v>
      </c>
      <c r="T5" s="17" t="s">
        <v>38</v>
      </c>
      <c r="U5" s="16" t="s">
        <v>39</v>
      </c>
      <c r="V5" s="16" t="s">
        <v>40</v>
      </c>
      <c r="W5" s="17" t="s">
        <v>41</v>
      </c>
      <c r="X5" s="16" t="s">
        <v>42</v>
      </c>
      <c r="Y5" s="16" t="s">
        <v>42</v>
      </c>
      <c r="Z5" s="16" t="s">
        <v>42</v>
      </c>
      <c r="AA5" s="24"/>
      <c r="AB5" s="21" t="s">
        <v>43</v>
      </c>
      <c r="AC5" s="21" t="s">
        <v>43</v>
      </c>
      <c r="AD5" s="25" t="s">
        <v>65</v>
      </c>
      <c r="AE5" s="107"/>
    </row>
    <row r="6" customFormat="false" ht="11.1" hidden="false" customHeight="true" outlineLevel="0" collapsed="false">
      <c r="A6" s="26"/>
      <c r="B6" s="26"/>
      <c r="C6" s="27"/>
      <c r="D6" s="26"/>
      <c r="E6" s="27"/>
      <c r="F6" s="26"/>
      <c r="G6" s="26"/>
      <c r="H6" s="28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7"/>
      <c r="U6" s="26"/>
      <c r="V6" s="26"/>
      <c r="W6" s="27"/>
      <c r="X6" s="26"/>
      <c r="Y6" s="26"/>
      <c r="Z6" s="26"/>
      <c r="AA6" s="11"/>
      <c r="AB6" s="13"/>
      <c r="AC6" s="13"/>
      <c r="AD6" s="13"/>
      <c r="AE6" s="107"/>
    </row>
    <row r="7" customFormat="false" ht="11.1" hidden="false" customHeight="true" outlineLevel="0" collapsed="false">
      <c r="A7" s="6" t="s">
        <v>44</v>
      </c>
      <c r="B7" s="6"/>
      <c r="C7" s="7"/>
      <c r="D7" s="7"/>
      <c r="E7" s="7"/>
      <c r="F7" s="7"/>
      <c r="G7" s="7"/>
      <c r="H7" s="12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11"/>
      <c r="AB7" s="12"/>
      <c r="AC7" s="12"/>
      <c r="AD7" s="13"/>
    </row>
    <row r="8" s="1" customFormat="true" ht="11.1" hidden="false" customHeight="true" outlineLevel="0" collapsed="false">
      <c r="A8" s="7" t="s">
        <v>45</v>
      </c>
      <c r="B8" s="31" t="n">
        <f aca="false">MAR!B40</f>
        <v>6889.21</v>
      </c>
      <c r="C8" s="7" t="n">
        <f aca="false">MAR!C40</f>
        <v>245508</v>
      </c>
      <c r="D8" s="7" t="n">
        <f aca="false">MAR!D49</f>
        <v>6643</v>
      </c>
      <c r="E8" s="7" t="n">
        <f aca="false">MAR!E49</f>
        <v>93508</v>
      </c>
      <c r="F8" s="7" t="n">
        <f aca="false">MAR!F48</f>
        <v>3349.13032518276</v>
      </c>
      <c r="G8" s="7" t="n">
        <f aca="false">MAR!G48</f>
        <v>11464.77</v>
      </c>
      <c r="H8" s="12" t="n">
        <f aca="false">MAR!H48</f>
        <v>74.65</v>
      </c>
      <c r="I8" s="7" t="n">
        <f aca="false">MAR!I48</f>
        <v>11436.22</v>
      </c>
      <c r="J8" s="7" t="n">
        <f aca="false">MAR!J48</f>
        <v>641.108916057474</v>
      </c>
      <c r="K8" s="7" t="n">
        <f aca="false">MAR!K48</f>
        <v>12077.3289160575</v>
      </c>
      <c r="L8" s="7" t="n">
        <f aca="false">MAR!L48</f>
        <v>102.920325182758</v>
      </c>
      <c r="M8" s="7" t="n">
        <f aca="false">MAR!M48</f>
        <v>1436.32</v>
      </c>
      <c r="N8" s="7" t="n">
        <f aca="false">MAR!N48</f>
        <v>0.08</v>
      </c>
      <c r="O8" s="7" t="n">
        <f aca="false">MAR!O48</f>
        <v>0</v>
      </c>
      <c r="P8" s="7" t="n">
        <f aca="false">MAR!P48</f>
        <v>1436.24</v>
      </c>
      <c r="Q8" s="7" t="n">
        <f aca="false">MAR!Q48</f>
        <v>1605.19</v>
      </c>
      <c r="R8" s="7" t="n">
        <f aca="false">MAR!R48</f>
        <v>372.4</v>
      </c>
      <c r="S8" s="7" t="n">
        <f aca="false">MAR!S48</f>
        <v>3413.83</v>
      </c>
      <c r="T8" s="7" t="n">
        <f aca="false">MAR!T48</f>
        <v>0</v>
      </c>
      <c r="U8" s="7" t="n">
        <f aca="false">MAR!U48</f>
        <v>0</v>
      </c>
      <c r="V8" s="7" t="n">
        <f aca="false">MAR!V48</f>
        <v>4776.1</v>
      </c>
      <c r="W8" s="7" t="n">
        <f aca="false">MAR!W48</f>
        <v>10402.9</v>
      </c>
      <c r="X8" s="7" t="n">
        <f aca="false">MAR!X48</f>
        <v>8190.01</v>
      </c>
      <c r="Y8" s="7" t="n">
        <f aca="false">MAR!Y48</f>
        <v>538.188590874717</v>
      </c>
      <c r="Z8" s="7" t="n">
        <f aca="false">MAR!Z48</f>
        <v>8728.19859087472</v>
      </c>
      <c r="AA8" s="11" t="n">
        <f aca="false">MAR!AA48</f>
        <v>5.94</v>
      </c>
      <c r="AB8" s="12"/>
      <c r="AC8" s="12"/>
      <c r="AD8" s="13"/>
      <c r="AE8" s="107"/>
    </row>
    <row r="9" customFormat="false" ht="3" hidden="false" customHeight="true" outlineLevel="0" collapsed="false">
      <c r="A9" s="32"/>
      <c r="B9" s="33"/>
      <c r="C9" s="34"/>
      <c r="D9" s="32"/>
      <c r="E9" s="34"/>
      <c r="F9" s="32"/>
      <c r="G9" s="32"/>
      <c r="H9" s="35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4"/>
      <c r="U9" s="32"/>
      <c r="V9" s="32"/>
      <c r="W9" s="34"/>
      <c r="X9" s="32"/>
      <c r="Y9" s="32"/>
      <c r="Z9" s="32"/>
      <c r="AA9" s="36"/>
      <c r="AB9" s="37"/>
      <c r="AC9" s="37"/>
      <c r="AD9" s="38"/>
      <c r="AE9" s="107"/>
    </row>
    <row r="10" customFormat="false" ht="11.1" hidden="false" customHeight="true" outlineLevel="0" collapsed="false">
      <c r="A10" s="13" t="n">
        <v>1</v>
      </c>
      <c r="B10" s="31" t="n">
        <v>6889.29</v>
      </c>
      <c r="C10" s="7" t="n">
        <v>245683</v>
      </c>
      <c r="D10" s="12" t="n">
        <f aca="false">C10-C8</f>
        <v>175</v>
      </c>
      <c r="E10" s="7" t="n">
        <f aca="false">C10-152000</f>
        <v>93683</v>
      </c>
      <c r="F10" s="6" t="n">
        <f aca="false">D10/$D$2</f>
        <v>88.2278800100832</v>
      </c>
      <c r="G10" s="6" t="n">
        <v>117.3</v>
      </c>
      <c r="H10" s="8" t="n">
        <v>8</v>
      </c>
      <c r="I10" s="6" t="n">
        <f aca="false">G10+H10</f>
        <v>125.3</v>
      </c>
      <c r="J10" s="109" t="n">
        <f aca="false">IF(L10&gt;0,L10,0)</f>
        <v>0</v>
      </c>
      <c r="K10" s="6" t="n">
        <f aca="false">I10+J10</f>
        <v>125.3</v>
      </c>
      <c r="L10" s="6" t="n">
        <f aca="false">F10-(I10-X10)</f>
        <v>-2.53211998991681</v>
      </c>
      <c r="M10" s="6" t="n">
        <v>4.04</v>
      </c>
      <c r="N10" s="6" t="n">
        <v>0</v>
      </c>
      <c r="O10" s="6" t="n">
        <v>0</v>
      </c>
      <c r="P10" s="6" t="n">
        <f aca="false">M10-(N10+O10)</f>
        <v>4.04</v>
      </c>
      <c r="Q10" s="6" t="n">
        <v>0</v>
      </c>
      <c r="R10" s="6" t="n">
        <v>0</v>
      </c>
      <c r="S10" s="6" t="n">
        <f aca="false">SUM(P10:R10)</f>
        <v>4.04</v>
      </c>
      <c r="T10" s="7"/>
      <c r="U10" s="6" t="n">
        <v>0</v>
      </c>
      <c r="V10" s="6" t="n">
        <v>30.5</v>
      </c>
      <c r="W10" s="7" t="n">
        <f aca="false">W8-V10</f>
        <v>10372.4</v>
      </c>
      <c r="X10" s="6" t="n">
        <f aca="false">N10+O10+S10+U10+V10</f>
        <v>34.54</v>
      </c>
      <c r="Y10" s="6" t="n">
        <f aca="false">IF(L10&lt;0,L10*-1,0)</f>
        <v>2.53211998991681</v>
      </c>
      <c r="Z10" s="6" t="n">
        <f aca="false">X10+Y10</f>
        <v>37.0721199899168</v>
      </c>
      <c r="AA10" s="11" t="n">
        <v>0</v>
      </c>
      <c r="AB10" s="12" t="n">
        <v>64</v>
      </c>
      <c r="AC10" s="12" t="n">
        <v>28</v>
      </c>
      <c r="AD10" s="13" t="n">
        <v>1</v>
      </c>
      <c r="AE10" s="12"/>
      <c r="AG10" s="6"/>
    </row>
    <row r="11" customFormat="false" ht="11.1" hidden="false" customHeight="true" outlineLevel="0" collapsed="false">
      <c r="A11" s="13" t="n">
        <f aca="false">A10+1</f>
        <v>2</v>
      </c>
      <c r="B11" s="31" t="n">
        <v>6889.4</v>
      </c>
      <c r="C11" s="7" t="n">
        <v>246053</v>
      </c>
      <c r="D11" s="12" t="n">
        <f aca="false">C11-C10</f>
        <v>370</v>
      </c>
      <c r="E11" s="7" t="n">
        <f aca="false">C11-152000</f>
        <v>94053</v>
      </c>
      <c r="F11" s="6" t="n">
        <f aca="false">D11/$D$2</f>
        <v>186.538946307033</v>
      </c>
      <c r="G11" s="6" t="n">
        <v>153.5</v>
      </c>
      <c r="H11" s="8" t="n">
        <v>12</v>
      </c>
      <c r="I11" s="6" t="n">
        <f aca="false">G11+H11</f>
        <v>165.5</v>
      </c>
      <c r="J11" s="109" t="n">
        <f aca="false">IF(L11&gt;0,L11,0)</f>
        <v>57.538946307033</v>
      </c>
      <c r="K11" s="6" t="n">
        <f aca="false">I11+J11</f>
        <v>223.038946307033</v>
      </c>
      <c r="L11" s="6" t="n">
        <f aca="false">F11-(I11-X11)</f>
        <v>57.538946307033</v>
      </c>
      <c r="M11" s="6" t="n">
        <v>6</v>
      </c>
      <c r="N11" s="6" t="n">
        <v>0</v>
      </c>
      <c r="O11" s="6" t="n">
        <v>0</v>
      </c>
      <c r="P11" s="6" t="n">
        <f aca="false">M11-(N11+O11)</f>
        <v>6</v>
      </c>
      <c r="Q11" s="6" t="n">
        <v>0</v>
      </c>
      <c r="R11" s="6" t="n">
        <v>0</v>
      </c>
      <c r="S11" s="6" t="n">
        <f aca="false">SUM(P11:R11)</f>
        <v>6</v>
      </c>
      <c r="T11" s="7"/>
      <c r="U11" s="6" t="n">
        <v>0</v>
      </c>
      <c r="V11" s="6" t="n">
        <v>30.5</v>
      </c>
      <c r="W11" s="7" t="n">
        <f aca="false">W10-V11</f>
        <v>10341.9</v>
      </c>
      <c r="X11" s="6" t="n">
        <f aca="false">N11+O11+S11+U11+V11</f>
        <v>36.5</v>
      </c>
      <c r="Y11" s="6" t="n">
        <f aca="false">IF(L11&lt;0,L11*-1,0)</f>
        <v>0</v>
      </c>
      <c r="Z11" s="6" t="n">
        <f aca="false">X11+Y11</f>
        <v>36.5</v>
      </c>
      <c r="AA11" s="11" t="n">
        <v>0.14</v>
      </c>
      <c r="AB11" s="12" t="n">
        <v>62</v>
      </c>
      <c r="AC11" s="12" t="n">
        <v>29</v>
      </c>
      <c r="AD11" s="13" t="n">
        <f aca="false">AD10+1</f>
        <v>2</v>
      </c>
      <c r="AE11" s="12"/>
      <c r="AG11" s="6"/>
    </row>
    <row r="12" customFormat="false" ht="11.1" hidden="false" customHeight="true" outlineLevel="0" collapsed="false">
      <c r="A12" s="13" t="n">
        <f aca="false">A11+1</f>
        <v>3</v>
      </c>
      <c r="B12" s="31" t="n">
        <v>6889.52</v>
      </c>
      <c r="C12" s="7" t="n">
        <v>246457</v>
      </c>
      <c r="D12" s="12" t="n">
        <f aca="false">C12-C11</f>
        <v>404</v>
      </c>
      <c r="E12" s="7" t="n">
        <f aca="false">C12-152000</f>
        <v>94457</v>
      </c>
      <c r="F12" s="6" t="n">
        <f aca="false">D12/$D$2</f>
        <v>203.680362994706</v>
      </c>
      <c r="G12" s="6" t="n">
        <v>185.6</v>
      </c>
      <c r="H12" s="8" t="n">
        <v>18</v>
      </c>
      <c r="I12" s="6" t="n">
        <f aca="false">G12+H12</f>
        <v>203.6</v>
      </c>
      <c r="J12" s="109" t="n">
        <f aca="false">IF(L12&gt;0,L12,0)</f>
        <v>36.0703629947063</v>
      </c>
      <c r="K12" s="6" t="n">
        <f aca="false">I12+J12</f>
        <v>239.670362994706</v>
      </c>
      <c r="L12" s="6" t="n">
        <f aca="false">F12-(I12-X12)</f>
        <v>36.0703629947063</v>
      </c>
      <c r="M12" s="6" t="n">
        <v>6.29</v>
      </c>
      <c r="N12" s="6" t="n">
        <v>0</v>
      </c>
      <c r="O12" s="6" t="n">
        <v>0</v>
      </c>
      <c r="P12" s="6" t="n">
        <f aca="false">M12-(N12+O12)</f>
        <v>6.29</v>
      </c>
      <c r="Q12" s="6" t="n">
        <v>0</v>
      </c>
      <c r="R12" s="6" t="n">
        <v>0</v>
      </c>
      <c r="S12" s="6" t="n">
        <f aca="false">SUM(P12:R12)</f>
        <v>6.29</v>
      </c>
      <c r="T12" s="7"/>
      <c r="U12" s="6" t="n">
        <v>0</v>
      </c>
      <c r="V12" s="6" t="n">
        <v>29.7</v>
      </c>
      <c r="W12" s="7" t="n">
        <f aca="false">W11-V12</f>
        <v>10312.2</v>
      </c>
      <c r="X12" s="6" t="n">
        <f aca="false">N12+O12+S12+U12+V12</f>
        <v>35.99</v>
      </c>
      <c r="Y12" s="6" t="n">
        <f aca="false">IF(L12&lt;0,L12*-1,0)</f>
        <v>0</v>
      </c>
      <c r="Z12" s="6" t="n">
        <f aca="false">X12+Y12</f>
        <v>35.99</v>
      </c>
      <c r="AA12" s="11" t="n">
        <v>0</v>
      </c>
      <c r="AB12" s="12" t="n">
        <v>59</v>
      </c>
      <c r="AC12" s="12" t="n">
        <v>30</v>
      </c>
      <c r="AD12" s="13" t="n">
        <f aca="false">AD11+1</f>
        <v>3</v>
      </c>
      <c r="AE12" s="12"/>
      <c r="AG12" s="6"/>
    </row>
    <row r="13" customFormat="false" ht="11.1" hidden="false" customHeight="true" outlineLevel="0" collapsed="false">
      <c r="A13" s="13" t="n">
        <f aca="false">A12+1</f>
        <v>4</v>
      </c>
      <c r="B13" s="31" t="n">
        <v>6889.81</v>
      </c>
      <c r="C13" s="7" t="n">
        <v>247434</v>
      </c>
      <c r="D13" s="12" t="n">
        <f aca="false">C13-C12</f>
        <v>977</v>
      </c>
      <c r="E13" s="7" t="n">
        <f aca="false">C13-152000</f>
        <v>95434</v>
      </c>
      <c r="F13" s="6" t="n">
        <f aca="false">D13/$D$2</f>
        <v>492.563650113436</v>
      </c>
      <c r="G13" s="6" t="n">
        <v>232.5</v>
      </c>
      <c r="H13" s="8" t="n">
        <v>30</v>
      </c>
      <c r="I13" s="6" t="n">
        <f aca="false">G13+H13</f>
        <v>262.5</v>
      </c>
      <c r="J13" s="109" t="n">
        <f aca="false">IF(L13&gt;0,L13,0)</f>
        <v>269.643650113436</v>
      </c>
      <c r="K13" s="6" t="n">
        <f aca="false">I13+J13</f>
        <v>532.143650113436</v>
      </c>
      <c r="L13" s="6" t="n">
        <f aca="false">F13-(I13-X13)</f>
        <v>269.643650113436</v>
      </c>
      <c r="M13" s="6" t="n">
        <v>9.88</v>
      </c>
      <c r="N13" s="6" t="n">
        <v>0</v>
      </c>
      <c r="O13" s="6" t="n">
        <v>0</v>
      </c>
      <c r="P13" s="6" t="n">
        <f aca="false">M13-(N13+O13)</f>
        <v>9.88</v>
      </c>
      <c r="Q13" s="6" t="n">
        <v>0</v>
      </c>
      <c r="R13" s="6" t="n">
        <v>0</v>
      </c>
      <c r="S13" s="6" t="n">
        <f aca="false">SUM(P13:R13)</f>
        <v>9.88</v>
      </c>
      <c r="T13" s="7"/>
      <c r="U13" s="6" t="n">
        <v>0</v>
      </c>
      <c r="V13" s="6" t="n">
        <v>29.7</v>
      </c>
      <c r="W13" s="7" t="n">
        <f aca="false">W12-V13</f>
        <v>10282.5</v>
      </c>
      <c r="X13" s="6" t="n">
        <f aca="false">N13+O13+S13+U13+V13</f>
        <v>39.58</v>
      </c>
      <c r="Y13" s="6" t="n">
        <f aca="false">IF(L13&lt;0,L13*-1,0)</f>
        <v>0</v>
      </c>
      <c r="Z13" s="6" t="n">
        <f aca="false">X13+Y13</f>
        <v>39.58</v>
      </c>
      <c r="AA13" s="11" t="n">
        <v>0</v>
      </c>
      <c r="AB13" s="12" t="n">
        <v>65</v>
      </c>
      <c r="AC13" s="12" t="n">
        <v>29</v>
      </c>
      <c r="AD13" s="13" t="n">
        <f aca="false">AD12+1</f>
        <v>4</v>
      </c>
      <c r="AE13" s="12"/>
      <c r="AG13" s="6"/>
    </row>
    <row r="14" customFormat="false" ht="11.1" hidden="false" customHeight="true" outlineLevel="0" collapsed="false">
      <c r="A14" s="13" t="n">
        <f aca="false">A13+1</f>
        <v>5</v>
      </c>
      <c r="B14" s="31" t="n">
        <v>6890.45</v>
      </c>
      <c r="C14" s="7" t="n">
        <v>249604</v>
      </c>
      <c r="D14" s="12" t="n">
        <f aca="false">C14-C13</f>
        <v>2170</v>
      </c>
      <c r="E14" s="7" t="n">
        <f aca="false">C14-152000</f>
        <v>97604</v>
      </c>
      <c r="F14" s="6" t="n">
        <f aca="false">D14/$D$2</f>
        <v>1094.02571212503</v>
      </c>
      <c r="G14" s="6" t="n">
        <v>361</v>
      </c>
      <c r="H14" s="8" t="n">
        <v>82</v>
      </c>
      <c r="I14" s="6" t="n">
        <f aca="false">G14+H14</f>
        <v>443</v>
      </c>
      <c r="J14" s="109" t="n">
        <f aca="false">IF(L14&gt;0,L14,0)</f>
        <v>692.525712125032</v>
      </c>
      <c r="K14" s="6" t="n">
        <f aca="false">I14+J14</f>
        <v>1135.52571212503</v>
      </c>
      <c r="L14" s="6" t="n">
        <f aca="false">F14-(I14-X14)</f>
        <v>692.525712125032</v>
      </c>
      <c r="M14" s="6" t="n">
        <v>11.8</v>
      </c>
      <c r="N14" s="6" t="n">
        <v>0</v>
      </c>
      <c r="O14" s="6" t="n">
        <v>0</v>
      </c>
      <c r="P14" s="6" t="n">
        <f aca="false">M14-(N14+O14)</f>
        <v>11.8</v>
      </c>
      <c r="Q14" s="6" t="n">
        <v>0</v>
      </c>
      <c r="R14" s="6" t="n">
        <v>0</v>
      </c>
      <c r="S14" s="6" t="n">
        <f aca="false">SUM(P14:R14)</f>
        <v>11.8</v>
      </c>
      <c r="T14" s="7"/>
      <c r="U14" s="6" t="n">
        <v>0</v>
      </c>
      <c r="V14" s="6" t="n">
        <v>29.7</v>
      </c>
      <c r="W14" s="7" t="n">
        <f aca="false">W13-V14</f>
        <v>10252.8</v>
      </c>
      <c r="X14" s="6" t="n">
        <f aca="false">N14+O14+S14+U14+V14</f>
        <v>41.5</v>
      </c>
      <c r="Y14" s="6" t="n">
        <f aca="false">IF(L14&lt;0,L14*-1,0)</f>
        <v>0</v>
      </c>
      <c r="Z14" s="6" t="n">
        <f aca="false">X14+Y14</f>
        <v>41.5</v>
      </c>
      <c r="AA14" s="11" t="n">
        <v>0</v>
      </c>
      <c r="AB14" s="12" t="n">
        <v>66</v>
      </c>
      <c r="AC14" s="12" t="n">
        <v>29</v>
      </c>
      <c r="AD14" s="13" t="n">
        <f aca="false">AD13+1</f>
        <v>5</v>
      </c>
      <c r="AE14" s="12"/>
      <c r="AG14" s="6"/>
    </row>
    <row r="15" customFormat="false" ht="11.1" hidden="false" customHeight="true" outlineLevel="0" collapsed="false">
      <c r="A15" s="13" t="n">
        <f aca="false">A14+1</f>
        <v>6</v>
      </c>
      <c r="B15" s="31" t="n">
        <v>6891.21</v>
      </c>
      <c r="C15" s="7" t="n">
        <v>252470</v>
      </c>
      <c r="D15" s="12" t="n">
        <f aca="false">C15-C14</f>
        <v>2866</v>
      </c>
      <c r="E15" s="7" t="n">
        <f aca="false">C15-152000</f>
        <v>100470</v>
      </c>
      <c r="F15" s="6" t="n">
        <f aca="false">D15/$D$2</f>
        <v>1444.92059490799</v>
      </c>
      <c r="G15" s="6" t="n">
        <v>589</v>
      </c>
      <c r="H15" s="8" t="n">
        <v>163</v>
      </c>
      <c r="I15" s="6" t="n">
        <f aca="false">G15+H15</f>
        <v>752</v>
      </c>
      <c r="J15" s="109" t="n">
        <f aca="false">IF(L15&gt;0,L15,0)</f>
        <v>734.620594907991</v>
      </c>
      <c r="K15" s="6" t="n">
        <f aca="false">I15+J15</f>
        <v>1486.62059490799</v>
      </c>
      <c r="L15" s="6" t="n">
        <f aca="false">F15-(I15-X15)</f>
        <v>734.620594907991</v>
      </c>
      <c r="M15" s="6" t="n">
        <v>12.06</v>
      </c>
      <c r="N15" s="6" t="n">
        <v>0</v>
      </c>
      <c r="O15" s="6" t="n">
        <v>0</v>
      </c>
      <c r="P15" s="6" t="n">
        <f aca="false">M15-(N15+O15)</f>
        <v>12.06</v>
      </c>
      <c r="Q15" s="6" t="n">
        <v>0</v>
      </c>
      <c r="R15" s="6" t="n">
        <v>0</v>
      </c>
      <c r="S15" s="6" t="n">
        <f aca="false">SUM(P15:R15)</f>
        <v>12.06</v>
      </c>
      <c r="T15" s="7"/>
      <c r="U15" s="6" t="n">
        <v>0</v>
      </c>
      <c r="V15" s="6" t="n">
        <v>29.64</v>
      </c>
      <c r="W15" s="7" t="n">
        <f aca="false">W14-V15</f>
        <v>10223.16</v>
      </c>
      <c r="X15" s="6" t="n">
        <f aca="false">N15+O15+S15+U15+V15</f>
        <v>41.7</v>
      </c>
      <c r="Y15" s="6" t="n">
        <f aca="false">IF(L15&lt;0,L15*-1,0)</f>
        <v>0</v>
      </c>
      <c r="Z15" s="6" t="n">
        <f aca="false">X15+Y15</f>
        <v>41.7</v>
      </c>
      <c r="AA15" s="11" t="n">
        <v>0</v>
      </c>
      <c r="AB15" s="12" t="n">
        <v>68</v>
      </c>
      <c r="AC15" s="12" t="n">
        <v>30</v>
      </c>
      <c r="AD15" s="13" t="n">
        <f aca="false">AD14+1</f>
        <v>6</v>
      </c>
      <c r="AE15" s="12"/>
      <c r="AG15" s="6"/>
    </row>
    <row r="16" customFormat="false" ht="11.1" hidden="false" customHeight="true" outlineLevel="0" collapsed="false">
      <c r="A16" s="13" t="n">
        <f aca="false">A15+1</f>
        <v>7</v>
      </c>
      <c r="B16" s="31" t="n">
        <v>6992.33</v>
      </c>
      <c r="C16" s="7" t="n">
        <v>256052</v>
      </c>
      <c r="D16" s="12" t="n">
        <f aca="false">C16-C15</f>
        <v>3582</v>
      </c>
      <c r="E16" s="7" t="n">
        <f aca="false">C16-152000</f>
        <v>104052</v>
      </c>
      <c r="F16" s="6" t="n">
        <f aca="false">D16/$D$2</f>
        <v>1805.89866397782</v>
      </c>
      <c r="G16" s="6" t="n">
        <v>873.5</v>
      </c>
      <c r="H16" s="8" t="n">
        <v>253</v>
      </c>
      <c r="I16" s="6" t="n">
        <f aca="false">G16+H16</f>
        <v>1126.5</v>
      </c>
      <c r="J16" s="109" t="n">
        <f aca="false">IF(L16&gt;0,L16,0)</f>
        <v>721.338663977817</v>
      </c>
      <c r="K16" s="6" t="n">
        <f aca="false">I16+J16</f>
        <v>1847.83866397782</v>
      </c>
      <c r="L16" s="6" t="n">
        <f aca="false">F16-(I16-X16)</f>
        <v>721.338663977817</v>
      </c>
      <c r="M16" s="6" t="n">
        <v>12.3</v>
      </c>
      <c r="N16" s="6" t="n">
        <v>0</v>
      </c>
      <c r="O16" s="6" t="n">
        <v>0</v>
      </c>
      <c r="P16" s="6" t="n">
        <f aca="false">M16-(N16+O16)</f>
        <v>12.3</v>
      </c>
      <c r="Q16" s="6" t="n">
        <v>0</v>
      </c>
      <c r="R16" s="6" t="n">
        <v>0</v>
      </c>
      <c r="S16" s="6" t="n">
        <f aca="false">SUM(P16:R16)</f>
        <v>12.3</v>
      </c>
      <c r="T16" s="7"/>
      <c r="U16" s="6" t="n">
        <v>0</v>
      </c>
      <c r="V16" s="6" t="n">
        <v>29.64</v>
      </c>
      <c r="W16" s="7" t="n">
        <f aca="false">W15-V16</f>
        <v>10193.52</v>
      </c>
      <c r="X16" s="6" t="n">
        <f aca="false">N16+O16+S16+U16+V16</f>
        <v>41.94</v>
      </c>
      <c r="Y16" s="6" t="n">
        <f aca="false">IF(L16&lt;0,L16*-1,0)</f>
        <v>0</v>
      </c>
      <c r="Z16" s="6" t="n">
        <f aca="false">X16+Y16</f>
        <v>41.94</v>
      </c>
      <c r="AA16" s="11" t="n">
        <v>0</v>
      </c>
      <c r="AB16" s="12" t="n">
        <v>67</v>
      </c>
      <c r="AC16" s="12" t="n">
        <v>30</v>
      </c>
      <c r="AD16" s="13" t="n">
        <f aca="false">AD15+1</f>
        <v>7</v>
      </c>
      <c r="AE16" s="12"/>
      <c r="AG16" s="6"/>
    </row>
    <row r="17" customFormat="false" ht="11.1" hidden="false" customHeight="true" outlineLevel="0" collapsed="false">
      <c r="A17" s="13" t="n">
        <f aca="false">A16+1</f>
        <v>8</v>
      </c>
      <c r="B17" s="31" t="n">
        <v>6893.25</v>
      </c>
      <c r="C17" s="7" t="n">
        <v>259249</v>
      </c>
      <c r="D17" s="12" t="n">
        <f aca="false">C17-C16</f>
        <v>3197</v>
      </c>
      <c r="E17" s="7" t="n">
        <f aca="false">C17-152000</f>
        <v>107249</v>
      </c>
      <c r="F17" s="6" t="n">
        <f aca="false">D17/$D$2</f>
        <v>1611.79732795563</v>
      </c>
      <c r="G17" s="6" t="n">
        <v>936.3</v>
      </c>
      <c r="H17" s="8" t="n">
        <v>285</v>
      </c>
      <c r="I17" s="6" t="n">
        <f aca="false">G17+H17</f>
        <v>1221.3</v>
      </c>
      <c r="J17" s="109" t="n">
        <f aca="false">IF(L17&gt;0,L17,0)</f>
        <v>571.197327955634</v>
      </c>
      <c r="K17" s="6" t="n">
        <f aca="false">I17+J17</f>
        <v>1792.49732795563</v>
      </c>
      <c r="L17" s="6" t="n">
        <f aca="false">F17-(I17-X17)</f>
        <v>571.197327955634</v>
      </c>
      <c r="M17" s="6" t="n">
        <v>12.3</v>
      </c>
      <c r="N17" s="6" t="n">
        <v>0</v>
      </c>
      <c r="O17" s="6" t="n">
        <v>0</v>
      </c>
      <c r="P17" s="6" t="n">
        <f aca="false">M17-(N17+O17)</f>
        <v>12.3</v>
      </c>
      <c r="Q17" s="6" t="n">
        <v>128.79</v>
      </c>
      <c r="R17" s="6" t="n">
        <v>9.91</v>
      </c>
      <c r="S17" s="6" t="n">
        <f aca="false">SUM(P17:R17)</f>
        <v>151</v>
      </c>
      <c r="T17" s="7"/>
      <c r="U17" s="6" t="n">
        <v>0</v>
      </c>
      <c r="V17" s="6" t="n">
        <v>29.7</v>
      </c>
      <c r="W17" s="7" t="n">
        <f aca="false">W16-V17</f>
        <v>10163.82</v>
      </c>
      <c r="X17" s="6" t="n">
        <f aca="false">N17+O17+S17+U17+V17</f>
        <v>180.7</v>
      </c>
      <c r="Y17" s="6" t="n">
        <f aca="false">IF(L17&lt;0,L17*-1,0)</f>
        <v>0</v>
      </c>
      <c r="Z17" s="6" t="n">
        <f aca="false">X17+Y17</f>
        <v>180.7</v>
      </c>
      <c r="AA17" s="11" t="n">
        <v>0</v>
      </c>
      <c r="AB17" s="12" t="n">
        <v>46</v>
      </c>
      <c r="AC17" s="12" t="n">
        <v>29</v>
      </c>
      <c r="AD17" s="13" t="n">
        <f aca="false">AD16+1</f>
        <v>8</v>
      </c>
      <c r="AE17" s="12"/>
      <c r="AG17" s="6"/>
    </row>
    <row r="18" customFormat="false" ht="11.1" hidden="false" customHeight="true" outlineLevel="0" collapsed="false">
      <c r="A18" s="13" t="n">
        <f aca="false">A17+1</f>
        <v>9</v>
      </c>
      <c r="B18" s="31" t="n">
        <v>6894.13</v>
      </c>
      <c r="C18" s="7" t="n">
        <v>262330</v>
      </c>
      <c r="D18" s="12" t="n">
        <f aca="false">C18-C17</f>
        <v>3081</v>
      </c>
      <c r="E18" s="7" t="n">
        <f aca="false">C18-152000</f>
        <v>110330</v>
      </c>
      <c r="F18" s="6" t="n">
        <f aca="false">D18/$D$2</f>
        <v>1553.31484749181</v>
      </c>
      <c r="G18" s="6" t="n">
        <v>764.7</v>
      </c>
      <c r="H18" s="8" t="n">
        <v>220</v>
      </c>
      <c r="I18" s="6" t="n">
        <f aca="false">G18+H18</f>
        <v>984.7</v>
      </c>
      <c r="J18" s="109" t="n">
        <f aca="false">IF(L18&gt;0,L18,0)</f>
        <v>723.244847491807</v>
      </c>
      <c r="K18" s="6" t="n">
        <f aca="false">I18+J18</f>
        <v>1707.94484749181</v>
      </c>
      <c r="L18" s="6" t="n">
        <f aca="false">F18-(I18-X18)</f>
        <v>723.244847491807</v>
      </c>
      <c r="M18" s="6" t="n">
        <v>11.3</v>
      </c>
      <c r="N18" s="6" t="n">
        <v>0</v>
      </c>
      <c r="O18" s="6" t="n">
        <v>0</v>
      </c>
      <c r="P18" s="6" t="n">
        <f aca="false">M18-(N18+O18)</f>
        <v>11.3</v>
      </c>
      <c r="Q18" s="6" t="n">
        <v>98.63</v>
      </c>
      <c r="R18" s="6" t="n">
        <v>15</v>
      </c>
      <c r="S18" s="6" t="n">
        <f aca="false">SUM(P18:R18)</f>
        <v>124.93</v>
      </c>
      <c r="T18" s="7"/>
      <c r="U18" s="6" t="n">
        <v>0</v>
      </c>
      <c r="V18" s="6" t="n">
        <v>29.7</v>
      </c>
      <c r="W18" s="7" t="n">
        <f aca="false">W17-V18</f>
        <v>10134.12</v>
      </c>
      <c r="X18" s="6" t="n">
        <f aca="false">N18+O18+S18+U18+V18</f>
        <v>154.63</v>
      </c>
      <c r="Y18" s="6" t="n">
        <f aca="false">IF(L18&lt;0,L18*-1,0)</f>
        <v>0</v>
      </c>
      <c r="Z18" s="6" t="n">
        <f aca="false">X18+Y18</f>
        <v>154.63</v>
      </c>
      <c r="AA18" s="11" t="n">
        <v>0</v>
      </c>
      <c r="AB18" s="41" t="n">
        <v>54</v>
      </c>
      <c r="AC18" s="12" t="n">
        <v>22</v>
      </c>
      <c r="AD18" s="13" t="n">
        <f aca="false">AD17+1</f>
        <v>9</v>
      </c>
      <c r="AE18" s="12"/>
      <c r="AG18" s="6"/>
    </row>
    <row r="19" customFormat="false" ht="11.1" hidden="false" customHeight="true" outlineLevel="0" collapsed="false">
      <c r="A19" s="13" t="n">
        <f aca="false">A18+1</f>
        <v>10</v>
      </c>
      <c r="B19" s="31" t="n">
        <v>6895</v>
      </c>
      <c r="C19" s="7" t="n">
        <v>265401</v>
      </c>
      <c r="D19" s="12" t="n">
        <f aca="false">C19-C18</f>
        <v>3071</v>
      </c>
      <c r="E19" s="7" t="n">
        <f aca="false">C19-152000</f>
        <v>113401</v>
      </c>
      <c r="F19" s="6" t="n">
        <f aca="false">D19/$D$2</f>
        <v>1548.27325434837</v>
      </c>
      <c r="G19" s="6" t="n">
        <v>864.4</v>
      </c>
      <c r="H19" s="8" t="n">
        <v>196</v>
      </c>
      <c r="I19" s="6" t="n">
        <f aca="false">G19+H19</f>
        <v>1060.4</v>
      </c>
      <c r="J19" s="109" t="n">
        <f aca="false">IF(L19&gt;0,L19,0)</f>
        <v>547.993254348374</v>
      </c>
      <c r="K19" s="6" t="n">
        <f aca="false">I19+J19</f>
        <v>1608.39325434837</v>
      </c>
      <c r="L19" s="6" t="n">
        <f aca="false">F19-(I19-X19)</f>
        <v>547.993254348374</v>
      </c>
      <c r="M19" s="6" t="n">
        <v>10.32</v>
      </c>
      <c r="N19" s="6" t="n">
        <v>0</v>
      </c>
      <c r="O19" s="6" t="n">
        <v>0</v>
      </c>
      <c r="P19" s="6" t="n">
        <f aca="false">M19-(N19+O19)</f>
        <v>10.32</v>
      </c>
      <c r="Q19" s="6" t="n">
        <v>0</v>
      </c>
      <c r="R19" s="6" t="n">
        <v>12.68</v>
      </c>
      <c r="S19" s="6" t="n">
        <f aca="false">SUM(P19:R19)</f>
        <v>23</v>
      </c>
      <c r="T19" s="7"/>
      <c r="U19" s="6" t="n">
        <v>0</v>
      </c>
      <c r="V19" s="6" t="n">
        <v>37.12</v>
      </c>
      <c r="W19" s="7" t="n">
        <f aca="false">W18-V19</f>
        <v>10097</v>
      </c>
      <c r="X19" s="6" t="n">
        <f aca="false">N19+O19+S19+U19+V19</f>
        <v>60.12</v>
      </c>
      <c r="Y19" s="6" t="n">
        <f aca="false">IF(L19&lt;0,L19*-1,0)</f>
        <v>0</v>
      </c>
      <c r="Z19" s="6" t="n">
        <f aca="false">X19+Y19</f>
        <v>60.12</v>
      </c>
      <c r="AA19" s="11" t="n">
        <v>0.02</v>
      </c>
      <c r="AB19" s="12" t="n">
        <v>51</v>
      </c>
      <c r="AC19" s="12" t="n">
        <v>29</v>
      </c>
      <c r="AD19" s="13" t="n">
        <f aca="false">AD18+1</f>
        <v>10</v>
      </c>
      <c r="AE19" s="12"/>
      <c r="AG19" s="6"/>
    </row>
    <row r="20" customFormat="false" ht="11.1" hidden="false" customHeight="true" outlineLevel="0" collapsed="false">
      <c r="A20" s="13" t="n">
        <f aca="false">A19+1</f>
        <v>11</v>
      </c>
      <c r="B20" s="31" t="n">
        <v>6895.5</v>
      </c>
      <c r="C20" s="7" t="n">
        <v>267181</v>
      </c>
      <c r="D20" s="12" t="n">
        <f aca="false">C20-C19</f>
        <v>1780</v>
      </c>
      <c r="E20" s="7" t="n">
        <f aca="false">C20-152000</f>
        <v>115181</v>
      </c>
      <c r="F20" s="6" t="n">
        <f aca="false">D20/$D$2</f>
        <v>897.403579531132</v>
      </c>
      <c r="G20" s="6" t="n">
        <v>744.7</v>
      </c>
      <c r="H20" s="8" t="n">
        <v>181</v>
      </c>
      <c r="I20" s="6" t="n">
        <f aca="false">G20+H20</f>
        <v>925.7</v>
      </c>
      <c r="J20" s="109" t="n">
        <f aca="false">IF(L20&gt;0,L20,0)</f>
        <v>32.4835795311318</v>
      </c>
      <c r="K20" s="6" t="n">
        <f aca="false">I20+J20</f>
        <v>958.183579531132</v>
      </c>
      <c r="L20" s="6" t="n">
        <f aca="false">F20-(I20-X20)</f>
        <v>32.4835795311318</v>
      </c>
      <c r="M20" s="6" t="n">
        <v>10.3</v>
      </c>
      <c r="N20" s="6" t="n">
        <v>0</v>
      </c>
      <c r="O20" s="6" t="n">
        <v>0</v>
      </c>
      <c r="P20" s="6" t="n">
        <f aca="false">M20-(N20+O20)</f>
        <v>10.3</v>
      </c>
      <c r="Q20" s="6" t="n">
        <v>0</v>
      </c>
      <c r="R20" s="6" t="n">
        <v>9.7</v>
      </c>
      <c r="S20" s="6" t="n">
        <f aca="false">SUM(P20:R20)</f>
        <v>20</v>
      </c>
      <c r="T20" s="7"/>
      <c r="U20" s="6" t="n">
        <v>0</v>
      </c>
      <c r="V20" s="6" t="n">
        <v>40.78</v>
      </c>
      <c r="W20" s="7" t="n">
        <f aca="false">W19-V20</f>
        <v>10056.22</v>
      </c>
      <c r="X20" s="6" t="n">
        <f aca="false">N20+O20+S20+U20+V20</f>
        <v>60.78</v>
      </c>
      <c r="Y20" s="6" t="n">
        <f aca="false">IF(L20&lt;0,L20*-1,0)</f>
        <v>0</v>
      </c>
      <c r="Z20" s="6" t="n">
        <f aca="false">X20+Y20</f>
        <v>60.78</v>
      </c>
      <c r="AA20" s="11" t="n">
        <v>0</v>
      </c>
      <c r="AB20" s="12" t="n">
        <v>40</v>
      </c>
      <c r="AC20" s="12" t="n">
        <v>26</v>
      </c>
      <c r="AD20" s="13" t="n">
        <f aca="false">AD19+1</f>
        <v>11</v>
      </c>
      <c r="AE20" s="12"/>
      <c r="AG20" s="6"/>
    </row>
    <row r="21" customFormat="false" ht="11.1" hidden="false" customHeight="true" outlineLevel="0" collapsed="false">
      <c r="A21" s="13" t="n">
        <f aca="false">A20+1</f>
        <v>12</v>
      </c>
      <c r="B21" s="31" t="n">
        <v>6895.98</v>
      </c>
      <c r="C21" s="7" t="n">
        <v>268889</v>
      </c>
      <c r="D21" s="12" t="n">
        <f aca="false">C21-C20</f>
        <v>1708</v>
      </c>
      <c r="E21" s="7" t="n">
        <f aca="false">C21-152000</f>
        <v>116889</v>
      </c>
      <c r="F21" s="6" t="n">
        <f aca="false">D21/$D$2</f>
        <v>861.104108898412</v>
      </c>
      <c r="G21" s="6" t="n">
        <v>544.1</v>
      </c>
      <c r="H21" s="8" t="n">
        <v>79</v>
      </c>
      <c r="I21" s="6" t="n">
        <f aca="false">G21+H21</f>
        <v>623.1</v>
      </c>
      <c r="J21" s="109" t="n">
        <f aca="false">IF(L21&gt;0,L21,0)</f>
        <v>295.504108898412</v>
      </c>
      <c r="K21" s="6" t="n">
        <f aca="false">I21+J21</f>
        <v>918.604108898412</v>
      </c>
      <c r="L21" s="6" t="n">
        <f aca="false">F21-(I21-X21)</f>
        <v>295.504108898412</v>
      </c>
      <c r="M21" s="6" t="n">
        <v>10.54</v>
      </c>
      <c r="N21" s="6" t="n">
        <v>0</v>
      </c>
      <c r="O21" s="6" t="n">
        <v>0</v>
      </c>
      <c r="P21" s="6" t="n">
        <f aca="false">M21-(N21+O21)</f>
        <v>10.54</v>
      </c>
      <c r="Q21" s="6" t="n">
        <v>0</v>
      </c>
      <c r="R21" s="6" t="n">
        <v>6.46</v>
      </c>
      <c r="S21" s="6" t="n">
        <f aca="false">SUM(P21:R21)</f>
        <v>17</v>
      </c>
      <c r="T21" s="7"/>
      <c r="U21" s="6" t="n">
        <v>0</v>
      </c>
      <c r="V21" s="6" t="n">
        <v>40.5</v>
      </c>
      <c r="W21" s="7" t="n">
        <f aca="false">W20-V21</f>
        <v>10015.72</v>
      </c>
      <c r="X21" s="6" t="n">
        <f aca="false">N21+O21+S21+U21+V21</f>
        <v>57.5</v>
      </c>
      <c r="Y21" s="6" t="n">
        <f aca="false">IF(L21&lt;0,L21*-1,0)</f>
        <v>0</v>
      </c>
      <c r="Z21" s="6" t="n">
        <f aca="false">X21+Y21</f>
        <v>57.5</v>
      </c>
      <c r="AA21" s="11" t="n">
        <v>0</v>
      </c>
      <c r="AB21" s="12" t="n">
        <v>50</v>
      </c>
      <c r="AC21" s="12" t="n">
        <v>22</v>
      </c>
      <c r="AD21" s="13" t="n">
        <f aca="false">AD20+1</f>
        <v>12</v>
      </c>
      <c r="AE21" s="12"/>
      <c r="AG21" s="6"/>
    </row>
    <row r="22" customFormat="false" ht="11.1" hidden="false" customHeight="true" outlineLevel="0" collapsed="false">
      <c r="A22" s="13" t="n">
        <f aca="false">A21+1</f>
        <v>13</v>
      </c>
      <c r="B22" s="31" t="n">
        <v>6896.27</v>
      </c>
      <c r="C22" s="7" t="n">
        <v>269929</v>
      </c>
      <c r="D22" s="12" t="n">
        <f aca="false">C22-C21</f>
        <v>1040</v>
      </c>
      <c r="E22" s="7" t="n">
        <f aca="false">C22-152000</f>
        <v>117929</v>
      </c>
      <c r="F22" s="6" t="n">
        <f aca="false">D22/$D$2</f>
        <v>524.325686917066</v>
      </c>
      <c r="G22" s="6" t="n">
        <v>420.5</v>
      </c>
      <c r="H22" s="8" t="n">
        <v>53</v>
      </c>
      <c r="I22" s="6" t="n">
        <f aca="false">G22+H22</f>
        <v>473.5</v>
      </c>
      <c r="J22" s="109" t="n">
        <f aca="false">IF(L22&gt;0,L22,0)</f>
        <v>102.105686917066</v>
      </c>
      <c r="K22" s="6" t="n">
        <f aca="false">I22+J22</f>
        <v>575.605686917066</v>
      </c>
      <c r="L22" s="6" t="n">
        <f aca="false">F22-(I22-X22)</f>
        <v>102.105686917066</v>
      </c>
      <c r="M22" s="6" t="n">
        <v>10.78</v>
      </c>
      <c r="N22" s="6" t="n">
        <v>0</v>
      </c>
      <c r="O22" s="6" t="n">
        <v>0</v>
      </c>
      <c r="P22" s="6" t="n">
        <f aca="false">M22-(N22+O22)</f>
        <v>10.78</v>
      </c>
      <c r="Q22" s="6" t="n">
        <v>0</v>
      </c>
      <c r="R22" s="6" t="n">
        <v>0</v>
      </c>
      <c r="S22" s="6" t="n">
        <f aca="false">SUM(P22:R22)</f>
        <v>10.78</v>
      </c>
      <c r="T22" s="7"/>
      <c r="U22" s="6" t="n">
        <v>0</v>
      </c>
      <c r="V22" s="6" t="n">
        <v>40.5</v>
      </c>
      <c r="W22" s="7" t="n">
        <f aca="false">W21-V22</f>
        <v>9975.21999999998</v>
      </c>
      <c r="X22" s="6" t="n">
        <f aca="false">N22+O22+S22+U22+V22</f>
        <v>51.28</v>
      </c>
      <c r="Y22" s="6" t="n">
        <f aca="false">IF(L22&lt;0,L22*-1,0)</f>
        <v>0</v>
      </c>
      <c r="Z22" s="6" t="n">
        <f aca="false">X22+Y22</f>
        <v>51.28</v>
      </c>
      <c r="AA22" s="11" t="n">
        <v>0</v>
      </c>
      <c r="AB22" s="12" t="n">
        <v>60</v>
      </c>
      <c r="AC22" s="12" t="n">
        <v>16</v>
      </c>
      <c r="AD22" s="13" t="n">
        <f aca="false">AD21+1</f>
        <v>13</v>
      </c>
      <c r="AE22" s="12"/>
      <c r="AG22" s="6"/>
    </row>
    <row r="23" customFormat="false" ht="11.1" hidden="false" customHeight="true" outlineLevel="0" collapsed="false">
      <c r="A23" s="13" t="n">
        <f aca="false">A22+1</f>
        <v>14</v>
      </c>
      <c r="B23" s="31" t="n">
        <v>6896.5</v>
      </c>
      <c r="C23" s="7" t="n">
        <v>270754</v>
      </c>
      <c r="D23" s="12" t="n">
        <f aca="false">C23-C22</f>
        <v>825</v>
      </c>
      <c r="E23" s="7" t="n">
        <f aca="false">C23-152000</f>
        <v>118754</v>
      </c>
      <c r="F23" s="6" t="n">
        <f aca="false">D23/$D$2</f>
        <v>415.931434333249</v>
      </c>
      <c r="G23" s="6" t="n">
        <v>378.3</v>
      </c>
      <c r="H23" s="8" t="n">
        <v>43</v>
      </c>
      <c r="I23" s="6" t="n">
        <f aca="false">G23+H23</f>
        <v>421.3</v>
      </c>
      <c r="J23" s="109" t="n">
        <f aca="false">IF(L23&gt;0,L23,0)</f>
        <v>45.8214343332493</v>
      </c>
      <c r="K23" s="6" t="n">
        <f aca="false">I23+J23</f>
        <v>467.121434333249</v>
      </c>
      <c r="L23" s="6" t="n">
        <f aca="false">F23-(I23-X23)</f>
        <v>45.8214343332493</v>
      </c>
      <c r="M23" s="6" t="n">
        <v>10.69</v>
      </c>
      <c r="N23" s="6" t="n">
        <v>0</v>
      </c>
      <c r="O23" s="6" t="n">
        <v>0</v>
      </c>
      <c r="P23" s="6" t="n">
        <f aca="false">M23-(N23+O23)</f>
        <v>10.69</v>
      </c>
      <c r="Q23" s="6" t="n">
        <v>0</v>
      </c>
      <c r="R23" s="6" t="n">
        <v>0</v>
      </c>
      <c r="S23" s="6" t="n">
        <f aca="false">SUM(P23:R23)</f>
        <v>10.69</v>
      </c>
      <c r="T23" s="7"/>
      <c r="U23" s="6" t="n">
        <v>0</v>
      </c>
      <c r="V23" s="6" t="n">
        <v>40.5</v>
      </c>
      <c r="W23" s="7" t="n">
        <f aca="false">W22-V23</f>
        <v>9934.71999999998</v>
      </c>
      <c r="X23" s="6" t="n">
        <f aca="false">N23+O23+S23+U23+V23</f>
        <v>51.19</v>
      </c>
      <c r="Y23" s="6" t="n">
        <f aca="false">IF(L23&lt;0,L23*-1,0)</f>
        <v>0</v>
      </c>
      <c r="Z23" s="6" t="n">
        <f aca="false">X23+Y23</f>
        <v>51.19</v>
      </c>
      <c r="AA23" s="11" t="n">
        <v>0</v>
      </c>
      <c r="AB23" s="41" t="n">
        <v>64</v>
      </c>
      <c r="AC23" s="12" t="n">
        <v>30</v>
      </c>
      <c r="AD23" s="13" t="n">
        <f aca="false">AD22+1</f>
        <v>14</v>
      </c>
      <c r="AE23" s="12"/>
      <c r="AG23" s="6"/>
    </row>
    <row r="24" customFormat="false" ht="11.1" hidden="false" customHeight="true" outlineLevel="0" collapsed="false">
      <c r="A24" s="13" t="n">
        <f aca="false">A23+1</f>
        <v>15</v>
      </c>
      <c r="B24" s="31" t="n">
        <v>6896.9</v>
      </c>
      <c r="C24" s="7" t="n">
        <v>272189</v>
      </c>
      <c r="D24" s="12" t="n">
        <f aca="false">C24-C23</f>
        <v>1435</v>
      </c>
      <c r="E24" s="7" t="n">
        <f aca="false">C24-152000</f>
        <v>120189</v>
      </c>
      <c r="F24" s="6" t="n">
        <f aca="false">D24/$D$2</f>
        <v>723.468616082682</v>
      </c>
      <c r="G24" s="6" t="n">
        <v>377.4</v>
      </c>
      <c r="H24" s="8" t="n">
        <v>52</v>
      </c>
      <c r="I24" s="6" t="n">
        <f aca="false">G24+H24</f>
        <v>429.4</v>
      </c>
      <c r="J24" s="109" t="n">
        <f aca="false">IF(L24&gt;0,L24,0)</f>
        <v>345.168616082682</v>
      </c>
      <c r="K24" s="6" t="n">
        <f aca="false">I24+J24</f>
        <v>774.568616082682</v>
      </c>
      <c r="L24" s="6" t="n">
        <f aca="false">F24-(I24-X24)</f>
        <v>345.168616082682</v>
      </c>
      <c r="M24" s="6" t="n">
        <v>10.6</v>
      </c>
      <c r="N24" s="6" t="n">
        <v>0</v>
      </c>
      <c r="O24" s="6" t="n">
        <v>0</v>
      </c>
      <c r="P24" s="6" t="n">
        <f aca="false">M24-(N24+O24)</f>
        <v>10.6</v>
      </c>
      <c r="Q24" s="6" t="n">
        <v>0</v>
      </c>
      <c r="R24" s="6" t="n">
        <v>0</v>
      </c>
      <c r="S24" s="6" t="n">
        <f aca="false">SUM(P24:R24)</f>
        <v>10.6</v>
      </c>
      <c r="T24" s="7"/>
      <c r="U24" s="6" t="n">
        <v>0</v>
      </c>
      <c r="V24" s="6" t="n">
        <v>40.5</v>
      </c>
      <c r="W24" s="7" t="n">
        <f aca="false">W23-V24</f>
        <v>9894.21999999998</v>
      </c>
      <c r="X24" s="6" t="n">
        <f aca="false">N24+O24+S24+U24+V24</f>
        <v>51.1</v>
      </c>
      <c r="Y24" s="6" t="n">
        <f aca="false">IF(L24&lt;0,L24*-1,0)</f>
        <v>0</v>
      </c>
      <c r="Z24" s="6" t="n">
        <f aca="false">X24+Y24</f>
        <v>51.1</v>
      </c>
      <c r="AA24" s="11" t="n">
        <v>0</v>
      </c>
      <c r="AB24" s="41" t="n">
        <v>60</v>
      </c>
      <c r="AC24" s="12" t="n">
        <v>30</v>
      </c>
      <c r="AD24" s="13" t="n">
        <f aca="false">AD23+1</f>
        <v>15</v>
      </c>
      <c r="AE24" s="12"/>
      <c r="AG24" s="6"/>
    </row>
    <row r="25" customFormat="false" ht="11.1" hidden="false" customHeight="true" outlineLevel="0" collapsed="false">
      <c r="A25" s="13" t="n">
        <f aca="false">A24+1</f>
        <v>16</v>
      </c>
      <c r="B25" s="31" t="n">
        <v>6897.47</v>
      </c>
      <c r="C25" s="7" t="n">
        <v>274249</v>
      </c>
      <c r="D25" s="12" t="n">
        <f aca="false">C25-C24</f>
        <v>2060</v>
      </c>
      <c r="E25" s="7" t="n">
        <f aca="false">C25-152000</f>
        <v>122249</v>
      </c>
      <c r="F25" s="6" t="n">
        <f aca="false">D25/$D$2</f>
        <v>1038.56818754726</v>
      </c>
      <c r="G25" s="6" t="n">
        <v>431.6</v>
      </c>
      <c r="H25" s="8" t="n">
        <v>79</v>
      </c>
      <c r="I25" s="6" t="n">
        <f aca="false">G25+H25</f>
        <v>510.6</v>
      </c>
      <c r="J25" s="109" t="n">
        <f aca="false">IF(L25&gt;0,L25,0)</f>
        <v>579.268187547265</v>
      </c>
      <c r="K25" s="6" t="n">
        <f aca="false">I25+J25</f>
        <v>1089.86818754727</v>
      </c>
      <c r="L25" s="6" t="n">
        <f aca="false">F25-(I25-X25)</f>
        <v>579.268187547265</v>
      </c>
      <c r="M25" s="6" t="n">
        <v>10.8</v>
      </c>
      <c r="N25" s="6" t="n">
        <v>0</v>
      </c>
      <c r="O25" s="6" t="n">
        <v>0</v>
      </c>
      <c r="P25" s="6" t="n">
        <f aca="false">M25-(N25+O25)</f>
        <v>10.8</v>
      </c>
      <c r="Q25" s="6" t="n">
        <v>0</v>
      </c>
      <c r="R25" s="6" t="n">
        <v>0</v>
      </c>
      <c r="S25" s="6" t="n">
        <f aca="false">SUM(P25:R25)</f>
        <v>10.8</v>
      </c>
      <c r="T25" s="7"/>
      <c r="U25" s="6" t="n">
        <v>0</v>
      </c>
      <c r="V25" s="6" t="n">
        <v>40.5</v>
      </c>
      <c r="W25" s="7" t="n">
        <f aca="false">W24-V25</f>
        <v>9853.71999999998</v>
      </c>
      <c r="X25" s="6" t="n">
        <f aca="false">N25+O25+S25+U25+V25</f>
        <v>51.3</v>
      </c>
      <c r="Y25" s="6" t="n">
        <f aca="false">IF(L25&lt;0,L25*-1,0)</f>
        <v>0</v>
      </c>
      <c r="Z25" s="6" t="n">
        <f aca="false">X25+Y25</f>
        <v>51.3</v>
      </c>
      <c r="AA25" s="11" t="n">
        <v>0</v>
      </c>
      <c r="AB25" s="41" t="n">
        <v>62</v>
      </c>
      <c r="AC25" s="12" t="n">
        <v>25</v>
      </c>
      <c r="AD25" s="13" t="n">
        <f aca="false">AD24+1</f>
        <v>16</v>
      </c>
      <c r="AE25" s="12"/>
      <c r="AG25" s="6"/>
    </row>
    <row r="26" customFormat="false" ht="11.1" hidden="false" customHeight="true" outlineLevel="0" collapsed="false">
      <c r="A26" s="13" t="n">
        <f aca="false">A25+1</f>
        <v>17</v>
      </c>
      <c r="B26" s="31" t="n">
        <v>6898.15</v>
      </c>
      <c r="C26" s="7" t="n">
        <v>276712</v>
      </c>
      <c r="D26" s="12" t="n">
        <f aca="false">C26-C25</f>
        <v>2463</v>
      </c>
      <c r="E26" s="7" t="n">
        <f aca="false">C26-152000</f>
        <v>124712</v>
      </c>
      <c r="F26" s="6" t="n">
        <f aca="false">D26/$D$2</f>
        <v>1241.74439122763</v>
      </c>
      <c r="G26" s="6" t="n">
        <v>646.6</v>
      </c>
      <c r="H26" s="8" t="n">
        <v>201</v>
      </c>
      <c r="I26" s="6" t="n">
        <f aca="false">G26+H26</f>
        <v>847.6</v>
      </c>
      <c r="J26" s="109" t="n">
        <f aca="false">IF(L26&gt;0,L26,0)</f>
        <v>453.134391227628</v>
      </c>
      <c r="K26" s="6" t="n">
        <f aca="false">I26+J26</f>
        <v>1300.73439122763</v>
      </c>
      <c r="L26" s="6" t="n">
        <f aca="false">F26-(I26-X26)</f>
        <v>453.134391227628</v>
      </c>
      <c r="M26" s="6" t="n">
        <v>22.9</v>
      </c>
      <c r="N26" s="6" t="n">
        <v>0</v>
      </c>
      <c r="O26" s="6" t="n">
        <v>0</v>
      </c>
      <c r="P26" s="6" t="n">
        <f aca="false">M26-(N26+O26)</f>
        <v>22.9</v>
      </c>
      <c r="Q26" s="6" t="n">
        <v>0</v>
      </c>
      <c r="R26" s="6" t="n">
        <v>0</v>
      </c>
      <c r="S26" s="6" t="n">
        <f aca="false">SUM(P26:R26)</f>
        <v>22.9</v>
      </c>
      <c r="T26" s="7"/>
      <c r="U26" s="6" t="n">
        <v>0</v>
      </c>
      <c r="V26" s="6" t="n">
        <v>36.09</v>
      </c>
      <c r="W26" s="7" t="n">
        <f aca="false">W25-V26</f>
        <v>9817.62999999998</v>
      </c>
      <c r="X26" s="6" t="n">
        <f aca="false">N26+O26+S26+U26+V26</f>
        <v>58.99</v>
      </c>
      <c r="Y26" s="6" t="n">
        <f aca="false">IF(L26&lt;0,L26*-1,0)</f>
        <v>0</v>
      </c>
      <c r="Z26" s="6" t="n">
        <f aca="false">X26+Y26</f>
        <v>58.99</v>
      </c>
      <c r="AA26" s="11" t="n">
        <v>0</v>
      </c>
      <c r="AB26" s="41" t="n">
        <v>60</v>
      </c>
      <c r="AC26" s="12" t="n">
        <v>28</v>
      </c>
      <c r="AD26" s="13" t="n">
        <f aca="false">AD25+1</f>
        <v>17</v>
      </c>
      <c r="AE26" s="12"/>
      <c r="AG26" s="6"/>
    </row>
    <row r="27" customFormat="false" ht="11.1" hidden="false" customHeight="true" outlineLevel="0" collapsed="false">
      <c r="A27" s="13" t="n">
        <f aca="false">A26+1</f>
        <v>18</v>
      </c>
      <c r="B27" s="31" t="n">
        <v>6898.98</v>
      </c>
      <c r="C27" s="7" t="n">
        <v>279738</v>
      </c>
      <c r="D27" s="12" t="n">
        <f aca="false">C27-C26</f>
        <v>3026</v>
      </c>
      <c r="E27" s="7" t="n">
        <f aca="false">C27-152000</f>
        <v>127738</v>
      </c>
      <c r="F27" s="6" t="n">
        <f aca="false">D27/$D$2</f>
        <v>1525.58608520292</v>
      </c>
      <c r="G27" s="6" t="n">
        <v>911.4</v>
      </c>
      <c r="H27" s="8" t="n">
        <v>263</v>
      </c>
      <c r="I27" s="6" t="n">
        <f aca="false">G27+H27</f>
        <v>1174.4</v>
      </c>
      <c r="J27" s="109" t="n">
        <f aca="false">IF(L27&gt;0,L27,0)</f>
        <v>420.726085202924</v>
      </c>
      <c r="K27" s="6" t="n">
        <f aca="false">I27+J27</f>
        <v>1595.12608520292</v>
      </c>
      <c r="L27" s="6" t="n">
        <f aca="false">F27-(I27-X27)</f>
        <v>420.726085202924</v>
      </c>
      <c r="M27" s="6" t="n">
        <v>31.48</v>
      </c>
      <c r="N27" s="6" t="n">
        <v>0</v>
      </c>
      <c r="O27" s="6" t="n">
        <v>0</v>
      </c>
      <c r="P27" s="6" t="n">
        <f aca="false">M27-(N27+O27)</f>
        <v>31.48</v>
      </c>
      <c r="Q27" s="6" t="n">
        <v>0</v>
      </c>
      <c r="R27" s="6" t="n">
        <v>0</v>
      </c>
      <c r="S27" s="6" t="n">
        <f aca="false">SUM(P27:R27)</f>
        <v>31.48</v>
      </c>
      <c r="T27" s="7"/>
      <c r="U27" s="6" t="n">
        <v>0</v>
      </c>
      <c r="V27" s="6" t="n">
        <v>38.06</v>
      </c>
      <c r="W27" s="7" t="n">
        <f aca="false">W26-V27</f>
        <v>9779.56999999998</v>
      </c>
      <c r="X27" s="6" t="n">
        <f aca="false">N27+O27+S27+U27+V27</f>
        <v>69.54</v>
      </c>
      <c r="Y27" s="6" t="n">
        <f aca="false">IF(L27&lt;0,L27*-1,0)</f>
        <v>0</v>
      </c>
      <c r="Z27" s="6" t="n">
        <f aca="false">X27+Y27</f>
        <v>69.54</v>
      </c>
      <c r="AA27" s="11" t="n">
        <v>0</v>
      </c>
      <c r="AB27" s="41" t="n">
        <v>55</v>
      </c>
      <c r="AC27" s="12" t="n">
        <v>26</v>
      </c>
      <c r="AD27" s="13" t="n">
        <f aca="false">AD26+1</f>
        <v>18</v>
      </c>
      <c r="AE27" s="12"/>
      <c r="AG27" s="6"/>
    </row>
    <row r="28" customFormat="false" ht="11.1" hidden="false" customHeight="true" outlineLevel="0" collapsed="false">
      <c r="A28" s="13" t="n">
        <f aca="false">A27+1</f>
        <v>19</v>
      </c>
      <c r="B28" s="31" t="n">
        <v>6899.83</v>
      </c>
      <c r="C28" s="7" t="n">
        <v>282861</v>
      </c>
      <c r="D28" s="12" t="n">
        <f aca="false">C28-C27</f>
        <v>3123</v>
      </c>
      <c r="E28" s="7" t="n">
        <f aca="false">C28-152000</f>
        <v>130861</v>
      </c>
      <c r="F28" s="6" t="n">
        <f aca="false">D28/$D$2</f>
        <v>1574.48953869423</v>
      </c>
      <c r="G28" s="6" t="n">
        <v>1004.5</v>
      </c>
      <c r="H28" s="8" t="n">
        <v>235</v>
      </c>
      <c r="I28" s="6" t="n">
        <f aca="false">G28+H28</f>
        <v>1239.5</v>
      </c>
      <c r="J28" s="109" t="n">
        <f aca="false">IF(L28&gt;0,L28,0)</f>
        <v>410.549538694227</v>
      </c>
      <c r="K28" s="6" t="n">
        <f aca="false">I28+J28</f>
        <v>1650.04953869423</v>
      </c>
      <c r="L28" s="6" t="n">
        <f aca="false">F28-(I28-X28)</f>
        <v>410.549538694227</v>
      </c>
      <c r="M28" s="6" t="n">
        <v>35.99</v>
      </c>
      <c r="N28" s="6" t="n">
        <v>0</v>
      </c>
      <c r="O28" s="6" t="n">
        <v>0</v>
      </c>
      <c r="P28" s="6" t="n">
        <f aca="false">M28-(N28+O28)</f>
        <v>35.99</v>
      </c>
      <c r="Q28" s="6" t="n">
        <v>0</v>
      </c>
      <c r="R28" s="6" t="n">
        <v>0</v>
      </c>
      <c r="S28" s="6" t="n">
        <f aca="false">SUM(P28:R28)</f>
        <v>35.99</v>
      </c>
      <c r="T28" s="7"/>
      <c r="U28" s="6" t="n">
        <v>0</v>
      </c>
      <c r="V28" s="6" t="n">
        <v>39.57</v>
      </c>
      <c r="W28" s="7" t="n">
        <f aca="false">W27-V28</f>
        <v>9739.99999999998</v>
      </c>
      <c r="X28" s="6" t="n">
        <f aca="false">N28+O28+S28+U28+V28</f>
        <v>75.56</v>
      </c>
      <c r="Y28" s="6" t="n">
        <f aca="false">IF(L28&lt;0,L28*-1,0)</f>
        <v>0</v>
      </c>
      <c r="Z28" s="6" t="n">
        <f aca="false">X28+Y28</f>
        <v>75.56</v>
      </c>
      <c r="AA28" s="11" t="n">
        <v>0</v>
      </c>
      <c r="AB28" s="41" t="n">
        <v>57</v>
      </c>
      <c r="AC28" s="12" t="n">
        <v>28</v>
      </c>
      <c r="AD28" s="13" t="n">
        <f aca="false">AD27+1</f>
        <v>19</v>
      </c>
      <c r="AE28" s="12"/>
      <c r="AG28" s="6"/>
    </row>
    <row r="29" customFormat="false" ht="11.1" hidden="false" customHeight="true" outlineLevel="0" collapsed="false">
      <c r="A29" s="13" t="n">
        <f aca="false">A28+1</f>
        <v>20</v>
      </c>
      <c r="B29" s="31" t="n">
        <v>6900.75</v>
      </c>
      <c r="C29" s="7" t="n">
        <v>286262</v>
      </c>
      <c r="D29" s="12" t="n">
        <f aca="false">C29-C28</f>
        <v>3401</v>
      </c>
      <c r="E29" s="7" t="n">
        <f aca="false">C29-152000</f>
        <v>134262</v>
      </c>
      <c r="F29" s="6" t="n">
        <f aca="false">D29/$D$2</f>
        <v>1714.64582808167</v>
      </c>
      <c r="G29" s="6" t="n">
        <v>1119.6</v>
      </c>
      <c r="H29" s="8" t="n">
        <v>224</v>
      </c>
      <c r="I29" s="6" t="n">
        <f aca="false">G29+H29</f>
        <v>1343.6</v>
      </c>
      <c r="J29" s="109" t="n">
        <f aca="false">IF(L29&gt;0,L29,0)</f>
        <v>448.465828081674</v>
      </c>
      <c r="K29" s="6" t="n">
        <f aca="false">I29+J29</f>
        <v>1792.06582808167</v>
      </c>
      <c r="L29" s="6" t="n">
        <f aca="false">F29-(I29-X29)</f>
        <v>448.465828081674</v>
      </c>
      <c r="M29" s="6" t="n">
        <v>37.82</v>
      </c>
      <c r="N29" s="6" t="n">
        <v>0</v>
      </c>
      <c r="O29" s="6" t="n">
        <v>0</v>
      </c>
      <c r="P29" s="6" t="n">
        <f aca="false">M29-(N29+O29)</f>
        <v>37.82</v>
      </c>
      <c r="Q29" s="6" t="n">
        <v>0</v>
      </c>
      <c r="R29" s="6" t="n">
        <v>0</v>
      </c>
      <c r="S29" s="6" t="n">
        <f aca="false">SUM(P29:R29)</f>
        <v>37.82</v>
      </c>
      <c r="T29" s="7"/>
      <c r="U29" s="6" t="n">
        <v>0</v>
      </c>
      <c r="V29" s="6" t="n">
        <v>39.6</v>
      </c>
      <c r="W29" s="7" t="n">
        <f aca="false">W28-V29</f>
        <v>9700.39999999998</v>
      </c>
      <c r="X29" s="6" t="n">
        <f aca="false">N29+O29+S29+U29+V29</f>
        <v>77.42</v>
      </c>
      <c r="Y29" s="6" t="n">
        <f aca="false">IF(L29&lt;0,L29*-1,0)</f>
        <v>0</v>
      </c>
      <c r="Z29" s="6" t="n">
        <f aca="false">X29+Y29</f>
        <v>77.42</v>
      </c>
      <c r="AA29" s="11" t="n">
        <v>0</v>
      </c>
      <c r="AB29" s="41" t="n">
        <v>58</v>
      </c>
      <c r="AC29" s="12" t="n">
        <v>28</v>
      </c>
      <c r="AD29" s="13" t="n">
        <f aca="false">AD28+1</f>
        <v>20</v>
      </c>
      <c r="AE29" s="12"/>
      <c r="AG29" s="6"/>
    </row>
    <row r="30" customFormat="false" ht="11.1" hidden="false" customHeight="true" outlineLevel="0" collapsed="false">
      <c r="A30" s="13" t="n">
        <f aca="false">A29+1</f>
        <v>21</v>
      </c>
      <c r="B30" s="31" t="n">
        <v>6901.74</v>
      </c>
      <c r="C30" s="7" t="n">
        <v>289950</v>
      </c>
      <c r="D30" s="12" t="n">
        <f aca="false">C30-C29</f>
        <v>3688</v>
      </c>
      <c r="E30" s="7" t="n">
        <f aca="false">C30-152000</f>
        <v>137950</v>
      </c>
      <c r="F30" s="6" t="n">
        <f aca="false">D30/$D$2</f>
        <v>1859.33955129821</v>
      </c>
      <c r="G30" s="6" t="n">
        <v>1348.2</v>
      </c>
      <c r="H30" s="8" t="n">
        <v>276</v>
      </c>
      <c r="I30" s="6" t="n">
        <f aca="false">G30+H30</f>
        <v>1624.2</v>
      </c>
      <c r="J30" s="109" t="n">
        <f aca="false">IF(L30&gt;0,L30,0)</f>
        <v>316.02955129821</v>
      </c>
      <c r="K30" s="6" t="n">
        <f aca="false">I30+J30</f>
        <v>1940.22955129821</v>
      </c>
      <c r="L30" s="6" t="n">
        <f aca="false">F30-(I30-X30)</f>
        <v>316.02955129821</v>
      </c>
      <c r="M30" s="6" t="n">
        <v>41.36</v>
      </c>
      <c r="N30" s="6" t="n">
        <v>0</v>
      </c>
      <c r="O30" s="6" t="n">
        <v>0</v>
      </c>
      <c r="P30" s="6" t="n">
        <f aca="false">M30-(N30+O30)</f>
        <v>41.36</v>
      </c>
      <c r="Q30" s="6" t="n">
        <v>0</v>
      </c>
      <c r="R30" s="6" t="n">
        <v>0</v>
      </c>
      <c r="S30" s="6" t="n">
        <f aca="false">SUM(P30:R30)</f>
        <v>41.36</v>
      </c>
      <c r="T30" s="7"/>
      <c r="U30" s="6" t="n">
        <v>0</v>
      </c>
      <c r="V30" s="6" t="n">
        <v>39.53</v>
      </c>
      <c r="W30" s="7" t="n">
        <f aca="false">W29-V30</f>
        <v>9660.86999999998</v>
      </c>
      <c r="X30" s="6" t="n">
        <f aca="false">N30+O30+S30+U30+V30</f>
        <v>80.89</v>
      </c>
      <c r="Y30" s="6" t="n">
        <f aca="false">IF(L30&lt;0,L30*-1,0)</f>
        <v>0</v>
      </c>
      <c r="Z30" s="6" t="n">
        <f aca="false">X30+Y30</f>
        <v>80.89</v>
      </c>
      <c r="AA30" s="11" t="n">
        <v>0</v>
      </c>
      <c r="AB30" s="12" t="n">
        <v>55</v>
      </c>
      <c r="AC30" s="12" t="n">
        <v>27</v>
      </c>
      <c r="AD30" s="13" t="n">
        <f aca="false">AD29+1</f>
        <v>21</v>
      </c>
      <c r="AE30" s="12"/>
      <c r="AG30" s="6"/>
    </row>
    <row r="31" customFormat="false" ht="11.1" hidden="false" customHeight="true" outlineLevel="0" collapsed="false">
      <c r="A31" s="13" t="n">
        <f aca="false">A30+1</f>
        <v>22</v>
      </c>
      <c r="B31" s="31" t="n">
        <v>6902.52</v>
      </c>
      <c r="C31" s="7" t="n">
        <v>292876</v>
      </c>
      <c r="D31" s="12" t="n">
        <f aca="false">C31-C30</f>
        <v>2926</v>
      </c>
      <c r="E31" s="7" t="n">
        <f aca="false">C31-152000</f>
        <v>140876</v>
      </c>
      <c r="F31" s="6" t="n">
        <f aca="false">D31/$D$2</f>
        <v>1475.17015376859</v>
      </c>
      <c r="G31" s="6" t="n">
        <v>1234</v>
      </c>
      <c r="H31" s="8" t="n">
        <v>214</v>
      </c>
      <c r="I31" s="6" t="n">
        <f aca="false">G31+H31</f>
        <v>1448</v>
      </c>
      <c r="J31" s="109" t="n">
        <f aca="false">IF(L31&gt;0,L31,0)</f>
        <v>148.410153768591</v>
      </c>
      <c r="K31" s="6" t="n">
        <f aca="false">I31+J31</f>
        <v>1596.41015376859</v>
      </c>
      <c r="L31" s="6" t="n">
        <f aca="false">F31-(I31-X31)</f>
        <v>148.410153768591</v>
      </c>
      <c r="M31" s="6" t="n">
        <v>58.64</v>
      </c>
      <c r="N31" s="6" t="n">
        <v>0</v>
      </c>
      <c r="O31" s="6" t="n">
        <v>0</v>
      </c>
      <c r="P31" s="6" t="n">
        <f aca="false">M31-(N31+O31)</f>
        <v>58.64</v>
      </c>
      <c r="Q31" s="6" t="n">
        <v>0</v>
      </c>
      <c r="R31" s="6" t="n">
        <v>0</v>
      </c>
      <c r="S31" s="6" t="n">
        <f aca="false">SUM(P31:R31)</f>
        <v>58.64</v>
      </c>
      <c r="T31" s="7"/>
      <c r="U31" s="6" t="n">
        <v>23</v>
      </c>
      <c r="V31" s="6" t="n">
        <v>39.6</v>
      </c>
      <c r="W31" s="7" t="n">
        <f aca="false">W30-V31</f>
        <v>9621.26999999998</v>
      </c>
      <c r="X31" s="6" t="n">
        <f aca="false">N31+O31+S31+U31+V31</f>
        <v>121.24</v>
      </c>
      <c r="Y31" s="6" t="n">
        <f aca="false">IF(L31&lt;0,L31*-1,0)</f>
        <v>0</v>
      </c>
      <c r="Z31" s="6" t="n">
        <f aca="false">X31+Y31</f>
        <v>121.24</v>
      </c>
      <c r="AA31" s="11" t="n">
        <v>0</v>
      </c>
      <c r="AB31" s="12" t="n">
        <v>66</v>
      </c>
      <c r="AC31" s="12" t="n">
        <v>28</v>
      </c>
      <c r="AD31" s="13" t="n">
        <f aca="false">AD30+1</f>
        <v>22</v>
      </c>
      <c r="AE31" s="12"/>
      <c r="AG31" s="6"/>
    </row>
    <row r="32" customFormat="false" ht="11.1" hidden="false" customHeight="true" outlineLevel="0" collapsed="false">
      <c r="A32" s="13" t="n">
        <f aca="false">A31+1</f>
        <v>23</v>
      </c>
      <c r="B32" s="31" t="n">
        <v>6903.1</v>
      </c>
      <c r="C32" s="7" t="n">
        <v>295442</v>
      </c>
      <c r="D32" s="12" t="n">
        <f aca="false">C32-C31</f>
        <v>2566</v>
      </c>
      <c r="E32" s="7" t="n">
        <f aca="false">C32-152000</f>
        <v>143442</v>
      </c>
      <c r="F32" s="6" t="n">
        <f aca="false">D32/$D$2</f>
        <v>1293.67280060499</v>
      </c>
      <c r="G32" s="6" t="n">
        <v>1080.8</v>
      </c>
      <c r="H32" s="8" t="n">
        <v>140</v>
      </c>
      <c r="I32" s="6" t="n">
        <f aca="false">G32+H32</f>
        <v>1220.8</v>
      </c>
      <c r="J32" s="109" t="n">
        <f aca="false">IF(L32&gt;0,L32,0)</f>
        <v>212.782800604991</v>
      </c>
      <c r="K32" s="6" t="n">
        <f aca="false">I32+J32</f>
        <v>1433.58280060499</v>
      </c>
      <c r="L32" s="6" t="n">
        <f aca="false">F32-(I32-X32)</f>
        <v>212.782800604991</v>
      </c>
      <c r="M32" s="6" t="n">
        <v>73.89</v>
      </c>
      <c r="N32" s="6" t="n">
        <v>0</v>
      </c>
      <c r="O32" s="6" t="n">
        <v>0</v>
      </c>
      <c r="P32" s="6" t="n">
        <f aca="false">M32-(N32+O32)</f>
        <v>73.89</v>
      </c>
      <c r="Q32" s="6" t="n">
        <v>0</v>
      </c>
      <c r="R32" s="6" t="n">
        <v>0</v>
      </c>
      <c r="S32" s="6" t="n">
        <f aca="false">SUM(P32:R32)</f>
        <v>73.89</v>
      </c>
      <c r="T32" s="7"/>
      <c r="U32" s="6" t="n">
        <v>27</v>
      </c>
      <c r="V32" s="6" t="n">
        <v>39.02</v>
      </c>
      <c r="W32" s="7" t="n">
        <f aca="false">W31-V32</f>
        <v>9582.24999999998</v>
      </c>
      <c r="X32" s="6" t="n">
        <f aca="false">N32+O32+S32+U32+V32</f>
        <v>139.91</v>
      </c>
      <c r="Y32" s="6" t="n">
        <f aca="false">IF(L32&lt;0,L32*-1,0)</f>
        <v>0</v>
      </c>
      <c r="Z32" s="6" t="n">
        <f aca="false">X32+Y32</f>
        <v>139.91</v>
      </c>
      <c r="AA32" s="11" t="n">
        <v>0</v>
      </c>
      <c r="AB32" s="12" t="n">
        <v>55</v>
      </c>
      <c r="AC32" s="41" t="n">
        <v>28</v>
      </c>
      <c r="AD32" s="13" t="n">
        <f aca="false">AD31+1</f>
        <v>23</v>
      </c>
      <c r="AE32" s="12"/>
      <c r="AG32" s="6"/>
    </row>
    <row r="33" customFormat="false" ht="11.1" hidden="false" customHeight="true" outlineLevel="0" collapsed="false">
      <c r="A33" s="13" t="n">
        <f aca="false">A32+1</f>
        <v>24</v>
      </c>
      <c r="B33" s="31" t="n">
        <v>6903.69</v>
      </c>
      <c r="C33" s="7" t="n">
        <v>297300</v>
      </c>
      <c r="D33" s="12" t="n">
        <f aca="false">C33-C32</f>
        <v>1858</v>
      </c>
      <c r="E33" s="7" t="n">
        <f aca="false">C33-152000</f>
        <v>145300</v>
      </c>
      <c r="F33" s="6" t="n">
        <f aca="false">D33/$D$2</f>
        <v>936.728006049912</v>
      </c>
      <c r="G33" s="6" t="n">
        <v>855.7</v>
      </c>
      <c r="H33" s="8" t="n">
        <v>83</v>
      </c>
      <c r="I33" s="6" t="n">
        <f aca="false">G33+H33</f>
        <v>938.7</v>
      </c>
      <c r="J33" s="109" t="n">
        <f aca="false">IF(L33&gt;0,L33,0)</f>
        <v>159.958006049912</v>
      </c>
      <c r="K33" s="6" t="n">
        <f aca="false">I33+J33</f>
        <v>1098.65800604991</v>
      </c>
      <c r="L33" s="6" t="n">
        <f aca="false">F33-(I33-X33)</f>
        <v>159.958006049912</v>
      </c>
      <c r="M33" s="6" t="n">
        <v>97.43</v>
      </c>
      <c r="N33" s="6" t="n">
        <v>0</v>
      </c>
      <c r="O33" s="6" t="n">
        <v>0</v>
      </c>
      <c r="P33" s="6" t="n">
        <f aca="false">M33-(N33+O33)</f>
        <v>97.43</v>
      </c>
      <c r="Q33" s="6" t="n">
        <v>0</v>
      </c>
      <c r="R33" s="6" t="n">
        <v>0</v>
      </c>
      <c r="S33" s="6" t="n">
        <f aca="false">SUM(P33:R33)</f>
        <v>97.43</v>
      </c>
      <c r="T33" s="7"/>
      <c r="U33" s="6" t="n">
        <v>24</v>
      </c>
      <c r="V33" s="6" t="n">
        <v>40.5</v>
      </c>
      <c r="W33" s="7" t="n">
        <f aca="false">W32-V33</f>
        <v>9541.74999999998</v>
      </c>
      <c r="X33" s="6" t="n">
        <f aca="false">N33+O33+S33+U33+V33</f>
        <v>161.93</v>
      </c>
      <c r="Y33" s="6" t="n">
        <f aca="false">IF(L33&lt;0,L33*-1,0)</f>
        <v>0</v>
      </c>
      <c r="Z33" s="6" t="n">
        <f aca="false">X33+Y33</f>
        <v>161.93</v>
      </c>
      <c r="AA33" s="11" t="n">
        <v>0</v>
      </c>
      <c r="AB33" s="12" t="n">
        <v>53</v>
      </c>
      <c r="AC33" s="41" t="n">
        <v>25</v>
      </c>
      <c r="AD33" s="13" t="n">
        <f aca="false">AD32+1</f>
        <v>24</v>
      </c>
      <c r="AE33" s="12"/>
      <c r="AG33" s="6"/>
    </row>
    <row r="34" customFormat="false" ht="11.1" hidden="false" customHeight="true" outlineLevel="0" collapsed="false">
      <c r="A34" s="13" t="n">
        <f aca="false">A33+1</f>
        <v>25</v>
      </c>
      <c r="B34" s="31" t="n">
        <v>6904.2</v>
      </c>
      <c r="C34" s="7" t="n">
        <v>299242</v>
      </c>
      <c r="D34" s="12" t="n">
        <f aca="false">C34-C33</f>
        <v>1942</v>
      </c>
      <c r="E34" s="7" t="n">
        <f aca="false">C34-152000</f>
        <v>147242</v>
      </c>
      <c r="F34" s="6" t="n">
        <f aca="false">D34/$D$2</f>
        <v>979.077388454752</v>
      </c>
      <c r="G34" s="6" t="n">
        <v>887.2</v>
      </c>
      <c r="H34" s="8" t="n">
        <v>78</v>
      </c>
      <c r="I34" s="6" t="n">
        <f aca="false">G34+H34</f>
        <v>965.2</v>
      </c>
      <c r="J34" s="109" t="n">
        <f aca="false">IF(L34&gt;0,L34,0)</f>
        <v>190.117388454752</v>
      </c>
      <c r="K34" s="6" t="n">
        <f aca="false">I34+J34</f>
        <v>1155.31738845475</v>
      </c>
      <c r="L34" s="6" t="n">
        <f aca="false">F34-(I34-X34)</f>
        <v>190.117388454752</v>
      </c>
      <c r="M34" s="6" t="n">
        <v>109.53</v>
      </c>
      <c r="N34" s="6" t="n">
        <v>0</v>
      </c>
      <c r="O34" s="6" t="n">
        <v>0</v>
      </c>
      <c r="P34" s="6" t="n">
        <f aca="false">M34-(N34+O34)</f>
        <v>109.53</v>
      </c>
      <c r="Q34" s="6" t="n">
        <v>0</v>
      </c>
      <c r="R34" s="6" t="n">
        <v>0</v>
      </c>
      <c r="S34" s="6" t="n">
        <f aca="false">SUM(P34:R34)</f>
        <v>109.53</v>
      </c>
      <c r="T34" s="7"/>
      <c r="U34" s="6" t="n">
        <v>26</v>
      </c>
      <c r="V34" s="6" t="n">
        <v>40.71</v>
      </c>
      <c r="W34" s="7" t="n">
        <f aca="false">W33-V34</f>
        <v>9501.03999999998</v>
      </c>
      <c r="X34" s="6" t="n">
        <f aca="false">N34+O34+S34+U34+V34</f>
        <v>176.24</v>
      </c>
      <c r="Y34" s="6" t="n">
        <f aca="false">IF(L34&lt;0,L34*-1,0)</f>
        <v>0</v>
      </c>
      <c r="Z34" s="6" t="n">
        <f aca="false">X34+Y34</f>
        <v>176.24</v>
      </c>
      <c r="AA34" s="11" t="n">
        <v>0</v>
      </c>
      <c r="AB34" s="12" t="n">
        <v>60</v>
      </c>
      <c r="AC34" s="41" t="n">
        <v>29</v>
      </c>
      <c r="AD34" s="13" t="n">
        <f aca="false">AD33+1</f>
        <v>25</v>
      </c>
      <c r="AE34" s="12"/>
      <c r="AG34" s="6"/>
    </row>
    <row r="35" customFormat="false" ht="11.1" hidden="false" customHeight="true" outlineLevel="0" collapsed="false">
      <c r="A35" s="13" t="n">
        <f aca="false">A34+1</f>
        <v>26</v>
      </c>
      <c r="B35" s="31" t="n">
        <v>6904.62</v>
      </c>
      <c r="C35" s="7" t="n">
        <v>300848</v>
      </c>
      <c r="D35" s="12" t="n">
        <f aca="false">C35-C34</f>
        <v>1606</v>
      </c>
      <c r="E35" s="7" t="n">
        <f aca="false">C35-152000</f>
        <v>148848</v>
      </c>
      <c r="F35" s="6" t="n">
        <f aca="false">D35/$D$2</f>
        <v>809.679858835392</v>
      </c>
      <c r="G35" s="6" t="n">
        <v>848.4</v>
      </c>
      <c r="H35" s="8" t="n">
        <v>70</v>
      </c>
      <c r="I35" s="6" t="n">
        <f aca="false">G35+H35</f>
        <v>918.4</v>
      </c>
      <c r="J35" s="109" t="n">
        <f aca="false">IF(L35&gt;0,L35,0)</f>
        <v>87.779858835392</v>
      </c>
      <c r="K35" s="6" t="n">
        <f aca="false">I35+J35</f>
        <v>1006.17985883539</v>
      </c>
      <c r="L35" s="6" t="n">
        <f aca="false">F35-(I35-X35)</f>
        <v>87.779858835392</v>
      </c>
      <c r="M35" s="6" t="n">
        <v>118.98</v>
      </c>
      <c r="N35" s="6" t="n">
        <v>0</v>
      </c>
      <c r="O35" s="6" t="n">
        <v>0</v>
      </c>
      <c r="P35" s="6" t="n">
        <f aca="false">M35-(N35+O35)</f>
        <v>118.98</v>
      </c>
      <c r="Q35" s="6" t="n">
        <v>0</v>
      </c>
      <c r="R35" s="6" t="n">
        <v>6.02</v>
      </c>
      <c r="S35" s="6" t="n">
        <f aca="false">SUM(P35:R35)</f>
        <v>125</v>
      </c>
      <c r="T35" s="7"/>
      <c r="U35" s="6" t="n">
        <v>31</v>
      </c>
      <c r="V35" s="6" t="n">
        <v>40.5</v>
      </c>
      <c r="W35" s="7" t="n">
        <f aca="false">W34-V35</f>
        <v>9460.53999999998</v>
      </c>
      <c r="X35" s="6" t="n">
        <f aca="false">N35+O35+S35+U35+V35</f>
        <v>196.5</v>
      </c>
      <c r="Y35" s="6" t="n">
        <f aca="false">IF(L35&lt;0,L35*-1,0)</f>
        <v>0</v>
      </c>
      <c r="Z35" s="6" t="n">
        <f aca="false">X35+Y35</f>
        <v>196.5</v>
      </c>
      <c r="AA35" s="11" t="n">
        <v>0</v>
      </c>
      <c r="AB35" s="12" t="n">
        <v>48</v>
      </c>
      <c r="AC35" s="12" t="n">
        <v>30</v>
      </c>
      <c r="AD35" s="13" t="n">
        <f aca="false">AD34+1</f>
        <v>26</v>
      </c>
      <c r="AE35" s="12"/>
      <c r="AG35" s="3"/>
    </row>
    <row r="36" customFormat="false" ht="11.1" hidden="false" customHeight="true" outlineLevel="0" collapsed="false">
      <c r="A36" s="13" t="n">
        <f aca="false">A35+1</f>
        <v>27</v>
      </c>
      <c r="B36" s="31" t="n">
        <v>6904.98</v>
      </c>
      <c r="C36" s="7" t="n">
        <v>302224</v>
      </c>
      <c r="D36" s="12" t="n">
        <f aca="false">C36-C35</f>
        <v>1376</v>
      </c>
      <c r="E36" s="7" t="n">
        <f aca="false">C36-152000</f>
        <v>150224</v>
      </c>
      <c r="F36" s="6" t="n">
        <f aca="false">D36/$D$2</f>
        <v>693.723216536426</v>
      </c>
      <c r="G36" s="6" t="n">
        <v>657.4</v>
      </c>
      <c r="H36" s="8" t="n">
        <v>5</v>
      </c>
      <c r="I36" s="6" t="n">
        <f aca="false">G36+H36</f>
        <v>662.4</v>
      </c>
      <c r="J36" s="109" t="n">
        <f aca="false">IF(L36&gt;0,L36,0)</f>
        <v>203.783216536426</v>
      </c>
      <c r="K36" s="6" t="n">
        <f aca="false">I36+J36</f>
        <v>866.183216536426</v>
      </c>
      <c r="L36" s="6" t="n">
        <f aca="false">F36-(I36-X36)</f>
        <v>203.783216536426</v>
      </c>
      <c r="M36" s="6" t="n">
        <v>119.4</v>
      </c>
      <c r="N36" s="6" t="n">
        <v>0</v>
      </c>
      <c r="O36" s="6" t="n">
        <v>0</v>
      </c>
      <c r="P36" s="6" t="n">
        <f aca="false">M36-(N36+O36)</f>
        <v>119.4</v>
      </c>
      <c r="Q36" s="6" t="n">
        <v>0</v>
      </c>
      <c r="R36" s="6" t="n">
        <v>12.6</v>
      </c>
      <c r="S36" s="6" t="n">
        <f aca="false">SUM(P36:R36)</f>
        <v>132</v>
      </c>
      <c r="T36" s="7"/>
      <c r="U36" s="6" t="n">
        <v>0</v>
      </c>
      <c r="V36" s="6" t="n">
        <v>40.46</v>
      </c>
      <c r="W36" s="7" t="n">
        <f aca="false">W35-V36</f>
        <v>9420.07999999998</v>
      </c>
      <c r="X36" s="6" t="n">
        <f aca="false">N36+O36+S36+U36+V36</f>
        <v>172.46</v>
      </c>
      <c r="Y36" s="6" t="n">
        <f aca="false">IF(L36&lt;0,L36*-1,0)</f>
        <v>0</v>
      </c>
      <c r="Z36" s="6" t="n">
        <f aca="false">X36+Y36</f>
        <v>172.46</v>
      </c>
      <c r="AA36" s="11" t="n">
        <v>0</v>
      </c>
      <c r="AB36" s="12" t="n">
        <v>45</v>
      </c>
      <c r="AC36" s="12" t="n">
        <v>16</v>
      </c>
      <c r="AD36" s="13" t="n">
        <f aca="false">AD35+1</f>
        <v>27</v>
      </c>
      <c r="AE36" s="12"/>
      <c r="AG36" s="6"/>
    </row>
    <row r="37" customFormat="false" ht="11.1" hidden="false" customHeight="true" outlineLevel="0" collapsed="false">
      <c r="A37" s="13" t="n">
        <f aca="false">A36+1</f>
        <v>28</v>
      </c>
      <c r="B37" s="31" t="n">
        <v>6905.22</v>
      </c>
      <c r="C37" s="7" t="n">
        <v>303150</v>
      </c>
      <c r="D37" s="12" t="n">
        <f aca="false">C37-C36</f>
        <v>926</v>
      </c>
      <c r="E37" s="7" t="n">
        <f aca="false">C37-152000</f>
        <v>151150</v>
      </c>
      <c r="F37" s="6" t="n">
        <f aca="false">D37/$D$2</f>
        <v>466.851525081926</v>
      </c>
      <c r="G37" s="6" t="n">
        <v>566</v>
      </c>
      <c r="H37" s="8" t="n">
        <v>5</v>
      </c>
      <c r="I37" s="6" t="n">
        <f aca="false">G37+H37</f>
        <v>571</v>
      </c>
      <c r="J37" s="109" t="n">
        <f aca="false">IF(L37&gt;0,L37,0)</f>
        <v>68.4215250819259</v>
      </c>
      <c r="K37" s="6" t="n">
        <f aca="false">I37+J37</f>
        <v>639.421525081926</v>
      </c>
      <c r="L37" s="6" t="n">
        <f aca="false">F37-(I37-X37)</f>
        <v>68.4215250819259</v>
      </c>
      <c r="M37" s="6" t="n">
        <v>119.4</v>
      </c>
      <c r="N37" s="6" t="n">
        <v>0</v>
      </c>
      <c r="O37" s="6" t="n">
        <v>0</v>
      </c>
      <c r="P37" s="6" t="n">
        <f aca="false">M37-(N37+O37)</f>
        <v>119.4</v>
      </c>
      <c r="Q37" s="6" t="n">
        <v>0</v>
      </c>
      <c r="R37" s="6" t="n">
        <v>12.6</v>
      </c>
      <c r="S37" s="6" t="n">
        <f aca="false">SUM(P37:R37)</f>
        <v>132</v>
      </c>
      <c r="T37" s="7"/>
      <c r="U37" s="6" t="n">
        <v>0</v>
      </c>
      <c r="V37" s="6" t="n">
        <v>40.57</v>
      </c>
      <c r="W37" s="7" t="n">
        <f aca="false">W36-V37</f>
        <v>9379.50999999998</v>
      </c>
      <c r="X37" s="6" t="n">
        <f aca="false">N37+O37+S37+U37+V37</f>
        <v>172.57</v>
      </c>
      <c r="Y37" s="6" t="n">
        <f aca="false">IF(L37&lt;0,L37*-1,0)</f>
        <v>0</v>
      </c>
      <c r="Z37" s="6" t="n">
        <f aca="false">X37+Y37</f>
        <v>172.57</v>
      </c>
      <c r="AA37" s="11" t="n">
        <v>0</v>
      </c>
      <c r="AB37" s="12" t="n">
        <v>46</v>
      </c>
      <c r="AC37" s="12" t="n">
        <v>17</v>
      </c>
      <c r="AD37" s="13" t="n">
        <f aca="false">AD36+1</f>
        <v>28</v>
      </c>
      <c r="AE37" s="12"/>
      <c r="AG37" s="6"/>
    </row>
    <row r="38" customFormat="false" ht="11.1" hidden="false" customHeight="true" outlineLevel="0" collapsed="false">
      <c r="A38" s="13" t="n">
        <f aca="false">A37+1</f>
        <v>29</v>
      </c>
      <c r="B38" s="31" t="n">
        <v>6905.43</v>
      </c>
      <c r="C38" s="7" t="n">
        <v>303959</v>
      </c>
      <c r="D38" s="12" t="n">
        <f aca="false">C38-C37</f>
        <v>809</v>
      </c>
      <c r="E38" s="7" t="n">
        <f aca="false">C38-152000</f>
        <v>151959</v>
      </c>
      <c r="F38" s="6" t="n">
        <f aca="false">D38/$D$2</f>
        <v>407.864885303756</v>
      </c>
      <c r="G38" s="6" t="n">
        <v>499.1</v>
      </c>
      <c r="H38" s="8" t="n">
        <v>6</v>
      </c>
      <c r="I38" s="6" t="n">
        <f aca="false">G38+H38</f>
        <v>505.1</v>
      </c>
      <c r="J38" s="109" t="n">
        <f aca="false">IF(L38&gt;0,L38,0)</f>
        <v>185.784885303756</v>
      </c>
      <c r="K38" s="6" t="n">
        <f aca="false">I38+J38</f>
        <v>690.884885303756</v>
      </c>
      <c r="L38" s="6" t="n">
        <f aca="false">F38-(I38-X38)</f>
        <v>185.784885303756</v>
      </c>
      <c r="M38" s="6" t="n">
        <v>128.63</v>
      </c>
      <c r="N38" s="6" t="n">
        <v>0</v>
      </c>
      <c r="O38" s="6" t="n">
        <v>0</v>
      </c>
      <c r="P38" s="6" t="n">
        <f aca="false">M38-(N38+O38)</f>
        <v>128.63</v>
      </c>
      <c r="Q38" s="6" t="n">
        <v>82.89</v>
      </c>
      <c r="R38" s="6" t="n">
        <v>11</v>
      </c>
      <c r="S38" s="6" t="n">
        <f aca="false">SUM(P38:R38)</f>
        <v>222.52</v>
      </c>
      <c r="T38" s="7"/>
      <c r="U38" s="6" t="n">
        <v>20</v>
      </c>
      <c r="V38" s="6" t="n">
        <v>40.5</v>
      </c>
      <c r="W38" s="7" t="n">
        <f aca="false">W37-V38</f>
        <v>9339.00999999998</v>
      </c>
      <c r="X38" s="6" t="n">
        <f aca="false">N38+O38+S38+U38+V38</f>
        <v>283.02</v>
      </c>
      <c r="Y38" s="6" t="n">
        <f aca="false">IF(L38&lt;0,L38*-1,0)</f>
        <v>0</v>
      </c>
      <c r="Z38" s="6" t="n">
        <f aca="false">X38+Y38</f>
        <v>283.02</v>
      </c>
      <c r="AA38" s="11" t="n">
        <v>0.01</v>
      </c>
      <c r="AB38" s="41" t="n">
        <v>50</v>
      </c>
      <c r="AC38" s="12" t="n">
        <v>18</v>
      </c>
      <c r="AD38" s="13" t="n">
        <f aca="false">AD37+1</f>
        <v>29</v>
      </c>
      <c r="AE38" s="12"/>
      <c r="AG38" s="6"/>
    </row>
    <row r="39" customFormat="false" ht="11.1" hidden="false" customHeight="true" outlineLevel="0" collapsed="false">
      <c r="A39" s="13" t="n">
        <v>30</v>
      </c>
      <c r="B39" s="31" t="n">
        <v>6905.57</v>
      </c>
      <c r="C39" s="7" t="n">
        <v>304498</v>
      </c>
      <c r="D39" s="12" t="n">
        <f aca="false">C39-C38</f>
        <v>539</v>
      </c>
      <c r="E39" s="7" t="n">
        <f aca="false">C39-152000</f>
        <v>152498</v>
      </c>
      <c r="F39" s="6" t="n">
        <f aca="false">D39/$D$2</f>
        <v>271.741870431056</v>
      </c>
      <c r="G39" s="6" t="n">
        <v>457</v>
      </c>
      <c r="H39" s="8" t="n">
        <v>6</v>
      </c>
      <c r="I39" s="6" t="n">
        <f aca="false">G39+H39</f>
        <v>463</v>
      </c>
      <c r="J39" s="109" t="n">
        <f aca="false">IF(L39&gt;0,L39,0)</f>
        <v>82.2718704310562</v>
      </c>
      <c r="K39" s="6" t="n">
        <f aca="false">I39+J39</f>
        <v>545.271870431056</v>
      </c>
      <c r="L39" s="6" t="n">
        <f aca="false">F39-(I39-X39)</f>
        <v>82.2718704310562</v>
      </c>
      <c r="M39" s="6" t="n">
        <v>132.65</v>
      </c>
      <c r="N39" s="6" t="n">
        <v>0</v>
      </c>
      <c r="O39" s="6" t="n">
        <v>0</v>
      </c>
      <c r="P39" s="6" t="n">
        <f aca="false">M39-(N39+O39)</f>
        <v>132.65</v>
      </c>
      <c r="Q39" s="6" t="n">
        <v>83.41</v>
      </c>
      <c r="R39" s="6" t="n">
        <v>6.94</v>
      </c>
      <c r="S39" s="6" t="n">
        <f aca="false">SUM(P39:R39)</f>
        <v>223</v>
      </c>
      <c r="T39" s="7"/>
      <c r="U39" s="6" t="n">
        <v>10</v>
      </c>
      <c r="V39" s="6" t="n">
        <v>40.53</v>
      </c>
      <c r="W39" s="7" t="n">
        <f aca="false">W38-V39</f>
        <v>9298.47999999998</v>
      </c>
      <c r="X39" s="6" t="n">
        <f aca="false">N39+O39+S39+U39+V39</f>
        <v>273.53</v>
      </c>
      <c r="Y39" s="6" t="n">
        <f aca="false">IF(L39&lt;0,L39*-1,0)</f>
        <v>0</v>
      </c>
      <c r="Z39" s="6" t="n">
        <f aca="false">X39+Y39</f>
        <v>273.53</v>
      </c>
      <c r="AA39" s="11" t="n">
        <v>0</v>
      </c>
      <c r="AB39" s="41" t="n">
        <v>52</v>
      </c>
      <c r="AC39" s="12" t="n">
        <v>24</v>
      </c>
      <c r="AD39" s="13" t="n">
        <v>30</v>
      </c>
      <c r="AE39" s="12"/>
      <c r="AG39" s="6"/>
    </row>
    <row r="40" customFormat="false" ht="3" hidden="false" customHeight="true" outlineLevel="0" collapsed="false">
      <c r="A40" s="32"/>
      <c r="B40" s="32"/>
      <c r="C40" s="34"/>
      <c r="D40" s="32"/>
      <c r="E40" s="34"/>
      <c r="F40" s="32"/>
      <c r="G40" s="32"/>
      <c r="H40" s="35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4"/>
      <c r="U40" s="32"/>
      <c r="V40" s="32"/>
      <c r="W40" s="32"/>
      <c r="X40" s="32"/>
      <c r="Y40" s="32"/>
      <c r="Z40" s="32"/>
      <c r="AA40" s="36"/>
      <c r="AB40" s="37"/>
      <c r="AC40" s="37"/>
      <c r="AD40" s="38"/>
      <c r="AE40" s="107"/>
    </row>
    <row r="41" customFormat="false" ht="11.1" hidden="false" customHeight="true" outlineLevel="0" collapsed="false">
      <c r="A41" s="6" t="s">
        <v>46</v>
      </c>
      <c r="B41" s="6"/>
      <c r="C41" s="7"/>
      <c r="D41" s="7"/>
      <c r="E41" s="7"/>
      <c r="F41" s="7" t="n">
        <f aca="false">SUM(F10:F39)</f>
        <v>29740.3579531132</v>
      </c>
      <c r="G41" s="7" t="n">
        <f aca="false">SUM(G10:G39)</f>
        <v>20090.3</v>
      </c>
      <c r="H41" s="7" t="n">
        <f aca="false">SUM(H10:H39)</f>
        <v>3560</v>
      </c>
      <c r="I41" s="7" t="n">
        <f aca="false">SUM(I10:I39)</f>
        <v>23650.3</v>
      </c>
      <c r="J41" s="7" t="n">
        <f aca="false">SUM(J10:J39)</f>
        <v>9142.7400731031</v>
      </c>
      <c r="K41" s="7" t="n">
        <f aca="false">SUM(K10:K39)</f>
        <v>32793.0400731031</v>
      </c>
      <c r="L41" s="7" t="n">
        <f aca="false">SUM(L10:L39)</f>
        <v>9140.20795311318</v>
      </c>
      <c r="M41" s="7" t="n">
        <f aca="false">SUM(M10:M39)</f>
        <v>1288.1</v>
      </c>
      <c r="N41" s="7" t="n">
        <f aca="false">SUM(N10:N39)</f>
        <v>0</v>
      </c>
      <c r="O41" s="7" t="n">
        <f aca="false">SUM(O10:O39)</f>
        <v>0</v>
      </c>
      <c r="P41" s="7" t="n">
        <f aca="false">SUM(P10:P39)</f>
        <v>1288.1</v>
      </c>
      <c r="Q41" s="7" t="n">
        <f aca="false">SUM(Q10:Q39)</f>
        <v>393.72</v>
      </c>
      <c r="R41" s="7" t="n">
        <f aca="false">SUM(R10:R39)</f>
        <v>102.91</v>
      </c>
      <c r="S41" s="7" t="n">
        <f aca="false">SUM(S10:S39)</f>
        <v>1784.73</v>
      </c>
      <c r="T41" s="7"/>
      <c r="U41" s="7" t="n">
        <f aca="false">SUM(U10:U39)</f>
        <v>161</v>
      </c>
      <c r="V41" s="7" t="n">
        <f aca="false">SUM(V10:V39)</f>
        <v>1104.42</v>
      </c>
      <c r="W41" s="7"/>
      <c r="X41" s="7" t="n">
        <f aca="false">SUM(X10:X39)</f>
        <v>3050.15</v>
      </c>
      <c r="Y41" s="7" t="n">
        <f aca="false">SUM(Y10:Y39)</f>
        <v>2.53211998991681</v>
      </c>
      <c r="Z41" s="7" t="n">
        <f aca="false">SUM(Z10:Z39)</f>
        <v>3052.68211998992</v>
      </c>
      <c r="AA41" s="11" t="n">
        <f aca="false">SUM(AA10:AA39)</f>
        <v>0.17</v>
      </c>
      <c r="AB41" s="12" t="n">
        <f aca="false">AVERAGE(AB10:AB39)</f>
        <v>56.6</v>
      </c>
      <c r="AC41" s="12" t="n">
        <f aca="false">AVERAGE(AC10:AC39)</f>
        <v>26.2</v>
      </c>
      <c r="AD41" s="13" t="s">
        <v>47</v>
      </c>
      <c r="AE41" s="107"/>
    </row>
    <row r="42" customFormat="false" ht="11.1" hidden="false" customHeight="true" outlineLevel="0" collapsed="false">
      <c r="A42" s="6" t="s">
        <v>48</v>
      </c>
      <c r="B42" s="6"/>
      <c r="C42" s="7"/>
      <c r="D42" s="7" t="n">
        <f aca="false">SUM(D10:D39)</f>
        <v>58990</v>
      </c>
      <c r="E42" s="7"/>
      <c r="F42" s="7" t="n">
        <f aca="false">F41*$D$2</f>
        <v>58990</v>
      </c>
      <c r="G42" s="7" t="n">
        <f aca="false">G41*$D$2</f>
        <v>39849.11005</v>
      </c>
      <c r="H42" s="7" t="n">
        <f aca="false">H41*$D$2</f>
        <v>7061.26</v>
      </c>
      <c r="I42" s="7" t="n">
        <f aca="false">I41*$D$2</f>
        <v>46910.37005</v>
      </c>
      <c r="J42" s="7" t="n">
        <f aca="false">J41*$D$2</f>
        <v>18134.624935</v>
      </c>
      <c r="K42" s="7" t="n">
        <f aca="false">K41*$D$2</f>
        <v>65044.994985</v>
      </c>
      <c r="L42" s="7" t="n">
        <f aca="false">L41*$D$2</f>
        <v>18129.602475</v>
      </c>
      <c r="M42" s="7" t="n">
        <f aca="false">M41*$D$2</f>
        <v>2554.94635</v>
      </c>
      <c r="N42" s="7" t="n">
        <f aca="false">N41*$D$2</f>
        <v>0</v>
      </c>
      <c r="O42" s="7" t="n">
        <f aca="false">O41*$D$2</f>
        <v>0</v>
      </c>
      <c r="P42" s="7" t="n">
        <f aca="false">P41*$D$2</f>
        <v>2554.94635</v>
      </c>
      <c r="Q42" s="7" t="n">
        <f aca="false">Q41*$D$2</f>
        <v>780.94362</v>
      </c>
      <c r="R42" s="7" t="n">
        <f aca="false">R41*$D$2</f>
        <v>204.121985</v>
      </c>
      <c r="S42" s="7" t="n">
        <f aca="false">S41*$D$2</f>
        <v>3540.011955</v>
      </c>
      <c r="T42" s="7"/>
      <c r="U42" s="7" t="n">
        <f aca="false">U41*$D$2</f>
        <v>319.3435</v>
      </c>
      <c r="V42" s="7" t="n">
        <f aca="false">V41*$D$2</f>
        <v>2190.61707</v>
      </c>
      <c r="W42" s="7"/>
      <c r="X42" s="7" t="n">
        <f aca="false">X41*$D$2</f>
        <v>6049.972525</v>
      </c>
      <c r="Y42" s="7" t="n">
        <f aca="false">Y41*$D$2</f>
        <v>5.02245999999999</v>
      </c>
      <c r="Z42" s="7" t="n">
        <f aca="false">Z41*$D$2</f>
        <v>6054.994985</v>
      </c>
      <c r="AA42" s="11"/>
      <c r="AB42" s="12" t="n">
        <f aca="false">MAX(AB10:AB39)</f>
        <v>68</v>
      </c>
      <c r="AC42" s="12" t="n">
        <f aca="false">MAX(AC10:AC39)</f>
        <v>30</v>
      </c>
      <c r="AD42" s="13" t="s">
        <v>49</v>
      </c>
      <c r="AE42" s="107"/>
    </row>
    <row r="43" customFormat="false" ht="3" hidden="false" customHeight="true" outlineLevel="0" collapsed="false">
      <c r="A43" s="32"/>
      <c r="B43" s="32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2"/>
      <c r="X43" s="34"/>
      <c r="Y43" s="34"/>
      <c r="Z43" s="34"/>
      <c r="AA43" s="11"/>
      <c r="AB43" s="12"/>
      <c r="AC43" s="12"/>
      <c r="AD43" s="13"/>
      <c r="AE43" s="107"/>
    </row>
    <row r="44" customFormat="false" ht="11.1" hidden="false" customHeight="true" outlineLevel="0" collapsed="false">
      <c r="A44" s="6" t="s">
        <v>50</v>
      </c>
      <c r="B44" s="6"/>
      <c r="C44" s="7"/>
      <c r="D44" s="7"/>
      <c r="E44" s="7"/>
      <c r="F44" s="7" t="n">
        <f aca="false">F7+F41</f>
        <v>29740.3579531132</v>
      </c>
      <c r="G44" s="7" t="n">
        <f aca="false">G7+G41</f>
        <v>20090.3</v>
      </c>
      <c r="H44" s="12" t="n">
        <f aca="false">H7+H41</f>
        <v>3560</v>
      </c>
      <c r="I44" s="7" t="n">
        <f aca="false">I7+I41</f>
        <v>23650.3</v>
      </c>
      <c r="J44" s="7" t="n">
        <f aca="false">J7+J41</f>
        <v>9142.7400731031</v>
      </c>
      <c r="K44" s="7" t="n">
        <f aca="false">K7+K41</f>
        <v>32793.0400731031</v>
      </c>
      <c r="L44" s="7" t="n">
        <f aca="false">L7+L41</f>
        <v>9140.20795311318</v>
      </c>
      <c r="M44" s="7" t="n">
        <f aca="false">M7+M41</f>
        <v>1288.1</v>
      </c>
      <c r="N44" s="7" t="n">
        <f aca="false">N7+N41</f>
        <v>0</v>
      </c>
      <c r="O44" s="7" t="n">
        <f aca="false">O7+O41</f>
        <v>0</v>
      </c>
      <c r="P44" s="7" t="n">
        <f aca="false">P7+P41</f>
        <v>1288.1</v>
      </c>
      <c r="Q44" s="7" t="n">
        <f aca="false">Q7+Q41</f>
        <v>393.72</v>
      </c>
      <c r="R44" s="7" t="n">
        <f aca="false">R7+R41</f>
        <v>102.91</v>
      </c>
      <c r="S44" s="7" t="n">
        <f aca="false">S7+S41</f>
        <v>1784.73</v>
      </c>
      <c r="T44" s="7" t="n">
        <f aca="false">T39</f>
        <v>0</v>
      </c>
      <c r="U44" s="7" t="n">
        <f aca="false">U7+U41</f>
        <v>161</v>
      </c>
      <c r="V44" s="7" t="n">
        <f aca="false">V7+V41</f>
        <v>1104.42</v>
      </c>
      <c r="W44" s="7"/>
      <c r="X44" s="7" t="n">
        <f aca="false">X7+X41</f>
        <v>3050.15</v>
      </c>
      <c r="Y44" s="7" t="n">
        <f aca="false">Y7+Y41</f>
        <v>2.53211998991681</v>
      </c>
      <c r="Z44" s="7" t="n">
        <f aca="false">Z7+Z41</f>
        <v>3052.68211998992</v>
      </c>
      <c r="AA44" s="11"/>
      <c r="AB44" s="12" t="n">
        <f aca="false">MIN(AB10:AB39)</f>
        <v>40</v>
      </c>
      <c r="AC44" s="12" t="n">
        <f aca="false">MIN(AC10:AC39)</f>
        <v>16</v>
      </c>
      <c r="AD44" s="13" t="s">
        <v>51</v>
      </c>
      <c r="AE44" s="107"/>
    </row>
    <row r="45" customFormat="false" ht="11.1" hidden="false" customHeight="true" outlineLevel="0" collapsed="false">
      <c r="A45" s="6" t="s">
        <v>52</v>
      </c>
      <c r="B45" s="6"/>
      <c r="C45" s="7"/>
      <c r="D45" s="7"/>
      <c r="E45" s="7"/>
      <c r="F45" s="7" t="n">
        <f aca="false">F44*$D$2</f>
        <v>58990</v>
      </c>
      <c r="G45" s="7" t="n">
        <f aca="false">G44*$D$2</f>
        <v>39849.11005</v>
      </c>
      <c r="H45" s="12" t="n">
        <f aca="false">H44*$D$2</f>
        <v>7061.26</v>
      </c>
      <c r="I45" s="7" t="n">
        <f aca="false">I44*$D$2</f>
        <v>46910.37005</v>
      </c>
      <c r="J45" s="7" t="n">
        <f aca="false">J44*$D$2</f>
        <v>18134.624935</v>
      </c>
      <c r="K45" s="7" t="n">
        <f aca="false">K44*$D$2</f>
        <v>65044.994985</v>
      </c>
      <c r="L45" s="7" t="n">
        <f aca="false">L44*$D$2</f>
        <v>18129.602475</v>
      </c>
      <c r="M45" s="7" t="n">
        <f aca="false">M44*$D$2</f>
        <v>2554.94635</v>
      </c>
      <c r="N45" s="7" t="n">
        <f aca="false">N44*$D$2</f>
        <v>0</v>
      </c>
      <c r="O45" s="7" t="n">
        <f aca="false">O44*$D$2</f>
        <v>0</v>
      </c>
      <c r="P45" s="7" t="n">
        <f aca="false">P44*$D$2</f>
        <v>2554.94635</v>
      </c>
      <c r="Q45" s="7" t="n">
        <f aca="false">Q44*$D$2</f>
        <v>780.94362</v>
      </c>
      <c r="R45" s="7" t="n">
        <f aca="false">R44*$D$2</f>
        <v>204.121985</v>
      </c>
      <c r="S45" s="7" t="n">
        <f aca="false">S44*$D$2</f>
        <v>3540.011955</v>
      </c>
      <c r="T45" s="7" t="n">
        <f aca="false">T44*$D$2</f>
        <v>0</v>
      </c>
      <c r="U45" s="7" t="n">
        <f aca="false">U44*$D$2</f>
        <v>319.3435</v>
      </c>
      <c r="V45" s="7" t="n">
        <f aca="false">V44*$D$2</f>
        <v>2190.61707</v>
      </c>
      <c r="W45" s="7"/>
      <c r="X45" s="7" t="n">
        <f aca="false">X44*$D$2</f>
        <v>6049.972525</v>
      </c>
      <c r="Y45" s="7" t="n">
        <f aca="false">Y44*$D$2</f>
        <v>5.02245999999999</v>
      </c>
      <c r="Z45" s="7" t="n">
        <f aca="false">Z44*$D$2</f>
        <v>6054.994985</v>
      </c>
      <c r="AA45" s="11"/>
      <c r="AB45" s="12"/>
      <c r="AC45" s="12"/>
      <c r="AD45" s="13"/>
      <c r="AE45" s="107"/>
    </row>
    <row r="46" customFormat="false" ht="3" hidden="false" customHeight="true" outlineLevel="0" collapsed="false">
      <c r="A46" s="32"/>
      <c r="B46" s="32"/>
      <c r="C46" s="34"/>
      <c r="D46" s="34"/>
      <c r="E46" s="34"/>
      <c r="F46" s="34"/>
      <c r="G46" s="34"/>
      <c r="H46" s="37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6"/>
      <c r="AB46" s="12"/>
      <c r="AC46" s="12"/>
      <c r="AD46" s="13"/>
      <c r="AE46" s="107"/>
    </row>
    <row r="47" customFormat="false" ht="11.1" hidden="false" customHeight="true" outlineLevel="0" collapsed="false">
      <c r="A47" s="6" t="s">
        <v>53</v>
      </c>
      <c r="B47" s="6"/>
      <c r="C47" s="7"/>
      <c r="D47" s="7"/>
      <c r="E47" s="7"/>
      <c r="F47" s="7" t="n">
        <f aca="false">F8+F41</f>
        <v>33089.4882782959</v>
      </c>
      <c r="G47" s="7" t="n">
        <f aca="false">G8+G41</f>
        <v>31555.07</v>
      </c>
      <c r="H47" s="12" t="n">
        <f aca="false">H8+H41</f>
        <v>3634.65</v>
      </c>
      <c r="I47" s="7" t="n">
        <f aca="false">I8+I41</f>
        <v>35086.52</v>
      </c>
      <c r="J47" s="7" t="n">
        <f aca="false">J8+J41</f>
        <v>9783.84898916057</v>
      </c>
      <c r="K47" s="7" t="n">
        <f aca="false">K8+K41</f>
        <v>44870.3689891606</v>
      </c>
      <c r="L47" s="7" t="n">
        <f aca="false">L8+L41</f>
        <v>9243.12827829594</v>
      </c>
      <c r="M47" s="7" t="n">
        <f aca="false">M8+M41</f>
        <v>2724.42</v>
      </c>
      <c r="N47" s="7" t="n">
        <f aca="false">N8+N41</f>
        <v>0.08</v>
      </c>
      <c r="O47" s="7" t="n">
        <f aca="false">O8+O41</f>
        <v>0</v>
      </c>
      <c r="P47" s="7" t="n">
        <f aca="false">P8+P41</f>
        <v>2724.34</v>
      </c>
      <c r="Q47" s="7" t="n">
        <f aca="false">Q8+Q41</f>
        <v>1998.91</v>
      </c>
      <c r="R47" s="7" t="n">
        <f aca="false">R8+R41</f>
        <v>475.31</v>
      </c>
      <c r="S47" s="7" t="n">
        <f aca="false">S8+S41</f>
        <v>5198.56</v>
      </c>
      <c r="T47" s="7"/>
      <c r="U47" s="7" t="n">
        <f aca="false">U8+U41</f>
        <v>161</v>
      </c>
      <c r="V47" s="7" t="n">
        <f aca="false">V8+V41</f>
        <v>5880.52</v>
      </c>
      <c r="W47" s="7" t="n">
        <f aca="false">W39</f>
        <v>9298.47999999998</v>
      </c>
      <c r="X47" s="7" t="n">
        <f aca="false">X8+X41</f>
        <v>11240.16</v>
      </c>
      <c r="Y47" s="7" t="n">
        <f aca="false">Y8+Y41</f>
        <v>540.720710864633</v>
      </c>
      <c r="Z47" s="7" t="n">
        <f aca="false">Z8+Z41</f>
        <v>11780.8807108646</v>
      </c>
      <c r="AA47" s="11" t="n">
        <f aca="false">AA8+AA41</f>
        <v>6.11</v>
      </c>
      <c r="AB47" s="12"/>
      <c r="AC47" s="12"/>
      <c r="AD47" s="13"/>
      <c r="AE47" s="107"/>
    </row>
    <row r="48" customFormat="false" ht="11.1" hidden="false" customHeight="true" outlineLevel="0" collapsed="false">
      <c r="A48" s="6" t="s">
        <v>54</v>
      </c>
      <c r="B48" s="6"/>
      <c r="C48" s="7"/>
      <c r="D48" s="7" t="n">
        <f aca="false">D8+D42</f>
        <v>65633</v>
      </c>
      <c r="E48" s="7" t="n">
        <f aca="false">E39</f>
        <v>152498</v>
      </c>
      <c r="F48" s="7" t="n">
        <f aca="false">F47*$D$2</f>
        <v>65633</v>
      </c>
      <c r="G48" s="7" t="n">
        <f aca="false">G47*$D$2</f>
        <v>62589.481345</v>
      </c>
      <c r="H48" s="12" t="n">
        <f aca="false">H47*$D$2</f>
        <v>7209.328275</v>
      </c>
      <c r="I48" s="7" t="n">
        <f aca="false">I47*$D$2</f>
        <v>69594.11242</v>
      </c>
      <c r="J48" s="7" t="n">
        <f aca="false">J47*$D$2</f>
        <v>19406.26447</v>
      </c>
      <c r="K48" s="7" t="n">
        <f aca="false">K47*$D$2</f>
        <v>89000.37689</v>
      </c>
      <c r="L48" s="7" t="n">
        <f aca="false">L47*$D$2</f>
        <v>18333.74494</v>
      </c>
      <c r="M48" s="7" t="n">
        <f aca="false">M47*$D$2</f>
        <v>5403.88707</v>
      </c>
      <c r="N48" s="7" t="n">
        <f aca="false">N47*$D$2</f>
        <v>0.15868</v>
      </c>
      <c r="O48" s="7" t="n">
        <f aca="false">O47*$D$2</f>
        <v>0</v>
      </c>
      <c r="P48" s="7" t="n">
        <f aca="false">P47*$D$2</f>
        <v>5403.72839</v>
      </c>
      <c r="Q48" s="7" t="n">
        <f aca="false">Q47*$D$2</f>
        <v>3964.837985</v>
      </c>
      <c r="R48" s="7" t="n">
        <f aca="false">R47*$D$2</f>
        <v>942.777385</v>
      </c>
      <c r="S48" s="7" t="n">
        <f aca="false">S47*$D$2</f>
        <v>10311.34376</v>
      </c>
      <c r="T48" s="7" t="n">
        <f aca="false">T47*$D$2</f>
        <v>0</v>
      </c>
      <c r="U48" s="7" t="n">
        <f aca="false">U47*$D$2</f>
        <v>319.3435</v>
      </c>
      <c r="V48" s="7" t="n">
        <f aca="false">V47*$D$2</f>
        <v>11664.01142</v>
      </c>
      <c r="W48" s="7" t="n">
        <f aca="false">W47*$D$2</f>
        <v>18443.53508</v>
      </c>
      <c r="X48" s="7" t="n">
        <f aca="false">X47*$D$2</f>
        <v>22294.85736</v>
      </c>
      <c r="Y48" s="7" t="n">
        <f aca="false">Y47*$D$2</f>
        <v>1072.51953</v>
      </c>
      <c r="Z48" s="7" t="n">
        <f aca="false">Z47*$D$2</f>
        <v>23367.37689</v>
      </c>
      <c r="AA48" s="11"/>
      <c r="AB48" s="12"/>
      <c r="AC48" s="12"/>
      <c r="AD48" s="13"/>
      <c r="AE48" s="107"/>
    </row>
    <row r="49" customFormat="false" ht="3" hidden="false" customHeight="true" outlineLevel="0" collapsed="false">
      <c r="A49" s="32"/>
      <c r="B49" s="32"/>
      <c r="C49" s="34"/>
      <c r="D49" s="32"/>
      <c r="E49" s="34"/>
      <c r="F49" s="32"/>
      <c r="G49" s="32"/>
      <c r="H49" s="35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4"/>
      <c r="U49" s="32"/>
      <c r="V49" s="32"/>
      <c r="W49" s="34"/>
      <c r="X49" s="32"/>
      <c r="Y49" s="32"/>
      <c r="Z49" s="32"/>
      <c r="AA49" s="11"/>
      <c r="AB49" s="12"/>
      <c r="AC49" s="12"/>
      <c r="AD49" s="13"/>
      <c r="AE49" s="107"/>
    </row>
  </sheetData>
  <mergeCells count="2">
    <mergeCell ref="K2:V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M21" activePane="bottomRight" state="frozen"/>
      <selection pane="topLeft" activeCell="A1" activeCellId="0" sqref="A1"/>
      <selection pane="topRight" activeCell="M1" activeCellId="0" sqref="M1"/>
      <selection pane="bottomLeft" activeCell="A21" activeCellId="0" sqref="A21"/>
      <selection pane="bottomRight" activeCell="AC41" activeCellId="0" sqref="AC41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7.16"/>
    <col collapsed="false" customWidth="true" hidden="false" outlineLevel="0" max="2" min="2" style="46" width="7.82"/>
    <col collapsed="false" customWidth="true" hidden="false" outlineLevel="0" max="3" min="3" style="47" width="7.66"/>
    <col collapsed="false" customWidth="true" hidden="false" outlineLevel="0" max="4" min="4" style="46" width="6.99"/>
    <col collapsed="false" customWidth="true" hidden="false" outlineLevel="0" max="5" min="5" style="47" width="7.66"/>
    <col collapsed="false" customWidth="true" hidden="false" outlineLevel="0" max="6" min="6" style="46" width="7.66"/>
    <col collapsed="false" customWidth="true" hidden="false" outlineLevel="0" max="7" min="7" style="46" width="7.16"/>
    <col collapsed="false" customWidth="true" hidden="false" outlineLevel="0" max="8" min="8" style="50" width="6.66"/>
    <col collapsed="false" customWidth="true" hidden="false" outlineLevel="0" max="9" min="9" style="46" width="7.99"/>
    <col collapsed="false" customWidth="true" hidden="false" outlineLevel="0" max="10" min="10" style="46" width="6.66"/>
    <col collapsed="false" customWidth="true" hidden="false" outlineLevel="0" max="12" min="11" style="46" width="7.16"/>
    <col collapsed="false" customWidth="true" hidden="false" outlineLevel="0" max="13" min="13" style="49" width="6.16"/>
    <col collapsed="false" customWidth="true" hidden="true" outlineLevel="0" max="14" min="14" style="49" width="7.32"/>
    <col collapsed="false" customWidth="true" hidden="true" outlineLevel="0" max="15" min="15" style="49" width="6.49"/>
    <col collapsed="false" customWidth="true" hidden="true" outlineLevel="0" max="16" min="16" style="46" width="7.16"/>
    <col collapsed="false" customWidth="true" hidden="false" outlineLevel="0" max="17" min="17" style="46" width="6.32"/>
    <col collapsed="false" customWidth="true" hidden="false" outlineLevel="0" max="18" min="18" style="46" width="5.82"/>
    <col collapsed="false" customWidth="true" hidden="false" outlineLevel="0" max="19" min="19" style="47" width="6.82"/>
    <col collapsed="false" customWidth="true" hidden="false" outlineLevel="0" max="20" min="20" style="46" width="7.66"/>
    <col collapsed="false" customWidth="true" hidden="false" outlineLevel="0" max="21" min="21" style="46" width="5.82"/>
    <col collapsed="false" customWidth="true" hidden="false" outlineLevel="0" max="22" min="22" style="47" width="6.66"/>
    <col collapsed="false" customWidth="true" hidden="false" outlineLevel="0" max="23" min="23" style="46" width="6.82"/>
    <col collapsed="false" customWidth="true" hidden="false" outlineLevel="0" max="25" min="24" style="46" width="7.82"/>
    <col collapsed="false" customWidth="true" hidden="false" outlineLevel="0" max="26" min="26" style="50" width="8.16"/>
    <col collapsed="false" customWidth="true" hidden="false" outlineLevel="0" max="27" min="27" style="48" width="4.32"/>
    <col collapsed="false" customWidth="true" hidden="false" outlineLevel="0" max="28" min="28" style="51" width="4.66"/>
    <col collapsed="false" customWidth="true" hidden="false" outlineLevel="0" max="29" min="29" style="52" width="4.66"/>
    <col collapsed="false" customWidth="true" hidden="false" outlineLevel="0" max="30" min="30" style="46" width="5.66"/>
    <col collapsed="false" customWidth="false" hidden="false" outlineLevel="0" max="257" min="31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7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9"/>
      <c r="AC1" s="60"/>
      <c r="AD1" s="90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1.9835</v>
      </c>
      <c r="E2" s="54"/>
      <c r="F2" s="53"/>
      <c r="G2" s="53"/>
      <c r="H2" s="57"/>
      <c r="I2" s="53"/>
      <c r="J2" s="53"/>
      <c r="K2" s="62" t="s">
        <v>67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8"/>
      <c r="AB2" s="59"/>
      <c r="AC2" s="60"/>
      <c r="AD2" s="90"/>
    </row>
    <row r="3" customFormat="false" ht="11.1" hidden="false" customHeight="true" outlineLevel="0" collapsed="false">
      <c r="A3" s="53"/>
      <c r="B3" s="53"/>
      <c r="C3" s="54"/>
      <c r="D3" s="63"/>
      <c r="E3" s="54"/>
      <c r="F3" s="53"/>
      <c r="G3" s="53"/>
      <c r="H3" s="57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9"/>
      <c r="AC3" s="60"/>
      <c r="AD3" s="90"/>
    </row>
    <row r="4" customFormat="false" ht="11.1" hidden="false" customHeight="true" outlineLevel="0" collapsed="false">
      <c r="A4" s="64" t="s">
        <v>3</v>
      </c>
      <c r="B4" s="64" t="s">
        <v>4</v>
      </c>
      <c r="C4" s="65" t="s">
        <v>4</v>
      </c>
      <c r="D4" s="64" t="s">
        <v>5</v>
      </c>
      <c r="E4" s="65" t="s">
        <v>6</v>
      </c>
      <c r="F4" s="64" t="s">
        <v>7</v>
      </c>
      <c r="G4" s="64" t="s">
        <v>8</v>
      </c>
      <c r="H4" s="110" t="s">
        <v>9</v>
      </c>
      <c r="I4" s="64" t="s">
        <v>10</v>
      </c>
      <c r="J4" s="64" t="s">
        <v>11</v>
      </c>
      <c r="K4" s="64" t="s">
        <v>12</v>
      </c>
      <c r="L4" s="64" t="s">
        <v>11</v>
      </c>
      <c r="M4" s="64" t="s">
        <v>13</v>
      </c>
      <c r="N4" s="64"/>
      <c r="O4" s="64"/>
      <c r="P4" s="64"/>
      <c r="Q4" s="64" t="s">
        <v>14</v>
      </c>
      <c r="R4" s="64" t="s">
        <v>15</v>
      </c>
      <c r="S4" s="64" t="s">
        <v>12</v>
      </c>
      <c r="T4" s="65" t="s">
        <v>16</v>
      </c>
      <c r="U4" s="64" t="s">
        <v>17</v>
      </c>
      <c r="V4" s="64" t="s">
        <v>18</v>
      </c>
      <c r="W4" s="65" t="s">
        <v>19</v>
      </c>
      <c r="X4" s="64" t="s">
        <v>10</v>
      </c>
      <c r="Y4" s="64" t="s">
        <v>11</v>
      </c>
      <c r="Z4" s="64" t="s">
        <v>12</v>
      </c>
      <c r="AA4" s="67" t="s">
        <v>20</v>
      </c>
      <c r="AB4" s="68" t="s">
        <v>21</v>
      </c>
      <c r="AC4" s="68" t="s">
        <v>22</v>
      </c>
      <c r="AD4" s="68" t="s">
        <v>3</v>
      </c>
      <c r="AE4" s="90"/>
    </row>
    <row r="5" customFormat="false" ht="11.1" hidden="false" customHeight="true" outlineLevel="0" collapsed="false">
      <c r="A5" s="69" t="s">
        <v>68</v>
      </c>
      <c r="B5" s="64" t="s">
        <v>24</v>
      </c>
      <c r="C5" s="65" t="s">
        <v>5</v>
      </c>
      <c r="D5" s="64" t="s">
        <v>25</v>
      </c>
      <c r="E5" s="65" t="s">
        <v>26</v>
      </c>
      <c r="F5" s="64" t="s">
        <v>27</v>
      </c>
      <c r="G5" s="64" t="s">
        <v>28</v>
      </c>
      <c r="H5" s="110" t="s">
        <v>29</v>
      </c>
      <c r="I5" s="64" t="s">
        <v>30</v>
      </c>
      <c r="J5" s="64" t="s">
        <v>30</v>
      </c>
      <c r="K5" s="64" t="s">
        <v>30</v>
      </c>
      <c r="L5" s="64" t="s">
        <v>31</v>
      </c>
      <c r="M5" s="64" t="s">
        <v>32</v>
      </c>
      <c r="N5" s="64" t="s">
        <v>33</v>
      </c>
      <c r="O5" s="64" t="s">
        <v>34</v>
      </c>
      <c r="P5" s="64" t="s">
        <v>35</v>
      </c>
      <c r="Q5" s="64" t="s">
        <v>36</v>
      </c>
      <c r="R5" s="64" t="s">
        <v>37</v>
      </c>
      <c r="S5" s="64" t="s">
        <v>16</v>
      </c>
      <c r="T5" s="65" t="s">
        <v>38</v>
      </c>
      <c r="U5" s="64" t="s">
        <v>39</v>
      </c>
      <c r="V5" s="64" t="s">
        <v>40</v>
      </c>
      <c r="W5" s="65" t="s">
        <v>41</v>
      </c>
      <c r="X5" s="64" t="s">
        <v>42</v>
      </c>
      <c r="Y5" s="64" t="s">
        <v>42</v>
      </c>
      <c r="Z5" s="64" t="s">
        <v>42</v>
      </c>
      <c r="AA5" s="70"/>
      <c r="AB5" s="68" t="s">
        <v>43</v>
      </c>
      <c r="AC5" s="68" t="s">
        <v>43</v>
      </c>
      <c r="AD5" s="71" t="s">
        <v>68</v>
      </c>
      <c r="AE5" s="90"/>
    </row>
    <row r="6" customFormat="false" ht="11.1" hidden="false" customHeight="true" outlineLevel="0" collapsed="false">
      <c r="A6" s="72"/>
      <c r="B6" s="72"/>
      <c r="C6" s="73"/>
      <c r="D6" s="72"/>
      <c r="E6" s="73"/>
      <c r="F6" s="72"/>
      <c r="G6" s="72"/>
      <c r="H6" s="111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3"/>
      <c r="U6" s="72"/>
      <c r="V6" s="72"/>
      <c r="W6" s="112"/>
      <c r="X6" s="72"/>
      <c r="Y6" s="72"/>
      <c r="Z6" s="72"/>
      <c r="AA6" s="58"/>
      <c r="AB6" s="60"/>
      <c r="AC6" s="60"/>
      <c r="AD6" s="60"/>
      <c r="AE6" s="94"/>
      <c r="AF6" s="95"/>
    </row>
    <row r="7" customFormat="false" ht="11.1" hidden="false" customHeight="true" outlineLevel="0" collapsed="false">
      <c r="A7" s="53" t="s">
        <v>44</v>
      </c>
      <c r="B7" s="53"/>
      <c r="C7" s="54"/>
      <c r="D7" s="54"/>
      <c r="E7" s="54"/>
      <c r="F7" s="54" t="n">
        <f aca="false">APR!F44</f>
        <v>29740.3579531132</v>
      </c>
      <c r="G7" s="54" t="n">
        <f aca="false">APR!G44</f>
        <v>20090.3</v>
      </c>
      <c r="H7" s="57" t="n">
        <f aca="false">APR!H44</f>
        <v>3560</v>
      </c>
      <c r="I7" s="54" t="n">
        <f aca="false">APR!I44</f>
        <v>23650.3</v>
      </c>
      <c r="J7" s="54" t="n">
        <f aca="false">APR!J44</f>
        <v>9142.7400731031</v>
      </c>
      <c r="K7" s="54" t="n">
        <f aca="false">APR!K44</f>
        <v>32793.0400731031</v>
      </c>
      <c r="L7" s="54" t="n">
        <f aca="false">APR!L44</f>
        <v>9140.20795311318</v>
      </c>
      <c r="M7" s="54" t="n">
        <f aca="false">APR!M44</f>
        <v>1288.1</v>
      </c>
      <c r="N7" s="54" t="n">
        <f aca="false">APR!N44</f>
        <v>0</v>
      </c>
      <c r="O7" s="54" t="n">
        <f aca="false">APR!O44</f>
        <v>0</v>
      </c>
      <c r="P7" s="54" t="n">
        <f aca="false">APR!P44</f>
        <v>1288.1</v>
      </c>
      <c r="Q7" s="54" t="n">
        <f aca="false">APR!Q44</f>
        <v>393.72</v>
      </c>
      <c r="R7" s="54" t="n">
        <f aca="false">APR!R44</f>
        <v>102.91</v>
      </c>
      <c r="S7" s="54" t="n">
        <f aca="false">APR!S44</f>
        <v>1784.73</v>
      </c>
      <c r="T7" s="54" t="n">
        <f aca="false">APR!T44</f>
        <v>0</v>
      </c>
      <c r="U7" s="54" t="n">
        <f aca="false">APR!U44</f>
        <v>161</v>
      </c>
      <c r="V7" s="54" t="n">
        <f aca="false">APR!V44</f>
        <v>1104.42</v>
      </c>
      <c r="W7" s="54"/>
      <c r="X7" s="54" t="n">
        <f aca="false">APR!X44</f>
        <v>3050.15</v>
      </c>
      <c r="Y7" s="54" t="n">
        <f aca="false">APR!Y44</f>
        <v>2.53211998991681</v>
      </c>
      <c r="Z7" s="54" t="n">
        <f aca="false">APR!Z44</f>
        <v>3052.68211998992</v>
      </c>
      <c r="AA7" s="58"/>
      <c r="AB7" s="59"/>
      <c r="AC7" s="59"/>
      <c r="AD7" s="60"/>
      <c r="AE7" s="95"/>
      <c r="AF7" s="95"/>
    </row>
    <row r="8" s="47" customFormat="true" ht="11.1" hidden="false" customHeight="true" outlineLevel="0" collapsed="false">
      <c r="A8" s="54" t="s">
        <v>45</v>
      </c>
      <c r="B8" s="75" t="n">
        <f aca="false">APR!B39</f>
        <v>6905.57</v>
      </c>
      <c r="C8" s="54" t="n">
        <f aca="false">APR!C39</f>
        <v>304498</v>
      </c>
      <c r="D8" s="54" t="n">
        <f aca="false">APR!D48</f>
        <v>65633</v>
      </c>
      <c r="E8" s="54" t="n">
        <f aca="false">APR!E48</f>
        <v>152498</v>
      </c>
      <c r="F8" s="54" t="n">
        <f aca="false">APR!F47</f>
        <v>33089.4882782959</v>
      </c>
      <c r="G8" s="54" t="n">
        <f aca="false">APR!G47</f>
        <v>31555.07</v>
      </c>
      <c r="H8" s="57" t="n">
        <f aca="false">APR!H47</f>
        <v>3634.65</v>
      </c>
      <c r="I8" s="54" t="n">
        <f aca="false">APR!I47</f>
        <v>35086.52</v>
      </c>
      <c r="J8" s="54" t="n">
        <f aca="false">APR!J47</f>
        <v>9783.84898916057</v>
      </c>
      <c r="K8" s="54" t="n">
        <f aca="false">APR!K47</f>
        <v>44870.3689891606</v>
      </c>
      <c r="L8" s="54" t="n">
        <f aca="false">APR!L47</f>
        <v>9243.12827829594</v>
      </c>
      <c r="M8" s="54" t="n">
        <f aca="false">APR!M47</f>
        <v>2724.42</v>
      </c>
      <c r="N8" s="54" t="n">
        <f aca="false">APR!N47</f>
        <v>0.08</v>
      </c>
      <c r="O8" s="54" t="n">
        <f aca="false">APR!O47</f>
        <v>0</v>
      </c>
      <c r="P8" s="54" t="n">
        <f aca="false">APR!P47</f>
        <v>2724.34</v>
      </c>
      <c r="Q8" s="54" t="n">
        <f aca="false">APR!Q47</f>
        <v>1998.91</v>
      </c>
      <c r="R8" s="54" t="n">
        <f aca="false">APR!R47</f>
        <v>475.31</v>
      </c>
      <c r="S8" s="54" t="n">
        <f aca="false">APR!S47</f>
        <v>5198.56</v>
      </c>
      <c r="T8" s="54" t="n">
        <f aca="false">APR!T47</f>
        <v>0</v>
      </c>
      <c r="U8" s="54" t="n">
        <f aca="false">APR!U47</f>
        <v>161</v>
      </c>
      <c r="V8" s="54" t="n">
        <f aca="false">APR!V47</f>
        <v>5880.52</v>
      </c>
      <c r="W8" s="54" t="n">
        <f aca="false">APR!W47</f>
        <v>9298.47999999998</v>
      </c>
      <c r="X8" s="54" t="n">
        <f aca="false">APR!X47</f>
        <v>11240.16</v>
      </c>
      <c r="Y8" s="54" t="n">
        <f aca="false">APR!Y47</f>
        <v>540.720710864633</v>
      </c>
      <c r="Z8" s="54" t="n">
        <f aca="false">APR!Z47</f>
        <v>11780.8807108646</v>
      </c>
      <c r="AA8" s="58" t="n">
        <f aca="false">APR!AA47</f>
        <v>6.11</v>
      </c>
      <c r="AB8" s="59"/>
      <c r="AC8" s="59"/>
      <c r="AD8" s="60"/>
      <c r="AE8" s="94"/>
      <c r="AF8" s="96"/>
    </row>
    <row r="9" customFormat="false" ht="3" hidden="false" customHeight="true" outlineLevel="0" collapsed="false">
      <c r="A9" s="76"/>
      <c r="B9" s="77"/>
      <c r="C9" s="78"/>
      <c r="D9" s="76"/>
      <c r="E9" s="78"/>
      <c r="F9" s="76"/>
      <c r="G9" s="76"/>
      <c r="H9" s="113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8"/>
      <c r="U9" s="76"/>
      <c r="V9" s="76"/>
      <c r="W9" s="78"/>
      <c r="X9" s="76"/>
      <c r="Y9" s="76"/>
      <c r="Z9" s="76"/>
      <c r="AA9" s="80"/>
      <c r="AB9" s="81"/>
      <c r="AC9" s="81"/>
      <c r="AD9" s="82"/>
      <c r="AE9" s="94"/>
      <c r="AF9" s="95"/>
    </row>
    <row r="10" customFormat="false" ht="11.1" hidden="false" customHeight="true" outlineLevel="0" collapsed="false">
      <c r="A10" s="60" t="n">
        <v>1</v>
      </c>
      <c r="B10" s="75" t="n">
        <v>6905.69</v>
      </c>
      <c r="C10" s="54" t="n">
        <v>305056</v>
      </c>
      <c r="D10" s="59" t="n">
        <f aca="false">C10-C8</f>
        <v>558</v>
      </c>
      <c r="E10" s="54" t="n">
        <f aca="false">C10-152000</f>
        <v>153056</v>
      </c>
      <c r="F10" s="53" t="n">
        <f aca="false">D10/$D$2</f>
        <v>281.320897403579</v>
      </c>
      <c r="G10" s="53" t="n">
        <v>463.9</v>
      </c>
      <c r="H10" s="57" t="n">
        <v>29.9</v>
      </c>
      <c r="I10" s="53" t="n">
        <f aca="false">G10+H10</f>
        <v>493.8</v>
      </c>
      <c r="J10" s="83" t="n">
        <f aca="false">IF(L10&gt;0,L10,0)</f>
        <v>100.92089740358</v>
      </c>
      <c r="K10" s="53" t="n">
        <f aca="false">I10+J10</f>
        <v>594.72089740358</v>
      </c>
      <c r="L10" s="53" t="n">
        <f aca="false">F10-(I10-X10)</f>
        <v>100.92089740358</v>
      </c>
      <c r="M10" s="53" t="n">
        <v>144.5</v>
      </c>
      <c r="N10" s="53" t="n">
        <v>0</v>
      </c>
      <c r="O10" s="53" t="n">
        <v>0</v>
      </c>
      <c r="P10" s="6" t="n">
        <f aca="false">M10-(N10+O10)</f>
        <v>144.5</v>
      </c>
      <c r="Q10" s="53" t="n">
        <v>98.1</v>
      </c>
      <c r="R10" s="53" t="n">
        <v>23.2</v>
      </c>
      <c r="S10" s="53" t="n">
        <f aca="false">SUM(P10:R10)</f>
        <v>265.8</v>
      </c>
      <c r="T10" s="54"/>
      <c r="U10" s="53" t="n">
        <v>7.1</v>
      </c>
      <c r="V10" s="53" t="n">
        <v>40.5</v>
      </c>
      <c r="W10" s="54" t="n">
        <f aca="false">W8-V10</f>
        <v>9257.97999999998</v>
      </c>
      <c r="X10" s="6" t="n">
        <f aca="false">N10+O10+S10+U10+V10</f>
        <v>313.4</v>
      </c>
      <c r="Y10" s="53" t="n">
        <f aca="false">IF(L10&lt;0,L10*-1,0)</f>
        <v>0</v>
      </c>
      <c r="Z10" s="53" t="n">
        <f aca="false">X10+Y10</f>
        <v>313.4</v>
      </c>
      <c r="AA10" s="58" t="n">
        <v>0</v>
      </c>
      <c r="AB10" s="59" t="n">
        <v>66</v>
      </c>
      <c r="AC10" s="59" t="n">
        <v>26</v>
      </c>
      <c r="AD10" s="60" t="n">
        <v>1</v>
      </c>
      <c r="AE10" s="96"/>
      <c r="AF10" s="95"/>
    </row>
    <row r="11" customFormat="false" ht="11.1" hidden="false" customHeight="true" outlineLevel="0" collapsed="false">
      <c r="A11" s="60" t="n">
        <f aca="false">A10+1</f>
        <v>2</v>
      </c>
      <c r="B11" s="75" t="n">
        <v>6905.89</v>
      </c>
      <c r="C11" s="54" t="n">
        <v>305827</v>
      </c>
      <c r="D11" s="59" t="n">
        <f aca="false">C11-C10</f>
        <v>771</v>
      </c>
      <c r="E11" s="54" t="n">
        <f aca="false">C11-152000</f>
        <v>153827</v>
      </c>
      <c r="F11" s="53" t="n">
        <f aca="false">D11/$D$2</f>
        <v>388.706831358709</v>
      </c>
      <c r="G11" s="53" t="n">
        <v>612.7</v>
      </c>
      <c r="H11" s="57" t="n">
        <v>56.6</v>
      </c>
      <c r="I11" s="53" t="n">
        <f aca="false">G11+H11</f>
        <v>669.3</v>
      </c>
      <c r="J11" s="83" t="n">
        <f aca="false">IF(L11&gt;0,L11,0)</f>
        <v>54.4068313587093</v>
      </c>
      <c r="K11" s="53" t="n">
        <f aca="false">I11+J11</f>
        <v>723.706831358709</v>
      </c>
      <c r="L11" s="53" t="n">
        <f aca="false">F11-(I11-X11)</f>
        <v>54.4068313587093</v>
      </c>
      <c r="M11" s="53" t="n">
        <v>157.6</v>
      </c>
      <c r="N11" s="53" t="n">
        <v>0</v>
      </c>
      <c r="O11" s="53" t="n">
        <v>0</v>
      </c>
      <c r="P11" s="6" t="n">
        <f aca="false">M11-(N11+O11)</f>
        <v>157.6</v>
      </c>
      <c r="Q11" s="53" t="n">
        <v>107.4</v>
      </c>
      <c r="R11" s="53" t="n">
        <v>25</v>
      </c>
      <c r="S11" s="53" t="n">
        <f aca="false">SUM(P11:R11)</f>
        <v>290</v>
      </c>
      <c r="T11" s="54"/>
      <c r="U11" s="53" t="n">
        <v>4.5</v>
      </c>
      <c r="V11" s="53" t="n">
        <v>40.5</v>
      </c>
      <c r="W11" s="54" t="n">
        <f aca="false">W10-V11</f>
        <v>9217.47999999998</v>
      </c>
      <c r="X11" s="6" t="n">
        <f aca="false">N11+O11+S11+U11+V11</f>
        <v>335</v>
      </c>
      <c r="Y11" s="53" t="n">
        <f aca="false">IF(L11&lt;0,L11*-1,0)</f>
        <v>0</v>
      </c>
      <c r="Z11" s="53" t="n">
        <f aca="false">X11+Y11</f>
        <v>335</v>
      </c>
      <c r="AA11" s="58" t="n">
        <v>0</v>
      </c>
      <c r="AB11" s="59" t="n">
        <v>50</v>
      </c>
      <c r="AC11" s="59" t="n">
        <v>35</v>
      </c>
      <c r="AD11" s="60" t="n">
        <f aca="false">AD10+1</f>
        <v>2</v>
      </c>
      <c r="AE11" s="96"/>
      <c r="AF11" s="95"/>
    </row>
    <row r="12" customFormat="false" ht="11.1" hidden="false" customHeight="true" outlineLevel="0" collapsed="false">
      <c r="A12" s="60" t="n">
        <f aca="false">A11+1</f>
        <v>3</v>
      </c>
      <c r="B12" s="75" t="n">
        <v>6906.2</v>
      </c>
      <c r="C12" s="54" t="n">
        <v>307028</v>
      </c>
      <c r="D12" s="59" t="n">
        <f aca="false">C12-C11</f>
        <v>1201</v>
      </c>
      <c r="E12" s="54" t="n">
        <f aca="false">C12-152000</f>
        <v>155028</v>
      </c>
      <c r="F12" s="53" t="n">
        <f aca="false">D12/$D$2</f>
        <v>605.495336526342</v>
      </c>
      <c r="G12" s="53" t="n">
        <v>601.6</v>
      </c>
      <c r="H12" s="57" t="n">
        <v>46.6</v>
      </c>
      <c r="I12" s="53" t="n">
        <f aca="false">G12+H12</f>
        <v>648.2</v>
      </c>
      <c r="J12" s="83" t="n">
        <f aca="false">IF(L12&gt;0,L12,0)</f>
        <v>295.795336526342</v>
      </c>
      <c r="K12" s="53" t="n">
        <f aca="false">I12+J12</f>
        <v>943.995336526342</v>
      </c>
      <c r="L12" s="53" t="n">
        <f aca="false">F12-(I12-X12)</f>
        <v>295.795336526342</v>
      </c>
      <c r="M12" s="53" t="n">
        <v>159.7</v>
      </c>
      <c r="N12" s="53" t="n">
        <v>0</v>
      </c>
      <c r="O12" s="53" t="n">
        <v>0</v>
      </c>
      <c r="P12" s="6" t="n">
        <f aca="false">M12-(N12+O12)</f>
        <v>159.7</v>
      </c>
      <c r="Q12" s="53" t="n">
        <v>107.4</v>
      </c>
      <c r="R12" s="53" t="n">
        <v>27.4</v>
      </c>
      <c r="S12" s="53" t="n">
        <f aca="false">SUM(P12:R12)</f>
        <v>294.5</v>
      </c>
      <c r="T12" s="54"/>
      <c r="U12" s="53" t="n">
        <v>3.5</v>
      </c>
      <c r="V12" s="53" t="n">
        <v>40.5</v>
      </c>
      <c r="W12" s="54" t="n">
        <f aca="false">W11-V12</f>
        <v>9176.97999999998</v>
      </c>
      <c r="X12" s="6" t="n">
        <f aca="false">N12+O12+S12+U12+V12</f>
        <v>338.5</v>
      </c>
      <c r="Y12" s="53" t="n">
        <f aca="false">IF(L12&lt;0,L12*-1,0)</f>
        <v>0</v>
      </c>
      <c r="Z12" s="53" t="n">
        <f aca="false">X12+Y12</f>
        <v>338.5</v>
      </c>
      <c r="AA12" s="58" t="n">
        <v>0</v>
      </c>
      <c r="AB12" s="59" t="n">
        <v>53</v>
      </c>
      <c r="AC12" s="59" t="n">
        <v>24</v>
      </c>
      <c r="AD12" s="60" t="n">
        <f aca="false">AD11+1</f>
        <v>3</v>
      </c>
      <c r="AE12" s="96"/>
      <c r="AF12" s="95"/>
    </row>
    <row r="13" customFormat="false" ht="11.1" hidden="false" customHeight="true" outlineLevel="0" collapsed="false">
      <c r="A13" s="60" t="n">
        <f aca="false">A12+1</f>
        <v>4</v>
      </c>
      <c r="B13" s="75" t="n">
        <v>6906.42</v>
      </c>
      <c r="C13" s="54" t="n">
        <v>307884</v>
      </c>
      <c r="D13" s="59" t="n">
        <f aca="false">C13-C12</f>
        <v>856</v>
      </c>
      <c r="E13" s="54" t="n">
        <f aca="false">C13-152000</f>
        <v>155884</v>
      </c>
      <c r="F13" s="53" t="n">
        <f aca="false">D13/$D$2</f>
        <v>431.560373077893</v>
      </c>
      <c r="G13" s="53" t="n">
        <v>679.6</v>
      </c>
      <c r="H13" s="57" t="n">
        <v>29.4</v>
      </c>
      <c r="I13" s="53" t="n">
        <f aca="false">G13+H13</f>
        <v>709</v>
      </c>
      <c r="J13" s="83" t="n">
        <f aca="false">IF(L13&gt;0,L13,0)</f>
        <v>77.7603730778927</v>
      </c>
      <c r="K13" s="53" t="n">
        <f aca="false">I13+J13</f>
        <v>786.760373077893</v>
      </c>
      <c r="L13" s="53" t="n">
        <f aca="false">F13-(I13-X13)</f>
        <v>77.7603730778927</v>
      </c>
      <c r="M13" s="53" t="n">
        <v>161.8</v>
      </c>
      <c r="N13" s="53" t="n">
        <v>0</v>
      </c>
      <c r="O13" s="53" t="n">
        <v>0</v>
      </c>
      <c r="P13" s="6" t="n">
        <f aca="false">M13-(N13+O13)</f>
        <v>161.8</v>
      </c>
      <c r="Q13" s="53" t="n">
        <v>107.6</v>
      </c>
      <c r="R13" s="53" t="n">
        <v>34.7</v>
      </c>
      <c r="S13" s="53" t="n">
        <f aca="false">SUM(P13:R13)</f>
        <v>304.1</v>
      </c>
      <c r="T13" s="54"/>
      <c r="U13" s="53" t="n">
        <v>10.6</v>
      </c>
      <c r="V13" s="53" t="n">
        <v>40.5</v>
      </c>
      <c r="W13" s="54" t="n">
        <f aca="false">W12-V13</f>
        <v>9136.47999999998</v>
      </c>
      <c r="X13" s="6" t="n">
        <f aca="false">N13+O13+S13+U13+V13</f>
        <v>355.2</v>
      </c>
      <c r="Y13" s="53" t="n">
        <f aca="false">IF(L13&lt;0,L13*-1,0)</f>
        <v>0</v>
      </c>
      <c r="Z13" s="53" t="n">
        <f aca="false">X13+Y13</f>
        <v>355.2</v>
      </c>
      <c r="AA13" s="58" t="n">
        <v>0</v>
      </c>
      <c r="AB13" s="59" t="n">
        <v>57</v>
      </c>
      <c r="AC13" s="59" t="n">
        <v>22</v>
      </c>
      <c r="AD13" s="60" t="n">
        <f aca="false">AD12+1</f>
        <v>4</v>
      </c>
      <c r="AE13" s="96"/>
      <c r="AF13" s="95"/>
    </row>
    <row r="14" customFormat="false" ht="11.1" hidden="false" customHeight="true" outlineLevel="0" collapsed="false">
      <c r="A14" s="60" t="n">
        <f aca="false">A13+1</f>
        <v>5</v>
      </c>
      <c r="B14" s="75" t="n">
        <v>6906.69</v>
      </c>
      <c r="C14" s="54" t="n">
        <v>308933</v>
      </c>
      <c r="D14" s="59" t="n">
        <f aca="false">C14-C13</f>
        <v>1049</v>
      </c>
      <c r="E14" s="54" t="n">
        <f aca="false">C14-152000</f>
        <v>156933</v>
      </c>
      <c r="F14" s="53" t="n">
        <f aca="false">D14/$D$2</f>
        <v>528.863120746156</v>
      </c>
      <c r="G14" s="53" t="n">
        <v>659.5</v>
      </c>
      <c r="H14" s="57" t="n">
        <v>24.8</v>
      </c>
      <c r="I14" s="53" t="n">
        <f aca="false">G14+H14</f>
        <v>684.3</v>
      </c>
      <c r="J14" s="83" t="n">
        <f aca="false">IF(L14&gt;0,L14,0)</f>
        <v>214.863120746156</v>
      </c>
      <c r="K14" s="53" t="n">
        <f aca="false">I14+J14</f>
        <v>899.163120746156</v>
      </c>
      <c r="L14" s="53" t="n">
        <f aca="false">F14-(I14-X14)</f>
        <v>214.863120746156</v>
      </c>
      <c r="M14" s="53" t="n">
        <v>163.1</v>
      </c>
      <c r="N14" s="53" t="n">
        <v>0</v>
      </c>
      <c r="O14" s="53" t="n">
        <v>0</v>
      </c>
      <c r="P14" s="6" t="n">
        <f aca="false">M14-(N14+O14)</f>
        <v>163.1</v>
      </c>
      <c r="Q14" s="53" t="n">
        <v>107.9</v>
      </c>
      <c r="R14" s="53" t="n">
        <v>40.1</v>
      </c>
      <c r="S14" s="53" t="n">
        <f aca="false">SUM(P14:R14)</f>
        <v>311.1</v>
      </c>
      <c r="T14" s="54"/>
      <c r="U14" s="53" t="n">
        <v>18.7</v>
      </c>
      <c r="V14" s="53" t="n">
        <v>40.5</v>
      </c>
      <c r="W14" s="54" t="n">
        <f aca="false">W13-V14</f>
        <v>9095.97999999998</v>
      </c>
      <c r="X14" s="6" t="n">
        <f aca="false">N14+O14+S14+U14+V14</f>
        <v>370.3</v>
      </c>
      <c r="Y14" s="53" t="n">
        <f aca="false">IF(L14&lt;0,L14*-1,0)</f>
        <v>0</v>
      </c>
      <c r="Z14" s="53" t="n">
        <f aca="false">X14+Y14</f>
        <v>370.3</v>
      </c>
      <c r="AA14" s="58" t="n">
        <v>0</v>
      </c>
      <c r="AB14" s="59" t="n">
        <v>60</v>
      </c>
      <c r="AC14" s="59" t="n">
        <v>20</v>
      </c>
      <c r="AD14" s="60" t="n">
        <f aca="false">AD13+1</f>
        <v>5</v>
      </c>
      <c r="AE14" s="96"/>
      <c r="AF14" s="95"/>
    </row>
    <row r="15" customFormat="false" ht="11.1" hidden="false" customHeight="true" outlineLevel="0" collapsed="false">
      <c r="A15" s="60" t="n">
        <f aca="false">A14+1</f>
        <v>6</v>
      </c>
      <c r="B15" s="75" t="n">
        <v>6907.04</v>
      </c>
      <c r="C15" s="54" t="n">
        <v>310295</v>
      </c>
      <c r="D15" s="59" t="n">
        <f aca="false">C15-C14</f>
        <v>1362</v>
      </c>
      <c r="E15" s="54" t="n">
        <f aca="false">C15-152000</f>
        <v>158295</v>
      </c>
      <c r="F15" s="53" t="n">
        <f aca="false">D15/$D$2</f>
        <v>686.664986135619</v>
      </c>
      <c r="G15" s="53" t="n">
        <v>924.9</v>
      </c>
      <c r="H15" s="57" t="n">
        <v>35.4</v>
      </c>
      <c r="I15" s="53" t="n">
        <f aca="false">G15+H15</f>
        <v>960.3</v>
      </c>
      <c r="J15" s="83" t="n">
        <f aca="false">IF(L15&gt;0,L15,0)</f>
        <v>106.264986135619</v>
      </c>
      <c r="K15" s="53" t="n">
        <f aca="false">I15+J15</f>
        <v>1066.56498613562</v>
      </c>
      <c r="L15" s="53" t="n">
        <f aca="false">F15-(I15-X15)</f>
        <v>106.264986135619</v>
      </c>
      <c r="M15" s="53" t="n">
        <v>163.7</v>
      </c>
      <c r="N15" s="53" t="n">
        <v>0</v>
      </c>
      <c r="O15" s="53" t="n">
        <v>0</v>
      </c>
      <c r="P15" s="6" t="n">
        <f aca="false">M15-(N15+O15)</f>
        <v>163.7</v>
      </c>
      <c r="Q15" s="53" t="n">
        <v>107.8</v>
      </c>
      <c r="R15" s="53" t="n">
        <v>43.2</v>
      </c>
      <c r="S15" s="53" t="n">
        <f aca="false">SUM(P15:R15)</f>
        <v>314.7</v>
      </c>
      <c r="T15" s="54"/>
      <c r="U15" s="53" t="n">
        <v>24.7</v>
      </c>
      <c r="V15" s="53" t="n">
        <v>40.5</v>
      </c>
      <c r="W15" s="54" t="n">
        <f aca="false">W14-V15</f>
        <v>9055.47999999998</v>
      </c>
      <c r="X15" s="6" t="n">
        <f aca="false">N15+O15+S15+U15+V15</f>
        <v>379.9</v>
      </c>
      <c r="Y15" s="53" t="n">
        <f aca="false">IF(L15&lt;0,L15*-1,0)</f>
        <v>0</v>
      </c>
      <c r="Z15" s="53" t="n">
        <f aca="false">X15+Y15</f>
        <v>379.9</v>
      </c>
      <c r="AA15" s="58" t="n">
        <v>0</v>
      </c>
      <c r="AB15" s="59" t="n">
        <v>62</v>
      </c>
      <c r="AC15" s="59" t="n">
        <v>22</v>
      </c>
      <c r="AD15" s="60" t="n">
        <f aca="false">AD14+1</f>
        <v>6</v>
      </c>
      <c r="AE15" s="96"/>
      <c r="AF15" s="95"/>
    </row>
    <row r="16" customFormat="false" ht="11.1" hidden="false" customHeight="true" outlineLevel="0" collapsed="false">
      <c r="A16" s="60" t="n">
        <f aca="false">A15+1</f>
        <v>7</v>
      </c>
      <c r="B16" s="75" t="n">
        <v>6907.4</v>
      </c>
      <c r="C16" s="54" t="n">
        <v>311705</v>
      </c>
      <c r="D16" s="59" t="n">
        <f aca="false">C16-C15</f>
        <v>1410</v>
      </c>
      <c r="E16" s="54" t="n">
        <f aca="false">C16-152000</f>
        <v>159705</v>
      </c>
      <c r="F16" s="53" t="n">
        <f aca="false">D16/$D$2</f>
        <v>710.864633224099</v>
      </c>
      <c r="G16" s="53" t="n">
        <v>1024.3</v>
      </c>
      <c r="H16" s="57" t="n">
        <v>33.5</v>
      </c>
      <c r="I16" s="53" t="n">
        <f aca="false">G16+H16</f>
        <v>1057.8</v>
      </c>
      <c r="J16" s="83" t="n">
        <f aca="false">IF(L16&gt;0,L16,0)</f>
        <v>66.6646332240989</v>
      </c>
      <c r="K16" s="53" t="n">
        <f aca="false">I16+J16</f>
        <v>1124.4646332241</v>
      </c>
      <c r="L16" s="53" t="n">
        <f aca="false">F16-(I16-X16)</f>
        <v>66.6646332240989</v>
      </c>
      <c r="M16" s="53" t="n">
        <v>167.3</v>
      </c>
      <c r="N16" s="53" t="n">
        <v>0</v>
      </c>
      <c r="O16" s="53" t="n">
        <v>0</v>
      </c>
      <c r="P16" s="6" t="n">
        <f aca="false">M16-(N16+O16)</f>
        <v>167.3</v>
      </c>
      <c r="Q16" s="53" t="n">
        <v>108.1</v>
      </c>
      <c r="R16" s="53" t="n">
        <v>57.9</v>
      </c>
      <c r="S16" s="53" t="n">
        <f aca="false">SUM(P16:R16)</f>
        <v>333.3</v>
      </c>
      <c r="T16" s="54"/>
      <c r="U16" s="53" t="n">
        <v>39.8</v>
      </c>
      <c r="V16" s="53" t="n">
        <v>40.5</v>
      </c>
      <c r="W16" s="54" t="n">
        <f aca="false">W15-V16</f>
        <v>9014.97999999998</v>
      </c>
      <c r="X16" s="6" t="n">
        <f aca="false">N16+O16+S16+U16+V16</f>
        <v>413.6</v>
      </c>
      <c r="Y16" s="53" t="n">
        <f aca="false">IF(L16&lt;0,L16*-1,0)</f>
        <v>0</v>
      </c>
      <c r="Z16" s="53" t="n">
        <f aca="false">X16+Y16</f>
        <v>413.6</v>
      </c>
      <c r="AA16" s="58" t="n">
        <v>0</v>
      </c>
      <c r="AB16" s="59" t="n">
        <v>66</v>
      </c>
      <c r="AC16" s="59" t="n">
        <v>36</v>
      </c>
      <c r="AD16" s="60" t="n">
        <f aca="false">AD15+1</f>
        <v>7</v>
      </c>
      <c r="AE16" s="96"/>
      <c r="AF16" s="95"/>
    </row>
    <row r="17" customFormat="false" ht="11.1" hidden="false" customHeight="true" outlineLevel="0" collapsed="false">
      <c r="A17" s="60" t="n">
        <f aca="false">A16+1</f>
        <v>8</v>
      </c>
      <c r="B17" s="75" t="n">
        <v>6908.19</v>
      </c>
      <c r="C17" s="54" t="n">
        <v>314806</v>
      </c>
      <c r="D17" s="59" t="n">
        <f aca="false">C17-C16</f>
        <v>3101</v>
      </c>
      <c r="E17" s="54" t="n">
        <f aca="false">C17-152000</f>
        <v>162806</v>
      </c>
      <c r="F17" s="53" t="n">
        <f aca="false">D17/$D$2</f>
        <v>1563.39803377867</v>
      </c>
      <c r="G17" s="53" t="n">
        <v>1380.5</v>
      </c>
      <c r="H17" s="57" t="n">
        <v>63.3</v>
      </c>
      <c r="I17" s="53" t="n">
        <f aca="false">G17+H17</f>
        <v>1443.8</v>
      </c>
      <c r="J17" s="83" t="n">
        <f aca="false">IF(L17&gt;0,L17,0)</f>
        <v>555.598033778674</v>
      </c>
      <c r="K17" s="53" t="n">
        <f aca="false">I17+J17</f>
        <v>1999.39803377867</v>
      </c>
      <c r="L17" s="53" t="n">
        <f aca="false">F17-(I17-X17)</f>
        <v>555.598033778674</v>
      </c>
      <c r="M17" s="53" t="n">
        <v>169.9</v>
      </c>
      <c r="N17" s="53" t="n">
        <v>0</v>
      </c>
      <c r="O17" s="53" t="n">
        <v>0</v>
      </c>
      <c r="P17" s="6" t="n">
        <f aca="false">M17-(N17+O17)</f>
        <v>169.9</v>
      </c>
      <c r="Q17" s="53" t="n">
        <v>108.3</v>
      </c>
      <c r="R17" s="53" t="n">
        <v>61.8</v>
      </c>
      <c r="S17" s="53" t="n">
        <f aca="false">SUM(P17:R17)</f>
        <v>340</v>
      </c>
      <c r="T17" s="54"/>
      <c r="U17" s="53" t="n">
        <v>55.5</v>
      </c>
      <c r="V17" s="53" t="n">
        <v>40.5</v>
      </c>
      <c r="W17" s="54" t="n">
        <f aca="false">W16-V17</f>
        <v>8974.47999999998</v>
      </c>
      <c r="X17" s="6" t="n">
        <f aca="false">N17+O17+S17+U17+V17</f>
        <v>436</v>
      </c>
      <c r="Y17" s="53" t="n">
        <f aca="false">IF(L17&lt;0,L17*-1,0)</f>
        <v>0</v>
      </c>
      <c r="Z17" s="53" t="n">
        <f aca="false">X17+Y17</f>
        <v>436</v>
      </c>
      <c r="AA17" s="58" t="n">
        <v>0</v>
      </c>
      <c r="AB17" s="59" t="n">
        <v>65</v>
      </c>
      <c r="AC17" s="59" t="n">
        <v>28</v>
      </c>
      <c r="AD17" s="60" t="n">
        <f aca="false">AD16+1</f>
        <v>8</v>
      </c>
      <c r="AE17" s="96"/>
      <c r="AF17" s="95"/>
    </row>
    <row r="18" customFormat="false" ht="11.1" hidden="false" customHeight="true" outlineLevel="0" collapsed="false">
      <c r="A18" s="60" t="n">
        <f aca="false">A17+1</f>
        <v>9</v>
      </c>
      <c r="B18" s="75" t="n">
        <v>6909.06</v>
      </c>
      <c r="C18" s="54" t="n">
        <v>318244</v>
      </c>
      <c r="D18" s="59" t="n">
        <f aca="false">C18-C17</f>
        <v>3438</v>
      </c>
      <c r="E18" s="54" t="n">
        <f aca="false">C18-152000</f>
        <v>166244</v>
      </c>
      <c r="F18" s="53" t="n">
        <f aca="false">D18/$D$2</f>
        <v>1733.29972271238</v>
      </c>
      <c r="G18" s="53" t="n">
        <v>1834.5</v>
      </c>
      <c r="H18" s="57" t="n">
        <v>101.6</v>
      </c>
      <c r="I18" s="53" t="n">
        <f aca="false">G18+H18</f>
        <v>1936.1</v>
      </c>
      <c r="J18" s="83" t="n">
        <f aca="false">IF(L18&gt;0,L18,0)</f>
        <v>229.499722712377</v>
      </c>
      <c r="K18" s="53" t="n">
        <f aca="false">I18+J18</f>
        <v>2165.59972271238</v>
      </c>
      <c r="L18" s="53" t="n">
        <f aca="false">F18-(I18-X18)</f>
        <v>229.499722712377</v>
      </c>
      <c r="M18" s="53" t="n">
        <v>184.9</v>
      </c>
      <c r="N18" s="53" t="n">
        <v>0</v>
      </c>
      <c r="O18" s="53" t="n">
        <v>0</v>
      </c>
      <c r="P18" s="6" t="n">
        <f aca="false">M18-(N18+O18)</f>
        <v>184.9</v>
      </c>
      <c r="Q18" s="53" t="n">
        <v>108.5</v>
      </c>
      <c r="R18" s="53" t="n">
        <v>59.1</v>
      </c>
      <c r="S18" s="53" t="n">
        <f aca="false">SUM(P18:R18)</f>
        <v>352.5</v>
      </c>
      <c r="T18" s="54"/>
      <c r="U18" s="53" t="n">
        <v>39.3</v>
      </c>
      <c r="V18" s="53" t="n">
        <v>40.5</v>
      </c>
      <c r="W18" s="54" t="n">
        <f aca="false">W17-V18</f>
        <v>8933.97999999998</v>
      </c>
      <c r="X18" s="6" t="n">
        <f aca="false">N18+O18+S18+U18+V18</f>
        <v>432.3</v>
      </c>
      <c r="Y18" s="53" t="n">
        <f aca="false">IF(L18&lt;0,L18*-1,0)</f>
        <v>0</v>
      </c>
      <c r="Z18" s="53" t="n">
        <f aca="false">X18+Y18</f>
        <v>432.3</v>
      </c>
      <c r="AA18" s="58" t="n">
        <v>0</v>
      </c>
      <c r="AB18" s="59" t="n">
        <v>63</v>
      </c>
      <c r="AC18" s="59" t="n">
        <v>34</v>
      </c>
      <c r="AD18" s="60" t="n">
        <f aca="false">AD17+1</f>
        <v>9</v>
      </c>
      <c r="AE18" s="96"/>
      <c r="AF18" s="95"/>
    </row>
    <row r="19" customFormat="false" ht="11.1" hidden="false" customHeight="true" outlineLevel="0" collapsed="false">
      <c r="A19" s="60" t="n">
        <f aca="false">A18+1</f>
        <v>10</v>
      </c>
      <c r="B19" s="75" t="n">
        <v>6909.87</v>
      </c>
      <c r="C19" s="54" t="n">
        <v>321469</v>
      </c>
      <c r="D19" s="59" t="n">
        <f aca="false">C19-C18</f>
        <v>3225</v>
      </c>
      <c r="E19" s="54" t="n">
        <f aca="false">C19-152000</f>
        <v>169469</v>
      </c>
      <c r="F19" s="53" t="n">
        <f aca="false">D19/$D$2</f>
        <v>1625.91378875725</v>
      </c>
      <c r="G19" s="53" t="n">
        <v>1646.2</v>
      </c>
      <c r="H19" s="57" t="n">
        <v>54.4</v>
      </c>
      <c r="I19" s="53" t="n">
        <f aca="false">G19+H19</f>
        <v>1700.6</v>
      </c>
      <c r="J19" s="83" t="n">
        <f aca="false">IF(L19&gt;0,L19,0)</f>
        <v>378.313788757247</v>
      </c>
      <c r="K19" s="53" t="n">
        <f aca="false">I19+J19</f>
        <v>2078.91378875725</v>
      </c>
      <c r="L19" s="53" t="n">
        <f aca="false">F19-(I19-X19)</f>
        <v>378.313788757247</v>
      </c>
      <c r="M19" s="53" t="n">
        <v>202.4</v>
      </c>
      <c r="N19" s="53" t="n">
        <v>0</v>
      </c>
      <c r="O19" s="53" t="n">
        <v>0</v>
      </c>
      <c r="P19" s="6" t="n">
        <f aca="false">M19-(N19+O19)</f>
        <v>202.4</v>
      </c>
      <c r="Q19" s="53" t="n">
        <v>109.4</v>
      </c>
      <c r="R19" s="53" t="n">
        <v>61.4</v>
      </c>
      <c r="S19" s="53" t="n">
        <f aca="false">SUM(P19:R19)</f>
        <v>373.2</v>
      </c>
      <c r="T19" s="54"/>
      <c r="U19" s="53" t="n">
        <v>39.3</v>
      </c>
      <c r="V19" s="53" t="n">
        <v>40.5</v>
      </c>
      <c r="W19" s="54" t="n">
        <f aca="false">W18-V19</f>
        <v>8893.47999999998</v>
      </c>
      <c r="X19" s="6" t="n">
        <f aca="false">N19+O19+S19+U19+V19</f>
        <v>453</v>
      </c>
      <c r="Y19" s="53" t="n">
        <f aca="false">IF(L19&lt;0,L19*-1,0)</f>
        <v>0</v>
      </c>
      <c r="Z19" s="53" t="n">
        <f aca="false">X19+Y19</f>
        <v>453</v>
      </c>
      <c r="AA19" s="58" t="n">
        <v>0</v>
      </c>
      <c r="AB19" s="59" t="n">
        <v>66</v>
      </c>
      <c r="AC19" s="59" t="n">
        <v>332</v>
      </c>
      <c r="AD19" s="60" t="n">
        <f aca="false">AD18+1</f>
        <v>10</v>
      </c>
      <c r="AE19" s="96"/>
      <c r="AF19" s="95"/>
    </row>
    <row r="20" customFormat="false" ht="11.1" hidden="false" customHeight="true" outlineLevel="0" collapsed="false">
      <c r="A20" s="60" t="n">
        <f aca="false">A19+1</f>
        <v>11</v>
      </c>
      <c r="B20" s="75" t="n">
        <v>6910.71</v>
      </c>
      <c r="C20" s="54" t="n">
        <v>324836</v>
      </c>
      <c r="D20" s="59" t="n">
        <f aca="false">C20-C19</f>
        <v>3367</v>
      </c>
      <c r="E20" s="54" t="n">
        <f aca="false">C20-152000</f>
        <v>172836</v>
      </c>
      <c r="F20" s="53" t="n">
        <f aca="false">D20/$D$2</f>
        <v>1697.504411394</v>
      </c>
      <c r="G20" s="53" t="n">
        <v>1903.9</v>
      </c>
      <c r="H20" s="57" t="n">
        <v>78.7</v>
      </c>
      <c r="I20" s="53" t="n">
        <f aca="false">G20+H20</f>
        <v>1982.6</v>
      </c>
      <c r="J20" s="83" t="n">
        <f aca="false">IF(L20&gt;0,L20,0)</f>
        <v>193.604411394</v>
      </c>
      <c r="K20" s="53" t="n">
        <f aca="false">I20+J20</f>
        <v>2176.204411394</v>
      </c>
      <c r="L20" s="53" t="n">
        <f aca="false">F20-(I20-X20)</f>
        <v>193.604411394</v>
      </c>
      <c r="M20" s="53" t="n">
        <v>208.6</v>
      </c>
      <c r="N20" s="53" t="n">
        <v>0</v>
      </c>
      <c r="O20" s="53" t="n">
        <v>0</v>
      </c>
      <c r="P20" s="6" t="n">
        <f aca="false">M20-(N20+O20)</f>
        <v>208.6</v>
      </c>
      <c r="Q20" s="53" t="n">
        <v>110</v>
      </c>
      <c r="R20" s="53" t="n">
        <v>67.2</v>
      </c>
      <c r="S20" s="53" t="n">
        <f aca="false">SUM(P20:R20)</f>
        <v>385.8</v>
      </c>
      <c r="T20" s="54"/>
      <c r="U20" s="53" t="n">
        <v>52.4</v>
      </c>
      <c r="V20" s="53" t="n">
        <v>40.5</v>
      </c>
      <c r="W20" s="54" t="n">
        <f aca="false">W19-V20</f>
        <v>8852.97999999998</v>
      </c>
      <c r="X20" s="6" t="n">
        <f aca="false">N20+O20+S20+U20+V20</f>
        <v>478.7</v>
      </c>
      <c r="Y20" s="53" t="n">
        <f aca="false">IF(L20&lt;0,L20*-1,0)</f>
        <v>0</v>
      </c>
      <c r="Z20" s="53" t="n">
        <f aca="false">X20+Y20</f>
        <v>478.7</v>
      </c>
      <c r="AA20" s="58" t="n">
        <v>0</v>
      </c>
      <c r="AB20" s="59" t="n">
        <v>63</v>
      </c>
      <c r="AC20" s="59" t="n">
        <v>30</v>
      </c>
      <c r="AD20" s="60" t="n">
        <f aca="false">AD19+1</f>
        <v>11</v>
      </c>
      <c r="AE20" s="96"/>
      <c r="AF20" s="95"/>
    </row>
    <row r="21" customFormat="false" ht="11.1" hidden="false" customHeight="true" outlineLevel="0" collapsed="false">
      <c r="A21" s="60" t="n">
        <f aca="false">A20+1</f>
        <v>12</v>
      </c>
      <c r="B21" s="75" t="n">
        <v>6911.45</v>
      </c>
      <c r="C21" s="54" t="n">
        <v>327820</v>
      </c>
      <c r="D21" s="59" t="n">
        <f aca="false">C21-C20</f>
        <v>2984</v>
      </c>
      <c r="E21" s="54" t="n">
        <f aca="false">C21-152000</f>
        <v>175820</v>
      </c>
      <c r="F21" s="53" t="n">
        <f aca="false">D21/$D$2</f>
        <v>1504.4113940005</v>
      </c>
      <c r="G21" s="53" t="n">
        <v>1774.9</v>
      </c>
      <c r="H21" s="57" t="n">
        <v>95</v>
      </c>
      <c r="I21" s="53" t="n">
        <f aca="false">G21+H21</f>
        <v>1869.9</v>
      </c>
      <c r="J21" s="83" t="n">
        <f aca="false">IF(L21&gt;0,L21,0)</f>
        <v>156.211394000504</v>
      </c>
      <c r="K21" s="53" t="n">
        <f aca="false">I21+J21</f>
        <v>2026.1113940005</v>
      </c>
      <c r="L21" s="53" t="n">
        <f aca="false">F21-(I21-X21)</f>
        <v>156.211394000504</v>
      </c>
      <c r="M21" s="53" t="n">
        <v>219.2</v>
      </c>
      <c r="N21" s="53" t="n">
        <v>0</v>
      </c>
      <c r="O21" s="53" t="n">
        <v>0</v>
      </c>
      <c r="P21" s="6" t="n">
        <f aca="false">M21-(N21+O21)</f>
        <v>219.2</v>
      </c>
      <c r="Q21" s="53" t="n">
        <v>111.1</v>
      </c>
      <c r="R21" s="53" t="n">
        <v>72.1</v>
      </c>
      <c r="S21" s="53" t="n">
        <f aca="false">SUM(P21:R21)</f>
        <v>402.4</v>
      </c>
      <c r="T21" s="54"/>
      <c r="U21" s="53" t="n">
        <v>78.7</v>
      </c>
      <c r="V21" s="53" t="n">
        <v>40.6</v>
      </c>
      <c r="W21" s="54" t="n">
        <f aca="false">W20-V21</f>
        <v>8812.37999999998</v>
      </c>
      <c r="X21" s="6" t="n">
        <f aca="false">N21+O21+S21+U21+V21</f>
        <v>521.7</v>
      </c>
      <c r="Y21" s="53" t="n">
        <f aca="false">IF(L21&lt;0,L21*-1,0)</f>
        <v>0</v>
      </c>
      <c r="Z21" s="53" t="n">
        <f aca="false">X21+Y21</f>
        <v>521.7</v>
      </c>
      <c r="AA21" s="58" t="n">
        <v>0</v>
      </c>
      <c r="AB21" s="59" t="n">
        <v>64</v>
      </c>
      <c r="AC21" s="59" t="n">
        <v>28</v>
      </c>
      <c r="AD21" s="60" t="n">
        <f aca="false">AD20+1</f>
        <v>12</v>
      </c>
      <c r="AE21" s="96"/>
      <c r="AF21" s="95"/>
    </row>
    <row r="22" customFormat="false" ht="11.1" hidden="false" customHeight="true" outlineLevel="0" collapsed="false">
      <c r="A22" s="60" t="n">
        <f aca="false">A21+1</f>
        <v>13</v>
      </c>
      <c r="B22" s="75" t="n">
        <v>6912.1</v>
      </c>
      <c r="C22" s="54" t="n">
        <v>330452</v>
      </c>
      <c r="D22" s="59" t="n">
        <f aca="false">C22-C21</f>
        <v>2632</v>
      </c>
      <c r="E22" s="54" t="n">
        <f aca="false">C22-152000</f>
        <v>178452</v>
      </c>
      <c r="F22" s="53" t="n">
        <f aca="false">D22/$D$2</f>
        <v>1326.94731535165</v>
      </c>
      <c r="G22" s="53" t="n">
        <v>1782.8</v>
      </c>
      <c r="H22" s="57" t="n">
        <v>70.3</v>
      </c>
      <c r="I22" s="53" t="n">
        <f aca="false">G22+H22</f>
        <v>1853.1</v>
      </c>
      <c r="J22" s="83" t="n">
        <f aca="false">IF(L22&gt;0,L22,0)</f>
        <v>120.147315351651</v>
      </c>
      <c r="K22" s="53" t="n">
        <f aca="false">I22+J22</f>
        <v>1973.24731535165</v>
      </c>
      <c r="L22" s="53" t="n">
        <f aca="false">F22-(I22-X22)</f>
        <v>120.147315351651</v>
      </c>
      <c r="M22" s="53" t="n">
        <v>222.2</v>
      </c>
      <c r="N22" s="53" t="n">
        <v>0</v>
      </c>
      <c r="O22" s="53" t="n">
        <v>0</v>
      </c>
      <c r="P22" s="6" t="n">
        <f aca="false">M22-(N22+O22)</f>
        <v>222.2</v>
      </c>
      <c r="Q22" s="53" t="n">
        <v>140.1</v>
      </c>
      <c r="R22" s="53" t="n">
        <v>75</v>
      </c>
      <c r="S22" s="53" t="n">
        <f aca="false">SUM(P22:R22)</f>
        <v>437.3</v>
      </c>
      <c r="T22" s="54"/>
      <c r="U22" s="53" t="n">
        <v>81.7</v>
      </c>
      <c r="V22" s="53" t="n">
        <v>127.3</v>
      </c>
      <c r="W22" s="54" t="n">
        <f aca="false">W21</f>
        <v>8812.37999999998</v>
      </c>
      <c r="X22" s="6" t="n">
        <f aca="false">N22+O22+S22+U22+V22</f>
        <v>646.3</v>
      </c>
      <c r="Y22" s="53" t="n">
        <f aca="false">IF(L22&lt;0,L22*-1,0)</f>
        <v>0</v>
      </c>
      <c r="Z22" s="53" t="n">
        <f aca="false">X22+Y22</f>
        <v>646.3</v>
      </c>
      <c r="AA22" s="58" t="n">
        <v>0</v>
      </c>
      <c r="AB22" s="59" t="n">
        <v>62</v>
      </c>
      <c r="AC22" s="59" t="n">
        <v>26</v>
      </c>
      <c r="AD22" s="60" t="n">
        <f aca="false">AD21+1</f>
        <v>13</v>
      </c>
      <c r="AE22" s="96"/>
      <c r="AF22" s="95"/>
    </row>
    <row r="23" customFormat="false" ht="11.1" hidden="false" customHeight="true" outlineLevel="0" collapsed="false">
      <c r="A23" s="60" t="n">
        <f aca="false">A22+1</f>
        <v>14</v>
      </c>
      <c r="B23" s="75" t="n">
        <v>6912.7</v>
      </c>
      <c r="C23" s="54" t="n">
        <v>332898</v>
      </c>
      <c r="D23" s="59" t="n">
        <f aca="false">C23-C22</f>
        <v>2446</v>
      </c>
      <c r="E23" s="54" t="n">
        <f aca="false">C23-152000</f>
        <v>180898</v>
      </c>
      <c r="F23" s="53" t="n">
        <f aca="false">D23/$D$2</f>
        <v>1233.17368288379</v>
      </c>
      <c r="G23" s="53" t="n">
        <v>1897.6</v>
      </c>
      <c r="H23" s="57" t="n">
        <v>64.6</v>
      </c>
      <c r="I23" s="53" t="n">
        <f aca="false">G23+H23</f>
        <v>1962.2</v>
      </c>
      <c r="J23" s="83" t="n">
        <f aca="false">IF(L23&gt;0,L23,0)</f>
        <v>38.7736828837915</v>
      </c>
      <c r="K23" s="53" t="n">
        <f aca="false">I23+J23</f>
        <v>2000.97368288379</v>
      </c>
      <c r="L23" s="53" t="n">
        <f aca="false">F23-(I23-X23)</f>
        <v>38.7736828837915</v>
      </c>
      <c r="M23" s="53" t="n">
        <v>223.3</v>
      </c>
      <c r="N23" s="53" t="n">
        <v>0</v>
      </c>
      <c r="O23" s="53" t="n">
        <v>0</v>
      </c>
      <c r="P23" s="6" t="n">
        <f aca="false">M23-(N23+O23)</f>
        <v>223.3</v>
      </c>
      <c r="Q23" s="53" t="n">
        <v>159.2</v>
      </c>
      <c r="R23" s="53" t="n">
        <v>80.5</v>
      </c>
      <c r="S23" s="53" t="n">
        <f aca="false">SUM(P23:R23)</f>
        <v>463</v>
      </c>
      <c r="T23" s="54"/>
      <c r="U23" s="53" t="n">
        <v>96.8</v>
      </c>
      <c r="V23" s="53" t="n">
        <v>208</v>
      </c>
      <c r="W23" s="54" t="n">
        <f aca="false">W22</f>
        <v>8812.37999999998</v>
      </c>
      <c r="X23" s="6" t="n">
        <f aca="false">N23+O23+S23+U23+V23</f>
        <v>767.8</v>
      </c>
      <c r="Y23" s="53" t="n">
        <f aca="false">IF(L23&lt;0,L23*-1,0)</f>
        <v>0</v>
      </c>
      <c r="Z23" s="53" t="n">
        <f aca="false">X23+Y23</f>
        <v>767.8</v>
      </c>
      <c r="AA23" s="58" t="n">
        <v>0</v>
      </c>
      <c r="AB23" s="59" t="n">
        <v>64</v>
      </c>
      <c r="AC23" s="59" t="n">
        <v>35</v>
      </c>
      <c r="AD23" s="60" t="n">
        <f aca="false">AD22+1</f>
        <v>14</v>
      </c>
      <c r="AE23" s="96"/>
      <c r="AF23" s="95"/>
    </row>
    <row r="24" customFormat="false" ht="11.1" hidden="false" customHeight="true" outlineLevel="0" collapsed="false">
      <c r="A24" s="60" t="n">
        <f aca="false">A23+1</f>
        <v>15</v>
      </c>
      <c r="B24" s="75" t="n">
        <v>6913.22</v>
      </c>
      <c r="C24" s="54" t="n">
        <v>334984</v>
      </c>
      <c r="D24" s="59" t="n">
        <f aca="false">C24-C23</f>
        <v>2086</v>
      </c>
      <c r="E24" s="54" t="n">
        <f aca="false">C24-152000</f>
        <v>182984</v>
      </c>
      <c r="F24" s="53" t="n">
        <f aca="false">D24/$D$2</f>
        <v>1051.67632972019</v>
      </c>
      <c r="G24" s="53" t="n">
        <v>1723</v>
      </c>
      <c r="H24" s="57" t="n">
        <v>55.6</v>
      </c>
      <c r="I24" s="53" t="n">
        <f aca="false">G24+H24</f>
        <v>1778.6</v>
      </c>
      <c r="J24" s="83" t="n">
        <f aca="false">IF(L24&gt;0,L24,0)</f>
        <v>140.676329720191</v>
      </c>
      <c r="K24" s="104" t="n">
        <f aca="false">I24+J24</f>
        <v>1919.27632972019</v>
      </c>
      <c r="L24" s="53" t="n">
        <f aca="false">F24-(I24-X24)</f>
        <v>140.676329720191</v>
      </c>
      <c r="M24" s="53" t="n">
        <v>223.8</v>
      </c>
      <c r="N24" s="53" t="n">
        <v>0</v>
      </c>
      <c r="O24" s="53" t="n">
        <v>0</v>
      </c>
      <c r="P24" s="6" t="n">
        <f aca="false">M24-(N24+O24)</f>
        <v>223.8</v>
      </c>
      <c r="Q24" s="53" t="n">
        <v>160.1</v>
      </c>
      <c r="R24" s="53" t="n">
        <v>83.1</v>
      </c>
      <c r="S24" s="53" t="n">
        <f aca="false">SUM(P24:R24)</f>
        <v>467</v>
      </c>
      <c r="T24" s="54"/>
      <c r="U24" s="53" t="n">
        <v>89.3</v>
      </c>
      <c r="V24" s="53" t="n">
        <v>311.3</v>
      </c>
      <c r="W24" s="54" t="n">
        <f aca="false">W23</f>
        <v>8812.37999999998</v>
      </c>
      <c r="X24" s="6" t="n">
        <f aca="false">N24+O24+S24+U24+V24</f>
        <v>867.6</v>
      </c>
      <c r="Y24" s="53" t="n">
        <f aca="false">IF(L24&lt;0,L24*-1,0)</f>
        <v>0</v>
      </c>
      <c r="Z24" s="53" t="n">
        <f aca="false">X24+Y24</f>
        <v>867.6</v>
      </c>
      <c r="AA24" s="58" t="n">
        <v>0.11</v>
      </c>
      <c r="AB24" s="59" t="n">
        <v>52</v>
      </c>
      <c r="AC24" s="59" t="n">
        <v>28</v>
      </c>
      <c r="AD24" s="60" t="n">
        <f aca="false">AD23+1</f>
        <v>15</v>
      </c>
      <c r="AE24" s="96"/>
      <c r="AF24" s="95"/>
    </row>
    <row r="25" customFormat="false" ht="11.1" hidden="false" customHeight="true" outlineLevel="0" collapsed="false">
      <c r="A25" s="60" t="n">
        <f aca="false">A24+1</f>
        <v>16</v>
      </c>
      <c r="B25" s="75" t="n">
        <v>6913.56</v>
      </c>
      <c r="C25" s="54" t="n">
        <v>336422</v>
      </c>
      <c r="D25" s="59" t="n">
        <f aca="false">C25-C24</f>
        <v>1438</v>
      </c>
      <c r="E25" s="54" t="n">
        <f aca="false">C25-152000</f>
        <v>184422</v>
      </c>
      <c r="F25" s="53" t="n">
        <f aca="false">D25/$D$2</f>
        <v>724.981094025712</v>
      </c>
      <c r="G25" s="53" t="n">
        <v>1361.3</v>
      </c>
      <c r="H25" s="57" t="n">
        <v>36.2</v>
      </c>
      <c r="I25" s="53" t="n">
        <f aca="false">G25+H25</f>
        <v>1397.5</v>
      </c>
      <c r="J25" s="83" t="n">
        <f aca="false">IF(L25&gt;0,L25,0)</f>
        <v>107.281094025712</v>
      </c>
      <c r="K25" s="53" t="n">
        <f aca="false">I25+J25</f>
        <v>1504.78109402571</v>
      </c>
      <c r="L25" s="53" t="n">
        <f aca="false">F25-(I25-X25)</f>
        <v>107.281094025712</v>
      </c>
      <c r="M25" s="53" t="n">
        <v>224.4</v>
      </c>
      <c r="N25" s="53" t="n">
        <v>0</v>
      </c>
      <c r="O25" s="53" t="n">
        <v>0</v>
      </c>
      <c r="P25" s="6" t="n">
        <f aca="false">M25-(N25+O25)</f>
        <v>224.4</v>
      </c>
      <c r="Q25" s="53" t="n">
        <v>160.6</v>
      </c>
      <c r="R25" s="53" t="n">
        <v>83</v>
      </c>
      <c r="S25" s="53" t="n">
        <f aca="false">SUM(P25:R25)</f>
        <v>468</v>
      </c>
      <c r="T25" s="54"/>
      <c r="U25" s="53" t="n">
        <v>101.9</v>
      </c>
      <c r="V25" s="53" t="n">
        <v>209.9</v>
      </c>
      <c r="W25" s="54" t="n">
        <f aca="false">W24</f>
        <v>8812.37999999998</v>
      </c>
      <c r="X25" s="6" t="n">
        <f aca="false">N25+O25+S25+U25+V25</f>
        <v>779.8</v>
      </c>
      <c r="Y25" s="53" t="n">
        <f aca="false">IF(L25&lt;0,L25*-1,0)</f>
        <v>0</v>
      </c>
      <c r="Z25" s="53" t="n">
        <f aca="false">X25+Y25</f>
        <v>779.8</v>
      </c>
      <c r="AA25" s="58" t="n">
        <v>0</v>
      </c>
      <c r="AB25" s="59" t="n">
        <v>65</v>
      </c>
      <c r="AC25" s="59" t="n">
        <v>30</v>
      </c>
      <c r="AD25" s="60" t="n">
        <f aca="false">AD24+1</f>
        <v>16</v>
      </c>
      <c r="AE25" s="96"/>
      <c r="AF25" s="95"/>
    </row>
    <row r="26" customFormat="false" ht="11.1" hidden="false" customHeight="true" outlineLevel="0" collapsed="false">
      <c r="A26" s="60" t="n">
        <f aca="false">A25+1</f>
        <v>17</v>
      </c>
      <c r="B26" s="75" t="n">
        <v>6913.59</v>
      </c>
      <c r="C26" s="54" t="n">
        <v>336546</v>
      </c>
      <c r="D26" s="59" t="n">
        <f aca="false">C26-C25</f>
        <v>124</v>
      </c>
      <c r="E26" s="54" t="n">
        <f aca="false">C26-152000</f>
        <v>184546</v>
      </c>
      <c r="F26" s="53" t="n">
        <f aca="false">D26/$D$2</f>
        <v>62.5157549785732</v>
      </c>
      <c r="G26" s="53" t="n">
        <v>1307.5</v>
      </c>
      <c r="H26" s="57" t="n">
        <v>36.3</v>
      </c>
      <c r="I26" s="53" t="n">
        <f aca="false">G26+H26</f>
        <v>1343.8</v>
      </c>
      <c r="J26" s="83" t="n">
        <f aca="false">IF(L26&gt;0,L26,0)</f>
        <v>0</v>
      </c>
      <c r="K26" s="104" t="n">
        <f aca="false">I26+J26</f>
        <v>1343.8</v>
      </c>
      <c r="L26" s="53" t="n">
        <f aca="false">F26-(I26-X26)</f>
        <v>-104.584245021427</v>
      </c>
      <c r="M26" s="53" t="n">
        <v>223.6</v>
      </c>
      <c r="N26" s="53" t="n">
        <v>0</v>
      </c>
      <c r="O26" s="53" t="n">
        <v>0</v>
      </c>
      <c r="P26" s="6" t="n">
        <f aca="false">M26-(N26+O26)</f>
        <v>223.6</v>
      </c>
      <c r="Q26" s="53" t="n">
        <v>192.4</v>
      </c>
      <c r="R26" s="53" t="n">
        <v>83.2</v>
      </c>
      <c r="S26" s="53" t="n">
        <f aca="false">SUM(P26:R26)</f>
        <v>499.2</v>
      </c>
      <c r="T26" s="54"/>
      <c r="U26" s="53" t="n">
        <v>82.2</v>
      </c>
      <c r="V26" s="53" t="n">
        <v>595.3</v>
      </c>
      <c r="W26" s="54" t="n">
        <f aca="false">W25</f>
        <v>8812.37999999998</v>
      </c>
      <c r="X26" s="6" t="n">
        <f aca="false">N26+O26+S26+U26+V26</f>
        <v>1176.7</v>
      </c>
      <c r="Y26" s="53" t="n">
        <f aca="false">IF(L26&lt;0,L26*-1,0)</f>
        <v>104.584245021427</v>
      </c>
      <c r="Z26" s="53" t="n">
        <f aca="false">X26+Y26</f>
        <v>1281.28424502143</v>
      </c>
      <c r="AA26" s="58" t="n">
        <v>0</v>
      </c>
      <c r="AB26" s="59" t="n">
        <v>75</v>
      </c>
      <c r="AC26" s="59" t="n">
        <v>36</v>
      </c>
      <c r="AD26" s="60" t="n">
        <f aca="false">AD25+1</f>
        <v>17</v>
      </c>
      <c r="AE26" s="96"/>
      <c r="AF26" s="95"/>
    </row>
    <row r="27" customFormat="false" ht="11.1" hidden="false" customHeight="true" outlineLevel="0" collapsed="false">
      <c r="A27" s="60" t="n">
        <f aca="false">A26+1</f>
        <v>18</v>
      </c>
      <c r="B27" s="75" t="n">
        <v>6913.89</v>
      </c>
      <c r="C27" s="54" t="n">
        <v>337779</v>
      </c>
      <c r="D27" s="59" t="n">
        <f aca="false">C27-C26</f>
        <v>1233</v>
      </c>
      <c r="E27" s="54" t="n">
        <f aca="false">C27-152000</f>
        <v>185779</v>
      </c>
      <c r="F27" s="53" t="n">
        <f aca="false">D27/$D$2</f>
        <v>621.628434585329</v>
      </c>
      <c r="G27" s="53" t="n">
        <v>1597</v>
      </c>
      <c r="H27" s="57" t="n">
        <v>48.9</v>
      </c>
      <c r="I27" s="53" t="n">
        <f aca="false">G27+H27</f>
        <v>1645.9</v>
      </c>
      <c r="J27" s="83" t="n">
        <f aca="false">IF(L27&gt;0,L27,0)</f>
        <v>424.428434585329</v>
      </c>
      <c r="K27" s="53" t="n">
        <f aca="false">I27+J27</f>
        <v>2070.32843458533</v>
      </c>
      <c r="L27" s="53" t="n">
        <f aca="false">F27-(I27-X27)</f>
        <v>424.428434585329</v>
      </c>
      <c r="M27" s="53" t="n">
        <v>221.6</v>
      </c>
      <c r="N27" s="53" t="n">
        <v>0</v>
      </c>
      <c r="O27" s="53" t="n">
        <v>0</v>
      </c>
      <c r="P27" s="6" t="n">
        <f aca="false">M27-(N27+O27)</f>
        <v>221.6</v>
      </c>
      <c r="Q27" s="53" t="n">
        <v>210.9</v>
      </c>
      <c r="R27" s="53" t="n">
        <v>82.9</v>
      </c>
      <c r="S27" s="53" t="n">
        <f aca="false">SUM(P27:R27)</f>
        <v>515.4</v>
      </c>
      <c r="T27" s="54"/>
      <c r="U27" s="53" t="n">
        <v>91.3</v>
      </c>
      <c r="V27" s="53" t="n">
        <v>842</v>
      </c>
      <c r="W27" s="54" t="n">
        <f aca="false">W26</f>
        <v>8812.37999999998</v>
      </c>
      <c r="X27" s="6" t="n">
        <f aca="false">N27+O27+S27+U27+V27</f>
        <v>1448.7</v>
      </c>
      <c r="Y27" s="53" t="n">
        <f aca="false">IF(L27&lt;0,L27*-1,0)</f>
        <v>0</v>
      </c>
      <c r="Z27" s="53" t="n">
        <f aca="false">X27+Y27</f>
        <v>1448.7</v>
      </c>
      <c r="AA27" s="58" t="n">
        <v>0</v>
      </c>
      <c r="AB27" s="59" t="n">
        <v>78</v>
      </c>
      <c r="AC27" s="59" t="n">
        <v>40</v>
      </c>
      <c r="AD27" s="60" t="n">
        <f aca="false">AD26+1</f>
        <v>18</v>
      </c>
      <c r="AE27" s="96"/>
      <c r="AF27" s="95"/>
    </row>
    <row r="28" customFormat="false" ht="11.1" hidden="false" customHeight="true" outlineLevel="0" collapsed="false">
      <c r="A28" s="60" t="n">
        <f aca="false">A27+1</f>
        <v>19</v>
      </c>
      <c r="B28" s="75" t="n">
        <v>6914.15</v>
      </c>
      <c r="C28" s="102" t="n">
        <v>338852</v>
      </c>
      <c r="D28" s="59" t="n">
        <f aca="false">C28-C27</f>
        <v>1073</v>
      </c>
      <c r="E28" s="54" t="n">
        <f aca="false">C28-152000</f>
        <v>186852</v>
      </c>
      <c r="F28" s="53" t="n">
        <f aca="false">D28/$D$2</f>
        <v>540.962944290396</v>
      </c>
      <c r="G28" s="53" t="n">
        <v>1876.5</v>
      </c>
      <c r="H28" s="57" t="n">
        <v>56.9</v>
      </c>
      <c r="I28" s="53" t="n">
        <f aca="false">G28+H28</f>
        <v>1933.4</v>
      </c>
      <c r="J28" s="83" t="n">
        <f aca="false">IF(L28&gt;0,L28,0)</f>
        <v>86.4629442903958</v>
      </c>
      <c r="K28" s="53" t="n">
        <f aca="false">I28+J28</f>
        <v>2019.8629442904</v>
      </c>
      <c r="L28" s="53" t="n">
        <f aca="false">F28-(I28-X28)</f>
        <v>86.4629442903958</v>
      </c>
      <c r="M28" s="53" t="n">
        <v>222.2</v>
      </c>
      <c r="N28" s="53" t="n">
        <v>0</v>
      </c>
      <c r="O28" s="53" t="n">
        <v>0</v>
      </c>
      <c r="P28" s="6" t="n">
        <f aca="false">M28-(N28+O28)</f>
        <v>222.2</v>
      </c>
      <c r="Q28" s="53" t="n">
        <v>210.8</v>
      </c>
      <c r="R28" s="53" t="n">
        <v>82.9</v>
      </c>
      <c r="S28" s="53" t="n">
        <f aca="false">SUM(P28:R28)</f>
        <v>515.9</v>
      </c>
      <c r="T28" s="54"/>
      <c r="U28" s="53" t="n">
        <v>121</v>
      </c>
      <c r="V28" s="53" t="n">
        <v>842</v>
      </c>
      <c r="W28" s="54" t="n">
        <f aca="false">W27</f>
        <v>8812.37999999998</v>
      </c>
      <c r="X28" s="6" t="n">
        <f aca="false">N28+O28+S28+U28+V28</f>
        <v>1478.9</v>
      </c>
      <c r="Y28" s="53" t="n">
        <f aca="false">IF(L28&lt;0,L28*-1,0)</f>
        <v>0</v>
      </c>
      <c r="Z28" s="53" t="n">
        <f aca="false">X28+Y28</f>
        <v>1478.9</v>
      </c>
      <c r="AA28" s="58" t="n">
        <v>0</v>
      </c>
      <c r="AB28" s="59" t="n">
        <v>77</v>
      </c>
      <c r="AC28" s="59" t="n">
        <v>42</v>
      </c>
      <c r="AD28" s="60" t="n">
        <f aca="false">AD27+1</f>
        <v>19</v>
      </c>
      <c r="AE28" s="96"/>
      <c r="AF28" s="95"/>
    </row>
    <row r="29" customFormat="false" ht="11.1" hidden="false" customHeight="true" outlineLevel="0" collapsed="false">
      <c r="A29" s="60" t="n">
        <f aca="false">A28+1</f>
        <v>20</v>
      </c>
      <c r="B29" s="75" t="n">
        <v>6914.5</v>
      </c>
      <c r="C29" s="54" t="n">
        <v>340301</v>
      </c>
      <c r="D29" s="59" t="n">
        <f aca="false">C29-C28</f>
        <v>1449</v>
      </c>
      <c r="E29" s="54" t="n">
        <f aca="false">C29-152000</f>
        <v>188301</v>
      </c>
      <c r="F29" s="53" t="n">
        <f aca="false">D29/$D$2</f>
        <v>730.526846483489</v>
      </c>
      <c r="G29" s="53" t="n">
        <v>1856.1</v>
      </c>
      <c r="H29" s="57" t="n">
        <v>51</v>
      </c>
      <c r="I29" s="53" t="n">
        <f aca="false">G29+H29</f>
        <v>1907.1</v>
      </c>
      <c r="J29" s="83" t="n">
        <f aca="false">IF(L29&gt;0,L29,0)</f>
        <v>301.826846483489</v>
      </c>
      <c r="K29" s="53" t="n">
        <f aca="false">I29+J29</f>
        <v>2208.92684648349</v>
      </c>
      <c r="L29" s="53" t="n">
        <f aca="false">F29-(I29-X29)</f>
        <v>301.826846483489</v>
      </c>
      <c r="M29" s="53" t="n">
        <v>222.2</v>
      </c>
      <c r="N29" s="53" t="n">
        <v>0</v>
      </c>
      <c r="O29" s="53" t="n">
        <v>0</v>
      </c>
      <c r="P29" s="6" t="n">
        <f aca="false">M29-(N29+O29)</f>
        <v>222.2</v>
      </c>
      <c r="Q29" s="53" t="n">
        <v>211.2</v>
      </c>
      <c r="R29" s="53" t="n">
        <v>83</v>
      </c>
      <c r="S29" s="53" t="n">
        <f aca="false">SUM(P29:R29)</f>
        <v>516.4</v>
      </c>
      <c r="T29" s="54"/>
      <c r="U29" s="53" t="n">
        <v>120</v>
      </c>
      <c r="V29" s="53" t="n">
        <v>842</v>
      </c>
      <c r="W29" s="54" t="n">
        <f aca="false">W28</f>
        <v>8812.37999999998</v>
      </c>
      <c r="X29" s="6" t="n">
        <f aca="false">N29+O29+S29+U29+V29</f>
        <v>1478.4</v>
      </c>
      <c r="Y29" s="53" t="n">
        <f aca="false">IF(L29&lt;0,L29*-1,0)</f>
        <v>0</v>
      </c>
      <c r="Z29" s="53" t="n">
        <f aca="false">X29+Y29</f>
        <v>1478.4</v>
      </c>
      <c r="AA29" s="58" t="n">
        <v>0</v>
      </c>
      <c r="AB29" s="59" t="n">
        <v>80</v>
      </c>
      <c r="AC29" s="59" t="n">
        <v>50</v>
      </c>
      <c r="AD29" s="60" t="n">
        <f aca="false">AD28+1</f>
        <v>20</v>
      </c>
      <c r="AE29" s="96"/>
      <c r="AF29" s="95"/>
    </row>
    <row r="30" customFormat="false" ht="11.1" hidden="false" customHeight="true" outlineLevel="0" collapsed="false">
      <c r="A30" s="60" t="n">
        <f aca="false">A29+1</f>
        <v>21</v>
      </c>
      <c r="B30" s="114" t="n">
        <v>6914.9</v>
      </c>
      <c r="C30" s="54" t="n">
        <v>341958</v>
      </c>
      <c r="D30" s="59" t="n">
        <f aca="false">C30-C29</f>
        <v>1657</v>
      </c>
      <c r="E30" s="54" t="n">
        <f aca="false">C30-152000</f>
        <v>189958</v>
      </c>
      <c r="F30" s="53" t="n">
        <f aca="false">D30/$D$2</f>
        <v>835.391983866902</v>
      </c>
      <c r="G30" s="53" t="n">
        <v>1799.4</v>
      </c>
      <c r="H30" s="57" t="n">
        <v>63.8</v>
      </c>
      <c r="I30" s="53" t="n">
        <f aca="false">G30+H30</f>
        <v>1863.2</v>
      </c>
      <c r="J30" s="83" t="n">
        <f aca="false">IF(L30&gt;0,L30,0)</f>
        <v>425.291983866902</v>
      </c>
      <c r="K30" s="53" t="n">
        <f aca="false">I30+J30</f>
        <v>2288.4919838669</v>
      </c>
      <c r="L30" s="53" t="n">
        <f aca="false">F30-(I30-X30)</f>
        <v>425.291983866902</v>
      </c>
      <c r="M30" s="53" t="n">
        <v>231.9</v>
      </c>
      <c r="N30" s="53" t="n">
        <v>0</v>
      </c>
      <c r="O30" s="53" t="n">
        <v>0</v>
      </c>
      <c r="P30" s="6" t="n">
        <f aca="false">M30-(N30+O30)</f>
        <v>231.9</v>
      </c>
      <c r="Q30" s="53" t="n">
        <v>211</v>
      </c>
      <c r="R30" s="53" t="n">
        <v>83</v>
      </c>
      <c r="S30" s="53" t="n">
        <f aca="false">SUM(P30:R30)</f>
        <v>525.9</v>
      </c>
      <c r="T30" s="54"/>
      <c r="U30" s="53" t="n">
        <v>85.2</v>
      </c>
      <c r="V30" s="53" t="n">
        <v>842</v>
      </c>
      <c r="W30" s="54" t="n">
        <f aca="false">W29</f>
        <v>8812.37999999998</v>
      </c>
      <c r="X30" s="6" t="n">
        <f aca="false">N30+O30+S30+U30+V30</f>
        <v>1453.1</v>
      </c>
      <c r="Y30" s="53" t="n">
        <f aca="false">IF(L30&lt;0,L30*-1,0)</f>
        <v>0</v>
      </c>
      <c r="Z30" s="53" t="n">
        <f aca="false">X30+Y30</f>
        <v>1453.1</v>
      </c>
      <c r="AA30" s="58" t="n">
        <v>0</v>
      </c>
      <c r="AB30" s="59" t="n">
        <v>71</v>
      </c>
      <c r="AC30" s="59" t="n">
        <v>36</v>
      </c>
      <c r="AD30" s="60" t="n">
        <f aca="false">AD29+1</f>
        <v>21</v>
      </c>
      <c r="AE30" s="96"/>
      <c r="AF30" s="95"/>
    </row>
    <row r="31" customFormat="false" ht="11.1" hidden="false" customHeight="true" outlineLevel="0" collapsed="false">
      <c r="A31" s="60" t="n">
        <f aca="false">A30+1</f>
        <v>22</v>
      </c>
      <c r="B31" s="75" t="n">
        <v>6915.1</v>
      </c>
      <c r="C31" s="54" t="n">
        <v>342790</v>
      </c>
      <c r="D31" s="59" t="n">
        <f aca="false">C31-C30</f>
        <v>832</v>
      </c>
      <c r="E31" s="54" t="n">
        <f aca="false">C31-152000</f>
        <v>190790</v>
      </c>
      <c r="F31" s="53" t="n">
        <f aca="false">D31/$D$2</f>
        <v>419.460549533653</v>
      </c>
      <c r="G31" s="53" t="n">
        <v>1786.6</v>
      </c>
      <c r="H31" s="57" t="n">
        <v>52</v>
      </c>
      <c r="I31" s="53" t="n">
        <f aca="false">G31+H31</f>
        <v>1838.6</v>
      </c>
      <c r="J31" s="83" t="n">
        <f aca="false">IF(L31&gt;0,L31,0)</f>
        <v>40.0605495336528</v>
      </c>
      <c r="K31" s="53" t="n">
        <f aca="false">I31+J31</f>
        <v>1878.66054953365</v>
      </c>
      <c r="L31" s="53" t="n">
        <f aca="false">F31-(I31-X31)</f>
        <v>40.0605495336528</v>
      </c>
      <c r="M31" s="53" t="n">
        <v>238.7</v>
      </c>
      <c r="N31" s="53" t="n">
        <v>0</v>
      </c>
      <c r="O31" s="53" t="n">
        <v>0</v>
      </c>
      <c r="P31" s="6" t="n">
        <f aca="false">M31-(N31+O31)</f>
        <v>238.7</v>
      </c>
      <c r="Q31" s="53" t="n">
        <v>211.9</v>
      </c>
      <c r="R31" s="53" t="n">
        <v>82.9</v>
      </c>
      <c r="S31" s="104" t="n">
        <f aca="false">SUM(P31:R31)</f>
        <v>533.5</v>
      </c>
      <c r="T31" s="54"/>
      <c r="U31" s="53" t="n">
        <v>83.7</v>
      </c>
      <c r="V31" s="53" t="n">
        <v>842</v>
      </c>
      <c r="W31" s="54" t="n">
        <f aca="false">W30</f>
        <v>8812.37999999998</v>
      </c>
      <c r="X31" s="6" t="n">
        <f aca="false">N31+O31+S31+U31+V31</f>
        <v>1459.2</v>
      </c>
      <c r="Y31" s="53" t="n">
        <f aca="false">IF(L31&lt;0,L31*-1,0)</f>
        <v>0</v>
      </c>
      <c r="Z31" s="53" t="n">
        <f aca="false">X31+Y31</f>
        <v>1459.2</v>
      </c>
      <c r="AA31" s="58" t="n">
        <v>0.03</v>
      </c>
      <c r="AB31" s="59" t="n">
        <v>74</v>
      </c>
      <c r="AC31" s="59" t="n">
        <v>34</v>
      </c>
      <c r="AD31" s="60" t="n">
        <f aca="false">AD30+1</f>
        <v>22</v>
      </c>
      <c r="AE31" s="96"/>
      <c r="AF31" s="95"/>
    </row>
    <row r="32" customFormat="false" ht="11.1" hidden="false" customHeight="true" outlineLevel="0" collapsed="false">
      <c r="A32" s="60" t="n">
        <f aca="false">A31+1</f>
        <v>23</v>
      </c>
      <c r="B32" s="75" t="n">
        <v>6915.16</v>
      </c>
      <c r="C32" s="54" t="n">
        <v>343040</v>
      </c>
      <c r="D32" s="59" t="n">
        <f aca="false">C32-C31</f>
        <v>250</v>
      </c>
      <c r="E32" s="54" t="n">
        <f aca="false">C32-152000</f>
        <v>191040</v>
      </c>
      <c r="F32" s="53" t="n">
        <f aca="false">D32/$D$2</f>
        <v>126.039828585833</v>
      </c>
      <c r="G32" s="53" t="n">
        <v>1629.3</v>
      </c>
      <c r="H32" s="57" t="n">
        <v>41</v>
      </c>
      <c r="I32" s="53" t="n">
        <f aca="false">G32+H32</f>
        <v>1670.3</v>
      </c>
      <c r="J32" s="83" t="n">
        <f aca="false">IF(L32&gt;0,L32,0)</f>
        <v>0</v>
      </c>
      <c r="K32" s="53" t="n">
        <f aca="false">I32+J32</f>
        <v>1670.3</v>
      </c>
      <c r="L32" s="53" t="n">
        <f aca="false">F32-(I32-X32)</f>
        <v>-32.5601714141668</v>
      </c>
      <c r="M32" s="53" t="n">
        <v>236.2</v>
      </c>
      <c r="N32" s="53" t="n">
        <v>0</v>
      </c>
      <c r="O32" s="53" t="n">
        <v>0</v>
      </c>
      <c r="P32" s="6" t="n">
        <f aca="false">M32-(N32+O32)</f>
        <v>236.2</v>
      </c>
      <c r="Q32" s="53" t="n">
        <v>212.3</v>
      </c>
      <c r="R32" s="53" t="n">
        <v>83</v>
      </c>
      <c r="S32" s="53" t="n">
        <f aca="false">SUM(P32:R32)</f>
        <v>531.5</v>
      </c>
      <c r="T32" s="54"/>
      <c r="U32" s="53" t="n">
        <v>138.2</v>
      </c>
      <c r="V32" s="53" t="n">
        <v>842</v>
      </c>
      <c r="W32" s="54" t="n">
        <f aca="false">W31</f>
        <v>8812.37999999998</v>
      </c>
      <c r="X32" s="6" t="n">
        <f aca="false">N32+O32+S32+U32+V32</f>
        <v>1511.7</v>
      </c>
      <c r="Y32" s="53" t="n">
        <f aca="false">IF(L32&lt;0,L32*-1,0)</f>
        <v>32.5601714141668</v>
      </c>
      <c r="Z32" s="53" t="n">
        <f aca="false">X32+Y32</f>
        <v>1544.26017141417</v>
      </c>
      <c r="AA32" s="58" t="n">
        <v>0</v>
      </c>
      <c r="AB32" s="59" t="n">
        <v>62</v>
      </c>
      <c r="AC32" s="59" t="n">
        <v>34</v>
      </c>
      <c r="AD32" s="60" t="n">
        <f aca="false">AD31+1</f>
        <v>23</v>
      </c>
      <c r="AE32" s="96"/>
      <c r="AF32" s="95"/>
    </row>
    <row r="33" customFormat="false" ht="11.1" hidden="false" customHeight="true" outlineLevel="0" collapsed="false">
      <c r="A33" s="60" t="n">
        <f aca="false">A32+1</f>
        <v>24</v>
      </c>
      <c r="B33" s="75" t="n">
        <v>6915.2</v>
      </c>
      <c r="C33" s="54" t="n">
        <v>343207</v>
      </c>
      <c r="D33" s="59" t="n">
        <f aca="false">C33-C32</f>
        <v>167</v>
      </c>
      <c r="E33" s="54" t="n">
        <f aca="false">C33-152000</f>
        <v>191207</v>
      </c>
      <c r="F33" s="53" t="n">
        <f aca="false">D33/$D$2</f>
        <v>84.1946054953365</v>
      </c>
      <c r="G33" s="53" t="n">
        <v>1453</v>
      </c>
      <c r="H33" s="57" t="n">
        <v>30.3</v>
      </c>
      <c r="I33" s="53" t="n">
        <f aca="false">G33+H33</f>
        <v>1483.3</v>
      </c>
      <c r="J33" s="83" t="n">
        <f aca="false">IF(L33&gt;0,L33,0)</f>
        <v>106.994605495336</v>
      </c>
      <c r="K33" s="53" t="n">
        <f aca="false">I33+J33</f>
        <v>1590.29460549534</v>
      </c>
      <c r="L33" s="53" t="n">
        <f aca="false">F33-(I33-X33)</f>
        <v>106.994605495336</v>
      </c>
      <c r="M33" s="53" t="n">
        <v>233.8</v>
      </c>
      <c r="N33" s="53" t="n">
        <v>0</v>
      </c>
      <c r="O33" s="53" t="n">
        <v>0</v>
      </c>
      <c r="P33" s="6" t="n">
        <f aca="false">M33-(N33+O33)</f>
        <v>233.8</v>
      </c>
      <c r="Q33" s="53" t="n">
        <v>212.1</v>
      </c>
      <c r="R33" s="53" t="n">
        <v>83.6</v>
      </c>
      <c r="S33" s="53" t="n">
        <f aca="false">SUM(P33:R33)</f>
        <v>529.5</v>
      </c>
      <c r="T33" s="54"/>
      <c r="U33" s="53" t="n">
        <v>134.6</v>
      </c>
      <c r="V33" s="53" t="n">
        <v>842</v>
      </c>
      <c r="W33" s="54" t="n">
        <f aca="false">W32</f>
        <v>8812.37999999998</v>
      </c>
      <c r="X33" s="6" t="n">
        <f aca="false">N33+O33+S33+U33+V33</f>
        <v>1506.1</v>
      </c>
      <c r="Y33" s="53" t="n">
        <f aca="false">IF(L33&lt;0,L33*-1,0)</f>
        <v>0</v>
      </c>
      <c r="Z33" s="53" t="n">
        <f aca="false">X33+Y33</f>
        <v>1506.1</v>
      </c>
      <c r="AA33" s="58" t="n">
        <v>0</v>
      </c>
      <c r="AB33" s="59" t="n">
        <v>71</v>
      </c>
      <c r="AC33" s="59" t="n">
        <v>38</v>
      </c>
      <c r="AD33" s="60" t="n">
        <f aca="false">AD32+1</f>
        <v>24</v>
      </c>
      <c r="AE33" s="96"/>
      <c r="AF33" s="95"/>
    </row>
    <row r="34" customFormat="false" ht="11.1" hidden="false" customHeight="true" outlineLevel="0" collapsed="false">
      <c r="A34" s="60" t="n">
        <f aca="false">A33+1</f>
        <v>25</v>
      </c>
      <c r="B34" s="75" t="n">
        <v>6915.21</v>
      </c>
      <c r="C34" s="54" t="n">
        <v>343249</v>
      </c>
      <c r="D34" s="59" t="n">
        <f aca="false">C34-C33</f>
        <v>42</v>
      </c>
      <c r="E34" s="54" t="n">
        <f aca="false">C34-152000</f>
        <v>191249</v>
      </c>
      <c r="F34" s="53" t="n">
        <f aca="false">D34/$D$2</f>
        <v>21.17469120242</v>
      </c>
      <c r="G34" s="53" t="n">
        <v>1387.7</v>
      </c>
      <c r="H34" s="57" t="n">
        <v>23.6</v>
      </c>
      <c r="I34" s="53" t="n">
        <f aca="false">G34+H34</f>
        <v>1411.3</v>
      </c>
      <c r="J34" s="83" t="n">
        <f aca="false">IF(L34&gt;0,L34,0)</f>
        <v>89.2746912024201</v>
      </c>
      <c r="K34" s="53" t="n">
        <f aca="false">I34+J34</f>
        <v>1500.57469120242</v>
      </c>
      <c r="L34" s="53" t="n">
        <f aca="false">F34-(I34-X34)</f>
        <v>89.2746912024201</v>
      </c>
      <c r="M34" s="53" t="n">
        <v>229</v>
      </c>
      <c r="N34" s="53" t="n">
        <v>0</v>
      </c>
      <c r="O34" s="53" t="n">
        <v>0</v>
      </c>
      <c r="P34" s="6" t="n">
        <f aca="false">M34-(N34+O34)</f>
        <v>229</v>
      </c>
      <c r="Q34" s="53" t="n">
        <v>211.9</v>
      </c>
      <c r="R34" s="53" t="n">
        <v>83.5</v>
      </c>
      <c r="S34" s="53" t="n">
        <f aca="false">SUM(P34:R34)</f>
        <v>524.4</v>
      </c>
      <c r="T34" s="54"/>
      <c r="U34" s="53" t="n">
        <v>113</v>
      </c>
      <c r="V34" s="53" t="n">
        <v>842</v>
      </c>
      <c r="W34" s="54" t="n">
        <f aca="false">W33</f>
        <v>8812.37999999998</v>
      </c>
      <c r="X34" s="6" t="n">
        <f aca="false">N34+O34+S34+U34+V34</f>
        <v>1479.4</v>
      </c>
      <c r="Y34" s="53" t="n">
        <f aca="false">IF(L34&lt;0,L34*-1,0)</f>
        <v>0</v>
      </c>
      <c r="Z34" s="53" t="n">
        <f aca="false">X34+Y34</f>
        <v>1479.4</v>
      </c>
      <c r="AA34" s="58" t="n">
        <v>0</v>
      </c>
      <c r="AB34" s="59" t="n">
        <v>71</v>
      </c>
      <c r="AC34" s="59" t="n">
        <v>36</v>
      </c>
      <c r="AD34" s="60" t="n">
        <f aca="false">AD33+1</f>
        <v>25</v>
      </c>
      <c r="AE34" s="96"/>
      <c r="AF34" s="95"/>
    </row>
    <row r="35" customFormat="false" ht="11.1" hidden="false" customHeight="true" outlineLevel="0" collapsed="false">
      <c r="A35" s="60" t="n">
        <f aca="false">A34+1</f>
        <v>26</v>
      </c>
      <c r="B35" s="75" t="n">
        <v>6915.26</v>
      </c>
      <c r="C35" s="54" t="n">
        <v>343458</v>
      </c>
      <c r="D35" s="59" t="n">
        <f aca="false">C35-C34</f>
        <v>209</v>
      </c>
      <c r="E35" s="54" t="n">
        <f aca="false">C35-152000</f>
        <v>191458</v>
      </c>
      <c r="F35" s="53" t="n">
        <f aca="false">D35/$D$2</f>
        <v>105.369296697756</v>
      </c>
      <c r="G35" s="53" t="n">
        <v>1441.5</v>
      </c>
      <c r="H35" s="57" t="n">
        <v>20.8</v>
      </c>
      <c r="I35" s="53" t="n">
        <f aca="false">G35+H35</f>
        <v>1462.3</v>
      </c>
      <c r="J35" s="83" t="n">
        <f aca="false">IF(L35&gt;0,L35,0)</f>
        <v>147.269296697757</v>
      </c>
      <c r="K35" s="53" t="n">
        <f aca="false">I35+J35</f>
        <v>1609.56929669776</v>
      </c>
      <c r="L35" s="53" t="n">
        <f aca="false">F35-(I35-X35)</f>
        <v>147.269296697757</v>
      </c>
      <c r="M35" s="53" t="n">
        <v>229.3</v>
      </c>
      <c r="N35" s="53" t="n">
        <v>0</v>
      </c>
      <c r="O35" s="53" t="n">
        <v>0</v>
      </c>
      <c r="P35" s="6" t="n">
        <f aca="false">M35-(N35+O35)</f>
        <v>229.3</v>
      </c>
      <c r="Q35" s="53" t="n">
        <v>212.1</v>
      </c>
      <c r="R35" s="53" t="n">
        <v>83.6</v>
      </c>
      <c r="S35" s="53" t="n">
        <f aca="false">SUM(P35:R35)</f>
        <v>525</v>
      </c>
      <c r="T35" s="54"/>
      <c r="U35" s="53" t="n">
        <v>137.2</v>
      </c>
      <c r="V35" s="53" t="n">
        <v>842</v>
      </c>
      <c r="W35" s="54" t="n">
        <f aca="false">W34</f>
        <v>8812.37999999998</v>
      </c>
      <c r="X35" s="6" t="n">
        <f aca="false">N35+O35+S35+U35+V35</f>
        <v>1504.2</v>
      </c>
      <c r="Y35" s="53" t="n">
        <f aca="false">IF(L35&lt;0,L35*-1,0)</f>
        <v>0</v>
      </c>
      <c r="Z35" s="53" t="n">
        <f aca="false">X35+Y35</f>
        <v>1504.2</v>
      </c>
      <c r="AA35" s="58" t="n">
        <v>0</v>
      </c>
      <c r="AB35" s="59" t="n">
        <v>79</v>
      </c>
      <c r="AC35" s="59" t="n">
        <v>38</v>
      </c>
      <c r="AD35" s="60" t="n">
        <f aca="false">AD34+1</f>
        <v>26</v>
      </c>
      <c r="AE35" s="96"/>
      <c r="AF35" s="95"/>
    </row>
    <row r="36" customFormat="false" ht="11.1" hidden="false" customHeight="true" outlineLevel="0" collapsed="false">
      <c r="A36" s="60" t="n">
        <f aca="false">A35+1</f>
        <v>27</v>
      </c>
      <c r="B36" s="75" t="n">
        <v>6915.4</v>
      </c>
      <c r="C36" s="54" t="n">
        <v>344042</v>
      </c>
      <c r="D36" s="59" t="n">
        <f aca="false">C36-C35</f>
        <v>584</v>
      </c>
      <c r="E36" s="54" t="n">
        <f aca="false">C36-152000</f>
        <v>192042</v>
      </c>
      <c r="F36" s="53" t="n">
        <f aca="false">D36/$D$2</f>
        <v>294.429039576506</v>
      </c>
      <c r="G36" s="53" t="n">
        <v>1627.8</v>
      </c>
      <c r="H36" s="57" t="n">
        <v>19.1</v>
      </c>
      <c r="I36" s="53" t="n">
        <f aca="false">G36+H36</f>
        <v>1646.9</v>
      </c>
      <c r="J36" s="83" t="n">
        <f aca="false">IF(L36&gt;0,L36,0)</f>
        <v>149.129039576506</v>
      </c>
      <c r="K36" s="53" t="n">
        <f aca="false">I36+J36</f>
        <v>1796.02903957651</v>
      </c>
      <c r="L36" s="53" t="n">
        <f aca="false">F36-(I36-X36)</f>
        <v>149.129039576506</v>
      </c>
      <c r="M36" s="53" t="n">
        <v>229.6</v>
      </c>
      <c r="N36" s="53" t="n">
        <v>0</v>
      </c>
      <c r="O36" s="53" t="n">
        <v>0</v>
      </c>
      <c r="P36" s="6" t="n">
        <f aca="false">M36-(N36+O36)</f>
        <v>229.6</v>
      </c>
      <c r="Q36" s="53" t="n">
        <v>212.3</v>
      </c>
      <c r="R36" s="53" t="n">
        <v>83.6</v>
      </c>
      <c r="S36" s="53" t="n">
        <f aca="false">SUM(P36:R36)</f>
        <v>525.5</v>
      </c>
      <c r="T36" s="54"/>
      <c r="U36" s="53" t="n">
        <v>134.1</v>
      </c>
      <c r="V36" s="53" t="n">
        <v>842</v>
      </c>
      <c r="W36" s="54" t="n">
        <f aca="false">W35</f>
        <v>8812.37999999998</v>
      </c>
      <c r="X36" s="6" t="n">
        <f aca="false">N36+O36+S36+U36+V36</f>
        <v>1501.6</v>
      </c>
      <c r="Y36" s="53" t="n">
        <f aca="false">IF(L36&lt;0,L36*-1,0)</f>
        <v>0</v>
      </c>
      <c r="Z36" s="53" t="n">
        <f aca="false">X36+Y36</f>
        <v>1501.6</v>
      </c>
      <c r="AA36" s="58" t="n">
        <v>0</v>
      </c>
      <c r="AB36" s="59" t="n">
        <v>74</v>
      </c>
      <c r="AC36" s="59" t="n">
        <v>34</v>
      </c>
      <c r="AD36" s="60" t="n">
        <f aca="false">AD35+1</f>
        <v>27</v>
      </c>
      <c r="AE36" s="96"/>
      <c r="AF36" s="95"/>
    </row>
    <row r="37" customFormat="false" ht="11.1" hidden="false" customHeight="true" outlineLevel="0" collapsed="false">
      <c r="A37" s="60" t="n">
        <v>28</v>
      </c>
      <c r="B37" s="75" t="n">
        <v>6915.67</v>
      </c>
      <c r="C37" s="54" t="n">
        <v>345169</v>
      </c>
      <c r="D37" s="59" t="n">
        <f aca="false">C37-C36</f>
        <v>1127</v>
      </c>
      <c r="E37" s="54" t="n">
        <f aca="false">C37-152000</f>
        <v>193169</v>
      </c>
      <c r="F37" s="53" t="n">
        <f aca="false">D37/$D$2</f>
        <v>568.187547264936</v>
      </c>
      <c r="G37" s="53" t="n">
        <v>1684</v>
      </c>
      <c r="H37" s="57" t="n">
        <v>9.4</v>
      </c>
      <c r="I37" s="53" t="n">
        <f aca="false">G37+H37</f>
        <v>1693.4</v>
      </c>
      <c r="J37" s="83" t="n">
        <f aca="false">IF(L37&gt;0,L37,0)</f>
        <v>181.387547264936</v>
      </c>
      <c r="K37" s="53" t="n">
        <f aca="false">I37+J37</f>
        <v>1874.78754726494</v>
      </c>
      <c r="L37" s="53" t="n">
        <f aca="false">F37-(I37-X37)</f>
        <v>181.387547264936</v>
      </c>
      <c r="M37" s="53" t="n">
        <v>230.2</v>
      </c>
      <c r="N37" s="53" t="n">
        <v>0</v>
      </c>
      <c r="O37" s="53" t="n">
        <v>0</v>
      </c>
      <c r="P37" s="6" t="n">
        <f aca="false">M37-(N37+O37)</f>
        <v>230.2</v>
      </c>
      <c r="Q37" s="53" t="n">
        <v>213.1</v>
      </c>
      <c r="R37" s="53" t="n">
        <v>83.2</v>
      </c>
      <c r="S37" s="53" t="n">
        <f aca="false">SUM(P37:R37)</f>
        <v>526.5</v>
      </c>
      <c r="T37" s="54"/>
      <c r="U37" s="53" t="n">
        <v>136.2</v>
      </c>
      <c r="V37" s="53" t="n">
        <v>643.9</v>
      </c>
      <c r="W37" s="54" t="n">
        <f aca="false">W36</f>
        <v>8812.37999999998</v>
      </c>
      <c r="X37" s="6" t="n">
        <f aca="false">N37+O37+S37+U37+V37</f>
        <v>1306.6</v>
      </c>
      <c r="Y37" s="53" t="n">
        <f aca="false">IF(L37&lt;0,L37*-1,0)</f>
        <v>0</v>
      </c>
      <c r="Z37" s="53" t="n">
        <f aca="false">X37+Y37</f>
        <v>1306.6</v>
      </c>
      <c r="AA37" s="58" t="n">
        <v>0</v>
      </c>
      <c r="AB37" s="59" t="n">
        <v>71</v>
      </c>
      <c r="AC37" s="59" t="n">
        <v>40</v>
      </c>
      <c r="AD37" s="60" t="n">
        <v>28</v>
      </c>
      <c r="AE37" s="96"/>
      <c r="AF37" s="95"/>
    </row>
    <row r="38" customFormat="false" ht="11.1" hidden="false" customHeight="true" outlineLevel="0" collapsed="false">
      <c r="A38" s="60" t="n">
        <v>29</v>
      </c>
      <c r="B38" s="75" t="n">
        <v>6916</v>
      </c>
      <c r="C38" s="54" t="n">
        <v>346547</v>
      </c>
      <c r="D38" s="59" t="n">
        <f aca="false">C38-C37</f>
        <v>1378</v>
      </c>
      <c r="E38" s="54" t="n">
        <f aca="false">C38-152000</f>
        <v>194547</v>
      </c>
      <c r="F38" s="53" t="n">
        <f aca="false">D38/$D$2</f>
        <v>694.731535165112</v>
      </c>
      <c r="G38" s="53" t="n">
        <v>1506.1</v>
      </c>
      <c r="H38" s="57" t="n">
        <v>7</v>
      </c>
      <c r="I38" s="53" t="n">
        <f aca="false">G38+H38</f>
        <v>1513.1</v>
      </c>
      <c r="J38" s="83" t="n">
        <f aca="false">IF(L38&gt;0,L38,0)</f>
        <v>116.431535165112</v>
      </c>
      <c r="K38" s="53" t="n">
        <f aca="false">I38+J38</f>
        <v>1629.53153516511</v>
      </c>
      <c r="L38" s="53" t="n">
        <f aca="false">F38-(I38-X38)</f>
        <v>116.431535165112</v>
      </c>
      <c r="M38" s="53" t="n">
        <v>230.2</v>
      </c>
      <c r="N38" s="53" t="n">
        <v>0</v>
      </c>
      <c r="O38" s="53" t="n">
        <v>0</v>
      </c>
      <c r="P38" s="6" t="n">
        <f aca="false">M38-(N38+O38)</f>
        <v>230.2</v>
      </c>
      <c r="Q38" s="53" t="n">
        <v>213</v>
      </c>
      <c r="R38" s="53" t="n">
        <v>83.3</v>
      </c>
      <c r="S38" s="53" t="n">
        <f aca="false">SUM(P38:R38)</f>
        <v>526.5</v>
      </c>
      <c r="T38" s="54"/>
      <c r="U38" s="53" t="n">
        <v>143.7</v>
      </c>
      <c r="V38" s="53" t="n">
        <v>264.6</v>
      </c>
      <c r="W38" s="54" t="n">
        <f aca="false">W37</f>
        <v>8812.37999999998</v>
      </c>
      <c r="X38" s="6" t="n">
        <f aca="false">N38+O38+S38+U38+V38</f>
        <v>934.8</v>
      </c>
      <c r="Y38" s="53" t="n">
        <f aca="false">IF(L38&lt;0,L38*-1,0)</f>
        <v>0</v>
      </c>
      <c r="Z38" s="53" t="n">
        <f aca="false">X38+Y38</f>
        <v>934.8</v>
      </c>
      <c r="AA38" s="58" t="n">
        <v>0</v>
      </c>
      <c r="AB38" s="59" t="n">
        <v>72</v>
      </c>
      <c r="AC38" s="59" t="n">
        <v>36</v>
      </c>
      <c r="AD38" s="60" t="n">
        <v>29</v>
      </c>
      <c r="AE38" s="96"/>
      <c r="AF38" s="95"/>
    </row>
    <row r="39" customFormat="false" ht="11.1" hidden="false" customHeight="true" outlineLevel="0" collapsed="false">
      <c r="A39" s="60" t="n">
        <v>30</v>
      </c>
      <c r="B39" s="75" t="n">
        <v>6916.38</v>
      </c>
      <c r="C39" s="54" t="n">
        <v>348145</v>
      </c>
      <c r="D39" s="59" t="n">
        <f aca="false">C39-C38</f>
        <v>1598</v>
      </c>
      <c r="E39" s="54" t="n">
        <f aca="false">C39-152000</f>
        <v>196145</v>
      </c>
      <c r="F39" s="53" t="n">
        <f aca="false">D39/$D$2</f>
        <v>805.646584320645</v>
      </c>
      <c r="G39" s="53" t="n">
        <v>1515.3</v>
      </c>
      <c r="H39" s="57" t="n">
        <v>6.2</v>
      </c>
      <c r="I39" s="53" t="n">
        <f aca="false">G39+H39</f>
        <v>1521.5</v>
      </c>
      <c r="J39" s="83" t="n">
        <f aca="false">IF(L39&gt;0,L39,0)</f>
        <v>43.2465843206452</v>
      </c>
      <c r="K39" s="53" t="n">
        <f aca="false">I39+J39</f>
        <v>1564.74658432065</v>
      </c>
      <c r="L39" s="53" t="n">
        <f aca="false">F39-(I39-X39)</f>
        <v>43.2465843206452</v>
      </c>
      <c r="M39" s="53" t="n">
        <v>230.3</v>
      </c>
      <c r="N39" s="53" t="n">
        <v>0</v>
      </c>
      <c r="O39" s="53" t="n">
        <v>0</v>
      </c>
      <c r="P39" s="6" t="n">
        <f aca="false">M39-(N39+O39)</f>
        <v>230.3</v>
      </c>
      <c r="Q39" s="53" t="n">
        <v>213.7</v>
      </c>
      <c r="R39" s="53" t="n">
        <v>83</v>
      </c>
      <c r="S39" s="53" t="n">
        <f aca="false">SUM(P39:R39)</f>
        <v>527</v>
      </c>
      <c r="T39" s="54"/>
      <c r="U39" s="53" t="n">
        <v>101.9</v>
      </c>
      <c r="V39" s="53" t="n">
        <v>130.2</v>
      </c>
      <c r="W39" s="54" t="n">
        <f aca="false">W38</f>
        <v>8812.37999999998</v>
      </c>
      <c r="X39" s="6" t="n">
        <f aca="false">N39+O39+S39+U39+V39</f>
        <v>759.1</v>
      </c>
      <c r="Y39" s="53" t="n">
        <f aca="false">IF(L39&lt;0,L39*-1,0)</f>
        <v>0</v>
      </c>
      <c r="Z39" s="53" t="n">
        <f aca="false">X39+Y39</f>
        <v>759.1</v>
      </c>
      <c r="AA39" s="58" t="n">
        <v>0</v>
      </c>
      <c r="AB39" s="59" t="n">
        <v>72</v>
      </c>
      <c r="AC39" s="59" t="n">
        <v>42</v>
      </c>
      <c r="AD39" s="60" t="n">
        <v>30</v>
      </c>
      <c r="AE39" s="96"/>
      <c r="AF39" s="95"/>
    </row>
    <row r="40" customFormat="false" ht="11.1" hidden="false" customHeight="true" outlineLevel="0" collapsed="false">
      <c r="A40" s="60" t="n">
        <v>31</v>
      </c>
      <c r="B40" s="75" t="n">
        <v>6916.7</v>
      </c>
      <c r="C40" s="54" t="n">
        <v>349492</v>
      </c>
      <c r="D40" s="59" t="n">
        <f aca="false">C40-C39</f>
        <v>1347</v>
      </c>
      <c r="E40" s="54" t="n">
        <f aca="false">C40-152000</f>
        <v>197492</v>
      </c>
      <c r="F40" s="53" t="n">
        <f aca="false">D40/$D$2</f>
        <v>679.102596420469</v>
      </c>
      <c r="G40" s="53" t="n">
        <v>1351.7</v>
      </c>
      <c r="H40" s="57" t="n">
        <v>5.1</v>
      </c>
      <c r="I40" s="53" t="n">
        <f aca="false">G40+H40</f>
        <v>1356.8</v>
      </c>
      <c r="J40" s="83" t="n">
        <f aca="false">IF(L40&gt;0,L40,0)</f>
        <v>35.902596420469</v>
      </c>
      <c r="K40" s="53" t="n">
        <f aca="false">I40+J40</f>
        <v>1392.70259642047</v>
      </c>
      <c r="L40" s="53" t="n">
        <f aca="false">F40-(I40-X40)</f>
        <v>35.902596420469</v>
      </c>
      <c r="M40" s="53" t="n">
        <v>230.2</v>
      </c>
      <c r="N40" s="53" t="n">
        <v>0</v>
      </c>
      <c r="O40" s="53" t="n">
        <v>0</v>
      </c>
      <c r="P40" s="6" t="n">
        <f aca="false">M40-(N40+O40)</f>
        <v>230.2</v>
      </c>
      <c r="Q40" s="53" t="n">
        <v>214.9</v>
      </c>
      <c r="R40" s="53" t="n">
        <v>84.9</v>
      </c>
      <c r="S40" s="53" t="n">
        <f aca="false">SUM(P40:R40)</f>
        <v>530</v>
      </c>
      <c r="T40" s="54"/>
      <c r="U40" s="53" t="n">
        <v>112.5</v>
      </c>
      <c r="V40" s="53" t="n">
        <v>71.1</v>
      </c>
      <c r="W40" s="54" t="n">
        <f aca="false">W39-V40</f>
        <v>8741.27999999998</v>
      </c>
      <c r="X40" s="6" t="n">
        <f aca="false">N40+O40+S40+U40+V40</f>
        <v>713.6</v>
      </c>
      <c r="Y40" s="53" t="n">
        <f aca="false">IF(L40&lt;0,L40*-1,0)</f>
        <v>0</v>
      </c>
      <c r="Z40" s="53" t="n">
        <f aca="false">X40+Y40</f>
        <v>713.6</v>
      </c>
      <c r="AA40" s="58" t="n">
        <v>0</v>
      </c>
      <c r="AB40" s="59" t="n">
        <v>59</v>
      </c>
      <c r="AC40" s="59" t="n">
        <v>32</v>
      </c>
      <c r="AD40" s="60" t="n">
        <v>31</v>
      </c>
      <c r="AE40" s="96"/>
      <c r="AF40" s="95"/>
    </row>
    <row r="41" customFormat="false" ht="3" hidden="false" customHeight="true" outlineLevel="0" collapsed="false">
      <c r="A41" s="76"/>
      <c r="B41" s="76"/>
      <c r="C41" s="78"/>
      <c r="D41" s="76"/>
      <c r="E41" s="78"/>
      <c r="F41" s="76"/>
      <c r="G41" s="76"/>
      <c r="H41" s="113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8"/>
      <c r="U41" s="76"/>
      <c r="V41" s="76"/>
      <c r="W41" s="76"/>
      <c r="X41" s="76"/>
      <c r="Y41" s="76"/>
      <c r="Z41" s="76"/>
      <c r="AA41" s="80"/>
      <c r="AB41" s="81"/>
      <c r="AC41" s="81"/>
      <c r="AD41" s="82"/>
      <c r="AE41" s="94"/>
      <c r="AF41" s="95"/>
    </row>
    <row r="42" customFormat="false" ht="11.1" hidden="false" customHeight="true" outlineLevel="0" collapsed="false">
      <c r="A42" s="53" t="s">
        <v>46</v>
      </c>
      <c r="B42" s="53"/>
      <c r="C42" s="54"/>
      <c r="D42" s="54"/>
      <c r="E42" s="54"/>
      <c r="F42" s="54" t="n">
        <f aca="false">SUM(F10:F40)</f>
        <v>22684.1441895639</v>
      </c>
      <c r="G42" s="54" t="n">
        <f aca="false">SUM(G10:G40)</f>
        <v>44090.7</v>
      </c>
      <c r="H42" s="57" t="n">
        <f aca="false">SUM(H10:H40)</f>
        <v>1347.3</v>
      </c>
      <c r="I42" s="54" t="n">
        <f aca="false">SUM(I10:I40)</f>
        <v>45438</v>
      </c>
      <c r="J42" s="54" t="n">
        <f aca="false">SUM(J10:J40)</f>
        <v>4984.4886059995</v>
      </c>
      <c r="K42" s="54" t="n">
        <f aca="false">SUM(K10:K40)</f>
        <v>50422.4886059995</v>
      </c>
      <c r="L42" s="54" t="n">
        <f aca="false">SUM(L10:L40)</f>
        <v>4847.3441895639</v>
      </c>
      <c r="M42" s="54" t="n">
        <f aca="false">SUM(M10:M40)</f>
        <v>6435.4</v>
      </c>
      <c r="N42" s="54" t="n">
        <f aca="false">SUM(N10:N40)</f>
        <v>0</v>
      </c>
      <c r="O42" s="54" t="n">
        <f aca="false">SUM(O10:O40)</f>
        <v>0</v>
      </c>
      <c r="P42" s="54" t="n">
        <f aca="false">SUM(P10:P40)</f>
        <v>6435.4</v>
      </c>
      <c r="Q42" s="54" t="n">
        <f aca="false">SUM(Q10:Q40)</f>
        <v>5075.2</v>
      </c>
      <c r="R42" s="54" t="n">
        <f aca="false">SUM(R10:R40)</f>
        <v>2144.3</v>
      </c>
      <c r="S42" s="54" t="n">
        <f aca="false">SUM(S10:S40)</f>
        <v>13654.9</v>
      </c>
      <c r="T42" s="54"/>
      <c r="U42" s="54" t="n">
        <f aca="false">SUM(U10:U40)</f>
        <v>2478.6</v>
      </c>
      <c r="V42" s="54" t="n">
        <f aca="false">SUM(V10:V40)</f>
        <v>11467.7</v>
      </c>
      <c r="W42" s="54"/>
      <c r="X42" s="54" t="n">
        <f aca="false">SUM(X10:X40)</f>
        <v>27601.2</v>
      </c>
      <c r="Y42" s="54" t="n">
        <f aca="false">SUM(Y10:Y40)</f>
        <v>137.144416435594</v>
      </c>
      <c r="Z42" s="54" t="n">
        <f aca="false">SUM(Z10:Z40)</f>
        <v>27738.3444164356</v>
      </c>
      <c r="AA42" s="58" t="n">
        <f aca="false">SUM(AA10:AA40)</f>
        <v>0.14</v>
      </c>
      <c r="AB42" s="59" t="n">
        <f aca="false">AVERAGE(AB10:AB40)</f>
        <v>66.5806451612903</v>
      </c>
      <c r="AC42" s="59" t="n">
        <f aca="false">AVERAGE(AC10:AC40)</f>
        <v>42.7096774193548</v>
      </c>
      <c r="AD42" s="60" t="s">
        <v>69</v>
      </c>
      <c r="AE42" s="94"/>
      <c r="AF42" s="95"/>
    </row>
    <row r="43" customFormat="false" ht="11.1" hidden="false" customHeight="true" outlineLevel="0" collapsed="false">
      <c r="A43" s="53" t="s">
        <v>48</v>
      </c>
      <c r="B43" s="53"/>
      <c r="C43" s="54"/>
      <c r="D43" s="54" t="n">
        <f aca="false">SUM(D10:D40)</f>
        <v>44994</v>
      </c>
      <c r="E43" s="54"/>
      <c r="F43" s="54" t="n">
        <f aca="false">F42*$D$2</f>
        <v>44994</v>
      </c>
      <c r="G43" s="54" t="n">
        <f aca="false">G42*$D$2</f>
        <v>87453.90345</v>
      </c>
      <c r="H43" s="57" t="n">
        <f aca="false">H42*$D$2</f>
        <v>2672.36955</v>
      </c>
      <c r="I43" s="54" t="n">
        <f aca="false">I42*$D$2</f>
        <v>90126.273</v>
      </c>
      <c r="J43" s="54" t="n">
        <f aca="false">J42*$D$2</f>
        <v>9886.73315</v>
      </c>
      <c r="K43" s="54" t="n">
        <f aca="false">K42*$D$2</f>
        <v>100013.00615</v>
      </c>
      <c r="L43" s="54" t="n">
        <f aca="false">L42*$D$2</f>
        <v>9614.7072</v>
      </c>
      <c r="M43" s="54" t="n">
        <f aca="false">M42*$D$2</f>
        <v>12764.6159</v>
      </c>
      <c r="N43" s="54" t="n">
        <f aca="false">N42*$D$2</f>
        <v>0</v>
      </c>
      <c r="O43" s="54" t="n">
        <f aca="false">O42*$D$2</f>
        <v>0</v>
      </c>
      <c r="P43" s="54" t="n">
        <f aca="false">P42*$D$2</f>
        <v>12764.6159</v>
      </c>
      <c r="Q43" s="54" t="n">
        <f aca="false">Q42*$D$2</f>
        <v>10066.6592</v>
      </c>
      <c r="R43" s="54" t="n">
        <f aca="false">R42*$D$2</f>
        <v>4253.21905</v>
      </c>
      <c r="S43" s="54" t="n">
        <f aca="false">S42*$D$2</f>
        <v>27084.49415</v>
      </c>
      <c r="T43" s="54"/>
      <c r="U43" s="54" t="n">
        <f aca="false">U42*$D$2</f>
        <v>4916.3031</v>
      </c>
      <c r="V43" s="54" t="n">
        <f aca="false">V42*$D$2</f>
        <v>22746.18295</v>
      </c>
      <c r="W43" s="54"/>
      <c r="X43" s="115" t="n">
        <f aca="false">X42*$D$2</f>
        <v>54746.9802</v>
      </c>
      <c r="Y43" s="54" t="n">
        <f aca="false">Y42*$D$2</f>
        <v>272.02595</v>
      </c>
      <c r="Z43" s="54" t="n">
        <f aca="false">Z42*$D$2</f>
        <v>55019.00615</v>
      </c>
      <c r="AA43" s="58"/>
      <c r="AB43" s="59" t="n">
        <f aca="false">MAX(AB10:AB40)</f>
        <v>80</v>
      </c>
      <c r="AC43" s="59" t="n">
        <f aca="false">MAX(AC10:AC40)</f>
        <v>332</v>
      </c>
      <c r="AD43" s="60" t="s">
        <v>49</v>
      </c>
      <c r="AE43" s="94"/>
      <c r="AF43" s="95"/>
    </row>
    <row r="44" customFormat="false" ht="3" hidden="false" customHeight="true" outlineLevel="0" collapsed="false">
      <c r="A44" s="76"/>
      <c r="B44" s="76"/>
      <c r="C44" s="78"/>
      <c r="D44" s="78"/>
      <c r="E44" s="78"/>
      <c r="F44" s="78"/>
      <c r="G44" s="78"/>
      <c r="H44" s="113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6"/>
      <c r="X44" s="78"/>
      <c r="Y44" s="78"/>
      <c r="Z44" s="78"/>
      <c r="AA44" s="58"/>
      <c r="AB44" s="59"/>
      <c r="AC44" s="59"/>
      <c r="AD44" s="60"/>
      <c r="AE44" s="94"/>
      <c r="AF44" s="95"/>
    </row>
    <row r="45" customFormat="false" ht="11.1" hidden="false" customHeight="true" outlineLevel="0" collapsed="false">
      <c r="A45" s="53" t="s">
        <v>50</v>
      </c>
      <c r="B45" s="53"/>
      <c r="C45" s="54"/>
      <c r="D45" s="54"/>
      <c r="E45" s="54"/>
      <c r="F45" s="54" t="n">
        <f aca="false">F7+F42</f>
        <v>52424.5021426771</v>
      </c>
      <c r="G45" s="54" t="n">
        <f aca="false">G7+G42</f>
        <v>64181</v>
      </c>
      <c r="H45" s="57" t="n">
        <f aca="false">H7+H42</f>
        <v>4907.3</v>
      </c>
      <c r="I45" s="54" t="n">
        <f aca="false">I7+I42</f>
        <v>69088.3</v>
      </c>
      <c r="J45" s="54" t="n">
        <f aca="false">J7+J42</f>
        <v>14127.2286791026</v>
      </c>
      <c r="K45" s="54" t="n">
        <f aca="false">K7+K42</f>
        <v>83215.5286791026</v>
      </c>
      <c r="L45" s="54" t="n">
        <f aca="false">L7+L42</f>
        <v>13987.5521426771</v>
      </c>
      <c r="M45" s="54" t="n">
        <f aca="false">M7+M42</f>
        <v>7723.5</v>
      </c>
      <c r="N45" s="54" t="n">
        <f aca="false">N7+N42</f>
        <v>0</v>
      </c>
      <c r="O45" s="54" t="n">
        <f aca="false">O7+O42</f>
        <v>0</v>
      </c>
      <c r="P45" s="54" t="n">
        <f aca="false">P7+P42</f>
        <v>7723.5</v>
      </c>
      <c r="Q45" s="54" t="n">
        <f aca="false">Q7+Q42</f>
        <v>5468.92</v>
      </c>
      <c r="R45" s="54" t="n">
        <f aca="false">R7+R42</f>
        <v>2247.21</v>
      </c>
      <c r="S45" s="54" t="n">
        <f aca="false">S7+S42</f>
        <v>15439.63</v>
      </c>
      <c r="T45" s="54" t="n">
        <f aca="false">T40+T42</f>
        <v>0</v>
      </c>
      <c r="U45" s="54" t="n">
        <f aca="false">U7+U42</f>
        <v>2639.6</v>
      </c>
      <c r="V45" s="54" t="n">
        <f aca="false">V7+V42</f>
        <v>12572.12</v>
      </c>
      <c r="W45" s="54" t="n">
        <f aca="false">W40</f>
        <v>8741.27999999998</v>
      </c>
      <c r="X45" s="54" t="n">
        <f aca="false">X7+X42</f>
        <v>30651.35</v>
      </c>
      <c r="Y45" s="54" t="n">
        <f aca="false">Y7+Y42</f>
        <v>139.676536425511</v>
      </c>
      <c r="Z45" s="54" t="n">
        <f aca="false">Z7+Z42</f>
        <v>30791.0265364255</v>
      </c>
      <c r="AA45" s="58"/>
      <c r="AB45" s="59" t="n">
        <f aca="false">MIN(AB10:AB40)</f>
        <v>50</v>
      </c>
      <c r="AC45" s="59" t="n">
        <f aca="false">MIN(AC10:AC40)</f>
        <v>20</v>
      </c>
      <c r="AD45" s="60" t="s">
        <v>51</v>
      </c>
      <c r="AE45" s="94"/>
      <c r="AF45" s="95"/>
    </row>
    <row r="46" customFormat="false" ht="11.1" hidden="false" customHeight="true" outlineLevel="0" collapsed="false">
      <c r="A46" s="53" t="s">
        <v>52</v>
      </c>
      <c r="B46" s="53"/>
      <c r="C46" s="54"/>
      <c r="D46" s="54"/>
      <c r="E46" s="54"/>
      <c r="F46" s="54" t="n">
        <f aca="false">F45*$D$2</f>
        <v>103984</v>
      </c>
      <c r="G46" s="54" t="n">
        <f aca="false">G45*$D$2</f>
        <v>127303.0135</v>
      </c>
      <c r="H46" s="57" t="n">
        <f aca="false">H45*$D$2</f>
        <v>9733.62955</v>
      </c>
      <c r="I46" s="54" t="n">
        <f aca="false">I45*$D$2</f>
        <v>137036.64305</v>
      </c>
      <c r="J46" s="54" t="n">
        <f aca="false">J45*$D$2</f>
        <v>28021.358085</v>
      </c>
      <c r="K46" s="54" t="n">
        <f aca="false">K45*$D$2</f>
        <v>165058.001135</v>
      </c>
      <c r="L46" s="54" t="n">
        <f aca="false">L45*$D$2</f>
        <v>27744.309675</v>
      </c>
      <c r="M46" s="54" t="n">
        <f aca="false">M45*$D$2</f>
        <v>15319.56225</v>
      </c>
      <c r="N46" s="54" t="n">
        <f aca="false">N45*$D$2</f>
        <v>0</v>
      </c>
      <c r="O46" s="54" t="n">
        <f aca="false">O45*$D$2</f>
        <v>0</v>
      </c>
      <c r="P46" s="54" t="n">
        <f aca="false">P45*$D$2</f>
        <v>15319.56225</v>
      </c>
      <c r="Q46" s="54" t="n">
        <f aca="false">Q45*$D$2</f>
        <v>10847.60282</v>
      </c>
      <c r="R46" s="54" t="n">
        <f aca="false">R45*$D$2</f>
        <v>4457.341035</v>
      </c>
      <c r="S46" s="54" t="n">
        <f aca="false">S45*$D$2</f>
        <v>30624.506105</v>
      </c>
      <c r="T46" s="54" t="n">
        <f aca="false">T45*$D$2</f>
        <v>0</v>
      </c>
      <c r="U46" s="54" t="n">
        <f aca="false">U45*$D$2</f>
        <v>5235.6466</v>
      </c>
      <c r="V46" s="54" t="n">
        <f aca="false">V45*$D$2</f>
        <v>24936.80002</v>
      </c>
      <c r="W46" s="54" t="n">
        <f aca="false">W45*D2</f>
        <v>17338.32888</v>
      </c>
      <c r="X46" s="54" t="n">
        <f aca="false">X45*$D$2</f>
        <v>60796.952725</v>
      </c>
      <c r="Y46" s="54" t="n">
        <f aca="false">Y45*$D$2</f>
        <v>277.04841</v>
      </c>
      <c r="Z46" s="54" t="n">
        <f aca="false">Z45*$D$2</f>
        <v>61074.001135</v>
      </c>
      <c r="AA46" s="58"/>
      <c r="AB46" s="59"/>
      <c r="AC46" s="59"/>
      <c r="AD46" s="60"/>
      <c r="AE46" s="94"/>
      <c r="AF46" s="95"/>
    </row>
    <row r="47" customFormat="false" ht="3" hidden="false" customHeight="true" outlineLevel="0" collapsed="false">
      <c r="A47" s="76"/>
      <c r="B47" s="76"/>
      <c r="C47" s="78"/>
      <c r="D47" s="78"/>
      <c r="E47" s="78"/>
      <c r="F47" s="78"/>
      <c r="G47" s="78"/>
      <c r="H47" s="113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80"/>
      <c r="AB47" s="59"/>
      <c r="AC47" s="59"/>
      <c r="AD47" s="60"/>
      <c r="AE47" s="94"/>
      <c r="AF47" s="95"/>
    </row>
    <row r="48" customFormat="false" ht="11.1" hidden="false" customHeight="true" outlineLevel="0" collapsed="false">
      <c r="A48" s="53" t="s">
        <v>53</v>
      </c>
      <c r="B48" s="53"/>
      <c r="C48" s="54"/>
      <c r="D48" s="54"/>
      <c r="E48" s="54"/>
      <c r="F48" s="54" t="n">
        <f aca="false">F8+F42</f>
        <v>55773.6324678598</v>
      </c>
      <c r="G48" s="54" t="n">
        <f aca="false">G8+G42</f>
        <v>75645.77</v>
      </c>
      <c r="H48" s="57" t="n">
        <f aca="false">H8+H42</f>
        <v>4981.95</v>
      </c>
      <c r="I48" s="54" t="n">
        <f aca="false">I8+I42</f>
        <v>80524.52</v>
      </c>
      <c r="J48" s="54" t="n">
        <f aca="false">J8+J42</f>
        <v>14768.3375951601</v>
      </c>
      <c r="K48" s="54" t="n">
        <f aca="false">K8+K42</f>
        <v>95292.8575951601</v>
      </c>
      <c r="L48" s="54" t="n">
        <f aca="false">L8+L42</f>
        <v>14090.4724678598</v>
      </c>
      <c r="M48" s="54" t="n">
        <f aca="false">M8+M42</f>
        <v>9159.82</v>
      </c>
      <c r="N48" s="54" t="n">
        <f aca="false">N8+N42</f>
        <v>0.08</v>
      </c>
      <c r="O48" s="54" t="n">
        <f aca="false">O8+O42</f>
        <v>0</v>
      </c>
      <c r="P48" s="54" t="n">
        <f aca="false">P8+P42</f>
        <v>9159.74</v>
      </c>
      <c r="Q48" s="54" t="n">
        <f aca="false">Q8+Q42</f>
        <v>7074.11</v>
      </c>
      <c r="R48" s="54" t="n">
        <f aca="false">R8+R42</f>
        <v>2619.61</v>
      </c>
      <c r="S48" s="54" t="n">
        <f aca="false">S8+S42</f>
        <v>18853.46</v>
      </c>
      <c r="T48" s="54"/>
      <c r="U48" s="54" t="n">
        <f aca="false">U8+U42</f>
        <v>2639.6</v>
      </c>
      <c r="V48" s="54" t="n">
        <f aca="false">V8+V42</f>
        <v>17348.22</v>
      </c>
      <c r="W48" s="54" t="n">
        <f aca="false">W40</f>
        <v>8741.27999999998</v>
      </c>
      <c r="X48" s="54" t="n">
        <f aca="false">X8+X42</f>
        <v>38841.36</v>
      </c>
      <c r="Y48" s="54" t="n">
        <f aca="false">Y8+Y42</f>
        <v>677.865127300227</v>
      </c>
      <c r="Z48" s="54" t="n">
        <f aca="false">Z8+Z42</f>
        <v>39519.2251273002</v>
      </c>
      <c r="AA48" s="58" t="n">
        <f aca="false">AA8+AA42</f>
        <v>6.25</v>
      </c>
      <c r="AB48" s="59"/>
      <c r="AC48" s="59"/>
      <c r="AD48" s="60"/>
      <c r="AE48" s="94"/>
      <c r="AF48" s="95"/>
    </row>
    <row r="49" customFormat="false" ht="11.1" hidden="false" customHeight="true" outlineLevel="0" collapsed="false">
      <c r="A49" s="53" t="s">
        <v>54</v>
      </c>
      <c r="B49" s="53"/>
      <c r="C49" s="54"/>
      <c r="D49" s="54" t="n">
        <f aca="false">D8+D43</f>
        <v>110627</v>
      </c>
      <c r="E49" s="54" t="n">
        <f aca="false">E40</f>
        <v>197492</v>
      </c>
      <c r="F49" s="54" t="n">
        <f aca="false">F48*$D$2</f>
        <v>110627</v>
      </c>
      <c r="G49" s="54" t="n">
        <f aca="false">G48*$D$2</f>
        <v>150043.384795</v>
      </c>
      <c r="H49" s="57" t="n">
        <f aca="false">H48*$D$2</f>
        <v>9881.697825</v>
      </c>
      <c r="I49" s="54" t="n">
        <f aca="false">I48*$D$2</f>
        <v>159720.38542</v>
      </c>
      <c r="J49" s="54" t="n">
        <f aca="false">J48*$D$2</f>
        <v>29292.99762</v>
      </c>
      <c r="K49" s="54" t="n">
        <f aca="false">K48*$D$2</f>
        <v>189013.38304</v>
      </c>
      <c r="L49" s="54" t="n">
        <f aca="false">L48*$D$2</f>
        <v>27948.45214</v>
      </c>
      <c r="M49" s="54" t="n">
        <f aca="false">M48*$D$2</f>
        <v>18168.50297</v>
      </c>
      <c r="N49" s="54" t="n">
        <f aca="false">N48*$D$2</f>
        <v>0.15868</v>
      </c>
      <c r="O49" s="54" t="n">
        <f aca="false">O48*$D$2</f>
        <v>0</v>
      </c>
      <c r="P49" s="54" t="n">
        <f aca="false">P48*$D$2</f>
        <v>18168.34429</v>
      </c>
      <c r="Q49" s="54" t="n">
        <f aca="false">Q48*$D$2</f>
        <v>14031.497185</v>
      </c>
      <c r="R49" s="54" t="n">
        <f aca="false">R48*$D$2</f>
        <v>5195.996435</v>
      </c>
      <c r="S49" s="54" t="n">
        <f aca="false">S48*$D$2</f>
        <v>37395.83791</v>
      </c>
      <c r="T49" s="54" t="n">
        <f aca="false">T48*$D$2</f>
        <v>0</v>
      </c>
      <c r="U49" s="54" t="n">
        <f aca="false">U48*$D$2</f>
        <v>5235.6466</v>
      </c>
      <c r="V49" s="54" t="n">
        <f aca="false">V48*$D$2</f>
        <v>34410.19437</v>
      </c>
      <c r="W49" s="54" t="n">
        <f aca="false">W48*$D$2</f>
        <v>17338.32888</v>
      </c>
      <c r="X49" s="54" t="n">
        <f aca="false">X48*$D$2</f>
        <v>77041.83756</v>
      </c>
      <c r="Y49" s="54" t="n">
        <f aca="false">Y48*$D$2</f>
        <v>1344.54548</v>
      </c>
      <c r="Z49" s="54" t="n">
        <f aca="false">Z48*$D$2</f>
        <v>78386.38304</v>
      </c>
      <c r="AA49" s="58"/>
      <c r="AB49" s="59"/>
      <c r="AC49" s="59"/>
      <c r="AD49" s="60"/>
      <c r="AE49" s="94"/>
      <c r="AF49" s="95"/>
    </row>
    <row r="50" customFormat="false" ht="3" hidden="false" customHeight="true" outlineLevel="0" collapsed="false">
      <c r="A50" s="76"/>
      <c r="B50" s="76"/>
      <c r="C50" s="78"/>
      <c r="D50" s="76"/>
      <c r="E50" s="78"/>
      <c r="F50" s="116"/>
      <c r="G50" s="116"/>
      <c r="H50" s="113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8"/>
      <c r="U50" s="76"/>
      <c r="V50" s="76"/>
      <c r="W50" s="78"/>
      <c r="X50" s="76"/>
      <c r="Y50" s="76"/>
      <c r="Z50" s="76"/>
      <c r="AA50" s="58"/>
      <c r="AB50" s="59"/>
      <c r="AC50" s="59"/>
      <c r="AD50" s="60"/>
      <c r="AE50" s="94"/>
      <c r="AF50" s="95"/>
    </row>
    <row r="51" customFormat="false" ht="11.1" hidden="false" customHeight="true" outlineLevel="0" collapsed="false">
      <c r="A51" s="84"/>
      <c r="B51" s="57"/>
      <c r="C51" s="54"/>
      <c r="D51" s="54" t="s">
        <v>70</v>
      </c>
      <c r="E51" s="47" t="e">
        <f aca="false">#REF!-#REF!</f>
        <v>#REF!</v>
      </c>
      <c r="F51" s="117" t="s">
        <v>71</v>
      </c>
      <c r="G51" s="118"/>
      <c r="I51" s="84"/>
      <c r="J51" s="84"/>
      <c r="K51" s="84"/>
      <c r="L51" s="84"/>
      <c r="M51" s="83"/>
      <c r="N51" s="83"/>
      <c r="O51" s="83"/>
      <c r="P51" s="84"/>
      <c r="Q51" s="84"/>
      <c r="R51" s="84"/>
      <c r="S51" s="54"/>
      <c r="T51" s="84"/>
      <c r="U51" s="54"/>
      <c r="V51" s="54"/>
      <c r="W51" s="84"/>
      <c r="X51" s="84"/>
      <c r="Y51" s="84"/>
      <c r="Z51" s="57"/>
      <c r="AA51" s="58"/>
      <c r="AB51" s="59"/>
      <c r="AC51" s="60"/>
      <c r="AD51" s="100"/>
    </row>
    <row r="52" customFormat="false" ht="11.1" hidden="false" customHeight="true" outlineLevel="0" collapsed="false">
      <c r="A52" s="84"/>
      <c r="B52" s="0"/>
      <c r="C52" s="54"/>
      <c r="D52" s="0"/>
      <c r="E52" s="54"/>
      <c r="F52" s="84"/>
      <c r="G52" s="119"/>
      <c r="H52" s="120"/>
      <c r="I52" s="121"/>
      <c r="J52" s="84"/>
      <c r="K52" s="84"/>
      <c r="L52" s="84"/>
      <c r="M52" s="83"/>
      <c r="N52" s="83"/>
      <c r="O52" s="83"/>
      <c r="P52" s="84"/>
      <c r="Q52" s="84"/>
      <c r="R52" s="84"/>
      <c r="S52" s="54"/>
      <c r="T52" s="84"/>
      <c r="U52" s="84"/>
      <c r="V52" s="54"/>
      <c r="W52" s="84"/>
      <c r="X52" s="84"/>
      <c r="Y52" s="84"/>
      <c r="Z52" s="57"/>
      <c r="AA52" s="58"/>
      <c r="AB52" s="59"/>
      <c r="AC52" s="60"/>
      <c r="AD52" s="100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R20" activePane="bottomRight" state="frozen"/>
      <selection pane="topLeft" activeCell="A1" activeCellId="0" sqref="A1"/>
      <selection pane="topRight" activeCell="R1" activeCellId="0" sqref="R1"/>
      <selection pane="bottomLeft" activeCell="A20" activeCellId="0" sqref="A20"/>
      <selection pane="bottomRight" activeCell="AD29" activeCellId="0" sqref="AD29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2" min="2" style="0" width="7.82"/>
    <col collapsed="false" customWidth="true" hidden="false" outlineLevel="0" max="3" min="3" style="1" width="7.66"/>
    <col collapsed="false" customWidth="true" hidden="false" outlineLevel="0" max="4" min="4" style="0" width="6.99"/>
    <col collapsed="false" customWidth="true" hidden="false" outlineLevel="0" max="5" min="5" style="1" width="7.66"/>
    <col collapsed="false" customWidth="true" hidden="false" outlineLevel="0" max="6" min="6" style="0" width="7.66"/>
    <col collapsed="false" customWidth="true" hidden="false" outlineLevel="0" max="7" min="7" style="0" width="7.16"/>
    <col collapsed="false" customWidth="true" hidden="false" outlineLevel="0" max="8" min="8" style="2" width="6.82"/>
    <col collapsed="false" customWidth="true" hidden="false" outlineLevel="0" max="9" min="9" style="0" width="7.99"/>
    <col collapsed="false" customWidth="true" hidden="false" outlineLevel="0" max="10" min="10" style="0" width="6.66"/>
    <col collapsed="false" customWidth="true" hidden="false" outlineLevel="0" max="12" min="11" style="0" width="7.16"/>
    <col collapsed="false" customWidth="true" hidden="false" outlineLevel="0" max="13" min="13" style="3" width="6.16"/>
    <col collapsed="false" customWidth="true" hidden="true" outlineLevel="0" max="14" min="14" style="3" width="7.32"/>
    <col collapsed="false" customWidth="true" hidden="true" outlineLevel="0" max="15" min="15" style="3" width="6.49"/>
    <col collapsed="false" customWidth="true" hidden="true" outlineLevel="0" max="16" min="16" style="0" width="7.16"/>
    <col collapsed="false" customWidth="true" hidden="false" outlineLevel="0" max="17" min="17" style="0" width="6.32"/>
    <col collapsed="false" customWidth="true" hidden="false" outlineLevel="0" max="18" min="18" style="0" width="5.82"/>
    <col collapsed="false" customWidth="true" hidden="false" outlineLevel="0" max="19" min="19" style="1" width="6.82"/>
    <col collapsed="false" customWidth="true" hidden="false" outlineLevel="0" max="20" min="20" style="0" width="7.66"/>
    <col collapsed="false" customWidth="true" hidden="false" outlineLevel="0" max="21" min="21" style="0" width="5.99"/>
    <col collapsed="false" customWidth="true" hidden="false" outlineLevel="0" max="22" min="22" style="1" width="6.66"/>
    <col collapsed="false" customWidth="true" hidden="false" outlineLevel="0" max="23" min="23" style="0" width="6.82"/>
    <col collapsed="false" customWidth="true" hidden="false" outlineLevel="0" max="25" min="24" style="0" width="7.82"/>
    <col collapsed="false" customWidth="true" hidden="false" outlineLevel="0" max="26" min="26" style="106" width="8.16"/>
    <col collapsed="false" customWidth="true" hidden="false" outlineLevel="0" max="27" min="27" style="2" width="4.66"/>
    <col collapsed="false" customWidth="true" hidden="false" outlineLevel="0" max="28" min="28" style="4" width="4.66"/>
    <col collapsed="false" customWidth="true" hidden="false" outlineLevel="0" max="29" min="29" style="5" width="4.66"/>
    <col collapsed="false" customWidth="true" hidden="false" outlineLevel="0" max="30" min="30" style="0" width="5.66"/>
  </cols>
  <sheetData>
    <row r="1" customFormat="false" ht="14.1" hidden="false" customHeight="true" outlineLevel="0" collapsed="false">
      <c r="A1" s="6"/>
      <c r="B1" s="6"/>
      <c r="C1" s="7"/>
      <c r="D1" s="6"/>
      <c r="E1" s="7"/>
      <c r="F1" s="6"/>
      <c r="G1" s="6"/>
      <c r="H1" s="11"/>
      <c r="I1" s="6"/>
      <c r="J1" s="6"/>
      <c r="K1" s="9" t="s">
        <v>0</v>
      </c>
      <c r="L1" s="6"/>
      <c r="M1" s="6"/>
      <c r="N1" s="6"/>
      <c r="O1" s="6"/>
      <c r="P1" s="6"/>
      <c r="Q1" s="6"/>
      <c r="R1" s="6"/>
      <c r="S1" s="7"/>
      <c r="T1" s="6"/>
      <c r="U1" s="6"/>
      <c r="V1" s="7"/>
      <c r="W1" s="6"/>
      <c r="X1" s="6"/>
      <c r="Y1" s="6"/>
      <c r="Z1" s="10"/>
      <c r="AA1" s="11"/>
      <c r="AB1" s="12"/>
      <c r="AC1" s="13"/>
      <c r="AD1" s="107"/>
    </row>
    <row r="2" customFormat="false" ht="14.1" hidden="false" customHeight="true" outlineLevel="0" collapsed="false">
      <c r="A2" s="6" t="s">
        <v>1</v>
      </c>
      <c r="B2" s="6"/>
      <c r="C2" s="7"/>
      <c r="D2" s="14" t="n">
        <v>1.9835</v>
      </c>
      <c r="E2" s="7"/>
      <c r="F2" s="6"/>
      <c r="G2" s="6"/>
      <c r="H2" s="11"/>
      <c r="I2" s="6"/>
      <c r="J2" s="6"/>
      <c r="K2" s="108" t="s">
        <v>72</v>
      </c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6"/>
      <c r="X2" s="6"/>
      <c r="Y2" s="6"/>
      <c r="Z2" s="10"/>
      <c r="AA2" s="11"/>
      <c r="AB2" s="12"/>
      <c r="AC2" s="13"/>
      <c r="AD2" s="107"/>
    </row>
    <row r="3" customFormat="false" ht="11.1" hidden="false" customHeight="true" outlineLevel="0" collapsed="false">
      <c r="A3" s="6"/>
      <c r="B3" s="6"/>
      <c r="C3" s="7"/>
      <c r="D3" s="15"/>
      <c r="E3" s="7"/>
      <c r="F3" s="6"/>
      <c r="G3" s="6"/>
      <c r="H3" s="11"/>
      <c r="I3" s="6"/>
      <c r="J3" s="6"/>
      <c r="K3" s="6"/>
      <c r="L3" s="6"/>
      <c r="M3" s="6"/>
      <c r="N3" s="6"/>
      <c r="O3" s="6"/>
      <c r="P3" s="6"/>
      <c r="Q3" s="6"/>
      <c r="R3" s="6"/>
      <c r="S3" s="7"/>
      <c r="T3" s="6"/>
      <c r="U3" s="6"/>
      <c r="V3" s="7"/>
      <c r="W3" s="6"/>
      <c r="X3" s="6"/>
      <c r="Y3" s="6"/>
      <c r="Z3" s="10"/>
      <c r="AA3" s="11"/>
      <c r="AB3" s="12"/>
      <c r="AC3" s="13"/>
      <c r="AD3" s="107"/>
    </row>
    <row r="4" customFormat="false" ht="11.1" hidden="false" customHeight="true" outlineLevel="0" collapsed="false">
      <c r="A4" s="16" t="s">
        <v>3</v>
      </c>
      <c r="B4" s="16" t="s">
        <v>4</v>
      </c>
      <c r="C4" s="17" t="s">
        <v>4</v>
      </c>
      <c r="D4" s="16" t="s">
        <v>5</v>
      </c>
      <c r="E4" s="17" t="s">
        <v>6</v>
      </c>
      <c r="F4" s="16" t="s">
        <v>7</v>
      </c>
      <c r="G4" s="16" t="s">
        <v>8</v>
      </c>
      <c r="H4" s="20" t="s">
        <v>9</v>
      </c>
      <c r="I4" s="16" t="s">
        <v>10</v>
      </c>
      <c r="J4" s="16" t="s">
        <v>11</v>
      </c>
      <c r="K4" s="16" t="s">
        <v>12</v>
      </c>
      <c r="L4" s="16" t="s">
        <v>11</v>
      </c>
      <c r="M4" s="19" t="s">
        <v>73</v>
      </c>
      <c r="N4" s="19"/>
      <c r="O4" s="19"/>
      <c r="P4" s="19"/>
      <c r="Q4" s="16" t="s">
        <v>14</v>
      </c>
      <c r="R4" s="16" t="s">
        <v>15</v>
      </c>
      <c r="S4" s="16" t="s">
        <v>12</v>
      </c>
      <c r="T4" s="17" t="s">
        <v>16</v>
      </c>
      <c r="U4" s="16" t="s">
        <v>17</v>
      </c>
      <c r="V4" s="16" t="s">
        <v>18</v>
      </c>
      <c r="W4" s="17" t="s">
        <v>19</v>
      </c>
      <c r="X4" s="16" t="s">
        <v>10</v>
      </c>
      <c r="Y4" s="16" t="s">
        <v>11</v>
      </c>
      <c r="Z4" s="16" t="s">
        <v>12</v>
      </c>
      <c r="AA4" s="20" t="s">
        <v>20</v>
      </c>
      <c r="AB4" s="21" t="s">
        <v>21</v>
      </c>
      <c r="AC4" s="21" t="s">
        <v>22</v>
      </c>
      <c r="AD4" s="21" t="s">
        <v>3</v>
      </c>
      <c r="AE4" s="107"/>
    </row>
    <row r="5" customFormat="false" ht="11.1" hidden="false" customHeight="true" outlineLevel="0" collapsed="false">
      <c r="A5" s="22" t="s">
        <v>74</v>
      </c>
      <c r="B5" s="16" t="s">
        <v>24</v>
      </c>
      <c r="C5" s="17" t="s">
        <v>5</v>
      </c>
      <c r="D5" s="16" t="s">
        <v>25</v>
      </c>
      <c r="E5" s="17" t="s">
        <v>26</v>
      </c>
      <c r="F5" s="16" t="s">
        <v>27</v>
      </c>
      <c r="G5" s="16" t="s">
        <v>28</v>
      </c>
      <c r="H5" s="20" t="s">
        <v>29</v>
      </c>
      <c r="I5" s="16" t="s">
        <v>30</v>
      </c>
      <c r="J5" s="16" t="s">
        <v>30</v>
      </c>
      <c r="K5" s="16" t="s">
        <v>30</v>
      </c>
      <c r="L5" s="16" t="s">
        <v>31</v>
      </c>
      <c r="M5" s="16" t="s">
        <v>32</v>
      </c>
      <c r="N5" s="16" t="s">
        <v>33</v>
      </c>
      <c r="O5" s="16" t="s">
        <v>34</v>
      </c>
      <c r="P5" s="16" t="s">
        <v>66</v>
      </c>
      <c r="Q5" s="16" t="s">
        <v>36</v>
      </c>
      <c r="R5" s="16" t="s">
        <v>37</v>
      </c>
      <c r="S5" s="16" t="s">
        <v>16</v>
      </c>
      <c r="T5" s="17" t="s">
        <v>38</v>
      </c>
      <c r="U5" s="16" t="s">
        <v>39</v>
      </c>
      <c r="V5" s="16" t="s">
        <v>40</v>
      </c>
      <c r="W5" s="17" t="s">
        <v>41</v>
      </c>
      <c r="X5" s="16" t="s">
        <v>42</v>
      </c>
      <c r="Y5" s="16" t="s">
        <v>42</v>
      </c>
      <c r="Z5" s="16" t="s">
        <v>42</v>
      </c>
      <c r="AA5" s="24"/>
      <c r="AB5" s="21" t="s">
        <v>43</v>
      </c>
      <c r="AC5" s="21" t="s">
        <v>43</v>
      </c>
      <c r="AD5" s="25" t="s">
        <v>74</v>
      </c>
      <c r="AE5" s="107"/>
    </row>
    <row r="6" customFormat="false" ht="11.1" hidden="false" customHeight="true" outlineLevel="0" collapsed="false">
      <c r="A6" s="26"/>
      <c r="B6" s="26"/>
      <c r="C6" s="27"/>
      <c r="D6" s="26"/>
      <c r="E6" s="27"/>
      <c r="F6" s="26"/>
      <c r="G6" s="26"/>
      <c r="H6" s="122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7"/>
      <c r="U6" s="26"/>
      <c r="V6" s="26"/>
      <c r="W6" s="27"/>
      <c r="X6" s="26"/>
      <c r="Y6" s="26"/>
      <c r="Z6" s="26"/>
      <c r="AA6" s="11"/>
      <c r="AB6" s="13"/>
      <c r="AC6" s="13"/>
      <c r="AD6" s="13"/>
      <c r="AF6" s="123"/>
    </row>
    <row r="7" customFormat="false" ht="11.1" hidden="false" customHeight="true" outlineLevel="0" collapsed="false">
      <c r="A7" s="6" t="s">
        <v>44</v>
      </c>
      <c r="B7" s="6"/>
      <c r="C7" s="7"/>
      <c r="D7" s="7"/>
      <c r="E7" s="7"/>
      <c r="F7" s="7" t="n">
        <f aca="false">MAY!F45</f>
        <v>52424.5021426771</v>
      </c>
      <c r="G7" s="7" t="n">
        <f aca="false">MAY!G45</f>
        <v>64181</v>
      </c>
      <c r="H7" s="11" t="n">
        <f aca="false">MAY!H45</f>
        <v>4907.3</v>
      </c>
      <c r="I7" s="7" t="n">
        <f aca="false">MAY!I45</f>
        <v>69088.3</v>
      </c>
      <c r="J7" s="7" t="n">
        <f aca="false">MAY!J45</f>
        <v>14127.2286791026</v>
      </c>
      <c r="K7" s="7" t="n">
        <f aca="false">MAY!K45</f>
        <v>83215.5286791026</v>
      </c>
      <c r="L7" s="7" t="n">
        <f aca="false">MAY!L45</f>
        <v>13987.5521426771</v>
      </c>
      <c r="M7" s="7" t="n">
        <f aca="false">MAY!M45</f>
        <v>7723.5</v>
      </c>
      <c r="N7" s="7" t="n">
        <f aca="false">MAY!N45</f>
        <v>0</v>
      </c>
      <c r="O7" s="7" t="n">
        <f aca="false">MAY!O45</f>
        <v>0</v>
      </c>
      <c r="P7" s="7" t="n">
        <f aca="false">MAY!P45</f>
        <v>7723.5</v>
      </c>
      <c r="Q7" s="7" t="n">
        <f aca="false">MAY!Q45</f>
        <v>5468.92</v>
      </c>
      <c r="R7" s="7" t="n">
        <f aca="false">MAY!R45</f>
        <v>2247.21</v>
      </c>
      <c r="S7" s="7" t="n">
        <f aca="false">MAY!S45</f>
        <v>15439.63</v>
      </c>
      <c r="T7" s="7" t="n">
        <f aca="false">MAY!T45</f>
        <v>0</v>
      </c>
      <c r="U7" s="7" t="n">
        <f aca="false">MAY!U45</f>
        <v>2639.6</v>
      </c>
      <c r="V7" s="7" t="n">
        <f aca="false">MAY!V45</f>
        <v>12572.12</v>
      </c>
      <c r="W7" s="7"/>
      <c r="X7" s="7" t="n">
        <f aca="false">MAY!X45</f>
        <v>30651.35</v>
      </c>
      <c r="Y7" s="7" t="n">
        <f aca="false">MAY!Y45</f>
        <v>139.676536425511</v>
      </c>
      <c r="Z7" s="7" t="n">
        <f aca="false">MAY!Z45</f>
        <v>30791.0265364255</v>
      </c>
      <c r="AA7" s="11"/>
      <c r="AB7" s="12"/>
      <c r="AC7" s="12"/>
      <c r="AD7" s="13"/>
      <c r="AF7" s="124"/>
    </row>
    <row r="8" s="1" customFormat="true" ht="11.1" hidden="false" customHeight="true" outlineLevel="0" collapsed="false">
      <c r="A8" s="7" t="s">
        <v>45</v>
      </c>
      <c r="B8" s="31" t="n">
        <f aca="false">MAY!B40</f>
        <v>6916.7</v>
      </c>
      <c r="C8" s="7" t="n">
        <f aca="false">MAY!C40</f>
        <v>349492</v>
      </c>
      <c r="D8" s="7" t="n">
        <f aca="false">MAY!D49</f>
        <v>110627</v>
      </c>
      <c r="E8" s="7" t="n">
        <f aca="false">MAY!E49</f>
        <v>197492</v>
      </c>
      <c r="F8" s="7" t="n">
        <f aca="false">MAY!F48</f>
        <v>55773.6324678598</v>
      </c>
      <c r="G8" s="7" t="n">
        <f aca="false">MAY!G48</f>
        <v>75645.77</v>
      </c>
      <c r="H8" s="11" t="n">
        <f aca="false">MAY!H48</f>
        <v>4981.95</v>
      </c>
      <c r="I8" s="7" t="n">
        <f aca="false">MAY!I48</f>
        <v>80524.52</v>
      </c>
      <c r="J8" s="7" t="n">
        <f aca="false">MAY!J48</f>
        <v>14768.3375951601</v>
      </c>
      <c r="K8" s="7" t="n">
        <f aca="false">MAY!K48</f>
        <v>95292.8575951601</v>
      </c>
      <c r="L8" s="7" t="n">
        <f aca="false">MAY!L48</f>
        <v>14090.4724678598</v>
      </c>
      <c r="M8" s="7" t="n">
        <f aca="false">MAY!M48</f>
        <v>9159.82</v>
      </c>
      <c r="N8" s="7" t="n">
        <f aca="false">MAY!N48</f>
        <v>0.08</v>
      </c>
      <c r="O8" s="7" t="n">
        <f aca="false">MAY!O48</f>
        <v>0</v>
      </c>
      <c r="P8" s="7" t="n">
        <f aca="false">MAY!P48</f>
        <v>9159.74</v>
      </c>
      <c r="Q8" s="7" t="n">
        <f aca="false">MAY!Q48</f>
        <v>7074.11</v>
      </c>
      <c r="R8" s="7" t="n">
        <f aca="false">MAY!R48</f>
        <v>2619.61</v>
      </c>
      <c r="S8" s="7" t="n">
        <f aca="false">MAY!S48</f>
        <v>18853.46</v>
      </c>
      <c r="T8" s="7" t="n">
        <f aca="false">MAY!T48</f>
        <v>0</v>
      </c>
      <c r="U8" s="7" t="n">
        <f aca="false">MAY!U48</f>
        <v>2639.6</v>
      </c>
      <c r="V8" s="7" t="n">
        <f aca="false">MAY!V48</f>
        <v>17348.22</v>
      </c>
      <c r="W8" s="7" t="n">
        <f aca="false">MAY!W48</f>
        <v>8741.27999999998</v>
      </c>
      <c r="X8" s="7" t="n">
        <f aca="false">MAY!X48</f>
        <v>38841.36</v>
      </c>
      <c r="Y8" s="7" t="n">
        <f aca="false">MAY!Y48</f>
        <v>677.865127300227</v>
      </c>
      <c r="Z8" s="7" t="n">
        <f aca="false">MAY!Z48</f>
        <v>39519.2251273002</v>
      </c>
      <c r="AA8" s="11" t="n">
        <f aca="false">MAY!AA48</f>
        <v>6.25</v>
      </c>
      <c r="AB8" s="12"/>
      <c r="AC8" s="12"/>
      <c r="AD8" s="13"/>
      <c r="AE8" s="125"/>
    </row>
    <row r="9" customFormat="false" ht="3" hidden="false" customHeight="true" outlineLevel="0" collapsed="false">
      <c r="A9" s="32"/>
      <c r="B9" s="33"/>
      <c r="C9" s="34"/>
      <c r="D9" s="32"/>
      <c r="E9" s="34"/>
      <c r="F9" s="32"/>
      <c r="G9" s="32"/>
      <c r="H9" s="36"/>
      <c r="I9" s="32"/>
      <c r="J9" s="32"/>
      <c r="K9" s="32"/>
      <c r="L9" s="32"/>
      <c r="M9" s="32"/>
      <c r="N9" s="32"/>
      <c r="O9" s="32" t="n">
        <v>0</v>
      </c>
      <c r="P9" s="32"/>
      <c r="Q9" s="32"/>
      <c r="R9" s="32" t="n">
        <v>0</v>
      </c>
      <c r="S9" s="32"/>
      <c r="T9" s="34"/>
      <c r="U9" s="32"/>
      <c r="V9" s="32"/>
      <c r="W9" s="34"/>
      <c r="X9" s="32"/>
      <c r="Y9" s="32"/>
      <c r="Z9" s="32"/>
      <c r="AA9" s="36"/>
      <c r="AB9" s="37"/>
      <c r="AC9" s="37"/>
      <c r="AD9" s="38"/>
      <c r="AE9" s="107"/>
    </row>
    <row r="10" customFormat="false" ht="11.1" hidden="false" customHeight="true" outlineLevel="0" collapsed="false">
      <c r="A10" s="13" t="n">
        <v>1</v>
      </c>
      <c r="B10" s="31" t="n">
        <v>6916.94</v>
      </c>
      <c r="C10" s="7" t="n">
        <v>350501</v>
      </c>
      <c r="D10" s="12" t="n">
        <f aca="false">C10-C8</f>
        <v>1009</v>
      </c>
      <c r="E10" s="7" t="n">
        <f aca="false">C10-152000</f>
        <v>198501</v>
      </c>
      <c r="F10" s="6" t="n">
        <f aca="false">D10/$D$2</f>
        <v>508.696748172422</v>
      </c>
      <c r="G10" s="6" t="n">
        <v>1201.2</v>
      </c>
      <c r="H10" s="11" t="n">
        <v>4.9</v>
      </c>
      <c r="I10" s="6" t="n">
        <f aca="false">G10+H10</f>
        <v>1206.1</v>
      </c>
      <c r="J10" s="109" t="n">
        <f aca="false">IF(L10&gt;0,L10,0)</f>
        <v>5.69674817242236</v>
      </c>
      <c r="K10" s="6" t="n">
        <f aca="false">I10+J10</f>
        <v>1211.79674817242</v>
      </c>
      <c r="L10" s="6" t="n">
        <f aca="false">F10-(I10-X10)</f>
        <v>5.69674817242236</v>
      </c>
      <c r="M10" s="6" t="n">
        <v>230.2</v>
      </c>
      <c r="N10" s="6" t="n">
        <v>0</v>
      </c>
      <c r="O10" s="53" t="n">
        <v>0</v>
      </c>
      <c r="P10" s="6" t="n">
        <f aca="false">M10-(N10+O10)</f>
        <v>230.2</v>
      </c>
      <c r="Q10" s="6" t="n">
        <v>215.3</v>
      </c>
      <c r="R10" s="6" t="n">
        <v>84</v>
      </c>
      <c r="S10" s="6" t="n">
        <f aca="false">SUM(P10:R10)</f>
        <v>529.5</v>
      </c>
      <c r="T10" s="7"/>
      <c r="U10" s="6" t="n">
        <v>101.4</v>
      </c>
      <c r="V10" s="6" t="n">
        <v>72.2</v>
      </c>
      <c r="W10" s="7" t="n">
        <f aca="false">W8-V10</f>
        <v>8669.07999999998</v>
      </c>
      <c r="X10" s="6" t="n">
        <f aca="false">N10+O10+S10+U10+V10</f>
        <v>703.1</v>
      </c>
      <c r="Y10" s="6" t="n">
        <f aca="false">IF(L10&lt;0,L10*-1,0)</f>
        <v>0</v>
      </c>
      <c r="Z10" s="6" t="n">
        <f aca="false">X10+Y10</f>
        <v>703.1</v>
      </c>
      <c r="AA10" s="11" t="n">
        <v>0.29</v>
      </c>
      <c r="AB10" s="12" t="n">
        <v>59</v>
      </c>
      <c r="AC10" s="12" t="n">
        <v>36</v>
      </c>
      <c r="AD10" s="13" t="n">
        <v>1</v>
      </c>
      <c r="AE10" s="12"/>
      <c r="AF10" s="126"/>
      <c r="AG10" s="6"/>
    </row>
    <row r="11" customFormat="false" ht="11.1" hidden="false" customHeight="true" outlineLevel="0" collapsed="false">
      <c r="A11" s="13" t="n">
        <f aca="false">A10+1</f>
        <v>2</v>
      </c>
      <c r="B11" s="31" t="n">
        <v>6917.08</v>
      </c>
      <c r="C11" s="7" t="n">
        <v>351094</v>
      </c>
      <c r="D11" s="12" t="n">
        <f aca="false">C11-C10</f>
        <v>593</v>
      </c>
      <c r="E11" s="7" t="n">
        <f aca="false">C11-152000</f>
        <v>199094</v>
      </c>
      <c r="F11" s="6" t="n">
        <f aca="false">D11/$D$2</f>
        <v>298.966473405596</v>
      </c>
      <c r="G11" s="6" t="n">
        <v>1032.1</v>
      </c>
      <c r="H11" s="11" t="n">
        <v>3.4</v>
      </c>
      <c r="I11" s="6" t="n">
        <f aca="false">G11+H11</f>
        <v>1035.5</v>
      </c>
      <c r="J11" s="109" t="n">
        <f aca="false">IF(L11&gt;0,L11,0)</f>
        <v>0</v>
      </c>
      <c r="K11" s="6" t="n">
        <f aca="false">I11+J11</f>
        <v>1035.5</v>
      </c>
      <c r="L11" s="6" t="n">
        <f aca="false">F11-(I11-X11)</f>
        <v>-14.6335265944039</v>
      </c>
      <c r="M11" s="6" t="n">
        <v>230.4</v>
      </c>
      <c r="N11" s="6" t="n">
        <v>0</v>
      </c>
      <c r="O11" s="53" t="n">
        <v>0</v>
      </c>
      <c r="P11" s="6" t="n">
        <f aca="false">M11-(N11+O11)</f>
        <v>230.4</v>
      </c>
      <c r="Q11" s="6" t="n">
        <v>215.3</v>
      </c>
      <c r="R11" s="6" t="n">
        <v>86.8</v>
      </c>
      <c r="S11" s="6" t="n">
        <f aca="false">SUM(P11:R11)</f>
        <v>532.5</v>
      </c>
      <c r="T11" s="54"/>
      <c r="U11" s="6" t="n">
        <v>117</v>
      </c>
      <c r="V11" s="6" t="n">
        <v>72.4</v>
      </c>
      <c r="W11" s="7" t="n">
        <f aca="false">W10-V11</f>
        <v>8596.67999999998</v>
      </c>
      <c r="X11" s="6" t="n">
        <f aca="false">N11+O11+S11+U11+V11</f>
        <v>721.9</v>
      </c>
      <c r="Y11" s="6" t="n">
        <f aca="false">IF(L11&lt;0,L11*-1,0)</f>
        <v>14.6335265944039</v>
      </c>
      <c r="Z11" s="6" t="n">
        <f aca="false">X11+Y11</f>
        <v>736.533526594404</v>
      </c>
      <c r="AA11" s="11" t="n">
        <v>0.01</v>
      </c>
      <c r="AB11" s="12" t="n">
        <v>60</v>
      </c>
      <c r="AC11" s="12" t="n">
        <v>35</v>
      </c>
      <c r="AD11" s="13" t="n">
        <f aca="false">AD10+1</f>
        <v>2</v>
      </c>
      <c r="AE11" s="12"/>
      <c r="AG11" s="6"/>
    </row>
    <row r="12" customFormat="false" ht="11.1" hidden="false" customHeight="true" outlineLevel="0" collapsed="false">
      <c r="A12" s="13" t="n">
        <f aca="false">A11+1</f>
        <v>3</v>
      </c>
      <c r="B12" s="31" t="n">
        <v>6917.16</v>
      </c>
      <c r="C12" s="7" t="n">
        <v>351433</v>
      </c>
      <c r="D12" s="12" t="n">
        <f aca="false">C12-C11</f>
        <v>339</v>
      </c>
      <c r="E12" s="7" t="n">
        <f aca="false">C12-152000</f>
        <v>199433</v>
      </c>
      <c r="F12" s="6" t="n">
        <f aca="false">D12/$D$2</f>
        <v>170.91000756239</v>
      </c>
      <c r="G12" s="6" t="n">
        <v>876.1</v>
      </c>
      <c r="H12" s="11" t="n">
        <v>2.9</v>
      </c>
      <c r="I12" s="6" t="n">
        <f aca="false">G12+H12</f>
        <v>879</v>
      </c>
      <c r="J12" s="109" t="n">
        <f aca="false">IF(L12&gt;0,L12,0)</f>
        <v>7.21000756238968</v>
      </c>
      <c r="K12" s="6" t="n">
        <f aca="false">I12+J12</f>
        <v>886.21000756239</v>
      </c>
      <c r="L12" s="6" t="n">
        <f aca="false">F12-(I12-X12)</f>
        <v>7.21000756238968</v>
      </c>
      <c r="M12" s="6" t="n">
        <v>230.6</v>
      </c>
      <c r="N12" s="6" t="n">
        <v>0</v>
      </c>
      <c r="O12" s="6" t="n">
        <v>0</v>
      </c>
      <c r="P12" s="6" t="n">
        <f aca="false">M12-(N12+O12)</f>
        <v>230.6</v>
      </c>
      <c r="Q12" s="6" t="n">
        <v>216.6</v>
      </c>
      <c r="R12" s="6" t="n">
        <v>81.8</v>
      </c>
      <c r="S12" s="6" t="n">
        <f aca="false">SUM(P12:R12)</f>
        <v>529</v>
      </c>
      <c r="T12" s="54"/>
      <c r="U12" s="6" t="n">
        <v>113.5</v>
      </c>
      <c r="V12" s="6" t="n">
        <v>72.8</v>
      </c>
      <c r="W12" s="7" t="n">
        <f aca="false">W11-V12</f>
        <v>8523.87999999998</v>
      </c>
      <c r="X12" s="6" t="n">
        <f aca="false">N12+O12+S12+U12+V12</f>
        <v>715.3</v>
      </c>
      <c r="Y12" s="6" t="n">
        <f aca="false">IF(L12&lt;0,L12*-1,0)</f>
        <v>0</v>
      </c>
      <c r="Z12" s="6" t="n">
        <f aca="false">X12+Y12</f>
        <v>715.3</v>
      </c>
      <c r="AA12" s="11" t="n">
        <v>0.02</v>
      </c>
      <c r="AB12" s="12" t="n">
        <v>64</v>
      </c>
      <c r="AC12" s="12" t="n">
        <v>36</v>
      </c>
      <c r="AD12" s="13" t="n">
        <f aca="false">AD11+1</f>
        <v>3</v>
      </c>
      <c r="AE12" s="12"/>
      <c r="AG12" s="6"/>
    </row>
    <row r="13" customFormat="false" ht="11.1" hidden="false" customHeight="true" outlineLevel="0" collapsed="false">
      <c r="A13" s="13" t="n">
        <f aca="false">A12+1</f>
        <v>4</v>
      </c>
      <c r="B13" s="31" t="n">
        <v>6917.22</v>
      </c>
      <c r="C13" s="7" t="n">
        <v>351688</v>
      </c>
      <c r="D13" s="12" t="n">
        <f aca="false">C13-C12</f>
        <v>255</v>
      </c>
      <c r="E13" s="7" t="n">
        <f aca="false">C13-152000</f>
        <v>199688</v>
      </c>
      <c r="F13" s="6" t="n">
        <f aca="false">D13/$D$2</f>
        <v>128.56062515755</v>
      </c>
      <c r="G13" s="6" t="n">
        <v>771.6</v>
      </c>
      <c r="H13" s="11" t="n">
        <v>2.4</v>
      </c>
      <c r="I13" s="6" t="n">
        <f aca="false">G13+H13</f>
        <v>774</v>
      </c>
      <c r="J13" s="109" t="n">
        <f aca="false">IF(L13&gt;0,L13,0)</f>
        <v>60.8606251575498</v>
      </c>
      <c r="K13" s="6" t="n">
        <f aca="false">I13+J13</f>
        <v>834.86062515755</v>
      </c>
      <c r="L13" s="6" t="n">
        <f aca="false">F13-(I13-X13)</f>
        <v>60.8606251575498</v>
      </c>
      <c r="M13" s="6" t="n">
        <v>227.3</v>
      </c>
      <c r="N13" s="6" t="n">
        <v>0</v>
      </c>
      <c r="O13" s="6" t="n">
        <v>0</v>
      </c>
      <c r="P13" s="6" t="n">
        <f aca="false">M13-(N13+O13)</f>
        <v>227.3</v>
      </c>
      <c r="Q13" s="6" t="n">
        <v>215.8</v>
      </c>
      <c r="R13" s="6" t="n">
        <v>83.9</v>
      </c>
      <c r="S13" s="6" t="n">
        <f aca="false">SUM(P13:R13)</f>
        <v>527</v>
      </c>
      <c r="T13" s="54"/>
      <c r="U13" s="6" t="n">
        <v>105.9</v>
      </c>
      <c r="V13" s="6" t="n">
        <v>73.4</v>
      </c>
      <c r="W13" s="7" t="n">
        <f aca="false">W12-V13</f>
        <v>8450.47999999998</v>
      </c>
      <c r="X13" s="6" t="n">
        <f aca="false">N13+O13+S13+U13+V13</f>
        <v>706.3</v>
      </c>
      <c r="Y13" s="6" t="n">
        <f aca="false">IF(L13&lt;0,L13*-1,0)</f>
        <v>0</v>
      </c>
      <c r="Z13" s="6" t="n">
        <f aca="false">X13+Y13</f>
        <v>706.3</v>
      </c>
      <c r="AA13" s="11" t="n">
        <v>0</v>
      </c>
      <c r="AB13" s="12" t="n">
        <v>76</v>
      </c>
      <c r="AC13" s="12" t="n">
        <v>36</v>
      </c>
      <c r="AD13" s="13" t="n">
        <f aca="false">AD12+1</f>
        <v>4</v>
      </c>
      <c r="AE13" s="12"/>
      <c r="AG13" s="6"/>
    </row>
    <row r="14" customFormat="false" ht="11.1" hidden="false" customHeight="true" outlineLevel="0" collapsed="false">
      <c r="A14" s="13" t="n">
        <f aca="false">A13+1</f>
        <v>5</v>
      </c>
      <c r="B14" s="31" t="n">
        <v>6917.3</v>
      </c>
      <c r="C14" s="7" t="n">
        <v>352025</v>
      </c>
      <c r="D14" s="12" t="n">
        <f aca="false">C14-C13</f>
        <v>337</v>
      </c>
      <c r="E14" s="7" t="n">
        <f aca="false">C14-152000</f>
        <v>200025</v>
      </c>
      <c r="F14" s="6" t="n">
        <f aca="false">D14/$D$2</f>
        <v>169.901688933703</v>
      </c>
      <c r="G14" s="6" t="n">
        <v>840.8</v>
      </c>
      <c r="H14" s="11" t="n">
        <v>1.6</v>
      </c>
      <c r="I14" s="6" t="n">
        <f aca="false">G14+H14</f>
        <v>842.4</v>
      </c>
      <c r="J14" s="109" t="n">
        <f aca="false">IF(L14&gt;0,L14,0)</f>
        <v>37.5016889337031</v>
      </c>
      <c r="K14" s="6" t="n">
        <f aca="false">I14+J14</f>
        <v>879.901688933703</v>
      </c>
      <c r="L14" s="6" t="n">
        <f aca="false">F14-(I14-X14)</f>
        <v>37.5016889337031</v>
      </c>
      <c r="M14" s="6" t="n">
        <v>218.7</v>
      </c>
      <c r="N14" s="6" t="n">
        <v>0</v>
      </c>
      <c r="O14" s="6" t="n">
        <v>0</v>
      </c>
      <c r="P14" s="6" t="n">
        <f aca="false">M14-(N14+O14)</f>
        <v>218.7</v>
      </c>
      <c r="Q14" s="6" t="n">
        <v>216.1</v>
      </c>
      <c r="R14" s="6" t="n">
        <v>83.1</v>
      </c>
      <c r="S14" s="6" t="n">
        <f aca="false">SUM(P14:R14)</f>
        <v>517.9</v>
      </c>
      <c r="T14" s="54"/>
      <c r="U14" s="6" t="n">
        <v>118.5</v>
      </c>
      <c r="V14" s="6" t="n">
        <v>73.6</v>
      </c>
      <c r="W14" s="7" t="n">
        <f aca="false">W13-V14</f>
        <v>8376.87999999998</v>
      </c>
      <c r="X14" s="6" t="n">
        <f aca="false">N14+O14+S14+U14+V14</f>
        <v>710</v>
      </c>
      <c r="Y14" s="6" t="n">
        <f aca="false">IF(L14&lt;0,L14*-1,0)</f>
        <v>0</v>
      </c>
      <c r="Z14" s="6" t="n">
        <f aca="false">X14+Y14</f>
        <v>710</v>
      </c>
      <c r="AA14" s="11" t="n">
        <v>0.07</v>
      </c>
      <c r="AB14" s="12" t="n">
        <v>72</v>
      </c>
      <c r="AC14" s="12" t="n">
        <v>41</v>
      </c>
      <c r="AD14" s="13" t="n">
        <v>5</v>
      </c>
      <c r="AE14" s="12"/>
      <c r="AG14" s="6"/>
    </row>
    <row r="15" customFormat="false" ht="11.1" hidden="false" customHeight="true" outlineLevel="0" collapsed="false">
      <c r="A15" s="13" t="n">
        <f aca="false">A14+1</f>
        <v>6</v>
      </c>
      <c r="B15" s="31" t="n">
        <v>6917.49</v>
      </c>
      <c r="C15" s="7" t="n">
        <v>352833</v>
      </c>
      <c r="D15" s="12" t="n">
        <f aca="false">C15-C14</f>
        <v>808</v>
      </c>
      <c r="E15" s="7" t="n">
        <f aca="false">C15-152000</f>
        <v>200833</v>
      </c>
      <c r="F15" s="6" t="n">
        <f aca="false">D15/$D$2</f>
        <v>407.360725989413</v>
      </c>
      <c r="G15" s="6" t="n">
        <v>976.6</v>
      </c>
      <c r="H15" s="11" t="n">
        <v>1.2</v>
      </c>
      <c r="I15" s="6" t="n">
        <f aca="false">G15+H15</f>
        <v>977.8</v>
      </c>
      <c r="J15" s="109" t="n">
        <f aca="false">IF(L15&gt;0,L15,0)</f>
        <v>125.160725989413</v>
      </c>
      <c r="K15" s="6" t="n">
        <f aca="false">I15+J15</f>
        <v>1102.96072598941</v>
      </c>
      <c r="L15" s="6" t="n">
        <f aca="false">F15-(I15-X15)</f>
        <v>125.160725989413</v>
      </c>
      <c r="M15" s="6" t="n">
        <v>210.1</v>
      </c>
      <c r="N15" s="6" t="n">
        <v>0</v>
      </c>
      <c r="O15" s="6" t="n">
        <v>0</v>
      </c>
      <c r="P15" s="6" t="n">
        <f aca="false">M15-(N15+O15)</f>
        <v>210.1</v>
      </c>
      <c r="Q15" s="6" t="n">
        <v>209.8</v>
      </c>
      <c r="R15" s="6" t="n">
        <v>83.3</v>
      </c>
      <c r="S15" s="6" t="n">
        <f aca="false">SUM(P15:R15)</f>
        <v>503.2</v>
      </c>
      <c r="T15" s="54"/>
      <c r="U15" s="6" t="n">
        <v>117.5</v>
      </c>
      <c r="V15" s="6" t="n">
        <v>74.9</v>
      </c>
      <c r="W15" s="7" t="n">
        <f aca="false">W14-V15</f>
        <v>8301.97999999998</v>
      </c>
      <c r="X15" s="6" t="n">
        <f aca="false">N15+O15+S15+U15+V15</f>
        <v>695.6</v>
      </c>
      <c r="Y15" s="6" t="n">
        <f aca="false">IF(L15&lt;0,L15*-1,0)</f>
        <v>0</v>
      </c>
      <c r="Z15" s="6" t="n">
        <f aca="false">X15+Y15</f>
        <v>695.6</v>
      </c>
      <c r="AA15" s="11" t="n">
        <v>0.01</v>
      </c>
      <c r="AB15" s="12" t="n">
        <v>70</v>
      </c>
      <c r="AC15" s="12" t="n">
        <v>44</v>
      </c>
      <c r="AD15" s="13" t="n">
        <f aca="false">AD14+1</f>
        <v>6</v>
      </c>
      <c r="AE15" s="12"/>
      <c r="AG15" s="6"/>
    </row>
    <row r="16" customFormat="false" ht="11.1" hidden="false" customHeight="true" outlineLevel="0" collapsed="false">
      <c r="A16" s="13" t="n">
        <f aca="false">A15+1</f>
        <v>7</v>
      </c>
      <c r="B16" s="31" t="n">
        <v>6917.66</v>
      </c>
      <c r="C16" s="7" t="n">
        <v>353553</v>
      </c>
      <c r="D16" s="12" t="n">
        <f aca="false">C16-C15</f>
        <v>720</v>
      </c>
      <c r="E16" s="7" t="n">
        <f aca="false">C16-152000</f>
        <v>201553</v>
      </c>
      <c r="F16" s="6" t="n">
        <f aca="false">D16/$D$2</f>
        <v>362.994706327199</v>
      </c>
      <c r="G16" s="6" t="n">
        <v>1104.3</v>
      </c>
      <c r="H16" s="11" t="n">
        <v>1</v>
      </c>
      <c r="I16" s="6" t="n">
        <f aca="false">G16+H16</f>
        <v>1105.3</v>
      </c>
      <c r="J16" s="109" t="n">
        <f aca="false">IF(L16&gt;0,L16,0)</f>
        <v>0</v>
      </c>
      <c r="K16" s="6" t="n">
        <f aca="false">I16+J16</f>
        <v>1105.3</v>
      </c>
      <c r="L16" s="6" t="n">
        <f aca="false">F16-(I16-X16)</f>
        <v>-61.0052936728005</v>
      </c>
      <c r="M16" s="6" t="n">
        <v>194.9</v>
      </c>
      <c r="N16" s="6" t="n">
        <v>0</v>
      </c>
      <c r="O16" s="6" t="n">
        <v>0</v>
      </c>
      <c r="P16" s="6" t="n">
        <f aca="false">M16-(N16+O16)</f>
        <v>194.9</v>
      </c>
      <c r="Q16" s="6" t="n">
        <v>206.8</v>
      </c>
      <c r="R16" s="6" t="n">
        <v>85.4</v>
      </c>
      <c r="S16" s="6" t="n">
        <f aca="false">SUM(P16:R16)</f>
        <v>487.1</v>
      </c>
      <c r="T16" s="54"/>
      <c r="U16" s="6" t="n">
        <v>120.5</v>
      </c>
      <c r="V16" s="6" t="n">
        <v>73.7</v>
      </c>
      <c r="W16" s="7" t="n">
        <f aca="false">W15-V16</f>
        <v>8228.27999999998</v>
      </c>
      <c r="X16" s="6" t="n">
        <f aca="false">N16+O16+S16+U16+V16</f>
        <v>681.3</v>
      </c>
      <c r="Y16" s="6" t="n">
        <f aca="false">IF(L16&lt;0,L16*-1,0)</f>
        <v>61.0052936728005</v>
      </c>
      <c r="Z16" s="6" t="n">
        <f aca="false">X16+Y16</f>
        <v>742.305293672801</v>
      </c>
      <c r="AA16" s="11" t="n">
        <v>0</v>
      </c>
      <c r="AB16" s="12" t="n">
        <v>78</v>
      </c>
      <c r="AC16" s="12" t="n">
        <v>44</v>
      </c>
      <c r="AD16" s="13" t="n">
        <f aca="false">AD15+1</f>
        <v>7</v>
      </c>
      <c r="AE16" s="12"/>
      <c r="AG16" s="6"/>
    </row>
    <row r="17" customFormat="false" ht="11.1" hidden="false" customHeight="true" outlineLevel="0" collapsed="false">
      <c r="A17" s="13" t="n">
        <f aca="false">A16+1</f>
        <v>8</v>
      </c>
      <c r="B17" s="31" t="n">
        <v>6917.99</v>
      </c>
      <c r="C17" s="7" t="n">
        <v>354868</v>
      </c>
      <c r="D17" s="12" t="n">
        <f aca="false">C17-C16</f>
        <v>1315</v>
      </c>
      <c r="E17" s="7" t="n">
        <f aca="false">C17-152000</f>
        <v>202868</v>
      </c>
      <c r="F17" s="6" t="n">
        <f aca="false">D17/$D$2</f>
        <v>662.969498361482</v>
      </c>
      <c r="G17" s="6" t="n">
        <v>1189.8</v>
      </c>
      <c r="H17" s="11" t="n">
        <v>0.8</v>
      </c>
      <c r="I17" s="6" t="n">
        <f aca="false">G17+H17</f>
        <v>1190.6</v>
      </c>
      <c r="J17" s="109" t="n">
        <f aca="false">IF(L17&gt;0,L17,0)</f>
        <v>121.669498361482</v>
      </c>
      <c r="K17" s="6" t="n">
        <f aca="false">I17+J17</f>
        <v>1312.26949836148</v>
      </c>
      <c r="L17" s="6" t="n">
        <f aca="false">F17-(I17-X17)</f>
        <v>121.669498361482</v>
      </c>
      <c r="M17" s="6" t="n">
        <v>175.9</v>
      </c>
      <c r="N17" s="6" t="n">
        <v>0</v>
      </c>
      <c r="O17" s="6" t="n">
        <v>0</v>
      </c>
      <c r="P17" s="6" t="n">
        <f aca="false">M17-(N17+O17)</f>
        <v>175.9</v>
      </c>
      <c r="Q17" s="6" t="n">
        <v>207.8</v>
      </c>
      <c r="R17" s="6" t="n">
        <v>86.3</v>
      </c>
      <c r="S17" s="6" t="n">
        <f aca="false">SUM(P17:R17)</f>
        <v>470</v>
      </c>
      <c r="T17" s="54"/>
      <c r="U17" s="6" t="n">
        <v>106.4</v>
      </c>
      <c r="V17" s="6" t="n">
        <v>72.9</v>
      </c>
      <c r="W17" s="7" t="n">
        <f aca="false">W16-V17</f>
        <v>8155.37999999998</v>
      </c>
      <c r="X17" s="6" t="n">
        <f aca="false">N17+O17+S17+U17+V17</f>
        <v>649.3</v>
      </c>
      <c r="Y17" s="6" t="n">
        <f aca="false">IF(L17&lt;0,L17*-1,0)</f>
        <v>0</v>
      </c>
      <c r="Z17" s="6" t="n">
        <f aca="false">X17+Y17</f>
        <v>649.3</v>
      </c>
      <c r="AA17" s="11" t="n">
        <v>0</v>
      </c>
      <c r="AB17" s="12" t="n">
        <v>80</v>
      </c>
      <c r="AC17" s="12" t="n">
        <v>45</v>
      </c>
      <c r="AD17" s="13" t="n">
        <f aca="false">AD16+1</f>
        <v>8</v>
      </c>
      <c r="AE17" s="12"/>
      <c r="AG17" s="6"/>
    </row>
    <row r="18" customFormat="false" ht="11.1" hidden="false" customHeight="true" outlineLevel="0" collapsed="false">
      <c r="A18" s="13" t="n">
        <f aca="false">A17+1</f>
        <v>9</v>
      </c>
      <c r="B18" s="31" t="n">
        <v>6918.25</v>
      </c>
      <c r="C18" s="7" t="n">
        <v>356062</v>
      </c>
      <c r="D18" s="12" t="n">
        <f aca="false">C18-C17</f>
        <v>1194</v>
      </c>
      <c r="E18" s="7" t="n">
        <f aca="false">C18-152000</f>
        <v>204062</v>
      </c>
      <c r="F18" s="6" t="n">
        <f aca="false">D18/$D$2</f>
        <v>601.966221325939</v>
      </c>
      <c r="G18" s="6" t="n">
        <v>1284.3</v>
      </c>
      <c r="H18" s="11" t="n">
        <v>0.6</v>
      </c>
      <c r="I18" s="6" t="n">
        <f aca="false">G18+H18</f>
        <v>1284.9</v>
      </c>
      <c r="J18" s="109" t="n">
        <f aca="false">IF(L18&gt;0,L18,0)</f>
        <v>0</v>
      </c>
      <c r="K18" s="6" t="n">
        <f aca="false">I18+J18</f>
        <v>1284.9</v>
      </c>
      <c r="L18" s="6" t="n">
        <f aca="false">F18-(I18-X18)</f>
        <v>-63.233778674061</v>
      </c>
      <c r="M18" s="6" t="n">
        <v>166.1</v>
      </c>
      <c r="N18" s="6" t="n">
        <v>0</v>
      </c>
      <c r="O18" s="6" t="n">
        <v>0</v>
      </c>
      <c r="P18" s="6" t="n">
        <f aca="false">M18-(N18+O18)</f>
        <v>166.1</v>
      </c>
      <c r="Q18" s="6" t="n">
        <v>208.3</v>
      </c>
      <c r="R18" s="6" t="n">
        <v>83.6</v>
      </c>
      <c r="S18" s="6" t="n">
        <f aca="false">SUM(P18:R18)</f>
        <v>458</v>
      </c>
      <c r="T18" s="54"/>
      <c r="U18" s="6" t="n">
        <v>88.3</v>
      </c>
      <c r="V18" s="6" t="n">
        <v>73.4</v>
      </c>
      <c r="W18" s="7" t="n">
        <f aca="false">W17-V18</f>
        <v>8081.97999999998</v>
      </c>
      <c r="X18" s="6" t="n">
        <f aca="false">N18+O18+S18+U18+V18</f>
        <v>619.7</v>
      </c>
      <c r="Y18" s="6" t="n">
        <f aca="false">IF(L18&lt;0,L18*-1,0)</f>
        <v>63.233778674061</v>
      </c>
      <c r="Z18" s="6" t="n">
        <f aca="false">X18+Y18</f>
        <v>682.933778674061</v>
      </c>
      <c r="AA18" s="11" t="n">
        <v>0</v>
      </c>
      <c r="AB18" s="12" t="n">
        <v>82</v>
      </c>
      <c r="AC18" s="12" t="n">
        <v>46</v>
      </c>
      <c r="AD18" s="13" t="n">
        <f aca="false">AD17+1</f>
        <v>9</v>
      </c>
      <c r="AE18" s="12"/>
      <c r="AG18" s="6"/>
    </row>
    <row r="19" customFormat="false" ht="11.1" hidden="false" customHeight="true" outlineLevel="0" collapsed="false">
      <c r="A19" s="13" t="n">
        <f aca="false">A18+1</f>
        <v>10</v>
      </c>
      <c r="B19" s="31" t="n">
        <v>6918.5</v>
      </c>
      <c r="C19" s="7" t="n">
        <v>357131</v>
      </c>
      <c r="D19" s="12" t="n">
        <f aca="false">C19-C18</f>
        <v>1069</v>
      </c>
      <c r="E19" s="7" t="n">
        <f aca="false">C19-152000</f>
        <v>205131</v>
      </c>
      <c r="F19" s="6" t="n">
        <f aca="false">D19/$D$2</f>
        <v>538.946307033022</v>
      </c>
      <c r="G19" s="6" t="n">
        <v>1111.4</v>
      </c>
      <c r="H19" s="11" t="n">
        <v>0</v>
      </c>
      <c r="I19" s="6" t="n">
        <f aca="false">G19+H19</f>
        <v>1111.4</v>
      </c>
      <c r="J19" s="109" t="n">
        <f aca="false">IF(L19&gt;0,L19,0)</f>
        <v>53.4463070330224</v>
      </c>
      <c r="K19" s="6" t="n">
        <f aca="false">I19+J19</f>
        <v>1164.84630703302</v>
      </c>
      <c r="L19" s="6" t="n">
        <f aca="false">F19-(I19-X19)</f>
        <v>53.4463070330224</v>
      </c>
      <c r="M19" s="6" t="n">
        <v>164</v>
      </c>
      <c r="N19" s="6" t="n">
        <v>0</v>
      </c>
      <c r="O19" s="6" t="n">
        <v>0</v>
      </c>
      <c r="P19" s="6" t="n">
        <f aca="false">M19-(N19+O19)</f>
        <v>164</v>
      </c>
      <c r="Q19" s="6" t="n">
        <v>203</v>
      </c>
      <c r="R19" s="6" t="n">
        <v>81.8</v>
      </c>
      <c r="S19" s="6" t="n">
        <f aca="false">SUM(P19:R19)</f>
        <v>448.8</v>
      </c>
      <c r="T19" s="54"/>
      <c r="U19" s="6" t="n">
        <v>103.4</v>
      </c>
      <c r="V19" s="6" t="n">
        <v>73.7</v>
      </c>
      <c r="W19" s="7" t="n">
        <f aca="false">W18-V19</f>
        <v>8008.27999999998</v>
      </c>
      <c r="X19" s="6" t="n">
        <f aca="false">N19+O19+S19+U19+V19</f>
        <v>625.9</v>
      </c>
      <c r="Y19" s="6" t="n">
        <f aca="false">IF(L19&lt;0,L19*-1,0)</f>
        <v>0</v>
      </c>
      <c r="Z19" s="6" t="n">
        <f aca="false">X19+Y19</f>
        <v>625.9</v>
      </c>
      <c r="AA19" s="11" t="n">
        <v>0</v>
      </c>
      <c r="AB19" s="12" t="n">
        <v>81</v>
      </c>
      <c r="AC19" s="12" t="n">
        <v>45</v>
      </c>
      <c r="AD19" s="13" t="n">
        <f aca="false">AD18+1</f>
        <v>10</v>
      </c>
      <c r="AE19" s="12"/>
      <c r="AG19" s="6"/>
    </row>
    <row r="20" customFormat="false" ht="11.1" hidden="false" customHeight="true" outlineLevel="0" collapsed="false">
      <c r="A20" s="13" t="n">
        <f aca="false">A19+1</f>
        <v>11</v>
      </c>
      <c r="B20" s="31" t="n">
        <v>6918.73</v>
      </c>
      <c r="C20" s="7" t="n">
        <v>358113</v>
      </c>
      <c r="D20" s="12" t="n">
        <f aca="false">C20-C19</f>
        <v>982</v>
      </c>
      <c r="E20" s="7" t="n">
        <f aca="false">C20-152000</f>
        <v>206113</v>
      </c>
      <c r="F20" s="6" t="n">
        <f aca="false">D20/$D$2</f>
        <v>495.084446685152</v>
      </c>
      <c r="G20" s="6" t="n">
        <v>1069.5</v>
      </c>
      <c r="H20" s="11" t="n">
        <v>0</v>
      </c>
      <c r="I20" s="6" t="n">
        <f aca="false">G20+H20</f>
        <v>1069.5</v>
      </c>
      <c r="J20" s="109" t="n">
        <f aca="false">IF(L20&gt;0,L20,0)</f>
        <v>53.3844466851525</v>
      </c>
      <c r="K20" s="6" t="n">
        <f aca="false">I20+J20</f>
        <v>1122.88444668515</v>
      </c>
      <c r="L20" s="6" t="n">
        <f aca="false">F20-(I20-X20)</f>
        <v>53.3844466851525</v>
      </c>
      <c r="M20" s="6" t="n">
        <v>171.5</v>
      </c>
      <c r="N20" s="6" t="n">
        <v>0</v>
      </c>
      <c r="O20" s="6" t="n">
        <v>0</v>
      </c>
      <c r="P20" s="6" t="n">
        <f aca="false">M20-(N20+O20)</f>
        <v>171.5</v>
      </c>
      <c r="Q20" s="6" t="n">
        <v>199.6</v>
      </c>
      <c r="R20" s="6" t="n">
        <v>84.8</v>
      </c>
      <c r="S20" s="6" t="n">
        <f aca="false">SUM(P20:R20)</f>
        <v>455.9</v>
      </c>
      <c r="T20" s="54"/>
      <c r="U20" s="6" t="n">
        <v>98.8</v>
      </c>
      <c r="V20" s="6" t="n">
        <v>73.1</v>
      </c>
      <c r="W20" s="7" t="n">
        <f aca="false">W19-V20</f>
        <v>7935.17999999998</v>
      </c>
      <c r="X20" s="6" t="n">
        <f aca="false">N20+O20+S20+U20+V20</f>
        <v>627.8</v>
      </c>
      <c r="Y20" s="6" t="n">
        <f aca="false">IF(L20&lt;0,L20*-1,0)</f>
        <v>0</v>
      </c>
      <c r="Z20" s="6" t="n">
        <f aca="false">X20+Y20</f>
        <v>627.8</v>
      </c>
      <c r="AA20" s="11" t="n">
        <v>0.07</v>
      </c>
      <c r="AB20" s="12" t="n">
        <v>83</v>
      </c>
      <c r="AC20" s="12" t="n">
        <v>45</v>
      </c>
      <c r="AD20" s="13" t="n">
        <f aca="false">AD19+1</f>
        <v>11</v>
      </c>
      <c r="AE20" s="12"/>
      <c r="AG20" s="6"/>
    </row>
    <row r="21" customFormat="false" ht="11.1" hidden="false" customHeight="true" outlineLevel="0" collapsed="false">
      <c r="A21" s="13" t="n">
        <f aca="false">A20+1</f>
        <v>12</v>
      </c>
      <c r="B21" s="31" t="n">
        <v>6919.03</v>
      </c>
      <c r="C21" s="7" t="n">
        <v>359395</v>
      </c>
      <c r="D21" s="12" t="n">
        <f aca="false">C21-C20</f>
        <v>1282</v>
      </c>
      <c r="E21" s="7" t="n">
        <f aca="false">C21-152000</f>
        <v>207395</v>
      </c>
      <c r="F21" s="6" t="n">
        <f aca="false">D21/$D$2</f>
        <v>646.332240988152</v>
      </c>
      <c r="G21" s="6" t="n">
        <v>1097.4</v>
      </c>
      <c r="H21" s="11" t="n">
        <v>0</v>
      </c>
      <c r="I21" s="6" t="n">
        <f aca="false">G21+H21</f>
        <v>1097.4</v>
      </c>
      <c r="J21" s="109" t="n">
        <f aca="false">IF(L21&gt;0,L21,0)</f>
        <v>165.932240988152</v>
      </c>
      <c r="K21" s="6" t="n">
        <f aca="false">I21+J21</f>
        <v>1263.33224098815</v>
      </c>
      <c r="L21" s="6" t="n">
        <f aca="false">F21-(I21-X21)</f>
        <v>165.932240988152</v>
      </c>
      <c r="M21" s="6" t="n">
        <v>174.2</v>
      </c>
      <c r="N21" s="6" t="n">
        <v>0</v>
      </c>
      <c r="O21" s="6" t="n">
        <v>0</v>
      </c>
      <c r="P21" s="6" t="n">
        <f aca="false">M21-(N21+O21)</f>
        <v>174.2</v>
      </c>
      <c r="Q21" s="6" t="n">
        <v>201</v>
      </c>
      <c r="R21" s="6" t="n">
        <v>85.3</v>
      </c>
      <c r="S21" s="6" t="n">
        <f aca="false">SUM(P21:R21)</f>
        <v>460.5</v>
      </c>
      <c r="T21" s="54"/>
      <c r="U21" s="6" t="n">
        <v>83.7</v>
      </c>
      <c r="V21" s="6" t="n">
        <v>72.8</v>
      </c>
      <c r="W21" s="7" t="n">
        <f aca="false">W20-V21</f>
        <v>7862.37999999998</v>
      </c>
      <c r="X21" s="6" t="n">
        <f aca="false">N21+O21+S21+U21+V21</f>
        <v>617</v>
      </c>
      <c r="Y21" s="6" t="n">
        <f aca="false">IF(L21&lt;0,L21*-1,0)</f>
        <v>0</v>
      </c>
      <c r="Z21" s="6" t="n">
        <f aca="false">X21+Y21</f>
        <v>617</v>
      </c>
      <c r="AA21" s="11" t="n">
        <v>0.01</v>
      </c>
      <c r="AB21" s="12" t="n">
        <v>71</v>
      </c>
      <c r="AC21" s="12" t="n">
        <v>46</v>
      </c>
      <c r="AD21" s="13" t="n">
        <f aca="false">AD20+1</f>
        <v>12</v>
      </c>
      <c r="AE21" s="12"/>
      <c r="AG21" s="6"/>
    </row>
    <row r="22" customFormat="false" ht="11.1" hidden="false" customHeight="true" outlineLevel="0" collapsed="false">
      <c r="A22" s="13" t="n">
        <f aca="false">A21+1</f>
        <v>13</v>
      </c>
      <c r="B22" s="31" t="n">
        <v>6919.43</v>
      </c>
      <c r="C22" s="7" t="n">
        <v>361119</v>
      </c>
      <c r="D22" s="12" t="n">
        <f aca="false">C22-C21</f>
        <v>1724</v>
      </c>
      <c r="E22" s="7" t="n">
        <f aca="false">C22-152000</f>
        <v>209119</v>
      </c>
      <c r="F22" s="6" t="n">
        <f aca="false">D22/$D$2</f>
        <v>869.170657927905</v>
      </c>
      <c r="G22" s="6" t="n">
        <v>1370.6</v>
      </c>
      <c r="H22" s="11" t="n">
        <v>0</v>
      </c>
      <c r="I22" s="6" t="n">
        <f aca="false">G22+H22</f>
        <v>1370.6</v>
      </c>
      <c r="J22" s="109" t="n">
        <f aca="false">IF(L22&gt;0,L22,0)</f>
        <v>95.1706579279053</v>
      </c>
      <c r="K22" s="6" t="n">
        <f aca="false">I22+J22</f>
        <v>1465.77065792791</v>
      </c>
      <c r="L22" s="6" t="n">
        <f aca="false">F22-(I22-X22)</f>
        <v>95.1706579279053</v>
      </c>
      <c r="M22" s="6" t="n">
        <v>168.6</v>
      </c>
      <c r="N22" s="6" t="n">
        <v>0</v>
      </c>
      <c r="O22" s="6" t="n">
        <v>0</v>
      </c>
      <c r="P22" s="6" t="n">
        <f aca="false">M22-(N22+O22)</f>
        <v>168.6</v>
      </c>
      <c r="Q22" s="6" t="n">
        <v>200.7</v>
      </c>
      <c r="R22" s="6" t="n">
        <v>85.5</v>
      </c>
      <c r="S22" s="6" t="n">
        <f aca="false">SUM(P22:R22)</f>
        <v>454.8</v>
      </c>
      <c r="T22" s="54"/>
      <c r="U22" s="6" t="n">
        <v>68.6</v>
      </c>
      <c r="V22" s="6" t="n">
        <v>73.2</v>
      </c>
      <c r="W22" s="7" t="n">
        <f aca="false">W21-V22</f>
        <v>7789.17999999998</v>
      </c>
      <c r="X22" s="6" t="n">
        <f aca="false">N22+O22+S22+U22+V22</f>
        <v>596.6</v>
      </c>
      <c r="Y22" s="6" t="n">
        <f aca="false">IF(L22&lt;0,L22*-1,0)</f>
        <v>0</v>
      </c>
      <c r="Z22" s="6" t="n">
        <f aca="false">X22+Y22</f>
        <v>596.6</v>
      </c>
      <c r="AA22" s="11" t="n">
        <v>0.06</v>
      </c>
      <c r="AB22" s="12" t="n">
        <v>72</v>
      </c>
      <c r="AC22" s="12" t="n">
        <v>46</v>
      </c>
      <c r="AD22" s="13" t="n">
        <f aca="false">AD21+1</f>
        <v>13</v>
      </c>
      <c r="AE22" s="12"/>
      <c r="AG22" s="6"/>
    </row>
    <row r="23" customFormat="false" ht="11.1" hidden="false" customHeight="true" outlineLevel="0" collapsed="false">
      <c r="A23" s="13" t="n">
        <f aca="false">A22+1</f>
        <v>14</v>
      </c>
      <c r="B23" s="31" t="n">
        <v>6919.95</v>
      </c>
      <c r="C23" s="7" t="n">
        <v>363359</v>
      </c>
      <c r="D23" s="12" t="n">
        <f aca="false">C23-C22</f>
        <v>2240</v>
      </c>
      <c r="E23" s="7" t="n">
        <f aca="false">C23-152000</f>
        <v>211359</v>
      </c>
      <c r="F23" s="6" t="n">
        <f aca="false">D23/$D$2</f>
        <v>1129.31686412906</v>
      </c>
      <c r="G23" s="6" t="n">
        <v>1501.5</v>
      </c>
      <c r="H23" s="11" t="n">
        <v>0</v>
      </c>
      <c r="I23" s="6" t="n">
        <f aca="false">G23+H23</f>
        <v>1501.5</v>
      </c>
      <c r="J23" s="109" t="n">
        <f aca="false">IF(L23&gt;0,L23,0)</f>
        <v>233.416864129065</v>
      </c>
      <c r="K23" s="6" t="n">
        <f aca="false">I23+J23</f>
        <v>1734.91686412906</v>
      </c>
      <c r="L23" s="6" t="n">
        <f aca="false">F23-(I23-X23)</f>
        <v>233.416864129065</v>
      </c>
      <c r="M23" s="6" t="n">
        <v>172.8</v>
      </c>
      <c r="N23" s="6" t="n">
        <v>0</v>
      </c>
      <c r="O23" s="6" t="n">
        <v>0</v>
      </c>
      <c r="P23" s="6" t="n">
        <f aca="false">M23-(N23+O23)</f>
        <v>172.8</v>
      </c>
      <c r="Q23" s="6" t="n">
        <v>201.4</v>
      </c>
      <c r="R23" s="6" t="n">
        <v>85.7</v>
      </c>
      <c r="S23" s="6" t="n">
        <f aca="false">SUM(P23:R23)</f>
        <v>459.9</v>
      </c>
      <c r="T23" s="54"/>
      <c r="U23" s="6" t="n">
        <v>73.1</v>
      </c>
      <c r="V23" s="6" t="n">
        <v>72.6</v>
      </c>
      <c r="W23" s="7" t="n">
        <f aca="false">W22-V23</f>
        <v>7716.57999999998</v>
      </c>
      <c r="X23" s="6" t="n">
        <f aca="false">N23+O23+S23+U23+V23</f>
        <v>605.6</v>
      </c>
      <c r="Y23" s="6" t="n">
        <f aca="false">IF(L23&lt;0,L23*-1,0)</f>
        <v>0</v>
      </c>
      <c r="Z23" s="6" t="n">
        <f aca="false">X23+Y23</f>
        <v>605.6</v>
      </c>
      <c r="AA23" s="11" t="n">
        <v>0.03</v>
      </c>
      <c r="AB23" s="12" t="n">
        <v>73</v>
      </c>
      <c r="AC23" s="12" t="n">
        <v>51</v>
      </c>
      <c r="AD23" s="13" t="n">
        <f aca="false">AD22+1</f>
        <v>14</v>
      </c>
      <c r="AE23" s="12"/>
      <c r="AG23" s="6"/>
    </row>
    <row r="24" customFormat="false" ht="11.1" hidden="false" customHeight="true" outlineLevel="0" collapsed="false">
      <c r="A24" s="13" t="n">
        <f aca="false">A23+1</f>
        <v>15</v>
      </c>
      <c r="B24" s="31" t="n">
        <v>6920.17</v>
      </c>
      <c r="C24" s="7" t="n">
        <v>364311</v>
      </c>
      <c r="D24" s="12" t="n">
        <f aca="false">C24-C23</f>
        <v>952</v>
      </c>
      <c r="E24" s="7" t="n">
        <f aca="false">C24-152000</f>
        <v>212311</v>
      </c>
      <c r="F24" s="6" t="n">
        <f aca="false">D24/$D$2</f>
        <v>479.959667254853</v>
      </c>
      <c r="G24" s="6" t="n">
        <v>1359.7</v>
      </c>
      <c r="H24" s="11" t="n">
        <v>0</v>
      </c>
      <c r="I24" s="6" t="n">
        <f aca="false">G24+H24</f>
        <v>1359.7</v>
      </c>
      <c r="J24" s="109" t="n">
        <f aca="false">IF(L24&gt;0,L24,0)</f>
        <v>0</v>
      </c>
      <c r="K24" s="6" t="n">
        <f aca="false">I24+J24</f>
        <v>1359.7</v>
      </c>
      <c r="L24" s="6" t="n">
        <f aca="false">F24-(I24-X24)</f>
        <v>-283.940332745148</v>
      </c>
      <c r="M24" s="6" t="n">
        <v>173.1</v>
      </c>
      <c r="N24" s="6" t="n">
        <v>0</v>
      </c>
      <c r="O24" s="6" t="n">
        <v>0</v>
      </c>
      <c r="P24" s="6" t="n">
        <f aca="false">M24-(N24+O24)</f>
        <v>173.1</v>
      </c>
      <c r="Q24" s="6" t="n">
        <v>202.5</v>
      </c>
      <c r="R24" s="6" t="n">
        <v>83.3</v>
      </c>
      <c r="S24" s="6" t="n">
        <f aca="false">SUM(P24:R24)</f>
        <v>458.9</v>
      </c>
      <c r="T24" s="54"/>
      <c r="U24" s="6" t="n">
        <v>65.6</v>
      </c>
      <c r="V24" s="6" t="n">
        <v>71.3</v>
      </c>
      <c r="W24" s="7" t="n">
        <f aca="false">W23-V24</f>
        <v>7645.27999999998</v>
      </c>
      <c r="X24" s="6" t="n">
        <f aca="false">N24+O24+S24+U24+V24</f>
        <v>595.8</v>
      </c>
      <c r="Y24" s="6" t="n">
        <f aca="false">IF(L24&lt;0,L24*-1,0)</f>
        <v>283.940332745148</v>
      </c>
      <c r="Z24" s="6" t="n">
        <f aca="false">X24+Y24</f>
        <v>879.740332745148</v>
      </c>
      <c r="AA24" s="11" t="n">
        <v>0</v>
      </c>
      <c r="AB24" s="12" t="n">
        <v>78</v>
      </c>
      <c r="AC24" s="12" t="n">
        <v>47</v>
      </c>
      <c r="AD24" s="13" t="n">
        <f aca="false">AD23+1</f>
        <v>15</v>
      </c>
      <c r="AE24" s="12"/>
      <c r="AG24" s="6"/>
    </row>
    <row r="25" customFormat="false" ht="11.1" hidden="false" customHeight="true" outlineLevel="0" collapsed="false">
      <c r="A25" s="13" t="n">
        <f aca="false">A24+1</f>
        <v>16</v>
      </c>
      <c r="B25" s="31" t="n">
        <v>6920.4</v>
      </c>
      <c r="C25" s="7" t="n">
        <v>365309</v>
      </c>
      <c r="D25" s="12" t="n">
        <f aca="false">C25-C24</f>
        <v>998</v>
      </c>
      <c r="E25" s="7" t="n">
        <f aca="false">C25-152000</f>
        <v>213309</v>
      </c>
      <c r="F25" s="6" t="n">
        <f aca="false">D25/$D$2</f>
        <v>503.150995714646</v>
      </c>
      <c r="G25" s="6" t="n">
        <v>1180.4</v>
      </c>
      <c r="H25" s="11" t="n">
        <v>0</v>
      </c>
      <c r="I25" s="6" t="n">
        <f aca="false">G25+H25</f>
        <v>1180.4</v>
      </c>
      <c r="J25" s="109" t="n">
        <f aca="false">IF(L25&gt;0,L25,0)</f>
        <v>0</v>
      </c>
      <c r="K25" s="6" t="n">
        <f aca="false">I25+J25</f>
        <v>1180.4</v>
      </c>
      <c r="L25" s="6" t="n">
        <f aca="false">F25-(I25-X25)</f>
        <v>-96.4490042853543</v>
      </c>
      <c r="M25" s="6" t="n">
        <v>172.1</v>
      </c>
      <c r="N25" s="6" t="n">
        <v>0</v>
      </c>
      <c r="O25" s="6" t="n">
        <v>0</v>
      </c>
      <c r="P25" s="6" t="n">
        <f aca="false">M25-(N25+O25)</f>
        <v>172.1</v>
      </c>
      <c r="Q25" s="6" t="n">
        <v>203.5</v>
      </c>
      <c r="R25" s="6" t="n">
        <v>83.3</v>
      </c>
      <c r="S25" s="6" t="n">
        <f aca="false">SUM(P25:R25)</f>
        <v>458.9</v>
      </c>
      <c r="T25" s="54"/>
      <c r="U25" s="6" t="n">
        <v>50.9</v>
      </c>
      <c r="V25" s="6" t="n">
        <v>71</v>
      </c>
      <c r="W25" s="7" t="n">
        <f aca="false">W24-V25</f>
        <v>7574.27999999998</v>
      </c>
      <c r="X25" s="6" t="n">
        <f aca="false">N25+O25+S25+U25+V25</f>
        <v>580.8</v>
      </c>
      <c r="Y25" s="6" t="n">
        <f aca="false">IF(L25&lt;0,L25*-1,0)</f>
        <v>96.4490042853543</v>
      </c>
      <c r="Z25" s="6" t="n">
        <f aca="false">X25+Y25</f>
        <v>677.249004285354</v>
      </c>
      <c r="AA25" s="11" t="n">
        <v>0</v>
      </c>
      <c r="AB25" s="12" t="n">
        <v>80</v>
      </c>
      <c r="AC25" s="12" t="n">
        <v>49</v>
      </c>
      <c r="AD25" s="13" t="n">
        <f aca="false">AD24+1</f>
        <v>16</v>
      </c>
      <c r="AE25" s="12"/>
      <c r="AG25" s="6"/>
    </row>
    <row r="26" customFormat="false" ht="11.1" hidden="false" customHeight="true" outlineLevel="0" collapsed="false">
      <c r="A26" s="13" t="n">
        <f aca="false">A25+1</f>
        <v>17</v>
      </c>
      <c r="B26" s="31" t="n">
        <v>6920.62</v>
      </c>
      <c r="C26" s="7" t="n">
        <v>366266</v>
      </c>
      <c r="D26" s="12" t="n">
        <f aca="false">C26-C25</f>
        <v>957</v>
      </c>
      <c r="E26" s="7" t="n">
        <f aca="false">C26-152000</f>
        <v>214266</v>
      </c>
      <c r="F26" s="6" t="n">
        <f aca="false">D26/$D$2</f>
        <v>482.480463826569</v>
      </c>
      <c r="G26" s="6" t="n">
        <v>1120.5</v>
      </c>
      <c r="H26" s="11" t="n">
        <v>0</v>
      </c>
      <c r="I26" s="6" t="n">
        <f aca="false">G26+H26</f>
        <v>1120.5</v>
      </c>
      <c r="J26" s="109" t="n">
        <f aca="false">IF(L26&gt;0,L26,0)</f>
        <v>0</v>
      </c>
      <c r="K26" s="6" t="n">
        <f aca="false">I26+J26</f>
        <v>1120.5</v>
      </c>
      <c r="L26" s="6" t="n">
        <f aca="false">F26-(I26-X26)</f>
        <v>-33.2195361734308</v>
      </c>
      <c r="M26" s="6" t="n">
        <v>184.8</v>
      </c>
      <c r="N26" s="6" t="n">
        <v>0</v>
      </c>
      <c r="O26" s="6" t="n">
        <v>0</v>
      </c>
      <c r="P26" s="6" t="n">
        <f aca="false">M26-(N26+O26)</f>
        <v>184.8</v>
      </c>
      <c r="Q26" s="6" t="n">
        <v>196.6</v>
      </c>
      <c r="R26" s="6" t="n">
        <v>86.1</v>
      </c>
      <c r="S26" s="6" t="n">
        <f aca="false">SUM(P26:R26)</f>
        <v>467.5</v>
      </c>
      <c r="T26" s="54"/>
      <c r="U26" s="6" t="n">
        <v>66.1</v>
      </c>
      <c r="V26" s="6" t="n">
        <v>71.2</v>
      </c>
      <c r="W26" s="7" t="n">
        <f aca="false">W25-V26</f>
        <v>7503.07999999998</v>
      </c>
      <c r="X26" s="6" t="n">
        <f aca="false">N26+O26+S26+U26+V26</f>
        <v>604.8</v>
      </c>
      <c r="Y26" s="6" t="n">
        <f aca="false">IF(L26&lt;0,L26*-1,0)</f>
        <v>33.2195361734308</v>
      </c>
      <c r="Z26" s="6" t="n">
        <f aca="false">X26+Y26</f>
        <v>638.019536173431</v>
      </c>
      <c r="AA26" s="11" t="n">
        <v>0</v>
      </c>
      <c r="AB26" s="12" t="n">
        <v>82</v>
      </c>
      <c r="AC26" s="12" t="n">
        <v>44</v>
      </c>
      <c r="AD26" s="13" t="n">
        <f aca="false">AD25+1</f>
        <v>17</v>
      </c>
      <c r="AE26" s="12"/>
      <c r="AG26" s="6"/>
    </row>
    <row r="27" customFormat="false" ht="11.1" hidden="false" customHeight="true" outlineLevel="0" collapsed="false">
      <c r="A27" s="13" t="n">
        <f aca="false">A26+1</f>
        <v>18</v>
      </c>
      <c r="B27" s="31" t="n">
        <v>6920.77</v>
      </c>
      <c r="C27" s="7" t="n">
        <v>366916</v>
      </c>
      <c r="D27" s="12" t="n">
        <f aca="false">C27-C26</f>
        <v>650</v>
      </c>
      <c r="E27" s="7" t="n">
        <f aca="false">C27-152000</f>
        <v>214916</v>
      </c>
      <c r="F27" s="6" t="n">
        <f aca="false">D27/$D$2</f>
        <v>327.703554323166</v>
      </c>
      <c r="G27" s="6" t="n">
        <v>1059.6</v>
      </c>
      <c r="H27" s="11" t="n">
        <v>0</v>
      </c>
      <c r="I27" s="6" t="n">
        <f aca="false">G27+H27</f>
        <v>1059.6</v>
      </c>
      <c r="J27" s="109" t="n">
        <f aca="false">IF(L27&gt;0,L27,0)</f>
        <v>0</v>
      </c>
      <c r="K27" s="6" t="n">
        <f aca="false">I27+J27</f>
        <v>1059.6</v>
      </c>
      <c r="L27" s="6" t="n">
        <f aca="false">F27-(I27-X27)</f>
        <v>-143.696445676834</v>
      </c>
      <c r="M27" s="6" t="n">
        <v>199.1</v>
      </c>
      <c r="N27" s="6" t="n">
        <v>0</v>
      </c>
      <c r="O27" s="6" t="n">
        <v>0</v>
      </c>
      <c r="P27" s="6" t="n">
        <f aca="false">M27-(N27+O27)</f>
        <v>199.1</v>
      </c>
      <c r="Q27" s="6" t="n">
        <v>191.6</v>
      </c>
      <c r="R27" s="6" t="n">
        <v>83.3</v>
      </c>
      <c r="S27" s="6" t="n">
        <f aca="false">SUM(P27:R27)</f>
        <v>474</v>
      </c>
      <c r="T27" s="54"/>
      <c r="U27" s="6" t="n">
        <v>42.9</v>
      </c>
      <c r="V27" s="6" t="n">
        <v>71.3</v>
      </c>
      <c r="W27" s="7" t="n">
        <f aca="false">W26-V27</f>
        <v>7431.77999999998</v>
      </c>
      <c r="X27" s="6" t="n">
        <f aca="false">N27+O27+S27+U27+V27</f>
        <v>588.2</v>
      </c>
      <c r="Y27" s="6" t="n">
        <f aca="false">IF(L27&lt;0,L27*-1,0)</f>
        <v>143.696445676834</v>
      </c>
      <c r="Z27" s="6" t="n">
        <f aca="false">X27+Y27</f>
        <v>731.896445676834</v>
      </c>
      <c r="AA27" s="11" t="n">
        <v>0</v>
      </c>
      <c r="AB27" s="12" t="n">
        <v>86</v>
      </c>
      <c r="AC27" s="12" t="n">
        <v>46</v>
      </c>
      <c r="AD27" s="13" t="n">
        <f aca="false">AD26+1</f>
        <v>18</v>
      </c>
      <c r="AE27" s="12"/>
      <c r="AG27" s="6"/>
    </row>
    <row r="28" customFormat="false" ht="11.1" hidden="false" customHeight="true" outlineLevel="0" collapsed="false">
      <c r="A28" s="13" t="n">
        <f aca="false">A27+1</f>
        <v>19</v>
      </c>
      <c r="B28" s="31" t="n">
        <v>6920.92</v>
      </c>
      <c r="C28" s="7" t="n">
        <v>367567</v>
      </c>
      <c r="D28" s="12" t="n">
        <f aca="false">C28-C27</f>
        <v>651</v>
      </c>
      <c r="E28" s="7" t="n">
        <f aca="false">C28-152000</f>
        <v>215567</v>
      </c>
      <c r="F28" s="6" t="n">
        <f aca="false">D28/$D$2</f>
        <v>328.207713637509</v>
      </c>
      <c r="G28" s="6" t="n">
        <v>931.8</v>
      </c>
      <c r="H28" s="11" t="n">
        <v>0</v>
      </c>
      <c r="I28" s="6" t="n">
        <f aca="false">G28+H28</f>
        <v>931.8</v>
      </c>
      <c r="J28" s="109" t="n">
        <f aca="false">IF(L28&gt;0,L28,0)</f>
        <v>30.2077136375096</v>
      </c>
      <c r="K28" s="6" t="n">
        <f aca="false">I28+J28</f>
        <v>962.00771363751</v>
      </c>
      <c r="L28" s="6" t="n">
        <f aca="false">F28-(I28-X28)</f>
        <v>30.2077136375096</v>
      </c>
      <c r="M28" s="6" t="n">
        <v>202.4</v>
      </c>
      <c r="N28" s="6" t="n">
        <v>0</v>
      </c>
      <c r="O28" s="6" t="n">
        <v>0</v>
      </c>
      <c r="P28" s="6" t="n">
        <f aca="false">M28-(N28+O28)</f>
        <v>202.4</v>
      </c>
      <c r="Q28" s="6" t="n">
        <v>192.4</v>
      </c>
      <c r="R28" s="6" t="n">
        <v>85.8</v>
      </c>
      <c r="S28" s="6" t="n">
        <f aca="false">SUM(P28:R28)</f>
        <v>480.6</v>
      </c>
      <c r="T28" s="54"/>
      <c r="U28" s="6" t="n">
        <v>82.2</v>
      </c>
      <c r="V28" s="6" t="n">
        <v>71</v>
      </c>
      <c r="W28" s="7" t="n">
        <f aca="false">W27-V28</f>
        <v>7360.77999999998</v>
      </c>
      <c r="X28" s="6" t="n">
        <f aca="false">N28+O28+S28+U28+V28</f>
        <v>633.8</v>
      </c>
      <c r="Y28" s="6" t="n">
        <f aca="false">IF(L28&lt;0,L28*-1,0)</f>
        <v>0</v>
      </c>
      <c r="Z28" s="6" t="n">
        <f aca="false">X28+Y28</f>
        <v>633.8</v>
      </c>
      <c r="AA28" s="11" t="n">
        <v>0</v>
      </c>
      <c r="AB28" s="12" t="n">
        <v>82</v>
      </c>
      <c r="AC28" s="12" t="n">
        <v>52</v>
      </c>
      <c r="AD28" s="13" t="n">
        <f aca="false">AD27+1</f>
        <v>19</v>
      </c>
      <c r="AE28" s="12"/>
      <c r="AG28" s="6"/>
    </row>
    <row r="29" customFormat="false" ht="11.1" hidden="false" customHeight="true" outlineLevel="0" collapsed="false">
      <c r="A29" s="13" t="n">
        <f aca="false">A28+1</f>
        <v>20</v>
      </c>
      <c r="B29" s="31" t="n">
        <v>6921.05</v>
      </c>
      <c r="C29" s="7" t="n">
        <v>368134</v>
      </c>
      <c r="D29" s="12" t="n">
        <f aca="false">C29-C28</f>
        <v>567</v>
      </c>
      <c r="E29" s="7" t="n">
        <f aca="false">C29-152000</f>
        <v>216134</v>
      </c>
      <c r="F29" s="6" t="n">
        <f aca="false">D29/$D$2</f>
        <v>285.858331232669</v>
      </c>
      <c r="G29" s="6" t="n">
        <v>857.7</v>
      </c>
      <c r="H29" s="11" t="n">
        <v>0</v>
      </c>
      <c r="I29" s="6" t="n">
        <f aca="false">G29+H29</f>
        <v>857.7</v>
      </c>
      <c r="J29" s="109" t="n">
        <f aca="false">IF(L29&gt;0,L29,0)</f>
        <v>38.3583312326695</v>
      </c>
      <c r="K29" s="6" t="n">
        <f aca="false">I29+J29</f>
        <v>896.05833123267</v>
      </c>
      <c r="L29" s="6" t="n">
        <f aca="false">F29-(I29-X29)</f>
        <v>38.3583312326695</v>
      </c>
      <c r="M29" s="6" t="n">
        <v>198.4</v>
      </c>
      <c r="N29" s="6" t="n">
        <v>0</v>
      </c>
      <c r="O29" s="127" t="n">
        <v>0</v>
      </c>
      <c r="P29" s="6" t="n">
        <f aca="false">M29-(N29+O29)</f>
        <v>198.4</v>
      </c>
      <c r="Q29" s="6" t="n">
        <v>192.4</v>
      </c>
      <c r="R29" s="6" t="n">
        <v>85.8</v>
      </c>
      <c r="S29" s="6" t="n">
        <f aca="false">SUM(P29:R29)</f>
        <v>476.6</v>
      </c>
      <c r="T29" s="54"/>
      <c r="U29" s="6" t="n">
        <v>63</v>
      </c>
      <c r="V29" s="6" t="n">
        <v>70.6</v>
      </c>
      <c r="W29" s="7" t="n">
        <f aca="false">W28-V29</f>
        <v>7290.17999999998</v>
      </c>
      <c r="X29" s="6" t="n">
        <f aca="false">N29+O29+S29+U29+V29</f>
        <v>610.2</v>
      </c>
      <c r="Y29" s="6" t="n">
        <f aca="false">IF(L29&lt;0,L29*-1,0)</f>
        <v>0</v>
      </c>
      <c r="Z29" s="6" t="n">
        <f aca="false">X29+Y29</f>
        <v>610.2</v>
      </c>
      <c r="AA29" s="11" t="n">
        <v>0</v>
      </c>
      <c r="AB29" s="12" t="n">
        <v>80</v>
      </c>
      <c r="AC29" s="12" t="n">
        <v>46</v>
      </c>
      <c r="AD29" s="13" t="n">
        <f aca="false">AD28+1</f>
        <v>20</v>
      </c>
      <c r="AE29" s="12"/>
      <c r="AG29" s="6"/>
    </row>
    <row r="30" customFormat="false" ht="11.1" hidden="false" customHeight="true" outlineLevel="0" collapsed="false">
      <c r="A30" s="13" t="n">
        <f aca="false">A29+1</f>
        <v>21</v>
      </c>
      <c r="B30" s="31" t="n">
        <v>6921.05</v>
      </c>
      <c r="C30" s="7" t="n">
        <v>368134</v>
      </c>
      <c r="D30" s="12" t="n">
        <f aca="false">C30-C29</f>
        <v>0</v>
      </c>
      <c r="E30" s="7" t="n">
        <f aca="false">C30-152000</f>
        <v>216134</v>
      </c>
      <c r="F30" s="6" t="n">
        <f aca="false">D30/$D$2</f>
        <v>0</v>
      </c>
      <c r="G30" s="6" t="n">
        <v>797.6</v>
      </c>
      <c r="H30" s="11" t="n">
        <v>0</v>
      </c>
      <c r="I30" s="6" t="n">
        <f aca="false">G30+H30</f>
        <v>797.6</v>
      </c>
      <c r="J30" s="109" t="n">
        <f aca="false">IF(L30&gt;0,L30,0)</f>
        <v>0</v>
      </c>
      <c r="K30" s="6" t="n">
        <f aca="false">I30+J30</f>
        <v>797.6</v>
      </c>
      <c r="L30" s="6" t="n">
        <f aca="false">F30-(I30-X30)</f>
        <v>-200.1</v>
      </c>
      <c r="M30" s="6" t="n">
        <v>198.4</v>
      </c>
      <c r="N30" s="6" t="n">
        <v>0</v>
      </c>
      <c r="O30" s="6" t="n">
        <v>0</v>
      </c>
      <c r="P30" s="6" t="n">
        <f aca="false">M30-(N30+O30)</f>
        <v>198.4</v>
      </c>
      <c r="Q30" s="6" t="n">
        <v>184.8</v>
      </c>
      <c r="R30" s="6" t="n">
        <v>86.3</v>
      </c>
      <c r="S30" s="6" t="n">
        <f aca="false">SUM(P30:R30)</f>
        <v>469.5</v>
      </c>
      <c r="T30" s="54"/>
      <c r="U30" s="6" t="n">
        <v>57.5</v>
      </c>
      <c r="V30" s="6" t="n">
        <v>70.5</v>
      </c>
      <c r="W30" s="7" t="n">
        <f aca="false">W29-V30</f>
        <v>7219.67999999998</v>
      </c>
      <c r="X30" s="6" t="n">
        <f aca="false">N30+O30+S30+U30+V30</f>
        <v>597.5</v>
      </c>
      <c r="Y30" s="6" t="n">
        <f aca="false">IF(L30&lt;0,L30*-1,0)</f>
        <v>200.1</v>
      </c>
      <c r="Z30" s="6" t="n">
        <f aca="false">X30+Y30</f>
        <v>797.6</v>
      </c>
      <c r="AA30" s="11" t="n">
        <v>0</v>
      </c>
      <c r="AB30" s="12" t="n">
        <v>81</v>
      </c>
      <c r="AC30" s="12" t="n">
        <v>45</v>
      </c>
      <c r="AD30" s="13" t="n">
        <f aca="false">AD29+1</f>
        <v>21</v>
      </c>
      <c r="AE30" s="12"/>
      <c r="AG30" s="6"/>
    </row>
    <row r="31" customFormat="false" ht="11.1" hidden="false" customHeight="true" outlineLevel="0" collapsed="false">
      <c r="A31" s="13" t="n">
        <f aca="false">A30+1</f>
        <v>22</v>
      </c>
      <c r="B31" s="31" t="n">
        <v>6921.16</v>
      </c>
      <c r="C31" s="7" t="n">
        <v>368616</v>
      </c>
      <c r="D31" s="12" t="n">
        <f aca="false">C31-C30</f>
        <v>482</v>
      </c>
      <c r="E31" s="7" t="n">
        <f aca="false">C31-152000</f>
        <v>216616</v>
      </c>
      <c r="F31" s="6" t="n">
        <f aca="false">D31/$D$2</f>
        <v>243.004789513486</v>
      </c>
      <c r="G31" s="6" t="n">
        <v>719.5</v>
      </c>
      <c r="H31" s="11" t="n">
        <v>0</v>
      </c>
      <c r="I31" s="6" t="n">
        <f aca="false">G31+H31</f>
        <v>719.5</v>
      </c>
      <c r="J31" s="109" t="n">
        <f aca="false">IF(L31&gt;0,L31,0)</f>
        <v>126.104789513486</v>
      </c>
      <c r="K31" s="6" t="n">
        <f aca="false">I31+J31</f>
        <v>845.604789513486</v>
      </c>
      <c r="L31" s="6" t="n">
        <f aca="false">F31-(I31-X31)</f>
        <v>126.104789513486</v>
      </c>
      <c r="M31" s="6" t="n">
        <v>201.8</v>
      </c>
      <c r="N31" s="6" t="n">
        <v>0</v>
      </c>
      <c r="O31" s="6" t="n">
        <v>0</v>
      </c>
      <c r="P31" s="6" t="n">
        <f aca="false">M31-(N31+O31)</f>
        <v>201.8</v>
      </c>
      <c r="Q31" s="6" t="n">
        <v>180</v>
      </c>
      <c r="R31" s="6" t="n">
        <v>85.7</v>
      </c>
      <c r="S31" s="6" t="n">
        <f aca="false">SUM(P31:R31)</f>
        <v>467.5</v>
      </c>
      <c r="T31" s="54"/>
      <c r="U31" s="6" t="n">
        <v>64.6</v>
      </c>
      <c r="V31" s="6" t="n">
        <v>70.5</v>
      </c>
      <c r="W31" s="7" t="n">
        <f aca="false">W30-V31</f>
        <v>7149.17999999998</v>
      </c>
      <c r="X31" s="6" t="n">
        <f aca="false">N31+O31+S31+U31+V31</f>
        <v>602.6</v>
      </c>
      <c r="Y31" s="6" t="n">
        <f aca="false">IF(L31&lt;0,L31*-1,0)</f>
        <v>0</v>
      </c>
      <c r="Z31" s="6" t="n">
        <f aca="false">X31+Y31</f>
        <v>602.6</v>
      </c>
      <c r="AA31" s="11" t="n">
        <v>0</v>
      </c>
      <c r="AB31" s="12" t="n">
        <v>80</v>
      </c>
      <c r="AC31" s="12" t="n">
        <v>46</v>
      </c>
      <c r="AD31" s="13" t="n">
        <f aca="false">AD30+1</f>
        <v>22</v>
      </c>
      <c r="AE31" s="12"/>
      <c r="AG31" s="6"/>
    </row>
    <row r="32" customFormat="false" ht="11.1" hidden="false" customHeight="true" outlineLevel="0" collapsed="false">
      <c r="A32" s="13" t="n">
        <f aca="false">A31+1</f>
        <v>23</v>
      </c>
      <c r="B32" s="31" t="n">
        <v>6921.16</v>
      </c>
      <c r="C32" s="7" t="n">
        <v>368616</v>
      </c>
      <c r="D32" s="12" t="n">
        <f aca="false">C32-C31</f>
        <v>0</v>
      </c>
      <c r="E32" s="7" t="n">
        <f aca="false">C32-152000</f>
        <v>216616</v>
      </c>
      <c r="F32" s="6" t="n">
        <f aca="false">D32/$D$2</f>
        <v>0</v>
      </c>
      <c r="G32" s="6" t="n">
        <v>638</v>
      </c>
      <c r="H32" s="11" t="n">
        <v>0</v>
      </c>
      <c r="I32" s="6" t="n">
        <f aca="false">G32+H32</f>
        <v>638</v>
      </c>
      <c r="J32" s="109" t="n">
        <f aca="false">IF(L32&gt;0,L32,0)</f>
        <v>0</v>
      </c>
      <c r="K32" s="6" t="n">
        <f aca="false">I32+J32</f>
        <v>638</v>
      </c>
      <c r="L32" s="6" t="n">
        <f aca="false">F32-(I32-X32)</f>
        <v>-44.4</v>
      </c>
      <c r="M32" s="6" t="n">
        <v>203.2</v>
      </c>
      <c r="N32" s="6" t="n">
        <v>0</v>
      </c>
      <c r="O32" s="6" t="n">
        <v>0</v>
      </c>
      <c r="P32" s="6" t="n">
        <f aca="false">M32-(N32+O32)</f>
        <v>203.2</v>
      </c>
      <c r="Q32" s="6" t="n">
        <v>179.5</v>
      </c>
      <c r="R32" s="6" t="n">
        <v>82.8</v>
      </c>
      <c r="S32" s="6" t="n">
        <f aca="false">SUM(P32:R32)</f>
        <v>465.5</v>
      </c>
      <c r="T32" s="54"/>
      <c r="U32" s="6" t="n">
        <v>57.5</v>
      </c>
      <c r="V32" s="6" t="n">
        <v>70.6</v>
      </c>
      <c r="W32" s="7" t="n">
        <f aca="false">W31-V32</f>
        <v>7078.57999999998</v>
      </c>
      <c r="X32" s="6" t="n">
        <f aca="false">N32+O32+S32+U32+V32</f>
        <v>593.6</v>
      </c>
      <c r="Y32" s="6" t="n">
        <f aca="false">IF(L32&lt;0,L32*-1,0)</f>
        <v>44.4</v>
      </c>
      <c r="Z32" s="6" t="n">
        <f aca="false">X32+Y32</f>
        <v>638</v>
      </c>
      <c r="AA32" s="11" t="n">
        <v>0</v>
      </c>
      <c r="AB32" s="12" t="n">
        <v>80</v>
      </c>
      <c r="AC32" s="12" t="n">
        <v>44</v>
      </c>
      <c r="AD32" s="13" t="n">
        <f aca="false">AD31+1</f>
        <v>23</v>
      </c>
      <c r="AE32" s="12"/>
      <c r="AG32" s="6"/>
    </row>
    <row r="33" customFormat="false" ht="11.1" hidden="false" customHeight="true" outlineLevel="0" collapsed="false">
      <c r="A33" s="13" t="n">
        <f aca="false">A32+1</f>
        <v>24</v>
      </c>
      <c r="B33" s="31" t="n">
        <v>6921.12</v>
      </c>
      <c r="C33" s="7" t="n">
        <v>368441</v>
      </c>
      <c r="D33" s="12" t="n">
        <f aca="false">C33-C32</f>
        <v>-175</v>
      </c>
      <c r="E33" s="7" t="n">
        <f aca="false">C33-152000</f>
        <v>216441</v>
      </c>
      <c r="F33" s="6" t="n">
        <f aca="false">D33/$D$2</f>
        <v>-88.2278800100832</v>
      </c>
      <c r="G33" s="6" t="n">
        <v>577.1</v>
      </c>
      <c r="H33" s="11" t="n">
        <v>0</v>
      </c>
      <c r="I33" s="6" t="n">
        <f aca="false">G33+H33</f>
        <v>577.1</v>
      </c>
      <c r="J33" s="109" t="n">
        <f aca="false">IF(L33&gt;0,L33,0)</f>
        <v>0</v>
      </c>
      <c r="K33" s="6" t="n">
        <f aca="false">I33+J33</f>
        <v>577.1</v>
      </c>
      <c r="L33" s="6" t="n">
        <f aca="false">F33-(I33-X33)</f>
        <v>-62.7278800100832</v>
      </c>
      <c r="M33" s="6" t="n">
        <v>203.2</v>
      </c>
      <c r="N33" s="6" t="n">
        <v>0</v>
      </c>
      <c r="O33" s="6" t="n">
        <v>0</v>
      </c>
      <c r="P33" s="6" t="n">
        <f aca="false">M33-(N33+O33)</f>
        <v>203.2</v>
      </c>
      <c r="Q33" s="6" t="n">
        <v>179.8</v>
      </c>
      <c r="R33" s="6" t="n">
        <v>83.9</v>
      </c>
      <c r="S33" s="6" t="n">
        <f aca="false">SUM(P33:R33)</f>
        <v>466.9</v>
      </c>
      <c r="T33" s="54"/>
      <c r="U33" s="6" t="n">
        <v>65.1</v>
      </c>
      <c r="V33" s="6" t="n">
        <v>70.6</v>
      </c>
      <c r="W33" s="7" t="n">
        <f aca="false">W32-V33</f>
        <v>7007.97999999998</v>
      </c>
      <c r="X33" s="6" t="n">
        <f aca="false">N33+O33+S33+U33+V33</f>
        <v>602.6</v>
      </c>
      <c r="Y33" s="6" t="n">
        <f aca="false">IF(L33&lt;0,L33*-1,0)</f>
        <v>62.7278800100832</v>
      </c>
      <c r="Z33" s="6" t="n">
        <f aca="false">X33+Y33</f>
        <v>665.327880010083</v>
      </c>
      <c r="AA33" s="11" t="n">
        <v>0</v>
      </c>
      <c r="AB33" s="12" t="n">
        <v>82</v>
      </c>
      <c r="AC33" s="12" t="n">
        <v>43</v>
      </c>
      <c r="AD33" s="13" t="n">
        <f aca="false">AD32+1</f>
        <v>24</v>
      </c>
      <c r="AE33" s="12"/>
      <c r="AG33" s="6"/>
    </row>
    <row r="34" customFormat="false" ht="11.1" hidden="false" customHeight="true" outlineLevel="0" collapsed="false">
      <c r="A34" s="13" t="n">
        <f aca="false">A33+1</f>
        <v>25</v>
      </c>
      <c r="B34" s="31" t="n">
        <v>6921.04</v>
      </c>
      <c r="C34" s="7" t="n">
        <v>368090</v>
      </c>
      <c r="D34" s="12" t="n">
        <f aca="false">C34-C33</f>
        <v>-351</v>
      </c>
      <c r="E34" s="7" t="n">
        <f aca="false">C34-152000</f>
        <v>216090</v>
      </c>
      <c r="F34" s="6" t="n">
        <f aca="false">D34/$D$2</f>
        <v>-176.95991933451</v>
      </c>
      <c r="G34" s="6" t="n">
        <v>511.1</v>
      </c>
      <c r="H34" s="11" t="n">
        <v>0</v>
      </c>
      <c r="I34" s="6" t="n">
        <f aca="false">G34+H34</f>
        <v>511.1</v>
      </c>
      <c r="J34" s="109" t="n">
        <f aca="false">IF(L34&gt;0,L34,0)</f>
        <v>0</v>
      </c>
      <c r="K34" s="6" t="n">
        <f aca="false">I34+J34</f>
        <v>511.1</v>
      </c>
      <c r="L34" s="6" t="n">
        <f aca="false">F34-(I34-X34)</f>
        <v>-84.7599193345097</v>
      </c>
      <c r="M34" s="6" t="n">
        <v>203.3</v>
      </c>
      <c r="N34" s="6" t="n">
        <v>0</v>
      </c>
      <c r="O34" s="6" t="n">
        <v>0</v>
      </c>
      <c r="P34" s="6" t="n">
        <f aca="false">M34-(N34+O34)</f>
        <v>203.3</v>
      </c>
      <c r="Q34" s="6" t="n">
        <v>179.8</v>
      </c>
      <c r="R34" s="6" t="n">
        <v>83.9</v>
      </c>
      <c r="S34" s="6" t="n">
        <f aca="false">SUM(P34:R34)</f>
        <v>467</v>
      </c>
      <c r="T34" s="54"/>
      <c r="U34" s="6" t="n">
        <v>66.1</v>
      </c>
      <c r="V34" s="6" t="n">
        <v>70.2</v>
      </c>
      <c r="W34" s="7" t="n">
        <f aca="false">W33-V34</f>
        <v>6937.77999999998</v>
      </c>
      <c r="X34" s="6" t="n">
        <f aca="false">N34+O34+S34+U34+V34</f>
        <v>603.3</v>
      </c>
      <c r="Y34" s="6" t="n">
        <f aca="false">IF(L34&lt;0,L34*-1,0)</f>
        <v>84.7599193345097</v>
      </c>
      <c r="Z34" s="6" t="n">
        <f aca="false">X34+Y34</f>
        <v>688.05991933451</v>
      </c>
      <c r="AA34" s="11" t="n">
        <v>0</v>
      </c>
      <c r="AB34" s="12" t="n">
        <v>83</v>
      </c>
      <c r="AC34" s="12" t="n">
        <v>49</v>
      </c>
      <c r="AD34" s="13" t="n">
        <f aca="false">AD33+1</f>
        <v>25</v>
      </c>
      <c r="AE34" s="12"/>
      <c r="AG34" s="6"/>
    </row>
    <row r="35" customFormat="false" ht="11.1" hidden="false" customHeight="true" outlineLevel="0" collapsed="false">
      <c r="A35" s="13" t="n">
        <f aca="false">A34+1</f>
        <v>26</v>
      </c>
      <c r="B35" s="31" t="n">
        <v>6920.96</v>
      </c>
      <c r="C35" s="7" t="n">
        <v>367741</v>
      </c>
      <c r="D35" s="12" t="n">
        <f aca="false">C35-C34</f>
        <v>-349</v>
      </c>
      <c r="E35" s="7" t="n">
        <f aca="false">C35-152000</f>
        <v>215741</v>
      </c>
      <c r="F35" s="6" t="n">
        <f aca="false">D35/$D$2</f>
        <v>-175.951600705823</v>
      </c>
      <c r="G35" s="6" t="n">
        <v>464.1</v>
      </c>
      <c r="H35" s="11" t="n">
        <v>0</v>
      </c>
      <c r="I35" s="6" t="n">
        <f aca="false">G35+H35</f>
        <v>464.1</v>
      </c>
      <c r="J35" s="109" t="n">
        <f aca="false">IF(L35&gt;0,L35,0)</f>
        <v>0</v>
      </c>
      <c r="K35" s="6" t="n">
        <f aca="false">I35+J35</f>
        <v>464.1</v>
      </c>
      <c r="L35" s="6" t="n">
        <f aca="false">F35-(I35-X35)</f>
        <v>-30.751600705823</v>
      </c>
      <c r="M35" s="6" t="n">
        <v>202.8</v>
      </c>
      <c r="N35" s="6" t="n">
        <v>0</v>
      </c>
      <c r="O35" s="6" t="n">
        <v>0</v>
      </c>
      <c r="P35" s="6" t="n">
        <f aca="false">M35-(N35+O35)</f>
        <v>202.8</v>
      </c>
      <c r="Q35" s="6" t="n">
        <v>181.2</v>
      </c>
      <c r="R35" s="6" t="n">
        <v>85.5</v>
      </c>
      <c r="S35" s="6" t="n">
        <f aca="false">SUM(P35:R35)</f>
        <v>469.5</v>
      </c>
      <c r="T35" s="54"/>
      <c r="U35" s="128" t="n">
        <v>69.6</v>
      </c>
      <c r="V35" s="6" t="n">
        <v>70.2</v>
      </c>
      <c r="W35" s="7" t="n">
        <f aca="false">W34-V35</f>
        <v>6867.57999999998</v>
      </c>
      <c r="X35" s="6" t="n">
        <f aca="false">N35+O35+S35+U35+V35</f>
        <v>609.3</v>
      </c>
      <c r="Y35" s="6" t="n">
        <f aca="false">IF(L35&lt;0,L35*-1,0)</f>
        <v>30.751600705823</v>
      </c>
      <c r="Z35" s="6" t="n">
        <f aca="false">X35+Y35</f>
        <v>640.051600705823</v>
      </c>
      <c r="AA35" s="11" t="n">
        <v>0</v>
      </c>
      <c r="AB35" s="12" t="n">
        <v>77</v>
      </c>
      <c r="AC35" s="12" t="n">
        <v>53</v>
      </c>
      <c r="AD35" s="13" t="n">
        <f aca="false">AD34+1</f>
        <v>26</v>
      </c>
      <c r="AE35" s="12"/>
      <c r="AG35" s="3"/>
    </row>
    <row r="36" customFormat="false" ht="11.1" hidden="false" customHeight="true" outlineLevel="0" collapsed="false">
      <c r="A36" s="13" t="n">
        <f aca="false">A35+1</f>
        <v>27</v>
      </c>
      <c r="B36" s="31" t="n">
        <v>6920.84</v>
      </c>
      <c r="C36" s="7" t="n">
        <v>367220</v>
      </c>
      <c r="D36" s="12" t="n">
        <f aca="false">C36-C35</f>
        <v>-521</v>
      </c>
      <c r="E36" s="7" t="n">
        <f aca="false">C36-152000</f>
        <v>215220</v>
      </c>
      <c r="F36" s="6" t="n">
        <f aca="false">D36/$D$2</f>
        <v>-262.667002772876</v>
      </c>
      <c r="G36" s="6" t="n">
        <v>413</v>
      </c>
      <c r="H36" s="11" t="n">
        <v>0</v>
      </c>
      <c r="I36" s="6" t="n">
        <f aca="false">G36+H36</f>
        <v>413</v>
      </c>
      <c r="J36" s="109" t="n">
        <f aca="false">IF(L36&gt;0,L36,0)</f>
        <v>0</v>
      </c>
      <c r="K36" s="6" t="n">
        <f aca="false">I36+J36</f>
        <v>413</v>
      </c>
      <c r="L36" s="6" t="n">
        <f aca="false">F36-(I36-X36)</f>
        <v>-42.8670027728763</v>
      </c>
      <c r="M36" s="6" t="n">
        <v>202.7</v>
      </c>
      <c r="N36" s="6" t="n">
        <v>0</v>
      </c>
      <c r="O36" s="6" t="n">
        <v>0</v>
      </c>
      <c r="P36" s="6" t="n">
        <f aca="false">M36-(N36+O36)</f>
        <v>202.7</v>
      </c>
      <c r="Q36" s="6" t="n">
        <v>181.6</v>
      </c>
      <c r="R36" s="6" t="n">
        <v>86.8</v>
      </c>
      <c r="S36" s="6" t="n">
        <f aca="false">SUM(P36:R36)</f>
        <v>471.1</v>
      </c>
      <c r="T36" s="54"/>
      <c r="U36" s="6" t="n">
        <v>91.3</v>
      </c>
      <c r="V36" s="6" t="n">
        <v>70.4</v>
      </c>
      <c r="W36" s="7" t="n">
        <f aca="false">W35-V36</f>
        <v>6797.17999999998</v>
      </c>
      <c r="X36" s="6" t="n">
        <f aca="false">N36+O36+S36+U36+V36</f>
        <v>632.8</v>
      </c>
      <c r="Y36" s="6" t="n">
        <f aca="false">IF(L36&lt;0,L36*-1,0)</f>
        <v>42.8670027728763</v>
      </c>
      <c r="Z36" s="6" t="n">
        <f aca="false">X36+Y36</f>
        <v>675.667002772876</v>
      </c>
      <c r="AA36" s="11" t="n">
        <v>0</v>
      </c>
      <c r="AB36" s="12" t="n">
        <v>76</v>
      </c>
      <c r="AC36" s="12" t="n">
        <v>48</v>
      </c>
      <c r="AD36" s="13" t="n">
        <f aca="false">AD35+1</f>
        <v>27</v>
      </c>
      <c r="AE36" s="12"/>
      <c r="AG36" s="6"/>
    </row>
    <row r="37" customFormat="false" ht="11.1" hidden="false" customHeight="true" outlineLevel="0" collapsed="false">
      <c r="A37" s="13" t="n">
        <f aca="false">A36+1</f>
        <v>28</v>
      </c>
      <c r="B37" s="31" t="n">
        <v>6920.68</v>
      </c>
      <c r="C37" s="7" t="n">
        <v>366526</v>
      </c>
      <c r="D37" s="12" t="n">
        <f aca="false">C37-C36</f>
        <v>-694</v>
      </c>
      <c r="E37" s="7" t="n">
        <f aca="false">C37-152000</f>
        <v>214526</v>
      </c>
      <c r="F37" s="6" t="n">
        <f aca="false">D37/$D$2</f>
        <v>-349.886564154273</v>
      </c>
      <c r="G37" s="6" t="n">
        <v>381.6</v>
      </c>
      <c r="H37" s="11" t="n">
        <v>0</v>
      </c>
      <c r="I37" s="6" t="n">
        <f aca="false">G37+H37</f>
        <v>381.6</v>
      </c>
      <c r="J37" s="109" t="n">
        <f aca="false">IF(L37&gt;0,L37,0)</f>
        <v>0</v>
      </c>
      <c r="K37" s="6" t="n">
        <f aca="false">I37+J37</f>
        <v>381.6</v>
      </c>
      <c r="L37" s="6" t="n">
        <f aca="false">F37-(I37-X37)</f>
        <v>-107.486564154273</v>
      </c>
      <c r="M37" s="6" t="n">
        <v>202.7</v>
      </c>
      <c r="N37" s="6" t="n">
        <v>0</v>
      </c>
      <c r="O37" s="6" t="n">
        <v>0</v>
      </c>
      <c r="P37" s="6" t="n">
        <f aca="false">M37-(N37+O37)</f>
        <v>202.7</v>
      </c>
      <c r="Q37" s="6" t="n">
        <v>182.1</v>
      </c>
      <c r="R37" s="6" t="n">
        <v>83.7</v>
      </c>
      <c r="S37" s="6" t="n">
        <f aca="false">SUM(P37:R37)</f>
        <v>468.5</v>
      </c>
      <c r="T37" s="54"/>
      <c r="U37" s="6" t="n">
        <v>85.2</v>
      </c>
      <c r="V37" s="6" t="n">
        <v>70.3</v>
      </c>
      <c r="W37" s="7" t="n">
        <f aca="false">W36-V37</f>
        <v>6726.87999999998</v>
      </c>
      <c r="X37" s="6" t="n">
        <f aca="false">N37+O37+S37+U37+V37</f>
        <v>624</v>
      </c>
      <c r="Y37" s="6" t="n">
        <f aca="false">IF(L37&lt;0,L37*-1,0)</f>
        <v>107.486564154273</v>
      </c>
      <c r="Z37" s="6" t="n">
        <f aca="false">X37+Y37</f>
        <v>731.486564154273</v>
      </c>
      <c r="AA37" s="11" t="n">
        <v>0</v>
      </c>
      <c r="AB37" s="12" t="n">
        <v>82</v>
      </c>
      <c r="AC37" s="12" t="n">
        <v>54</v>
      </c>
      <c r="AD37" s="13" t="n">
        <f aca="false">AD36+1</f>
        <v>28</v>
      </c>
      <c r="AE37" s="12"/>
      <c r="AG37" s="6"/>
    </row>
    <row r="38" customFormat="false" ht="11.1" hidden="false" customHeight="true" outlineLevel="0" collapsed="false">
      <c r="A38" s="13" t="n">
        <f aca="false">A37+1</f>
        <v>29</v>
      </c>
      <c r="B38" s="31" t="n">
        <v>6920.53</v>
      </c>
      <c r="C38" s="7" t="n">
        <v>365873</v>
      </c>
      <c r="D38" s="12" t="n">
        <f aca="false">C38-C37</f>
        <v>-653</v>
      </c>
      <c r="E38" s="7" t="n">
        <f aca="false">C38-152000</f>
        <v>213873</v>
      </c>
      <c r="F38" s="6" t="n">
        <f aca="false">D38/$D$2</f>
        <v>-329.216032266196</v>
      </c>
      <c r="G38" s="6" t="n">
        <v>396.7</v>
      </c>
      <c r="H38" s="11" t="n">
        <v>0</v>
      </c>
      <c r="I38" s="6" t="n">
        <f aca="false">G38+H38</f>
        <v>396.7</v>
      </c>
      <c r="J38" s="109" t="n">
        <f aca="false">IF(L38&gt;0,L38,0)</f>
        <v>0</v>
      </c>
      <c r="K38" s="6" t="n">
        <f aca="false">I38+J38</f>
        <v>396.7</v>
      </c>
      <c r="L38" s="6" t="n">
        <f aca="false">F38-(I38-X38)</f>
        <v>-101.916032266196</v>
      </c>
      <c r="M38" s="6" t="n">
        <v>202.6</v>
      </c>
      <c r="N38" s="6" t="n">
        <v>0</v>
      </c>
      <c r="O38" s="6" t="n">
        <v>0</v>
      </c>
      <c r="P38" s="6" t="n">
        <f aca="false">M38-(N38+O38)</f>
        <v>202.6</v>
      </c>
      <c r="Q38" s="6" t="n">
        <v>182</v>
      </c>
      <c r="R38" s="6" t="n">
        <v>83.4</v>
      </c>
      <c r="S38" s="6" t="n">
        <f aca="false">SUM(P38:R38)</f>
        <v>468</v>
      </c>
      <c r="T38" s="54"/>
      <c r="U38" s="6" t="n">
        <v>85.7</v>
      </c>
      <c r="V38" s="6" t="n">
        <v>70.3</v>
      </c>
      <c r="W38" s="7" t="n">
        <f aca="false">W37-V38</f>
        <v>6656.57999999998</v>
      </c>
      <c r="X38" s="6" t="n">
        <f aca="false">N38+O38+S38+U38+V38</f>
        <v>624</v>
      </c>
      <c r="Y38" s="6" t="n">
        <f aca="false">IF(L38&lt;0,L38*-1,0)</f>
        <v>101.916032266196</v>
      </c>
      <c r="Z38" s="6" t="n">
        <f aca="false">X38+Y38</f>
        <v>725.916032266196</v>
      </c>
      <c r="AA38" s="11" t="n">
        <v>0.09</v>
      </c>
      <c r="AB38" s="12" t="n">
        <v>78</v>
      </c>
      <c r="AC38" s="12" t="n">
        <v>54</v>
      </c>
      <c r="AD38" s="13" t="n">
        <f aca="false">AD37+1</f>
        <v>29</v>
      </c>
      <c r="AE38" s="12"/>
      <c r="AG38" s="6"/>
    </row>
    <row r="39" customFormat="false" ht="11.1" hidden="false" customHeight="true" outlineLevel="0" collapsed="false">
      <c r="A39" s="13" t="n">
        <v>30</v>
      </c>
      <c r="B39" s="31" t="n">
        <v>6920.35</v>
      </c>
      <c r="C39" s="7" t="n">
        <v>365093</v>
      </c>
      <c r="D39" s="12" t="n">
        <f aca="false">C39-C38</f>
        <v>-780</v>
      </c>
      <c r="E39" s="7" t="n">
        <f aca="false">C39-152000</f>
        <v>213093</v>
      </c>
      <c r="F39" s="6" t="n">
        <f aca="false">D39/$D$2</f>
        <v>-393.244265187799</v>
      </c>
      <c r="G39" s="6" t="n">
        <v>398.1</v>
      </c>
      <c r="H39" s="11" t="n">
        <v>0</v>
      </c>
      <c r="I39" s="6" t="n">
        <f aca="false">G39+H39</f>
        <v>398.1</v>
      </c>
      <c r="J39" s="109" t="n">
        <f aca="false">IF(L39&gt;0,L39,0)</f>
        <v>0</v>
      </c>
      <c r="K39" s="6" t="n">
        <f aca="false">I39+J39</f>
        <v>398.1</v>
      </c>
      <c r="L39" s="6" t="n">
        <f aca="false">F39-(I39-X39)</f>
        <v>-150.944265187799</v>
      </c>
      <c r="M39" s="6" t="n">
        <v>202.5</v>
      </c>
      <c r="N39" s="6" t="n">
        <v>0</v>
      </c>
      <c r="O39" s="6" t="n">
        <v>0</v>
      </c>
      <c r="P39" s="6" t="n">
        <f aca="false">M39-(N39+O39)</f>
        <v>202.5</v>
      </c>
      <c r="Q39" s="6" t="n">
        <v>181.1</v>
      </c>
      <c r="R39" s="6" t="n">
        <v>83.4</v>
      </c>
      <c r="S39" s="6" t="n">
        <f aca="false">SUM(P39:R39)</f>
        <v>467</v>
      </c>
      <c r="T39" s="54"/>
      <c r="U39" s="6" t="n">
        <v>102.9</v>
      </c>
      <c r="V39" s="6" t="n">
        <v>70.5</v>
      </c>
      <c r="W39" s="7" t="n">
        <f aca="false">W38-V39</f>
        <v>6586.07999999998</v>
      </c>
      <c r="X39" s="6" t="n">
        <f aca="false">N39+O39+S39+U39+V39</f>
        <v>640.4</v>
      </c>
      <c r="Y39" s="6" t="n">
        <f aca="false">IF(L39&lt;0,L39*-1,0)</f>
        <v>150.944265187799</v>
      </c>
      <c r="Z39" s="6" t="n">
        <f aca="false">X39+Y39</f>
        <v>791.344265187799</v>
      </c>
      <c r="AA39" s="11" t="n">
        <v>0</v>
      </c>
      <c r="AB39" s="12" t="n">
        <v>79</v>
      </c>
      <c r="AC39" s="12" t="n">
        <v>48</v>
      </c>
      <c r="AD39" s="13" t="n">
        <v>30</v>
      </c>
      <c r="AE39" s="12"/>
      <c r="AG39" s="6"/>
    </row>
    <row r="40" customFormat="false" ht="3" hidden="false" customHeight="true" outlineLevel="0" collapsed="false">
      <c r="A40" s="32"/>
      <c r="B40" s="32"/>
      <c r="C40" s="34"/>
      <c r="D40" s="32"/>
      <c r="E40" s="34"/>
      <c r="F40" s="32"/>
      <c r="G40" s="32"/>
      <c r="H40" s="36" t="n">
        <v>0.29</v>
      </c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4"/>
      <c r="U40" s="32"/>
      <c r="V40" s="32"/>
      <c r="W40" s="32"/>
      <c r="X40" s="32"/>
      <c r="Y40" s="32"/>
      <c r="Z40" s="32"/>
      <c r="AA40" s="36"/>
      <c r="AB40" s="37"/>
      <c r="AC40" s="37"/>
      <c r="AD40" s="38"/>
      <c r="AE40" s="107"/>
    </row>
    <row r="41" customFormat="false" ht="11.1" hidden="false" customHeight="true" outlineLevel="0" collapsed="false">
      <c r="A41" s="6" t="s">
        <v>46</v>
      </c>
      <c r="B41" s="6"/>
      <c r="C41" s="7"/>
      <c r="D41" s="7"/>
      <c r="E41" s="7"/>
      <c r="F41" s="7" t="n">
        <f aca="false">SUM(F10:F39)</f>
        <v>7865.38946307033</v>
      </c>
      <c r="G41" s="7" t="n">
        <f aca="false">SUM(G10:G39)</f>
        <v>27233.7</v>
      </c>
      <c r="H41" s="11" t="n">
        <f aca="false">SUM(H10:H39)</f>
        <v>18.8</v>
      </c>
      <c r="I41" s="7" t="n">
        <f aca="false">SUM(I10:I39)</f>
        <v>27252.5</v>
      </c>
      <c r="J41" s="7" t="n">
        <f aca="false">SUM(J10:J39)</f>
        <v>1154.12064532392</v>
      </c>
      <c r="K41" s="7" t="n">
        <f aca="false">SUM(K10:K39)</f>
        <v>28406.6206453239</v>
      </c>
      <c r="L41" s="7" t="n">
        <f aca="false">SUM(L10:L39)</f>
        <v>-368.01053692967</v>
      </c>
      <c r="M41" s="7" t="n">
        <f aca="false">SUM(M10:M39)</f>
        <v>5888.4</v>
      </c>
      <c r="N41" s="7" t="n">
        <f aca="false">SUM(N10:N39)</f>
        <v>0</v>
      </c>
      <c r="O41" s="7" t="n">
        <f aca="false">SUM(O10:O39)</f>
        <v>0</v>
      </c>
      <c r="P41" s="7" t="n">
        <f aca="false">SUM(P10:P39)</f>
        <v>5888.4</v>
      </c>
      <c r="Q41" s="7" t="n">
        <f aca="false">SUM(Q10:Q39)</f>
        <v>5908.4</v>
      </c>
      <c r="R41" s="7" t="n">
        <f aca="false">SUM(R10:R39)</f>
        <v>2534.3</v>
      </c>
      <c r="S41" s="7" t="n">
        <f aca="false">SUM(S10:S39)</f>
        <v>14331.1</v>
      </c>
      <c r="T41" s="7"/>
      <c r="U41" s="7" t="n">
        <f aca="false">SUM(U10:U39)</f>
        <v>2532.8</v>
      </c>
      <c r="V41" s="7" t="n">
        <f aca="false">SUM(V10:V39)</f>
        <v>2155.2</v>
      </c>
      <c r="W41" s="7"/>
      <c r="X41" s="7" t="n">
        <f aca="false">SUM(X10:X39)</f>
        <v>19019.1</v>
      </c>
      <c r="Y41" s="7" t="n">
        <f aca="false">SUM(Y10:Y39)</f>
        <v>1522.13118225359</v>
      </c>
      <c r="Z41" s="7" t="n">
        <f aca="false">SUM(Z10:Z39)</f>
        <v>20541.2311822536</v>
      </c>
      <c r="AA41" s="11" t="n">
        <f aca="false">SUM(AA10:AA39)</f>
        <v>0.66</v>
      </c>
      <c r="AB41" s="12" t="n">
        <f aca="false">AVERAGE(AB10:AB39)</f>
        <v>76.9</v>
      </c>
      <c r="AC41" s="12" t="n">
        <f aca="false">AVERAGE(AC10:AC39)</f>
        <v>45.4666666666667</v>
      </c>
      <c r="AD41" s="13" t="s">
        <v>69</v>
      </c>
      <c r="AE41" s="107"/>
    </row>
    <row r="42" customFormat="false" ht="11.1" hidden="false" customHeight="true" outlineLevel="0" collapsed="false">
      <c r="A42" s="6" t="s">
        <v>48</v>
      </c>
      <c r="B42" s="6"/>
      <c r="C42" s="7"/>
      <c r="D42" s="7" t="n">
        <f aca="false">SUM(D10:D39)</f>
        <v>15601</v>
      </c>
      <c r="E42" s="7"/>
      <c r="F42" s="7" t="n">
        <f aca="false">F41*$D$2</f>
        <v>15601</v>
      </c>
      <c r="G42" s="7" t="n">
        <f aca="false">G41*$D$2</f>
        <v>54018.04395</v>
      </c>
      <c r="H42" s="11" t="n">
        <f aca="false">H41*$D$2</f>
        <v>37.2898</v>
      </c>
      <c r="I42" s="7" t="n">
        <f aca="false">I41*$D$2</f>
        <v>54055.33375</v>
      </c>
      <c r="J42" s="7" t="n">
        <f aca="false">J41*$D$2</f>
        <v>2289.1983</v>
      </c>
      <c r="K42" s="7" t="n">
        <f aca="false">K41*$D$2</f>
        <v>56344.53205</v>
      </c>
      <c r="L42" s="7" t="n">
        <f aca="false">L41*$D$2</f>
        <v>-729.948900000001</v>
      </c>
      <c r="M42" s="7" t="n">
        <f aca="false">M41*$D$2</f>
        <v>11679.6414</v>
      </c>
      <c r="N42" s="7" t="n">
        <f aca="false">N41*$D$2</f>
        <v>0</v>
      </c>
      <c r="O42" s="7" t="n">
        <f aca="false">O41*$D$2</f>
        <v>0</v>
      </c>
      <c r="P42" s="7" t="n">
        <f aca="false">P41*$D$2</f>
        <v>11679.6414</v>
      </c>
      <c r="Q42" s="7" t="n">
        <f aca="false">Q41*$D$2</f>
        <v>11719.3114</v>
      </c>
      <c r="R42" s="7" t="n">
        <f aca="false">R41*$D$2</f>
        <v>5026.78405</v>
      </c>
      <c r="S42" s="7" t="n">
        <f aca="false">S41*$D$2</f>
        <v>28425.73685</v>
      </c>
      <c r="T42" s="7"/>
      <c r="U42" s="7" t="n">
        <f aca="false">U41*$D$2</f>
        <v>5023.8088</v>
      </c>
      <c r="V42" s="7" t="n">
        <f aca="false">V41*$D$2</f>
        <v>4274.8392</v>
      </c>
      <c r="W42" s="7"/>
      <c r="X42" s="7" t="n">
        <f aca="false">X41*$D$2</f>
        <v>37724.38485</v>
      </c>
      <c r="Y42" s="7" t="n">
        <f aca="false">Y41*$D$2</f>
        <v>3019.1472</v>
      </c>
      <c r="Z42" s="7" t="n">
        <f aca="false">Z41*$D$2</f>
        <v>40743.53205</v>
      </c>
      <c r="AA42" s="11"/>
      <c r="AB42" s="12" t="n">
        <f aca="false">MAX(AB10:AB39)</f>
        <v>86</v>
      </c>
      <c r="AC42" s="12" t="n">
        <f aca="false">MAX(AC10:AC39)</f>
        <v>54</v>
      </c>
      <c r="AD42" s="13" t="s">
        <v>49</v>
      </c>
      <c r="AE42" s="107"/>
    </row>
    <row r="43" customFormat="false" ht="3" hidden="false" customHeight="true" outlineLevel="0" collapsed="false">
      <c r="A43" s="32"/>
      <c r="B43" s="32"/>
      <c r="C43" s="34"/>
      <c r="D43" s="34"/>
      <c r="E43" s="34"/>
      <c r="F43" s="34"/>
      <c r="G43" s="34"/>
      <c r="H43" s="36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2"/>
      <c r="X43" s="34"/>
      <c r="Y43" s="34"/>
      <c r="Z43" s="34"/>
      <c r="AA43" s="11"/>
      <c r="AB43" s="12"/>
      <c r="AC43" s="12"/>
      <c r="AD43" s="13"/>
      <c r="AE43" s="107"/>
    </row>
    <row r="44" customFormat="false" ht="11.1" hidden="false" customHeight="true" outlineLevel="0" collapsed="false">
      <c r="A44" s="6" t="s">
        <v>50</v>
      </c>
      <c r="B44" s="6"/>
      <c r="C44" s="7"/>
      <c r="D44" s="7"/>
      <c r="E44" s="7"/>
      <c r="F44" s="7" t="n">
        <f aca="false">F7+F41</f>
        <v>60289.8916057474</v>
      </c>
      <c r="G44" s="7" t="n">
        <f aca="false">G7+G41</f>
        <v>91414.7</v>
      </c>
      <c r="H44" s="11" t="n">
        <f aca="false">H7+H41</f>
        <v>4926.1</v>
      </c>
      <c r="I44" s="7" t="n">
        <f aca="false">I7+I41</f>
        <v>96340.8</v>
      </c>
      <c r="J44" s="7" t="n">
        <f aca="false">J7+J41</f>
        <v>15281.3493244265</v>
      </c>
      <c r="K44" s="7" t="n">
        <f aca="false">K7+K41</f>
        <v>111622.149324427</v>
      </c>
      <c r="L44" s="7" t="n">
        <f aca="false">L7+L41</f>
        <v>13619.5416057474</v>
      </c>
      <c r="M44" s="7" t="n">
        <f aca="false">M7+M41</f>
        <v>13611.9</v>
      </c>
      <c r="N44" s="7" t="n">
        <f aca="false">N7+N41</f>
        <v>0</v>
      </c>
      <c r="O44" s="7" t="n">
        <f aca="false">O7+O41</f>
        <v>0</v>
      </c>
      <c r="P44" s="7" t="n">
        <f aca="false">P7+P41</f>
        <v>13611.9</v>
      </c>
      <c r="Q44" s="7" t="n">
        <f aca="false">Q7+Q41</f>
        <v>11377.32</v>
      </c>
      <c r="R44" s="7" t="n">
        <f aca="false">R7+R41</f>
        <v>4781.51</v>
      </c>
      <c r="S44" s="7" t="n">
        <f aca="false">S7+S41</f>
        <v>29770.73</v>
      </c>
      <c r="T44" s="129" t="n">
        <f aca="false">T39</f>
        <v>0</v>
      </c>
      <c r="U44" s="7" t="n">
        <f aca="false">U7+U41</f>
        <v>5172.4</v>
      </c>
      <c r="V44" s="7" t="n">
        <f aca="false">V7+V41</f>
        <v>14727.32</v>
      </c>
      <c r="W44" s="129" t="n">
        <f aca="false">W39</f>
        <v>6586.07999999998</v>
      </c>
      <c r="X44" s="7" t="n">
        <f aca="false">X7+X41</f>
        <v>49670.45</v>
      </c>
      <c r="Y44" s="7" t="n">
        <f aca="false">Y7+Y41</f>
        <v>1661.8077186791</v>
      </c>
      <c r="Z44" s="7" t="n">
        <f aca="false">Z7+Z41</f>
        <v>51332.2577186791</v>
      </c>
      <c r="AA44" s="11"/>
      <c r="AB44" s="12" t="n">
        <f aca="false">MIN(AB10:AB39)</f>
        <v>59</v>
      </c>
      <c r="AC44" s="12" t="n">
        <f aca="false">MIN(AC10:AC39)</f>
        <v>35</v>
      </c>
      <c r="AD44" s="13" t="s">
        <v>51</v>
      </c>
      <c r="AE44" s="107"/>
    </row>
    <row r="45" customFormat="false" ht="11.1" hidden="false" customHeight="true" outlineLevel="0" collapsed="false">
      <c r="A45" s="6" t="s">
        <v>52</v>
      </c>
      <c r="B45" s="6"/>
      <c r="C45" s="7"/>
      <c r="D45" s="7"/>
      <c r="E45" s="7"/>
      <c r="F45" s="7" t="n">
        <f aca="false">F44*$D$2</f>
        <v>119585</v>
      </c>
      <c r="G45" s="7" t="n">
        <f aca="false">G44*$D$2</f>
        <v>181321.05745</v>
      </c>
      <c r="H45" s="11" t="n">
        <f aca="false">H44*$D$2</f>
        <v>9770.91935</v>
      </c>
      <c r="I45" s="7" t="n">
        <f aca="false">I44*$D$2</f>
        <v>191091.9768</v>
      </c>
      <c r="J45" s="7" t="n">
        <f aca="false">J44*$D$2</f>
        <v>30310.556385</v>
      </c>
      <c r="K45" s="7" t="n">
        <f aca="false">K44*$D$2</f>
        <v>221402.533185</v>
      </c>
      <c r="L45" s="7" t="n">
        <f aca="false">L44*$D$2</f>
        <v>27014.360775</v>
      </c>
      <c r="M45" s="7" t="n">
        <f aca="false">M44*$D$2</f>
        <v>26999.20365</v>
      </c>
      <c r="N45" s="7" t="n">
        <f aca="false">N44*$D$2</f>
        <v>0</v>
      </c>
      <c r="O45" s="7" t="n">
        <f aca="false">O44*$D$2</f>
        <v>0</v>
      </c>
      <c r="P45" s="7" t="n">
        <f aca="false">P44*$D$2</f>
        <v>26999.20365</v>
      </c>
      <c r="Q45" s="7" t="n">
        <f aca="false">Q44*$D$2</f>
        <v>22566.91422</v>
      </c>
      <c r="R45" s="7" t="n">
        <f aca="false">R44*$D$2</f>
        <v>9484.125085</v>
      </c>
      <c r="S45" s="7" t="n">
        <f aca="false">S44*$D$2</f>
        <v>59050.242955</v>
      </c>
      <c r="T45" s="7" t="n">
        <f aca="false">T44*$D$2</f>
        <v>0</v>
      </c>
      <c r="U45" s="7" t="n">
        <f aca="false">U44*$D$2</f>
        <v>10259.4554</v>
      </c>
      <c r="V45" s="7" t="n">
        <f aca="false">V44*$D$2</f>
        <v>29211.63922</v>
      </c>
      <c r="W45" s="7" t="n">
        <f aca="false">W44*$D$2</f>
        <v>13063.48968</v>
      </c>
      <c r="X45" s="7" t="n">
        <f aca="false">X44*$D$2</f>
        <v>98521.337575</v>
      </c>
      <c r="Y45" s="7" t="n">
        <f aca="false">Y44*$D$2</f>
        <v>3296.19561</v>
      </c>
      <c r="Z45" s="7" t="n">
        <f aca="false">Z44*$D$2</f>
        <v>101817.533185</v>
      </c>
      <c r="AA45" s="11"/>
      <c r="AB45" s="12"/>
      <c r="AC45" s="12"/>
      <c r="AD45" s="13"/>
      <c r="AE45" s="107"/>
    </row>
    <row r="46" customFormat="false" ht="3" hidden="false" customHeight="true" outlineLevel="0" collapsed="false">
      <c r="A46" s="32"/>
      <c r="B46" s="32"/>
      <c r="C46" s="34"/>
      <c r="D46" s="34"/>
      <c r="E46" s="34"/>
      <c r="F46" s="34"/>
      <c r="G46" s="34"/>
      <c r="H46" s="36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6"/>
      <c r="AB46" s="12"/>
      <c r="AC46" s="12"/>
      <c r="AD46" s="13"/>
      <c r="AE46" s="107"/>
    </row>
    <row r="47" customFormat="false" ht="11.1" hidden="false" customHeight="true" outlineLevel="0" collapsed="false">
      <c r="A47" s="6" t="s">
        <v>53</v>
      </c>
      <c r="B47" s="6"/>
      <c r="C47" s="7"/>
      <c r="D47" s="7"/>
      <c r="E47" s="7"/>
      <c r="F47" s="7" t="n">
        <f aca="false">F8+F41</f>
        <v>63639.0219309302</v>
      </c>
      <c r="G47" s="7" t="n">
        <f aca="false">G8+G41</f>
        <v>102879.47</v>
      </c>
      <c r="H47" s="11" t="n">
        <f aca="false">H8+H41</f>
        <v>5000.75</v>
      </c>
      <c r="I47" s="7" t="n">
        <f aca="false">I8+I41</f>
        <v>107777.02</v>
      </c>
      <c r="J47" s="7" t="n">
        <f aca="false">J8+J41</f>
        <v>15922.458240484</v>
      </c>
      <c r="K47" s="7" t="n">
        <f aca="false">K8+K41</f>
        <v>123699.478240484</v>
      </c>
      <c r="L47" s="7" t="n">
        <f aca="false">L8+L41</f>
        <v>13722.4619309302</v>
      </c>
      <c r="M47" s="7" t="n">
        <f aca="false">M8+M41</f>
        <v>15048.22</v>
      </c>
      <c r="N47" s="7" t="n">
        <f aca="false">N8+N41</f>
        <v>0.08</v>
      </c>
      <c r="O47" s="7" t="n">
        <f aca="false">O8+O41</f>
        <v>0</v>
      </c>
      <c r="P47" s="7" t="n">
        <f aca="false">P8+P41</f>
        <v>15048.14</v>
      </c>
      <c r="Q47" s="7" t="n">
        <f aca="false">Q8+Q41</f>
        <v>12982.51</v>
      </c>
      <c r="R47" s="7" t="n">
        <f aca="false">R8+R41</f>
        <v>5153.91</v>
      </c>
      <c r="S47" s="7" t="n">
        <f aca="false">S8+S41</f>
        <v>33184.56</v>
      </c>
      <c r="T47" s="7" t="n">
        <f aca="false">T39</f>
        <v>0</v>
      </c>
      <c r="U47" s="7" t="n">
        <f aca="false">U8+U41</f>
        <v>5172.4</v>
      </c>
      <c r="V47" s="7" t="n">
        <f aca="false">V8+V41</f>
        <v>19503.42</v>
      </c>
      <c r="X47" s="7" t="n">
        <f aca="false">X8+X41</f>
        <v>57860.46</v>
      </c>
      <c r="Y47" s="7" t="n">
        <f aca="false">Y8+Y41</f>
        <v>2199.99630955382</v>
      </c>
      <c r="Z47" s="7" t="n">
        <f aca="false">Z8+Z41</f>
        <v>60060.4563095538</v>
      </c>
      <c r="AA47" s="11" t="n">
        <f aca="false">AA8+AA41</f>
        <v>6.91</v>
      </c>
      <c r="AB47" s="12"/>
      <c r="AC47" s="12"/>
      <c r="AD47" s="13"/>
      <c r="AE47" s="107"/>
    </row>
    <row r="48" customFormat="false" ht="11.1" hidden="false" customHeight="true" outlineLevel="0" collapsed="false">
      <c r="A48" s="6" t="s">
        <v>54</v>
      </c>
      <c r="B48" s="6"/>
      <c r="C48" s="7"/>
      <c r="D48" s="7" t="n">
        <f aca="false">D8+D42</f>
        <v>126228</v>
      </c>
      <c r="E48" s="7" t="n">
        <f aca="false">E39</f>
        <v>213093</v>
      </c>
      <c r="F48" s="7" t="n">
        <f aca="false">F47*$D$2</f>
        <v>126228</v>
      </c>
      <c r="G48" s="7" t="n">
        <f aca="false">G47*$D$2</f>
        <v>204061.428745</v>
      </c>
      <c r="H48" s="11" t="n">
        <f aca="false">H47*$D$2</f>
        <v>9918.987625</v>
      </c>
      <c r="I48" s="7" t="n">
        <f aca="false">I47*$D$2</f>
        <v>213775.71917</v>
      </c>
      <c r="J48" s="7" t="n">
        <f aca="false">J47*$D$2</f>
        <v>31582.19592</v>
      </c>
      <c r="K48" s="7" t="n">
        <f aca="false">K47*$D$2</f>
        <v>245357.91509</v>
      </c>
      <c r="L48" s="7" t="n">
        <f aca="false">L47*$D$2</f>
        <v>27218.50324</v>
      </c>
      <c r="M48" s="7" t="n">
        <f aca="false">M47*$D$2</f>
        <v>29848.14437</v>
      </c>
      <c r="N48" s="7" t="n">
        <f aca="false">N47*$D$2</f>
        <v>0.15868</v>
      </c>
      <c r="O48" s="7" t="n">
        <f aca="false">O47*$D$2</f>
        <v>0</v>
      </c>
      <c r="P48" s="7" t="n">
        <f aca="false">P47*$D$2</f>
        <v>29847.98569</v>
      </c>
      <c r="Q48" s="7" t="n">
        <f aca="false">Q47*$D$2</f>
        <v>25750.808585</v>
      </c>
      <c r="R48" s="7" t="n">
        <f aca="false">R47*$D$2</f>
        <v>10222.780485</v>
      </c>
      <c r="S48" s="7" t="n">
        <f aca="false">S47*$D$2</f>
        <v>65821.57476</v>
      </c>
      <c r="T48" s="7" t="n">
        <f aca="false">T47*$D$2</f>
        <v>0</v>
      </c>
      <c r="U48" s="7" t="n">
        <f aca="false">U47*$D$2</f>
        <v>10259.4554</v>
      </c>
      <c r="V48" s="7" t="n">
        <f aca="false">V47*$D$2</f>
        <v>38685.03357</v>
      </c>
      <c r="X48" s="7" t="n">
        <f aca="false">X47*$D$2</f>
        <v>114766.22241</v>
      </c>
      <c r="Y48" s="7" t="n">
        <f aca="false">Y47*$D$2</f>
        <v>4363.69268</v>
      </c>
      <c r="Z48" s="7" t="n">
        <f aca="false">Z47*$D$2</f>
        <v>119129.91509</v>
      </c>
      <c r="AA48" s="11"/>
      <c r="AB48" s="12"/>
      <c r="AC48" s="12"/>
      <c r="AD48" s="13"/>
      <c r="AE48" s="107"/>
    </row>
    <row r="49" customFormat="false" ht="3" hidden="false" customHeight="true" outlineLevel="0" collapsed="false">
      <c r="A49" s="32"/>
      <c r="B49" s="32"/>
      <c r="C49" s="34"/>
      <c r="D49" s="32"/>
      <c r="E49" s="34"/>
      <c r="F49" s="32"/>
      <c r="G49" s="32"/>
      <c r="H49" s="36"/>
      <c r="I49" s="32"/>
      <c r="J49" s="32"/>
      <c r="K49" s="130"/>
      <c r="L49" s="32"/>
      <c r="M49" s="32"/>
      <c r="N49" s="32"/>
      <c r="O49" s="32"/>
      <c r="P49" s="32"/>
      <c r="Q49" s="32"/>
      <c r="R49" s="32"/>
      <c r="S49" s="32"/>
      <c r="T49" s="34"/>
      <c r="U49" s="32"/>
      <c r="V49" s="32"/>
      <c r="W49" s="34"/>
      <c r="X49" s="32"/>
      <c r="Y49" s="32"/>
      <c r="Z49" s="32"/>
      <c r="AA49" s="11"/>
      <c r="AB49" s="12"/>
      <c r="AC49" s="12"/>
      <c r="AD49" s="13"/>
      <c r="AE49" s="107"/>
    </row>
    <row r="50" customFormat="false" ht="11.1" hidden="false" customHeight="true" outlineLevel="0" collapsed="false">
      <c r="A50" s="41"/>
      <c r="B50" s="57"/>
      <c r="C50" s="54"/>
      <c r="D50" s="54"/>
      <c r="E50" s="131"/>
      <c r="F50" s="132"/>
      <c r="G50" s="84"/>
      <c r="H50" s="11"/>
      <c r="I50" s="41"/>
      <c r="J50" s="41"/>
      <c r="K50" s="44"/>
      <c r="L50" s="41"/>
      <c r="M50" s="39"/>
      <c r="N50" s="39"/>
      <c r="O50" s="39"/>
      <c r="P50" s="41"/>
      <c r="Q50" s="41"/>
      <c r="R50" s="41"/>
      <c r="S50" s="7"/>
      <c r="T50" s="7"/>
      <c r="U50" s="41"/>
      <c r="V50" s="7"/>
      <c r="W50" s="41"/>
      <c r="X50" s="41"/>
      <c r="Y50" s="41"/>
      <c r="Z50" s="10"/>
      <c r="AA50" s="11"/>
      <c r="AB50" s="12"/>
      <c r="AC50" s="13"/>
      <c r="AD50" s="133"/>
    </row>
    <row r="51" customFormat="false" ht="11.1" hidden="false" customHeight="true" outlineLevel="0" collapsed="false">
      <c r="R51" s="41"/>
      <c r="S51" s="7"/>
    </row>
    <row r="52" customFormat="false" ht="11.1" hidden="false" customHeight="true" outlineLevel="0" collapsed="false">
      <c r="B52" s="43"/>
    </row>
  </sheetData>
  <mergeCells count="2">
    <mergeCell ref="K2:V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51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pane xSplit="1" ySplit="6" topLeftCell="Q18" activePane="bottomRight" state="frozen"/>
      <selection pane="topLeft" activeCell="A4" activeCellId="0" sqref="A4"/>
      <selection pane="topRight" activeCell="Q4" activeCellId="0" sqref="Q4"/>
      <selection pane="bottomLeft" activeCell="A18" activeCellId="0" sqref="A18"/>
      <selection pane="bottomRight" activeCell="AC40" activeCellId="0" sqref="AC40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5.66"/>
    <col collapsed="false" customWidth="true" hidden="false" outlineLevel="0" max="2" min="2" style="46" width="7.82"/>
    <col collapsed="false" customWidth="true" hidden="false" outlineLevel="0" max="3" min="3" style="47" width="7.66"/>
    <col collapsed="false" customWidth="true" hidden="false" outlineLevel="0" max="4" min="4" style="46" width="6.99"/>
    <col collapsed="false" customWidth="true" hidden="false" outlineLevel="0" max="5" min="5" style="47" width="7.66"/>
    <col collapsed="false" customWidth="true" hidden="false" outlineLevel="0" max="6" min="6" style="46" width="7.66"/>
    <col collapsed="false" customWidth="true" hidden="false" outlineLevel="0" max="7" min="7" style="46" width="7.16"/>
    <col collapsed="false" customWidth="true" hidden="false" outlineLevel="0" max="8" min="8" style="48" width="6.82"/>
    <col collapsed="false" customWidth="true" hidden="false" outlineLevel="0" max="9" min="9" style="46" width="7.99"/>
    <col collapsed="false" customWidth="true" hidden="false" outlineLevel="0" max="10" min="10" style="46" width="6.66"/>
    <col collapsed="false" customWidth="true" hidden="false" outlineLevel="0" max="12" min="11" style="46" width="7.16"/>
    <col collapsed="false" customWidth="true" hidden="false" outlineLevel="0" max="13" min="13" style="49" width="6.16"/>
    <col collapsed="false" customWidth="true" hidden="true" outlineLevel="0" max="14" min="14" style="49" width="7.32"/>
    <col collapsed="false" customWidth="true" hidden="true" outlineLevel="0" max="15" min="15" style="49" width="6.49"/>
    <col collapsed="false" customWidth="true" hidden="true" outlineLevel="0" max="16" min="16" style="46" width="7.16"/>
    <col collapsed="false" customWidth="true" hidden="false" outlineLevel="0" max="17" min="17" style="46" width="6.32"/>
    <col collapsed="false" customWidth="true" hidden="false" outlineLevel="0" max="18" min="18" style="46" width="5.82"/>
    <col collapsed="false" customWidth="true" hidden="false" outlineLevel="0" max="19" min="19" style="47" width="6.82"/>
    <col collapsed="false" customWidth="true" hidden="false" outlineLevel="0" max="20" min="20" style="46" width="6.32"/>
    <col collapsed="false" customWidth="true" hidden="false" outlineLevel="0" max="21" min="21" style="46" width="5.99"/>
    <col collapsed="false" customWidth="true" hidden="false" outlineLevel="0" max="22" min="22" style="47" width="6.66"/>
    <col collapsed="false" customWidth="true" hidden="false" outlineLevel="0" max="23" min="23" style="46" width="6.82"/>
    <col collapsed="false" customWidth="true" hidden="false" outlineLevel="0" max="25" min="24" style="46" width="7.82"/>
    <col collapsed="false" customWidth="true" hidden="false" outlineLevel="0" max="26" min="26" style="50" width="8.16"/>
    <col collapsed="false" customWidth="true" hidden="false" outlineLevel="0" max="28" min="27" style="51" width="4.66"/>
    <col collapsed="false" customWidth="true" hidden="false" outlineLevel="0" max="29" min="29" style="52" width="4.66"/>
    <col collapsed="false" customWidth="true" hidden="false" outlineLevel="0" max="30" min="30" style="46" width="5.66"/>
    <col collapsed="false" customWidth="false" hidden="false" outlineLevel="0" max="257" min="31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8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9"/>
      <c r="AB1" s="59"/>
      <c r="AC1" s="60"/>
      <c r="AD1" s="90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1.9835</v>
      </c>
      <c r="E2" s="54"/>
      <c r="F2" s="53"/>
      <c r="G2" s="53"/>
      <c r="H2" s="58"/>
      <c r="I2" s="53"/>
      <c r="J2" s="53"/>
      <c r="K2" s="62" t="s">
        <v>75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9"/>
      <c r="AB2" s="59"/>
      <c r="AC2" s="60"/>
      <c r="AD2" s="90"/>
    </row>
    <row r="3" customFormat="false" ht="11.1" hidden="false" customHeight="true" outlineLevel="0" collapsed="false">
      <c r="A3" s="53"/>
      <c r="B3" s="53"/>
      <c r="C3" s="54"/>
      <c r="D3" s="63"/>
      <c r="E3" s="54"/>
      <c r="F3" s="53"/>
      <c r="G3" s="53"/>
      <c r="H3" s="58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9"/>
      <c r="AB3" s="59"/>
      <c r="AC3" s="60"/>
      <c r="AD3" s="90"/>
    </row>
    <row r="4" customFormat="false" ht="11.1" hidden="false" customHeight="true" outlineLevel="0" collapsed="false">
      <c r="A4" s="64" t="s">
        <v>3</v>
      </c>
      <c r="B4" s="64" t="s">
        <v>4</v>
      </c>
      <c r="C4" s="65" t="s">
        <v>4</v>
      </c>
      <c r="D4" s="64" t="s">
        <v>5</v>
      </c>
      <c r="E4" s="65" t="s">
        <v>6</v>
      </c>
      <c r="F4" s="64" t="s">
        <v>7</v>
      </c>
      <c r="G4" s="64" t="s">
        <v>8</v>
      </c>
      <c r="H4" s="67" t="s">
        <v>9</v>
      </c>
      <c r="I4" s="64" t="s">
        <v>10</v>
      </c>
      <c r="J4" s="64" t="s">
        <v>11</v>
      </c>
      <c r="K4" s="64" t="s">
        <v>12</v>
      </c>
      <c r="L4" s="64" t="s">
        <v>11</v>
      </c>
      <c r="M4" s="64" t="s">
        <v>13</v>
      </c>
      <c r="N4" s="64"/>
      <c r="O4" s="64"/>
      <c r="P4" s="64"/>
      <c r="Q4" s="64" t="s">
        <v>14</v>
      </c>
      <c r="R4" s="64" t="s">
        <v>15</v>
      </c>
      <c r="S4" s="64" t="s">
        <v>12</v>
      </c>
      <c r="T4" s="65" t="s">
        <v>16</v>
      </c>
      <c r="U4" s="64" t="s">
        <v>17</v>
      </c>
      <c r="V4" s="64" t="s">
        <v>18</v>
      </c>
      <c r="W4" s="65" t="s">
        <v>19</v>
      </c>
      <c r="X4" s="64" t="s">
        <v>10</v>
      </c>
      <c r="Y4" s="64" t="s">
        <v>11</v>
      </c>
      <c r="Z4" s="64" t="s">
        <v>12</v>
      </c>
      <c r="AA4" s="110" t="s">
        <v>20</v>
      </c>
      <c r="AB4" s="68" t="s">
        <v>21</v>
      </c>
      <c r="AC4" s="68" t="s">
        <v>22</v>
      </c>
      <c r="AD4" s="68" t="s">
        <v>3</v>
      </c>
      <c r="AE4" s="90"/>
    </row>
    <row r="5" customFormat="false" ht="11.1" hidden="false" customHeight="true" outlineLevel="0" collapsed="false">
      <c r="A5" s="69" t="s">
        <v>76</v>
      </c>
      <c r="B5" s="64" t="s">
        <v>24</v>
      </c>
      <c r="C5" s="65" t="s">
        <v>5</v>
      </c>
      <c r="D5" s="64" t="s">
        <v>25</v>
      </c>
      <c r="E5" s="65" t="s">
        <v>26</v>
      </c>
      <c r="F5" s="64" t="s">
        <v>27</v>
      </c>
      <c r="G5" s="64" t="s">
        <v>28</v>
      </c>
      <c r="H5" s="67" t="s">
        <v>29</v>
      </c>
      <c r="I5" s="64" t="s">
        <v>30</v>
      </c>
      <c r="J5" s="64" t="s">
        <v>30</v>
      </c>
      <c r="K5" s="64" t="s">
        <v>30</v>
      </c>
      <c r="L5" s="64" t="s">
        <v>31</v>
      </c>
      <c r="M5" s="64" t="s">
        <v>32</v>
      </c>
      <c r="N5" s="64" t="s">
        <v>33</v>
      </c>
      <c r="O5" s="64" t="s">
        <v>34</v>
      </c>
      <c r="P5" s="64" t="s">
        <v>35</v>
      </c>
      <c r="Q5" s="64" t="s">
        <v>36</v>
      </c>
      <c r="R5" s="64" t="s">
        <v>37</v>
      </c>
      <c r="S5" s="64" t="s">
        <v>16</v>
      </c>
      <c r="T5" s="65" t="s">
        <v>38</v>
      </c>
      <c r="U5" s="64" t="s">
        <v>39</v>
      </c>
      <c r="V5" s="64" t="s">
        <v>40</v>
      </c>
      <c r="W5" s="65" t="s">
        <v>41</v>
      </c>
      <c r="X5" s="64" t="s">
        <v>42</v>
      </c>
      <c r="Y5" s="64" t="s">
        <v>42</v>
      </c>
      <c r="Z5" s="64" t="s">
        <v>42</v>
      </c>
      <c r="AA5" s="134"/>
      <c r="AB5" s="68" t="s">
        <v>43</v>
      </c>
      <c r="AC5" s="68" t="s">
        <v>43</v>
      </c>
      <c r="AD5" s="71" t="s">
        <v>76</v>
      </c>
      <c r="AE5" s="90"/>
    </row>
    <row r="6" customFormat="false" ht="11.1" hidden="false" customHeight="true" outlineLevel="0" collapsed="false">
      <c r="A6" s="72"/>
      <c r="B6" s="72"/>
      <c r="C6" s="73"/>
      <c r="D6" s="72"/>
      <c r="E6" s="73"/>
      <c r="F6" s="72"/>
      <c r="G6" s="72"/>
      <c r="H6" s="92"/>
      <c r="I6" s="72"/>
      <c r="J6" s="72"/>
      <c r="K6" s="72"/>
      <c r="L6" s="72"/>
      <c r="M6" s="72"/>
      <c r="N6" s="72"/>
      <c r="O6" s="72"/>
      <c r="P6" s="72"/>
      <c r="Q6" s="72"/>
      <c r="R6" s="135"/>
      <c r="S6" s="72"/>
      <c r="T6" s="112"/>
      <c r="U6" s="72"/>
      <c r="V6" s="72"/>
      <c r="W6" s="73"/>
      <c r="X6" s="72"/>
      <c r="Y6" s="72"/>
      <c r="Z6" s="72"/>
      <c r="AA6" s="57"/>
      <c r="AB6" s="60"/>
      <c r="AC6" s="60"/>
      <c r="AD6" s="60"/>
      <c r="AE6" s="94"/>
      <c r="AF6" s="95"/>
    </row>
    <row r="7" customFormat="false" ht="11.1" hidden="false" customHeight="true" outlineLevel="0" collapsed="false">
      <c r="A7" s="53" t="s">
        <v>44</v>
      </c>
      <c r="B7" s="53"/>
      <c r="C7" s="54"/>
      <c r="D7" s="54"/>
      <c r="E7" s="54"/>
      <c r="F7" s="54" t="n">
        <f aca="false">JUN!F44</f>
        <v>60289.8916057474</v>
      </c>
      <c r="G7" s="54" t="n">
        <f aca="false">JUN!G44</f>
        <v>91414.7</v>
      </c>
      <c r="H7" s="58" t="n">
        <f aca="false">JUN!H44</f>
        <v>4926.1</v>
      </c>
      <c r="I7" s="54" t="n">
        <f aca="false">JUN!I44</f>
        <v>96340.8</v>
      </c>
      <c r="J7" s="54" t="n">
        <f aca="false">JUN!J44</f>
        <v>15281.3493244265</v>
      </c>
      <c r="K7" s="54" t="n">
        <f aca="false">JUN!K44</f>
        <v>111622.149324427</v>
      </c>
      <c r="L7" s="54" t="n">
        <f aca="false">JUN!L44</f>
        <v>13619.5416057474</v>
      </c>
      <c r="M7" s="54" t="n">
        <f aca="false">JUN!M44</f>
        <v>13611.9</v>
      </c>
      <c r="N7" s="54" t="n">
        <f aca="false">JUN!N44</f>
        <v>0</v>
      </c>
      <c r="O7" s="54" t="n">
        <f aca="false">JUN!O44</f>
        <v>0</v>
      </c>
      <c r="P7" s="54" t="n">
        <f aca="false">JUN!P44</f>
        <v>13611.9</v>
      </c>
      <c r="Q7" s="54" t="n">
        <f aca="false">JUN!Q44</f>
        <v>11377.32</v>
      </c>
      <c r="R7" s="54" t="n">
        <f aca="false">JUN!R44</f>
        <v>4781.51</v>
      </c>
      <c r="S7" s="54" t="n">
        <f aca="false">JUN!S44</f>
        <v>29770.73</v>
      </c>
      <c r="T7" s="54" t="n">
        <f aca="false">JUN!T44</f>
        <v>0</v>
      </c>
      <c r="U7" s="54" t="n">
        <f aca="false">JUN!U44</f>
        <v>5172.4</v>
      </c>
      <c r="V7" s="54" t="n">
        <f aca="false">JUN!V44</f>
        <v>14727.32</v>
      </c>
      <c r="W7" s="54"/>
      <c r="X7" s="54" t="n">
        <f aca="false">JUN!X44</f>
        <v>49670.45</v>
      </c>
      <c r="Y7" s="54" t="n">
        <f aca="false">JUN!Y44</f>
        <v>1661.8077186791</v>
      </c>
      <c r="Z7" s="54" t="n">
        <f aca="false">JUN!Z44</f>
        <v>51332.2577186791</v>
      </c>
      <c r="AA7" s="57"/>
      <c r="AB7" s="59"/>
      <c r="AC7" s="59"/>
      <c r="AD7" s="60"/>
      <c r="AE7" s="95"/>
      <c r="AF7" s="95"/>
    </row>
    <row r="8" s="47" customFormat="true" ht="11.1" hidden="false" customHeight="true" outlineLevel="0" collapsed="false">
      <c r="A8" s="54" t="s">
        <v>45</v>
      </c>
      <c r="B8" s="75" t="n">
        <f aca="false">JUN!B39</f>
        <v>6920.35</v>
      </c>
      <c r="C8" s="54" t="n">
        <f aca="false">JUN!C39</f>
        <v>365093</v>
      </c>
      <c r="D8" s="54" t="n">
        <f aca="false">JUN!D48</f>
        <v>126228</v>
      </c>
      <c r="E8" s="54" t="n">
        <f aca="false">JUN!E48</f>
        <v>213093</v>
      </c>
      <c r="F8" s="54" t="n">
        <f aca="false">JUN!F47</f>
        <v>63639.0219309302</v>
      </c>
      <c r="G8" s="54" t="n">
        <f aca="false">JUN!G47</f>
        <v>102879.47</v>
      </c>
      <c r="H8" s="58" t="n">
        <f aca="false">JUN!H47</f>
        <v>5000.75</v>
      </c>
      <c r="I8" s="54" t="n">
        <f aca="false">JUN!I47</f>
        <v>107777.02</v>
      </c>
      <c r="J8" s="54" t="n">
        <f aca="false">JUN!J47</f>
        <v>15922.458240484</v>
      </c>
      <c r="K8" s="54" t="n">
        <f aca="false">JUN!K47</f>
        <v>123699.478240484</v>
      </c>
      <c r="L8" s="54" t="n">
        <f aca="false">JUN!L47</f>
        <v>13722.4619309302</v>
      </c>
      <c r="M8" s="54" t="n">
        <f aca="false">JUN!M47</f>
        <v>15048.22</v>
      </c>
      <c r="N8" s="54" t="n">
        <f aca="false">JUN!N47</f>
        <v>0.08</v>
      </c>
      <c r="O8" s="54" t="n">
        <f aca="false">JUN!O47</f>
        <v>0</v>
      </c>
      <c r="P8" s="54" t="n">
        <f aca="false">JUN!P47</f>
        <v>15048.14</v>
      </c>
      <c r="Q8" s="54" t="n">
        <f aca="false">JUN!Q47</f>
        <v>12982.51</v>
      </c>
      <c r="R8" s="54" t="n">
        <f aca="false">JUN!R47</f>
        <v>5153.91</v>
      </c>
      <c r="S8" s="54" t="n">
        <f aca="false">JUN!S47</f>
        <v>33184.56</v>
      </c>
      <c r="T8" s="54" t="n">
        <v>7242</v>
      </c>
      <c r="U8" s="54" t="n">
        <f aca="false">JUN!U47</f>
        <v>5172.4</v>
      </c>
      <c r="V8" s="54" t="n">
        <f aca="false">JUN!V47</f>
        <v>19503.42</v>
      </c>
      <c r="W8" s="54" t="n">
        <f aca="false">JUN!W44</f>
        <v>6586.07999999998</v>
      </c>
      <c r="X8" s="54" t="n">
        <f aca="false">JUN!X47</f>
        <v>57860.46</v>
      </c>
      <c r="Y8" s="54" t="n">
        <f aca="false">JUN!Y47</f>
        <v>2199.99630955382</v>
      </c>
      <c r="Z8" s="54" t="n">
        <f aca="false">JUN!Z47</f>
        <v>60060.4563095538</v>
      </c>
      <c r="AA8" s="57" t="n">
        <f aca="false">JUN!AA47</f>
        <v>6.91</v>
      </c>
      <c r="AB8" s="59"/>
      <c r="AC8" s="59"/>
      <c r="AD8" s="60"/>
      <c r="AE8" s="94"/>
      <c r="AF8" s="96"/>
    </row>
    <row r="9" customFormat="false" ht="3" hidden="false" customHeight="true" outlineLevel="0" collapsed="false">
      <c r="A9" s="76"/>
      <c r="B9" s="77"/>
      <c r="C9" s="78"/>
      <c r="D9" s="76"/>
      <c r="E9" s="78"/>
      <c r="F9" s="76"/>
      <c r="G9" s="76"/>
      <c r="H9" s="80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8"/>
      <c r="U9" s="76"/>
      <c r="V9" s="76"/>
      <c r="W9" s="78"/>
      <c r="X9" s="76"/>
      <c r="Y9" s="76"/>
      <c r="Z9" s="76"/>
      <c r="AA9" s="113"/>
      <c r="AB9" s="81"/>
      <c r="AC9" s="81"/>
      <c r="AD9" s="82"/>
      <c r="AE9" s="94"/>
      <c r="AF9" s="95"/>
    </row>
    <row r="10" customFormat="false" ht="11.1" hidden="false" customHeight="true" outlineLevel="0" collapsed="false">
      <c r="A10" s="60" t="n">
        <v>1</v>
      </c>
      <c r="B10" s="75" t="n">
        <v>6920.23</v>
      </c>
      <c r="C10" s="54" t="n">
        <v>364572</v>
      </c>
      <c r="D10" s="59" t="n">
        <f aca="false">C10-C8</f>
        <v>-521</v>
      </c>
      <c r="E10" s="54" t="n">
        <f aca="false">C10-152000</f>
        <v>212572</v>
      </c>
      <c r="F10" s="53" t="n">
        <f aca="false">D10/$D$2</f>
        <v>-262.667002772876</v>
      </c>
      <c r="G10" s="53" t="n">
        <v>378.2</v>
      </c>
      <c r="H10" s="58" t="n">
        <v>0</v>
      </c>
      <c r="I10" s="53" t="n">
        <f aca="false">G10+H10</f>
        <v>378.2</v>
      </c>
      <c r="J10" s="83" t="n">
        <f aca="false">IF(L10&gt;0,L10,0)</f>
        <v>0</v>
      </c>
      <c r="K10" s="53" t="n">
        <f aca="false">I10+J10</f>
        <v>378.2</v>
      </c>
      <c r="L10" s="53" t="n">
        <f aca="false">F10-(I10-X10)</f>
        <v>-12.3670027728762</v>
      </c>
      <c r="M10" s="53" t="n">
        <v>197</v>
      </c>
      <c r="N10" s="53" t="n">
        <v>0</v>
      </c>
      <c r="O10" s="53" t="n">
        <v>0</v>
      </c>
      <c r="P10" s="6" t="n">
        <f aca="false">M10-(N10+O10)</f>
        <v>197</v>
      </c>
      <c r="Q10" s="53" t="n">
        <v>181.9</v>
      </c>
      <c r="R10" s="53" t="n">
        <v>82.1</v>
      </c>
      <c r="S10" s="53" t="n">
        <f aca="false">SUM(P10:R10)</f>
        <v>461</v>
      </c>
      <c r="T10" s="54" t="n">
        <f aca="false">(I10-S10)+T8</f>
        <v>7159.2</v>
      </c>
      <c r="U10" s="53" t="n">
        <v>97</v>
      </c>
      <c r="V10" s="53" t="n">
        <v>70.5</v>
      </c>
      <c r="W10" s="54" t="n">
        <f aca="false">W8-V10</f>
        <v>6515.57999999998</v>
      </c>
      <c r="X10" s="6" t="n">
        <f aca="false">N10+O10+S10+U10+V10</f>
        <v>628.5</v>
      </c>
      <c r="Y10" s="53" t="n">
        <f aca="false">IF(L10&lt;0,L10*-1,0)</f>
        <v>12.3670027728762</v>
      </c>
      <c r="Z10" s="53" t="n">
        <f aca="false">X10+Y10</f>
        <v>640.867002772876</v>
      </c>
      <c r="AA10" s="57" t="n">
        <v>0</v>
      </c>
      <c r="AB10" s="136" t="n">
        <v>85</v>
      </c>
      <c r="AC10" s="136" t="n">
        <v>49</v>
      </c>
      <c r="AD10" s="60" t="n">
        <v>1</v>
      </c>
      <c r="AE10" s="12"/>
      <c r="AF10" s="126"/>
      <c r="AG10" s="6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</row>
    <row r="11" customFormat="false" ht="11.1" hidden="false" customHeight="true" outlineLevel="0" collapsed="false">
      <c r="A11" s="60" t="n">
        <f aca="false">A10+1</f>
        <v>2</v>
      </c>
      <c r="B11" s="75" t="n">
        <v>6920.15</v>
      </c>
      <c r="C11" s="54" t="n">
        <v>364224</v>
      </c>
      <c r="D11" s="59" t="n">
        <f aca="false">C11-C10</f>
        <v>-348</v>
      </c>
      <c r="E11" s="54" t="n">
        <f aca="false">C11-152000</f>
        <v>212224</v>
      </c>
      <c r="F11" s="53" t="n">
        <f aca="false">D11/$D$2</f>
        <v>-175.44744139148</v>
      </c>
      <c r="G11" s="53" t="n">
        <v>344.7</v>
      </c>
      <c r="H11" s="58" t="n">
        <v>0</v>
      </c>
      <c r="I11" s="53" t="n">
        <f aca="false">G11+H11</f>
        <v>344.7</v>
      </c>
      <c r="J11" s="83" t="n">
        <f aca="false">IF(L11&gt;0,L11,0)</f>
        <v>148.85255860852</v>
      </c>
      <c r="K11" s="53" t="n">
        <f aca="false">I11+J11</f>
        <v>493.55255860852</v>
      </c>
      <c r="L11" s="53" t="n">
        <f aca="false">F11-(I11-X11)</f>
        <v>148.85255860852</v>
      </c>
      <c r="M11" s="53" t="n">
        <v>209.4</v>
      </c>
      <c r="N11" s="53" t="n">
        <v>0</v>
      </c>
      <c r="O11" s="53" t="n">
        <v>0</v>
      </c>
      <c r="P11" s="6" t="n">
        <f aca="false">M11-(N11+O11)</f>
        <v>209.4</v>
      </c>
      <c r="Q11" s="53" t="n">
        <v>180.7</v>
      </c>
      <c r="R11" s="53" t="n">
        <v>83.9</v>
      </c>
      <c r="S11" s="53" t="n">
        <f aca="false">SUM(P11:R11)</f>
        <v>474</v>
      </c>
      <c r="T11" s="54" t="n">
        <f aca="false">(I11-S11)+T10</f>
        <v>7029.9</v>
      </c>
      <c r="U11" s="53" t="n">
        <v>124</v>
      </c>
      <c r="V11" s="53" t="n">
        <v>71</v>
      </c>
      <c r="W11" s="54" t="n">
        <f aca="false">W10-V11</f>
        <v>6444.57999999998</v>
      </c>
      <c r="X11" s="6" t="n">
        <f aca="false">N11+O11+S11+U11+V11</f>
        <v>669</v>
      </c>
      <c r="Y11" s="53" t="n">
        <f aca="false">IF(L11&lt;0,L11*-1,0)</f>
        <v>0</v>
      </c>
      <c r="Z11" s="53" t="n">
        <f aca="false">X11+Y11</f>
        <v>669</v>
      </c>
      <c r="AA11" s="57" t="n">
        <v>0</v>
      </c>
      <c r="AB11" s="59" t="n">
        <v>87</v>
      </c>
      <c r="AC11" s="59" t="n">
        <v>52</v>
      </c>
      <c r="AD11" s="60" t="n">
        <f aca="false">AD10+1</f>
        <v>2</v>
      </c>
      <c r="AE11" s="12"/>
      <c r="AF11" s="0"/>
      <c r="AG11" s="6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</row>
    <row r="12" customFormat="false" ht="11.1" hidden="false" customHeight="true" outlineLevel="0" collapsed="false">
      <c r="A12" s="60" t="n">
        <f aca="false">A11+1</f>
        <v>3</v>
      </c>
      <c r="B12" s="75" t="n">
        <v>6919.85</v>
      </c>
      <c r="C12" s="54" t="n">
        <v>362928</v>
      </c>
      <c r="D12" s="59" t="n">
        <f aca="false">C12-C11</f>
        <v>-1296</v>
      </c>
      <c r="E12" s="54" t="n">
        <f aca="false">C12-152000</f>
        <v>210928</v>
      </c>
      <c r="F12" s="53" t="n">
        <f aca="false">D12/$D$2</f>
        <v>-653.390471388959</v>
      </c>
      <c r="G12" s="53" t="n">
        <v>322</v>
      </c>
      <c r="H12" s="58" t="n">
        <v>0</v>
      </c>
      <c r="I12" s="53" t="n">
        <f aca="false">G12+H12</f>
        <v>322</v>
      </c>
      <c r="J12" s="83" t="n">
        <f aca="false">IF(L12&gt;0,L12,0)</f>
        <v>0</v>
      </c>
      <c r="K12" s="53" t="n">
        <f aca="false">I12+J12</f>
        <v>322</v>
      </c>
      <c r="L12" s="53" t="n">
        <f aca="false">F12-(I12-X12)</f>
        <v>-281.390471388959</v>
      </c>
      <c r="M12" s="53" t="n">
        <v>216</v>
      </c>
      <c r="N12" s="53" t="n">
        <v>0</v>
      </c>
      <c r="O12" s="53" t="n">
        <v>0</v>
      </c>
      <c r="P12" s="6" t="n">
        <f aca="false">M12-(N12+O12)</f>
        <v>216</v>
      </c>
      <c r="Q12" s="53" t="n">
        <v>180</v>
      </c>
      <c r="R12" s="53" t="n">
        <v>98</v>
      </c>
      <c r="S12" s="53" t="n">
        <f aca="false">SUM(P12:R12)</f>
        <v>494</v>
      </c>
      <c r="T12" s="54" t="n">
        <f aca="false">(I12-S12)+T11</f>
        <v>6857.9</v>
      </c>
      <c r="U12" s="53" t="n">
        <v>129</v>
      </c>
      <c r="V12" s="53" t="n">
        <v>71</v>
      </c>
      <c r="W12" s="54" t="n">
        <f aca="false">W11-V12</f>
        <v>6373.57999999998</v>
      </c>
      <c r="X12" s="6" t="n">
        <f aca="false">N12+O12+S12+U12+V12</f>
        <v>694</v>
      </c>
      <c r="Y12" s="53" t="n">
        <f aca="false">IF(L12&lt;0,L12*-1,0)</f>
        <v>281.390471388959</v>
      </c>
      <c r="Z12" s="53" t="n">
        <f aca="false">X12+Y12</f>
        <v>975.390471388959</v>
      </c>
      <c r="AA12" s="57" t="n">
        <v>0</v>
      </c>
      <c r="AB12" s="59" t="n">
        <v>87</v>
      </c>
      <c r="AC12" s="59" t="n">
        <v>55</v>
      </c>
      <c r="AD12" s="60" t="n">
        <f aca="false">AD11+1</f>
        <v>3</v>
      </c>
      <c r="AE12" s="12"/>
      <c r="AF12" s="0"/>
      <c r="AG12" s="6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</row>
    <row r="13" customFormat="false" ht="11.1" hidden="false" customHeight="true" outlineLevel="0" collapsed="false">
      <c r="A13" s="60" t="n">
        <f aca="false">A12+1</f>
        <v>4</v>
      </c>
      <c r="B13" s="75" t="n">
        <v>6919.63</v>
      </c>
      <c r="C13" s="54" t="n">
        <v>361979</v>
      </c>
      <c r="D13" s="59" t="n">
        <f aca="false">C13-C12</f>
        <v>-949</v>
      </c>
      <c r="E13" s="54" t="n">
        <f aca="false">C13-152000</f>
        <v>209979</v>
      </c>
      <c r="F13" s="53" t="n">
        <f aca="false">D13/$D$2</f>
        <v>-478.447189311823</v>
      </c>
      <c r="G13" s="53" t="n">
        <v>300</v>
      </c>
      <c r="H13" s="58" t="n">
        <v>2.4</v>
      </c>
      <c r="I13" s="53" t="n">
        <f aca="false">G13+H13</f>
        <v>302.4</v>
      </c>
      <c r="J13" s="83" t="n">
        <f aca="false">IF(L13&gt;0,L13,0)</f>
        <v>0</v>
      </c>
      <c r="K13" s="53" t="n">
        <f aca="false">I13+J13</f>
        <v>302.4</v>
      </c>
      <c r="L13" s="53" t="n">
        <f aca="false">F13-(I13-X13)</f>
        <v>-80.8471893118225</v>
      </c>
      <c r="M13" s="53" t="n">
        <v>223</v>
      </c>
      <c r="N13" s="53" t="n">
        <v>0</v>
      </c>
      <c r="O13" s="53" t="n">
        <v>0</v>
      </c>
      <c r="P13" s="6" t="n">
        <f aca="false">M13-(N13+O13)</f>
        <v>223</v>
      </c>
      <c r="Q13" s="53" t="n">
        <v>180</v>
      </c>
      <c r="R13" s="53" t="n">
        <v>92</v>
      </c>
      <c r="S13" s="53" t="n">
        <f aca="false">SUM(P13:R13)</f>
        <v>495</v>
      </c>
      <c r="T13" s="54" t="n">
        <f aca="false">(I13-S13)+T12</f>
        <v>6665.3</v>
      </c>
      <c r="U13" s="53" t="n">
        <v>134</v>
      </c>
      <c r="V13" s="53" t="n">
        <v>71</v>
      </c>
      <c r="W13" s="54" t="n">
        <f aca="false">W12-V13</f>
        <v>6302.57999999998</v>
      </c>
      <c r="X13" s="6" t="n">
        <f aca="false">N13+O13+S13+U13+V13</f>
        <v>700</v>
      </c>
      <c r="Y13" s="53" t="n">
        <f aca="false">IF(L13&lt;0,L13*-1,0)</f>
        <v>80.8471893118225</v>
      </c>
      <c r="Z13" s="53" t="n">
        <f aca="false">X13+Y13</f>
        <v>780.847189311822</v>
      </c>
      <c r="AA13" s="57" t="n">
        <v>0</v>
      </c>
      <c r="AB13" s="59" t="n">
        <v>89</v>
      </c>
      <c r="AC13" s="59" t="n">
        <v>56</v>
      </c>
      <c r="AD13" s="60" t="n">
        <f aca="false">AD12+1</f>
        <v>4</v>
      </c>
      <c r="AE13" s="12"/>
      <c r="AF13" s="0"/>
      <c r="AG13" s="6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</row>
    <row r="14" customFormat="false" ht="11.1" hidden="false" customHeight="true" outlineLevel="0" collapsed="false">
      <c r="A14" s="60" t="n">
        <f aca="false">A13+1</f>
        <v>5</v>
      </c>
      <c r="B14" s="75" t="n">
        <v>6919.41</v>
      </c>
      <c r="C14" s="54" t="n">
        <v>361033</v>
      </c>
      <c r="D14" s="59" t="n">
        <f aca="false">C14-C13</f>
        <v>-946</v>
      </c>
      <c r="E14" s="54" t="n">
        <f aca="false">C14-152000</f>
        <v>209033</v>
      </c>
      <c r="F14" s="53" t="n">
        <f aca="false">D14/$D$2</f>
        <v>-476.934711368793</v>
      </c>
      <c r="G14" s="53" t="n">
        <v>275.1</v>
      </c>
      <c r="H14" s="58" t="n">
        <v>1.6</v>
      </c>
      <c r="I14" s="53" t="n">
        <f aca="false">G14+H14</f>
        <v>276.7</v>
      </c>
      <c r="J14" s="83" t="n">
        <f aca="false">IF(L14&gt;0,L14,0)</f>
        <v>0</v>
      </c>
      <c r="K14" s="53" t="n">
        <f aca="false">I14+J14</f>
        <v>276.7</v>
      </c>
      <c r="L14" s="53" t="n">
        <f aca="false">F14-(I14-X14)</f>
        <v>-53.2347113687926</v>
      </c>
      <c r="M14" s="53" t="n">
        <v>231.5</v>
      </c>
      <c r="N14" s="53" t="n">
        <v>0</v>
      </c>
      <c r="O14" s="53" t="n">
        <v>0</v>
      </c>
      <c r="P14" s="6" t="n">
        <f aca="false">M14-(N14+O14)</f>
        <v>231.5</v>
      </c>
      <c r="Q14" s="53" t="n">
        <v>179.9</v>
      </c>
      <c r="R14" s="53" t="n">
        <v>83.7</v>
      </c>
      <c r="S14" s="53" t="n">
        <f aca="false">SUM(P14:R14)</f>
        <v>495.1</v>
      </c>
      <c r="T14" s="54" t="n">
        <f aca="false">(I14-S14)+T13</f>
        <v>6446.9</v>
      </c>
      <c r="U14" s="53" t="n">
        <v>134</v>
      </c>
      <c r="V14" s="53" t="n">
        <v>71.3</v>
      </c>
      <c r="W14" s="54" t="n">
        <f aca="false">W13-V14</f>
        <v>6231.27999999998</v>
      </c>
      <c r="X14" s="6" t="n">
        <f aca="false">N14+O14+S14+U14+V14</f>
        <v>700.4</v>
      </c>
      <c r="Y14" s="53" t="n">
        <f aca="false">IF(L14&lt;0,L14*-1,0)</f>
        <v>53.2347113687926</v>
      </c>
      <c r="Z14" s="53" t="n">
        <f aca="false">X14+Y14</f>
        <v>753.634711368793</v>
      </c>
      <c r="AA14" s="57" t="n">
        <v>0</v>
      </c>
      <c r="AB14" s="59" t="n">
        <v>88</v>
      </c>
      <c r="AC14" s="59" t="n">
        <v>55</v>
      </c>
      <c r="AD14" s="60" t="n">
        <f aca="false">AD13+1</f>
        <v>5</v>
      </c>
      <c r="AE14" s="12"/>
      <c r="AF14" s="0"/>
      <c r="AG14" s="6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</row>
    <row r="15" customFormat="false" ht="11.1" hidden="false" customHeight="true" outlineLevel="0" collapsed="false">
      <c r="A15" s="60" t="n">
        <f aca="false">A14+1</f>
        <v>6</v>
      </c>
      <c r="B15" s="75" t="n">
        <v>6919.18</v>
      </c>
      <c r="C15" s="54" t="n">
        <v>360043</v>
      </c>
      <c r="D15" s="59" t="n">
        <f aca="false">C15-C14</f>
        <v>-990</v>
      </c>
      <c r="E15" s="54" t="n">
        <f aca="false">C15-152000</f>
        <v>208043</v>
      </c>
      <c r="F15" s="53" t="n">
        <f aca="false">D15/$D$2</f>
        <v>-499.117721199899</v>
      </c>
      <c r="G15" s="53" t="n">
        <v>253.1</v>
      </c>
      <c r="H15" s="58" t="n">
        <v>1.2</v>
      </c>
      <c r="I15" s="53" t="n">
        <f aca="false">G15+H15</f>
        <v>254.3</v>
      </c>
      <c r="J15" s="83" t="n">
        <f aca="false">IF(L15&gt;0,L15,0)</f>
        <v>0</v>
      </c>
      <c r="K15" s="53" t="n">
        <f aca="false">I15+J15</f>
        <v>254.3</v>
      </c>
      <c r="L15" s="53" t="n">
        <f aca="false">F15-(I15-X15)</f>
        <v>-49.0177211998991</v>
      </c>
      <c r="M15" s="53" t="n">
        <v>213.4</v>
      </c>
      <c r="N15" s="53" t="n">
        <v>0</v>
      </c>
      <c r="O15" s="53" t="n">
        <v>0</v>
      </c>
      <c r="P15" s="6" t="n">
        <f aca="false">M15-(N15+O15)</f>
        <v>213.4</v>
      </c>
      <c r="Q15" s="53" t="n">
        <v>180.4</v>
      </c>
      <c r="R15" s="53" t="n">
        <v>82.3</v>
      </c>
      <c r="S15" s="53" t="n">
        <f aca="false">SUM(P15:R15)</f>
        <v>476.1</v>
      </c>
      <c r="T15" s="54" t="n">
        <f aca="false">(I15-S15)+T14</f>
        <v>6225.1</v>
      </c>
      <c r="U15" s="53" t="n">
        <v>157</v>
      </c>
      <c r="V15" s="53" t="n">
        <v>71.3</v>
      </c>
      <c r="W15" s="54" t="n">
        <f aca="false">W14-V15</f>
        <v>6159.97999999998</v>
      </c>
      <c r="X15" s="6" t="n">
        <f aca="false">N15+O15+S15+U15+V15</f>
        <v>704.4</v>
      </c>
      <c r="Y15" s="53" t="n">
        <f aca="false">IF(L15&lt;0,L15*-1,0)</f>
        <v>49.0177211998991</v>
      </c>
      <c r="Z15" s="53" t="n">
        <f aca="false">X15+Y15</f>
        <v>753.417721199899</v>
      </c>
      <c r="AA15" s="57" t="n">
        <v>0</v>
      </c>
      <c r="AB15" s="59" t="n">
        <v>89</v>
      </c>
      <c r="AC15" s="59" t="n">
        <v>58</v>
      </c>
      <c r="AD15" s="60" t="n">
        <f aca="false">AD14+1</f>
        <v>6</v>
      </c>
      <c r="AE15" s="12"/>
      <c r="AF15" s="0"/>
      <c r="AG15" s="6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</row>
    <row r="16" customFormat="false" ht="11.1" hidden="false" customHeight="true" outlineLevel="0" collapsed="false">
      <c r="A16" s="60" t="n">
        <f aca="false">A15+1</f>
        <v>7</v>
      </c>
      <c r="B16" s="75" t="n">
        <v>6918.94</v>
      </c>
      <c r="C16" s="54" t="n">
        <v>359010</v>
      </c>
      <c r="D16" s="59" t="n">
        <f aca="false">C16-C15</f>
        <v>-1033</v>
      </c>
      <c r="E16" s="54" t="n">
        <f aca="false">C16-152000</f>
        <v>207010</v>
      </c>
      <c r="F16" s="53" t="n">
        <f aca="false">D16/$D$2</f>
        <v>-520.796571716662</v>
      </c>
      <c r="G16" s="53" t="n">
        <v>238.9</v>
      </c>
      <c r="H16" s="58" t="n">
        <v>1</v>
      </c>
      <c r="I16" s="53" t="n">
        <f aca="false">G16+H16</f>
        <v>239.9</v>
      </c>
      <c r="J16" s="83" t="n">
        <f aca="false">IF(L16&gt;0,L16,0)</f>
        <v>0</v>
      </c>
      <c r="K16" s="53" t="n">
        <f aca="false">I16+J16</f>
        <v>239.9</v>
      </c>
      <c r="L16" s="53" t="n">
        <f aca="false">F16-(I16-X16)</f>
        <v>-95.3965717166625</v>
      </c>
      <c r="M16" s="53" t="n">
        <v>198</v>
      </c>
      <c r="N16" s="53" t="n">
        <v>0</v>
      </c>
      <c r="O16" s="53" t="n">
        <v>0</v>
      </c>
      <c r="P16" s="6" t="n">
        <f aca="false">M16-(N16+O16)</f>
        <v>198</v>
      </c>
      <c r="Q16" s="53" t="n">
        <v>179.4</v>
      </c>
      <c r="R16" s="53" t="n">
        <v>81.6</v>
      </c>
      <c r="S16" s="53" t="n">
        <f aca="false">SUM(P16:R16)</f>
        <v>459</v>
      </c>
      <c r="T16" s="54" t="n">
        <f aca="false">(I16-S16)+T15</f>
        <v>6006</v>
      </c>
      <c r="U16" s="53" t="n">
        <v>135</v>
      </c>
      <c r="V16" s="53" t="n">
        <v>71.3</v>
      </c>
      <c r="W16" s="54" t="n">
        <f aca="false">W15-V16</f>
        <v>6088.67999999998</v>
      </c>
      <c r="X16" s="6" t="n">
        <f aca="false">N16+O16+S16+U16+V16</f>
        <v>665.3</v>
      </c>
      <c r="Y16" s="53" t="n">
        <f aca="false">IF(L16&lt;0,L16*-1,0)</f>
        <v>95.3965717166625</v>
      </c>
      <c r="Z16" s="53" t="n">
        <f aca="false">X16+Y16</f>
        <v>760.696571716662</v>
      </c>
      <c r="AA16" s="57" t="n">
        <v>0.03</v>
      </c>
      <c r="AB16" s="136" t="n">
        <v>92</v>
      </c>
      <c r="AC16" s="136" t="n">
        <v>57</v>
      </c>
      <c r="AD16" s="60" t="n">
        <f aca="false">AD15+1</f>
        <v>7</v>
      </c>
      <c r="AE16" s="12"/>
      <c r="AF16" s="0"/>
      <c r="AG16" s="6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</row>
    <row r="17" customFormat="false" ht="11.1" hidden="false" customHeight="true" outlineLevel="0" collapsed="false">
      <c r="A17" s="60" t="n">
        <f aca="false">A16+1</f>
        <v>8</v>
      </c>
      <c r="B17" s="75" t="n">
        <v>6918.79</v>
      </c>
      <c r="C17" s="54" t="n">
        <v>358370</v>
      </c>
      <c r="D17" s="59" t="n">
        <f aca="false">C17-C16</f>
        <v>-640</v>
      </c>
      <c r="E17" s="54" t="n">
        <f aca="false">C17-152000</f>
        <v>206370</v>
      </c>
      <c r="F17" s="53" t="n">
        <f aca="false">D17/$D$2</f>
        <v>-322.661961179733</v>
      </c>
      <c r="G17" s="53" t="n">
        <v>240</v>
      </c>
      <c r="H17" s="58" t="n">
        <v>0.8</v>
      </c>
      <c r="I17" s="53" t="n">
        <f aca="false">G17+H17</f>
        <v>240.8</v>
      </c>
      <c r="J17" s="83" t="n">
        <f aca="false">IF(L17&gt;0,L17,0)</f>
        <v>105.938038820267</v>
      </c>
      <c r="K17" s="53" t="n">
        <f aca="false">I17+J17</f>
        <v>346.738038820267</v>
      </c>
      <c r="L17" s="53" t="n">
        <f aca="false">F17-(I17-X17)</f>
        <v>105.938038820267</v>
      </c>
      <c r="M17" s="53" t="n">
        <v>186.9</v>
      </c>
      <c r="N17" s="53" t="n">
        <v>0</v>
      </c>
      <c r="O17" s="53" t="n">
        <v>0</v>
      </c>
      <c r="P17" s="6" t="n">
        <f aca="false">M17-(N17+O17)</f>
        <v>186.9</v>
      </c>
      <c r="Q17" s="53" t="n">
        <v>181.1</v>
      </c>
      <c r="R17" s="53" t="n">
        <v>84.1</v>
      </c>
      <c r="S17" s="53" t="n">
        <f aca="false">SUM(P17:R17)</f>
        <v>452.1</v>
      </c>
      <c r="T17" s="54" t="n">
        <f aca="false">(I17-S17)+T16</f>
        <v>5794.7</v>
      </c>
      <c r="U17" s="53" t="n">
        <v>146</v>
      </c>
      <c r="V17" s="53" t="n">
        <v>71.3</v>
      </c>
      <c r="W17" s="54" t="n">
        <f aca="false">W16-V17</f>
        <v>6017.37999999998</v>
      </c>
      <c r="X17" s="6" t="n">
        <f aca="false">N17+O17+S17+U17+V17</f>
        <v>669.4</v>
      </c>
      <c r="Y17" s="53" t="n">
        <f aca="false">IF(L17&lt;0,L17*-1,0)</f>
        <v>0</v>
      </c>
      <c r="Z17" s="53" t="n">
        <f aca="false">X17+Y17</f>
        <v>669.4</v>
      </c>
      <c r="AA17" s="57" t="n">
        <v>0.45</v>
      </c>
      <c r="AB17" s="59" t="n">
        <v>82</v>
      </c>
      <c r="AC17" s="59" t="n">
        <v>58</v>
      </c>
      <c r="AD17" s="60" t="n">
        <f aca="false">AD16+1</f>
        <v>8</v>
      </c>
      <c r="AE17" s="12"/>
      <c r="AF17" s="0"/>
      <c r="AG17" s="6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</row>
    <row r="18" customFormat="false" ht="11.1" hidden="false" customHeight="true" outlineLevel="0" collapsed="false">
      <c r="A18" s="60" t="n">
        <f aca="false">A17+1</f>
        <v>9</v>
      </c>
      <c r="B18" s="75" t="n">
        <v>6918.58</v>
      </c>
      <c r="C18" s="54" t="n">
        <v>357473</v>
      </c>
      <c r="D18" s="59" t="n">
        <f aca="false">C18-C17</f>
        <v>-897</v>
      </c>
      <c r="E18" s="54" t="n">
        <f aca="false">C18-152000</f>
        <v>205473</v>
      </c>
      <c r="F18" s="53" t="n">
        <f aca="false">D18/$D$2</f>
        <v>-452.230904965969</v>
      </c>
      <c r="G18" s="53" t="n">
        <v>319.1</v>
      </c>
      <c r="H18" s="58" t="n">
        <v>0.6</v>
      </c>
      <c r="I18" s="53" t="n">
        <f aca="false">G18+H18</f>
        <v>319.7</v>
      </c>
      <c r="J18" s="83" t="n">
        <f aca="false">IF(L18&gt;0,L18,0)</f>
        <v>0</v>
      </c>
      <c r="K18" s="53" t="n">
        <f aca="false">I18+J18</f>
        <v>319.7</v>
      </c>
      <c r="L18" s="53" t="n">
        <f aca="false">F18-(I18-X18)</f>
        <v>-84.5309049659693</v>
      </c>
      <c r="M18" s="53" t="n">
        <v>182.4</v>
      </c>
      <c r="N18" s="53" t="n">
        <v>0</v>
      </c>
      <c r="O18" s="53" t="n">
        <v>0</v>
      </c>
      <c r="P18" s="6" t="n">
        <f aca="false">M18-(N18+O18)</f>
        <v>182.4</v>
      </c>
      <c r="Q18" s="53" t="n">
        <v>182</v>
      </c>
      <c r="R18" s="53" t="n">
        <v>85.6</v>
      </c>
      <c r="S18" s="53" t="n">
        <f aca="false">SUM(P18:R18)</f>
        <v>450</v>
      </c>
      <c r="T18" s="54" t="n">
        <f aca="false">(I18-S18)+T17</f>
        <v>5664.4</v>
      </c>
      <c r="U18" s="53" t="n">
        <v>166</v>
      </c>
      <c r="V18" s="53" t="n">
        <v>71.4</v>
      </c>
      <c r="W18" s="54" t="n">
        <f aca="false">W17-V18</f>
        <v>5945.97999999998</v>
      </c>
      <c r="X18" s="6" t="n">
        <f aca="false">N18+O18+S18+U18+V18</f>
        <v>687.4</v>
      </c>
      <c r="Y18" s="53" t="n">
        <f aca="false">IF(L18&lt;0,L18*-1,0)</f>
        <v>84.5309049659693</v>
      </c>
      <c r="Z18" s="53" t="n">
        <f aca="false">X18+Y18</f>
        <v>771.930904965969</v>
      </c>
      <c r="AA18" s="57" t="n">
        <v>0.07</v>
      </c>
      <c r="AB18" s="84" t="n">
        <v>78</v>
      </c>
      <c r="AC18" s="59" t="n">
        <v>51</v>
      </c>
      <c r="AD18" s="60" t="n">
        <f aca="false">AD17+1</f>
        <v>9</v>
      </c>
      <c r="AE18" s="12"/>
      <c r="AF18" s="0"/>
      <c r="AG18" s="6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</row>
    <row r="19" customFormat="false" ht="11.1" hidden="false" customHeight="true" outlineLevel="0" collapsed="false">
      <c r="A19" s="60" t="n">
        <f aca="false">A18+1</f>
        <v>10</v>
      </c>
      <c r="B19" s="75" t="n">
        <v>6918.37</v>
      </c>
      <c r="C19" s="54" t="n">
        <v>356576</v>
      </c>
      <c r="D19" s="59" t="n">
        <f aca="false">C19-C18</f>
        <v>-897</v>
      </c>
      <c r="E19" s="54" t="n">
        <f aca="false">C19-152000</f>
        <v>204576</v>
      </c>
      <c r="F19" s="53" t="n">
        <f aca="false">D19/$D$2</f>
        <v>-452.230904965969</v>
      </c>
      <c r="G19" s="53" t="n">
        <v>297.3</v>
      </c>
      <c r="H19" s="58" t="n">
        <v>0</v>
      </c>
      <c r="I19" s="53" t="n">
        <f aca="false">G19+H19</f>
        <v>297.3</v>
      </c>
      <c r="J19" s="83" t="n">
        <f aca="false">IF(L19&gt;0,L19,0)</f>
        <v>0</v>
      </c>
      <c r="K19" s="53" t="n">
        <f aca="false">I19+J19</f>
        <v>297.3</v>
      </c>
      <c r="L19" s="53" t="n">
        <f aca="false">F19-(I19-X19)</f>
        <v>-70.1309049659693</v>
      </c>
      <c r="M19" s="53" t="n">
        <v>194.7</v>
      </c>
      <c r="N19" s="53" t="n">
        <v>0</v>
      </c>
      <c r="O19" s="53" t="n">
        <v>0</v>
      </c>
      <c r="P19" s="6" t="n">
        <f aca="false">M19-(N19+O19)</f>
        <v>194.7</v>
      </c>
      <c r="Q19" s="53" t="n">
        <v>184</v>
      </c>
      <c r="R19" s="53" t="n">
        <v>77.4</v>
      </c>
      <c r="S19" s="53" t="n">
        <f aca="false">SUM(P19:R19)</f>
        <v>456.1</v>
      </c>
      <c r="T19" s="54" t="n">
        <f aca="false">(I19-S19)+T18</f>
        <v>5505.6</v>
      </c>
      <c r="U19" s="53" t="n">
        <v>152</v>
      </c>
      <c r="V19" s="53" t="n">
        <v>71.3</v>
      </c>
      <c r="W19" s="54" t="n">
        <f aca="false">W18-V19</f>
        <v>5874.67999999998</v>
      </c>
      <c r="X19" s="6" t="n">
        <f aca="false">N19+O19+S19+U19+V19</f>
        <v>679.4</v>
      </c>
      <c r="Y19" s="53" t="n">
        <f aca="false">IF(L19&lt;0,L19*-1,0)</f>
        <v>70.1309049659693</v>
      </c>
      <c r="Z19" s="53" t="n">
        <f aca="false">X19+Y19</f>
        <v>749.530904965969</v>
      </c>
      <c r="AA19" s="57" t="n">
        <v>0</v>
      </c>
      <c r="AB19" s="59" t="n">
        <v>78</v>
      </c>
      <c r="AC19" s="59" t="n">
        <v>50</v>
      </c>
      <c r="AD19" s="60" t="n">
        <f aca="false">AD18+1</f>
        <v>10</v>
      </c>
      <c r="AE19" s="12"/>
      <c r="AF19" s="0"/>
      <c r="AG19" s="6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</row>
    <row r="20" customFormat="false" ht="11.1" hidden="false" customHeight="true" outlineLevel="0" collapsed="false">
      <c r="A20" s="60" t="n">
        <f aca="false">A19+1</f>
        <v>11</v>
      </c>
      <c r="B20" s="75" t="n">
        <v>6918.1</v>
      </c>
      <c r="C20" s="54" t="n">
        <v>355422</v>
      </c>
      <c r="D20" s="59" t="n">
        <f aca="false">C20-C19</f>
        <v>-1154</v>
      </c>
      <c r="E20" s="54" t="n">
        <f aca="false">C20-152000</f>
        <v>203422</v>
      </c>
      <c r="F20" s="53" t="n">
        <f aca="false">D20/$D$2</f>
        <v>-581.799848752206</v>
      </c>
      <c r="G20" s="53" t="n">
        <v>245.2</v>
      </c>
      <c r="H20" s="58" t="n">
        <v>0</v>
      </c>
      <c r="I20" s="53" t="n">
        <f aca="false">G20+H20</f>
        <v>245.2</v>
      </c>
      <c r="J20" s="83" t="n">
        <f aca="false">IF(L20&gt;0,L20,0)</f>
        <v>0</v>
      </c>
      <c r="K20" s="53" t="n">
        <f aca="false">I20+J20</f>
        <v>245.2</v>
      </c>
      <c r="L20" s="53" t="n">
        <f aca="false">F20-(I20-X20)</f>
        <v>-119.699848752206</v>
      </c>
      <c r="M20" s="53" t="n">
        <v>210.9</v>
      </c>
      <c r="N20" s="53" t="n">
        <v>0</v>
      </c>
      <c r="O20" s="53" t="n">
        <v>0</v>
      </c>
      <c r="P20" s="6" t="n">
        <f aca="false">M20-(N20+O20)</f>
        <v>210.9</v>
      </c>
      <c r="Q20" s="53" t="n">
        <v>184.2</v>
      </c>
      <c r="R20" s="53" t="n">
        <v>80.9</v>
      </c>
      <c r="S20" s="53" t="n">
        <f aca="false">SUM(P20:R20)</f>
        <v>476</v>
      </c>
      <c r="T20" s="54" t="n">
        <f aca="false">(I20-S20)+T19</f>
        <v>5274.8</v>
      </c>
      <c r="U20" s="53" t="n">
        <v>160</v>
      </c>
      <c r="V20" s="53" t="n">
        <v>71.3</v>
      </c>
      <c r="W20" s="54" t="n">
        <f aca="false">W19-V20</f>
        <v>5803.37999999998</v>
      </c>
      <c r="X20" s="6" t="n">
        <f aca="false">N20+O20+S20+U20+V20</f>
        <v>707.3</v>
      </c>
      <c r="Y20" s="53" t="n">
        <f aca="false">IF(L20&lt;0,L20*-1,0)</f>
        <v>119.699848752206</v>
      </c>
      <c r="Z20" s="53" t="n">
        <f aca="false">X20+Y20</f>
        <v>826.999848752206</v>
      </c>
      <c r="AA20" s="57" t="n">
        <v>0</v>
      </c>
      <c r="AB20" s="59" t="n">
        <v>82</v>
      </c>
      <c r="AC20" s="59" t="n">
        <v>50</v>
      </c>
      <c r="AD20" s="60" t="n">
        <f aca="false">AD19+1</f>
        <v>11</v>
      </c>
      <c r="AE20" s="12"/>
      <c r="AF20" s="0"/>
      <c r="AG20" s="6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</row>
    <row r="21" customFormat="false" ht="11.1" hidden="false" customHeight="true" outlineLevel="0" collapsed="false">
      <c r="A21" s="60" t="n">
        <f aca="false">A20+1</f>
        <v>12</v>
      </c>
      <c r="B21" s="75" t="n">
        <v>6917.87</v>
      </c>
      <c r="C21" s="54" t="n">
        <v>354443</v>
      </c>
      <c r="D21" s="59" t="n">
        <f aca="false">C21-C20</f>
        <v>-979</v>
      </c>
      <c r="E21" s="54" t="n">
        <f aca="false">C21-152000</f>
        <v>202443</v>
      </c>
      <c r="F21" s="53" t="n">
        <f aca="false">D21/$D$2</f>
        <v>-493.571968742123</v>
      </c>
      <c r="G21" s="53" t="n">
        <v>238.2</v>
      </c>
      <c r="H21" s="58" t="n">
        <v>0</v>
      </c>
      <c r="I21" s="53" t="n">
        <f aca="false">G21+H21</f>
        <v>238.2</v>
      </c>
      <c r="J21" s="83" t="n">
        <f aca="false">IF(L21&gt;0,L21,0)</f>
        <v>0</v>
      </c>
      <c r="K21" s="53" t="n">
        <f aca="false">I21+J21</f>
        <v>238.2</v>
      </c>
      <c r="L21" s="53" t="n">
        <f aca="false">F21-(I21-X21)</f>
        <v>-17.7719687421225</v>
      </c>
      <c r="M21" s="53" t="n">
        <v>221.7</v>
      </c>
      <c r="N21" s="53" t="n">
        <v>0</v>
      </c>
      <c r="O21" s="53" t="n">
        <v>0</v>
      </c>
      <c r="P21" s="6" t="n">
        <f aca="false">M21-(N21+O21)</f>
        <v>221.7</v>
      </c>
      <c r="Q21" s="53" t="n">
        <v>183.2</v>
      </c>
      <c r="R21" s="53" t="n">
        <v>82.1</v>
      </c>
      <c r="S21" s="53" t="n">
        <f aca="false">SUM(P21:R21)</f>
        <v>487</v>
      </c>
      <c r="T21" s="54" t="n">
        <f aca="false">(I21-S21)+T20</f>
        <v>5026</v>
      </c>
      <c r="U21" s="53" t="n">
        <v>156</v>
      </c>
      <c r="V21" s="53" t="n">
        <v>71</v>
      </c>
      <c r="W21" s="54" t="n">
        <f aca="false">W20-V21</f>
        <v>5732.37999999998</v>
      </c>
      <c r="X21" s="6" t="n">
        <f aca="false">N21+O21+S21+U21+V21</f>
        <v>714</v>
      </c>
      <c r="Y21" s="53" t="n">
        <f aca="false">IF(L21&lt;0,L21*-1,0)</f>
        <v>17.7719687421225</v>
      </c>
      <c r="Z21" s="53" t="n">
        <f aca="false">X21+Y21</f>
        <v>731.771968742122</v>
      </c>
      <c r="AA21" s="57" t="n">
        <v>0.01</v>
      </c>
      <c r="AB21" s="59" t="n">
        <v>80</v>
      </c>
      <c r="AC21" s="59" t="n">
        <v>53</v>
      </c>
      <c r="AD21" s="60" t="n">
        <f aca="false">AD20+1</f>
        <v>12</v>
      </c>
      <c r="AE21" s="12"/>
      <c r="AF21" s="0"/>
      <c r="AG21" s="6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</row>
    <row r="22" customFormat="false" ht="11.1" hidden="false" customHeight="true" outlineLevel="0" collapsed="false">
      <c r="A22" s="60" t="n">
        <f aca="false">A21+1</f>
        <v>13</v>
      </c>
      <c r="B22" s="75" t="n">
        <v>6917.64</v>
      </c>
      <c r="C22" s="54" t="n">
        <v>353468</v>
      </c>
      <c r="D22" s="59" t="n">
        <f aca="false">C22-C21</f>
        <v>-975</v>
      </c>
      <c r="E22" s="54" t="n">
        <f aca="false">C22-152000</f>
        <v>201468</v>
      </c>
      <c r="F22" s="53" t="n">
        <f aca="false">D22/$D$2</f>
        <v>-491.555331484749</v>
      </c>
      <c r="G22" s="53" t="n">
        <v>233.8</v>
      </c>
      <c r="H22" s="58" t="n">
        <v>0</v>
      </c>
      <c r="I22" s="53" t="n">
        <f aca="false">G22+H22</f>
        <v>233.8</v>
      </c>
      <c r="J22" s="83" t="n">
        <f aca="false">IF(L22&gt;0,L22,0)</f>
        <v>0</v>
      </c>
      <c r="K22" s="53" t="n">
        <f aca="false">I22+J22</f>
        <v>233.8</v>
      </c>
      <c r="L22" s="53" t="n">
        <f aca="false">F22-(I22-X22)</f>
        <v>-14.0553314847492</v>
      </c>
      <c r="M22" s="53" t="n">
        <v>223.8</v>
      </c>
      <c r="N22" s="53" t="n">
        <v>0</v>
      </c>
      <c r="O22" s="53" t="n">
        <v>0</v>
      </c>
      <c r="P22" s="6" t="n">
        <f aca="false">M22-(N22+O22)</f>
        <v>223.8</v>
      </c>
      <c r="Q22" s="53" t="n">
        <v>183.4</v>
      </c>
      <c r="R22" s="53" t="n">
        <v>81.8</v>
      </c>
      <c r="S22" s="53" t="n">
        <f aca="false">SUM(P22:R22)</f>
        <v>489</v>
      </c>
      <c r="T22" s="54" t="n">
        <f aca="false">(I22-S22)+T21</f>
        <v>4770.8</v>
      </c>
      <c r="U22" s="53" t="n">
        <v>152</v>
      </c>
      <c r="V22" s="53" t="n">
        <v>70.3</v>
      </c>
      <c r="W22" s="54" t="n">
        <f aca="false">W21-V22</f>
        <v>5662.07999999998</v>
      </c>
      <c r="X22" s="6" t="n">
        <f aca="false">N22+O22+S22+U22+V22</f>
        <v>711.3</v>
      </c>
      <c r="Y22" s="53" t="n">
        <f aca="false">IF(L22&lt;0,L22*-1,0)</f>
        <v>14.0553314847492</v>
      </c>
      <c r="Z22" s="53" t="n">
        <f aca="false">X22+Y22</f>
        <v>725.355331484749</v>
      </c>
      <c r="AA22" s="57" t="n">
        <v>0.02</v>
      </c>
      <c r="AB22" s="59" t="n">
        <v>84</v>
      </c>
      <c r="AC22" s="59" t="n">
        <v>50</v>
      </c>
      <c r="AD22" s="60" t="n">
        <f aca="false">AD21+1</f>
        <v>13</v>
      </c>
      <c r="AE22" s="12"/>
      <c r="AF22" s="0"/>
      <c r="AG22" s="6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</row>
    <row r="23" customFormat="false" ht="11.1" hidden="false" customHeight="true" outlineLevel="0" collapsed="false">
      <c r="A23" s="60" t="n">
        <f aca="false">A22+1</f>
        <v>14</v>
      </c>
      <c r="B23" s="75" t="n">
        <v>6917.44</v>
      </c>
      <c r="C23" s="54" t="n">
        <v>352619</v>
      </c>
      <c r="D23" s="59" t="n">
        <f aca="false">C23-C22</f>
        <v>-849</v>
      </c>
      <c r="E23" s="54" t="n">
        <f aca="false">C23-152000</f>
        <v>200619</v>
      </c>
      <c r="F23" s="53" t="n">
        <f aca="false">D23/$D$2</f>
        <v>-428.031257877489</v>
      </c>
      <c r="G23" s="53" t="n">
        <v>226.3</v>
      </c>
      <c r="H23" s="58" t="n">
        <v>0</v>
      </c>
      <c r="I23" s="53" t="n">
        <f aca="false">G23+H23</f>
        <v>226.3</v>
      </c>
      <c r="J23" s="83" t="n">
        <f aca="false">IF(L23&gt;0,L23,0)</f>
        <v>52.0687421225107</v>
      </c>
      <c r="K23" s="53" t="n">
        <f aca="false">I23+J23</f>
        <v>278.368742122511</v>
      </c>
      <c r="L23" s="53" t="n">
        <f aca="false">F23-(I23-X23)</f>
        <v>52.0687421225107</v>
      </c>
      <c r="M23" s="53" t="n">
        <v>223.8</v>
      </c>
      <c r="N23" s="53" t="n">
        <v>0</v>
      </c>
      <c r="O23" s="53" t="n">
        <v>0</v>
      </c>
      <c r="P23" s="6" t="n">
        <f aca="false">M23-(N23+O23)</f>
        <v>223.8</v>
      </c>
      <c r="Q23" s="53" t="n">
        <v>183.1</v>
      </c>
      <c r="R23" s="53" t="n">
        <v>82.1</v>
      </c>
      <c r="S23" s="53" t="n">
        <f aca="false">SUM(P23:R23)</f>
        <v>489</v>
      </c>
      <c r="T23" s="54" t="n">
        <f aca="false">(I23-S23)+T22</f>
        <v>4508.1</v>
      </c>
      <c r="U23" s="53" t="n">
        <v>147</v>
      </c>
      <c r="V23" s="53" t="n">
        <v>70.4</v>
      </c>
      <c r="W23" s="54" t="n">
        <f aca="false">W22-V23</f>
        <v>5591.67999999998</v>
      </c>
      <c r="X23" s="6" t="n">
        <f aca="false">N23+O23+S23+U23+V23</f>
        <v>706.4</v>
      </c>
      <c r="Y23" s="53" t="n">
        <f aca="false">IF(L23&lt;0,L23*-1,0)</f>
        <v>0</v>
      </c>
      <c r="Z23" s="53" t="n">
        <f aca="false">X23+Y23</f>
        <v>706.4</v>
      </c>
      <c r="AA23" s="57" t="n">
        <v>0.2</v>
      </c>
      <c r="AB23" s="59" t="n">
        <v>86</v>
      </c>
      <c r="AC23" s="59" t="n">
        <v>51</v>
      </c>
      <c r="AD23" s="60" t="n">
        <f aca="false">AD22+1</f>
        <v>14</v>
      </c>
      <c r="AE23" s="12"/>
      <c r="AF23" s="0"/>
      <c r="AG23" s="6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</row>
    <row r="24" customFormat="false" ht="11.1" hidden="false" customHeight="true" outlineLevel="0" collapsed="false">
      <c r="A24" s="60" t="n">
        <f aca="false">A23+1</f>
        <v>15</v>
      </c>
      <c r="B24" s="75" t="n">
        <v>6917.17</v>
      </c>
      <c r="C24" s="54" t="n">
        <v>351475</v>
      </c>
      <c r="D24" s="59" t="n">
        <f aca="false">C24-C23</f>
        <v>-1144</v>
      </c>
      <c r="E24" s="54" t="n">
        <f aca="false">C24-152000</f>
        <v>199475</v>
      </c>
      <c r="F24" s="53" t="n">
        <f aca="false">D24/$D$2</f>
        <v>-576.758255608772</v>
      </c>
      <c r="G24" s="53" t="n">
        <v>228.8</v>
      </c>
      <c r="H24" s="58" t="n">
        <v>0</v>
      </c>
      <c r="I24" s="53" t="n">
        <f aca="false">G24+H24</f>
        <v>228.8</v>
      </c>
      <c r="J24" s="83" t="n">
        <f aca="false">IF(L24&gt;0,L24,0)</f>
        <v>0</v>
      </c>
      <c r="K24" s="53" t="n">
        <f aca="false">I24+J24</f>
        <v>228.8</v>
      </c>
      <c r="L24" s="53" t="n">
        <f aca="false">F24-(I24-X24)</f>
        <v>-97.2582556087725</v>
      </c>
      <c r="M24" s="53" t="n">
        <v>223.8</v>
      </c>
      <c r="N24" s="53" t="n">
        <v>0</v>
      </c>
      <c r="O24" s="53" t="n">
        <v>0</v>
      </c>
      <c r="P24" s="6" t="n">
        <f aca="false">M24-(N24+O24)</f>
        <v>223.8</v>
      </c>
      <c r="Q24" s="53" t="n">
        <v>182.8</v>
      </c>
      <c r="R24" s="53" t="n">
        <v>81.4</v>
      </c>
      <c r="S24" s="53" t="n">
        <f aca="false">SUM(P24:R24)</f>
        <v>488</v>
      </c>
      <c r="T24" s="54" t="n">
        <f aca="false">(I24-S24)+T23</f>
        <v>4248.9</v>
      </c>
      <c r="U24" s="53" t="n">
        <v>150</v>
      </c>
      <c r="V24" s="53" t="n">
        <v>70.3</v>
      </c>
      <c r="W24" s="54" t="n">
        <f aca="false">W23-V24</f>
        <v>5521.37999999998</v>
      </c>
      <c r="X24" s="6" t="n">
        <f aca="false">N24+O24+S24+U24+V24</f>
        <v>708.3</v>
      </c>
      <c r="Y24" s="53" t="n">
        <f aca="false">IF(L24&lt;0,L24*-1,0)</f>
        <v>97.2582556087725</v>
      </c>
      <c r="Z24" s="53" t="n">
        <f aca="false">X24+Y24</f>
        <v>805.558255608772</v>
      </c>
      <c r="AA24" s="57" t="n">
        <v>0.02</v>
      </c>
      <c r="AB24" s="84" t="n">
        <v>85</v>
      </c>
      <c r="AC24" s="59" t="n">
        <v>52</v>
      </c>
      <c r="AD24" s="60" t="n">
        <f aca="false">AD23+1</f>
        <v>15</v>
      </c>
      <c r="AE24" s="12"/>
      <c r="AF24" s="0"/>
      <c r="AG24" s="6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</row>
    <row r="25" customFormat="false" ht="11.1" hidden="false" customHeight="true" outlineLevel="0" collapsed="false">
      <c r="A25" s="60" t="n">
        <f aca="false">A24+1</f>
        <v>16</v>
      </c>
      <c r="B25" s="75" t="n">
        <v>6916.95</v>
      </c>
      <c r="C25" s="54" t="n">
        <v>350545</v>
      </c>
      <c r="D25" s="59" t="n">
        <f aca="false">C25-C24</f>
        <v>-930</v>
      </c>
      <c r="E25" s="54" t="n">
        <f aca="false">C25-152000</f>
        <v>198545</v>
      </c>
      <c r="F25" s="53" t="n">
        <f aca="false">D25/$D$2</f>
        <v>-468.868162339299</v>
      </c>
      <c r="G25" s="53" t="n">
        <v>244</v>
      </c>
      <c r="H25" s="58" t="n">
        <v>0</v>
      </c>
      <c r="I25" s="53" t="n">
        <f aca="false">G25+H25</f>
        <v>244</v>
      </c>
      <c r="J25" s="83" t="n">
        <f aca="false">IF(L25&gt;0,L25,0)</f>
        <v>0</v>
      </c>
      <c r="K25" s="53" t="n">
        <f aca="false">I25+J25</f>
        <v>244</v>
      </c>
      <c r="L25" s="53" t="n">
        <f aca="false">F25-(I25-X25)</f>
        <v>-3.46816233929923</v>
      </c>
      <c r="M25" s="53" t="n">
        <v>223.1</v>
      </c>
      <c r="N25" s="53" t="n">
        <v>0</v>
      </c>
      <c r="O25" s="53" t="n">
        <v>0</v>
      </c>
      <c r="P25" s="6" t="n">
        <f aca="false">M25-(N25+O25)</f>
        <v>223.1</v>
      </c>
      <c r="Q25" s="53" t="n">
        <v>189.3</v>
      </c>
      <c r="R25" s="53" t="n">
        <v>80.6</v>
      </c>
      <c r="S25" s="53" t="n">
        <f aca="false">SUM(P25:R25)</f>
        <v>493</v>
      </c>
      <c r="T25" s="54" t="n">
        <f aca="false">(I25-S25)+T24</f>
        <v>3999.9</v>
      </c>
      <c r="U25" s="53" t="n">
        <v>146</v>
      </c>
      <c r="V25" s="53" t="n">
        <v>70.4</v>
      </c>
      <c r="W25" s="54" t="n">
        <f aca="false">W24-V25</f>
        <v>5450.97999999998</v>
      </c>
      <c r="X25" s="6" t="n">
        <f aca="false">N25+O25+S25+U25+V25</f>
        <v>709.4</v>
      </c>
      <c r="Y25" s="53" t="n">
        <f aca="false">IF(L25&lt;0,L25*-1,0)</f>
        <v>3.46816233929923</v>
      </c>
      <c r="Z25" s="53" t="n">
        <f aca="false">X25+Y25</f>
        <v>712.868162339299</v>
      </c>
      <c r="AA25" s="57" t="n">
        <v>0.03</v>
      </c>
      <c r="AB25" s="84" t="n">
        <v>86</v>
      </c>
      <c r="AC25" s="59" t="n">
        <v>54</v>
      </c>
      <c r="AD25" s="60" t="n">
        <f aca="false">AD24+1</f>
        <v>16</v>
      </c>
      <c r="AE25" s="12"/>
      <c r="AF25" s="0"/>
      <c r="AG25" s="6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</row>
    <row r="26" customFormat="false" ht="11.1" hidden="false" customHeight="true" outlineLevel="0" collapsed="false">
      <c r="A26" s="60" t="n">
        <f aca="false">A25+1</f>
        <v>17</v>
      </c>
      <c r="B26" s="75" t="n">
        <v>6916.75</v>
      </c>
      <c r="C26" s="54" t="n">
        <v>349702</v>
      </c>
      <c r="D26" s="59" t="n">
        <f aca="false">C26-C25</f>
        <v>-843</v>
      </c>
      <c r="E26" s="54" t="n">
        <f aca="false">C26-152000</f>
        <v>197702</v>
      </c>
      <c r="F26" s="53" t="n">
        <f aca="false">D26/$D$2</f>
        <v>-425.006301991429</v>
      </c>
      <c r="G26" s="53" t="n">
        <v>242.9</v>
      </c>
      <c r="H26" s="58" t="n">
        <v>0</v>
      </c>
      <c r="I26" s="53" t="n">
        <f aca="false">G26+H26</f>
        <v>242.9</v>
      </c>
      <c r="J26" s="83" t="n">
        <f aca="false">IF(L26&gt;0,L26,0)</f>
        <v>51.3936980085707</v>
      </c>
      <c r="K26" s="53" t="n">
        <f aca="false">I26+J26</f>
        <v>294.293698008571</v>
      </c>
      <c r="L26" s="53" t="n">
        <f aca="false">F26-(I26-X26)</f>
        <v>51.3936980085707</v>
      </c>
      <c r="M26" s="53" t="n">
        <v>222.5</v>
      </c>
      <c r="N26" s="53" t="n">
        <v>0</v>
      </c>
      <c r="O26" s="53" t="n">
        <v>0</v>
      </c>
      <c r="P26" s="6" t="n">
        <f aca="false">M26-(N26+O26)</f>
        <v>222.5</v>
      </c>
      <c r="Q26" s="53" t="n">
        <v>192.4</v>
      </c>
      <c r="R26" s="53" t="n">
        <v>79.1</v>
      </c>
      <c r="S26" s="53" t="n">
        <f aca="false">SUM(P26:R26)</f>
        <v>494</v>
      </c>
      <c r="T26" s="54" t="n">
        <f aca="false">(I26-S26)+T25</f>
        <v>3748.8</v>
      </c>
      <c r="U26" s="53" t="n">
        <v>155</v>
      </c>
      <c r="V26" s="53" t="n">
        <v>70.3</v>
      </c>
      <c r="W26" s="54" t="n">
        <f aca="false">W25-V26</f>
        <v>5380.67999999998</v>
      </c>
      <c r="X26" s="6" t="n">
        <f aca="false">N26+O26+S26+U26+V26</f>
        <v>719.3</v>
      </c>
      <c r="Y26" s="53" t="n">
        <f aca="false">IF(L26&lt;0,L26*-1,0)</f>
        <v>0</v>
      </c>
      <c r="Z26" s="53" t="n">
        <f aca="false">X26+Y26</f>
        <v>719.3</v>
      </c>
      <c r="AA26" s="57" t="n">
        <v>0</v>
      </c>
      <c r="AB26" s="84" t="n">
        <v>85</v>
      </c>
      <c r="AC26" s="59" t="n">
        <v>56</v>
      </c>
      <c r="AD26" s="60" t="n">
        <f aca="false">AD25+1</f>
        <v>17</v>
      </c>
      <c r="AE26" s="12"/>
      <c r="AF26" s="0"/>
      <c r="AG26" s="6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</row>
    <row r="27" customFormat="false" ht="11.1" hidden="false" customHeight="true" outlineLevel="0" collapsed="false">
      <c r="A27" s="60" t="n">
        <f aca="false">A26+1</f>
        <v>18</v>
      </c>
      <c r="B27" s="75" t="n">
        <v>6916.49</v>
      </c>
      <c r="C27" s="54" t="n">
        <v>348609</v>
      </c>
      <c r="D27" s="59" t="n">
        <f aca="false">C27-C26</f>
        <v>-1093</v>
      </c>
      <c r="E27" s="54" t="n">
        <f aca="false">C27-152000</f>
        <v>196609</v>
      </c>
      <c r="F27" s="53" t="n">
        <f aca="false">D27/$D$2</f>
        <v>-551.046130577262</v>
      </c>
      <c r="G27" s="53" t="n">
        <v>235.8</v>
      </c>
      <c r="H27" s="58" t="n">
        <v>0</v>
      </c>
      <c r="I27" s="53" t="n">
        <f aca="false">G27+H27</f>
        <v>235.8</v>
      </c>
      <c r="J27" s="83" t="n">
        <f aca="false">IF(L27&gt;0,L27,0)</f>
        <v>0</v>
      </c>
      <c r="K27" s="53" t="n">
        <f aca="false">I27+J27</f>
        <v>235.8</v>
      </c>
      <c r="L27" s="53" t="n">
        <f aca="false">F27-(I27-X27)</f>
        <v>-65.3461305772624</v>
      </c>
      <c r="M27" s="53" t="n">
        <v>222.2</v>
      </c>
      <c r="N27" s="53" t="n">
        <v>0</v>
      </c>
      <c r="O27" s="53" t="n">
        <v>0</v>
      </c>
      <c r="P27" s="6" t="n">
        <f aca="false">M27-(N27+O27)</f>
        <v>222.2</v>
      </c>
      <c r="Q27" s="53" t="n">
        <v>192.9</v>
      </c>
      <c r="R27" s="53" t="n">
        <v>80.9</v>
      </c>
      <c r="S27" s="53" t="n">
        <f aca="false">SUM(P27:R27)</f>
        <v>496</v>
      </c>
      <c r="T27" s="54" t="n">
        <f aca="false">(I27-S27)+T26</f>
        <v>3488.6</v>
      </c>
      <c r="U27" s="53" t="n">
        <v>155</v>
      </c>
      <c r="V27" s="53" t="n">
        <v>70.5</v>
      </c>
      <c r="W27" s="54" t="n">
        <f aca="false">W26-V27</f>
        <v>5310.17999999998</v>
      </c>
      <c r="X27" s="6" t="n">
        <f aca="false">N27+O27+S27+U27+V27</f>
        <v>721.5</v>
      </c>
      <c r="Y27" s="53" t="n">
        <f aca="false">IF(L27&lt;0,L27*-1,0)</f>
        <v>65.3461305772624</v>
      </c>
      <c r="Z27" s="53" t="n">
        <f aca="false">X27+Y27</f>
        <v>786.846130577262</v>
      </c>
      <c r="AA27" s="57" t="n">
        <v>0</v>
      </c>
      <c r="AB27" s="84" t="n">
        <v>82</v>
      </c>
      <c r="AC27" s="59" t="n">
        <v>58</v>
      </c>
      <c r="AD27" s="60" t="n">
        <f aca="false">AD26+1</f>
        <v>18</v>
      </c>
      <c r="AE27" s="12"/>
      <c r="AF27" s="0"/>
      <c r="AG27" s="6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</row>
    <row r="28" customFormat="false" ht="11.1" hidden="false" customHeight="true" outlineLevel="0" collapsed="false">
      <c r="A28" s="60" t="n">
        <f aca="false">A27+1</f>
        <v>19</v>
      </c>
      <c r="B28" s="75" t="n">
        <v>6916.24</v>
      </c>
      <c r="C28" s="54" t="n">
        <v>347558</v>
      </c>
      <c r="D28" s="59" t="n">
        <f aca="false">C28-C27</f>
        <v>-1051</v>
      </c>
      <c r="E28" s="54" t="n">
        <f aca="false">C28-152000</f>
        <v>195558</v>
      </c>
      <c r="F28" s="53" t="n">
        <f aca="false">D28/$D$2</f>
        <v>-529.871439374842</v>
      </c>
      <c r="G28" s="53" t="n">
        <v>235</v>
      </c>
      <c r="H28" s="58" t="n">
        <v>0</v>
      </c>
      <c r="I28" s="53" t="n">
        <f aca="false">G28+H28</f>
        <v>235</v>
      </c>
      <c r="J28" s="83" t="n">
        <f aca="false">IF(L28&gt;0,L28,0)</f>
        <v>0</v>
      </c>
      <c r="K28" s="53" t="n">
        <f aca="false">I28+J28</f>
        <v>235</v>
      </c>
      <c r="L28" s="53" t="n">
        <f aca="false">F28-(I28-X28)</f>
        <v>-31.3714393748425</v>
      </c>
      <c r="M28" s="53" t="n">
        <v>223</v>
      </c>
      <c r="N28" s="53" t="n">
        <v>0</v>
      </c>
      <c r="O28" s="53" t="n">
        <v>0</v>
      </c>
      <c r="P28" s="6" t="n">
        <f aca="false">M28-(N28+O28)</f>
        <v>223</v>
      </c>
      <c r="Q28" s="53" t="n">
        <v>192.1</v>
      </c>
      <c r="R28" s="53" t="n">
        <v>82.9</v>
      </c>
      <c r="S28" s="53" t="n">
        <f aca="false">SUM(P28:R28)</f>
        <v>498</v>
      </c>
      <c r="T28" s="54" t="n">
        <f aca="false">(I28-S28)+T27</f>
        <v>3225.6</v>
      </c>
      <c r="U28" s="53" t="n">
        <v>165</v>
      </c>
      <c r="V28" s="53" t="n">
        <v>70.5</v>
      </c>
      <c r="W28" s="54" t="n">
        <f aca="false">W27-V28</f>
        <v>5239.67999999998</v>
      </c>
      <c r="X28" s="6" t="n">
        <f aca="false">N28+O28+S28+U28+V28</f>
        <v>733.5</v>
      </c>
      <c r="Y28" s="53" t="n">
        <f aca="false">IF(L28&lt;0,L28*-1,0)</f>
        <v>31.3714393748425</v>
      </c>
      <c r="Z28" s="53" t="n">
        <f aca="false">X28+Y28</f>
        <v>764.871439374842</v>
      </c>
      <c r="AA28" s="57" t="n">
        <v>0</v>
      </c>
      <c r="AB28" s="84" t="n">
        <v>83</v>
      </c>
      <c r="AC28" s="59" t="n">
        <v>54</v>
      </c>
      <c r="AD28" s="60" t="n">
        <f aca="false">AD27+1</f>
        <v>19</v>
      </c>
      <c r="AE28" s="12"/>
      <c r="AF28" s="0"/>
      <c r="AG28" s="6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</row>
    <row r="29" customFormat="false" ht="11.1" hidden="false" customHeight="true" outlineLevel="0" collapsed="false">
      <c r="A29" s="60" t="n">
        <f aca="false">A28+1</f>
        <v>20</v>
      </c>
      <c r="B29" s="75" t="n">
        <v>6915.97</v>
      </c>
      <c r="C29" s="54" t="n">
        <v>346423</v>
      </c>
      <c r="D29" s="59" t="n">
        <f aca="false">C29-C28</f>
        <v>-1135</v>
      </c>
      <c r="E29" s="54" t="n">
        <f aca="false">C29-152000</f>
        <v>194423</v>
      </c>
      <c r="F29" s="53" t="n">
        <f aca="false">D29/$D$2</f>
        <v>-572.220821779682</v>
      </c>
      <c r="G29" s="53" t="n">
        <v>233.5</v>
      </c>
      <c r="H29" s="58" t="n">
        <v>0</v>
      </c>
      <c r="I29" s="53" t="n">
        <f aca="false">G29+H29</f>
        <v>233.5</v>
      </c>
      <c r="J29" s="83" t="n">
        <f aca="false">IF(L29&gt;0,L29,0)</f>
        <v>0</v>
      </c>
      <c r="K29" s="53" t="n">
        <f aca="false">I29+J29</f>
        <v>233.5</v>
      </c>
      <c r="L29" s="53" t="n">
        <f aca="false">F29-(I29-X29)</f>
        <v>-92.4208217796825</v>
      </c>
      <c r="M29" s="53" t="n">
        <v>225.9</v>
      </c>
      <c r="N29" s="53" t="n">
        <v>0</v>
      </c>
      <c r="O29" s="53" t="n">
        <v>0</v>
      </c>
      <c r="P29" s="6" t="n">
        <f aca="false">M29-(N29+O29)</f>
        <v>225.9</v>
      </c>
      <c r="Q29" s="53" t="n">
        <v>191</v>
      </c>
      <c r="R29" s="53" t="n">
        <v>80.1</v>
      </c>
      <c r="S29" s="53" t="n">
        <f aca="false">SUM(P29:R29)</f>
        <v>497</v>
      </c>
      <c r="T29" s="54" t="n">
        <f aca="false">(I29-S29)+T28</f>
        <v>2962.1</v>
      </c>
      <c r="U29" s="53" t="n">
        <v>146</v>
      </c>
      <c r="V29" s="53" t="n">
        <v>70.3</v>
      </c>
      <c r="W29" s="54" t="n">
        <f aca="false">W28-V29</f>
        <v>5169.37999999998</v>
      </c>
      <c r="X29" s="6" t="n">
        <f aca="false">N29+O29+S29+U29+V29</f>
        <v>713.3</v>
      </c>
      <c r="Y29" s="53" t="n">
        <f aca="false">IF(L29&lt;0,L29*-1,0)</f>
        <v>92.4208217796825</v>
      </c>
      <c r="Z29" s="53" t="n">
        <f aca="false">X29+Y29</f>
        <v>805.720821779682</v>
      </c>
      <c r="AA29" s="57" t="n">
        <v>0</v>
      </c>
      <c r="AB29" s="84" t="n">
        <v>81</v>
      </c>
      <c r="AC29" s="59" t="n">
        <v>56</v>
      </c>
      <c r="AD29" s="60" t="n">
        <f aca="false">AD28+1</f>
        <v>20</v>
      </c>
      <c r="AE29" s="12"/>
      <c r="AF29" s="0"/>
      <c r="AG29" s="6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</row>
    <row r="30" customFormat="false" ht="11.1" hidden="false" customHeight="true" outlineLevel="0" collapsed="false">
      <c r="A30" s="60" t="n">
        <f aca="false">A29+1</f>
        <v>21</v>
      </c>
      <c r="B30" s="75" t="n">
        <v>6915.79</v>
      </c>
      <c r="C30" s="54" t="n">
        <v>345670</v>
      </c>
      <c r="D30" s="59" t="n">
        <f aca="false">C30-C29</f>
        <v>-753</v>
      </c>
      <c r="E30" s="54" t="n">
        <f aca="false">C30-152000</f>
        <v>193670</v>
      </c>
      <c r="F30" s="53" t="n">
        <f aca="false">D30/$D$2</f>
        <v>-379.631963700529</v>
      </c>
      <c r="G30" s="53" t="n">
        <v>271.5</v>
      </c>
      <c r="H30" s="58" t="n">
        <v>0</v>
      </c>
      <c r="I30" s="53" t="n">
        <f aca="false">G30+H30</f>
        <v>271.5</v>
      </c>
      <c r="J30" s="83" t="n">
        <f aca="false">IF(L30&gt;0,L30,0)</f>
        <v>63.1680362994706</v>
      </c>
      <c r="K30" s="53" t="n">
        <f aca="false">I30+J30</f>
        <v>334.668036299471</v>
      </c>
      <c r="L30" s="53" t="n">
        <f aca="false">F30-(I30-X30)</f>
        <v>63.1680362994706</v>
      </c>
      <c r="M30" s="53" t="n">
        <v>226.4</v>
      </c>
      <c r="N30" s="53" t="n">
        <v>0</v>
      </c>
      <c r="O30" s="53" t="n">
        <v>0</v>
      </c>
      <c r="P30" s="6" t="n">
        <f aca="false">M30-(N30+O30)</f>
        <v>226.4</v>
      </c>
      <c r="Q30" s="53" t="n">
        <v>191</v>
      </c>
      <c r="R30" s="53" t="n">
        <v>79.6</v>
      </c>
      <c r="S30" s="53" t="n">
        <f aca="false">SUM(P30:R30)</f>
        <v>497</v>
      </c>
      <c r="T30" s="54" t="n">
        <f aca="false">(I30-S30)+T29</f>
        <v>2736.6</v>
      </c>
      <c r="U30" s="53" t="n">
        <v>147</v>
      </c>
      <c r="V30" s="53" t="n">
        <v>70.3</v>
      </c>
      <c r="W30" s="54" t="n">
        <f aca="false">W29-V30</f>
        <v>5099.07999999998</v>
      </c>
      <c r="X30" s="6" t="n">
        <f aca="false">N30+O30+S30+U30+V30</f>
        <v>714.3</v>
      </c>
      <c r="Y30" s="53" t="n">
        <f aca="false">IF(L30&lt;0,L30*-1,0)</f>
        <v>0</v>
      </c>
      <c r="Z30" s="53" t="n">
        <f aca="false">X30+Y30</f>
        <v>714.3</v>
      </c>
      <c r="AA30" s="57" t="n">
        <v>0.01</v>
      </c>
      <c r="AB30" s="59" t="n">
        <v>79</v>
      </c>
      <c r="AC30" s="59" t="n">
        <v>53</v>
      </c>
      <c r="AD30" s="60" t="n">
        <f aca="false">AD29+1</f>
        <v>21</v>
      </c>
      <c r="AE30" s="12"/>
      <c r="AF30" s="0"/>
      <c r="AG30" s="6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</row>
    <row r="31" customFormat="false" ht="11.1" hidden="false" customHeight="true" outlineLevel="0" collapsed="false">
      <c r="A31" s="60" t="n">
        <f aca="false">A30+1</f>
        <v>22</v>
      </c>
      <c r="B31" s="75" t="n">
        <v>6915.54</v>
      </c>
      <c r="C31" s="54" t="n">
        <v>344627</v>
      </c>
      <c r="D31" s="59" t="n">
        <f aca="false">C31-C30</f>
        <v>-1043</v>
      </c>
      <c r="E31" s="54" t="n">
        <f aca="false">C31-152000</f>
        <v>192627</v>
      </c>
      <c r="F31" s="53" t="n">
        <f aca="false">D31/$D$2</f>
        <v>-525.838164860096</v>
      </c>
      <c r="G31" s="53" t="n">
        <v>244.8</v>
      </c>
      <c r="H31" s="58" t="n">
        <v>0</v>
      </c>
      <c r="I31" s="53" t="n">
        <f aca="false">G31+H31</f>
        <v>244.8</v>
      </c>
      <c r="J31" s="83" t="n">
        <f aca="false">IF(L31&gt;0,L31,0)</f>
        <v>0</v>
      </c>
      <c r="K31" s="53" t="n">
        <f aca="false">I31+J31</f>
        <v>244.8</v>
      </c>
      <c r="L31" s="53" t="n">
        <f aca="false">F31-(I31-X31)</f>
        <v>-68.3381648600958</v>
      </c>
      <c r="M31" s="53" t="n">
        <v>222.1</v>
      </c>
      <c r="N31" s="53" t="n">
        <v>0</v>
      </c>
      <c r="O31" s="53" t="n">
        <v>0</v>
      </c>
      <c r="P31" s="6" t="n">
        <f aca="false">M31-(N31+O31)</f>
        <v>222.1</v>
      </c>
      <c r="Q31" s="53" t="n">
        <v>191</v>
      </c>
      <c r="R31" s="53" t="n">
        <v>79.9</v>
      </c>
      <c r="S31" s="53" t="n">
        <f aca="false">SUM(P31:R31)</f>
        <v>493</v>
      </c>
      <c r="T31" s="54" t="n">
        <f aca="false">(I31-S31)+T30</f>
        <v>2488.4</v>
      </c>
      <c r="U31" s="53" t="n">
        <v>139</v>
      </c>
      <c r="V31" s="53" t="n">
        <v>70.3</v>
      </c>
      <c r="W31" s="54" t="n">
        <f aca="false">W30-V31</f>
        <v>5028.77999999998</v>
      </c>
      <c r="X31" s="6" t="n">
        <f aca="false">N31+O31+S31+U31+V31</f>
        <v>702.3</v>
      </c>
      <c r="Y31" s="53" t="n">
        <f aca="false">IF(L31&lt;0,L31*-1,0)</f>
        <v>68.3381648600958</v>
      </c>
      <c r="Z31" s="53" t="n">
        <f aca="false">X31+Y31</f>
        <v>770.638164860096</v>
      </c>
      <c r="AA31" s="57" t="n">
        <v>0</v>
      </c>
      <c r="AB31" s="59" t="n">
        <v>83</v>
      </c>
      <c r="AC31" s="59" t="n">
        <v>51</v>
      </c>
      <c r="AD31" s="60" t="n">
        <f aca="false">AD30+1</f>
        <v>22</v>
      </c>
      <c r="AE31" s="12"/>
      <c r="AF31" s="0"/>
      <c r="AG31" s="6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</row>
    <row r="32" customFormat="false" ht="11.1" hidden="false" customHeight="true" outlineLevel="0" collapsed="false">
      <c r="A32" s="60" t="n">
        <f aca="false">A31+1</f>
        <v>23</v>
      </c>
      <c r="B32" s="75" t="n">
        <v>6915.3</v>
      </c>
      <c r="C32" s="54" t="n">
        <v>343624</v>
      </c>
      <c r="D32" s="59" t="n">
        <f aca="false">C32-C31</f>
        <v>-1003</v>
      </c>
      <c r="E32" s="54" t="n">
        <f aca="false">C32-152000</f>
        <v>191624</v>
      </c>
      <c r="F32" s="53" t="n">
        <f aca="false">D32/$D$2</f>
        <v>-505.671792286362</v>
      </c>
      <c r="G32" s="53" t="n">
        <v>232.8</v>
      </c>
      <c r="H32" s="58" t="n">
        <v>0</v>
      </c>
      <c r="I32" s="53" t="n">
        <f aca="false">G32+H32</f>
        <v>232.8</v>
      </c>
      <c r="J32" s="83" t="n">
        <f aca="false">IF(L32&gt;0,L32,0)</f>
        <v>0</v>
      </c>
      <c r="K32" s="53" t="n">
        <f aca="false">I32+J32</f>
        <v>232.8</v>
      </c>
      <c r="L32" s="53" t="n">
        <f aca="false">F32-(I32-X32)</f>
        <v>-38.1717922863625</v>
      </c>
      <c r="M32" s="53" t="n">
        <v>218.2</v>
      </c>
      <c r="N32" s="53" t="n">
        <v>0</v>
      </c>
      <c r="O32" s="53" t="n">
        <v>0</v>
      </c>
      <c r="P32" s="6" t="n">
        <f aca="false">M32-(N32+O32)</f>
        <v>218.2</v>
      </c>
      <c r="Q32" s="53" t="n">
        <v>191.2</v>
      </c>
      <c r="R32" s="53" t="n">
        <v>81.6</v>
      </c>
      <c r="S32" s="53" t="n">
        <f aca="false">SUM(P32:R32)</f>
        <v>491</v>
      </c>
      <c r="T32" s="54" t="n">
        <f aca="false">(I32-S32)+T31</f>
        <v>2230.2</v>
      </c>
      <c r="U32" s="53" t="n">
        <v>139</v>
      </c>
      <c r="V32" s="53" t="n">
        <v>70.3</v>
      </c>
      <c r="W32" s="54" t="n">
        <f aca="false">W31-V32</f>
        <v>4958.47999999998</v>
      </c>
      <c r="X32" s="6" t="n">
        <f aca="false">N32+O32+S32+U32+V32</f>
        <v>700.3</v>
      </c>
      <c r="Y32" s="53" t="n">
        <f aca="false">IF(L32&lt;0,L32*-1,0)</f>
        <v>38.1717922863625</v>
      </c>
      <c r="Z32" s="53" t="n">
        <f aca="false">X32+Y32</f>
        <v>738.471792286362</v>
      </c>
      <c r="AA32" s="57" t="n">
        <v>0</v>
      </c>
      <c r="AB32" s="59" t="n">
        <v>81</v>
      </c>
      <c r="AC32" s="84" t="n">
        <v>51</v>
      </c>
      <c r="AD32" s="60" t="n">
        <f aca="false">AD31+1</f>
        <v>23</v>
      </c>
      <c r="AE32" s="12"/>
      <c r="AF32" s="0"/>
      <c r="AG32" s="6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</row>
    <row r="33" customFormat="false" ht="11.1" hidden="false" customHeight="true" outlineLevel="0" collapsed="false">
      <c r="A33" s="60" t="n">
        <f aca="false">A32+1</f>
        <v>24</v>
      </c>
      <c r="B33" s="75" t="n">
        <v>6915.04</v>
      </c>
      <c r="C33" s="54" t="n">
        <v>342539</v>
      </c>
      <c r="D33" s="59" t="n">
        <f aca="false">C33-C32</f>
        <v>-1085</v>
      </c>
      <c r="E33" s="54" t="n">
        <f aca="false">C33-152000</f>
        <v>190539</v>
      </c>
      <c r="F33" s="53" t="n">
        <f aca="false">D33/$D$2</f>
        <v>-547.012856062516</v>
      </c>
      <c r="G33" s="53" t="n">
        <v>222.6</v>
      </c>
      <c r="H33" s="58" t="n">
        <v>0</v>
      </c>
      <c r="I33" s="53" t="n">
        <f aca="false">G33+H33</f>
        <v>222.6</v>
      </c>
      <c r="J33" s="83" t="n">
        <f aca="false">IF(L33&gt;0,L33,0)</f>
        <v>0</v>
      </c>
      <c r="K33" s="53" t="n">
        <f aca="false">I33+J33</f>
        <v>222.6</v>
      </c>
      <c r="L33" s="53" t="n">
        <f aca="false">F33-(I33-X33)</f>
        <v>-65.2128560625158</v>
      </c>
      <c r="M33" s="53" t="n">
        <v>214.2</v>
      </c>
      <c r="N33" s="53" t="n">
        <v>0</v>
      </c>
      <c r="O33" s="53" t="n">
        <v>0</v>
      </c>
      <c r="P33" s="6" t="n">
        <f aca="false">M33-(N33+O33)</f>
        <v>214.2</v>
      </c>
      <c r="Q33" s="53" t="n">
        <v>194.2</v>
      </c>
      <c r="R33" s="53" t="n">
        <v>82.6</v>
      </c>
      <c r="S33" s="53" t="n">
        <f aca="false">SUM(P33:R33)</f>
        <v>491</v>
      </c>
      <c r="T33" s="54" t="n">
        <f aca="false">(I33-S33)+T32</f>
        <v>1961.8</v>
      </c>
      <c r="U33" s="53" t="n">
        <v>143</v>
      </c>
      <c r="V33" s="53" t="n">
        <v>70.4</v>
      </c>
      <c r="W33" s="54" t="n">
        <f aca="false">W32-V33</f>
        <v>4888.07999999998</v>
      </c>
      <c r="X33" s="6" t="n">
        <f aca="false">N33+O33+S33+U33+V33</f>
        <v>704.4</v>
      </c>
      <c r="Y33" s="53" t="n">
        <f aca="false">IF(L33&lt;0,L33*-1,0)</f>
        <v>65.2128560625158</v>
      </c>
      <c r="Z33" s="53" t="n">
        <f aca="false">X33+Y33</f>
        <v>769.612856062516</v>
      </c>
      <c r="AA33" s="57" t="n">
        <v>0.45</v>
      </c>
      <c r="AB33" s="59" t="n">
        <v>79</v>
      </c>
      <c r="AC33" s="84" t="n">
        <v>52</v>
      </c>
      <c r="AD33" s="60" t="n">
        <f aca="false">AD32+1</f>
        <v>24</v>
      </c>
      <c r="AE33" s="12"/>
      <c r="AF33" s="0"/>
      <c r="AG33" s="6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</row>
    <row r="34" customFormat="false" ht="11.1" hidden="false" customHeight="true" outlineLevel="0" collapsed="false">
      <c r="A34" s="60" t="n">
        <f aca="false">A33+1</f>
        <v>25</v>
      </c>
      <c r="B34" s="75" t="n">
        <v>6914.77</v>
      </c>
      <c r="C34" s="54" t="n">
        <v>341420</v>
      </c>
      <c r="D34" s="59" t="n">
        <f aca="false">C34-C33</f>
        <v>-1119</v>
      </c>
      <c r="E34" s="54" t="n">
        <f aca="false">C34-152000</f>
        <v>189420</v>
      </c>
      <c r="F34" s="53" t="n">
        <f aca="false">D34/$D$2</f>
        <v>-564.154272750189</v>
      </c>
      <c r="G34" s="53" t="n">
        <v>261.7</v>
      </c>
      <c r="H34" s="58" t="n">
        <v>0</v>
      </c>
      <c r="I34" s="53" t="n">
        <f aca="false">G34+H34</f>
        <v>261.7</v>
      </c>
      <c r="J34" s="83" t="n">
        <f aca="false">IF(L34&gt;0,L34,0)</f>
        <v>0</v>
      </c>
      <c r="K34" s="53" t="n">
        <f aca="false">I34+J34</f>
        <v>261.7</v>
      </c>
      <c r="L34" s="53" t="n">
        <f aca="false">F34-(I34-X34)</f>
        <v>-108.554272750189</v>
      </c>
      <c r="M34" s="53" t="n">
        <v>203.3</v>
      </c>
      <c r="N34" s="53" t="n">
        <v>0</v>
      </c>
      <c r="O34" s="53" t="n">
        <v>0</v>
      </c>
      <c r="P34" s="6" t="n">
        <f aca="false">M34-(N34+O34)</f>
        <v>203.3</v>
      </c>
      <c r="Q34" s="53" t="n">
        <v>192.2</v>
      </c>
      <c r="R34" s="53" t="n">
        <v>82.5</v>
      </c>
      <c r="S34" s="53" t="n">
        <f aca="false">SUM(P34:R34)</f>
        <v>478</v>
      </c>
      <c r="T34" s="54" t="n">
        <f aca="false">(I34-S34)+T33</f>
        <v>1745.5</v>
      </c>
      <c r="U34" s="53" t="n">
        <v>169</v>
      </c>
      <c r="V34" s="53" t="n">
        <v>70.3</v>
      </c>
      <c r="W34" s="54" t="n">
        <f aca="false">W33-V34</f>
        <v>4817.77999999998</v>
      </c>
      <c r="X34" s="6" t="n">
        <f aca="false">N34+O34+S34+U34+V34</f>
        <v>717.3</v>
      </c>
      <c r="Y34" s="53" t="n">
        <f aca="false">IF(L34&lt;0,L34*-1,0)</f>
        <v>108.554272750189</v>
      </c>
      <c r="Z34" s="53" t="n">
        <f aca="false">X34+Y34</f>
        <v>825.854272750189</v>
      </c>
      <c r="AA34" s="57" t="n">
        <v>0.02</v>
      </c>
      <c r="AB34" s="59" t="n">
        <v>79</v>
      </c>
      <c r="AC34" s="84" t="n">
        <v>47</v>
      </c>
      <c r="AD34" s="60" t="n">
        <f aca="false">AD33+1</f>
        <v>25</v>
      </c>
      <c r="AE34" s="12"/>
      <c r="AF34" s="0"/>
      <c r="AG34" s="6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</row>
    <row r="35" customFormat="false" ht="11.1" hidden="false" customHeight="true" outlineLevel="0" collapsed="false">
      <c r="A35" s="60" t="n">
        <f aca="false">A34+1</f>
        <v>26</v>
      </c>
      <c r="B35" s="75" t="n">
        <v>6914.59</v>
      </c>
      <c r="C35" s="54" t="n">
        <v>340674</v>
      </c>
      <c r="D35" s="59" t="n">
        <f aca="false">C35-C34</f>
        <v>-746</v>
      </c>
      <c r="E35" s="54" t="n">
        <f aca="false">C35-152000</f>
        <v>188674</v>
      </c>
      <c r="F35" s="53" t="n">
        <f aca="false">D35/$D$2</f>
        <v>-376.102848500126</v>
      </c>
      <c r="G35" s="53" t="n">
        <v>268.6</v>
      </c>
      <c r="H35" s="58" t="n">
        <v>0</v>
      </c>
      <c r="I35" s="53" t="n">
        <f aca="false">G35+H35</f>
        <v>268.6</v>
      </c>
      <c r="J35" s="83" t="n">
        <f aca="false">IF(L35&gt;0,L35,0)</f>
        <v>36.6971514998739</v>
      </c>
      <c r="K35" s="53" t="n">
        <f aca="false">I35+J35</f>
        <v>305.297151499874</v>
      </c>
      <c r="L35" s="53" t="n">
        <f aca="false">F35-(I35-X35)</f>
        <v>36.6971514998739</v>
      </c>
      <c r="M35" s="53" t="n">
        <v>199.8</v>
      </c>
      <c r="N35" s="53" t="n">
        <v>0</v>
      </c>
      <c r="O35" s="53" t="n">
        <v>0</v>
      </c>
      <c r="P35" s="6" t="n">
        <f aca="false">M35-(N35+O35)</f>
        <v>199.8</v>
      </c>
      <c r="Q35" s="53" t="n">
        <v>188.1</v>
      </c>
      <c r="R35" s="53" t="n">
        <v>80.1</v>
      </c>
      <c r="S35" s="53" t="n">
        <f aca="false">SUM(P35:R35)</f>
        <v>468</v>
      </c>
      <c r="T35" s="54" t="n">
        <f aca="false">(I35-S35)+T34</f>
        <v>1546.1</v>
      </c>
      <c r="U35" s="53" t="n">
        <v>143</v>
      </c>
      <c r="V35" s="53" t="n">
        <v>70.4</v>
      </c>
      <c r="W35" s="54" t="n">
        <f aca="false">W34-V35</f>
        <v>4747.37999999998</v>
      </c>
      <c r="X35" s="6" t="n">
        <f aca="false">N35+O35+S35+U35+V35</f>
        <v>681.4</v>
      </c>
      <c r="Y35" s="53" t="n">
        <f aca="false">IF(L35&lt;0,L35*-1,0)</f>
        <v>0</v>
      </c>
      <c r="Z35" s="53" t="n">
        <f aca="false">X35+Y35</f>
        <v>681.4</v>
      </c>
      <c r="AA35" s="57" t="n">
        <v>0.14</v>
      </c>
      <c r="AB35" s="59" t="n">
        <v>77</v>
      </c>
      <c r="AC35" s="59" t="n">
        <v>52</v>
      </c>
      <c r="AD35" s="60" t="n">
        <f aca="false">AD34+1</f>
        <v>26</v>
      </c>
      <c r="AE35" s="12"/>
      <c r="AF35" s="0"/>
      <c r="AG35" s="3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</row>
    <row r="36" customFormat="false" ht="11.1" hidden="false" customHeight="true" outlineLevel="0" collapsed="false">
      <c r="A36" s="60" t="n">
        <f aca="false">A35+1</f>
        <v>27</v>
      </c>
      <c r="B36" s="75" t="n">
        <v>6914.37</v>
      </c>
      <c r="C36" s="54" t="n">
        <v>339764</v>
      </c>
      <c r="D36" s="59" t="n">
        <f aca="false">C36-C35</f>
        <v>-910</v>
      </c>
      <c r="E36" s="54" t="n">
        <f aca="false">C36-152000</f>
        <v>187764</v>
      </c>
      <c r="F36" s="53" t="n">
        <f aca="false">D36/$D$2</f>
        <v>-458.784976052433</v>
      </c>
      <c r="G36" s="53" t="n">
        <v>258.4</v>
      </c>
      <c r="H36" s="58" t="n">
        <v>0</v>
      </c>
      <c r="I36" s="53" t="n">
        <f aca="false">G36+H36</f>
        <v>258.4</v>
      </c>
      <c r="J36" s="83" t="n">
        <f aca="false">IF(L36&gt;0,L36,0)</f>
        <v>0</v>
      </c>
      <c r="K36" s="53" t="n">
        <f aca="false">I36+J36</f>
        <v>258.4</v>
      </c>
      <c r="L36" s="53" t="n">
        <f aca="false">F36-(I36-X36)</f>
        <v>-40.9849760524326</v>
      </c>
      <c r="M36" s="53" t="n">
        <v>191.1</v>
      </c>
      <c r="N36" s="53" t="n">
        <v>0</v>
      </c>
      <c r="O36" s="53" t="n">
        <v>0</v>
      </c>
      <c r="P36" s="6" t="n">
        <f aca="false">M36-(N36+O36)</f>
        <v>191.1</v>
      </c>
      <c r="Q36" s="53" t="n">
        <v>182</v>
      </c>
      <c r="R36" s="53" t="n">
        <v>81.8</v>
      </c>
      <c r="S36" s="53" t="n">
        <f aca="false">SUM(P36:R36)</f>
        <v>454.9</v>
      </c>
      <c r="T36" s="54" t="n">
        <f aca="false">(I36-S36)+T35</f>
        <v>1349.6</v>
      </c>
      <c r="U36" s="53" t="n">
        <v>151</v>
      </c>
      <c r="V36" s="53" t="n">
        <v>70.3</v>
      </c>
      <c r="W36" s="54" t="n">
        <f aca="false">W35-V36</f>
        <v>4677.07999999998</v>
      </c>
      <c r="X36" s="6" t="n">
        <f aca="false">N36+O36+S36+U36+V36</f>
        <v>676.2</v>
      </c>
      <c r="Y36" s="53" t="n">
        <f aca="false">IF(L36&lt;0,L36*-1,0)</f>
        <v>40.9849760524326</v>
      </c>
      <c r="Z36" s="53" t="n">
        <f aca="false">X36+Y36</f>
        <v>717.184976052433</v>
      </c>
      <c r="AA36" s="57" t="n">
        <v>0</v>
      </c>
      <c r="AB36" s="59" t="n">
        <v>79</v>
      </c>
      <c r="AC36" s="59" t="n">
        <v>50</v>
      </c>
      <c r="AD36" s="60" t="n">
        <f aca="false">AD35+1</f>
        <v>27</v>
      </c>
      <c r="AE36" s="12"/>
      <c r="AF36" s="0"/>
      <c r="AG36" s="6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</row>
    <row r="37" customFormat="false" ht="11.1" hidden="false" customHeight="true" outlineLevel="0" collapsed="false">
      <c r="A37" s="60" t="n">
        <f aca="false">A36+1</f>
        <v>28</v>
      </c>
      <c r="B37" s="75" t="n">
        <v>6914.14</v>
      </c>
      <c r="C37" s="54" t="n">
        <v>338811</v>
      </c>
      <c r="D37" s="59" t="n">
        <f aca="false">C37-C36</f>
        <v>-953</v>
      </c>
      <c r="E37" s="54" t="n">
        <f aca="false">C37-152000</f>
        <v>186811</v>
      </c>
      <c r="F37" s="53" t="n">
        <f aca="false">D37/$D$2</f>
        <v>-480.463826569196</v>
      </c>
      <c r="G37" s="53" t="n">
        <v>230.9</v>
      </c>
      <c r="H37" s="58" t="n">
        <v>0</v>
      </c>
      <c r="I37" s="53" t="n">
        <f aca="false">G37+H37</f>
        <v>230.9</v>
      </c>
      <c r="J37" s="83" t="n">
        <f aca="false">IF(L37&gt;0,L37,0)</f>
        <v>0</v>
      </c>
      <c r="K37" s="53" t="n">
        <f aca="false">I37+J37</f>
        <v>230.9</v>
      </c>
      <c r="L37" s="53" t="n">
        <f aca="false">F37-(I37-X37)</f>
        <v>-33.8638265691959</v>
      </c>
      <c r="M37" s="53" t="n">
        <v>184</v>
      </c>
      <c r="N37" s="53" t="n">
        <v>0</v>
      </c>
      <c r="O37" s="53" t="n">
        <v>0</v>
      </c>
      <c r="P37" s="6" t="n">
        <f aca="false">M37-(N37+O37)</f>
        <v>184</v>
      </c>
      <c r="Q37" s="53" t="n">
        <v>182.4</v>
      </c>
      <c r="R37" s="53" t="n">
        <v>82.6</v>
      </c>
      <c r="S37" s="53" t="n">
        <f aca="false">SUM(P37:R37)</f>
        <v>449</v>
      </c>
      <c r="T37" s="54" t="n">
        <f aca="false">(I37-S37)+T36</f>
        <v>1131.5</v>
      </c>
      <c r="U37" s="53" t="n">
        <v>158</v>
      </c>
      <c r="V37" s="53" t="n">
        <v>70.5</v>
      </c>
      <c r="W37" s="54" t="n">
        <f aca="false">W36-V37</f>
        <v>4606.57999999998</v>
      </c>
      <c r="X37" s="6" t="n">
        <f aca="false">N37+O37+S37+U37+V37</f>
        <v>677.5</v>
      </c>
      <c r="Y37" s="53" t="n">
        <f aca="false">IF(L37&lt;0,L37*-1,0)</f>
        <v>33.8638265691959</v>
      </c>
      <c r="Z37" s="53" t="n">
        <f aca="false">X37+Y37</f>
        <v>711.363826569196</v>
      </c>
      <c r="AA37" s="57" t="n">
        <v>0</v>
      </c>
      <c r="AB37" s="59" t="n">
        <v>78</v>
      </c>
      <c r="AC37" s="59" t="n">
        <v>51</v>
      </c>
      <c r="AD37" s="60" t="n">
        <f aca="false">AD36+1</f>
        <v>28</v>
      </c>
      <c r="AE37" s="12"/>
      <c r="AF37" s="0"/>
      <c r="AG37" s="6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</row>
    <row r="38" customFormat="false" ht="11.1" hidden="false" customHeight="true" outlineLevel="0" collapsed="false">
      <c r="A38" s="60" t="n">
        <f aca="false">A37+1</f>
        <v>29</v>
      </c>
      <c r="B38" s="75" t="n">
        <v>6913.91</v>
      </c>
      <c r="C38" s="54" t="n">
        <v>337861</v>
      </c>
      <c r="D38" s="59" t="n">
        <f aca="false">C38-C37</f>
        <v>-950</v>
      </c>
      <c r="E38" s="54" t="n">
        <f aca="false">C38-152000</f>
        <v>185861</v>
      </c>
      <c r="F38" s="53" t="n">
        <f aca="false">D38/$D$2</f>
        <v>-478.951348626166</v>
      </c>
      <c r="G38" s="53" t="n">
        <v>220.4</v>
      </c>
      <c r="H38" s="58" t="n">
        <v>0</v>
      </c>
      <c r="I38" s="53" t="n">
        <f aca="false">G38+H38</f>
        <v>220.4</v>
      </c>
      <c r="J38" s="83" t="n">
        <f aca="false">IF(L38&gt;0,L38,0)</f>
        <v>0</v>
      </c>
      <c r="K38" s="53" t="n">
        <f aca="false">I38+J38</f>
        <v>220.4</v>
      </c>
      <c r="L38" s="53" t="n">
        <f aca="false">F38-(I38-X38)</f>
        <v>-19.5513486261659</v>
      </c>
      <c r="M38" s="53" t="n">
        <v>180.6</v>
      </c>
      <c r="N38" s="53" t="n">
        <v>0</v>
      </c>
      <c r="O38" s="53" t="n">
        <v>0</v>
      </c>
      <c r="P38" s="6" t="n">
        <f aca="false">M38-(N38+O38)</f>
        <v>180.6</v>
      </c>
      <c r="Q38" s="53" t="n">
        <v>182.7</v>
      </c>
      <c r="R38" s="53" t="n">
        <v>83.7</v>
      </c>
      <c r="S38" s="53" t="n">
        <f aca="false">SUM(P38:R38)</f>
        <v>447</v>
      </c>
      <c r="T38" s="54" t="n">
        <f aca="false">(I38-S38)+T37</f>
        <v>904.9</v>
      </c>
      <c r="U38" s="53" t="n">
        <v>162</v>
      </c>
      <c r="V38" s="53" t="n">
        <v>70.8</v>
      </c>
      <c r="W38" s="54" t="n">
        <f aca="false">W37-V38</f>
        <v>4535.77999999998</v>
      </c>
      <c r="X38" s="6" t="n">
        <f aca="false">N38+O38+S38+U38+V38</f>
        <v>679.8</v>
      </c>
      <c r="Y38" s="53" t="n">
        <f aca="false">IF(L38&lt;0,L38*-1,0)</f>
        <v>19.5513486261659</v>
      </c>
      <c r="Z38" s="53" t="n">
        <f aca="false">X38+Y38</f>
        <v>699.351348626166</v>
      </c>
      <c r="AA38" s="57" t="n">
        <v>0</v>
      </c>
      <c r="AB38" s="84" t="n">
        <v>83</v>
      </c>
      <c r="AC38" s="59" t="n">
        <v>50</v>
      </c>
      <c r="AD38" s="60" t="n">
        <f aca="false">AD37+1</f>
        <v>29</v>
      </c>
      <c r="AE38" s="12"/>
      <c r="AF38" s="0"/>
      <c r="AG38" s="6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</row>
    <row r="39" customFormat="false" ht="11.1" hidden="false" customHeight="true" outlineLevel="0" collapsed="false">
      <c r="A39" s="60" t="n">
        <v>30</v>
      </c>
      <c r="B39" s="75" t="n">
        <v>6913.69</v>
      </c>
      <c r="C39" s="54" t="n">
        <v>336957</v>
      </c>
      <c r="D39" s="59" t="n">
        <f aca="false">C39-C38</f>
        <v>-904</v>
      </c>
      <c r="E39" s="54" t="n">
        <f aca="false">C39-152000</f>
        <v>184957</v>
      </c>
      <c r="F39" s="53" t="n">
        <f aca="false">D39/$D$2</f>
        <v>-455.760020166373</v>
      </c>
      <c r="G39" s="53" t="n">
        <v>219.4</v>
      </c>
      <c r="H39" s="58" t="n">
        <v>0</v>
      </c>
      <c r="I39" s="53" t="n">
        <f aca="false">G39+H39</f>
        <v>219.4</v>
      </c>
      <c r="J39" s="83" t="n">
        <f aca="false">IF(L39&gt;0,L39,0)</f>
        <v>0</v>
      </c>
      <c r="K39" s="53" t="n">
        <f aca="false">I39+J39</f>
        <v>219.4</v>
      </c>
      <c r="L39" s="53" t="n">
        <f aca="false">F39-(I39-X39)</f>
        <v>-43.8600201663726</v>
      </c>
      <c r="M39" s="53" t="n">
        <v>178.7</v>
      </c>
      <c r="N39" s="53" t="n">
        <v>0</v>
      </c>
      <c r="O39" s="53" t="n">
        <v>0</v>
      </c>
      <c r="P39" s="6" t="n">
        <f aca="false">M39-(N39+O39)</f>
        <v>178.7</v>
      </c>
      <c r="Q39" s="53" t="n">
        <v>183.4</v>
      </c>
      <c r="R39" s="53" t="n">
        <v>79.8</v>
      </c>
      <c r="S39" s="53" t="n">
        <f aca="false">SUM(P39:R39)</f>
        <v>441.9</v>
      </c>
      <c r="T39" s="54" t="n">
        <f aca="false">(I39-S39)+T38</f>
        <v>682.4</v>
      </c>
      <c r="U39" s="53" t="n">
        <v>118</v>
      </c>
      <c r="V39" s="53" t="n">
        <v>71.4</v>
      </c>
      <c r="W39" s="54" t="n">
        <f aca="false">W38-V39</f>
        <v>4464.37999999998</v>
      </c>
      <c r="X39" s="6" t="n">
        <f aca="false">N39+O39+S39+U39+V39</f>
        <v>631.3</v>
      </c>
      <c r="Y39" s="53" t="n">
        <f aca="false">IF(L39&lt;0,L39*-1,0)</f>
        <v>43.8600201663726</v>
      </c>
      <c r="Z39" s="53" t="n">
        <f aca="false">X39+Y39</f>
        <v>675.160020166373</v>
      </c>
      <c r="AA39" s="57" t="n">
        <v>0</v>
      </c>
      <c r="AB39" s="84" t="n">
        <v>84</v>
      </c>
      <c r="AC39" s="59" t="n">
        <v>53</v>
      </c>
      <c r="AD39" s="60" t="n">
        <v>30</v>
      </c>
      <c r="AE39" s="12"/>
      <c r="AF39" s="0"/>
      <c r="AG39" s="6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</row>
    <row r="40" customFormat="false" ht="11.25" hidden="false" customHeight="true" outlineLevel="0" collapsed="false">
      <c r="A40" s="60" t="n">
        <v>31</v>
      </c>
      <c r="B40" s="75" t="n">
        <v>6913.49</v>
      </c>
      <c r="C40" s="54" t="n">
        <v>336135</v>
      </c>
      <c r="D40" s="59" t="n">
        <f aca="false">C40-C39</f>
        <v>-822</v>
      </c>
      <c r="E40" s="54" t="n">
        <f aca="false">C40-152000</f>
        <v>184135</v>
      </c>
      <c r="F40" s="53" t="n">
        <f aca="false">D40/$D$2</f>
        <v>-414.418956390219</v>
      </c>
      <c r="G40" s="53" t="n">
        <v>216</v>
      </c>
      <c r="H40" s="58" t="n">
        <v>0</v>
      </c>
      <c r="I40" s="53" t="n">
        <f aca="false">G40+H40</f>
        <v>216</v>
      </c>
      <c r="J40" s="83" t="n">
        <f aca="false">IF(L40&gt;0,L40,0)</f>
        <v>0</v>
      </c>
      <c r="K40" s="53" t="n">
        <f aca="false">I40+J40</f>
        <v>216</v>
      </c>
      <c r="L40" s="53" t="n">
        <f aca="false">F40-(I40-X40)</f>
        <v>-0.318956390219284</v>
      </c>
      <c r="M40" s="53" t="n">
        <v>178.4</v>
      </c>
      <c r="N40" s="53" t="n">
        <v>0</v>
      </c>
      <c r="O40" s="53" t="n">
        <v>0</v>
      </c>
      <c r="P40" s="6" t="n">
        <f aca="false">M40-(N40+O40)</f>
        <v>178.4</v>
      </c>
      <c r="Q40" s="53" t="n">
        <v>183.3</v>
      </c>
      <c r="R40" s="53" t="n">
        <v>81.3</v>
      </c>
      <c r="S40" s="53" t="n">
        <f aca="false">SUM(P40:R40)</f>
        <v>443</v>
      </c>
      <c r="T40" s="54" t="n">
        <f aca="false">(I40-S40)+T39</f>
        <v>455.4</v>
      </c>
      <c r="U40" s="53" t="n">
        <v>116</v>
      </c>
      <c r="V40" s="53" t="n">
        <v>71.1</v>
      </c>
      <c r="W40" s="54" t="n">
        <f aca="false">W39-V40</f>
        <v>4393.27999999998</v>
      </c>
      <c r="X40" s="6" t="n">
        <f aca="false">N40+O40+S40+U40+V40</f>
        <v>630.1</v>
      </c>
      <c r="Y40" s="53" t="n">
        <f aca="false">IF(L40&lt;0,L40*-1,0)</f>
        <v>0.318956390219284</v>
      </c>
      <c r="Z40" s="53" t="n">
        <f aca="false">X40+Y40</f>
        <v>630.418956390219</v>
      </c>
      <c r="AA40" s="57" t="n">
        <v>0.02</v>
      </c>
      <c r="AB40" s="84" t="n">
        <v>86</v>
      </c>
      <c r="AC40" s="59" t="n">
        <v>56</v>
      </c>
      <c r="AD40" s="60" t="n">
        <v>31</v>
      </c>
      <c r="AE40" s="107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</row>
    <row r="41" customFormat="false" ht="3" hidden="false" customHeight="true" outlineLevel="0" collapsed="false">
      <c r="A41" s="76"/>
      <c r="B41" s="76"/>
      <c r="C41" s="78"/>
      <c r="D41" s="76"/>
      <c r="E41" s="78"/>
      <c r="F41" s="76"/>
      <c r="G41" s="76"/>
      <c r="H41" s="80"/>
      <c r="I41" s="76"/>
      <c r="J41" s="76"/>
      <c r="K41" s="76"/>
      <c r="L41" s="76"/>
      <c r="M41" s="76"/>
      <c r="N41" s="76"/>
      <c r="O41" s="76" t="n">
        <v>0</v>
      </c>
      <c r="P41" s="76"/>
      <c r="Q41" s="76"/>
      <c r="R41" s="76"/>
      <c r="S41" s="76"/>
      <c r="T41" s="78"/>
      <c r="U41" s="76"/>
      <c r="V41" s="76"/>
      <c r="W41" s="76"/>
      <c r="X41" s="76"/>
      <c r="Y41" s="76"/>
      <c r="Z41" s="76"/>
      <c r="AA41" s="113" t="n">
        <v>0</v>
      </c>
      <c r="AB41" s="81"/>
      <c r="AC41" s="81"/>
      <c r="AD41" s="82"/>
      <c r="AE41" s="94"/>
      <c r="AF41" s="95"/>
    </row>
    <row r="42" customFormat="false" ht="11.1" hidden="false" customHeight="true" outlineLevel="0" collapsed="false">
      <c r="A42" s="53" t="s">
        <v>46</v>
      </c>
      <c r="B42" s="53"/>
      <c r="C42" s="54"/>
      <c r="D42" s="54"/>
      <c r="E42" s="54"/>
      <c r="F42" s="54" t="n">
        <f aca="false">SUM(F10:F40)</f>
        <v>-14599.4454247542</v>
      </c>
      <c r="G42" s="54" t="n">
        <f aca="false">SUM(G10:G40)</f>
        <v>7979</v>
      </c>
      <c r="H42" s="58" t="n">
        <f aca="false">SUM(H10:H40)</f>
        <v>7.6</v>
      </c>
      <c r="I42" s="54" t="n">
        <f aca="false">SUM(I10:I40)</f>
        <v>7986.6</v>
      </c>
      <c r="J42" s="54" t="n">
        <f aca="false">SUM(J10:J40)</f>
        <v>458.118225359213</v>
      </c>
      <c r="K42" s="54" t="n">
        <f aca="false">SUM(K10:K40)</f>
        <v>8444.71822535921</v>
      </c>
      <c r="L42" s="54" t="n">
        <f aca="false">SUM(L10:L40)</f>
        <v>-1129.04542475422</v>
      </c>
      <c r="M42" s="54" t="n">
        <f aca="false">SUM(M10:M40)</f>
        <v>6469.8</v>
      </c>
      <c r="N42" s="54" t="n">
        <f aca="false">SUM(N10:N40)</f>
        <v>0</v>
      </c>
      <c r="O42" s="54" t="n">
        <f aca="false">SUM(O10:O40)</f>
        <v>0</v>
      </c>
      <c r="P42" s="54" t="n">
        <f aca="false">SUM(P10:P40)</f>
        <v>6469.8</v>
      </c>
      <c r="Q42" s="54" t="n">
        <f aca="false">SUM(Q10:Q40)</f>
        <v>5745.3</v>
      </c>
      <c r="R42" s="54" t="n">
        <f aca="false">SUM(R10:R40)</f>
        <v>2558.1</v>
      </c>
      <c r="S42" s="54" t="n">
        <f aca="false">SUM(S10:S40)</f>
        <v>14773.2</v>
      </c>
      <c r="T42" s="54"/>
      <c r="U42" s="54" t="n">
        <f aca="false">SUM(U10:U40)</f>
        <v>4491</v>
      </c>
      <c r="V42" s="54" t="n">
        <f aca="false">SUM(V10:V40)</f>
        <v>2192.8</v>
      </c>
      <c r="W42" s="54"/>
      <c r="X42" s="54" t="n">
        <f aca="false">SUM(X10:X40)</f>
        <v>21457</v>
      </c>
      <c r="Y42" s="54" t="n">
        <f aca="false">SUM(Y10:Y40)</f>
        <v>1587.16365011344</v>
      </c>
      <c r="Z42" s="54" t="n">
        <f aca="false">SUM(Z10:Z40)</f>
        <v>23044.1636501134</v>
      </c>
      <c r="AA42" s="57" t="n">
        <f aca="false">SUM(AA10:AA40)</f>
        <v>1.47</v>
      </c>
      <c r="AB42" s="59" t="n">
        <f aca="false">AVERAGE(AB10:AB40)</f>
        <v>83.1290322580645</v>
      </c>
      <c r="AC42" s="59" t="n">
        <f aca="false">AVERAGE(AC10:AC40)</f>
        <v>52.9354838709677</v>
      </c>
      <c r="AD42" s="60" t="s">
        <v>69</v>
      </c>
      <c r="AE42" s="94"/>
      <c r="AF42" s="95"/>
    </row>
    <row r="43" customFormat="false" ht="11.1" hidden="false" customHeight="true" outlineLevel="0" collapsed="false">
      <c r="A43" s="53" t="s">
        <v>48</v>
      </c>
      <c r="B43" s="53"/>
      <c r="C43" s="54"/>
      <c r="D43" s="54" t="n">
        <f aca="false">SUM(D10:D40)</f>
        <v>-28958</v>
      </c>
      <c r="E43" s="54"/>
      <c r="F43" s="54" t="n">
        <f aca="false">F42*$D$2</f>
        <v>-28958</v>
      </c>
      <c r="G43" s="54" t="n">
        <f aca="false">G42*$D$2</f>
        <v>15826.3465</v>
      </c>
      <c r="H43" s="58" t="n">
        <f aca="false">H42*$D$2</f>
        <v>15.0746</v>
      </c>
      <c r="I43" s="54" t="n">
        <f aca="false">I42*$D$2</f>
        <v>15841.4211</v>
      </c>
      <c r="J43" s="54" t="n">
        <f aca="false">J42*$D$2</f>
        <v>908.6775</v>
      </c>
      <c r="K43" s="54" t="n">
        <f aca="false">K42*$D$2</f>
        <v>16750.0986</v>
      </c>
      <c r="L43" s="54" t="n">
        <f aca="false">L42*$D$2</f>
        <v>-2239.4616</v>
      </c>
      <c r="M43" s="54" t="n">
        <f aca="false">M42*$D$2</f>
        <v>12832.8483</v>
      </c>
      <c r="N43" s="54" t="n">
        <f aca="false">N42*$D$2</f>
        <v>0</v>
      </c>
      <c r="O43" s="54" t="n">
        <f aca="false">O42*$D$2</f>
        <v>0</v>
      </c>
      <c r="P43" s="54" t="n">
        <f aca="false">P42*$D$2</f>
        <v>12832.8483</v>
      </c>
      <c r="Q43" s="54" t="n">
        <f aca="false">Q42*$D$2</f>
        <v>11395.80255</v>
      </c>
      <c r="R43" s="54" t="n">
        <f aca="false">R42*$D$2</f>
        <v>5073.99135</v>
      </c>
      <c r="S43" s="54" t="n">
        <f aca="false">S42*$D$2</f>
        <v>29302.6422</v>
      </c>
      <c r="T43" s="54"/>
      <c r="U43" s="54" t="n">
        <f aca="false">U42*$D$2</f>
        <v>8907.8985</v>
      </c>
      <c r="V43" s="54" t="n">
        <f aca="false">V42*$D$2</f>
        <v>4349.4188</v>
      </c>
      <c r="W43" s="54"/>
      <c r="X43" s="54" t="n">
        <f aca="false">X42*$D$2</f>
        <v>42559.9595</v>
      </c>
      <c r="Y43" s="54" t="n">
        <f aca="false">Y42*$D$2</f>
        <v>3148.1391</v>
      </c>
      <c r="Z43" s="54" t="n">
        <f aca="false">Z42*$D$2</f>
        <v>45708.0986</v>
      </c>
      <c r="AA43" s="57"/>
      <c r="AB43" s="59" t="n">
        <f aca="false">MAX(AB10:AB40)</f>
        <v>92</v>
      </c>
      <c r="AC43" s="59" t="n">
        <f aca="false">MAX(AC10:AC40)</f>
        <v>58</v>
      </c>
      <c r="AD43" s="60" t="s">
        <v>49</v>
      </c>
      <c r="AE43" s="94"/>
      <c r="AF43" s="95"/>
    </row>
    <row r="44" customFormat="false" ht="3" hidden="false" customHeight="true" outlineLevel="0" collapsed="false">
      <c r="A44" s="76"/>
      <c r="B44" s="76"/>
      <c r="C44" s="78"/>
      <c r="D44" s="78"/>
      <c r="E44" s="78"/>
      <c r="F44" s="78"/>
      <c r="G44" s="78"/>
      <c r="H44" s="80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6"/>
      <c r="X44" s="78"/>
      <c r="Y44" s="78"/>
      <c r="Z44" s="78"/>
      <c r="AA44" s="57"/>
      <c r="AB44" s="59"/>
      <c r="AC44" s="59"/>
      <c r="AD44" s="60"/>
      <c r="AE44" s="94"/>
      <c r="AF44" s="95"/>
    </row>
    <row r="45" customFormat="false" ht="11.1" hidden="false" customHeight="true" outlineLevel="0" collapsed="false">
      <c r="A45" s="53" t="s">
        <v>50</v>
      </c>
      <c r="B45" s="53"/>
      <c r="C45" s="54"/>
      <c r="D45" s="54"/>
      <c r="E45" s="54"/>
      <c r="F45" s="54" t="n">
        <f aca="false">F7+F42</f>
        <v>45690.4461809932</v>
      </c>
      <c r="G45" s="54" t="n">
        <f aca="false">G7+G42</f>
        <v>99393.7</v>
      </c>
      <c r="H45" s="58" t="n">
        <f aca="false">H7+H42</f>
        <v>4933.7</v>
      </c>
      <c r="I45" s="54" t="n">
        <f aca="false">I7+I42</f>
        <v>104327.4</v>
      </c>
      <c r="J45" s="54" t="n">
        <f aca="false">J7+J42</f>
        <v>15739.4675497857</v>
      </c>
      <c r="K45" s="54" t="n">
        <f aca="false">K7+K42</f>
        <v>120066.867549786</v>
      </c>
      <c r="L45" s="54" t="n">
        <f aca="false">L7+L42</f>
        <v>12490.4961809932</v>
      </c>
      <c r="M45" s="54" t="n">
        <f aca="false">M7+M42</f>
        <v>20081.7</v>
      </c>
      <c r="N45" s="54" t="n">
        <f aca="false">N7+N42</f>
        <v>0</v>
      </c>
      <c r="O45" s="54" t="n">
        <f aca="false">O7+O42</f>
        <v>0</v>
      </c>
      <c r="P45" s="54" t="n">
        <f aca="false">P7+P42</f>
        <v>20081.7</v>
      </c>
      <c r="Q45" s="54" t="n">
        <f aca="false">Q7+Q42</f>
        <v>17122.62</v>
      </c>
      <c r="R45" s="54" t="n">
        <f aca="false">R7+R42</f>
        <v>7339.61</v>
      </c>
      <c r="S45" s="54" t="n">
        <f aca="false">S7+S42</f>
        <v>44543.93</v>
      </c>
      <c r="T45" s="137" t="n">
        <f aca="false">T40</f>
        <v>455.4</v>
      </c>
      <c r="U45" s="54" t="n">
        <f aca="false">U7+U42</f>
        <v>9663.4</v>
      </c>
      <c r="V45" s="54" t="n">
        <f aca="false">V7+V42</f>
        <v>16920.12</v>
      </c>
      <c r="W45" s="137" t="n">
        <f aca="false">W40</f>
        <v>4393.27999999998</v>
      </c>
      <c r="X45" s="54" t="n">
        <f aca="false">X7+X42</f>
        <v>71127.45</v>
      </c>
      <c r="Y45" s="54" t="n">
        <f aca="false">Y7+Y42</f>
        <v>3248.97136879254</v>
      </c>
      <c r="Z45" s="54" t="n">
        <f aca="false">Z7+Z42</f>
        <v>74376.4213687925</v>
      </c>
      <c r="AA45" s="57"/>
      <c r="AB45" s="59" t="n">
        <f aca="false">MIN(AB10:AB40)</f>
        <v>77</v>
      </c>
      <c r="AC45" s="59" t="n">
        <f aca="false">MIN(AC10:AC40)</f>
        <v>47</v>
      </c>
      <c r="AD45" s="60" t="s">
        <v>51</v>
      </c>
      <c r="AE45" s="94"/>
      <c r="AF45" s="95"/>
    </row>
    <row r="46" customFormat="false" ht="11.1" hidden="false" customHeight="true" outlineLevel="0" collapsed="false">
      <c r="A46" s="53" t="s">
        <v>52</v>
      </c>
      <c r="B46" s="53"/>
      <c r="C46" s="54"/>
      <c r="D46" s="54"/>
      <c r="E46" s="54"/>
      <c r="F46" s="54" t="n">
        <f aca="false">F45*$D$2</f>
        <v>90627</v>
      </c>
      <c r="G46" s="54" t="n">
        <f aca="false">G45*$D$2</f>
        <v>197147.40395</v>
      </c>
      <c r="H46" s="58" t="n">
        <f aca="false">H45*$D$2</f>
        <v>9785.99395</v>
      </c>
      <c r="I46" s="54" t="n">
        <f aca="false">I45*$D$2</f>
        <v>206933.3979</v>
      </c>
      <c r="J46" s="54" t="n">
        <f aca="false">J45*$D$2</f>
        <v>31219.233885</v>
      </c>
      <c r="K46" s="54" t="n">
        <f aca="false">K45*$D$2</f>
        <v>238152.631785</v>
      </c>
      <c r="L46" s="54" t="n">
        <f aca="false">L45*$D$2</f>
        <v>24774.899175</v>
      </c>
      <c r="M46" s="54" t="n">
        <f aca="false">M45*$D$2</f>
        <v>39832.05195</v>
      </c>
      <c r="N46" s="54" t="n">
        <f aca="false">N45*$D$2</f>
        <v>0</v>
      </c>
      <c r="O46" s="54" t="n">
        <f aca="false">O45*$D$2</f>
        <v>0</v>
      </c>
      <c r="P46" s="54" t="n">
        <f aca="false">P45*$D$2</f>
        <v>39832.05195</v>
      </c>
      <c r="Q46" s="54" t="n">
        <f aca="false">Q45*$D$2</f>
        <v>33962.71677</v>
      </c>
      <c r="R46" s="54" t="n">
        <f aca="false">R45*$D$2</f>
        <v>14558.116435</v>
      </c>
      <c r="S46" s="54" t="n">
        <f aca="false">S45*$D$2</f>
        <v>88352.885155</v>
      </c>
      <c r="T46" s="54" t="n">
        <f aca="false">T45*$D$2</f>
        <v>903.285899999999</v>
      </c>
      <c r="U46" s="54" t="n">
        <f aca="false">U45*$D$2</f>
        <v>19167.3539</v>
      </c>
      <c r="V46" s="54" t="n">
        <f aca="false">V45*$D$2</f>
        <v>33561.05802</v>
      </c>
      <c r="W46" s="54" t="n">
        <f aca="false">W45*$D$2</f>
        <v>8714.07087999995</v>
      </c>
      <c r="X46" s="54" t="n">
        <f aca="false">X45*$D$2</f>
        <v>141081.297075</v>
      </c>
      <c r="Y46" s="54" t="n">
        <f aca="false">Y45*$D$2</f>
        <v>6444.33471</v>
      </c>
      <c r="Z46" s="54" t="n">
        <f aca="false">Z45*$D$2</f>
        <v>147525.631785</v>
      </c>
      <c r="AA46" s="57"/>
      <c r="AB46" s="59"/>
      <c r="AC46" s="59"/>
      <c r="AD46" s="60"/>
      <c r="AE46" s="94"/>
      <c r="AF46" s="95"/>
    </row>
    <row r="47" customFormat="false" ht="3" hidden="false" customHeight="true" outlineLevel="0" collapsed="false">
      <c r="A47" s="76"/>
      <c r="B47" s="76"/>
      <c r="C47" s="78"/>
      <c r="D47" s="78"/>
      <c r="E47" s="78"/>
      <c r="F47" s="78"/>
      <c r="G47" s="78"/>
      <c r="H47" s="80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113"/>
      <c r="AB47" s="59"/>
      <c r="AC47" s="59"/>
      <c r="AD47" s="60"/>
      <c r="AE47" s="94"/>
      <c r="AF47" s="95"/>
    </row>
    <row r="48" customFormat="false" ht="11.1" hidden="false" customHeight="true" outlineLevel="0" collapsed="false">
      <c r="A48" s="53" t="s">
        <v>53</v>
      </c>
      <c r="B48" s="53"/>
      <c r="C48" s="54"/>
      <c r="D48" s="54"/>
      <c r="E48" s="54"/>
      <c r="F48" s="54" t="n">
        <f aca="false">F8+F42</f>
        <v>49039.5765061759</v>
      </c>
      <c r="G48" s="54" t="n">
        <f aca="false">G8+G42</f>
        <v>110858.47</v>
      </c>
      <c r="H48" s="58" t="n">
        <f aca="false">H8+H42</f>
        <v>5008.35</v>
      </c>
      <c r="I48" s="54" t="n">
        <f aca="false">I8+I42</f>
        <v>115763.62</v>
      </c>
      <c r="J48" s="54" t="n">
        <f aca="false">J8+J42</f>
        <v>16380.5764658432</v>
      </c>
      <c r="K48" s="54" t="n">
        <f aca="false">K8+K42</f>
        <v>132144.196465843</v>
      </c>
      <c r="L48" s="54" t="n">
        <f aca="false">L8+L42</f>
        <v>12593.416506176</v>
      </c>
      <c r="M48" s="54" t="n">
        <f aca="false">M8+M42</f>
        <v>21518.02</v>
      </c>
      <c r="N48" s="54" t="n">
        <f aca="false">N8+N42</f>
        <v>0.08</v>
      </c>
      <c r="O48" s="54" t="n">
        <f aca="false">O8+O42</f>
        <v>0</v>
      </c>
      <c r="P48" s="54" t="n">
        <f aca="false">P8+P42</f>
        <v>21517.94</v>
      </c>
      <c r="Q48" s="54" t="n">
        <f aca="false">Q8+Q42</f>
        <v>18727.81</v>
      </c>
      <c r="R48" s="54" t="n">
        <f aca="false">R8+R42</f>
        <v>7712.01</v>
      </c>
      <c r="S48" s="54" t="n">
        <f aca="false">S8+S42</f>
        <v>47957.76</v>
      </c>
      <c r="T48" s="54" t="n">
        <f aca="false">T45</f>
        <v>455.4</v>
      </c>
      <c r="U48" s="54" t="n">
        <f aca="false">U8+U42</f>
        <v>9663.4</v>
      </c>
      <c r="V48" s="54" t="n">
        <f aca="false">V8+V42</f>
        <v>21696.22</v>
      </c>
      <c r="W48" s="54" t="n">
        <f aca="false">W40</f>
        <v>4393.27999999998</v>
      </c>
      <c r="X48" s="54" t="n">
        <f aca="false">X8+X42</f>
        <v>79317.46</v>
      </c>
      <c r="Y48" s="54" t="n">
        <f aca="false">Y8+Y42</f>
        <v>3787.15995966726</v>
      </c>
      <c r="Z48" s="54" t="n">
        <f aca="false">Z8+Z42</f>
        <v>83104.6199596673</v>
      </c>
      <c r="AA48" s="57" t="n">
        <f aca="false">AA8+AA42</f>
        <v>8.38</v>
      </c>
      <c r="AB48" s="59"/>
      <c r="AC48" s="59"/>
      <c r="AD48" s="60"/>
      <c r="AE48" s="94"/>
      <c r="AF48" s="95"/>
    </row>
    <row r="49" customFormat="false" ht="11.1" hidden="false" customHeight="true" outlineLevel="0" collapsed="false">
      <c r="A49" s="53" t="s">
        <v>54</v>
      </c>
      <c r="B49" s="53"/>
      <c r="C49" s="54"/>
      <c r="D49" s="54" t="n">
        <f aca="false">D8+D43</f>
        <v>97270</v>
      </c>
      <c r="E49" s="54" t="n">
        <f aca="false">E40</f>
        <v>184135</v>
      </c>
      <c r="F49" s="54" t="n">
        <f aca="false">F48*$D$2</f>
        <v>97270</v>
      </c>
      <c r="G49" s="54" t="n">
        <f aca="false">G48*$D$2</f>
        <v>219887.775245</v>
      </c>
      <c r="H49" s="58" t="n">
        <f aca="false">H48*$D$2</f>
        <v>9934.062225</v>
      </c>
      <c r="I49" s="54" t="n">
        <f aca="false">I48*$D$2</f>
        <v>229617.14027</v>
      </c>
      <c r="J49" s="54" t="n">
        <f aca="false">J48*$D$2</f>
        <v>32490.87342</v>
      </c>
      <c r="K49" s="54" t="n">
        <f aca="false">K48*$D$2</f>
        <v>262108.01369</v>
      </c>
      <c r="L49" s="54" t="n">
        <f aca="false">L48*$D$2</f>
        <v>24979.04164</v>
      </c>
      <c r="M49" s="54" t="n">
        <f aca="false">M48*$D$2</f>
        <v>42680.99267</v>
      </c>
      <c r="N49" s="54" t="n">
        <f aca="false">N48*$D$2</f>
        <v>0.15868</v>
      </c>
      <c r="O49" s="54" t="n">
        <f aca="false">O48*$D$2</f>
        <v>0</v>
      </c>
      <c r="P49" s="54" t="n">
        <f aca="false">P48*$D$2</f>
        <v>42680.83399</v>
      </c>
      <c r="Q49" s="54" t="n">
        <f aca="false">Q48*$D$2</f>
        <v>37146.611135</v>
      </c>
      <c r="R49" s="54" t="n">
        <f aca="false">R48*$D$2</f>
        <v>15296.771835</v>
      </c>
      <c r="S49" s="54" t="n">
        <f aca="false">S48*$D$2</f>
        <v>95124.21696</v>
      </c>
      <c r="T49" s="54" t="n">
        <f aca="false">T48*$D$2</f>
        <v>903.285899999999</v>
      </c>
      <c r="U49" s="54" t="n">
        <f aca="false">U48*$D$2</f>
        <v>19167.3539</v>
      </c>
      <c r="V49" s="54" t="n">
        <f aca="false">V48*$D$2</f>
        <v>43034.45237</v>
      </c>
      <c r="W49" s="54" t="n">
        <f aca="false">W40*$D$2</f>
        <v>8714.07087999995</v>
      </c>
      <c r="X49" s="54" t="n">
        <f aca="false">X48*$D$2</f>
        <v>157326.18191</v>
      </c>
      <c r="Y49" s="54" t="n">
        <f aca="false">Y48*$D$2</f>
        <v>7511.83178</v>
      </c>
      <c r="Z49" s="54" t="n">
        <f aca="false">Z48*$D$2</f>
        <v>164838.01369</v>
      </c>
      <c r="AA49" s="57"/>
      <c r="AB49" s="59"/>
      <c r="AC49" s="59"/>
      <c r="AD49" s="60"/>
      <c r="AE49" s="94"/>
      <c r="AF49" s="95"/>
    </row>
    <row r="50" customFormat="false" ht="3" hidden="false" customHeight="true" outlineLevel="0" collapsed="false">
      <c r="A50" s="76"/>
      <c r="B50" s="76"/>
      <c r="C50" s="78"/>
      <c r="D50" s="76"/>
      <c r="E50" s="78"/>
      <c r="F50" s="76"/>
      <c r="G50" s="76"/>
      <c r="H50" s="80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8"/>
      <c r="U50" s="76"/>
      <c r="V50" s="76"/>
      <c r="W50" s="78"/>
      <c r="X50" s="76"/>
      <c r="Y50" s="76"/>
      <c r="Z50" s="76"/>
      <c r="AA50" s="57"/>
      <c r="AB50" s="59"/>
      <c r="AC50" s="59"/>
      <c r="AD50" s="60"/>
      <c r="AE50" s="94"/>
      <c r="AF50" s="95"/>
    </row>
    <row r="51" customFormat="false" ht="11.1" hidden="false" customHeight="true" outlineLevel="0" collapsed="false">
      <c r="A51" s="84"/>
      <c r="B51" s="84"/>
      <c r="C51" s="54"/>
      <c r="D51" s="84"/>
      <c r="E51" s="54"/>
      <c r="F51" s="84"/>
      <c r="G51" s="87"/>
      <c r="H51" s="58"/>
      <c r="I51" s="84"/>
      <c r="J51" s="84"/>
      <c r="K51" s="84"/>
      <c r="L51" s="84"/>
      <c r="M51" s="83"/>
      <c r="N51" s="83"/>
      <c r="O51" s="83"/>
      <c r="P51" s="84"/>
      <c r="Q51" s="84"/>
      <c r="R51" s="84"/>
      <c r="S51" s="54"/>
      <c r="T51" s="84"/>
      <c r="U51" s="84"/>
      <c r="V51" s="54"/>
      <c r="W51" s="84"/>
      <c r="X51" s="84"/>
      <c r="Y51" s="84"/>
      <c r="Z51" s="57"/>
      <c r="AA51" s="59"/>
      <c r="AB51" s="59"/>
      <c r="AC51" s="60"/>
      <c r="AD51" s="100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Q21" activePane="bottomRight" state="frozen"/>
      <selection pane="topLeft" activeCell="A1" activeCellId="0" sqref="A1"/>
      <selection pane="topRight" activeCell="Q1" activeCellId="0" sqref="Q1"/>
      <selection pane="bottomLeft" activeCell="A21" activeCellId="0" sqref="A21"/>
      <selection pane="bottomRight" activeCell="AC41" activeCellId="0" sqref="AC41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5.66"/>
    <col collapsed="false" customWidth="true" hidden="false" outlineLevel="0" max="2" min="2" style="46" width="7.82"/>
    <col collapsed="false" customWidth="true" hidden="false" outlineLevel="0" max="3" min="3" style="47" width="7.66"/>
    <col collapsed="false" customWidth="true" hidden="false" outlineLevel="0" max="4" min="4" style="46" width="6.99"/>
    <col collapsed="false" customWidth="true" hidden="false" outlineLevel="0" max="5" min="5" style="47" width="7.66"/>
    <col collapsed="false" customWidth="true" hidden="false" outlineLevel="0" max="6" min="6" style="46" width="7.66"/>
    <col collapsed="false" customWidth="true" hidden="false" outlineLevel="0" max="7" min="7" style="46" width="7.16"/>
    <col collapsed="false" customWidth="true" hidden="false" outlineLevel="0" max="8" min="8" style="138" width="6.66"/>
    <col collapsed="false" customWidth="true" hidden="false" outlineLevel="0" max="9" min="9" style="46" width="7.99"/>
    <col collapsed="false" customWidth="true" hidden="false" outlineLevel="0" max="10" min="10" style="46" width="6.66"/>
    <col collapsed="false" customWidth="true" hidden="false" outlineLevel="0" max="12" min="11" style="46" width="7.16"/>
    <col collapsed="false" customWidth="true" hidden="false" outlineLevel="0" max="13" min="13" style="49" width="6.16"/>
    <col collapsed="false" customWidth="true" hidden="true" outlineLevel="0" max="14" min="14" style="49" width="7.32"/>
    <col collapsed="false" customWidth="true" hidden="true" outlineLevel="0" max="15" min="15" style="49" width="6.49"/>
    <col collapsed="false" customWidth="true" hidden="true" outlineLevel="0" max="16" min="16" style="46" width="7.16"/>
    <col collapsed="false" customWidth="true" hidden="false" outlineLevel="0" max="17" min="17" style="46" width="6.32"/>
    <col collapsed="false" customWidth="true" hidden="false" outlineLevel="0" max="18" min="18" style="46" width="5.82"/>
    <col collapsed="false" customWidth="true" hidden="false" outlineLevel="0" max="19" min="19" style="47" width="6.82"/>
    <col collapsed="false" customWidth="true" hidden="false" outlineLevel="0" max="20" min="20" style="46" width="7.66"/>
    <col collapsed="false" customWidth="true" hidden="false" outlineLevel="0" max="21" min="21" style="46" width="5.99"/>
    <col collapsed="false" customWidth="true" hidden="false" outlineLevel="0" max="22" min="22" style="47" width="6.66"/>
    <col collapsed="false" customWidth="true" hidden="false" outlineLevel="0" max="23" min="23" style="46" width="6.82"/>
    <col collapsed="false" customWidth="true" hidden="false" outlineLevel="0" max="25" min="24" style="46" width="7.82"/>
    <col collapsed="false" customWidth="true" hidden="false" outlineLevel="0" max="26" min="26" style="50" width="8.16"/>
    <col collapsed="false" customWidth="true" hidden="false" outlineLevel="0" max="27" min="27" style="48" width="4.66"/>
    <col collapsed="false" customWidth="true" hidden="false" outlineLevel="0" max="28" min="28" style="51" width="4.66"/>
    <col collapsed="false" customWidth="true" hidden="false" outlineLevel="0" max="29" min="29" style="52" width="4.66"/>
    <col collapsed="false" customWidth="true" hidden="false" outlineLevel="0" max="30" min="30" style="46" width="5.66"/>
    <col collapsed="false" customWidth="false" hidden="false" outlineLevel="0" max="257" min="31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5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9"/>
      <c r="AC1" s="60"/>
      <c r="AD1" s="90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1.9835</v>
      </c>
      <c r="E2" s="54"/>
      <c r="F2" s="53"/>
      <c r="G2" s="53"/>
      <c r="H2" s="55"/>
      <c r="I2" s="53"/>
      <c r="J2" s="53"/>
      <c r="K2" s="62" t="s">
        <v>77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8"/>
      <c r="AB2" s="59"/>
      <c r="AC2" s="60"/>
      <c r="AD2" s="90"/>
    </row>
    <row r="3" customFormat="false" ht="11.1" hidden="false" customHeight="true" outlineLevel="0" collapsed="false">
      <c r="A3" s="53"/>
      <c r="B3" s="53"/>
      <c r="C3" s="54"/>
      <c r="D3" s="63"/>
      <c r="E3" s="54"/>
      <c r="F3" s="53"/>
      <c r="G3" s="53"/>
      <c r="H3" s="55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9"/>
      <c r="AC3" s="60"/>
      <c r="AD3" s="90"/>
    </row>
    <row r="4" customFormat="false" ht="11.1" hidden="false" customHeight="true" outlineLevel="0" collapsed="false">
      <c r="A4" s="64" t="s">
        <v>3</v>
      </c>
      <c r="B4" s="64" t="s">
        <v>4</v>
      </c>
      <c r="C4" s="65" t="s">
        <v>4</v>
      </c>
      <c r="D4" s="64" t="s">
        <v>5</v>
      </c>
      <c r="E4" s="65" t="s">
        <v>6</v>
      </c>
      <c r="F4" s="64" t="s">
        <v>7</v>
      </c>
      <c r="G4" s="64" t="s">
        <v>8</v>
      </c>
      <c r="H4" s="66" t="s">
        <v>9</v>
      </c>
      <c r="I4" s="64" t="s">
        <v>10</v>
      </c>
      <c r="J4" s="64" t="s">
        <v>11</v>
      </c>
      <c r="K4" s="64" t="s">
        <v>12</v>
      </c>
      <c r="L4" s="64" t="s">
        <v>11</v>
      </c>
      <c r="M4" s="64" t="s">
        <v>78</v>
      </c>
      <c r="N4" s="64"/>
      <c r="O4" s="64"/>
      <c r="P4" s="64"/>
      <c r="Q4" s="64" t="s">
        <v>14</v>
      </c>
      <c r="R4" s="64" t="s">
        <v>15</v>
      </c>
      <c r="S4" s="64" t="s">
        <v>12</v>
      </c>
      <c r="T4" s="65" t="s">
        <v>16</v>
      </c>
      <c r="U4" s="64" t="s">
        <v>17</v>
      </c>
      <c r="V4" s="64" t="s">
        <v>18</v>
      </c>
      <c r="W4" s="65" t="s">
        <v>19</v>
      </c>
      <c r="X4" s="64" t="s">
        <v>10</v>
      </c>
      <c r="Y4" s="64" t="s">
        <v>11</v>
      </c>
      <c r="Z4" s="64" t="s">
        <v>12</v>
      </c>
      <c r="AA4" s="67" t="s">
        <v>20</v>
      </c>
      <c r="AB4" s="68" t="s">
        <v>21</v>
      </c>
      <c r="AC4" s="68" t="s">
        <v>22</v>
      </c>
      <c r="AD4" s="68" t="s">
        <v>3</v>
      </c>
      <c r="AE4" s="90"/>
    </row>
    <row r="5" customFormat="false" ht="11.1" hidden="false" customHeight="true" outlineLevel="0" collapsed="false">
      <c r="A5" s="69" t="s">
        <v>79</v>
      </c>
      <c r="B5" s="64" t="s">
        <v>24</v>
      </c>
      <c r="C5" s="65" t="s">
        <v>5</v>
      </c>
      <c r="D5" s="64" t="s">
        <v>25</v>
      </c>
      <c r="E5" s="65" t="s">
        <v>26</v>
      </c>
      <c r="F5" s="64" t="s">
        <v>27</v>
      </c>
      <c r="G5" s="64" t="s">
        <v>28</v>
      </c>
      <c r="H5" s="66" t="s">
        <v>29</v>
      </c>
      <c r="I5" s="64" t="s">
        <v>30</v>
      </c>
      <c r="J5" s="64" t="s">
        <v>30</v>
      </c>
      <c r="K5" s="64" t="s">
        <v>30</v>
      </c>
      <c r="L5" s="64" t="s">
        <v>31</v>
      </c>
      <c r="M5" s="64" t="s">
        <v>32</v>
      </c>
      <c r="N5" s="64" t="s">
        <v>33</v>
      </c>
      <c r="O5" s="64" t="s">
        <v>34</v>
      </c>
      <c r="P5" s="64" t="s">
        <v>35</v>
      </c>
      <c r="Q5" s="64" t="s">
        <v>36</v>
      </c>
      <c r="R5" s="64" t="s">
        <v>37</v>
      </c>
      <c r="S5" s="64" t="s">
        <v>16</v>
      </c>
      <c r="T5" s="65" t="s">
        <v>38</v>
      </c>
      <c r="U5" s="64" t="s">
        <v>39</v>
      </c>
      <c r="V5" s="64" t="s">
        <v>40</v>
      </c>
      <c r="W5" s="65" t="s">
        <v>41</v>
      </c>
      <c r="X5" s="64" t="s">
        <v>42</v>
      </c>
      <c r="Y5" s="64" t="s">
        <v>42</v>
      </c>
      <c r="Z5" s="64" t="s">
        <v>42</v>
      </c>
      <c r="AA5" s="70"/>
      <c r="AB5" s="68" t="s">
        <v>43</v>
      </c>
      <c r="AC5" s="68" t="s">
        <v>43</v>
      </c>
      <c r="AD5" s="71" t="s">
        <v>79</v>
      </c>
      <c r="AE5" s="90"/>
      <c r="AG5" s="139"/>
      <c r="AH5" s="139"/>
    </row>
    <row r="6" customFormat="false" ht="11.1" hidden="false" customHeight="true" outlineLevel="0" collapsed="false">
      <c r="A6" s="72"/>
      <c r="B6" s="72"/>
      <c r="C6" s="73"/>
      <c r="D6" s="72"/>
      <c r="E6" s="73"/>
      <c r="F6" s="72"/>
      <c r="G6" s="72"/>
      <c r="H6" s="74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3"/>
      <c r="U6" s="72"/>
      <c r="V6" s="72"/>
      <c r="W6" s="73"/>
      <c r="X6" s="72"/>
      <c r="Y6" s="72"/>
      <c r="Z6" s="72"/>
      <c r="AA6" s="58"/>
      <c r="AB6" s="60"/>
      <c r="AC6" s="60"/>
      <c r="AD6" s="60"/>
      <c r="AE6" s="94"/>
      <c r="AF6" s="95"/>
      <c r="AG6" s="139"/>
      <c r="AH6" s="139"/>
    </row>
    <row r="7" customFormat="false" ht="11.1" hidden="false" customHeight="true" outlineLevel="0" collapsed="false">
      <c r="A7" s="53" t="s">
        <v>44</v>
      </c>
      <c r="B7" s="53"/>
      <c r="C7" s="54"/>
      <c r="D7" s="54"/>
      <c r="E7" s="54"/>
      <c r="F7" s="54" t="n">
        <f aca="false">JUL!F45</f>
        <v>45690.4461809932</v>
      </c>
      <c r="G7" s="54" t="n">
        <f aca="false">JUL!G45</f>
        <v>99393.7</v>
      </c>
      <c r="H7" s="54" t="n">
        <f aca="false">JUL!H45</f>
        <v>4933.7</v>
      </c>
      <c r="I7" s="54" t="n">
        <f aca="false">JUL!I45</f>
        <v>104327.4</v>
      </c>
      <c r="J7" s="54" t="n">
        <f aca="false">JUL!J45</f>
        <v>15739.4675497857</v>
      </c>
      <c r="K7" s="54" t="n">
        <f aca="false">JUL!K45</f>
        <v>120066.867549786</v>
      </c>
      <c r="L7" s="54" t="n">
        <f aca="false">JUL!L45</f>
        <v>12490.4961809932</v>
      </c>
      <c r="M7" s="54" t="n">
        <f aca="false">JUL!M45</f>
        <v>20081.7</v>
      </c>
      <c r="N7" s="54" t="n">
        <f aca="false">JUL!N45</f>
        <v>0</v>
      </c>
      <c r="O7" s="54" t="n">
        <f aca="false">JUL!O45</f>
        <v>0</v>
      </c>
      <c r="P7" s="54" t="n">
        <f aca="false">JUL!P45</f>
        <v>20081.7</v>
      </c>
      <c r="Q7" s="54" t="n">
        <f aca="false">JUL!Q45</f>
        <v>17122.62</v>
      </c>
      <c r="R7" s="54" t="n">
        <f aca="false">JUL!R45</f>
        <v>7339.61</v>
      </c>
      <c r="S7" s="54" t="n">
        <f aca="false">JUL!S45</f>
        <v>44543.93</v>
      </c>
      <c r="T7" s="54" t="n">
        <f aca="false">JUL!T45</f>
        <v>455.4</v>
      </c>
      <c r="U7" s="54" t="n">
        <f aca="false">JUL!U45</f>
        <v>9663.4</v>
      </c>
      <c r="V7" s="54" t="n">
        <f aca="false">JUL!V45</f>
        <v>16920.12</v>
      </c>
      <c r="W7" s="54"/>
      <c r="X7" s="54" t="n">
        <f aca="false">JUL!X45</f>
        <v>71127.45</v>
      </c>
      <c r="Y7" s="54" t="n">
        <f aca="false">JUL!Y45</f>
        <v>3248.97136879254</v>
      </c>
      <c r="Z7" s="54" t="n">
        <f aca="false">JUL!Z45</f>
        <v>74376.4213687925</v>
      </c>
      <c r="AA7" s="58"/>
      <c r="AB7" s="59"/>
      <c r="AC7" s="59"/>
      <c r="AD7" s="60"/>
      <c r="AE7" s="95"/>
      <c r="AF7" s="95"/>
    </row>
    <row r="8" s="47" customFormat="true" ht="11.1" hidden="false" customHeight="true" outlineLevel="0" collapsed="false">
      <c r="A8" s="54" t="s">
        <v>45</v>
      </c>
      <c r="B8" s="75" t="n">
        <f aca="false">JUL!B40</f>
        <v>6913.49</v>
      </c>
      <c r="C8" s="54" t="n">
        <f aca="false">JUL!C40</f>
        <v>336135</v>
      </c>
      <c r="D8" s="54" t="n">
        <f aca="false">JUL!D49</f>
        <v>97270</v>
      </c>
      <c r="E8" s="54" t="n">
        <f aca="false">JUL!E49</f>
        <v>184135</v>
      </c>
      <c r="F8" s="54" t="n">
        <f aca="false">JUL!F48</f>
        <v>49039.5765061759</v>
      </c>
      <c r="G8" s="54" t="n">
        <f aca="false">JUL!G48</f>
        <v>110858.47</v>
      </c>
      <c r="H8" s="59" t="n">
        <f aca="false">JUL!H48</f>
        <v>5008.35</v>
      </c>
      <c r="I8" s="54" t="n">
        <f aca="false">JUL!I48</f>
        <v>115763.62</v>
      </c>
      <c r="J8" s="54" t="n">
        <f aca="false">JUL!J48</f>
        <v>16380.5764658432</v>
      </c>
      <c r="K8" s="54" t="n">
        <f aca="false">JUL!K48</f>
        <v>132144.196465843</v>
      </c>
      <c r="L8" s="54" t="n">
        <f aca="false">JUL!L48</f>
        <v>12593.416506176</v>
      </c>
      <c r="M8" s="54" t="n">
        <f aca="false">JUL!M48</f>
        <v>21518.02</v>
      </c>
      <c r="N8" s="54" t="n">
        <f aca="false">JUL!N48</f>
        <v>0.08</v>
      </c>
      <c r="O8" s="54" t="n">
        <f aca="false">JUL!O48</f>
        <v>0</v>
      </c>
      <c r="P8" s="54" t="n">
        <f aca="false">JUL!P48</f>
        <v>21517.94</v>
      </c>
      <c r="Q8" s="54" t="n">
        <f aca="false">JUL!Q48</f>
        <v>18727.81</v>
      </c>
      <c r="R8" s="54" t="n">
        <f aca="false">JUL!R48</f>
        <v>7712.01</v>
      </c>
      <c r="S8" s="54" t="n">
        <f aca="false">JUL!S48</f>
        <v>47957.76</v>
      </c>
      <c r="T8" s="54" t="n">
        <f aca="false">JUL!T48</f>
        <v>455.4</v>
      </c>
      <c r="U8" s="54" t="n">
        <f aca="false">JUL!U48</f>
        <v>9663.4</v>
      </c>
      <c r="V8" s="54" t="n">
        <f aca="false">JUL!V48</f>
        <v>21696.22</v>
      </c>
      <c r="W8" s="54" t="n">
        <f aca="false">JUL!W48</f>
        <v>4393.27999999998</v>
      </c>
      <c r="X8" s="54" t="n">
        <f aca="false">JUL!X48</f>
        <v>79317.46</v>
      </c>
      <c r="Y8" s="54" t="n">
        <f aca="false">JUL!Y48</f>
        <v>3787.15995966726</v>
      </c>
      <c r="Z8" s="54" t="n">
        <f aca="false">JUL!Z48</f>
        <v>83104.6199596673</v>
      </c>
      <c r="AA8" s="58" t="n">
        <f aca="false">JUL!AA48</f>
        <v>8.38</v>
      </c>
      <c r="AB8" s="59"/>
      <c r="AC8" s="59"/>
      <c r="AD8" s="60"/>
      <c r="AE8" s="94"/>
      <c r="AF8" s="96"/>
    </row>
    <row r="9" customFormat="false" ht="3" hidden="false" customHeight="true" outlineLevel="0" collapsed="false">
      <c r="A9" s="76"/>
      <c r="B9" s="77"/>
      <c r="C9" s="78"/>
      <c r="D9" s="76"/>
      <c r="E9" s="78"/>
      <c r="F9" s="76"/>
      <c r="G9" s="76"/>
      <c r="H9" s="79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8"/>
      <c r="U9" s="76"/>
      <c r="V9" s="76"/>
      <c r="W9" s="78"/>
      <c r="X9" s="76"/>
      <c r="Y9" s="76"/>
      <c r="Z9" s="76"/>
      <c r="AA9" s="80"/>
      <c r="AB9" s="81"/>
      <c r="AC9" s="81"/>
      <c r="AD9" s="82"/>
      <c r="AE9" s="94"/>
      <c r="AF9" s="95"/>
    </row>
    <row r="10" customFormat="false" ht="11.1" hidden="false" customHeight="true" outlineLevel="0" collapsed="false">
      <c r="A10" s="60" t="n">
        <v>1</v>
      </c>
      <c r="B10" s="75" t="n">
        <v>6913.27</v>
      </c>
      <c r="C10" s="54" t="n">
        <v>335231</v>
      </c>
      <c r="D10" s="59" t="n">
        <f aca="false">C10-C8</f>
        <v>-904</v>
      </c>
      <c r="E10" s="54" t="n">
        <f aca="false">C10-152000</f>
        <v>183231</v>
      </c>
      <c r="F10" s="53" t="n">
        <f aca="false">D10/$D$2</f>
        <v>-455.760020166373</v>
      </c>
      <c r="G10" s="53" t="n">
        <v>226.1</v>
      </c>
      <c r="H10" s="55" t="n">
        <v>0</v>
      </c>
      <c r="I10" s="53" t="n">
        <f aca="false">G10+H10</f>
        <v>226.1</v>
      </c>
      <c r="J10" s="83" t="n">
        <f aca="false">IF(L10&gt;0,L10,0)</f>
        <v>0</v>
      </c>
      <c r="K10" s="53" t="n">
        <f aca="false">I10+J10</f>
        <v>226.1</v>
      </c>
      <c r="L10" s="53" t="n">
        <f aca="false">F10-(I10-X10)</f>
        <v>-99.3600201663726</v>
      </c>
      <c r="M10" s="53" t="n">
        <v>157.4</v>
      </c>
      <c r="N10" s="89" t="n">
        <v>0</v>
      </c>
      <c r="O10" s="53" t="n">
        <v>0</v>
      </c>
      <c r="P10" s="6" t="n">
        <f aca="false">M10-(N10+O10)</f>
        <v>157.4</v>
      </c>
      <c r="Q10" s="53" t="n">
        <v>178.3</v>
      </c>
      <c r="R10" s="53" t="n">
        <v>77.3</v>
      </c>
      <c r="S10" s="53" t="n">
        <f aca="false">SUM(P10:R10)</f>
        <v>413</v>
      </c>
      <c r="T10" s="54" t="n">
        <f aca="false">(I10-S10)+T7</f>
        <v>268.5</v>
      </c>
      <c r="U10" s="53" t="n">
        <v>103.4</v>
      </c>
      <c r="V10" s="53" t="n">
        <v>66.1</v>
      </c>
      <c r="W10" s="54" t="n">
        <f aca="false">W8-V10</f>
        <v>4327.17999999997</v>
      </c>
      <c r="X10" s="6" t="n">
        <f aca="false">N10+O10+S10+U10+V10</f>
        <v>582.5</v>
      </c>
      <c r="Y10" s="53" t="n">
        <f aca="false">IF(L10&lt;0,L10*-1,0)</f>
        <v>99.3600201663726</v>
      </c>
      <c r="Z10" s="53" t="n">
        <f aca="false">X10+Y10</f>
        <v>681.860020166373</v>
      </c>
      <c r="AA10" s="58" t="n">
        <v>0.22</v>
      </c>
      <c r="AB10" s="59" t="n">
        <v>82</v>
      </c>
      <c r="AC10" s="59" t="n">
        <v>56</v>
      </c>
      <c r="AD10" s="60" t="n">
        <v>1</v>
      </c>
      <c r="AE10" s="12"/>
      <c r="AF10" s="126"/>
      <c r="AG10" s="6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</row>
    <row r="11" customFormat="false" ht="11.1" hidden="false" customHeight="true" outlineLevel="0" collapsed="false">
      <c r="A11" s="60" t="n">
        <f aca="false">A10+1</f>
        <v>2</v>
      </c>
      <c r="B11" s="75" t="n">
        <v>6913.12</v>
      </c>
      <c r="C11" s="54" t="n">
        <v>334614</v>
      </c>
      <c r="D11" s="59" t="n">
        <f aca="false">C11-C10</f>
        <v>-617</v>
      </c>
      <c r="E11" s="54" t="n">
        <f aca="false">C11-152000</f>
        <v>182614</v>
      </c>
      <c r="F11" s="53" t="n">
        <f aca="false">D11/$D$2</f>
        <v>-311.066296949836</v>
      </c>
      <c r="G11" s="53" t="n">
        <v>268.1</v>
      </c>
      <c r="H11" s="55" t="n">
        <v>0</v>
      </c>
      <c r="I11" s="53" t="n">
        <f aca="false">G11+H11</f>
        <v>268.1</v>
      </c>
      <c r="J11" s="83" t="n">
        <f aca="false">IF(L11&gt;0,L11,0)</f>
        <v>21.5337030501639</v>
      </c>
      <c r="K11" s="53" t="n">
        <f aca="false">I11+J11</f>
        <v>289.633703050164</v>
      </c>
      <c r="L11" s="53" t="n">
        <f aca="false">F11-(I11-X11)</f>
        <v>21.5337030501639</v>
      </c>
      <c r="M11" s="53" t="n">
        <v>149.7</v>
      </c>
      <c r="N11" s="89" t="n">
        <v>0</v>
      </c>
      <c r="O11" s="53" t="n">
        <v>0</v>
      </c>
      <c r="P11" s="6" t="n">
        <f aca="false">M11-(N11+O11)</f>
        <v>149.7</v>
      </c>
      <c r="Q11" s="53" t="n">
        <v>178.4</v>
      </c>
      <c r="R11" s="53" t="n">
        <v>76.9</v>
      </c>
      <c r="S11" s="53" t="n">
        <f aca="false">SUM(P11:R11)</f>
        <v>405</v>
      </c>
      <c r="T11" s="54" t="n">
        <f aca="false">(I11-S11)+T10</f>
        <v>131.6</v>
      </c>
      <c r="U11" s="53" t="n">
        <v>128.1</v>
      </c>
      <c r="V11" s="53" t="n">
        <v>67.6</v>
      </c>
      <c r="W11" s="54" t="n">
        <f aca="false">W10-V11</f>
        <v>4259.57999999998</v>
      </c>
      <c r="X11" s="6" t="n">
        <f aca="false">N11+O11+S11+U11+V11</f>
        <v>600.7</v>
      </c>
      <c r="Y11" s="53" t="n">
        <f aca="false">IF(L11&lt;0,L11*-1,0)</f>
        <v>0</v>
      </c>
      <c r="Z11" s="53" t="n">
        <f aca="false">X11+Y11</f>
        <v>600.7</v>
      </c>
      <c r="AA11" s="58" t="n">
        <v>0.01</v>
      </c>
      <c r="AB11" s="59" t="n">
        <v>81</v>
      </c>
      <c r="AC11" s="59" t="n">
        <v>55</v>
      </c>
      <c r="AD11" s="60" t="n">
        <f aca="false">AD10+1</f>
        <v>2</v>
      </c>
      <c r="AE11" s="12"/>
      <c r="AF11" s="0"/>
      <c r="AG11" s="6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</row>
    <row r="12" customFormat="false" ht="11.1" hidden="false" customHeight="true" outlineLevel="0" collapsed="false">
      <c r="A12" s="60" t="n">
        <f aca="false">A11+1</f>
        <v>3</v>
      </c>
      <c r="B12" s="75" t="n">
        <v>6912.97</v>
      </c>
      <c r="C12" s="54" t="n">
        <v>333999</v>
      </c>
      <c r="D12" s="59" t="n">
        <f aca="false">C12-C11</f>
        <v>-615</v>
      </c>
      <c r="E12" s="54" t="n">
        <f aca="false">C12-152000</f>
        <v>181999</v>
      </c>
      <c r="F12" s="53" t="n">
        <f aca="false">D12/$D$2</f>
        <v>-310.057978321149</v>
      </c>
      <c r="G12" s="53" t="n">
        <v>286.5</v>
      </c>
      <c r="H12" s="55" t="n">
        <v>0</v>
      </c>
      <c r="I12" s="53" t="n">
        <f aca="false">G12+H12</f>
        <v>286.5</v>
      </c>
      <c r="J12" s="83" t="n">
        <f aca="false">IF(L12&gt;0,L12,0)</f>
        <v>0</v>
      </c>
      <c r="K12" s="53" t="n">
        <f aca="false">I12+J12</f>
        <v>286.5</v>
      </c>
      <c r="L12" s="53" t="n">
        <f aca="false">F12-(I12-X12)</f>
        <v>-35.2579783211495</v>
      </c>
      <c r="M12" s="53" t="n">
        <v>143</v>
      </c>
      <c r="N12" s="89" t="n">
        <v>0</v>
      </c>
      <c r="O12" s="53" t="n">
        <v>0</v>
      </c>
      <c r="P12" s="6" t="n">
        <f aca="false">M12-(N12+O12)</f>
        <v>143</v>
      </c>
      <c r="Q12" s="53" t="n">
        <v>179.5</v>
      </c>
      <c r="R12" s="53" t="n">
        <v>72.4</v>
      </c>
      <c r="S12" s="53" t="n">
        <f aca="false">SUM(P12:R12)</f>
        <v>394.9</v>
      </c>
      <c r="T12" s="54" t="n">
        <f aca="false">(I12-S12)+T11</f>
        <v>23.1999999999996</v>
      </c>
      <c r="U12" s="53" t="n">
        <v>98.8</v>
      </c>
      <c r="V12" s="53" t="n">
        <v>67.6</v>
      </c>
      <c r="W12" s="54" t="n">
        <f aca="false">W11-V12</f>
        <v>4191.97999999997</v>
      </c>
      <c r="X12" s="6" t="n">
        <f aca="false">N12+O12+S12+U12+V12</f>
        <v>561.3</v>
      </c>
      <c r="Y12" s="53" t="n">
        <f aca="false">IF(L12&lt;0,L12*-1,0)</f>
        <v>35.2579783211495</v>
      </c>
      <c r="Z12" s="53" t="n">
        <f aca="false">X12+Y12</f>
        <v>596.55797832115</v>
      </c>
      <c r="AA12" s="58" t="n">
        <v>0.03</v>
      </c>
      <c r="AB12" s="59" t="n">
        <v>78</v>
      </c>
      <c r="AC12" s="59" t="n">
        <v>53</v>
      </c>
      <c r="AD12" s="60" t="n">
        <f aca="false">AD11+1</f>
        <v>3</v>
      </c>
      <c r="AE12" s="12"/>
      <c r="AF12" s="0"/>
      <c r="AG12" s="6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</row>
    <row r="13" customFormat="false" ht="11.1" hidden="false" customHeight="true" outlineLevel="0" collapsed="false">
      <c r="A13" s="60" t="n">
        <f aca="false">A12+1</f>
        <v>4</v>
      </c>
      <c r="B13" s="75" t="n">
        <v>6912.84</v>
      </c>
      <c r="C13" s="54" t="n">
        <v>333469</v>
      </c>
      <c r="D13" s="59" t="n">
        <f aca="false">C13-C12</f>
        <v>-530</v>
      </c>
      <c r="E13" s="54" t="n">
        <f aca="false">C13-152000</f>
        <v>181469</v>
      </c>
      <c r="F13" s="53" t="n">
        <f aca="false">D13/$D$2</f>
        <v>-267.204436601966</v>
      </c>
      <c r="G13" s="53" t="n">
        <v>317.1</v>
      </c>
      <c r="H13" s="55" t="n">
        <v>0</v>
      </c>
      <c r="I13" s="53" t="n">
        <f aca="false">G13+H13</f>
        <v>317.1</v>
      </c>
      <c r="J13" s="83" t="n">
        <f aca="false">IF(L13&gt;0,L13,0)</f>
        <v>0</v>
      </c>
      <c r="K13" s="53" t="n">
        <f aca="false">I13+J13</f>
        <v>317.1</v>
      </c>
      <c r="L13" s="53" t="n">
        <f aca="false">F13-(I13-X13)</f>
        <v>-33.0044366019663</v>
      </c>
      <c r="M13" s="53" t="n">
        <v>140.7</v>
      </c>
      <c r="N13" s="89" t="n">
        <v>0</v>
      </c>
      <c r="O13" s="53" t="n">
        <v>0</v>
      </c>
      <c r="P13" s="6" t="n">
        <f aca="false">M13-(N13+O13)</f>
        <v>140.7</v>
      </c>
      <c r="Q13" s="53" t="n">
        <v>179.8</v>
      </c>
      <c r="R13" s="53" t="n">
        <v>72.4</v>
      </c>
      <c r="S13" s="53" t="n">
        <f aca="false">SUM(P13:R13)</f>
        <v>392.9</v>
      </c>
      <c r="T13" s="54" t="n">
        <f aca="false">(I13-S13)+T12</f>
        <v>-52.6000000000004</v>
      </c>
      <c r="U13" s="53" t="n">
        <v>90.8</v>
      </c>
      <c r="V13" s="53" t="n">
        <v>67.6</v>
      </c>
      <c r="W13" s="54" t="n">
        <f aca="false">W12-V13</f>
        <v>4124.37999999997</v>
      </c>
      <c r="X13" s="6" t="n">
        <f aca="false">N13+O13+S13+U13+V13</f>
        <v>551.3</v>
      </c>
      <c r="Y13" s="53" t="n">
        <f aca="false">IF(L13&lt;0,L13*-1,0)</f>
        <v>33.0044366019663</v>
      </c>
      <c r="Z13" s="53" t="n">
        <f aca="false">X13+Y13</f>
        <v>584.304436601966</v>
      </c>
      <c r="AA13" s="58" t="n">
        <v>0.02</v>
      </c>
      <c r="AB13" s="59" t="n">
        <v>80</v>
      </c>
      <c r="AC13" s="59" t="n">
        <v>52</v>
      </c>
      <c r="AD13" s="60" t="n">
        <f aca="false">AD12+1</f>
        <v>4</v>
      </c>
      <c r="AE13" s="12"/>
      <c r="AF13" s="0"/>
      <c r="AG13" s="6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</row>
    <row r="14" customFormat="false" ht="11.1" hidden="false" customHeight="true" outlineLevel="0" collapsed="false">
      <c r="A14" s="60" t="n">
        <f aca="false">A13+1</f>
        <v>5</v>
      </c>
      <c r="B14" s="75" t="n">
        <v>6912.71</v>
      </c>
      <c r="C14" s="54" t="n">
        <v>332939</v>
      </c>
      <c r="D14" s="59" t="n">
        <f aca="false">C14-C13</f>
        <v>-530</v>
      </c>
      <c r="E14" s="54" t="n">
        <f aca="false">C14-152000</f>
        <v>180939</v>
      </c>
      <c r="F14" s="53" t="n">
        <f aca="false">D14/$D$2</f>
        <v>-267.204436601966</v>
      </c>
      <c r="G14" s="53" t="n">
        <v>285.4</v>
      </c>
      <c r="H14" s="55" t="n">
        <v>0</v>
      </c>
      <c r="I14" s="53" t="n">
        <f aca="false">G14+H14</f>
        <v>285.4</v>
      </c>
      <c r="J14" s="83" t="n">
        <f aca="false">IF(L14&gt;0,L14,0)</f>
        <v>0</v>
      </c>
      <c r="K14" s="53" t="n">
        <f aca="false">I14+J14</f>
        <v>285.4</v>
      </c>
      <c r="L14" s="53" t="n">
        <f aca="false">F14-(I14-X14)</f>
        <v>-1.90443660196615</v>
      </c>
      <c r="M14" s="53" t="n">
        <v>140.3</v>
      </c>
      <c r="N14" s="89" t="n">
        <v>0</v>
      </c>
      <c r="O14" s="53" t="n">
        <v>0</v>
      </c>
      <c r="P14" s="6" t="n">
        <f aca="false">M14-(N14+O14)</f>
        <v>140.3</v>
      </c>
      <c r="Q14" s="53" t="n">
        <v>179.7</v>
      </c>
      <c r="R14" s="53" t="n">
        <v>72.3</v>
      </c>
      <c r="S14" s="53" t="n">
        <f aca="false">SUM(P14:R14)</f>
        <v>392.3</v>
      </c>
      <c r="T14" s="54" t="n">
        <f aca="false">(I14-S14)+T13</f>
        <v>-159.5</v>
      </c>
      <c r="U14" s="53" t="n">
        <v>90.8</v>
      </c>
      <c r="V14" s="53" t="n">
        <v>67.6</v>
      </c>
      <c r="W14" s="54" t="n">
        <f aca="false">W13-V14</f>
        <v>4056.77999999997</v>
      </c>
      <c r="X14" s="6" t="n">
        <f aca="false">N14+O14+S14+U14+V14</f>
        <v>550.7</v>
      </c>
      <c r="Y14" s="53" t="n">
        <f aca="false">IF(L14&lt;0,L14*-1,0)</f>
        <v>1.90443660196615</v>
      </c>
      <c r="Z14" s="53" t="n">
        <f aca="false">X14+Y14</f>
        <v>552.604436601966</v>
      </c>
      <c r="AA14" s="58" t="n">
        <v>0.05</v>
      </c>
      <c r="AB14" s="59" t="n">
        <v>78</v>
      </c>
      <c r="AC14" s="59" t="n">
        <v>55</v>
      </c>
      <c r="AD14" s="60" t="n">
        <f aca="false">AD13+1</f>
        <v>5</v>
      </c>
      <c r="AE14" s="12"/>
      <c r="AF14" s="0"/>
      <c r="AG14" s="6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</row>
    <row r="15" customFormat="false" ht="11.1" hidden="false" customHeight="true" outlineLevel="0" collapsed="false">
      <c r="A15" s="60" t="n">
        <f aca="false">A14+1</f>
        <v>6</v>
      </c>
      <c r="B15" s="75" t="n">
        <v>6912.58</v>
      </c>
      <c r="C15" s="54" t="n">
        <v>332409</v>
      </c>
      <c r="D15" s="59" t="n">
        <f aca="false">C15-C14</f>
        <v>-530</v>
      </c>
      <c r="E15" s="54" t="n">
        <f aca="false">C15-152000</f>
        <v>180409</v>
      </c>
      <c r="F15" s="53" t="n">
        <f aca="false">D15/$D$2</f>
        <v>-267.204436601966</v>
      </c>
      <c r="G15" s="53" t="n">
        <v>250.5</v>
      </c>
      <c r="H15" s="55" t="n">
        <v>0</v>
      </c>
      <c r="I15" s="53" t="n">
        <f aca="false">G15+H15</f>
        <v>250.5</v>
      </c>
      <c r="J15" s="83" t="n">
        <f aca="false">IF(L15&gt;0,L15,0)</f>
        <v>10.7955633980338</v>
      </c>
      <c r="K15" s="53" t="n">
        <f aca="false">I15+J15</f>
        <v>261.295563398034</v>
      </c>
      <c r="L15" s="53" t="n">
        <f aca="false">F15-(I15-X15)</f>
        <v>10.7955633980338</v>
      </c>
      <c r="M15" s="53" t="n">
        <v>140.2</v>
      </c>
      <c r="N15" s="89" t="n">
        <v>0</v>
      </c>
      <c r="O15" s="53" t="n">
        <v>0</v>
      </c>
      <c r="P15" s="6" t="n">
        <f aca="false">M15-(N15+O15)</f>
        <v>140.2</v>
      </c>
      <c r="Q15" s="53" t="n">
        <v>179.7</v>
      </c>
      <c r="R15" s="53" t="n">
        <v>74.4</v>
      </c>
      <c r="S15" s="53" t="n">
        <f aca="false">SUM(P15:R15)</f>
        <v>394.3</v>
      </c>
      <c r="T15" s="54" t="n">
        <f aca="false">(I15-S15)+T14</f>
        <v>-303.3</v>
      </c>
      <c r="U15" s="53" t="n">
        <v>66.1</v>
      </c>
      <c r="V15" s="53" t="n">
        <v>68.1</v>
      </c>
      <c r="W15" s="54" t="n">
        <f aca="false">W14-V15</f>
        <v>3988.67999999997</v>
      </c>
      <c r="X15" s="6" t="n">
        <f aca="false">N15+O15+S15+U15+V15</f>
        <v>528.5</v>
      </c>
      <c r="Y15" s="53" t="n">
        <f aca="false">IF(L15&lt;0,L15*-1,0)</f>
        <v>0</v>
      </c>
      <c r="Z15" s="53" t="n">
        <f aca="false">X15+Y15</f>
        <v>528.5</v>
      </c>
      <c r="AA15" s="58" t="n">
        <v>0.46</v>
      </c>
      <c r="AB15" s="59" t="n">
        <v>70</v>
      </c>
      <c r="AC15" s="59" t="n">
        <v>56</v>
      </c>
      <c r="AD15" s="60" t="n">
        <f aca="false">AD14+1</f>
        <v>6</v>
      </c>
      <c r="AE15" s="12"/>
      <c r="AF15" s="0"/>
      <c r="AG15" s="6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</row>
    <row r="16" customFormat="false" ht="11.1" hidden="false" customHeight="true" outlineLevel="0" collapsed="false">
      <c r="A16" s="60" t="n">
        <f aca="false">A15+1</f>
        <v>7</v>
      </c>
      <c r="B16" s="75" t="n">
        <v>6912.46</v>
      </c>
      <c r="C16" s="54" t="n">
        <v>331920</v>
      </c>
      <c r="D16" s="59" t="n">
        <f aca="false">C16-C15</f>
        <v>-489</v>
      </c>
      <c r="E16" s="54" t="n">
        <f aca="false">C16-152000</f>
        <v>179920</v>
      </c>
      <c r="F16" s="53" t="n">
        <f aca="false">D16/$D$2</f>
        <v>-246.53390471389</v>
      </c>
      <c r="G16" s="53" t="n">
        <v>334.5</v>
      </c>
      <c r="H16" s="55" t="n">
        <v>0</v>
      </c>
      <c r="I16" s="53" t="n">
        <f aca="false">G16+H16</f>
        <v>334.5</v>
      </c>
      <c r="J16" s="83" t="n">
        <f aca="false">IF(L16&gt;0,L16,0)</f>
        <v>0</v>
      </c>
      <c r="K16" s="53" t="n">
        <f aca="false">I16+J16</f>
        <v>334.5</v>
      </c>
      <c r="L16" s="53" t="n">
        <f aca="false">F16-(I16-X16)</f>
        <v>-83.2339047138897</v>
      </c>
      <c r="M16" s="53" t="n">
        <v>137.4</v>
      </c>
      <c r="N16" s="89" t="n">
        <v>0</v>
      </c>
      <c r="O16" s="53" t="n">
        <v>0</v>
      </c>
      <c r="P16" s="6" t="n">
        <f aca="false">M16-(N16+O16)</f>
        <v>137.4</v>
      </c>
      <c r="Q16" s="53" t="n">
        <v>179.9</v>
      </c>
      <c r="R16" s="53" t="n">
        <v>74.6</v>
      </c>
      <c r="S16" s="53" t="n">
        <f aca="false">SUM(P16:R16)</f>
        <v>391.9</v>
      </c>
      <c r="T16" s="54" t="n">
        <f aca="false">(I16-S16)+T15</f>
        <v>-360.7</v>
      </c>
      <c r="U16" s="53" t="n">
        <v>36.8</v>
      </c>
      <c r="V16" s="53" t="n">
        <v>69.1</v>
      </c>
      <c r="W16" s="54" t="n">
        <f aca="false">W15-V16</f>
        <v>3919.57999999997</v>
      </c>
      <c r="X16" s="6" t="n">
        <f aca="false">N16+O16+S16+U16+V16</f>
        <v>497.8</v>
      </c>
      <c r="Y16" s="53" t="n">
        <f aca="false">IF(L16&lt;0,L16*-1,0)</f>
        <v>83.2339047138897</v>
      </c>
      <c r="Z16" s="53" t="n">
        <f aca="false">X16+Y16</f>
        <v>581.03390471389</v>
      </c>
      <c r="AA16" s="58" t="n">
        <v>0</v>
      </c>
      <c r="AB16" s="59" t="n">
        <v>79</v>
      </c>
      <c r="AC16" s="59" t="n">
        <v>50</v>
      </c>
      <c r="AD16" s="60" t="n">
        <f aca="false">AD15+1</f>
        <v>7</v>
      </c>
      <c r="AE16" s="12"/>
      <c r="AF16" s="0"/>
      <c r="AG16" s="6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</row>
    <row r="17" customFormat="false" ht="11.1" hidden="false" customHeight="true" outlineLevel="0" collapsed="false">
      <c r="A17" s="60" t="n">
        <f aca="false">A16+1</f>
        <v>8</v>
      </c>
      <c r="B17" s="75" t="n">
        <v>6912.31</v>
      </c>
      <c r="C17" s="54" t="n">
        <v>331303</v>
      </c>
      <c r="D17" s="59" t="n">
        <f aca="false">C17-C16</f>
        <v>-617</v>
      </c>
      <c r="E17" s="54" t="n">
        <f aca="false">C17-152000</f>
        <v>179303</v>
      </c>
      <c r="F17" s="53" t="n">
        <f aca="false">D17/$D$2</f>
        <v>-311.066296949836</v>
      </c>
      <c r="G17" s="53" t="n">
        <v>255.8</v>
      </c>
      <c r="H17" s="55" t="n">
        <v>0</v>
      </c>
      <c r="I17" s="53" t="n">
        <f aca="false">G17+H17</f>
        <v>255.8</v>
      </c>
      <c r="J17" s="83" t="n">
        <f aca="false">IF(L17&gt;0,L17,0)</f>
        <v>0</v>
      </c>
      <c r="K17" s="53" t="n">
        <f aca="false">I17+J17</f>
        <v>255.8</v>
      </c>
      <c r="L17" s="53" t="n">
        <f aca="false">F17-(I17-X17)</f>
        <v>-45.4662969498362</v>
      </c>
      <c r="M17" s="53" t="n">
        <v>139.3</v>
      </c>
      <c r="N17" s="89" t="n">
        <v>0</v>
      </c>
      <c r="O17" s="53" t="n">
        <v>0</v>
      </c>
      <c r="P17" s="6" t="n">
        <f aca="false">M17-(N17+O17)</f>
        <v>139.3</v>
      </c>
      <c r="Q17" s="53" t="n">
        <v>179.5</v>
      </c>
      <c r="R17" s="53" t="n">
        <v>77</v>
      </c>
      <c r="S17" s="53" t="n">
        <f aca="false">SUM(P17:R17)</f>
        <v>395.8</v>
      </c>
      <c r="T17" s="54" t="n">
        <f aca="false">(I17-S17)+T16</f>
        <v>-500.7</v>
      </c>
      <c r="U17" s="53" t="n">
        <v>56.5</v>
      </c>
      <c r="V17" s="53" t="n">
        <v>69.1</v>
      </c>
      <c r="W17" s="54" t="n">
        <f aca="false">W16-V17</f>
        <v>3850.47999999997</v>
      </c>
      <c r="X17" s="6" t="n">
        <f aca="false">N17+O17+S17+U17+V17</f>
        <v>521.4</v>
      </c>
      <c r="Y17" s="53" t="n">
        <f aca="false">IF(L17&lt;0,L17*-1,0)</f>
        <v>45.4662969498362</v>
      </c>
      <c r="Z17" s="53" t="n">
        <f aca="false">X17+Y17</f>
        <v>566.866296949836</v>
      </c>
      <c r="AA17" s="58" t="n">
        <v>0</v>
      </c>
      <c r="AB17" s="59" t="n">
        <v>81</v>
      </c>
      <c r="AC17" s="59" t="n">
        <v>51</v>
      </c>
      <c r="AD17" s="60" t="n">
        <f aca="false">AD16+1</f>
        <v>8</v>
      </c>
      <c r="AE17" s="12"/>
      <c r="AF17" s="0"/>
      <c r="AG17" s="6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</row>
    <row r="18" customFormat="false" ht="11.1" hidden="false" customHeight="true" outlineLevel="0" collapsed="false">
      <c r="A18" s="60" t="n">
        <f aca="false">A17+1</f>
        <v>9</v>
      </c>
      <c r="B18" s="75" t="n">
        <v>6912.16</v>
      </c>
      <c r="C18" s="54" t="n">
        <v>330697</v>
      </c>
      <c r="D18" s="59" t="n">
        <f aca="false">C18-C17</f>
        <v>-606</v>
      </c>
      <c r="E18" s="54" t="n">
        <f aca="false">C18-152000</f>
        <v>178697</v>
      </c>
      <c r="F18" s="53" t="n">
        <f aca="false">D18/$D$2</f>
        <v>-305.520544492059</v>
      </c>
      <c r="G18" s="53" t="n">
        <v>224.5</v>
      </c>
      <c r="H18" s="55" t="n">
        <v>0</v>
      </c>
      <c r="I18" s="53" t="n">
        <f aca="false">G18+H18</f>
        <v>224.5</v>
      </c>
      <c r="J18" s="83" t="n">
        <f aca="false">IF(L18&gt;0,L18,0)</f>
        <v>103.879455507941</v>
      </c>
      <c r="K18" s="53" t="n">
        <f aca="false">I18+J18</f>
        <v>328.37945550794</v>
      </c>
      <c r="L18" s="53" t="n">
        <f aca="false">F18-(I18-X18)</f>
        <v>103.879455507941</v>
      </c>
      <c r="M18" s="53" t="n">
        <v>146.7</v>
      </c>
      <c r="N18" s="89" t="n">
        <v>0</v>
      </c>
      <c r="O18" s="53" t="n">
        <v>0</v>
      </c>
      <c r="P18" s="6" t="n">
        <f aca="false">M18-(N18+O18)</f>
        <v>146.7</v>
      </c>
      <c r="Q18" s="53" t="n">
        <v>179.5</v>
      </c>
      <c r="R18" s="53" t="n">
        <v>77.2</v>
      </c>
      <c r="S18" s="53" t="n">
        <f aca="false">SUM(P18:R18)</f>
        <v>403.4</v>
      </c>
      <c r="T18" s="54" t="n">
        <f aca="false">(I18-S18)+T17</f>
        <v>-679.6</v>
      </c>
      <c r="U18" s="53" t="n">
        <v>161.4</v>
      </c>
      <c r="V18" s="53" t="n">
        <v>69.1</v>
      </c>
      <c r="W18" s="54" t="n">
        <f aca="false">W17-V18</f>
        <v>3781.37999999997</v>
      </c>
      <c r="X18" s="6" t="n">
        <f aca="false">N18+O18+S18+U18+V18</f>
        <v>633.9</v>
      </c>
      <c r="Y18" s="53" t="n">
        <f aca="false">IF(L18&lt;0,L18*-1,0)</f>
        <v>0</v>
      </c>
      <c r="Z18" s="53" t="n">
        <f aca="false">X18+Y18</f>
        <v>633.9</v>
      </c>
      <c r="AA18" s="58" t="n">
        <v>0</v>
      </c>
      <c r="AB18" s="84" t="n">
        <v>83</v>
      </c>
      <c r="AC18" s="59" t="n">
        <v>51</v>
      </c>
      <c r="AD18" s="60" t="n">
        <f aca="false">AD17+1</f>
        <v>9</v>
      </c>
      <c r="AE18" s="12"/>
      <c r="AF18" s="0"/>
      <c r="AG18" s="6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</row>
    <row r="19" customFormat="false" ht="11.1" hidden="false" customHeight="true" outlineLevel="0" collapsed="false">
      <c r="A19" s="60" t="n">
        <f aca="false">A18+1</f>
        <v>10</v>
      </c>
      <c r="B19" s="75" t="n">
        <v>6911.94</v>
      </c>
      <c r="C19" s="54" t="n">
        <v>329802</v>
      </c>
      <c r="D19" s="59" t="n">
        <f aca="false">C19-C18</f>
        <v>-895</v>
      </c>
      <c r="E19" s="54" t="n">
        <f aca="false">C19-152000</f>
        <v>177802</v>
      </c>
      <c r="F19" s="53" t="n">
        <f aca="false">D19/$D$2</f>
        <v>-451.222586337283</v>
      </c>
      <c r="G19" s="53" t="n">
        <v>217.9</v>
      </c>
      <c r="H19" s="55" t="n">
        <v>0</v>
      </c>
      <c r="I19" s="53" t="n">
        <f aca="false">G19+H19</f>
        <v>217.9</v>
      </c>
      <c r="J19" s="83" t="n">
        <v>0</v>
      </c>
      <c r="K19" s="53" t="n">
        <f aca="false">I19+J19</f>
        <v>217.9</v>
      </c>
      <c r="L19" s="53" t="n">
        <f aca="false">F19-(I19-X19)</f>
        <v>-142.122586337283</v>
      </c>
      <c r="M19" s="53" t="n">
        <v>146.8</v>
      </c>
      <c r="N19" s="89" t="n">
        <v>0</v>
      </c>
      <c r="O19" s="53" t="n">
        <v>0</v>
      </c>
      <c r="P19" s="6" t="n">
        <f aca="false">M19-(N19+O19)</f>
        <v>146.8</v>
      </c>
      <c r="Q19" s="53" t="n">
        <v>179.1</v>
      </c>
      <c r="R19" s="53" t="n">
        <v>74</v>
      </c>
      <c r="S19" s="53" t="n">
        <f aca="false">SUM(P19:R19)</f>
        <v>399.9</v>
      </c>
      <c r="T19" s="54" t="n">
        <f aca="false">(I19-S19)+T18</f>
        <v>-861.6</v>
      </c>
      <c r="U19" s="53" t="n">
        <v>58</v>
      </c>
      <c r="V19" s="53" t="n">
        <v>69.1</v>
      </c>
      <c r="W19" s="54" t="n">
        <f aca="false">W18-V19</f>
        <v>3712.27999999997</v>
      </c>
      <c r="X19" s="6" t="n">
        <f aca="false">N19+O19+S19+U19+V19</f>
        <v>527</v>
      </c>
      <c r="Y19" s="53" t="n">
        <f aca="false">IF(L19&lt;0,L19*-1,0)</f>
        <v>142.122586337283</v>
      </c>
      <c r="Z19" s="53" t="n">
        <f aca="false">X19+Y19</f>
        <v>669.122586337283</v>
      </c>
      <c r="AA19" s="58" t="n">
        <v>0</v>
      </c>
      <c r="AB19" s="59" t="n">
        <v>81</v>
      </c>
      <c r="AC19" s="59" t="n">
        <v>53</v>
      </c>
      <c r="AD19" s="60" t="n">
        <f aca="false">AD18+1</f>
        <v>10</v>
      </c>
      <c r="AE19" s="12"/>
      <c r="AF19" s="0"/>
      <c r="AG19" s="6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</row>
    <row r="20" customFormat="false" ht="11.1" hidden="false" customHeight="true" outlineLevel="0" collapsed="false">
      <c r="A20" s="60" t="n">
        <v>11</v>
      </c>
      <c r="B20" s="75" t="n">
        <v>6911.81</v>
      </c>
      <c r="C20" s="54" t="n">
        <v>329276</v>
      </c>
      <c r="D20" s="59" t="n">
        <f aca="false">C20-C19</f>
        <v>-526</v>
      </c>
      <c r="E20" s="54" t="n">
        <f aca="false">C20-152000</f>
        <v>177276</v>
      </c>
      <c r="F20" s="53" t="n">
        <f aca="false">D20/$D$2</f>
        <v>-265.187799344593</v>
      </c>
      <c r="G20" s="53" t="n">
        <v>220.2</v>
      </c>
      <c r="H20" s="55" t="n">
        <v>0</v>
      </c>
      <c r="I20" s="53" t="n">
        <f aca="false">G20+H20</f>
        <v>220.2</v>
      </c>
      <c r="J20" s="83" t="n">
        <f aca="false">IF(L20&gt;0,L20,0)</f>
        <v>44.6122006554072</v>
      </c>
      <c r="K20" s="53" t="n">
        <f aca="false">I20+J20</f>
        <v>264.812200655407</v>
      </c>
      <c r="L20" s="53" t="n">
        <f aca="false">F20-(I20-X20)</f>
        <v>44.6122006554072</v>
      </c>
      <c r="M20" s="53" t="n">
        <v>146.7</v>
      </c>
      <c r="N20" s="89" t="n">
        <v>0</v>
      </c>
      <c r="O20" s="53" t="n">
        <v>0</v>
      </c>
      <c r="P20" s="6" t="n">
        <f aca="false">M20-(N20+O20)</f>
        <v>146.7</v>
      </c>
      <c r="Q20" s="53" t="n">
        <v>178.5</v>
      </c>
      <c r="R20" s="53" t="n">
        <v>74.2</v>
      </c>
      <c r="S20" s="53" t="n">
        <f aca="false">SUM(P20:R20)</f>
        <v>399.4</v>
      </c>
      <c r="T20" s="54" t="n">
        <f aca="false">(I20-S20)+T19</f>
        <v>-1040.8</v>
      </c>
      <c r="U20" s="53" t="n">
        <v>61.5</v>
      </c>
      <c r="V20" s="53" t="n">
        <v>69.1</v>
      </c>
      <c r="W20" s="54" t="n">
        <f aca="false">W19-V20</f>
        <v>3643.17999999997</v>
      </c>
      <c r="X20" s="6" t="n">
        <f aca="false">N20+O20+S20+U20+V20</f>
        <v>530</v>
      </c>
      <c r="Y20" s="53" t="n">
        <f aca="false">IF(L20&lt;0,L20*-1,0)</f>
        <v>0</v>
      </c>
      <c r="Z20" s="53" t="n">
        <f aca="false">X20+Y20</f>
        <v>530</v>
      </c>
      <c r="AA20" s="58" t="n">
        <v>0.02</v>
      </c>
      <c r="AB20" s="59" t="n">
        <v>78</v>
      </c>
      <c r="AC20" s="59" t="n">
        <v>53</v>
      </c>
      <c r="AD20" s="60" t="n">
        <v>11</v>
      </c>
      <c r="AE20" s="12"/>
      <c r="AF20" s="0"/>
      <c r="AG20" s="6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</row>
    <row r="21" customFormat="false" ht="11.1" hidden="false" customHeight="true" outlineLevel="0" collapsed="false">
      <c r="A21" s="60" t="n">
        <v>12</v>
      </c>
      <c r="B21" s="75" t="n">
        <v>6911.66</v>
      </c>
      <c r="C21" s="54" t="n">
        <v>328669</v>
      </c>
      <c r="D21" s="59" t="n">
        <f aca="false">C21-C20</f>
        <v>-607</v>
      </c>
      <c r="E21" s="54" t="n">
        <f aca="false">C21-152000</f>
        <v>176669</v>
      </c>
      <c r="F21" s="53" t="n">
        <f aca="false">D21/$D$2</f>
        <v>-306.024703806403</v>
      </c>
      <c r="G21" s="53" t="n">
        <v>236.8</v>
      </c>
      <c r="H21" s="55" t="n">
        <v>0</v>
      </c>
      <c r="I21" s="53" t="n">
        <f aca="false">G21+H21</f>
        <v>236.8</v>
      </c>
      <c r="J21" s="83" t="n">
        <f aca="false">IF(L21&gt;0,L21,0)</f>
        <v>0</v>
      </c>
      <c r="K21" s="53" t="n">
        <f aca="false">I21+J21</f>
        <v>236.8</v>
      </c>
      <c r="L21" s="53" t="n">
        <f aca="false">F21-(I21-X21)</f>
        <v>-45.5247038064028</v>
      </c>
      <c r="M21" s="53" t="n">
        <v>140.9</v>
      </c>
      <c r="N21" s="89" t="n">
        <v>0</v>
      </c>
      <c r="O21" s="53" t="n">
        <v>0</v>
      </c>
      <c r="P21" s="6" t="n">
        <f aca="false">M21-(N21+O21)</f>
        <v>140.9</v>
      </c>
      <c r="Q21" s="53" t="n">
        <v>178.8</v>
      </c>
      <c r="R21" s="53" t="n">
        <v>74.2</v>
      </c>
      <c r="S21" s="53" t="n">
        <f aca="false">SUM(P21:R21)</f>
        <v>393.9</v>
      </c>
      <c r="T21" s="54" t="n">
        <f aca="false">(I21-S21)+T20</f>
        <v>-1197.9</v>
      </c>
      <c r="U21" s="53" t="n">
        <v>34.3</v>
      </c>
      <c r="V21" s="53" t="n">
        <v>69.1</v>
      </c>
      <c r="W21" s="54" t="n">
        <f aca="false">W20-V21</f>
        <v>3574.07999999997</v>
      </c>
      <c r="X21" s="6" t="n">
        <f aca="false">N21+O21+S21+U21+V21</f>
        <v>497.3</v>
      </c>
      <c r="Y21" s="53" t="n">
        <f aca="false">IF(L21&lt;0,L21*-1,0)</f>
        <v>45.5247038064028</v>
      </c>
      <c r="Z21" s="53" t="n">
        <f aca="false">X21+Y21</f>
        <v>542.824703806403</v>
      </c>
      <c r="AA21" s="58" t="n">
        <v>0</v>
      </c>
      <c r="AB21" s="59" t="n">
        <v>76</v>
      </c>
      <c r="AC21" s="59" t="n">
        <v>56</v>
      </c>
      <c r="AD21" s="60" t="n">
        <v>12</v>
      </c>
      <c r="AE21" s="12"/>
      <c r="AF21" s="0"/>
      <c r="AG21" s="6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</row>
    <row r="22" customFormat="false" ht="11.1" hidden="false" customHeight="true" outlineLevel="0" collapsed="false">
      <c r="A22" s="60" t="n">
        <v>13</v>
      </c>
      <c r="B22" s="75" t="n">
        <v>6911.53</v>
      </c>
      <c r="C22" s="54" t="n">
        <v>328143</v>
      </c>
      <c r="D22" s="59" t="n">
        <f aca="false">C22-C21</f>
        <v>-526</v>
      </c>
      <c r="E22" s="54" t="n">
        <f aca="false">C22-152000</f>
        <v>176143</v>
      </c>
      <c r="F22" s="53" t="n">
        <f aca="false">D22/$D$2</f>
        <v>-265.187799344593</v>
      </c>
      <c r="G22" s="53" t="n">
        <v>246.4</v>
      </c>
      <c r="H22" s="55" t="n">
        <v>0</v>
      </c>
      <c r="I22" s="53" t="n">
        <f aca="false">G22+H22</f>
        <v>246.4</v>
      </c>
      <c r="J22" s="83" t="n">
        <f aca="false">IF(L22&gt;0,L22,0)</f>
        <v>0</v>
      </c>
      <c r="K22" s="53" t="n">
        <f aca="false">I22+J22</f>
        <v>246.4</v>
      </c>
      <c r="L22" s="53" t="n">
        <f aca="false">F22-(I22-X22)</f>
        <v>-4.78779934459288</v>
      </c>
      <c r="M22" s="53" t="n">
        <v>138.9</v>
      </c>
      <c r="N22" s="89" t="n">
        <v>0</v>
      </c>
      <c r="O22" s="53" t="n">
        <v>0</v>
      </c>
      <c r="P22" s="6" t="n">
        <f aca="false">M22-(N22+O22)</f>
        <v>138.9</v>
      </c>
      <c r="Q22" s="53" t="n">
        <v>178.7</v>
      </c>
      <c r="R22" s="53" t="n">
        <v>74.7</v>
      </c>
      <c r="S22" s="53" t="n">
        <f aca="false">SUM(P22:R22)</f>
        <v>392.3</v>
      </c>
      <c r="T22" s="54" t="n">
        <f aca="false">(I22-S22)+T21</f>
        <v>-1343.8</v>
      </c>
      <c r="U22" s="53" t="n">
        <v>45.4</v>
      </c>
      <c r="V22" s="53" t="n">
        <v>69.1</v>
      </c>
      <c r="W22" s="54" t="n">
        <f aca="false">W21-V22</f>
        <v>3504.97999999997</v>
      </c>
      <c r="X22" s="6" t="n">
        <f aca="false">N22+O22+S22+U22+V22</f>
        <v>506.8</v>
      </c>
      <c r="Y22" s="53" t="n">
        <f aca="false">IF(L22&lt;0,L22*-1,0)</f>
        <v>4.78779934459288</v>
      </c>
      <c r="Z22" s="53" t="n">
        <f aca="false">X22+Y22</f>
        <v>511.587799344593</v>
      </c>
      <c r="AA22" s="58" t="n">
        <v>0</v>
      </c>
      <c r="AB22" s="59" t="n">
        <v>83</v>
      </c>
      <c r="AC22" s="59" t="n">
        <v>52</v>
      </c>
      <c r="AD22" s="60" t="n">
        <v>13</v>
      </c>
      <c r="AE22" s="12"/>
      <c r="AF22" s="0"/>
      <c r="AG22" s="6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</row>
    <row r="23" customFormat="false" ht="11.1" hidden="false" customHeight="true" outlineLevel="0" collapsed="false">
      <c r="A23" s="60" t="n">
        <v>14</v>
      </c>
      <c r="B23" s="75" t="n">
        <v>6911.36</v>
      </c>
      <c r="C23" s="54" t="n">
        <v>327456</v>
      </c>
      <c r="D23" s="59" t="n">
        <f aca="false">C23-C22</f>
        <v>-687</v>
      </c>
      <c r="E23" s="54" t="n">
        <f aca="false">C23-152000</f>
        <v>175456</v>
      </c>
      <c r="F23" s="53" t="n">
        <f aca="false">D23/$D$2</f>
        <v>-346.357448953869</v>
      </c>
      <c r="G23" s="53" t="n">
        <v>223</v>
      </c>
      <c r="H23" s="55" t="n">
        <v>0</v>
      </c>
      <c r="I23" s="53" t="n">
        <f aca="false">G23+H23</f>
        <v>223</v>
      </c>
      <c r="J23" s="83" t="n">
        <f aca="false">IF(L23&gt;0,L23,0)</f>
        <v>0</v>
      </c>
      <c r="K23" s="53" t="n">
        <f aca="false">I23+J23</f>
        <v>223</v>
      </c>
      <c r="L23" s="53" t="n">
        <f aca="false">F23-(I23-X23)</f>
        <v>-25.2574489538694</v>
      </c>
      <c r="M23" s="53" t="n">
        <v>152.9</v>
      </c>
      <c r="N23" s="89" t="n">
        <v>0</v>
      </c>
      <c r="O23" s="53" t="n">
        <v>0</v>
      </c>
      <c r="P23" s="6" t="n">
        <f aca="false">M23-(N23+O23)</f>
        <v>152.9</v>
      </c>
      <c r="Q23" s="53" t="n">
        <v>179.3</v>
      </c>
      <c r="R23" s="53" t="n">
        <v>74.2</v>
      </c>
      <c r="S23" s="53" t="n">
        <f aca="false">SUM(P23:R23)</f>
        <v>406.4</v>
      </c>
      <c r="T23" s="54" t="n">
        <f aca="false">(I23-S23)+T22</f>
        <v>-1527.2</v>
      </c>
      <c r="U23" s="53" t="n">
        <v>68.6</v>
      </c>
      <c r="V23" s="53" t="n">
        <v>69.1</v>
      </c>
      <c r="W23" s="54" t="n">
        <f aca="false">W22-V23</f>
        <v>3435.87999999997</v>
      </c>
      <c r="X23" s="6" t="n">
        <f aca="false">N23+O23+S23+U23+V23</f>
        <v>544.1</v>
      </c>
      <c r="Y23" s="53" t="n">
        <f aca="false">IF(L23&lt;0,L23*-1,0)</f>
        <v>25.2574489538694</v>
      </c>
      <c r="Z23" s="53" t="n">
        <f aca="false">X23+Y23</f>
        <v>569.357448953869</v>
      </c>
      <c r="AA23" s="58" t="n">
        <v>0</v>
      </c>
      <c r="AB23" s="59" t="n">
        <v>81</v>
      </c>
      <c r="AC23" s="59" t="n">
        <v>53</v>
      </c>
      <c r="AD23" s="60" t="n">
        <v>14</v>
      </c>
      <c r="AE23" s="12"/>
      <c r="AF23" s="0"/>
      <c r="AG23" s="6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</row>
    <row r="24" customFormat="false" ht="11.1" hidden="false" customHeight="true" outlineLevel="0" collapsed="false">
      <c r="A24" s="60" t="n">
        <v>15</v>
      </c>
      <c r="B24" s="75" t="n">
        <v>6911.13</v>
      </c>
      <c r="C24" s="54" t="n">
        <v>326525</v>
      </c>
      <c r="D24" s="59" t="n">
        <f aca="false">C24-C23</f>
        <v>-931</v>
      </c>
      <c r="E24" s="54" t="n">
        <f aca="false">C24-152000</f>
        <v>174525</v>
      </c>
      <c r="F24" s="53" t="n">
        <f aca="false">D24/$D$2</f>
        <v>-469.372321653643</v>
      </c>
      <c r="G24" s="53" t="n">
        <v>208.5</v>
      </c>
      <c r="H24" s="55" t="n">
        <v>0</v>
      </c>
      <c r="I24" s="53" t="n">
        <f aca="false">G24+H24</f>
        <v>208.5</v>
      </c>
      <c r="J24" s="83" t="n">
        <f aca="false">IF(L24&gt;0,L24,0)</f>
        <v>0</v>
      </c>
      <c r="K24" s="53" t="n">
        <f aca="false">I24+J24</f>
        <v>208.5</v>
      </c>
      <c r="L24" s="53" t="n">
        <f aca="false">F24-(I24-X24)</f>
        <v>-138.372321653643</v>
      </c>
      <c r="M24" s="53" t="n">
        <v>157.4</v>
      </c>
      <c r="N24" s="89" t="n">
        <v>0</v>
      </c>
      <c r="O24" s="53" t="n">
        <v>0</v>
      </c>
      <c r="P24" s="6" t="n">
        <f aca="false">M24-(N24+O24)</f>
        <v>157.4</v>
      </c>
      <c r="Q24" s="53" t="n">
        <v>180.6</v>
      </c>
      <c r="R24" s="53" t="n">
        <v>73.5</v>
      </c>
      <c r="S24" s="53" t="n">
        <f aca="false">SUM(P24:R24)</f>
        <v>411.5</v>
      </c>
      <c r="T24" s="54" t="n">
        <f aca="false">(I24-S24)+T23</f>
        <v>-1730.2</v>
      </c>
      <c r="U24" s="53" t="n">
        <v>64</v>
      </c>
      <c r="V24" s="53" t="n">
        <v>64</v>
      </c>
      <c r="W24" s="54" t="n">
        <f aca="false">W23-V24</f>
        <v>3371.87999999997</v>
      </c>
      <c r="X24" s="6" t="n">
        <f aca="false">N24+O24+S24+U24+V24</f>
        <v>539.5</v>
      </c>
      <c r="Y24" s="53" t="n">
        <f aca="false">IF(L24&lt;0,L24*-1,0)</f>
        <v>138.372321653643</v>
      </c>
      <c r="Z24" s="53" t="n">
        <f aca="false">X24+Y24</f>
        <v>677.872321653643</v>
      </c>
      <c r="AA24" s="58" t="n">
        <v>0</v>
      </c>
      <c r="AB24" s="59" t="n">
        <v>82</v>
      </c>
      <c r="AC24" s="59" t="n">
        <v>53</v>
      </c>
      <c r="AD24" s="60" t="n">
        <v>15</v>
      </c>
      <c r="AE24" s="12"/>
      <c r="AF24" s="0"/>
      <c r="AG24" s="6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</row>
    <row r="25" customFormat="false" ht="11.1" hidden="false" customHeight="true" outlineLevel="0" collapsed="false">
      <c r="A25" s="60" t="n">
        <v>16</v>
      </c>
      <c r="B25" s="75" t="n">
        <v>6910.94</v>
      </c>
      <c r="C25" s="54" t="n">
        <v>325759</v>
      </c>
      <c r="D25" s="59" t="n">
        <f aca="false">C25-C24</f>
        <v>-766</v>
      </c>
      <c r="E25" s="54" t="n">
        <f aca="false">C25-152000</f>
        <v>173759</v>
      </c>
      <c r="F25" s="53" t="n">
        <f aca="false">D25/$D$2</f>
        <v>-386.186034786993</v>
      </c>
      <c r="G25" s="53" t="n">
        <v>203.2</v>
      </c>
      <c r="H25" s="55" t="n">
        <v>0</v>
      </c>
      <c r="I25" s="53" t="n">
        <f aca="false">G25+H25</f>
        <v>203.2</v>
      </c>
      <c r="J25" s="83" t="n">
        <f aca="false">IF(L25&gt;0,L25,0)</f>
        <v>0</v>
      </c>
      <c r="K25" s="53" t="n">
        <f aca="false">I25+J25</f>
        <v>203.2</v>
      </c>
      <c r="L25" s="53" t="n">
        <f aca="false">F25-(I25-X25)</f>
        <v>-36.1860347869926</v>
      </c>
      <c r="M25" s="53" t="n">
        <v>157.1</v>
      </c>
      <c r="N25" s="89" t="n">
        <v>0</v>
      </c>
      <c r="O25" s="53" t="n">
        <v>0</v>
      </c>
      <c r="P25" s="6" t="n">
        <f aca="false">M25-(N25+O25)</f>
        <v>157.1</v>
      </c>
      <c r="Q25" s="53" t="n">
        <v>180.1</v>
      </c>
      <c r="R25" s="53" t="n">
        <v>73.8</v>
      </c>
      <c r="S25" s="53" t="n">
        <f aca="false">SUM(P25:R25)</f>
        <v>411</v>
      </c>
      <c r="T25" s="54" t="n">
        <f aca="false">(I25-S25)+T24</f>
        <v>-1938</v>
      </c>
      <c r="U25" s="53" t="n">
        <v>83.2</v>
      </c>
      <c r="V25" s="53" t="n">
        <v>59</v>
      </c>
      <c r="W25" s="54" t="n">
        <f aca="false">W24-V25</f>
        <v>3312.87999999997</v>
      </c>
      <c r="X25" s="6" t="n">
        <f aca="false">N25+O25+S25+U25+V25</f>
        <v>553.2</v>
      </c>
      <c r="Y25" s="53" t="n">
        <f aca="false">IF(L25&lt;0,L25*-1,0)</f>
        <v>36.1860347869926</v>
      </c>
      <c r="Z25" s="53" t="n">
        <f aca="false">X25+Y25</f>
        <v>589.386034786993</v>
      </c>
      <c r="AA25" s="58" t="n">
        <v>0</v>
      </c>
      <c r="AB25" s="59" t="n">
        <v>84</v>
      </c>
      <c r="AC25" s="59" t="n">
        <v>55</v>
      </c>
      <c r="AD25" s="60" t="n">
        <v>16</v>
      </c>
      <c r="AE25" s="12"/>
      <c r="AF25" s="0"/>
      <c r="AG25" s="6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</row>
    <row r="26" customFormat="false" ht="11.1" hidden="false" customHeight="true" outlineLevel="0" collapsed="false">
      <c r="A26" s="60" t="n">
        <v>17</v>
      </c>
      <c r="B26" s="75" t="n">
        <v>6910.73</v>
      </c>
      <c r="C26" s="54" t="n">
        <v>324916</v>
      </c>
      <c r="D26" s="59" t="n">
        <f aca="false">C26-C25</f>
        <v>-843</v>
      </c>
      <c r="E26" s="54" t="n">
        <f aca="false">C26-152000</f>
        <v>172916</v>
      </c>
      <c r="F26" s="53" t="n">
        <f aca="false">D26/$D$2</f>
        <v>-425.006301991429</v>
      </c>
      <c r="G26" s="53" t="n">
        <v>187.9</v>
      </c>
      <c r="H26" s="55" t="n">
        <v>0</v>
      </c>
      <c r="I26" s="53" t="n">
        <f aca="false">G26+H26</f>
        <v>187.9</v>
      </c>
      <c r="J26" s="83" t="n">
        <f aca="false">IF(L26&gt;0,L26,0)</f>
        <v>0</v>
      </c>
      <c r="K26" s="53" t="n">
        <f aca="false">I26+J26</f>
        <v>187.9</v>
      </c>
      <c r="L26" s="53" t="n">
        <f aca="false">F26-(I26-X26)</f>
        <v>-71.2063019914292</v>
      </c>
      <c r="M26" s="53" t="n">
        <v>157.2</v>
      </c>
      <c r="N26" s="89" t="n">
        <v>0</v>
      </c>
      <c r="O26" s="53" t="n">
        <v>0</v>
      </c>
      <c r="P26" s="6" t="n">
        <f aca="false">M26-(N26+O26)</f>
        <v>157.2</v>
      </c>
      <c r="Q26" s="53" t="n">
        <v>179.8</v>
      </c>
      <c r="R26" s="53" t="n">
        <v>74.1</v>
      </c>
      <c r="S26" s="53" t="n">
        <f aca="false">SUM(P26:R26)</f>
        <v>411.1</v>
      </c>
      <c r="T26" s="54" t="n">
        <f aca="false">(I26-S26)+T25</f>
        <v>-2161.2</v>
      </c>
      <c r="U26" s="53" t="n">
        <v>71.6</v>
      </c>
      <c r="V26" s="53" t="n">
        <v>59</v>
      </c>
      <c r="W26" s="54" t="n">
        <f aca="false">W25-V26</f>
        <v>3253.87999999997</v>
      </c>
      <c r="X26" s="6" t="n">
        <f aca="false">N26+O26+S26+U26+V26</f>
        <v>541.7</v>
      </c>
      <c r="Y26" s="53" t="n">
        <f aca="false">IF(L26&lt;0,L26*-1,0)</f>
        <v>71.2063019914292</v>
      </c>
      <c r="Z26" s="53" t="n">
        <f aca="false">X26+Y26</f>
        <v>612.906301991429</v>
      </c>
      <c r="AA26" s="58" t="n">
        <v>0</v>
      </c>
      <c r="AB26" s="59" t="n">
        <v>87</v>
      </c>
      <c r="AC26" s="59" t="n">
        <v>56</v>
      </c>
      <c r="AD26" s="60" t="n">
        <v>17</v>
      </c>
      <c r="AE26" s="12"/>
      <c r="AF26" s="0"/>
      <c r="AG26" s="6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</row>
    <row r="27" customFormat="false" ht="11.1" hidden="false" customHeight="true" outlineLevel="0" collapsed="false">
      <c r="A27" s="60" t="n">
        <v>18</v>
      </c>
      <c r="B27" s="75" t="n">
        <v>6910.59</v>
      </c>
      <c r="C27" s="54" t="n">
        <v>324354</v>
      </c>
      <c r="D27" s="59" t="n">
        <f aca="false">C27-C26</f>
        <v>-562</v>
      </c>
      <c r="E27" s="54" t="n">
        <f aca="false">C27-152000</f>
        <v>172354</v>
      </c>
      <c r="F27" s="53" t="n">
        <f aca="false">D27/$D$2</f>
        <v>-283.337534660953</v>
      </c>
      <c r="G27" s="53" t="n">
        <v>184.5</v>
      </c>
      <c r="H27" s="55" t="n">
        <v>0</v>
      </c>
      <c r="I27" s="53" t="n">
        <f aca="false">G27+H27</f>
        <v>184.5</v>
      </c>
      <c r="J27" s="83" t="n">
        <f aca="false">IF(L27&gt;0,L27,0)</f>
        <v>66.6624653390471</v>
      </c>
      <c r="K27" s="53" t="n">
        <f aca="false">I27+J27</f>
        <v>251.162465339047</v>
      </c>
      <c r="L27" s="53" t="n">
        <f aca="false">F27-(I27-X27)</f>
        <v>66.6624653390471</v>
      </c>
      <c r="M27" s="53" t="n">
        <v>157</v>
      </c>
      <c r="N27" s="89" t="n">
        <v>0</v>
      </c>
      <c r="O27" s="53" t="n">
        <v>0</v>
      </c>
      <c r="P27" s="6" t="n">
        <f aca="false">M27-(N27+O27)</f>
        <v>157</v>
      </c>
      <c r="Q27" s="53" t="n">
        <v>179.8</v>
      </c>
      <c r="R27" s="53" t="n">
        <v>74.2</v>
      </c>
      <c r="S27" s="53" t="n">
        <f aca="false">SUM(P27:R27)</f>
        <v>411</v>
      </c>
      <c r="T27" s="54" t="n">
        <f aca="false">(I27-S27)+T26</f>
        <v>-2387.7</v>
      </c>
      <c r="U27" s="53" t="n">
        <v>64.5</v>
      </c>
      <c r="V27" s="53" t="n">
        <v>59</v>
      </c>
      <c r="W27" s="54" t="n">
        <f aca="false">W26-V27</f>
        <v>3194.87999999997</v>
      </c>
      <c r="X27" s="6" t="n">
        <f aca="false">N27+O27+S27+U27+V27</f>
        <v>534.5</v>
      </c>
      <c r="Y27" s="53" t="n">
        <f aca="false">IF(L27&lt;0,L27*-1,0)</f>
        <v>0</v>
      </c>
      <c r="Z27" s="53" t="n">
        <f aca="false">X27+Y27</f>
        <v>534.5</v>
      </c>
      <c r="AA27" s="58" t="n">
        <v>0.1</v>
      </c>
      <c r="AB27" s="59" t="n">
        <v>85</v>
      </c>
      <c r="AC27" s="59" t="n">
        <v>54</v>
      </c>
      <c r="AD27" s="60" t="n">
        <v>18</v>
      </c>
      <c r="AE27" s="12"/>
      <c r="AF27" s="0"/>
      <c r="AG27" s="6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</row>
    <row r="28" customFormat="false" ht="11.1" hidden="false" customHeight="true" outlineLevel="0" collapsed="false">
      <c r="A28" s="60" t="n">
        <v>19</v>
      </c>
      <c r="B28" s="75" t="n">
        <v>6910.38</v>
      </c>
      <c r="C28" s="54" t="n">
        <v>323511</v>
      </c>
      <c r="D28" s="59" t="n">
        <f aca="false">C28-C27</f>
        <v>-843</v>
      </c>
      <c r="E28" s="54" t="n">
        <f aca="false">C28-152000</f>
        <v>171511</v>
      </c>
      <c r="F28" s="53" t="n">
        <f aca="false">D28/$D$2</f>
        <v>-425.006301991429</v>
      </c>
      <c r="G28" s="53" t="n">
        <v>231</v>
      </c>
      <c r="H28" s="55" t="n">
        <v>0</v>
      </c>
      <c r="I28" s="53" t="n">
        <f aca="false">G28+H28</f>
        <v>231</v>
      </c>
      <c r="J28" s="83" t="n">
        <f aca="false">IF(L28&gt;0,L28,0)</f>
        <v>0</v>
      </c>
      <c r="K28" s="53" t="n">
        <f aca="false">I28+J28</f>
        <v>231</v>
      </c>
      <c r="L28" s="53" t="n">
        <f aca="false">F28-(I28-X28)</f>
        <v>-121.406301991429</v>
      </c>
      <c r="M28" s="53" t="n">
        <v>156.7</v>
      </c>
      <c r="N28" s="89" t="n">
        <v>0</v>
      </c>
      <c r="O28" s="53" t="n">
        <v>0</v>
      </c>
      <c r="P28" s="6" t="n">
        <f aca="false">M28-(N28+O28)</f>
        <v>156.7</v>
      </c>
      <c r="Q28" s="53" t="n">
        <v>179.8</v>
      </c>
      <c r="R28" s="104" t="n">
        <v>74.6</v>
      </c>
      <c r="S28" s="53" t="n">
        <f aca="false">SUM(P28:R28)</f>
        <v>411.1</v>
      </c>
      <c r="T28" s="54" t="n">
        <f aca="false">(I28-S28)+T27</f>
        <v>-2567.8</v>
      </c>
      <c r="U28" s="53" t="n">
        <v>64.5</v>
      </c>
      <c r="V28" s="53" t="n">
        <v>59</v>
      </c>
      <c r="W28" s="54" t="n">
        <f aca="false">W27-V28</f>
        <v>3135.87999999997</v>
      </c>
      <c r="X28" s="6" t="n">
        <f aca="false">N28+O28+S28+U28+V28</f>
        <v>534.6</v>
      </c>
      <c r="Y28" s="53" t="n">
        <f aca="false">IF(L28&lt;0,L28*-1,0)</f>
        <v>121.406301991429</v>
      </c>
      <c r="Z28" s="53" t="n">
        <f aca="false">X28+Y28</f>
        <v>656.006301991429</v>
      </c>
      <c r="AA28" s="58" t="n">
        <v>0</v>
      </c>
      <c r="AB28" s="59" t="n">
        <v>78</v>
      </c>
      <c r="AC28" s="59" t="n">
        <v>50</v>
      </c>
      <c r="AD28" s="60" t="n">
        <v>19</v>
      </c>
      <c r="AE28" s="12"/>
      <c r="AF28" s="0"/>
      <c r="AG28" s="6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</row>
    <row r="29" customFormat="false" ht="11.1" hidden="false" customHeight="true" outlineLevel="0" collapsed="false">
      <c r="A29" s="60" t="n">
        <v>20</v>
      </c>
      <c r="B29" s="75" t="n">
        <v>6910.21</v>
      </c>
      <c r="C29" s="54" t="n">
        <v>322829</v>
      </c>
      <c r="D29" s="59" t="n">
        <f aca="false">C29-C28</f>
        <v>-682</v>
      </c>
      <c r="E29" s="54" t="n">
        <f aca="false">C29-152000</f>
        <v>170829</v>
      </c>
      <c r="F29" s="53" t="n">
        <f aca="false">D29/$D$2</f>
        <v>-343.836652382153</v>
      </c>
      <c r="G29" s="53" t="n">
        <v>218.1</v>
      </c>
      <c r="H29" s="55" t="n">
        <v>0</v>
      </c>
      <c r="I29" s="53" t="n">
        <f aca="false">G29+H29</f>
        <v>218.1</v>
      </c>
      <c r="J29" s="83" t="n">
        <f aca="false">IF(L29&gt;0,L29,0)</f>
        <v>0</v>
      </c>
      <c r="K29" s="53" t="n">
        <f aca="false">I29+J29</f>
        <v>218.1</v>
      </c>
      <c r="L29" s="53" t="n">
        <f aca="false">F29-(I29-X29)</f>
        <v>-2.63665238215282</v>
      </c>
      <c r="M29" s="53" t="n">
        <v>156.3</v>
      </c>
      <c r="N29" s="89" t="n">
        <v>0</v>
      </c>
      <c r="O29" s="53" t="n">
        <v>0</v>
      </c>
      <c r="P29" s="6" t="n">
        <f aca="false">M29-(N29+O29)</f>
        <v>156.3</v>
      </c>
      <c r="Q29" s="53" t="n">
        <v>178.8</v>
      </c>
      <c r="R29" s="104" t="n">
        <v>76.4</v>
      </c>
      <c r="S29" s="53" t="n">
        <f aca="false">SUM(P29:R29)</f>
        <v>411.5</v>
      </c>
      <c r="T29" s="54" t="n">
        <f aca="false">(I29-S29)+T28</f>
        <v>-2761.2</v>
      </c>
      <c r="U29" s="53" t="n">
        <v>88.8</v>
      </c>
      <c r="V29" s="53" t="n">
        <v>59</v>
      </c>
      <c r="W29" s="54" t="n">
        <f aca="false">W28-V29</f>
        <v>3076.87999999997</v>
      </c>
      <c r="X29" s="6" t="n">
        <f aca="false">N29+O29+S29+U29+V29</f>
        <v>559.3</v>
      </c>
      <c r="Y29" s="53" t="n">
        <f aca="false">IF(L29&lt;0,L29*-1,0)</f>
        <v>2.63665238215282</v>
      </c>
      <c r="Z29" s="53" t="n">
        <f aca="false">X29+Y29</f>
        <v>561.936652382153</v>
      </c>
      <c r="AA29" s="58" t="n">
        <v>0</v>
      </c>
      <c r="AB29" s="59" t="n">
        <v>85</v>
      </c>
      <c r="AC29" s="59" t="n">
        <v>52</v>
      </c>
      <c r="AD29" s="60" t="n">
        <v>20</v>
      </c>
      <c r="AE29" s="12"/>
      <c r="AF29" s="0"/>
      <c r="AG29" s="6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</row>
    <row r="30" customFormat="false" ht="11.1" hidden="false" customHeight="true" outlineLevel="0" collapsed="false">
      <c r="A30" s="60" t="n">
        <v>21</v>
      </c>
      <c r="B30" s="75" t="n">
        <v>6909.96</v>
      </c>
      <c r="C30" s="54" t="n">
        <v>321827</v>
      </c>
      <c r="D30" s="59" t="n">
        <f aca="false">C30-C29</f>
        <v>-1002</v>
      </c>
      <c r="E30" s="54" t="n">
        <f aca="false">C30-152000</f>
        <v>169827</v>
      </c>
      <c r="F30" s="53" t="n">
        <f aca="false">D30/$D$2</f>
        <v>-505.167632972019</v>
      </c>
      <c r="G30" s="53" t="n">
        <v>195.2</v>
      </c>
      <c r="H30" s="55" t="n">
        <v>0</v>
      </c>
      <c r="I30" s="53" t="n">
        <f aca="false">G30+H30</f>
        <v>195.2</v>
      </c>
      <c r="J30" s="83" t="n">
        <f aca="false">IF(L30&gt;0,L30,0)</f>
        <v>0</v>
      </c>
      <c r="K30" s="53" t="n">
        <f aca="false">I30+J30</f>
        <v>195.2</v>
      </c>
      <c r="L30" s="53" t="n">
        <f aca="false">F30-(I30-X30)</f>
        <v>-145.167632972019</v>
      </c>
      <c r="M30" s="53" t="n">
        <v>156.8</v>
      </c>
      <c r="N30" s="89" t="n">
        <v>0</v>
      </c>
      <c r="O30" s="53" t="n">
        <v>0</v>
      </c>
      <c r="P30" s="6" t="n">
        <f aca="false">M30-(N30+O30)</f>
        <v>156.8</v>
      </c>
      <c r="Q30" s="53" t="n">
        <v>178.8</v>
      </c>
      <c r="R30" s="104" t="n">
        <v>76.4</v>
      </c>
      <c r="S30" s="53" t="n">
        <f aca="false">SUM(P30:R30)</f>
        <v>412</v>
      </c>
      <c r="T30" s="54" t="n">
        <f aca="false">(I30-S30)+T29</f>
        <v>-2978</v>
      </c>
      <c r="U30" s="53" t="n">
        <v>84.2</v>
      </c>
      <c r="V30" s="53" t="n">
        <v>59</v>
      </c>
      <c r="W30" s="54" t="n">
        <f aca="false">W29-V30</f>
        <v>3017.87999999997</v>
      </c>
      <c r="X30" s="6" t="n">
        <f aca="false">N30+O30+S30+U30+V30</f>
        <v>555.2</v>
      </c>
      <c r="Y30" s="53" t="n">
        <f aca="false">IF(L30&lt;0,L30*-1,0)</f>
        <v>145.167632972019</v>
      </c>
      <c r="Z30" s="53" t="n">
        <f aca="false">X30+Y30</f>
        <v>700.367632972019</v>
      </c>
      <c r="AA30" s="58" t="n">
        <v>0</v>
      </c>
      <c r="AB30" s="59" t="n">
        <v>88</v>
      </c>
      <c r="AC30" s="59" t="n">
        <v>52</v>
      </c>
      <c r="AD30" s="60" t="n">
        <v>21</v>
      </c>
      <c r="AE30" s="12"/>
      <c r="AF30" s="0"/>
      <c r="AG30" s="6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</row>
    <row r="31" customFormat="false" ht="11.1" hidden="false" customHeight="true" outlineLevel="0" collapsed="false">
      <c r="A31" s="60" t="n">
        <v>22</v>
      </c>
      <c r="B31" s="75" t="n">
        <v>6909.76</v>
      </c>
      <c r="C31" s="54" t="n">
        <v>321031</v>
      </c>
      <c r="D31" s="59" t="n">
        <f aca="false">C31-C30</f>
        <v>-796</v>
      </c>
      <c r="E31" s="54" t="n">
        <f aca="false">C31-152000</f>
        <v>169031</v>
      </c>
      <c r="F31" s="53" t="n">
        <f aca="false">D31/$D$2</f>
        <v>-401.310814217293</v>
      </c>
      <c r="G31" s="53" t="n">
        <v>179.4</v>
      </c>
      <c r="H31" s="55" t="n">
        <v>0</v>
      </c>
      <c r="I31" s="53" t="n">
        <f aca="false">G31+H31</f>
        <v>179.4</v>
      </c>
      <c r="J31" s="83" t="n">
        <f aca="false">IF(L31&gt;0,L31,0)</f>
        <v>0</v>
      </c>
      <c r="K31" s="53" t="n">
        <f aca="false">I31+J31</f>
        <v>179.4</v>
      </c>
      <c r="L31" s="53" t="n">
        <f aca="false">F31-(I31-X31)</f>
        <v>-25.6108142172926</v>
      </c>
      <c r="M31" s="53" t="n">
        <v>157.3</v>
      </c>
      <c r="N31" s="89" t="n">
        <v>0</v>
      </c>
      <c r="O31" s="53" t="n">
        <v>0</v>
      </c>
      <c r="P31" s="6" t="n">
        <f aca="false">M31-(N31+O31)</f>
        <v>157.3</v>
      </c>
      <c r="Q31" s="53" t="n">
        <v>180.4</v>
      </c>
      <c r="R31" s="53" t="n">
        <v>74.3</v>
      </c>
      <c r="S31" s="53" t="n">
        <f aca="false">SUM(P31:R31)</f>
        <v>412</v>
      </c>
      <c r="T31" s="54" t="n">
        <f aca="false">(I31-S31)+T30</f>
        <v>-3210.6</v>
      </c>
      <c r="U31" s="53" t="n">
        <v>88.8</v>
      </c>
      <c r="V31" s="53" t="n">
        <v>54.3</v>
      </c>
      <c r="W31" s="54" t="n">
        <f aca="false">W30-V31</f>
        <v>2963.57999999997</v>
      </c>
      <c r="X31" s="6" t="n">
        <f aca="false">N31+O31+S31+U31+V31</f>
        <v>555.1</v>
      </c>
      <c r="Y31" s="53" t="n">
        <f aca="false">IF(L31&lt;0,L31*-1,0)</f>
        <v>25.6108142172926</v>
      </c>
      <c r="Z31" s="53" t="n">
        <f aca="false">X31+Y31</f>
        <v>580.710814217293</v>
      </c>
      <c r="AA31" s="58" t="n">
        <v>0</v>
      </c>
      <c r="AB31" s="59" t="n">
        <v>89</v>
      </c>
      <c r="AC31" s="59" t="n">
        <v>55</v>
      </c>
      <c r="AD31" s="60" t="n">
        <v>22</v>
      </c>
      <c r="AE31" s="12"/>
      <c r="AF31" s="0"/>
      <c r="AG31" s="6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</row>
    <row r="32" customFormat="false" ht="11.1" hidden="false" customHeight="true" outlineLevel="0" collapsed="false">
      <c r="A32" s="60" t="n">
        <v>23</v>
      </c>
      <c r="B32" s="75" t="n">
        <v>6909.55</v>
      </c>
      <c r="C32" s="54" t="n">
        <v>320195</v>
      </c>
      <c r="D32" s="59" t="n">
        <f aca="false">C32-C31</f>
        <v>-836</v>
      </c>
      <c r="E32" s="54" t="n">
        <f aca="false">C32-152000</f>
        <v>168195</v>
      </c>
      <c r="F32" s="53" t="n">
        <f aca="false">D32/$D$2</f>
        <v>-421.477186791026</v>
      </c>
      <c r="G32" s="53" t="n">
        <v>173.5</v>
      </c>
      <c r="H32" s="55" t="n">
        <v>0</v>
      </c>
      <c r="I32" s="53" t="n">
        <f aca="false">G32+H32</f>
        <v>173.5</v>
      </c>
      <c r="J32" s="83" t="n">
        <f aca="false">IF(L32&gt;0,L32,0)</f>
        <v>0</v>
      </c>
      <c r="K32" s="53" t="n">
        <f aca="false">I32+J32</f>
        <v>173.5</v>
      </c>
      <c r="L32" s="53" t="n">
        <f aca="false">F32-(I32-X32)</f>
        <v>-16.4771867910259</v>
      </c>
      <c r="M32" s="53" t="n">
        <v>157.1</v>
      </c>
      <c r="N32" s="89" t="n">
        <v>0</v>
      </c>
      <c r="O32" s="53" t="n">
        <v>0</v>
      </c>
      <c r="P32" s="6" t="n">
        <f aca="false">M32-(N32+O32)</f>
        <v>157.1</v>
      </c>
      <c r="Q32" s="53" t="n">
        <v>180.5</v>
      </c>
      <c r="R32" s="53" t="n">
        <v>75.6</v>
      </c>
      <c r="S32" s="53" t="n">
        <f aca="false">SUM(P32:R32)</f>
        <v>413.2</v>
      </c>
      <c r="T32" s="54" t="n">
        <f aca="false">(I32-S32)+T31</f>
        <v>-3450.3</v>
      </c>
      <c r="U32" s="53" t="n">
        <v>110</v>
      </c>
      <c r="V32" s="53" t="n">
        <v>55.3</v>
      </c>
      <c r="W32" s="54" t="n">
        <f aca="false">W31-V32</f>
        <v>2908.27999999997</v>
      </c>
      <c r="X32" s="6" t="n">
        <f aca="false">N32+O32+S32+U32+V32</f>
        <v>578.5</v>
      </c>
      <c r="Y32" s="53" t="n">
        <f aca="false">IF(L32&lt;0,L32*-1,0)</f>
        <v>16.4771867910259</v>
      </c>
      <c r="Z32" s="53" t="n">
        <f aca="false">X32+Y32</f>
        <v>594.977186791026</v>
      </c>
      <c r="AA32" s="58" t="n">
        <v>0</v>
      </c>
      <c r="AB32" s="59" t="n">
        <v>85</v>
      </c>
      <c r="AC32" s="59" t="n">
        <v>56</v>
      </c>
      <c r="AD32" s="60" t="n">
        <v>23</v>
      </c>
      <c r="AE32" s="12"/>
      <c r="AF32" s="0"/>
      <c r="AG32" s="6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</row>
    <row r="33" customFormat="false" ht="11.1" hidden="false" customHeight="true" outlineLevel="0" collapsed="false">
      <c r="A33" s="60" t="n">
        <v>24</v>
      </c>
      <c r="B33" s="75" t="n">
        <v>6909.4</v>
      </c>
      <c r="C33" s="54" t="n">
        <v>319598</v>
      </c>
      <c r="D33" s="59" t="n">
        <f aca="false">C33-C32</f>
        <v>-597</v>
      </c>
      <c r="E33" s="54" t="n">
        <f aca="false">C33-152000</f>
        <v>167598</v>
      </c>
      <c r="F33" s="53" t="n">
        <f aca="false">D33/$D$2</f>
        <v>-300.983110662969</v>
      </c>
      <c r="G33" s="53" t="n">
        <v>179.8</v>
      </c>
      <c r="H33" s="55" t="n">
        <v>0</v>
      </c>
      <c r="I33" s="53" t="n">
        <f aca="false">G33+H33</f>
        <v>179.8</v>
      </c>
      <c r="J33" s="83" t="n">
        <f aca="false">IF(L33&gt;0,L33,0)</f>
        <v>114.116889337031</v>
      </c>
      <c r="K33" s="53" t="n">
        <f aca="false">I33+J33</f>
        <v>293.916889337031</v>
      </c>
      <c r="L33" s="53" t="n">
        <f aca="false">F33-(I33-X33)</f>
        <v>114.116889337031</v>
      </c>
      <c r="M33" s="53" t="n">
        <v>157</v>
      </c>
      <c r="N33" s="89" t="n">
        <v>0</v>
      </c>
      <c r="O33" s="53" t="n">
        <v>0</v>
      </c>
      <c r="P33" s="6" t="n">
        <f aca="false">M33-(N33+O33)</f>
        <v>157</v>
      </c>
      <c r="Q33" s="53" t="n">
        <v>179.3</v>
      </c>
      <c r="R33" s="53" t="n">
        <v>75.1</v>
      </c>
      <c r="S33" s="53" t="n">
        <f aca="false">SUM(P33:R33)</f>
        <v>411.4</v>
      </c>
      <c r="T33" s="54" t="n">
        <f aca="false">(I33-S33)+T32</f>
        <v>-3681.9</v>
      </c>
      <c r="U33" s="53" t="n">
        <v>128.1</v>
      </c>
      <c r="V33" s="53" t="n">
        <v>55.4</v>
      </c>
      <c r="W33" s="54" t="n">
        <f aca="false">W32-V33</f>
        <v>2852.87999999997</v>
      </c>
      <c r="X33" s="6" t="n">
        <f aca="false">N33+O33+S33+U33+V33</f>
        <v>594.9</v>
      </c>
      <c r="Y33" s="53" t="n">
        <f aca="false">IF(L33&lt;0,L33*-1,0)</f>
        <v>0</v>
      </c>
      <c r="Z33" s="53" t="n">
        <f aca="false">X33+Y33</f>
        <v>594.9</v>
      </c>
      <c r="AA33" s="58" t="n">
        <v>0</v>
      </c>
      <c r="AB33" s="59" t="n">
        <v>85</v>
      </c>
      <c r="AC33" s="59" t="n">
        <v>53</v>
      </c>
      <c r="AD33" s="60" t="n">
        <v>24</v>
      </c>
      <c r="AE33" s="12"/>
      <c r="AF33" s="0"/>
      <c r="AG33" s="6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</row>
    <row r="34" customFormat="false" ht="11.1" hidden="false" customHeight="true" outlineLevel="0" collapsed="false">
      <c r="A34" s="60" t="n">
        <v>25</v>
      </c>
      <c r="B34" s="75" t="n">
        <v>6909.1</v>
      </c>
      <c r="C34" s="54" t="n">
        <v>318403</v>
      </c>
      <c r="D34" s="59" t="n">
        <f aca="false">C34-C33</f>
        <v>-1195</v>
      </c>
      <c r="E34" s="54" t="n">
        <f aca="false">C34-152000</f>
        <v>166403</v>
      </c>
      <c r="F34" s="53" t="n">
        <f aca="false">D34/$D$2</f>
        <v>-602.470380640282</v>
      </c>
      <c r="G34" s="53" t="n">
        <v>174.4</v>
      </c>
      <c r="H34" s="55" t="n">
        <v>0</v>
      </c>
      <c r="I34" s="53" t="n">
        <f aca="false">G34+H34</f>
        <v>174.4</v>
      </c>
      <c r="J34" s="83" t="n">
        <f aca="false">IF(L34&gt;0,L34,0)</f>
        <v>0</v>
      </c>
      <c r="K34" s="53" t="n">
        <f aca="false">I34+J34</f>
        <v>174.4</v>
      </c>
      <c r="L34" s="53" t="n">
        <f aca="false">F34-(I34-X34)</f>
        <v>-219.870380640282</v>
      </c>
      <c r="M34" s="53" t="n">
        <v>157</v>
      </c>
      <c r="N34" s="89" t="n">
        <v>0</v>
      </c>
      <c r="O34" s="53" t="n">
        <v>0</v>
      </c>
      <c r="P34" s="6" t="n">
        <f aca="false">M34-(N34+O34)</f>
        <v>157</v>
      </c>
      <c r="Q34" s="53" t="n">
        <v>180.1</v>
      </c>
      <c r="R34" s="53" t="n">
        <v>74.6</v>
      </c>
      <c r="S34" s="53" t="n">
        <f aca="false">SUM(P34:R34)</f>
        <v>411.7</v>
      </c>
      <c r="T34" s="54" t="n">
        <f aca="false">(I34-S34)+T33</f>
        <v>-3919.2</v>
      </c>
      <c r="U34" s="53" t="n">
        <v>89.8</v>
      </c>
      <c r="V34" s="53" t="n">
        <v>55.5</v>
      </c>
      <c r="W34" s="54" t="n">
        <f aca="false">W33-V34</f>
        <v>2797.37999999997</v>
      </c>
      <c r="X34" s="6" t="n">
        <f aca="false">N34+O34+S34+U34+V34</f>
        <v>557</v>
      </c>
      <c r="Y34" s="53" t="n">
        <f aca="false">IF(L34&lt;0,L34*-1,0)</f>
        <v>219.870380640282</v>
      </c>
      <c r="Z34" s="53" t="n">
        <f aca="false">X34+Y34</f>
        <v>776.870380640282</v>
      </c>
      <c r="AA34" s="58" t="n">
        <v>0.03</v>
      </c>
      <c r="AB34" s="59" t="n">
        <v>86</v>
      </c>
      <c r="AC34" s="59" t="n">
        <v>54</v>
      </c>
      <c r="AD34" s="60" t="n">
        <v>25</v>
      </c>
      <c r="AE34" s="12"/>
      <c r="AF34" s="0"/>
      <c r="AG34" s="6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</row>
    <row r="35" customFormat="false" ht="11.1" hidden="false" customHeight="true" outlineLevel="0" collapsed="false">
      <c r="A35" s="60" t="n">
        <v>26</v>
      </c>
      <c r="B35" s="75" t="n">
        <v>6908.9</v>
      </c>
      <c r="C35" s="54" t="n">
        <v>317610</v>
      </c>
      <c r="D35" s="59" t="n">
        <f aca="false">C35-C34</f>
        <v>-793</v>
      </c>
      <c r="E35" s="54" t="n">
        <f aca="false">C35-152000</f>
        <v>165610</v>
      </c>
      <c r="F35" s="53" t="n">
        <f aca="false">D35/$D$2</f>
        <v>-399.798336274263</v>
      </c>
      <c r="G35" s="53" t="n">
        <v>171.8</v>
      </c>
      <c r="H35" s="55" t="n">
        <v>0</v>
      </c>
      <c r="I35" s="53" t="n">
        <f aca="false">G35+H35</f>
        <v>171.8</v>
      </c>
      <c r="J35" s="83" t="n">
        <f aca="false">IF(L35&gt;0,L35,0)</f>
        <v>0</v>
      </c>
      <c r="K35" s="53" t="n">
        <f aca="false">I35+J35</f>
        <v>171.8</v>
      </c>
      <c r="L35" s="53" t="n">
        <f aca="false">F35-(I35-X35)</f>
        <v>-27.0983362742627</v>
      </c>
      <c r="M35" s="53" t="n">
        <v>156.9</v>
      </c>
      <c r="N35" s="89" t="n">
        <v>0</v>
      </c>
      <c r="O35" s="53" t="n">
        <v>0</v>
      </c>
      <c r="P35" s="6" t="n">
        <f aca="false">M35-(N35+O35)</f>
        <v>156.9</v>
      </c>
      <c r="Q35" s="53" t="n">
        <v>127.4</v>
      </c>
      <c r="R35" s="53" t="n">
        <v>74.8</v>
      </c>
      <c r="S35" s="53" t="n">
        <f aca="false">SUM(P35:R35)</f>
        <v>359.1</v>
      </c>
      <c r="T35" s="54" t="n">
        <f aca="false">(I35-S35)+T34</f>
        <v>-4106.5</v>
      </c>
      <c r="U35" s="53" t="n">
        <v>129.1</v>
      </c>
      <c r="V35" s="53" t="n">
        <v>56.3</v>
      </c>
      <c r="W35" s="54" t="n">
        <f aca="false">W34-V35</f>
        <v>2741.07999999997</v>
      </c>
      <c r="X35" s="6" t="n">
        <f aca="false">N35+O35+S35+U35+V35</f>
        <v>544.5</v>
      </c>
      <c r="Y35" s="53" t="n">
        <f aca="false">IF(L35&lt;0,L35*-1,0)</f>
        <v>27.0983362742627</v>
      </c>
      <c r="Z35" s="53" t="n">
        <f aca="false">X35+Y35</f>
        <v>571.598336274263</v>
      </c>
      <c r="AA35" s="58" t="n">
        <v>0.02</v>
      </c>
      <c r="AB35" s="59" t="n">
        <v>83</v>
      </c>
      <c r="AC35" s="59" t="n">
        <v>53</v>
      </c>
      <c r="AD35" s="60" t="n">
        <v>26</v>
      </c>
      <c r="AE35" s="12"/>
      <c r="AF35" s="0"/>
      <c r="AG35" s="3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</row>
    <row r="36" customFormat="false" ht="11.1" hidden="false" customHeight="true" outlineLevel="0" collapsed="false">
      <c r="A36" s="60" t="n">
        <v>27</v>
      </c>
      <c r="B36" s="75" t="n">
        <v>6908.7</v>
      </c>
      <c r="C36" s="54" t="n">
        <v>316820</v>
      </c>
      <c r="D36" s="59" t="n">
        <f aca="false">C36-C35</f>
        <v>-790</v>
      </c>
      <c r="E36" s="54" t="n">
        <f aca="false">C36-152000</f>
        <v>164820</v>
      </c>
      <c r="F36" s="53" t="n">
        <f aca="false">D36/$D$2</f>
        <v>-398.285858331233</v>
      </c>
      <c r="G36" s="53" t="n">
        <v>163.8</v>
      </c>
      <c r="H36" s="55" t="n">
        <v>0</v>
      </c>
      <c r="I36" s="53" t="n">
        <f aca="false">G36+H36</f>
        <v>163.8</v>
      </c>
      <c r="J36" s="83" t="n">
        <f aca="false">IF(L36&gt;0,L36,0)</f>
        <v>0</v>
      </c>
      <c r="K36" s="53" t="n">
        <f aca="false">I36+J36</f>
        <v>163.8</v>
      </c>
      <c r="L36" s="53" t="n">
        <f aca="false">F36-(I36-X36)</f>
        <v>-27.3858583312326</v>
      </c>
      <c r="M36" s="53" t="n">
        <v>156.8</v>
      </c>
      <c r="N36" s="89" t="n">
        <v>0</v>
      </c>
      <c r="O36" s="53" t="n">
        <v>0</v>
      </c>
      <c r="P36" s="6" t="n">
        <f aca="false">M36-(N36+O36)</f>
        <v>156.8</v>
      </c>
      <c r="Q36" s="53" t="n">
        <v>110.1</v>
      </c>
      <c r="R36" s="53" t="n">
        <v>74.7</v>
      </c>
      <c r="S36" s="53" t="n">
        <f aca="false">SUM(P36:R36)</f>
        <v>341.6</v>
      </c>
      <c r="T36" s="54" t="n">
        <f aca="false">(I36-S36)+T35</f>
        <v>-4284.3</v>
      </c>
      <c r="U36" s="53" t="n">
        <v>136.2</v>
      </c>
      <c r="V36" s="53" t="n">
        <v>56.9</v>
      </c>
      <c r="W36" s="54" t="n">
        <f aca="false">W35-V36</f>
        <v>2684.17999999997</v>
      </c>
      <c r="X36" s="6" t="n">
        <f aca="false">N36+O36+S36+U36+V36</f>
        <v>534.7</v>
      </c>
      <c r="Y36" s="53" t="n">
        <f aca="false">IF(L36&lt;0,L36*-1,0)</f>
        <v>27.3858583312326</v>
      </c>
      <c r="Z36" s="53" t="n">
        <f aca="false">X36+Y36</f>
        <v>562.085858331233</v>
      </c>
      <c r="AA36" s="58" t="n">
        <v>0</v>
      </c>
      <c r="AB36" s="59" t="n">
        <v>82</v>
      </c>
      <c r="AC36" s="59" t="n">
        <v>54</v>
      </c>
      <c r="AD36" s="60" t="n">
        <v>27</v>
      </c>
      <c r="AE36" s="12"/>
      <c r="AF36" s="0"/>
      <c r="AG36" s="6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</row>
    <row r="37" customFormat="false" ht="11.1" hidden="false" customHeight="true" outlineLevel="0" collapsed="false">
      <c r="A37" s="140" t="n">
        <v>28</v>
      </c>
      <c r="B37" s="114" t="n">
        <v>6908.46</v>
      </c>
      <c r="C37" s="115" t="n">
        <v>315873</v>
      </c>
      <c r="D37" s="136" t="n">
        <f aca="false">C37-C36</f>
        <v>-947</v>
      </c>
      <c r="E37" s="115" t="n">
        <f aca="false">C37-152000</f>
        <v>163873</v>
      </c>
      <c r="F37" s="104" t="n">
        <f aca="false">D37/$D$2</f>
        <v>-477.438870683136</v>
      </c>
      <c r="G37" s="104" t="n">
        <v>158.9</v>
      </c>
      <c r="H37" s="141" t="n">
        <v>0</v>
      </c>
      <c r="I37" s="104" t="n">
        <f aca="false">G37+H37</f>
        <v>158.9</v>
      </c>
      <c r="J37" s="142" t="n">
        <f aca="false">IF(L37&gt;0,L37,0)</f>
        <v>0</v>
      </c>
      <c r="K37" s="104" t="n">
        <f aca="false">I37+J37</f>
        <v>158.9</v>
      </c>
      <c r="L37" s="104" t="n">
        <f aca="false">F37-(I37-X37)</f>
        <v>-107.138870683136</v>
      </c>
      <c r="M37" s="104" t="n">
        <v>156.1</v>
      </c>
      <c r="N37" s="103" t="n">
        <v>0</v>
      </c>
      <c r="O37" s="104" t="n">
        <v>0</v>
      </c>
      <c r="P37" s="6" t="n">
        <f aca="false">M37-(N37+O37)</f>
        <v>156.1</v>
      </c>
      <c r="Q37" s="104" t="n">
        <v>109.8</v>
      </c>
      <c r="R37" s="104" t="n">
        <v>75.3</v>
      </c>
      <c r="S37" s="53" t="n">
        <f aca="false">SUM(P37:R37)</f>
        <v>341.2</v>
      </c>
      <c r="T37" s="54" t="n">
        <f aca="false">(I37-S37)+T36</f>
        <v>-4466.6</v>
      </c>
      <c r="U37" s="104" t="n">
        <v>129.6</v>
      </c>
      <c r="V37" s="53" t="n">
        <v>58.4</v>
      </c>
      <c r="W37" s="54" t="n">
        <f aca="false">W36-V37</f>
        <v>2625.77999999997</v>
      </c>
      <c r="X37" s="6" t="n">
        <f aca="false">N37+O37+S37+U37+V37</f>
        <v>529.2</v>
      </c>
      <c r="Y37" s="104" t="n">
        <f aca="false">IF(L37&lt;0,L37*-1,0)</f>
        <v>107.138870683136</v>
      </c>
      <c r="Z37" s="104" t="n">
        <f aca="false">X37+Y37</f>
        <v>636.338870683136</v>
      </c>
      <c r="AA37" s="101" t="n">
        <v>0</v>
      </c>
      <c r="AB37" s="136" t="n">
        <v>80</v>
      </c>
      <c r="AC37" s="136" t="n">
        <v>53</v>
      </c>
      <c r="AD37" s="140" t="n">
        <v>28</v>
      </c>
      <c r="AE37" s="12"/>
      <c r="AF37" s="0"/>
      <c r="AG37" s="6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</row>
    <row r="38" customFormat="false" ht="11.1" hidden="false" customHeight="true" outlineLevel="0" collapsed="false">
      <c r="A38" s="140" t="n">
        <v>29</v>
      </c>
      <c r="B38" s="114" t="n">
        <v>6908.25</v>
      </c>
      <c r="C38" s="115" t="n">
        <v>315043</v>
      </c>
      <c r="D38" s="136" t="n">
        <f aca="false">C38-C37</f>
        <v>-830</v>
      </c>
      <c r="E38" s="115" t="n">
        <f aca="false">C38-152000</f>
        <v>163043</v>
      </c>
      <c r="F38" s="104" t="n">
        <f aca="false">D38/$D$2</f>
        <v>-418.452230904966</v>
      </c>
      <c r="G38" s="104" t="n">
        <v>166</v>
      </c>
      <c r="H38" s="141" t="n">
        <v>0</v>
      </c>
      <c r="I38" s="104" t="n">
        <f aca="false">G38+H38</f>
        <v>166</v>
      </c>
      <c r="J38" s="142" t="n">
        <f aca="false">IF(L38&gt;0,L38,0)</f>
        <v>0</v>
      </c>
      <c r="K38" s="104" t="n">
        <f aca="false">I38+J38</f>
        <v>166</v>
      </c>
      <c r="L38" s="104" t="n">
        <f aca="false">F38-(I38-X38)</f>
        <v>-37.8522309049659</v>
      </c>
      <c r="M38" s="104" t="n">
        <v>155.7</v>
      </c>
      <c r="N38" s="103" t="n">
        <v>0</v>
      </c>
      <c r="O38" s="104" t="n">
        <v>0</v>
      </c>
      <c r="P38" s="6" t="n">
        <f aca="false">M38-(N38+O38)</f>
        <v>155.7</v>
      </c>
      <c r="Q38" s="104" t="n">
        <v>110.3</v>
      </c>
      <c r="R38" s="104" t="n">
        <v>76.2</v>
      </c>
      <c r="S38" s="53" t="n">
        <f aca="false">SUM(P38:R38)</f>
        <v>342.2</v>
      </c>
      <c r="T38" s="54" t="n">
        <f aca="false">(I38-S38)+T37</f>
        <v>-4642.8</v>
      </c>
      <c r="U38" s="104" t="n">
        <v>144.7</v>
      </c>
      <c r="V38" s="53" t="n">
        <v>59.7</v>
      </c>
      <c r="W38" s="54" t="n">
        <f aca="false">W37-V38</f>
        <v>2566.07999999997</v>
      </c>
      <c r="X38" s="6" t="n">
        <f aca="false">N38+O38+S38+U38+V38</f>
        <v>546.6</v>
      </c>
      <c r="Y38" s="104" t="n">
        <f aca="false">IF(L38&lt;0,L38*-1,0)</f>
        <v>37.8522309049659</v>
      </c>
      <c r="Z38" s="104" t="n">
        <f aca="false">X38+Y38</f>
        <v>584.452230904966</v>
      </c>
      <c r="AA38" s="101" t="n">
        <v>0</v>
      </c>
      <c r="AB38" s="136" t="n">
        <v>82</v>
      </c>
      <c r="AC38" s="136" t="n">
        <v>55</v>
      </c>
      <c r="AD38" s="140" t="n">
        <v>29</v>
      </c>
      <c r="AE38" s="12"/>
      <c r="AF38" s="0"/>
      <c r="AG38" s="6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</row>
    <row r="39" customFormat="false" ht="11.1" hidden="false" customHeight="true" outlineLevel="0" collapsed="false">
      <c r="A39" s="140" t="n">
        <v>30</v>
      </c>
      <c r="B39" s="114" t="n">
        <v>6908.02</v>
      </c>
      <c r="C39" s="115" t="n">
        <v>314135</v>
      </c>
      <c r="D39" s="136" t="n">
        <f aca="false">C39-C38</f>
        <v>-908</v>
      </c>
      <c r="E39" s="115" t="n">
        <f aca="false">C39-152000</f>
        <v>162135</v>
      </c>
      <c r="F39" s="104" t="n">
        <f aca="false">D39/$D$2</f>
        <v>-457.776657423746</v>
      </c>
      <c r="G39" s="104" t="n">
        <v>159.6</v>
      </c>
      <c r="H39" s="141" t="n">
        <v>0</v>
      </c>
      <c r="I39" s="104" t="n">
        <f aca="false">G39+H39</f>
        <v>159.6</v>
      </c>
      <c r="J39" s="142" t="n">
        <f aca="false">IF(L39&gt;0,L39,0)</f>
        <v>0</v>
      </c>
      <c r="K39" s="104" t="n">
        <f aca="false">I39+J39</f>
        <v>159.6</v>
      </c>
      <c r="L39" s="104" t="n">
        <f aca="false">F39-(I39-X39)</f>
        <v>-70.7766574237459</v>
      </c>
      <c r="M39" s="104" t="n">
        <v>157.3</v>
      </c>
      <c r="N39" s="103" t="n">
        <v>0</v>
      </c>
      <c r="O39" s="104" t="n">
        <v>0</v>
      </c>
      <c r="P39" s="6" t="n">
        <f aca="false">M39-(N39+O39)</f>
        <v>157.3</v>
      </c>
      <c r="Q39" s="104" t="n">
        <v>109.2</v>
      </c>
      <c r="R39" s="104" t="n">
        <v>76.3</v>
      </c>
      <c r="S39" s="53" t="n">
        <f aca="false">SUM(P39:R39)</f>
        <v>342.8</v>
      </c>
      <c r="T39" s="54" t="n">
        <f aca="false">(I39-S39)+T38</f>
        <v>-4826</v>
      </c>
      <c r="U39" s="104" t="n">
        <v>143.2</v>
      </c>
      <c r="V39" s="53" t="n">
        <v>60.6</v>
      </c>
      <c r="W39" s="54" t="n">
        <f aca="false">W38-V39</f>
        <v>2505.47999999997</v>
      </c>
      <c r="X39" s="6" t="n">
        <f aca="false">N39+O39+S39+U39+V39</f>
        <v>546.6</v>
      </c>
      <c r="Y39" s="104" t="n">
        <f aca="false">IF(L39&lt;0,L39*-1,0)</f>
        <v>70.7766574237459</v>
      </c>
      <c r="Z39" s="104" t="n">
        <f aca="false">X39+Y39</f>
        <v>617.376657423746</v>
      </c>
      <c r="AA39" s="101" t="n">
        <v>0</v>
      </c>
      <c r="AB39" s="136" t="n">
        <v>87</v>
      </c>
      <c r="AC39" s="136" t="n">
        <v>56</v>
      </c>
      <c r="AD39" s="140" t="n">
        <v>30</v>
      </c>
      <c r="AE39" s="12"/>
      <c r="AF39" s="0"/>
      <c r="AG39" s="6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</row>
    <row r="40" customFormat="false" ht="11.25" hidden="false" customHeight="true" outlineLevel="0" collapsed="false">
      <c r="A40" s="140" t="n">
        <v>31</v>
      </c>
      <c r="B40" s="114" t="n">
        <v>6907.8</v>
      </c>
      <c r="C40" s="115" t="n">
        <v>313272</v>
      </c>
      <c r="D40" s="136" t="n">
        <f aca="false">C40-C39</f>
        <v>-863</v>
      </c>
      <c r="E40" s="115" t="n">
        <f aca="false">C40-152000</f>
        <v>161272</v>
      </c>
      <c r="F40" s="104" t="n">
        <f aca="false">D40/$D$2</f>
        <v>-435.089488278296</v>
      </c>
      <c r="G40" s="104" t="n">
        <v>155.9</v>
      </c>
      <c r="H40" s="141" t="n">
        <v>0</v>
      </c>
      <c r="I40" s="104" t="n">
        <f aca="false">G40+H40</f>
        <v>155.9</v>
      </c>
      <c r="J40" s="142" t="n">
        <f aca="false">IF(L40&gt;0,L40,0)</f>
        <v>0</v>
      </c>
      <c r="K40" s="104" t="n">
        <f aca="false">I40+J40</f>
        <v>155.9</v>
      </c>
      <c r="L40" s="104" t="n">
        <f aca="false">F40-(I40-X40)</f>
        <v>-45.3894882782959</v>
      </c>
      <c r="M40" s="104" t="n">
        <v>158.7</v>
      </c>
      <c r="N40" s="103" t="n">
        <v>0</v>
      </c>
      <c r="O40" s="104" t="n">
        <v>0</v>
      </c>
      <c r="P40" s="6" t="n">
        <f aca="false">M40-(N40+O40)</f>
        <v>158.7</v>
      </c>
      <c r="Q40" s="104" t="n">
        <v>108.4</v>
      </c>
      <c r="R40" s="104" t="n">
        <v>77.6</v>
      </c>
      <c r="S40" s="53" t="n">
        <f aca="false">SUM(P40:R40)</f>
        <v>344.7</v>
      </c>
      <c r="T40" s="54" t="n">
        <f aca="false">(I40-S40)+T39</f>
        <v>-5014.8</v>
      </c>
      <c r="U40" s="104" t="n">
        <v>140.2</v>
      </c>
      <c r="V40" s="53" t="n">
        <v>60.7</v>
      </c>
      <c r="W40" s="54" t="n">
        <f aca="false">W39-V40</f>
        <v>2444.77999999997</v>
      </c>
      <c r="X40" s="6" t="n">
        <f aca="false">N40+O40+S40+U40+V40</f>
        <v>545.6</v>
      </c>
      <c r="Y40" s="104" t="n">
        <f aca="false">IF(L40&lt;0,L40*-1,0)</f>
        <v>45.3894882782959</v>
      </c>
      <c r="Z40" s="104" t="n">
        <f aca="false">X40+Y40</f>
        <v>590.989488278296</v>
      </c>
      <c r="AA40" s="101" t="n">
        <v>0</v>
      </c>
      <c r="AB40" s="136" t="n">
        <v>82</v>
      </c>
      <c r="AC40" s="136" t="n">
        <v>58</v>
      </c>
      <c r="AD40" s="140" t="n">
        <v>31</v>
      </c>
      <c r="AE40" s="107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</row>
    <row r="41" customFormat="false" ht="3" hidden="false" customHeight="true" outlineLevel="0" collapsed="false">
      <c r="A41" s="76"/>
      <c r="B41" s="76"/>
      <c r="C41" s="78"/>
      <c r="D41" s="76"/>
      <c r="E41" s="78"/>
      <c r="F41" s="76"/>
      <c r="G41" s="76"/>
      <c r="H41" s="79"/>
      <c r="I41" s="76"/>
      <c r="J41" s="76"/>
      <c r="K41" s="76"/>
      <c r="L41" s="76"/>
      <c r="M41" s="76" t="s">
        <v>80</v>
      </c>
      <c r="N41" s="76"/>
      <c r="O41" s="76"/>
      <c r="P41" s="76"/>
      <c r="Q41" s="76"/>
      <c r="R41" s="76"/>
      <c r="S41" s="76"/>
      <c r="T41" s="78"/>
      <c r="U41" s="76"/>
      <c r="V41" s="76"/>
      <c r="W41" s="76"/>
      <c r="X41" s="76"/>
      <c r="Y41" s="76"/>
      <c r="Z41" s="76"/>
      <c r="AA41" s="80"/>
      <c r="AB41" s="81"/>
      <c r="AC41" s="81"/>
      <c r="AD41" s="82"/>
      <c r="AE41" s="94"/>
      <c r="AF41" s="95"/>
    </row>
    <row r="42" customFormat="false" ht="11.1" hidden="false" customHeight="true" outlineLevel="0" collapsed="false">
      <c r="A42" s="53" t="s">
        <v>46</v>
      </c>
      <c r="B42" s="53"/>
      <c r="C42" s="54"/>
      <c r="D42" s="54"/>
      <c r="E42" s="54"/>
      <c r="F42" s="54" t="n">
        <f aca="false">SUM(F10:F40)</f>
        <v>-11526.5944038316</v>
      </c>
      <c r="G42" s="54" t="n">
        <f aca="false">SUM(G10:G40)</f>
        <v>6704.3</v>
      </c>
      <c r="H42" s="54" t="n">
        <f aca="false">SUM(H10:H40)</f>
        <v>0</v>
      </c>
      <c r="I42" s="54" t="n">
        <f aca="false">SUM(I10:I40)</f>
        <v>6704.3</v>
      </c>
      <c r="J42" s="54" t="n">
        <f aca="false">SUM(J10:J40)</f>
        <v>361.600277287623</v>
      </c>
      <c r="K42" s="54" t="n">
        <f aca="false">SUM(K10:K40)</f>
        <v>7065.90027728762</v>
      </c>
      <c r="L42" s="54" t="n">
        <f aca="false">SUM(L10:L40)</f>
        <v>-1246.89440383161</v>
      </c>
      <c r="M42" s="54" t="n">
        <f aca="false">SUM(M10:M40)</f>
        <v>4689.3</v>
      </c>
      <c r="N42" s="54" t="n">
        <f aca="false">SUM(N10:N40)</f>
        <v>0</v>
      </c>
      <c r="O42" s="54" t="n">
        <f aca="false">SUM(O10:O40)</f>
        <v>0</v>
      </c>
      <c r="P42" s="54" t="n">
        <f aca="false">SUM(P10:P40)</f>
        <v>4689.3</v>
      </c>
      <c r="Q42" s="54" t="n">
        <f aca="false">SUM(Q10:Q40)</f>
        <v>5161.9</v>
      </c>
      <c r="R42" s="54" t="n">
        <f aca="false">SUM(R10:R40)</f>
        <v>2323.3</v>
      </c>
      <c r="S42" s="54" t="n">
        <f aca="false">SUM(S10:S40)</f>
        <v>12174.5</v>
      </c>
      <c r="T42" s="54"/>
      <c r="U42" s="54" t="n">
        <f aca="false">SUM(U10:U40)</f>
        <v>2861</v>
      </c>
      <c r="V42" s="54" t="n">
        <f aca="false">SUM(V10:V40)</f>
        <v>1948.5</v>
      </c>
      <c r="W42" s="54"/>
      <c r="X42" s="54" t="n">
        <f aca="false">SUM(X10:X40)</f>
        <v>16984</v>
      </c>
      <c r="Y42" s="54" t="n">
        <f aca="false">SUM(Y10:Y40)</f>
        <v>1608.49468111923</v>
      </c>
      <c r="Z42" s="54" t="n">
        <f aca="false">SUM(Z10:Z40)</f>
        <v>18592.4946811192</v>
      </c>
      <c r="AA42" s="58" t="n">
        <f aca="false">SUM(AA10:AA40)</f>
        <v>0.96</v>
      </c>
      <c r="AB42" s="59" t="n">
        <f aca="false">AVERAGE(AB10:AB40)</f>
        <v>81.9677419354839</v>
      </c>
      <c r="AC42" s="59" t="n">
        <f aca="false">AVERAGE(AC10:AC40)</f>
        <v>53.7096774193548</v>
      </c>
      <c r="AD42" s="60" t="s">
        <v>69</v>
      </c>
      <c r="AE42" s="94"/>
      <c r="AF42" s="95"/>
    </row>
    <row r="43" customFormat="false" ht="11.1" hidden="false" customHeight="true" outlineLevel="0" collapsed="false">
      <c r="A43" s="53" t="s">
        <v>48</v>
      </c>
      <c r="B43" s="53"/>
      <c r="C43" s="54"/>
      <c r="D43" s="54" t="n">
        <f aca="false">SUM(D10:D40)</f>
        <v>-22863</v>
      </c>
      <c r="E43" s="54"/>
      <c r="F43" s="54" t="n">
        <f aca="false">F42*$D$2</f>
        <v>-22863</v>
      </c>
      <c r="G43" s="54" t="n">
        <f aca="false">G42*$D$2</f>
        <v>13297.97905</v>
      </c>
      <c r="H43" s="54" t="n">
        <f aca="false">H42*$D$2</f>
        <v>0</v>
      </c>
      <c r="I43" s="54" t="n">
        <f aca="false">I42*$D$2</f>
        <v>13297.97905</v>
      </c>
      <c r="J43" s="54" t="n">
        <f aca="false">J42*$D$2</f>
        <v>717.23415</v>
      </c>
      <c r="K43" s="54" t="n">
        <f aca="false">K42*$D$2</f>
        <v>14015.2132</v>
      </c>
      <c r="L43" s="54" t="n">
        <f aca="false">L42*$D$2</f>
        <v>-2473.21505</v>
      </c>
      <c r="M43" s="54" t="n">
        <f aca="false">M42*$D$2</f>
        <v>9301.22655</v>
      </c>
      <c r="N43" s="54" t="n">
        <f aca="false">N42*$D$2</f>
        <v>0</v>
      </c>
      <c r="O43" s="54" t="n">
        <f aca="false">O42*$D$2</f>
        <v>0</v>
      </c>
      <c r="P43" s="54" t="n">
        <f aca="false">P42*$D$2</f>
        <v>9301.22655</v>
      </c>
      <c r="Q43" s="54" t="n">
        <f aca="false">Q42*$D$2</f>
        <v>10238.62865</v>
      </c>
      <c r="R43" s="54" t="n">
        <f aca="false">R42*$D$2</f>
        <v>4608.26555</v>
      </c>
      <c r="S43" s="54" t="n">
        <f aca="false">S42*$D$2</f>
        <v>24148.12075</v>
      </c>
      <c r="T43" s="54"/>
      <c r="U43" s="54" t="n">
        <f aca="false">U42*$D$2</f>
        <v>5674.7935</v>
      </c>
      <c r="V43" s="54" t="n">
        <f aca="false">V42*$D$2</f>
        <v>3864.84975</v>
      </c>
      <c r="W43" s="54"/>
      <c r="X43" s="54" t="n">
        <f aca="false">X42*$D$2</f>
        <v>33687.764</v>
      </c>
      <c r="Y43" s="54" t="n">
        <f aca="false">Y42*$D$2</f>
        <v>3190.4492</v>
      </c>
      <c r="Z43" s="54" t="n">
        <f aca="false">Z42*$D$2</f>
        <v>36878.2132</v>
      </c>
      <c r="AA43" s="58"/>
      <c r="AB43" s="59" t="n">
        <f aca="false">MAX(AB10:AB40)</f>
        <v>89</v>
      </c>
      <c r="AC43" s="59" t="n">
        <f aca="false">MAX(AC10:AC40)</f>
        <v>58</v>
      </c>
      <c r="AD43" s="60" t="s">
        <v>49</v>
      </c>
      <c r="AE43" s="94"/>
      <c r="AF43" s="95"/>
    </row>
    <row r="44" customFormat="false" ht="3" hidden="false" customHeight="true" outlineLevel="0" collapsed="false">
      <c r="A44" s="76"/>
      <c r="B44" s="76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6"/>
      <c r="X44" s="78"/>
      <c r="Y44" s="78"/>
      <c r="Z44" s="78"/>
      <c r="AA44" s="58"/>
      <c r="AB44" s="59"/>
      <c r="AC44" s="59"/>
      <c r="AD44" s="60"/>
      <c r="AE44" s="94"/>
      <c r="AF44" s="95"/>
    </row>
    <row r="45" customFormat="false" ht="11.1" hidden="false" customHeight="true" outlineLevel="0" collapsed="false">
      <c r="A45" s="53" t="s">
        <v>50</v>
      </c>
      <c r="B45" s="53"/>
      <c r="C45" s="54"/>
      <c r="D45" s="54"/>
      <c r="E45" s="54"/>
      <c r="F45" s="54" t="n">
        <f aca="false">F7+F42</f>
        <v>34163.8517771616</v>
      </c>
      <c r="G45" s="54" t="n">
        <f aca="false">G7+G42</f>
        <v>106098</v>
      </c>
      <c r="H45" s="54" t="n">
        <f aca="false">H7+H42</f>
        <v>4933.7</v>
      </c>
      <c r="I45" s="54" t="n">
        <f aca="false">I7+I42</f>
        <v>111031.7</v>
      </c>
      <c r="J45" s="54" t="n">
        <f aca="false">J7+J42</f>
        <v>16101.0678270734</v>
      </c>
      <c r="K45" s="54" t="n">
        <f aca="false">K7+K42</f>
        <v>127132.767827073</v>
      </c>
      <c r="L45" s="54" t="n">
        <f aca="false">L7+L42</f>
        <v>11243.6017771616</v>
      </c>
      <c r="M45" s="54" t="n">
        <f aca="false">M7+M42</f>
        <v>24771</v>
      </c>
      <c r="N45" s="54" t="n">
        <f aca="false">N7+N42</f>
        <v>0</v>
      </c>
      <c r="O45" s="54" t="n">
        <f aca="false">O7+O42</f>
        <v>0</v>
      </c>
      <c r="P45" s="54" t="n">
        <f aca="false">P7+P42</f>
        <v>24771</v>
      </c>
      <c r="Q45" s="54" t="n">
        <f aca="false">Q7+Q42</f>
        <v>22284.52</v>
      </c>
      <c r="R45" s="54" t="n">
        <f aca="false">R7+R42</f>
        <v>9662.91</v>
      </c>
      <c r="S45" s="54" t="n">
        <f aca="false">S7+S42</f>
        <v>56718.43</v>
      </c>
      <c r="T45" s="137" t="n">
        <f aca="false">T40</f>
        <v>-5014.8</v>
      </c>
      <c r="U45" s="54" t="n">
        <f aca="false">U7+U42</f>
        <v>12524.4</v>
      </c>
      <c r="V45" s="54" t="n">
        <f aca="false">V7+V42</f>
        <v>18868.62</v>
      </c>
      <c r="W45" s="137" t="n">
        <f aca="false">W40</f>
        <v>2444.77999999997</v>
      </c>
      <c r="X45" s="54" t="n">
        <f aca="false">X7+X42</f>
        <v>88111.45</v>
      </c>
      <c r="Y45" s="54" t="n">
        <f aca="false">Y7+Y42</f>
        <v>4857.46604991177</v>
      </c>
      <c r="Z45" s="54" t="n">
        <f aca="false">Z7+Z42</f>
        <v>92968.9160499118</v>
      </c>
      <c r="AA45" s="58"/>
      <c r="AB45" s="59" t="n">
        <f aca="false">MIN(AB10:AB40)</f>
        <v>70</v>
      </c>
      <c r="AC45" s="59" t="n">
        <f aca="false">MIN(AC10:AC40)</f>
        <v>50</v>
      </c>
      <c r="AD45" s="60" t="s">
        <v>51</v>
      </c>
      <c r="AE45" s="94"/>
      <c r="AF45" s="95"/>
    </row>
    <row r="46" customFormat="false" ht="11.1" hidden="false" customHeight="true" outlineLevel="0" collapsed="false">
      <c r="A46" s="53" t="s">
        <v>52</v>
      </c>
      <c r="B46" s="53"/>
      <c r="C46" s="54"/>
      <c r="D46" s="54"/>
      <c r="E46" s="54"/>
      <c r="F46" s="54" t="n">
        <f aca="false">F45*$D$2</f>
        <v>67764</v>
      </c>
      <c r="G46" s="54" t="n">
        <f aca="false">G45*$D$2</f>
        <v>210445.383</v>
      </c>
      <c r="H46" s="54" t="n">
        <f aca="false">H45*$D$2</f>
        <v>9785.99395</v>
      </c>
      <c r="I46" s="54" t="n">
        <f aca="false">I45*$D$2</f>
        <v>220231.37695</v>
      </c>
      <c r="J46" s="54" t="n">
        <f aca="false">J45*$D$2</f>
        <v>31936.468035</v>
      </c>
      <c r="K46" s="54" t="n">
        <f aca="false">K45*$D$2</f>
        <v>252167.844985</v>
      </c>
      <c r="L46" s="54" t="n">
        <f aca="false">L45*$D$2</f>
        <v>22301.684125</v>
      </c>
      <c r="M46" s="54" t="n">
        <f aca="false">M45*$D$2</f>
        <v>49133.2785</v>
      </c>
      <c r="N46" s="54" t="n">
        <f aca="false">N45*$D$2</f>
        <v>0</v>
      </c>
      <c r="O46" s="54" t="n">
        <f aca="false">O45*$D$2</f>
        <v>0</v>
      </c>
      <c r="P46" s="54" t="n">
        <f aca="false">P45*$D$2</f>
        <v>49133.2785</v>
      </c>
      <c r="Q46" s="54" t="n">
        <f aca="false">Q45*$D$2</f>
        <v>44201.34542</v>
      </c>
      <c r="R46" s="54" t="n">
        <f aca="false">R45*$D$2</f>
        <v>19166.381985</v>
      </c>
      <c r="S46" s="54" t="n">
        <f aca="false">S45*$D$2</f>
        <v>112501.005905</v>
      </c>
      <c r="T46" s="54" t="n">
        <f aca="false">T45*$D$2</f>
        <v>-9946.8558</v>
      </c>
      <c r="U46" s="54" t="n">
        <f aca="false">U45*$D$2</f>
        <v>24842.1474</v>
      </c>
      <c r="V46" s="54" t="n">
        <f aca="false">V45*$D$2</f>
        <v>37425.90777</v>
      </c>
      <c r="W46" s="54" t="n">
        <f aca="false">W45*$D$2</f>
        <v>4849.22112999995</v>
      </c>
      <c r="X46" s="54" t="n">
        <f aca="false">X45*$D$2</f>
        <v>174769.061075</v>
      </c>
      <c r="Y46" s="54" t="n">
        <f aca="false">Y45*$D$2</f>
        <v>9634.78391</v>
      </c>
      <c r="Z46" s="54" t="n">
        <f aca="false">Z45*$D$2</f>
        <v>184403.844985</v>
      </c>
      <c r="AA46" s="58"/>
      <c r="AB46" s="59"/>
      <c r="AC46" s="59"/>
      <c r="AD46" s="60"/>
      <c r="AE46" s="94"/>
      <c r="AF46" s="95"/>
    </row>
    <row r="47" customFormat="false" ht="3" hidden="false" customHeight="true" outlineLevel="0" collapsed="false">
      <c r="A47" s="76"/>
      <c r="B47" s="76"/>
      <c r="C47" s="78"/>
      <c r="D47" s="78"/>
      <c r="E47" s="78"/>
      <c r="F47" s="78"/>
      <c r="G47" s="78"/>
      <c r="H47" s="81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80"/>
      <c r="AB47" s="59"/>
      <c r="AC47" s="59"/>
      <c r="AD47" s="60"/>
      <c r="AE47" s="94"/>
      <c r="AF47" s="95"/>
    </row>
    <row r="48" customFormat="false" ht="11.1" hidden="false" customHeight="true" outlineLevel="0" collapsed="false">
      <c r="A48" s="53" t="s">
        <v>53</v>
      </c>
      <c r="B48" s="53"/>
      <c r="C48" s="54"/>
      <c r="D48" s="54"/>
      <c r="E48" s="54"/>
      <c r="F48" s="54" t="n">
        <f aca="false">F8+F42</f>
        <v>37512.9821023443</v>
      </c>
      <c r="G48" s="54" t="n">
        <f aca="false">G8+G42</f>
        <v>117562.77</v>
      </c>
      <c r="H48" s="59" t="n">
        <f aca="false">H8+H42</f>
        <v>5008.35</v>
      </c>
      <c r="I48" s="54" t="n">
        <f aca="false">I8+I42</f>
        <v>122467.92</v>
      </c>
      <c r="J48" s="54" t="n">
        <f aca="false">J8+J42</f>
        <v>16742.1767431308</v>
      </c>
      <c r="K48" s="54" t="n">
        <f aca="false">K8+K42</f>
        <v>139210.096743131</v>
      </c>
      <c r="L48" s="54" t="n">
        <f aca="false">L8+L42</f>
        <v>11346.5221023443</v>
      </c>
      <c r="M48" s="54" t="n">
        <f aca="false">M8+M42</f>
        <v>26207.32</v>
      </c>
      <c r="N48" s="54" t="n">
        <f aca="false">N8+N42</f>
        <v>0.08</v>
      </c>
      <c r="O48" s="54" t="n">
        <f aca="false">O8+O42</f>
        <v>0</v>
      </c>
      <c r="P48" s="54" t="n">
        <f aca="false">P8+P42</f>
        <v>26207.24</v>
      </c>
      <c r="Q48" s="54" t="n">
        <f aca="false">Q8+Q42</f>
        <v>23889.71</v>
      </c>
      <c r="R48" s="54" t="n">
        <f aca="false">R8+R42</f>
        <v>10035.31</v>
      </c>
      <c r="S48" s="54" t="n">
        <f aca="false">S8+S42</f>
        <v>60132.26</v>
      </c>
      <c r="T48" s="54" t="n">
        <f aca="false">T45</f>
        <v>-5014.8</v>
      </c>
      <c r="U48" s="54" t="n">
        <f aca="false">U8+U42</f>
        <v>12524.4</v>
      </c>
      <c r="V48" s="54" t="n">
        <f aca="false">V8+V42</f>
        <v>23644.72</v>
      </c>
      <c r="W48" s="54" t="n">
        <f aca="false">W40</f>
        <v>2444.77999999997</v>
      </c>
      <c r="X48" s="54" t="n">
        <f aca="false">X8+X42</f>
        <v>96301.46</v>
      </c>
      <c r="Y48" s="54" t="n">
        <f aca="false">Y8+Y42</f>
        <v>5395.65464078649</v>
      </c>
      <c r="Z48" s="54" t="n">
        <f aca="false">Z8+Z42</f>
        <v>101697.114640786</v>
      </c>
      <c r="AA48" s="58" t="n">
        <f aca="false">AA8+AA42</f>
        <v>9.34</v>
      </c>
      <c r="AB48" s="59"/>
      <c r="AC48" s="59"/>
      <c r="AD48" s="60"/>
      <c r="AE48" s="94"/>
      <c r="AF48" s="95"/>
    </row>
    <row r="49" customFormat="false" ht="11.1" hidden="false" customHeight="true" outlineLevel="0" collapsed="false">
      <c r="A49" s="53" t="s">
        <v>54</v>
      </c>
      <c r="B49" s="53"/>
      <c r="C49" s="54"/>
      <c r="D49" s="54" t="n">
        <f aca="false">D8+D43</f>
        <v>74407</v>
      </c>
      <c r="E49" s="54" t="n">
        <f aca="false">E40</f>
        <v>161272</v>
      </c>
      <c r="F49" s="54" t="n">
        <f aca="false">F48*$D$2</f>
        <v>74407</v>
      </c>
      <c r="G49" s="54" t="n">
        <f aca="false">G48*$D$2</f>
        <v>233185.754295</v>
      </c>
      <c r="H49" s="59" t="n">
        <f aca="false">H48*$D$2</f>
        <v>9934.062225</v>
      </c>
      <c r="I49" s="54" t="n">
        <f aca="false">I48*$D$2</f>
        <v>242915.11932</v>
      </c>
      <c r="J49" s="54" t="n">
        <f aca="false">J48*$D$2</f>
        <v>33208.10757</v>
      </c>
      <c r="K49" s="54" t="n">
        <f aca="false">K48*$D$2</f>
        <v>276123.22689</v>
      </c>
      <c r="L49" s="54" t="n">
        <f aca="false">L48*$D$2</f>
        <v>22505.82659</v>
      </c>
      <c r="M49" s="54" t="n">
        <f aca="false">M48*$D$2</f>
        <v>51982.21922</v>
      </c>
      <c r="N49" s="54" t="n">
        <f aca="false">N48*$D$2</f>
        <v>0.15868</v>
      </c>
      <c r="O49" s="54" t="n">
        <f aca="false">O48*$D$2</f>
        <v>0</v>
      </c>
      <c r="P49" s="54" t="n">
        <f aca="false">P48*$D$2</f>
        <v>51982.06054</v>
      </c>
      <c r="Q49" s="54" t="n">
        <f aca="false">Q48*$D$2</f>
        <v>47385.239785</v>
      </c>
      <c r="R49" s="54" t="n">
        <f aca="false">R48*$D$2</f>
        <v>19905.037385</v>
      </c>
      <c r="S49" s="54" t="n">
        <f aca="false">S48*$D$2</f>
        <v>119272.33771</v>
      </c>
      <c r="T49" s="54" t="n">
        <f aca="false">T48*$D$2</f>
        <v>-9946.8558</v>
      </c>
      <c r="U49" s="54" t="n">
        <f aca="false">U48*$D$2</f>
        <v>24842.1474</v>
      </c>
      <c r="V49" s="54" t="n">
        <f aca="false">V48*$D$2</f>
        <v>46899.30212</v>
      </c>
      <c r="W49" s="54" t="n">
        <f aca="false">W48*$D$2</f>
        <v>4849.22112999995</v>
      </c>
      <c r="X49" s="54" t="n">
        <f aca="false">X48*$D$2</f>
        <v>191013.94591</v>
      </c>
      <c r="Y49" s="54" t="n">
        <f aca="false">Y48*$D$2</f>
        <v>10702.28098</v>
      </c>
      <c r="Z49" s="54" t="n">
        <f aca="false">Z48*$D$2</f>
        <v>201716.22689</v>
      </c>
      <c r="AA49" s="58"/>
      <c r="AB49" s="59"/>
      <c r="AC49" s="59"/>
      <c r="AD49" s="60"/>
      <c r="AE49" s="94"/>
      <c r="AF49" s="95"/>
    </row>
    <row r="50" customFormat="false" ht="3" hidden="false" customHeight="true" outlineLevel="0" collapsed="false">
      <c r="A50" s="76"/>
      <c r="B50" s="76"/>
      <c r="C50" s="78"/>
      <c r="D50" s="76"/>
      <c r="E50" s="78"/>
      <c r="F50" s="76"/>
      <c r="G50" s="76"/>
      <c r="H50" s="79"/>
      <c r="I50" s="76"/>
      <c r="J50" s="76"/>
      <c r="K50" s="116"/>
      <c r="L50" s="76"/>
      <c r="M50" s="76"/>
      <c r="N50" s="76"/>
      <c r="O50" s="76"/>
      <c r="P50" s="76"/>
      <c r="Q50" s="76"/>
      <c r="R50" s="76"/>
      <c r="S50" s="76"/>
      <c r="T50" s="78"/>
      <c r="U50" s="76"/>
      <c r="V50" s="76"/>
      <c r="W50" s="78"/>
      <c r="X50" s="76"/>
      <c r="Y50" s="76"/>
      <c r="Z50" s="76"/>
      <c r="AA50" s="58"/>
      <c r="AB50" s="59"/>
      <c r="AC50" s="59"/>
      <c r="AD50" s="60"/>
      <c r="AE50" s="94"/>
      <c r="AF50" s="95"/>
    </row>
    <row r="51" customFormat="false" ht="11.1" hidden="false" customHeight="true" outlineLevel="0" collapsed="false">
      <c r="Q51" s="143"/>
      <c r="S51" s="54"/>
      <c r="T51" s="54"/>
    </row>
    <row r="52" customFormat="false" ht="11.1" hidden="false" customHeight="true" outlineLevel="0" collapsed="false">
      <c r="Q52" s="143"/>
      <c r="S52" s="54"/>
      <c r="T52" s="54"/>
    </row>
    <row r="53" customFormat="false" ht="11.1" hidden="false" customHeight="true" outlineLevel="0" collapsed="false">
      <c r="S53" s="54"/>
      <c r="T53" s="54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Q20" activePane="bottomRight" state="frozen"/>
      <selection pane="topLeft" activeCell="A1" activeCellId="0" sqref="A1"/>
      <selection pane="topRight" activeCell="Q1" activeCellId="0" sqref="Q1"/>
      <selection pane="bottomLeft" activeCell="A20" activeCellId="0" sqref="A20"/>
      <selection pane="bottomRight" activeCell="AC39" activeCellId="0" sqref="AC39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5.66"/>
    <col collapsed="false" customWidth="true" hidden="false" outlineLevel="0" max="2" min="2" style="46" width="7.82"/>
    <col collapsed="false" customWidth="true" hidden="false" outlineLevel="0" max="3" min="3" style="47" width="7.66"/>
    <col collapsed="false" customWidth="true" hidden="false" outlineLevel="0" max="4" min="4" style="46" width="6.99"/>
    <col collapsed="false" customWidth="true" hidden="false" outlineLevel="0" max="5" min="5" style="47" width="7.66"/>
    <col collapsed="false" customWidth="true" hidden="false" outlineLevel="0" max="6" min="6" style="46" width="7.66"/>
    <col collapsed="false" customWidth="true" hidden="false" outlineLevel="0" max="7" min="7" style="46" width="7.16"/>
    <col collapsed="false" customWidth="true" hidden="false" outlineLevel="0" max="8" min="8" style="138" width="6.66"/>
    <col collapsed="false" customWidth="true" hidden="false" outlineLevel="0" max="9" min="9" style="46" width="7.99"/>
    <col collapsed="false" customWidth="true" hidden="false" outlineLevel="0" max="10" min="10" style="46" width="6.66"/>
    <col collapsed="false" customWidth="true" hidden="false" outlineLevel="0" max="12" min="11" style="46" width="7.16"/>
    <col collapsed="false" customWidth="true" hidden="false" outlineLevel="0" max="13" min="13" style="49" width="6.82"/>
    <col collapsed="false" customWidth="true" hidden="true" outlineLevel="0" max="14" min="14" style="49" width="7.32"/>
    <col collapsed="false" customWidth="true" hidden="true" outlineLevel="0" max="15" min="15" style="49" width="6.49"/>
    <col collapsed="false" customWidth="true" hidden="true" outlineLevel="0" max="16" min="16" style="46" width="7.16"/>
    <col collapsed="false" customWidth="true" hidden="false" outlineLevel="0" max="17" min="17" style="46" width="6.16"/>
    <col collapsed="false" customWidth="true" hidden="false" outlineLevel="0" max="18" min="18" style="46" width="5.82"/>
    <col collapsed="false" customWidth="true" hidden="false" outlineLevel="0" max="19" min="19" style="47" width="6.82"/>
    <col collapsed="false" customWidth="true" hidden="false" outlineLevel="0" max="20" min="20" style="46" width="7.66"/>
    <col collapsed="false" customWidth="true" hidden="false" outlineLevel="0" max="21" min="21" style="46" width="5.99"/>
    <col collapsed="false" customWidth="true" hidden="false" outlineLevel="0" max="22" min="22" style="47" width="6.66"/>
    <col collapsed="false" customWidth="true" hidden="false" outlineLevel="0" max="23" min="23" style="46" width="6.82"/>
    <col collapsed="false" customWidth="true" hidden="false" outlineLevel="0" max="25" min="24" style="46" width="7.82"/>
    <col collapsed="false" customWidth="true" hidden="false" outlineLevel="0" max="26" min="26" style="50" width="8.16"/>
    <col collapsed="false" customWidth="true" hidden="false" outlineLevel="0" max="27" min="27" style="48" width="5.32"/>
    <col collapsed="false" customWidth="true" hidden="false" outlineLevel="0" max="28" min="28" style="51" width="4.66"/>
    <col collapsed="false" customWidth="true" hidden="false" outlineLevel="0" max="29" min="29" style="52" width="4.66"/>
    <col collapsed="false" customWidth="true" hidden="false" outlineLevel="0" max="30" min="30" style="46" width="5.66"/>
    <col collapsed="false" customWidth="false" hidden="false" outlineLevel="0" max="257" min="31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5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9"/>
      <c r="AC1" s="60"/>
      <c r="AD1" s="90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1.9835</v>
      </c>
      <c r="E2" s="54"/>
      <c r="F2" s="53"/>
      <c r="G2" s="53"/>
      <c r="H2" s="55"/>
      <c r="I2" s="53"/>
      <c r="J2" s="53"/>
      <c r="K2" s="62" t="s">
        <v>81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8"/>
      <c r="AB2" s="59"/>
      <c r="AC2" s="60"/>
      <c r="AD2" s="90"/>
    </row>
    <row r="3" customFormat="false" ht="11.1" hidden="false" customHeight="true" outlineLevel="0" collapsed="false">
      <c r="A3" s="53"/>
      <c r="B3" s="53"/>
      <c r="C3" s="54"/>
      <c r="D3" s="63"/>
      <c r="E3" s="54"/>
      <c r="F3" s="53"/>
      <c r="G3" s="53"/>
      <c r="H3" s="55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9"/>
      <c r="AC3" s="60"/>
      <c r="AD3" s="90"/>
    </row>
    <row r="4" customFormat="false" ht="11.1" hidden="false" customHeight="true" outlineLevel="0" collapsed="false">
      <c r="A4" s="64" t="s">
        <v>3</v>
      </c>
      <c r="B4" s="64" t="s">
        <v>4</v>
      </c>
      <c r="C4" s="65" t="s">
        <v>4</v>
      </c>
      <c r="D4" s="64" t="s">
        <v>5</v>
      </c>
      <c r="E4" s="65" t="s">
        <v>6</v>
      </c>
      <c r="F4" s="64" t="s">
        <v>7</v>
      </c>
      <c r="G4" s="64" t="s">
        <v>8</v>
      </c>
      <c r="H4" s="66" t="s">
        <v>9</v>
      </c>
      <c r="I4" s="64" t="s">
        <v>10</v>
      </c>
      <c r="J4" s="64" t="s">
        <v>11</v>
      </c>
      <c r="K4" s="64" t="s">
        <v>12</v>
      </c>
      <c r="L4" s="64" t="s">
        <v>11</v>
      </c>
      <c r="M4" s="64" t="s">
        <v>13</v>
      </c>
      <c r="N4" s="64"/>
      <c r="O4" s="64"/>
      <c r="P4" s="64"/>
      <c r="Q4" s="64" t="s">
        <v>14</v>
      </c>
      <c r="R4" s="64" t="s">
        <v>15</v>
      </c>
      <c r="S4" s="64" t="s">
        <v>12</v>
      </c>
      <c r="T4" s="65" t="s">
        <v>16</v>
      </c>
      <c r="U4" s="64" t="s">
        <v>17</v>
      </c>
      <c r="V4" s="64" t="s">
        <v>18</v>
      </c>
      <c r="W4" s="65" t="s">
        <v>19</v>
      </c>
      <c r="X4" s="64" t="s">
        <v>10</v>
      </c>
      <c r="Y4" s="64" t="s">
        <v>11</v>
      </c>
      <c r="Z4" s="64" t="s">
        <v>12</v>
      </c>
      <c r="AA4" s="67" t="s">
        <v>20</v>
      </c>
      <c r="AB4" s="68" t="s">
        <v>21</v>
      </c>
      <c r="AC4" s="68" t="s">
        <v>22</v>
      </c>
      <c r="AD4" s="68" t="s">
        <v>3</v>
      </c>
      <c r="AE4" s="90"/>
    </row>
    <row r="5" customFormat="false" ht="11.1" hidden="false" customHeight="true" outlineLevel="0" collapsed="false">
      <c r="A5" s="69" t="s">
        <v>82</v>
      </c>
      <c r="B5" s="64" t="s">
        <v>24</v>
      </c>
      <c r="C5" s="65" t="s">
        <v>5</v>
      </c>
      <c r="D5" s="64" t="s">
        <v>25</v>
      </c>
      <c r="E5" s="65" t="s">
        <v>26</v>
      </c>
      <c r="F5" s="64" t="s">
        <v>27</v>
      </c>
      <c r="G5" s="64" t="s">
        <v>28</v>
      </c>
      <c r="H5" s="66" t="s">
        <v>29</v>
      </c>
      <c r="I5" s="64" t="s">
        <v>30</v>
      </c>
      <c r="J5" s="64" t="s">
        <v>30</v>
      </c>
      <c r="K5" s="64" t="s">
        <v>30</v>
      </c>
      <c r="L5" s="64" t="s">
        <v>31</v>
      </c>
      <c r="M5" s="64" t="s">
        <v>32</v>
      </c>
      <c r="N5" s="64" t="s">
        <v>33</v>
      </c>
      <c r="O5" s="64" t="s">
        <v>34</v>
      </c>
      <c r="P5" s="64" t="s">
        <v>35</v>
      </c>
      <c r="Q5" s="64" t="s">
        <v>36</v>
      </c>
      <c r="R5" s="64" t="s">
        <v>37</v>
      </c>
      <c r="S5" s="64" t="s">
        <v>16</v>
      </c>
      <c r="T5" s="65" t="s">
        <v>38</v>
      </c>
      <c r="U5" s="64" t="s">
        <v>39</v>
      </c>
      <c r="V5" s="64" t="s">
        <v>40</v>
      </c>
      <c r="W5" s="65" t="s">
        <v>41</v>
      </c>
      <c r="X5" s="64" t="s">
        <v>42</v>
      </c>
      <c r="Y5" s="64" t="s">
        <v>42</v>
      </c>
      <c r="Z5" s="64" t="s">
        <v>42</v>
      </c>
      <c r="AA5" s="70"/>
      <c r="AB5" s="68" t="s">
        <v>43</v>
      </c>
      <c r="AC5" s="68" t="s">
        <v>43</v>
      </c>
      <c r="AD5" s="71" t="s">
        <v>82</v>
      </c>
      <c r="AE5" s="90"/>
      <c r="AG5" s="139"/>
      <c r="AH5" s="139"/>
    </row>
    <row r="6" customFormat="false" ht="11.1" hidden="false" customHeight="true" outlineLevel="0" collapsed="false">
      <c r="A6" s="72"/>
      <c r="B6" s="72"/>
      <c r="C6" s="144"/>
      <c r="D6" s="72"/>
      <c r="E6" s="73"/>
      <c r="F6" s="72"/>
      <c r="G6" s="72"/>
      <c r="H6" s="74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3"/>
      <c r="U6" s="72"/>
      <c r="V6" s="72"/>
      <c r="W6" s="73"/>
      <c r="X6" s="72"/>
      <c r="Y6" s="72"/>
      <c r="Z6" s="72"/>
      <c r="AA6" s="58"/>
      <c r="AB6" s="60"/>
      <c r="AC6" s="60"/>
      <c r="AD6" s="60"/>
      <c r="AE6" s="94"/>
      <c r="AF6" s="95"/>
      <c r="AG6" s="139"/>
      <c r="AH6" s="139"/>
    </row>
    <row r="7" customFormat="false" ht="11.1" hidden="false" customHeight="true" outlineLevel="0" collapsed="false">
      <c r="A7" s="53" t="s">
        <v>44</v>
      </c>
      <c r="B7" s="53"/>
      <c r="C7" s="145"/>
      <c r="D7" s="54"/>
      <c r="E7" s="54"/>
      <c r="F7" s="54" t="n">
        <f aca="false">AUG!F45</f>
        <v>34163.8517771616</v>
      </c>
      <c r="G7" s="54" t="n">
        <f aca="false">AUG!G45</f>
        <v>106098</v>
      </c>
      <c r="H7" s="54" t="n">
        <f aca="false">AUG!H45</f>
        <v>4933.7</v>
      </c>
      <c r="I7" s="54" t="n">
        <f aca="false">AUG!I45</f>
        <v>111031.7</v>
      </c>
      <c r="J7" s="54" t="n">
        <f aca="false">AUG!J45</f>
        <v>16101.0678270734</v>
      </c>
      <c r="K7" s="54" t="n">
        <f aca="false">AUG!K45</f>
        <v>127132.767827073</v>
      </c>
      <c r="L7" s="54" t="n">
        <f aca="false">AUG!L45</f>
        <v>11243.6017771616</v>
      </c>
      <c r="M7" s="54" t="n">
        <f aca="false">AUG!M45</f>
        <v>24771</v>
      </c>
      <c r="N7" s="54" t="n">
        <f aca="false">AUG!N45</f>
        <v>0</v>
      </c>
      <c r="O7" s="54" t="n">
        <f aca="false">AUG!O45</f>
        <v>0</v>
      </c>
      <c r="P7" s="54" t="n">
        <f aca="false">AUG!P45</f>
        <v>24771</v>
      </c>
      <c r="Q7" s="54" t="n">
        <f aca="false">AUG!Q45</f>
        <v>22284.52</v>
      </c>
      <c r="R7" s="54" t="n">
        <f aca="false">AUG!R45</f>
        <v>9662.91</v>
      </c>
      <c r="S7" s="54" t="n">
        <f aca="false">AUG!S45</f>
        <v>56718.43</v>
      </c>
      <c r="T7" s="54" t="n">
        <f aca="false">AUG!T45</f>
        <v>-5014.8</v>
      </c>
      <c r="U7" s="54" t="n">
        <f aca="false">AUG!U45</f>
        <v>12524.4</v>
      </c>
      <c r="V7" s="54" t="n">
        <f aca="false">AUG!V45</f>
        <v>18868.62</v>
      </c>
      <c r="W7" s="54"/>
      <c r="X7" s="54" t="n">
        <f aca="false">AUG!X45</f>
        <v>88111.45</v>
      </c>
      <c r="Y7" s="54" t="n">
        <f aca="false">AUG!Y45</f>
        <v>4857.46604991177</v>
      </c>
      <c r="Z7" s="54" t="n">
        <f aca="false">AUG!Z45</f>
        <v>92968.9160499118</v>
      </c>
      <c r="AA7" s="58"/>
      <c r="AB7" s="59"/>
      <c r="AC7" s="59"/>
      <c r="AD7" s="60"/>
      <c r="AE7" s="95"/>
      <c r="AF7" s="95"/>
    </row>
    <row r="8" s="47" customFormat="true" ht="11.1" hidden="false" customHeight="true" outlineLevel="0" collapsed="false">
      <c r="A8" s="54" t="s">
        <v>45</v>
      </c>
      <c r="B8" s="75" t="n">
        <f aca="false">AUG!B40</f>
        <v>6907.8</v>
      </c>
      <c r="C8" s="54" t="n">
        <f aca="false">AUG!C40</f>
        <v>313272</v>
      </c>
      <c r="D8" s="54" t="n">
        <f aca="false">AUG!D49</f>
        <v>74407</v>
      </c>
      <c r="E8" s="54" t="n">
        <f aca="false">AUG!E49</f>
        <v>161272</v>
      </c>
      <c r="F8" s="54" t="n">
        <f aca="false">AUG!F48</f>
        <v>37512.9821023443</v>
      </c>
      <c r="G8" s="54" t="n">
        <f aca="false">AUG!G48</f>
        <v>117562.77</v>
      </c>
      <c r="H8" s="54" t="n">
        <f aca="false">AUG!H48</f>
        <v>5008.35</v>
      </c>
      <c r="I8" s="54" t="n">
        <f aca="false">AUG!I48</f>
        <v>122467.92</v>
      </c>
      <c r="J8" s="54" t="n">
        <f aca="false">AUG!J48</f>
        <v>16742.1767431308</v>
      </c>
      <c r="K8" s="54" t="n">
        <f aca="false">AUG!K48</f>
        <v>139210.096743131</v>
      </c>
      <c r="L8" s="54" t="n">
        <f aca="false">AUG!L48</f>
        <v>11346.5221023443</v>
      </c>
      <c r="M8" s="54" t="n">
        <f aca="false">AUG!M48</f>
        <v>26207.32</v>
      </c>
      <c r="N8" s="54" t="n">
        <f aca="false">AUG!N48</f>
        <v>0.08</v>
      </c>
      <c r="O8" s="54" t="n">
        <f aca="false">AUG!O48</f>
        <v>0</v>
      </c>
      <c r="P8" s="54" t="n">
        <f aca="false">AUG!P48</f>
        <v>26207.24</v>
      </c>
      <c r="Q8" s="54" t="n">
        <f aca="false">AUG!Q48</f>
        <v>23889.71</v>
      </c>
      <c r="R8" s="54" t="n">
        <f aca="false">AUG!R48</f>
        <v>10035.31</v>
      </c>
      <c r="S8" s="54" t="n">
        <f aca="false">AUG!S48</f>
        <v>60132.26</v>
      </c>
      <c r="T8" s="54" t="n">
        <f aca="false">AUG!T48</f>
        <v>-5014.8</v>
      </c>
      <c r="U8" s="54" t="n">
        <f aca="false">AUG!U48</f>
        <v>12524.4</v>
      </c>
      <c r="V8" s="54" t="n">
        <f aca="false">AUG!V48</f>
        <v>23644.72</v>
      </c>
      <c r="W8" s="54" t="n">
        <f aca="false">AUG!W48</f>
        <v>2444.77999999997</v>
      </c>
      <c r="X8" s="54" t="n">
        <f aca="false">AUG!X48</f>
        <v>96301.46</v>
      </c>
      <c r="Y8" s="54" t="n">
        <f aca="false">AUG!Y48</f>
        <v>5395.65464078649</v>
      </c>
      <c r="Z8" s="54" t="n">
        <f aca="false">AUG!Z48</f>
        <v>101697.114640786</v>
      </c>
      <c r="AA8" s="58" t="n">
        <f aca="false">AUG!AA48</f>
        <v>9.34</v>
      </c>
      <c r="AB8" s="59"/>
      <c r="AC8" s="59"/>
      <c r="AD8" s="60"/>
      <c r="AE8" s="94"/>
      <c r="AF8" s="96"/>
      <c r="AG8" s="46"/>
      <c r="AH8" s="46"/>
    </row>
    <row r="9" customFormat="false" ht="3" hidden="false" customHeight="true" outlineLevel="0" collapsed="false">
      <c r="A9" s="76"/>
      <c r="B9" s="77"/>
      <c r="C9" s="78"/>
      <c r="D9" s="76"/>
      <c r="E9" s="78"/>
      <c r="F9" s="76"/>
      <c r="G9" s="76"/>
      <c r="H9" s="79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8"/>
      <c r="U9" s="76"/>
      <c r="V9" s="76"/>
      <c r="W9" s="78"/>
      <c r="X9" s="76"/>
      <c r="Y9" s="76"/>
      <c r="Z9" s="76"/>
      <c r="AA9" s="80"/>
      <c r="AB9" s="81" t="n">
        <v>0</v>
      </c>
      <c r="AC9" s="81"/>
      <c r="AD9" s="82"/>
      <c r="AE9" s="94"/>
      <c r="AF9" s="95"/>
    </row>
    <row r="10" customFormat="false" ht="11.1" hidden="false" customHeight="true" outlineLevel="0" collapsed="false">
      <c r="A10" s="60" t="n">
        <v>1</v>
      </c>
      <c r="B10" s="75" t="n">
        <v>6907.62</v>
      </c>
      <c r="C10" s="54" t="n">
        <v>312567</v>
      </c>
      <c r="D10" s="59" t="n">
        <f aca="false">C10-C8</f>
        <v>-705</v>
      </c>
      <c r="E10" s="54" t="n">
        <f aca="false">C10-151978</f>
        <v>160589</v>
      </c>
      <c r="F10" s="53" t="n">
        <f aca="false">D10/$D$2</f>
        <v>-355.432316612049</v>
      </c>
      <c r="G10" s="53" t="n">
        <v>159.8</v>
      </c>
      <c r="H10" s="55" t="n">
        <v>0</v>
      </c>
      <c r="I10" s="53" t="n">
        <f aca="false">G10+H10</f>
        <v>159.8</v>
      </c>
      <c r="J10" s="83" t="n">
        <f aca="false">IF(L10&gt;0,L10,0)</f>
        <v>24.8676833879506</v>
      </c>
      <c r="K10" s="53" t="n">
        <f aca="false">I10+J10</f>
        <v>184.667683387951</v>
      </c>
      <c r="L10" s="53" t="n">
        <f aca="false">F10-(I10-X10)</f>
        <v>24.8676833879506</v>
      </c>
      <c r="M10" s="53" t="n">
        <v>158.5</v>
      </c>
      <c r="N10" s="6" t="n">
        <v>0</v>
      </c>
      <c r="O10" s="53" t="n">
        <v>0</v>
      </c>
      <c r="P10" s="6" t="n">
        <f aca="false">M10-(N10+O10)</f>
        <v>158.5</v>
      </c>
      <c r="Q10" s="53" t="n">
        <v>108.3</v>
      </c>
      <c r="R10" s="53" t="n">
        <v>77.7</v>
      </c>
      <c r="S10" s="53" t="n">
        <f aca="false">SUM(P10:R10)</f>
        <v>344.5</v>
      </c>
      <c r="T10" s="54" t="n">
        <f aca="false">(I10-S10)+T7</f>
        <v>-5199.5</v>
      </c>
      <c r="U10" s="53" t="n">
        <v>135</v>
      </c>
      <c r="V10" s="53" t="n">
        <v>60.6</v>
      </c>
      <c r="W10" s="54" t="n">
        <f aca="false">W8-V10</f>
        <v>2384.17999999997</v>
      </c>
      <c r="X10" s="6" t="n">
        <f aca="false">N10+O10+S10+U10+V10</f>
        <v>540.1</v>
      </c>
      <c r="Y10" s="53" t="n">
        <f aca="false">IF(L10&lt;0,L10*-1,0)</f>
        <v>0</v>
      </c>
      <c r="Z10" s="53" t="n">
        <f aca="false">X10+Y10</f>
        <v>540.1</v>
      </c>
      <c r="AA10" s="58" t="n">
        <v>0.1</v>
      </c>
      <c r="AB10" s="59" t="n">
        <v>83</v>
      </c>
      <c r="AC10" s="59" t="n">
        <v>48</v>
      </c>
      <c r="AD10" s="60" t="n">
        <v>1</v>
      </c>
      <c r="AE10" s="96"/>
      <c r="AF10" s="96"/>
    </row>
    <row r="11" customFormat="false" ht="11.1" hidden="false" customHeight="true" outlineLevel="0" collapsed="false">
      <c r="A11" s="60" t="n">
        <v>2</v>
      </c>
      <c r="B11" s="75" t="n">
        <v>6907.35</v>
      </c>
      <c r="C11" s="54" t="n">
        <v>311509</v>
      </c>
      <c r="D11" s="59" t="n">
        <f aca="false">C11-C10</f>
        <v>-1058</v>
      </c>
      <c r="E11" s="54" t="n">
        <f aca="false">C11-151978</f>
        <v>159531</v>
      </c>
      <c r="F11" s="53" t="n">
        <f aca="false">D11/$D$2</f>
        <v>-533.400554575246</v>
      </c>
      <c r="G11" s="53" t="n">
        <v>162.4</v>
      </c>
      <c r="H11" s="55" t="n">
        <v>0</v>
      </c>
      <c r="I11" s="53" t="n">
        <f aca="false">G11+H11</f>
        <v>162.4</v>
      </c>
      <c r="J11" s="83" t="n">
        <f aca="false">IF(L11&gt;0,L11,0)</f>
        <v>0</v>
      </c>
      <c r="K11" s="53" t="n">
        <f aca="false">I11+J11</f>
        <v>162.4</v>
      </c>
      <c r="L11" s="53" t="n">
        <f aca="false">F11-(I11-X11)</f>
        <v>-139.700554575246</v>
      </c>
      <c r="M11" s="53" t="n">
        <v>158.4</v>
      </c>
      <c r="N11" s="6" t="n">
        <v>0</v>
      </c>
      <c r="O11" s="53" t="n">
        <v>0</v>
      </c>
      <c r="P11" s="6" t="n">
        <f aca="false">M11-(N11+O11)</f>
        <v>158.4</v>
      </c>
      <c r="Q11" s="53" t="n">
        <v>110.9</v>
      </c>
      <c r="R11" s="53" t="n">
        <v>77.1</v>
      </c>
      <c r="S11" s="53" t="n">
        <f aca="false">SUM(P11:R11)</f>
        <v>346.4</v>
      </c>
      <c r="T11" s="54" t="n">
        <f aca="false">(I11-S11)+T10</f>
        <v>-5383.5</v>
      </c>
      <c r="U11" s="53" t="n">
        <v>149</v>
      </c>
      <c r="V11" s="53" t="n">
        <v>60.7</v>
      </c>
      <c r="W11" s="54" t="n">
        <f aca="false">W10-V11</f>
        <v>2323.47999999997</v>
      </c>
      <c r="X11" s="6" t="n">
        <f aca="false">N11+O11+S11+U11+V11</f>
        <v>556.1</v>
      </c>
      <c r="Y11" s="53" t="n">
        <f aca="false">IF(L11&lt;0,L11*-1,0)</f>
        <v>139.700554575246</v>
      </c>
      <c r="Z11" s="53" t="n">
        <f aca="false">X11+Y11</f>
        <v>695.800554575246</v>
      </c>
      <c r="AA11" s="58" t="n">
        <v>0</v>
      </c>
      <c r="AB11" s="59" t="n">
        <v>82</v>
      </c>
      <c r="AC11" s="59" t="n">
        <v>51</v>
      </c>
      <c r="AD11" s="60" t="n">
        <v>2</v>
      </c>
      <c r="AE11" s="96"/>
      <c r="AF11" s="96"/>
    </row>
    <row r="12" customFormat="false" ht="11.1" hidden="false" customHeight="true" outlineLevel="0" collapsed="false">
      <c r="A12" s="60" t="n">
        <v>3</v>
      </c>
      <c r="B12" s="75" t="n">
        <v>6907.12</v>
      </c>
      <c r="C12" s="54" t="n">
        <v>310608</v>
      </c>
      <c r="D12" s="59" t="n">
        <f aca="false">C12-C11</f>
        <v>-901</v>
      </c>
      <c r="E12" s="54" t="n">
        <f aca="false">C12-151978</f>
        <v>158630</v>
      </c>
      <c r="F12" s="53" t="n">
        <f aca="false">D12/$D$2</f>
        <v>-454.247542223343</v>
      </c>
      <c r="G12" s="53" t="n">
        <v>152.3</v>
      </c>
      <c r="H12" s="55" t="n">
        <v>0</v>
      </c>
      <c r="I12" s="53" t="n">
        <f aca="false">G12+H12</f>
        <v>152.3</v>
      </c>
      <c r="J12" s="83" t="n">
        <f aca="false">IF(L12&gt;0,L12,0)</f>
        <v>0</v>
      </c>
      <c r="K12" s="53" t="n">
        <f aca="false">I12+J12</f>
        <v>152.3</v>
      </c>
      <c r="L12" s="53" t="n">
        <f aca="false">F12-(I12-X12)</f>
        <v>-53.1475422233426</v>
      </c>
      <c r="M12" s="53" t="n">
        <v>158.4</v>
      </c>
      <c r="N12" s="6" t="n">
        <v>0</v>
      </c>
      <c r="O12" s="53" t="n">
        <v>0</v>
      </c>
      <c r="P12" s="6" t="n">
        <f aca="false">M12-(N12+O12)</f>
        <v>158.4</v>
      </c>
      <c r="Q12" s="53" t="n">
        <v>112</v>
      </c>
      <c r="R12" s="53" t="n">
        <v>75.3</v>
      </c>
      <c r="S12" s="53" t="n">
        <f aca="false">SUM(P12:R12)</f>
        <v>345.7</v>
      </c>
      <c r="T12" s="54" t="n">
        <f aca="false">(I12-S12)+T11</f>
        <v>-5576.9</v>
      </c>
      <c r="U12" s="53" t="n">
        <v>147</v>
      </c>
      <c r="V12" s="53" t="n">
        <v>60.7</v>
      </c>
      <c r="W12" s="54" t="n">
        <f aca="false">W11-V12</f>
        <v>2262.77999999997</v>
      </c>
      <c r="X12" s="6" t="n">
        <f aca="false">N12+O12+S12+U12+V12</f>
        <v>553.4</v>
      </c>
      <c r="Y12" s="53" t="n">
        <f aca="false">IF(L12&lt;0,L12*-1,0)</f>
        <v>53.1475422233426</v>
      </c>
      <c r="Z12" s="53" t="n">
        <f aca="false">X12+Y12</f>
        <v>606.547542223343</v>
      </c>
      <c r="AA12" s="58" t="n">
        <v>0</v>
      </c>
      <c r="AB12" s="59" t="n">
        <v>85</v>
      </c>
      <c r="AC12" s="59" t="n">
        <v>50</v>
      </c>
      <c r="AD12" s="60" t="n">
        <v>3</v>
      </c>
      <c r="AE12" s="96"/>
      <c r="AF12" s="96"/>
    </row>
    <row r="13" customFormat="false" ht="11.1" hidden="false" customHeight="true" outlineLevel="0" collapsed="false">
      <c r="A13" s="60" t="n">
        <v>4</v>
      </c>
      <c r="B13" s="75" t="n">
        <v>6906.97</v>
      </c>
      <c r="C13" s="54" t="n">
        <v>310021</v>
      </c>
      <c r="D13" s="59" t="n">
        <f aca="false">C13-C12</f>
        <v>-587</v>
      </c>
      <c r="E13" s="54" t="n">
        <f aca="false">C13-151978</f>
        <v>158043</v>
      </c>
      <c r="F13" s="53" t="n">
        <f aca="false">D13/$D$2</f>
        <v>-295.941517519536</v>
      </c>
      <c r="G13" s="53" t="n">
        <v>148.1</v>
      </c>
      <c r="H13" s="55" t="n">
        <v>0</v>
      </c>
      <c r="I13" s="53" t="n">
        <f aca="false">G13+H13</f>
        <v>148.1</v>
      </c>
      <c r="J13" s="83" t="n">
        <f aca="false">IF(L13&gt;0,L13,0)</f>
        <v>45.4584824804638</v>
      </c>
      <c r="K13" s="53" t="n">
        <f aca="false">I13+J13</f>
        <v>193.558482480464</v>
      </c>
      <c r="L13" s="53" t="n">
        <f aca="false">F13-(I13-X13)</f>
        <v>45.4584824804638</v>
      </c>
      <c r="M13" s="53" t="n">
        <v>157</v>
      </c>
      <c r="N13" s="6" t="n">
        <v>0</v>
      </c>
      <c r="O13" s="53" t="n">
        <v>0</v>
      </c>
      <c r="P13" s="6" t="n">
        <f aca="false">M13-(N13+O13)</f>
        <v>157</v>
      </c>
      <c r="Q13" s="53" t="n">
        <v>112.4</v>
      </c>
      <c r="R13" s="53" t="n">
        <v>75.9</v>
      </c>
      <c r="S13" s="53" t="n">
        <f aca="false">SUM(P13:R13)</f>
        <v>345.3</v>
      </c>
      <c r="T13" s="54" t="n">
        <f aca="false">(I13-S13)+T12</f>
        <v>-5774.1</v>
      </c>
      <c r="U13" s="53" t="n">
        <v>83</v>
      </c>
      <c r="V13" s="53" t="n">
        <v>61.2</v>
      </c>
      <c r="W13" s="54" t="n">
        <f aca="false">W12-V13</f>
        <v>2201.57999999997</v>
      </c>
      <c r="X13" s="6" t="n">
        <f aca="false">N13+O13+S13+U13+V13</f>
        <v>489.5</v>
      </c>
      <c r="Y13" s="53" t="n">
        <f aca="false">IF(L13&lt;0,L13*-1,0)</f>
        <v>0</v>
      </c>
      <c r="Z13" s="53" t="n">
        <f aca="false">X13+Y13</f>
        <v>489.5</v>
      </c>
      <c r="AA13" s="58" t="n">
        <v>0.38</v>
      </c>
      <c r="AB13" s="59" t="n">
        <v>80</v>
      </c>
      <c r="AC13" s="59" t="n">
        <v>57</v>
      </c>
      <c r="AD13" s="60" t="n">
        <v>4</v>
      </c>
      <c r="AE13" s="96"/>
      <c r="AF13" s="96"/>
    </row>
    <row r="14" customFormat="false" ht="11.1" hidden="false" customHeight="true" outlineLevel="0" collapsed="false">
      <c r="A14" s="60" t="n">
        <v>5</v>
      </c>
      <c r="B14" s="75" t="n">
        <v>6906.83</v>
      </c>
      <c r="C14" s="54" t="n">
        <v>309477</v>
      </c>
      <c r="D14" s="59" t="n">
        <f aca="false">C14-C13</f>
        <v>-544</v>
      </c>
      <c r="E14" s="54" t="n">
        <f aca="false">C14-151978</f>
        <v>157499</v>
      </c>
      <c r="F14" s="53" t="n">
        <f aca="false">D14/$D$2</f>
        <v>-274.262667002773</v>
      </c>
      <c r="G14" s="53" t="n">
        <v>198.6</v>
      </c>
      <c r="H14" s="55" t="n">
        <v>0</v>
      </c>
      <c r="I14" s="53" t="n">
        <f aca="false">G14+H14</f>
        <v>198.6</v>
      </c>
      <c r="J14" s="83" t="n">
        <f aca="false">IF(L14&gt;0,L14,0)</f>
        <v>0</v>
      </c>
      <c r="K14" s="53" t="n">
        <f aca="false">I14+J14</f>
        <v>198.6</v>
      </c>
      <c r="L14" s="53" t="n">
        <f aca="false">F14-(I14-X14)</f>
        <v>-6.46266700277278</v>
      </c>
      <c r="M14" s="53" t="n">
        <v>139.6</v>
      </c>
      <c r="N14" s="6" t="n">
        <v>0</v>
      </c>
      <c r="O14" s="53" t="n">
        <v>0</v>
      </c>
      <c r="P14" s="6" t="n">
        <f aca="false">M14-(N14+O14)</f>
        <v>139.6</v>
      </c>
      <c r="Q14" s="53" t="n">
        <v>108.7</v>
      </c>
      <c r="R14" s="53" t="n">
        <v>73.5</v>
      </c>
      <c r="S14" s="53" t="n">
        <f aca="false">SUM(P14:R14)</f>
        <v>321.8</v>
      </c>
      <c r="T14" s="54" t="n">
        <f aca="false">(I14-S14)+T13</f>
        <v>-5897.3</v>
      </c>
      <c r="U14" s="53" t="n">
        <v>83</v>
      </c>
      <c r="V14" s="53" t="n">
        <v>61.6</v>
      </c>
      <c r="W14" s="54" t="n">
        <f aca="false">W13-V14</f>
        <v>2139.97999999998</v>
      </c>
      <c r="X14" s="6" t="n">
        <f aca="false">N14+O14+S14+U14+V14</f>
        <v>466.4</v>
      </c>
      <c r="Y14" s="53" t="n">
        <f aca="false">IF(L14&lt;0,L14*-1,0)</f>
        <v>6.46266700277278</v>
      </c>
      <c r="Z14" s="53" t="n">
        <f aca="false">X14+Y14</f>
        <v>472.862667002773</v>
      </c>
      <c r="AA14" s="58" t="n">
        <v>0.6</v>
      </c>
      <c r="AB14" s="59" t="n">
        <v>78</v>
      </c>
      <c r="AC14" s="59" t="n">
        <v>51</v>
      </c>
      <c r="AD14" s="60" t="n">
        <v>5</v>
      </c>
      <c r="AE14" s="96"/>
      <c r="AF14" s="96"/>
    </row>
    <row r="15" customFormat="false" ht="11.1" hidden="false" customHeight="true" outlineLevel="0" collapsed="false">
      <c r="A15" s="60" t="n">
        <v>6</v>
      </c>
      <c r="B15" s="75" t="n">
        <v>6906.8</v>
      </c>
      <c r="C15" s="54" t="n">
        <v>309361</v>
      </c>
      <c r="D15" s="59" t="n">
        <f aca="false">C15-C14</f>
        <v>-116</v>
      </c>
      <c r="E15" s="54" t="n">
        <f aca="false">C15-151978</f>
        <v>157383</v>
      </c>
      <c r="F15" s="53" t="n">
        <f aca="false">D15/$D$2</f>
        <v>-58.4824804638266</v>
      </c>
      <c r="G15" s="53" t="n">
        <v>274.1</v>
      </c>
      <c r="H15" s="55" t="n">
        <v>0</v>
      </c>
      <c r="I15" s="53" t="n">
        <f aca="false">G15+H15</f>
        <v>274.1</v>
      </c>
      <c r="J15" s="83" t="n">
        <f aca="false">IF(L15&gt;0,L15,0)</f>
        <v>98.7175195361734</v>
      </c>
      <c r="K15" s="53" t="n">
        <f aca="false">I15+J15</f>
        <v>372.817519536173</v>
      </c>
      <c r="L15" s="53" t="n">
        <f aca="false">F15-(I15-X15)</f>
        <v>98.7175195361734</v>
      </c>
      <c r="M15" s="53" t="n">
        <v>124.5</v>
      </c>
      <c r="N15" s="6" t="n">
        <v>0</v>
      </c>
      <c r="O15" s="53" t="n">
        <v>0</v>
      </c>
      <c r="P15" s="6" t="n">
        <f aca="false">M15-(N15+O15)</f>
        <v>124.5</v>
      </c>
      <c r="Q15" s="53" t="n">
        <v>108.6</v>
      </c>
      <c r="R15" s="53" t="n">
        <v>69.2</v>
      </c>
      <c r="S15" s="53" t="n">
        <f aca="false">SUM(P15:R15)</f>
        <v>302.3</v>
      </c>
      <c r="T15" s="54" t="n">
        <f aca="false">(I15-S15)+T14</f>
        <v>-5925.5</v>
      </c>
      <c r="U15" s="53" t="n">
        <v>72</v>
      </c>
      <c r="V15" s="53" t="n">
        <v>57</v>
      </c>
      <c r="W15" s="54" t="n">
        <f aca="false">W14-V15</f>
        <v>2082.97999999998</v>
      </c>
      <c r="X15" s="6" t="n">
        <f aca="false">N15+O15+S15+U15+V15</f>
        <v>431.3</v>
      </c>
      <c r="Y15" s="53" t="n">
        <f aca="false">IF(L15&lt;0,L15*-1,0)</f>
        <v>0</v>
      </c>
      <c r="Z15" s="53" t="n">
        <f aca="false">X15+Y15</f>
        <v>431.3</v>
      </c>
      <c r="AA15" s="58" t="n">
        <v>0.26</v>
      </c>
      <c r="AB15" s="59" t="n">
        <v>72</v>
      </c>
      <c r="AC15" s="59" t="n">
        <v>51</v>
      </c>
      <c r="AD15" s="60" t="n">
        <v>6</v>
      </c>
      <c r="AE15" s="96"/>
      <c r="AF15" s="96"/>
    </row>
    <row r="16" customFormat="false" ht="11.1" hidden="false" customHeight="true" outlineLevel="0" collapsed="false">
      <c r="A16" s="60" t="n">
        <v>7</v>
      </c>
      <c r="B16" s="75" t="n">
        <v>6906.95</v>
      </c>
      <c r="C16" s="54" t="n">
        <v>309994</v>
      </c>
      <c r="D16" s="59" t="n">
        <f aca="false">C16-C15</f>
        <v>633</v>
      </c>
      <c r="E16" s="54" t="n">
        <f aca="false">C16-151978</f>
        <v>158016</v>
      </c>
      <c r="F16" s="53" t="n">
        <f aca="false">D16/$D$2</f>
        <v>319.132845979329</v>
      </c>
      <c r="G16" s="53" t="n">
        <v>565.5</v>
      </c>
      <c r="H16" s="55" t="n">
        <v>0</v>
      </c>
      <c r="I16" s="53" t="n">
        <f aca="false">G16+H16</f>
        <v>565.5</v>
      </c>
      <c r="J16" s="83" t="n">
        <f aca="false">IF(L16&gt;0,L16,0)</f>
        <v>139.732845979329</v>
      </c>
      <c r="K16" s="53" t="n">
        <f aca="false">I16+J16</f>
        <v>705.232845979329</v>
      </c>
      <c r="L16" s="53" t="n">
        <f aca="false">F16-(I16-X16)</f>
        <v>139.732845979329</v>
      </c>
      <c r="M16" s="53" t="n">
        <v>102.3</v>
      </c>
      <c r="N16" s="6" t="n">
        <v>0</v>
      </c>
      <c r="O16" s="53" t="n">
        <v>0</v>
      </c>
      <c r="P16" s="6" t="n">
        <f aca="false">M16-(N16+O16)</f>
        <v>102.3</v>
      </c>
      <c r="Q16" s="53" t="n">
        <v>108.6</v>
      </c>
      <c r="R16" s="53" t="n">
        <v>64.8</v>
      </c>
      <c r="S16" s="53" t="n">
        <f aca="false">SUM(P16:R16)</f>
        <v>275.7</v>
      </c>
      <c r="T16" s="54" t="n">
        <f aca="false">(I16-S16)+T15</f>
        <v>-5635.7</v>
      </c>
      <c r="U16" s="53" t="n">
        <v>59</v>
      </c>
      <c r="V16" s="53" t="n">
        <v>51.4</v>
      </c>
      <c r="W16" s="54" t="n">
        <f aca="false">W15-V16</f>
        <v>2031.57999999997</v>
      </c>
      <c r="X16" s="6" t="n">
        <f aca="false">N16+O16+S16+U16+V16</f>
        <v>386.1</v>
      </c>
      <c r="Y16" s="53" t="n">
        <f aca="false">IF(L16&lt;0,L16*-1,0)</f>
        <v>0</v>
      </c>
      <c r="Z16" s="53" t="n">
        <f aca="false">X16+Y16</f>
        <v>386.1</v>
      </c>
      <c r="AA16" s="58" t="n">
        <v>0.16</v>
      </c>
      <c r="AB16" s="59" t="n">
        <v>69</v>
      </c>
      <c r="AC16" s="59" t="n">
        <v>50</v>
      </c>
      <c r="AD16" s="60" t="n">
        <v>7</v>
      </c>
      <c r="AE16" s="96"/>
      <c r="AF16" s="96"/>
    </row>
    <row r="17" customFormat="false" ht="11.1" hidden="false" customHeight="true" outlineLevel="0" collapsed="false">
      <c r="A17" s="60" t="n">
        <v>8</v>
      </c>
      <c r="B17" s="75" t="n">
        <v>6907.15</v>
      </c>
      <c r="C17" s="54" t="n">
        <v>310726</v>
      </c>
      <c r="D17" s="59" t="n">
        <f aca="false">C17-C16</f>
        <v>732</v>
      </c>
      <c r="E17" s="54" t="n">
        <f aca="false">C17-151978</f>
        <v>158748</v>
      </c>
      <c r="F17" s="53" t="n">
        <f aca="false">D17/$D$2</f>
        <v>369.044618099319</v>
      </c>
      <c r="G17" s="53" t="n">
        <v>778.2</v>
      </c>
      <c r="H17" s="55" t="n">
        <v>0</v>
      </c>
      <c r="I17" s="53" t="n">
        <f aca="false">G17+H17</f>
        <v>778.2</v>
      </c>
      <c r="J17" s="83" t="n">
        <f aca="false">IF(L17&gt;0,L17,0)</f>
        <v>0</v>
      </c>
      <c r="K17" s="53" t="n">
        <f aca="false">I17+J17</f>
        <v>778.2</v>
      </c>
      <c r="L17" s="53" t="n">
        <f aca="false">F17-(I17-X17)</f>
        <v>-35.0553819006806</v>
      </c>
      <c r="M17" s="53" t="n">
        <v>93.5</v>
      </c>
      <c r="N17" s="6" t="n">
        <v>0</v>
      </c>
      <c r="O17" s="53" t="n">
        <v>0</v>
      </c>
      <c r="P17" s="6" t="n">
        <f aca="false">M17-(N17+O17)</f>
        <v>93.5</v>
      </c>
      <c r="Q17" s="53" t="n">
        <v>108.6</v>
      </c>
      <c r="R17" s="53" t="n">
        <v>63.5</v>
      </c>
      <c r="S17" s="53" t="n">
        <f aca="false">SUM(P17:R17)</f>
        <v>265.6</v>
      </c>
      <c r="T17" s="54" t="n">
        <f aca="false">(I17-S17)+T16</f>
        <v>-5123.1</v>
      </c>
      <c r="U17" s="53" t="n">
        <v>57</v>
      </c>
      <c r="V17" s="53" t="n">
        <v>51.5</v>
      </c>
      <c r="W17" s="54" t="n">
        <f aca="false">W16-V17</f>
        <v>1980.07999999997</v>
      </c>
      <c r="X17" s="6" t="n">
        <f aca="false">N17+O17+S17+U17+V17</f>
        <v>374.1</v>
      </c>
      <c r="Y17" s="53" t="n">
        <f aca="false">IF(L17&lt;0,L17*-1,0)</f>
        <v>35.0553819006806</v>
      </c>
      <c r="Z17" s="53" t="n">
        <f aca="false">X17+Y17</f>
        <v>409.155381900681</v>
      </c>
      <c r="AA17" s="58" t="n">
        <v>0</v>
      </c>
      <c r="AB17" s="59" t="n">
        <v>71</v>
      </c>
      <c r="AC17" s="59" t="n">
        <v>50</v>
      </c>
      <c r="AD17" s="60" t="n">
        <v>8</v>
      </c>
      <c r="AE17" s="96"/>
      <c r="AF17" s="96"/>
    </row>
    <row r="18" customFormat="false" ht="11.1" hidden="false" customHeight="true" outlineLevel="0" collapsed="false">
      <c r="A18" s="60" t="n">
        <v>9</v>
      </c>
      <c r="B18" s="75" t="n">
        <v>6907.17</v>
      </c>
      <c r="C18" s="54" t="n">
        <v>310804</v>
      </c>
      <c r="D18" s="59" t="n">
        <f aca="false">C18-C17</f>
        <v>78</v>
      </c>
      <c r="E18" s="54" t="n">
        <f aca="false">C18-151978</f>
        <v>158826</v>
      </c>
      <c r="F18" s="53" t="n">
        <f aca="false">D18/$D$2</f>
        <v>39.3244265187799</v>
      </c>
      <c r="G18" s="53" t="n">
        <v>450.5</v>
      </c>
      <c r="H18" s="55" t="n">
        <v>0</v>
      </c>
      <c r="I18" s="53" t="n">
        <f aca="false">G18+H18</f>
        <v>450.5</v>
      </c>
      <c r="J18" s="83" t="n">
        <f aca="false">IF(L18&gt;0,L18,0)</f>
        <v>0</v>
      </c>
      <c r="K18" s="53" t="n">
        <f aca="false">I18+J18</f>
        <v>450.5</v>
      </c>
      <c r="L18" s="53" t="n">
        <f aca="false">F18-(I18-X18)</f>
        <v>-57.1755734812201</v>
      </c>
      <c r="M18" s="53" t="n">
        <v>98.1</v>
      </c>
      <c r="N18" s="53" t="n">
        <v>0</v>
      </c>
      <c r="O18" s="53" t="n">
        <v>0</v>
      </c>
      <c r="P18" s="6" t="n">
        <f aca="false">M18-(N18+O18)</f>
        <v>98.1</v>
      </c>
      <c r="Q18" s="53" t="n">
        <v>68.6</v>
      </c>
      <c r="R18" s="53" t="n">
        <v>60.8</v>
      </c>
      <c r="S18" s="53" t="n">
        <f aca="false">SUM(P18:R18)</f>
        <v>227.5</v>
      </c>
      <c r="T18" s="54" t="n">
        <f aca="false">(I18-S18)+T17</f>
        <v>-4900.1</v>
      </c>
      <c r="U18" s="53" t="n">
        <v>75</v>
      </c>
      <c r="V18" s="53" t="n">
        <v>51.5</v>
      </c>
      <c r="W18" s="54" t="n">
        <f aca="false">W17-V18</f>
        <v>1928.57999999997</v>
      </c>
      <c r="X18" s="6" t="n">
        <f aca="false">N18+O18+S18+U18+V18</f>
        <v>354</v>
      </c>
      <c r="Y18" s="53" t="n">
        <f aca="false">IF(L18&lt;0,L18*-1,0)</f>
        <v>57.1755734812201</v>
      </c>
      <c r="Z18" s="53" t="n">
        <f aca="false">X18+Y18</f>
        <v>411.17557348122</v>
      </c>
      <c r="AA18" s="58" t="n">
        <v>0.08</v>
      </c>
      <c r="AB18" s="59" t="n">
        <v>76</v>
      </c>
      <c r="AC18" s="59" t="n">
        <v>47</v>
      </c>
      <c r="AD18" s="60" t="n">
        <v>9</v>
      </c>
      <c r="AE18" s="96"/>
      <c r="AF18" s="96"/>
    </row>
    <row r="19" customFormat="false" ht="11.1" hidden="false" customHeight="true" outlineLevel="0" collapsed="false">
      <c r="A19" s="60" t="n">
        <v>10</v>
      </c>
      <c r="B19" s="75" t="n">
        <v>6907.22</v>
      </c>
      <c r="C19" s="54" t="n">
        <v>311000</v>
      </c>
      <c r="D19" s="59" t="n">
        <f aca="false">C19-C18</f>
        <v>196</v>
      </c>
      <c r="E19" s="54" t="n">
        <f aca="false">C19-151978</f>
        <v>159022</v>
      </c>
      <c r="F19" s="53" t="n">
        <f aca="false">D19/$D$2</f>
        <v>98.8152256112932</v>
      </c>
      <c r="G19" s="53" t="n">
        <v>377.4</v>
      </c>
      <c r="H19" s="55" t="n">
        <v>0.01</v>
      </c>
      <c r="I19" s="53" t="n">
        <f aca="false">G19+H19</f>
        <v>377.41</v>
      </c>
      <c r="J19" s="83" t="n">
        <f aca="false">IF(L19&gt;0,L19,0)</f>
        <v>30.2052256112932</v>
      </c>
      <c r="K19" s="53" t="n">
        <f aca="false">I19+J19</f>
        <v>407.615225611293</v>
      </c>
      <c r="L19" s="53" t="n">
        <f aca="false">F19-(I19-X19)</f>
        <v>30.2052256112932</v>
      </c>
      <c r="M19" s="53" t="n">
        <v>85.2</v>
      </c>
      <c r="N19" s="53" t="n">
        <v>0</v>
      </c>
      <c r="O19" s="53" t="n">
        <v>0</v>
      </c>
      <c r="P19" s="6" t="n">
        <f aca="false">M19-(N19+O19)</f>
        <v>85.2</v>
      </c>
      <c r="Q19" s="53" t="n">
        <v>40.6</v>
      </c>
      <c r="R19" s="53" t="n">
        <v>58.8</v>
      </c>
      <c r="S19" s="53" t="n">
        <f aca="false">SUM(P19:R19)</f>
        <v>184.6</v>
      </c>
      <c r="T19" s="54" t="n">
        <f aca="false">(I19-S19)+T18</f>
        <v>-4707.29</v>
      </c>
      <c r="U19" s="53" t="n">
        <v>73</v>
      </c>
      <c r="V19" s="53" t="n">
        <v>51.2</v>
      </c>
      <c r="W19" s="54" t="n">
        <f aca="false">W18-V19</f>
        <v>1877.37999999998</v>
      </c>
      <c r="X19" s="6" t="n">
        <f aca="false">N19+O19+S19+U19+V19</f>
        <v>308.8</v>
      </c>
      <c r="Y19" s="53" t="n">
        <f aca="false">IF(L19&lt;0,L19*-1,0)</f>
        <v>0</v>
      </c>
      <c r="Z19" s="53" t="n">
        <f aca="false">X19+Y19</f>
        <v>308.8</v>
      </c>
      <c r="AA19" s="58" t="n">
        <v>0.1</v>
      </c>
      <c r="AB19" s="59" t="n">
        <v>70</v>
      </c>
      <c r="AC19" s="59" t="n">
        <v>51</v>
      </c>
      <c r="AD19" s="60" t="n">
        <v>10</v>
      </c>
      <c r="AE19" s="96"/>
      <c r="AF19" s="96"/>
    </row>
    <row r="20" customFormat="false" ht="11.1" hidden="false" customHeight="true" outlineLevel="0" collapsed="false">
      <c r="A20" s="60" t="n">
        <v>11</v>
      </c>
      <c r="B20" s="75" t="n">
        <v>6907.27</v>
      </c>
      <c r="C20" s="54" t="n">
        <v>311196</v>
      </c>
      <c r="D20" s="59" t="n">
        <f aca="false">C20-C19</f>
        <v>196</v>
      </c>
      <c r="E20" s="54" t="n">
        <f aca="false">C20-151978</f>
        <v>159218</v>
      </c>
      <c r="F20" s="53" t="n">
        <f aca="false">D20/$D$2</f>
        <v>98.8152256112932</v>
      </c>
      <c r="G20" s="53" t="n">
        <v>374.3</v>
      </c>
      <c r="H20" s="55" t="n">
        <v>0</v>
      </c>
      <c r="I20" s="53" t="n">
        <f aca="false">G20+H20</f>
        <v>374.3</v>
      </c>
      <c r="J20" s="83" t="n">
        <f aca="false">IF(L20&gt;0,L20,0)</f>
        <v>2.91522561129314</v>
      </c>
      <c r="K20" s="53" t="n">
        <f aca="false">I20+J20</f>
        <v>377.215225611293</v>
      </c>
      <c r="L20" s="53" t="n">
        <f aca="false">F20-(I20-X20)</f>
        <v>2.91522561129314</v>
      </c>
      <c r="M20" s="53" t="n">
        <v>72.1</v>
      </c>
      <c r="N20" s="53" t="n">
        <v>0</v>
      </c>
      <c r="O20" s="53" t="n">
        <v>0</v>
      </c>
      <c r="P20" s="6" t="n">
        <f aca="false">M20-(N20+O20)</f>
        <v>72.1</v>
      </c>
      <c r="Q20" s="53" t="n">
        <v>40.6</v>
      </c>
      <c r="R20" s="53" t="n">
        <v>59.2</v>
      </c>
      <c r="S20" s="53" t="n">
        <f aca="false">SUM(P20:R20)</f>
        <v>171.9</v>
      </c>
      <c r="T20" s="54" t="n">
        <f aca="false">(I20-S20)+T19</f>
        <v>-4504.89</v>
      </c>
      <c r="U20" s="53" t="n">
        <v>54</v>
      </c>
      <c r="V20" s="53" t="n">
        <v>52.5</v>
      </c>
      <c r="W20" s="54" t="n">
        <f aca="false">W19-V20</f>
        <v>1824.87999999998</v>
      </c>
      <c r="X20" s="6" t="n">
        <f aca="false">N20+O20+S20+U20+V20</f>
        <v>278.4</v>
      </c>
      <c r="Y20" s="53" t="n">
        <f aca="false">IF(L20&lt;0,L20*-1,0)</f>
        <v>0</v>
      </c>
      <c r="Z20" s="53" t="n">
        <f aca="false">X20+Y20</f>
        <v>278.4</v>
      </c>
      <c r="AA20" s="58" t="n">
        <v>0.46</v>
      </c>
      <c r="AB20" s="59" t="n">
        <v>69</v>
      </c>
      <c r="AC20" s="59" t="n">
        <v>50</v>
      </c>
      <c r="AD20" s="60" t="n">
        <v>11</v>
      </c>
      <c r="AE20" s="96"/>
      <c r="AF20" s="96"/>
    </row>
    <row r="21" customFormat="false" ht="11.1" hidden="false" customHeight="true" outlineLevel="0" collapsed="false">
      <c r="A21" s="60" t="n">
        <v>12</v>
      </c>
      <c r="B21" s="75" t="n">
        <v>6907.34</v>
      </c>
      <c r="C21" s="54" t="n">
        <v>311470</v>
      </c>
      <c r="D21" s="59" t="n">
        <f aca="false">C21-C20</f>
        <v>274</v>
      </c>
      <c r="E21" s="54" t="n">
        <f aca="false">C21-151978</f>
        <v>159492</v>
      </c>
      <c r="F21" s="53" t="n">
        <f aca="false">D21/$D$2</f>
        <v>138.139652130073</v>
      </c>
      <c r="G21" s="53" t="n">
        <v>410.9</v>
      </c>
      <c r="H21" s="55" t="n">
        <v>0</v>
      </c>
      <c r="I21" s="53" t="n">
        <f aca="false">G21+H21</f>
        <v>410.9</v>
      </c>
      <c r="J21" s="83" t="n">
        <f aca="false">IF(L21&gt;0,L21,0)</f>
        <v>28.2396521300731</v>
      </c>
      <c r="K21" s="53" t="n">
        <f aca="false">I21+J21</f>
        <v>439.139652130073</v>
      </c>
      <c r="L21" s="53" t="n">
        <f aca="false">F21-(I21-X21)</f>
        <v>28.2396521300731</v>
      </c>
      <c r="M21" s="53" t="n">
        <v>73.8</v>
      </c>
      <c r="N21" s="53" t="n">
        <v>0</v>
      </c>
      <c r="O21" s="53" t="n">
        <v>0</v>
      </c>
      <c r="P21" s="6" t="n">
        <f aca="false">M21-(N21+O21)</f>
        <v>73.8</v>
      </c>
      <c r="Q21" s="53" t="n">
        <v>40.7</v>
      </c>
      <c r="R21" s="53" t="n">
        <v>54.1</v>
      </c>
      <c r="S21" s="53" t="n">
        <f aca="false">SUM(P21:R21)</f>
        <v>168.6</v>
      </c>
      <c r="T21" s="54" t="n">
        <f aca="false">(I21-S21)+T20</f>
        <v>-4262.59</v>
      </c>
      <c r="U21" s="53" t="n">
        <v>80</v>
      </c>
      <c r="V21" s="53" t="n">
        <v>52.4</v>
      </c>
      <c r="W21" s="54" t="n">
        <f aca="false">W20-V21</f>
        <v>1772.47999999997</v>
      </c>
      <c r="X21" s="6" t="n">
        <f aca="false">N21+O21+S21+U21+V21</f>
        <v>301</v>
      </c>
      <c r="Y21" s="53" t="n">
        <f aca="false">IF(L21&lt;0,L21*-1,0)</f>
        <v>0</v>
      </c>
      <c r="Z21" s="53" t="n">
        <f aca="false">X21+Y21</f>
        <v>301</v>
      </c>
      <c r="AA21" s="58" t="n">
        <v>0</v>
      </c>
      <c r="AB21" s="59" t="n">
        <v>69</v>
      </c>
      <c r="AC21" s="59" t="n">
        <v>49</v>
      </c>
      <c r="AD21" s="60" t="n">
        <v>12</v>
      </c>
      <c r="AE21" s="96"/>
      <c r="AF21" s="96"/>
    </row>
    <row r="22" customFormat="false" ht="11.1" hidden="false" customHeight="true" outlineLevel="0" collapsed="false">
      <c r="A22" s="60" t="n">
        <v>13</v>
      </c>
      <c r="B22" s="75" t="n">
        <v>6907.35</v>
      </c>
      <c r="C22" s="54" t="n">
        <v>311509</v>
      </c>
      <c r="D22" s="59" t="n">
        <f aca="false">C22-C21</f>
        <v>39</v>
      </c>
      <c r="E22" s="54" t="n">
        <f aca="false">C22-151978</f>
        <v>159531</v>
      </c>
      <c r="F22" s="53" t="n">
        <f aca="false">D22/$D$2</f>
        <v>19.66221325939</v>
      </c>
      <c r="G22" s="53" t="n">
        <v>358</v>
      </c>
      <c r="H22" s="55" t="n">
        <v>0.01</v>
      </c>
      <c r="I22" s="53" t="n">
        <f aca="false">G22+H22</f>
        <v>358.01</v>
      </c>
      <c r="J22" s="83" t="n">
        <f aca="false">IF(L22&gt;0,L22,0)</f>
        <v>0</v>
      </c>
      <c r="K22" s="53" t="n">
        <f aca="false">I22+J22</f>
        <v>358.01</v>
      </c>
      <c r="L22" s="53" t="n">
        <f aca="false">F22-(I22-X22)</f>
        <v>-55.2477867406101</v>
      </c>
      <c r="M22" s="53" t="n">
        <v>74.2</v>
      </c>
      <c r="N22" s="53" t="n">
        <v>0</v>
      </c>
      <c r="O22" s="53" t="n">
        <v>0</v>
      </c>
      <c r="P22" s="6" t="n">
        <f aca="false">M22-(N22+O22)</f>
        <v>74.2</v>
      </c>
      <c r="Q22" s="53" t="n">
        <v>40.7</v>
      </c>
      <c r="R22" s="53" t="n">
        <v>50.8</v>
      </c>
      <c r="S22" s="53" t="n">
        <f aca="false">SUM(P22:R22)</f>
        <v>165.7</v>
      </c>
      <c r="T22" s="54" t="n">
        <f aca="false">(I22-S22)+T21</f>
        <v>-4070.28</v>
      </c>
      <c r="U22" s="53" t="n">
        <v>65</v>
      </c>
      <c r="V22" s="53" t="n">
        <v>52.4</v>
      </c>
      <c r="W22" s="54" t="n">
        <f aca="false">W21-V22</f>
        <v>1720.07999999997</v>
      </c>
      <c r="X22" s="6" t="n">
        <f aca="false">N22+O22+S22+U22+V22</f>
        <v>283.1</v>
      </c>
      <c r="Y22" s="53" t="n">
        <f aca="false">IF(L22&lt;0,L22*-1,0)</f>
        <v>55.2477867406101</v>
      </c>
      <c r="Z22" s="53" t="n">
        <f aca="false">X22+Y22</f>
        <v>338.34778674061</v>
      </c>
      <c r="AA22" s="58" t="n">
        <v>0</v>
      </c>
      <c r="AB22" s="59" t="n">
        <v>66</v>
      </c>
      <c r="AC22" s="59" t="n">
        <v>42</v>
      </c>
      <c r="AD22" s="60" t="n">
        <v>13</v>
      </c>
      <c r="AE22" s="96"/>
      <c r="AF22" s="96"/>
    </row>
    <row r="23" customFormat="false" ht="11.1" hidden="false" customHeight="true" outlineLevel="0" collapsed="false">
      <c r="A23" s="60" t="n">
        <v>14</v>
      </c>
      <c r="B23" s="75" t="n">
        <v>6907.34</v>
      </c>
      <c r="C23" s="54" t="n">
        <v>311470</v>
      </c>
      <c r="D23" s="59" t="n">
        <f aca="false">C23-C22</f>
        <v>-39</v>
      </c>
      <c r="E23" s="54" t="n">
        <f aca="false">C23-151978</f>
        <v>159492</v>
      </c>
      <c r="F23" s="53" t="n">
        <f aca="false">D23/$D$2</f>
        <v>-19.66221325939</v>
      </c>
      <c r="G23" s="53" t="n">
        <v>318.5</v>
      </c>
      <c r="H23" s="55" t="n">
        <v>0.01</v>
      </c>
      <c r="I23" s="53" t="n">
        <f aca="false">G23+H23</f>
        <v>318.51</v>
      </c>
      <c r="J23" s="83" t="n">
        <f aca="false">IF(L23&gt;0,L23,0)</f>
        <v>0</v>
      </c>
      <c r="K23" s="53" t="n">
        <f aca="false">I23+J23</f>
        <v>318.51</v>
      </c>
      <c r="L23" s="53" t="n">
        <f aca="false">F23-(I23-X23)</f>
        <v>-43.97221325939</v>
      </c>
      <c r="M23" s="53" t="n">
        <v>74.3</v>
      </c>
      <c r="N23" s="53" t="n">
        <v>0</v>
      </c>
      <c r="O23" s="53" t="n">
        <v>0</v>
      </c>
      <c r="P23" s="6" t="n">
        <f aca="false">M23-(N23+O23)</f>
        <v>74.3</v>
      </c>
      <c r="Q23" s="53" t="n">
        <v>41</v>
      </c>
      <c r="R23" s="53" t="n">
        <v>50.5</v>
      </c>
      <c r="S23" s="53" t="n">
        <f aca="false">SUM(P23:R23)</f>
        <v>165.8</v>
      </c>
      <c r="T23" s="54" t="n">
        <f aca="false">(I23-S23)+T22</f>
        <v>-3917.57</v>
      </c>
      <c r="U23" s="53" t="n">
        <v>76</v>
      </c>
      <c r="V23" s="53" t="n">
        <v>52.4</v>
      </c>
      <c r="W23" s="54" t="n">
        <f aca="false">W22-V23</f>
        <v>1667.67999999997</v>
      </c>
      <c r="X23" s="6" t="n">
        <f aca="false">N23+O23+S23+U23+V23</f>
        <v>294.2</v>
      </c>
      <c r="Y23" s="53" t="n">
        <f aca="false">IF(L23&lt;0,L23*-1,0)</f>
        <v>43.97221325939</v>
      </c>
      <c r="Z23" s="53" t="n">
        <f aca="false">X23+Y23</f>
        <v>338.17221325939</v>
      </c>
      <c r="AA23" s="58" t="n">
        <v>0</v>
      </c>
      <c r="AB23" s="59" t="n">
        <v>70</v>
      </c>
      <c r="AC23" s="59" t="n">
        <v>39</v>
      </c>
      <c r="AD23" s="60" t="n">
        <v>14</v>
      </c>
      <c r="AE23" s="96"/>
      <c r="AF23" s="96"/>
    </row>
    <row r="24" customFormat="false" ht="11.1" hidden="false" customHeight="true" outlineLevel="0" collapsed="false">
      <c r="A24" s="60" t="n">
        <v>15</v>
      </c>
      <c r="B24" s="75" t="n">
        <v>6907.32</v>
      </c>
      <c r="C24" s="54" t="n">
        <v>311392</v>
      </c>
      <c r="D24" s="59" t="n">
        <f aca="false">C24-C23</f>
        <v>-78</v>
      </c>
      <c r="E24" s="54" t="n">
        <f aca="false">C24-151978</f>
        <v>159414</v>
      </c>
      <c r="F24" s="53" t="n">
        <f aca="false">D24/$D$2</f>
        <v>-39.3244265187799</v>
      </c>
      <c r="G24" s="53" t="n">
        <v>272</v>
      </c>
      <c r="H24" s="55" t="n">
        <v>0</v>
      </c>
      <c r="I24" s="53" t="n">
        <f aca="false">G24+H24</f>
        <v>272</v>
      </c>
      <c r="J24" s="83" t="n">
        <f aca="false">IF(L24&gt;0,L24,0)</f>
        <v>0</v>
      </c>
      <c r="K24" s="53" t="n">
        <f aca="false">I24+J24</f>
        <v>272</v>
      </c>
      <c r="L24" s="53" t="n">
        <f aca="false">F24-(I24-X24)</f>
        <v>-30.52442651878</v>
      </c>
      <c r="M24" s="53" t="n">
        <v>74.1</v>
      </c>
      <c r="N24" s="53" t="n">
        <v>0</v>
      </c>
      <c r="O24" s="53" t="n">
        <v>0</v>
      </c>
      <c r="P24" s="6" t="n">
        <f aca="false">M24-(N24+O24)</f>
        <v>74.1</v>
      </c>
      <c r="Q24" s="53" t="n">
        <v>41</v>
      </c>
      <c r="R24" s="53" t="n">
        <v>50.3</v>
      </c>
      <c r="S24" s="53" t="n">
        <f aca="false">SUM(P24:R24)</f>
        <v>165.4</v>
      </c>
      <c r="T24" s="54" t="n">
        <f aca="false">(I24-S24)+T23</f>
        <v>-3810.97</v>
      </c>
      <c r="U24" s="53" t="n">
        <v>63</v>
      </c>
      <c r="V24" s="53" t="n">
        <v>52.4</v>
      </c>
      <c r="W24" s="54" t="n">
        <f aca="false">W23-V24</f>
        <v>1615.27999999997</v>
      </c>
      <c r="X24" s="6" t="n">
        <f aca="false">N24+O24+S24+U24+V24</f>
        <v>280.8</v>
      </c>
      <c r="Y24" s="53" t="n">
        <f aca="false">IF(L24&lt;0,L24*-1,0)</f>
        <v>30.52442651878</v>
      </c>
      <c r="Z24" s="53" t="n">
        <f aca="false">X24+Y24</f>
        <v>311.32442651878</v>
      </c>
      <c r="AA24" s="58" t="n">
        <v>0</v>
      </c>
      <c r="AB24" s="59" t="n">
        <v>66</v>
      </c>
      <c r="AC24" s="59" t="n">
        <v>41</v>
      </c>
      <c r="AD24" s="60" t="n">
        <v>15</v>
      </c>
      <c r="AE24" s="96"/>
      <c r="AF24" s="96"/>
    </row>
    <row r="25" customFormat="false" ht="11.1" hidden="false" customHeight="true" outlineLevel="0" collapsed="false">
      <c r="A25" s="60" t="n">
        <v>16</v>
      </c>
      <c r="B25" s="75" t="n">
        <v>6907.27</v>
      </c>
      <c r="C25" s="54" t="n">
        <v>311196</v>
      </c>
      <c r="D25" s="59" t="n">
        <f aca="false">C25-C24</f>
        <v>-196</v>
      </c>
      <c r="E25" s="54" t="n">
        <f aca="false">C25-151978</f>
        <v>159218</v>
      </c>
      <c r="F25" s="53" t="n">
        <f aca="false">D25/$D$2</f>
        <v>-98.8152256112932</v>
      </c>
      <c r="G25" s="53" t="n">
        <v>237.4</v>
      </c>
      <c r="H25" s="55" t="n">
        <v>0</v>
      </c>
      <c r="I25" s="53" t="n">
        <f aca="false">G25+H25</f>
        <v>237.4</v>
      </c>
      <c r="J25" s="83" t="n">
        <f aca="false">IF(L25&gt;0,L25,0)</f>
        <v>0</v>
      </c>
      <c r="K25" s="53" t="n">
        <f aca="false">I25+J25</f>
        <v>237.4</v>
      </c>
      <c r="L25" s="53" t="n">
        <f aca="false">F25-(I25-X25)</f>
        <v>-63.0152256112932</v>
      </c>
      <c r="M25" s="53" t="n">
        <v>71.4</v>
      </c>
      <c r="N25" s="53" t="n">
        <v>0</v>
      </c>
      <c r="O25" s="53" t="n">
        <v>0</v>
      </c>
      <c r="P25" s="6" t="n">
        <f aca="false">M25-(N25+O25)</f>
        <v>71.4</v>
      </c>
      <c r="Q25" s="53" t="n">
        <v>41.1</v>
      </c>
      <c r="R25" s="53" t="n">
        <v>49.3</v>
      </c>
      <c r="S25" s="53" t="n">
        <f aca="false">SUM(P25:R25)</f>
        <v>161.8</v>
      </c>
      <c r="T25" s="54" t="n">
        <f aca="false">(I25-S25)+T24</f>
        <v>-3735.37</v>
      </c>
      <c r="U25" s="53" t="n">
        <v>59</v>
      </c>
      <c r="V25" s="53" t="n">
        <v>52.4</v>
      </c>
      <c r="W25" s="54" t="n">
        <f aca="false">W24-V25</f>
        <v>1562.87999999997</v>
      </c>
      <c r="X25" s="6" t="n">
        <f aca="false">N25+O25+S25+U25+V25</f>
        <v>273.2</v>
      </c>
      <c r="Y25" s="53" t="n">
        <f aca="false">IF(L25&lt;0,L25*-1,0)</f>
        <v>63.0152256112932</v>
      </c>
      <c r="Z25" s="53" t="n">
        <f aca="false">X25+Y25</f>
        <v>336.215225611293</v>
      </c>
      <c r="AA25" s="58" t="n">
        <v>0</v>
      </c>
      <c r="AB25" s="59" t="n">
        <v>69</v>
      </c>
      <c r="AC25" s="59" t="n">
        <v>36</v>
      </c>
      <c r="AD25" s="60" t="n">
        <v>16</v>
      </c>
      <c r="AE25" s="96"/>
      <c r="AF25" s="96"/>
    </row>
    <row r="26" customFormat="false" ht="11.1" hidden="false" customHeight="true" outlineLevel="0" collapsed="false">
      <c r="A26" s="60" t="n">
        <v>17</v>
      </c>
      <c r="B26" s="75" t="n">
        <v>6907.2</v>
      </c>
      <c r="C26" s="54" t="n">
        <v>310921</v>
      </c>
      <c r="D26" s="59" t="n">
        <f aca="false">C26-C25</f>
        <v>-275</v>
      </c>
      <c r="E26" s="54" t="n">
        <f aca="false">C26-151978</f>
        <v>158943</v>
      </c>
      <c r="F26" s="53" t="n">
        <f aca="false">D26/$D$2</f>
        <v>-138.643811444416</v>
      </c>
      <c r="G26" s="53" t="n">
        <v>214.6</v>
      </c>
      <c r="H26" s="55" t="n">
        <v>0</v>
      </c>
      <c r="I26" s="53" t="n">
        <f aca="false">G26+H26</f>
        <v>214.6</v>
      </c>
      <c r="J26" s="83" t="n">
        <f aca="false">IF(L26&gt;0,L26,0)</f>
        <v>0</v>
      </c>
      <c r="K26" s="53" t="n">
        <f aca="false">I26+J26</f>
        <v>214.6</v>
      </c>
      <c r="L26" s="53" t="n">
        <f aca="false">F26-(I26-X26)</f>
        <v>-81.7438114444164</v>
      </c>
      <c r="M26" s="53" t="n">
        <v>68.1</v>
      </c>
      <c r="N26" s="53" t="n">
        <v>0</v>
      </c>
      <c r="O26" s="53" t="n">
        <v>0</v>
      </c>
      <c r="P26" s="6" t="n">
        <f aca="false">M26-(N26+O26)</f>
        <v>68.1</v>
      </c>
      <c r="Q26" s="53" t="n">
        <v>40.9</v>
      </c>
      <c r="R26" s="53" t="n">
        <v>47.8</v>
      </c>
      <c r="S26" s="53" t="n">
        <f aca="false">SUM(P26:R26)</f>
        <v>156.8</v>
      </c>
      <c r="T26" s="54" t="n">
        <f aca="false">(I26-S26)+T25</f>
        <v>-3677.57</v>
      </c>
      <c r="U26" s="53" t="n">
        <v>63</v>
      </c>
      <c r="V26" s="53" t="n">
        <v>51.7</v>
      </c>
      <c r="W26" s="54" t="n">
        <f aca="false">W25-V26</f>
        <v>1511.17999999997</v>
      </c>
      <c r="X26" s="6" t="n">
        <f aca="false">N26+O26+S26+U26+V26</f>
        <v>271.5</v>
      </c>
      <c r="Y26" s="53" t="n">
        <f aca="false">IF(L26&lt;0,L26*-1,0)</f>
        <v>81.7438114444164</v>
      </c>
      <c r="Z26" s="53" t="n">
        <f aca="false">X26+Y26</f>
        <v>353.243811444416</v>
      </c>
      <c r="AA26" s="58" t="n">
        <v>0</v>
      </c>
      <c r="AB26" s="59" t="n">
        <v>78</v>
      </c>
      <c r="AC26" s="59" t="n">
        <v>37</v>
      </c>
      <c r="AD26" s="60" t="n">
        <v>17</v>
      </c>
      <c r="AE26" s="96"/>
      <c r="AF26" s="96"/>
    </row>
    <row r="27" customFormat="false" ht="11.1" hidden="false" customHeight="true" outlineLevel="0" collapsed="false">
      <c r="A27" s="60" t="n">
        <v>18</v>
      </c>
      <c r="B27" s="75" t="n">
        <v>6907.17</v>
      </c>
      <c r="C27" s="54" t="n">
        <v>310804</v>
      </c>
      <c r="D27" s="59" t="n">
        <f aca="false">C27-C26</f>
        <v>-117</v>
      </c>
      <c r="E27" s="54" t="n">
        <f aca="false">C27-151978</f>
        <v>158826</v>
      </c>
      <c r="F27" s="53" t="n">
        <f aca="false">D27/$D$2</f>
        <v>-58.9866397781699</v>
      </c>
      <c r="G27" s="53" t="n">
        <v>197.8</v>
      </c>
      <c r="H27" s="55" t="n">
        <v>0</v>
      </c>
      <c r="I27" s="53" t="n">
        <f aca="false">G27+H27</f>
        <v>197.8</v>
      </c>
      <c r="J27" s="83" t="n">
        <f aca="false">IF(L27&gt;0,L27,0)</f>
        <v>15.9133602218301</v>
      </c>
      <c r="K27" s="53" t="n">
        <f aca="false">I27+J27</f>
        <v>213.71336022183</v>
      </c>
      <c r="L27" s="53" t="n">
        <f aca="false">F27-(I27-X27)</f>
        <v>15.9133602218301</v>
      </c>
      <c r="M27" s="53" t="n">
        <v>67.3</v>
      </c>
      <c r="N27" s="53" t="n">
        <v>0</v>
      </c>
      <c r="O27" s="53" t="n">
        <v>0</v>
      </c>
      <c r="P27" s="6" t="n">
        <f aca="false">M27-(N27+O27)</f>
        <v>67.3</v>
      </c>
      <c r="Q27" s="53" t="n">
        <v>40.6</v>
      </c>
      <c r="R27" s="53" t="n">
        <v>46.3</v>
      </c>
      <c r="S27" s="53" t="n">
        <f aca="false">SUM(P27:R27)</f>
        <v>154.2</v>
      </c>
      <c r="T27" s="54" t="n">
        <f aca="false">(I27-S27)+T26</f>
        <v>-3633.97</v>
      </c>
      <c r="U27" s="53" t="n">
        <v>67</v>
      </c>
      <c r="V27" s="53" t="n">
        <v>51.5</v>
      </c>
      <c r="W27" s="54" t="n">
        <f aca="false">W26-V27</f>
        <v>1459.67999999997</v>
      </c>
      <c r="X27" s="6" t="n">
        <f aca="false">N27+O27+S27+U27+V27</f>
        <v>272.7</v>
      </c>
      <c r="Y27" s="53" t="n">
        <f aca="false">IF(L27&lt;0,L27*-1,0)</f>
        <v>0</v>
      </c>
      <c r="Z27" s="53" t="n">
        <f aca="false">X27+Y27</f>
        <v>272.7</v>
      </c>
      <c r="AA27" s="58" t="n">
        <v>0</v>
      </c>
      <c r="AB27" s="59" t="n">
        <v>76</v>
      </c>
      <c r="AC27" s="59" t="n">
        <v>41</v>
      </c>
      <c r="AD27" s="60" t="n">
        <v>18</v>
      </c>
      <c r="AE27" s="96"/>
      <c r="AF27" s="96"/>
    </row>
    <row r="28" customFormat="false" ht="11.1" hidden="false" customHeight="true" outlineLevel="0" collapsed="false">
      <c r="A28" s="60" t="n">
        <v>19</v>
      </c>
      <c r="B28" s="75" t="n">
        <v>6907.14</v>
      </c>
      <c r="C28" s="54" t="n">
        <v>310686</v>
      </c>
      <c r="D28" s="59" t="n">
        <f aca="false">C28-C27</f>
        <v>-118</v>
      </c>
      <c r="E28" s="54" t="n">
        <f aca="false">C28-151978</f>
        <v>158708</v>
      </c>
      <c r="F28" s="53" t="n">
        <f aca="false">D28/$D$2</f>
        <v>-59.4907990925132</v>
      </c>
      <c r="G28" s="53" t="n">
        <v>184.3</v>
      </c>
      <c r="H28" s="55" t="n">
        <v>0</v>
      </c>
      <c r="I28" s="53" t="n">
        <f aca="false">G28+H28</f>
        <v>184.3</v>
      </c>
      <c r="J28" s="83" t="n">
        <f aca="false">IF(L28&gt;0,L28,0)</f>
        <v>14.0092009074868</v>
      </c>
      <c r="K28" s="53" t="n">
        <f aca="false">I28+J28</f>
        <v>198.309200907487</v>
      </c>
      <c r="L28" s="53" t="n">
        <f aca="false">F28-(I28-X28)</f>
        <v>14.0092009074868</v>
      </c>
      <c r="M28" s="53" t="n">
        <v>67.3</v>
      </c>
      <c r="N28" s="53" t="n">
        <v>0</v>
      </c>
      <c r="O28" s="53" t="n">
        <v>0</v>
      </c>
      <c r="P28" s="6" t="n">
        <f aca="false">M28-(N28+O28)</f>
        <v>67.3</v>
      </c>
      <c r="Q28" s="53" t="n">
        <v>40.5</v>
      </c>
      <c r="R28" s="53" t="n">
        <v>46.2</v>
      </c>
      <c r="S28" s="53" t="n">
        <f aca="false">SUM(P28:R28)</f>
        <v>154</v>
      </c>
      <c r="T28" s="54" t="n">
        <f aca="false">(I28-S28)+T27</f>
        <v>-3603.67</v>
      </c>
      <c r="U28" s="53" t="n">
        <v>62</v>
      </c>
      <c r="V28" s="53" t="n">
        <v>41.8</v>
      </c>
      <c r="W28" s="54" t="n">
        <f aca="false">W27-V28</f>
        <v>1417.87999999997</v>
      </c>
      <c r="X28" s="6" t="n">
        <f aca="false">N28+O28+S28+U28+V28</f>
        <v>257.8</v>
      </c>
      <c r="Y28" s="53" t="n">
        <f aca="false">IF(L28&lt;0,L28*-1,0)</f>
        <v>0</v>
      </c>
      <c r="Z28" s="53" t="n">
        <f aca="false">X28+Y28</f>
        <v>257.8</v>
      </c>
      <c r="AA28" s="58" t="n">
        <v>0</v>
      </c>
      <c r="AB28" s="59" t="n">
        <v>74</v>
      </c>
      <c r="AC28" s="59" t="n">
        <v>41</v>
      </c>
      <c r="AD28" s="60" t="n">
        <v>19</v>
      </c>
      <c r="AE28" s="96"/>
      <c r="AF28" s="96"/>
    </row>
    <row r="29" customFormat="false" ht="11.1" hidden="false" customHeight="true" outlineLevel="0" collapsed="false">
      <c r="A29" s="60" t="n">
        <v>20</v>
      </c>
      <c r="B29" s="75" t="n">
        <v>6907.06</v>
      </c>
      <c r="C29" s="54" t="n">
        <v>310373</v>
      </c>
      <c r="D29" s="59" t="n">
        <f aca="false">C29-C28</f>
        <v>-313</v>
      </c>
      <c r="E29" s="54" t="n">
        <f aca="false">C29-151978</f>
        <v>158395</v>
      </c>
      <c r="F29" s="53" t="n">
        <f aca="false">D29/$D$2</f>
        <v>-157.801865389463</v>
      </c>
      <c r="G29" s="53" t="n">
        <v>180.7</v>
      </c>
      <c r="H29" s="55" t="n">
        <v>0</v>
      </c>
      <c r="I29" s="53" t="n">
        <f aca="false">G29+H29</f>
        <v>180.7</v>
      </c>
      <c r="J29" s="83" t="n">
        <f aca="false">IF(L29&gt;0,L29,0)</f>
        <v>0</v>
      </c>
      <c r="K29" s="53" t="n">
        <f aca="false">I29+J29</f>
        <v>180.7</v>
      </c>
      <c r="L29" s="53" t="n">
        <f aca="false">F29-(I29-X29)</f>
        <v>-99.901865389463</v>
      </c>
      <c r="M29" s="53" t="n">
        <v>66.1</v>
      </c>
      <c r="N29" s="53" t="n">
        <v>0</v>
      </c>
      <c r="O29" s="53" t="n">
        <v>0</v>
      </c>
      <c r="P29" s="6" t="n">
        <f aca="false">M29-(N29+O29)</f>
        <v>66.1</v>
      </c>
      <c r="Q29" s="53" t="n">
        <v>40.5</v>
      </c>
      <c r="R29" s="53" t="n">
        <v>46.2</v>
      </c>
      <c r="S29" s="53" t="n">
        <f aca="false">SUM(P29:R29)</f>
        <v>152.8</v>
      </c>
      <c r="T29" s="54" t="n">
        <f aca="false">(I29-S29)+T28</f>
        <v>-3575.77</v>
      </c>
      <c r="U29" s="53" t="n">
        <v>51</v>
      </c>
      <c r="V29" s="53" t="n">
        <v>34.8</v>
      </c>
      <c r="W29" s="54" t="n">
        <f aca="false">W28-V29</f>
        <v>1383.07999999997</v>
      </c>
      <c r="X29" s="6" t="n">
        <f aca="false">N29+O29+S29+U29+V29</f>
        <v>238.6</v>
      </c>
      <c r="Y29" s="53" t="n">
        <f aca="false">IF(L29&lt;0,L29*-1,0)</f>
        <v>99.901865389463</v>
      </c>
      <c r="Z29" s="53" t="n">
        <f aca="false">X29+Y29</f>
        <v>338.501865389463</v>
      </c>
      <c r="AA29" s="58" t="n">
        <v>0</v>
      </c>
      <c r="AB29" s="59" t="n">
        <v>73</v>
      </c>
      <c r="AC29" s="59" t="n">
        <v>42</v>
      </c>
      <c r="AD29" s="60" t="n">
        <v>20</v>
      </c>
      <c r="AE29" s="96"/>
      <c r="AF29" s="96"/>
    </row>
    <row r="30" customFormat="false" ht="11.1" hidden="false" customHeight="true" outlineLevel="0" collapsed="false">
      <c r="A30" s="60" t="n">
        <v>21</v>
      </c>
      <c r="B30" s="75" t="n">
        <v>6907.02</v>
      </c>
      <c r="C30" s="54" t="n">
        <v>310216</v>
      </c>
      <c r="D30" s="59" t="n">
        <f aca="false">C30-C29</f>
        <v>-157</v>
      </c>
      <c r="E30" s="54" t="n">
        <f aca="false">C30-151978</f>
        <v>158238</v>
      </c>
      <c r="F30" s="53" t="n">
        <f aca="false">D30/$D$2</f>
        <v>-79.1530123519032</v>
      </c>
      <c r="G30" s="53" t="n">
        <v>183.4</v>
      </c>
      <c r="H30" s="55" t="n">
        <v>0</v>
      </c>
      <c r="I30" s="53" t="n">
        <f aca="false">G30+H30</f>
        <v>183.4</v>
      </c>
      <c r="J30" s="83" t="n">
        <f aca="false">IF(L30&gt;0,L30,0)</f>
        <v>0</v>
      </c>
      <c r="K30" s="53" t="n">
        <f aca="false">I30+J30</f>
        <v>183.4</v>
      </c>
      <c r="L30" s="53" t="n">
        <f aca="false">F30-(I30-X30)</f>
        <v>-13.0530123519032</v>
      </c>
      <c r="M30" s="53" t="n">
        <v>65</v>
      </c>
      <c r="N30" s="53" t="n">
        <v>0</v>
      </c>
      <c r="O30" s="53" t="n">
        <v>0</v>
      </c>
      <c r="P30" s="6" t="n">
        <f aca="false">M30-(N30+O30)</f>
        <v>65</v>
      </c>
      <c r="Q30" s="53" t="n">
        <v>40.4</v>
      </c>
      <c r="R30" s="53" t="n">
        <v>46.2</v>
      </c>
      <c r="S30" s="53" t="n">
        <f aca="false">SUM(P30:R30)</f>
        <v>151.6</v>
      </c>
      <c r="T30" s="54" t="n">
        <f aca="false">(I30-S30)+T29</f>
        <v>-3543.97</v>
      </c>
      <c r="U30" s="53" t="n">
        <v>63</v>
      </c>
      <c r="V30" s="53" t="n">
        <v>34.9</v>
      </c>
      <c r="W30" s="54" t="n">
        <f aca="false">W29-V30</f>
        <v>1348.17999999997</v>
      </c>
      <c r="X30" s="6" t="n">
        <f aca="false">N30+O30+S30+U30+V30</f>
        <v>249.5</v>
      </c>
      <c r="Y30" s="53" t="n">
        <f aca="false">IF(L30&lt;0,L30*-1,0)</f>
        <v>13.0530123519032</v>
      </c>
      <c r="Z30" s="53" t="n">
        <f aca="false">X30+Y30</f>
        <v>262.553012351903</v>
      </c>
      <c r="AA30" s="58" t="n">
        <v>0</v>
      </c>
      <c r="AB30" s="59" t="n">
        <v>76</v>
      </c>
      <c r="AC30" s="59" t="n">
        <v>43</v>
      </c>
      <c r="AD30" s="60" t="n">
        <v>21</v>
      </c>
      <c r="AE30" s="96"/>
      <c r="AF30" s="96"/>
    </row>
    <row r="31" customFormat="false" ht="11.1" hidden="false" customHeight="true" outlineLevel="0" collapsed="false">
      <c r="A31" s="60" t="n">
        <v>22</v>
      </c>
      <c r="B31" s="75" t="n">
        <v>6906.94</v>
      </c>
      <c r="C31" s="54" t="n">
        <v>309905</v>
      </c>
      <c r="D31" s="59" t="n">
        <f aca="false">C31-C30</f>
        <v>-311</v>
      </c>
      <c r="E31" s="54" t="n">
        <f aca="false">C31-151978</f>
        <v>157927</v>
      </c>
      <c r="F31" s="53" t="n">
        <f aca="false">D31/$D$2</f>
        <v>-156.793546760776</v>
      </c>
      <c r="G31" s="53" t="n">
        <v>167.9</v>
      </c>
      <c r="H31" s="55" t="n">
        <v>0</v>
      </c>
      <c r="I31" s="53" t="n">
        <f aca="false">G31+H31</f>
        <v>167.9</v>
      </c>
      <c r="J31" s="83" t="n">
        <f aca="false">IF(L31&gt;0,L31,0)</f>
        <v>0</v>
      </c>
      <c r="K31" s="53" t="n">
        <f aca="false">I31+J31</f>
        <v>167.9</v>
      </c>
      <c r="L31" s="53" t="n">
        <f aca="false">F31-(I31-X31)</f>
        <v>-84.8935467607764</v>
      </c>
      <c r="M31" s="53" t="n">
        <v>65</v>
      </c>
      <c r="N31" s="53" t="n">
        <v>0</v>
      </c>
      <c r="O31" s="53" t="n">
        <v>0</v>
      </c>
      <c r="P31" s="6" t="n">
        <f aca="false">M31-(N31+O31)</f>
        <v>65</v>
      </c>
      <c r="Q31" s="53" t="n">
        <v>40.4</v>
      </c>
      <c r="R31" s="53" t="n">
        <v>45.9</v>
      </c>
      <c r="S31" s="53" t="n">
        <f aca="false">SUM(P31:R31)</f>
        <v>151.3</v>
      </c>
      <c r="T31" s="54" t="n">
        <f aca="false">(I31-S31)+T30</f>
        <v>-3527.37</v>
      </c>
      <c r="U31" s="53" t="n">
        <v>54</v>
      </c>
      <c r="V31" s="53" t="n">
        <v>34.5</v>
      </c>
      <c r="W31" s="54" t="n">
        <f aca="false">W30-V31</f>
        <v>1313.67999999997</v>
      </c>
      <c r="X31" s="6" t="n">
        <f aca="false">N31+O31+S31+U31+V31</f>
        <v>239.8</v>
      </c>
      <c r="Y31" s="53" t="n">
        <f aca="false">IF(L31&lt;0,L31*-1,0)</f>
        <v>84.8935467607764</v>
      </c>
      <c r="Z31" s="53" t="n">
        <f aca="false">X31+Y31</f>
        <v>324.693546760776</v>
      </c>
      <c r="AA31" s="58" t="n">
        <v>0</v>
      </c>
      <c r="AB31" s="59" t="n">
        <v>78</v>
      </c>
      <c r="AC31" s="59" t="n">
        <v>46</v>
      </c>
      <c r="AD31" s="60" t="n">
        <v>22</v>
      </c>
      <c r="AE31" s="96"/>
      <c r="AF31" s="96"/>
    </row>
    <row r="32" customFormat="false" ht="11.1" hidden="false" customHeight="true" outlineLevel="0" collapsed="false">
      <c r="A32" s="60" t="n">
        <v>23</v>
      </c>
      <c r="B32" s="75" t="n">
        <v>6906.84</v>
      </c>
      <c r="C32" s="54" t="n">
        <v>309594</v>
      </c>
      <c r="D32" s="59" t="n">
        <f aca="false">C32-C31</f>
        <v>-311</v>
      </c>
      <c r="E32" s="54" t="n">
        <f aca="false">C32-151978</f>
        <v>157616</v>
      </c>
      <c r="F32" s="53" t="n">
        <f aca="false">D32/$D$2</f>
        <v>-156.793546760776</v>
      </c>
      <c r="G32" s="53" t="n">
        <v>154.4</v>
      </c>
      <c r="H32" s="55" t="n">
        <v>0</v>
      </c>
      <c r="I32" s="53" t="n">
        <f aca="false">G32+H32</f>
        <v>154.4</v>
      </c>
      <c r="J32" s="83" t="n">
        <f aca="false">IF(L32&gt;0,L32,0)</f>
        <v>0</v>
      </c>
      <c r="K32" s="53" t="n">
        <f aca="false">I32+J32</f>
        <v>154.4</v>
      </c>
      <c r="L32" s="53" t="n">
        <f aca="false">F32-(I32-X32)</f>
        <v>-38.2935467607764</v>
      </c>
      <c r="M32" s="53" t="n">
        <v>71.3</v>
      </c>
      <c r="N32" s="53" t="n">
        <v>0</v>
      </c>
      <c r="O32" s="53" t="n">
        <v>0</v>
      </c>
      <c r="P32" s="6" t="n">
        <f aca="false">M32-(N32+O32)</f>
        <v>71.3</v>
      </c>
      <c r="Q32" s="53" t="n">
        <v>70.7</v>
      </c>
      <c r="R32" s="53" t="n">
        <v>46.7</v>
      </c>
      <c r="S32" s="53" t="n">
        <f aca="false">SUM(P32:R32)</f>
        <v>188.7</v>
      </c>
      <c r="T32" s="54" t="n">
        <f aca="false">(I32-S32)+T31</f>
        <v>-3561.67</v>
      </c>
      <c r="U32" s="53" t="n">
        <v>50</v>
      </c>
      <c r="V32" s="53" t="n">
        <v>34.2</v>
      </c>
      <c r="W32" s="54" t="n">
        <f aca="false">W31-V32</f>
        <v>1279.47999999997</v>
      </c>
      <c r="X32" s="6" t="n">
        <f aca="false">N32+O32+S32+U32+V32</f>
        <v>272.9</v>
      </c>
      <c r="Y32" s="53" t="n">
        <f aca="false">IF(L32&lt;0,L32*-1,0)</f>
        <v>38.2935467607764</v>
      </c>
      <c r="Z32" s="53" t="n">
        <f aca="false">X32+Y32</f>
        <v>311.193546760776</v>
      </c>
      <c r="AA32" s="58" t="n">
        <v>0</v>
      </c>
      <c r="AB32" s="59" t="n">
        <v>73</v>
      </c>
      <c r="AC32" s="59" t="n">
        <v>42</v>
      </c>
      <c r="AD32" s="60" t="n">
        <v>23</v>
      </c>
      <c r="AE32" s="96"/>
      <c r="AF32" s="96"/>
    </row>
    <row r="33" customFormat="false" ht="11.1" hidden="false" customHeight="true" outlineLevel="0" collapsed="false">
      <c r="A33" s="60" t="n">
        <v>24</v>
      </c>
      <c r="B33" s="75" t="n">
        <v>6906.76</v>
      </c>
      <c r="C33" s="54" t="n">
        <v>309205</v>
      </c>
      <c r="D33" s="59" t="n">
        <f aca="false">C33-C32</f>
        <v>-389</v>
      </c>
      <c r="E33" s="54" t="n">
        <f aca="false">C33-151978</f>
        <v>157227</v>
      </c>
      <c r="F33" s="53" t="n">
        <f aca="false">D33/$D$2</f>
        <v>-196.117973279556</v>
      </c>
      <c r="G33" s="53" t="n">
        <v>146.5</v>
      </c>
      <c r="H33" s="55" t="n">
        <v>0</v>
      </c>
      <c r="I33" s="53" t="n">
        <f aca="false">G33+H33</f>
        <v>146.5</v>
      </c>
      <c r="J33" s="83" t="n">
        <f aca="false">IF(L33&gt;0,L33,0)</f>
        <v>0</v>
      </c>
      <c r="K33" s="53" t="n">
        <f aca="false">I33+J33</f>
        <v>146.5</v>
      </c>
      <c r="L33" s="53" t="n">
        <f aca="false">F33-(I33-X33)</f>
        <v>-52.3179732795563</v>
      </c>
      <c r="M33" s="53" t="n">
        <v>79.9</v>
      </c>
      <c r="N33" s="53" t="n">
        <v>0</v>
      </c>
      <c r="O33" s="53" t="n">
        <v>0</v>
      </c>
      <c r="P33" s="6" t="n">
        <f aca="false">M33-(N33+O33)</f>
        <v>79.9</v>
      </c>
      <c r="Q33" s="53" t="n">
        <v>94</v>
      </c>
      <c r="R33" s="53" t="n">
        <v>36.2</v>
      </c>
      <c r="S33" s="53" t="n">
        <f aca="false">SUM(P33:R33)</f>
        <v>210.1</v>
      </c>
      <c r="T33" s="54" t="n">
        <f aca="false">(I33-S33)+T32</f>
        <v>-3625.27</v>
      </c>
      <c r="U33" s="53" t="n">
        <v>46</v>
      </c>
      <c r="V33" s="53" t="n">
        <v>34.2</v>
      </c>
      <c r="W33" s="54" t="n">
        <f aca="false">W32-V33</f>
        <v>1245.27999999997</v>
      </c>
      <c r="X33" s="6" t="n">
        <f aca="false">N33+O33+S33+U33+V33</f>
        <v>290.3</v>
      </c>
      <c r="Y33" s="53" t="n">
        <f aca="false">IF(L33&lt;0,L33*-1,0)</f>
        <v>52.3179732795563</v>
      </c>
      <c r="Z33" s="53" t="n">
        <f aca="false">X33+Y33</f>
        <v>342.617973279556</v>
      </c>
      <c r="AA33" s="58" t="n">
        <v>0</v>
      </c>
      <c r="AB33" s="59" t="n">
        <v>78</v>
      </c>
      <c r="AC33" s="59" t="n">
        <v>43</v>
      </c>
      <c r="AD33" s="60" t="n">
        <v>24</v>
      </c>
      <c r="AE33" s="96"/>
      <c r="AF33" s="96"/>
    </row>
    <row r="34" customFormat="false" ht="11.1" hidden="false" customHeight="true" outlineLevel="0" collapsed="false">
      <c r="A34" s="60" t="n">
        <v>25</v>
      </c>
      <c r="B34" s="75" t="n">
        <v>6906.62</v>
      </c>
      <c r="C34" s="54" t="n">
        <v>308661</v>
      </c>
      <c r="D34" s="59" t="n">
        <f aca="false">C34-C33</f>
        <v>-544</v>
      </c>
      <c r="E34" s="54" t="n">
        <f aca="false">C34-151978</f>
        <v>156683</v>
      </c>
      <c r="F34" s="53" t="n">
        <f aca="false">D34/$D$2</f>
        <v>-274.262667002773</v>
      </c>
      <c r="G34" s="53" t="n">
        <v>108.7</v>
      </c>
      <c r="H34" s="55" t="n">
        <v>0</v>
      </c>
      <c r="I34" s="53" t="n">
        <f aca="false">G34+H34</f>
        <v>108.7</v>
      </c>
      <c r="J34" s="83" t="n">
        <f aca="false">IF(L34&gt;0,L34,0)</f>
        <v>0</v>
      </c>
      <c r="K34" s="53" t="n">
        <f aca="false">I34+J34</f>
        <v>108.7</v>
      </c>
      <c r="L34" s="53" t="n">
        <f aca="false">F34-(I34-X34)</f>
        <v>-84.1626670027728</v>
      </c>
      <c r="M34" s="53" t="n">
        <v>81.4</v>
      </c>
      <c r="N34" s="53" t="n">
        <v>0</v>
      </c>
      <c r="O34" s="53" t="n">
        <v>0</v>
      </c>
      <c r="P34" s="6" t="n">
        <f aca="false">M34-(N34+O34)</f>
        <v>81.4</v>
      </c>
      <c r="Q34" s="53" t="n">
        <v>94</v>
      </c>
      <c r="R34" s="53" t="n">
        <v>36.2</v>
      </c>
      <c r="S34" s="53" t="n">
        <f aca="false">SUM(P34:R34)</f>
        <v>211.6</v>
      </c>
      <c r="T34" s="54" t="n">
        <f aca="false">(I34-S34)+T33</f>
        <v>-3728.17</v>
      </c>
      <c r="U34" s="53" t="n">
        <v>53</v>
      </c>
      <c r="V34" s="53" t="n">
        <v>34.2</v>
      </c>
      <c r="W34" s="54" t="n">
        <f aca="false">W33-V34</f>
        <v>1211.07999999997</v>
      </c>
      <c r="X34" s="6" t="n">
        <f aca="false">N34+O34+S34+U34+V34</f>
        <v>298.8</v>
      </c>
      <c r="Y34" s="53" t="n">
        <f aca="false">IF(L34&lt;0,L34*-1,0)</f>
        <v>84.1626670027728</v>
      </c>
      <c r="Z34" s="53" t="n">
        <f aca="false">X34+Y34</f>
        <v>382.962667002773</v>
      </c>
      <c r="AA34" s="58" t="n">
        <v>0</v>
      </c>
      <c r="AB34" s="59" t="n">
        <v>79</v>
      </c>
      <c r="AC34" s="59" t="n">
        <v>45</v>
      </c>
      <c r="AD34" s="60" t="n">
        <v>25</v>
      </c>
      <c r="AE34" s="96"/>
      <c r="AF34" s="96"/>
    </row>
    <row r="35" customFormat="false" ht="11.1" hidden="false" customHeight="true" outlineLevel="0" collapsed="false">
      <c r="A35" s="60" t="n">
        <v>26</v>
      </c>
      <c r="B35" s="75" t="n">
        <v>6906.51</v>
      </c>
      <c r="C35" s="54" t="n">
        <v>308223</v>
      </c>
      <c r="D35" s="59" t="n">
        <f aca="false">C35-C34</f>
        <v>-438</v>
      </c>
      <c r="E35" s="54" t="n">
        <f aca="false">C35-151978</f>
        <v>156245</v>
      </c>
      <c r="F35" s="53" t="n">
        <f aca="false">D35/$D$2</f>
        <v>-220.82177968238</v>
      </c>
      <c r="G35" s="53" t="n">
        <v>131.8</v>
      </c>
      <c r="H35" s="55" t="n">
        <v>0</v>
      </c>
      <c r="I35" s="53" t="n">
        <f aca="false">G35+H35</f>
        <v>131.8</v>
      </c>
      <c r="J35" s="83" t="n">
        <f aca="false">IF(L35&gt;0,L35,0)</f>
        <v>0</v>
      </c>
      <c r="K35" s="53" t="n">
        <f aca="false">I35+J35</f>
        <v>131.8</v>
      </c>
      <c r="L35" s="53" t="n">
        <f aca="false">F35-(I35-X35)</f>
        <v>-50.1217796823796</v>
      </c>
      <c r="M35" s="53" t="n">
        <v>89</v>
      </c>
      <c r="N35" s="53" t="n">
        <v>0</v>
      </c>
      <c r="O35" s="53" t="n">
        <v>0</v>
      </c>
      <c r="P35" s="6" t="n">
        <f aca="false">M35-(N35+O35)</f>
        <v>89</v>
      </c>
      <c r="Q35" s="53" t="n">
        <v>93.6</v>
      </c>
      <c r="R35" s="53" t="n">
        <v>35.8</v>
      </c>
      <c r="S35" s="53" t="n">
        <f aca="false">SUM(P35:R35)</f>
        <v>218.4</v>
      </c>
      <c r="T35" s="54" t="n">
        <f aca="false">(I35-S35)+T34</f>
        <v>-3814.77</v>
      </c>
      <c r="U35" s="53" t="n">
        <v>50</v>
      </c>
      <c r="V35" s="53" t="n">
        <v>34.1</v>
      </c>
      <c r="W35" s="54" t="n">
        <f aca="false">W34-V35</f>
        <v>1176.97999999997</v>
      </c>
      <c r="X35" s="6" t="n">
        <f aca="false">N35+O35+S35+U35+V35</f>
        <v>302.5</v>
      </c>
      <c r="Y35" s="53" t="n">
        <f aca="false">IF(L35&lt;0,L35*-1,0)</f>
        <v>50.1217796823796</v>
      </c>
      <c r="Z35" s="53" t="n">
        <f aca="false">X35+Y35</f>
        <v>352.62177968238</v>
      </c>
      <c r="AA35" s="58" t="n">
        <v>0</v>
      </c>
      <c r="AB35" s="59" t="n">
        <v>79</v>
      </c>
      <c r="AC35" s="59" t="n">
        <v>41</v>
      </c>
      <c r="AD35" s="60" t="n">
        <v>26</v>
      </c>
      <c r="AE35" s="96"/>
      <c r="AF35" s="96"/>
    </row>
    <row r="36" customFormat="false" ht="11.1" hidden="false" customHeight="true" outlineLevel="0" collapsed="false">
      <c r="A36" s="60" t="n">
        <v>27</v>
      </c>
      <c r="B36" s="75" t="n">
        <v>6906.39</v>
      </c>
      <c r="C36" s="54" t="n">
        <v>307767</v>
      </c>
      <c r="D36" s="59" t="n">
        <f aca="false">C36-C35</f>
        <v>-456</v>
      </c>
      <c r="E36" s="54" t="n">
        <f aca="false">C36-151978</f>
        <v>155789</v>
      </c>
      <c r="F36" s="53" t="n">
        <f aca="false">D36/$D$2</f>
        <v>-229.89664734056</v>
      </c>
      <c r="G36" s="53" t="n">
        <v>124.7</v>
      </c>
      <c r="H36" s="55" t="n">
        <v>0</v>
      </c>
      <c r="I36" s="53" t="n">
        <f aca="false">G36+H36</f>
        <v>124.7</v>
      </c>
      <c r="J36" s="83" t="n">
        <f aca="false">IF(L36&gt;0,L36,0)</f>
        <v>0</v>
      </c>
      <c r="K36" s="53" t="n">
        <f aca="false">I36+J36</f>
        <v>124.7</v>
      </c>
      <c r="L36" s="53" t="n">
        <f aca="false">F36-(I36-X36)</f>
        <v>-47.9966473405596</v>
      </c>
      <c r="M36" s="53" t="n">
        <v>91</v>
      </c>
      <c r="N36" s="53" t="n">
        <v>0</v>
      </c>
      <c r="O36" s="53" t="n">
        <v>0</v>
      </c>
      <c r="P36" s="6" t="n">
        <f aca="false">M36-(N36+O36)</f>
        <v>91</v>
      </c>
      <c r="Q36" s="53" t="n">
        <v>93.7</v>
      </c>
      <c r="R36" s="53" t="n">
        <v>36.1</v>
      </c>
      <c r="S36" s="53" t="n">
        <f aca="false">SUM(P36:R36)</f>
        <v>220.8</v>
      </c>
      <c r="T36" s="54" t="n">
        <f aca="false">(I36-S36)+T35</f>
        <v>-3910.87</v>
      </c>
      <c r="U36" s="53" t="n">
        <v>52</v>
      </c>
      <c r="V36" s="53" t="n">
        <v>33.8</v>
      </c>
      <c r="W36" s="54" t="n">
        <f aca="false">W35-V36</f>
        <v>1143.17999999997</v>
      </c>
      <c r="X36" s="6" t="n">
        <f aca="false">N36+O36+S36+U36+V36</f>
        <v>306.6</v>
      </c>
      <c r="Y36" s="53" t="n">
        <f aca="false">IF(L36&lt;0,L36*-1,0)</f>
        <v>47.9966473405596</v>
      </c>
      <c r="Z36" s="53" t="n">
        <f aca="false">X36+Y36</f>
        <v>354.59664734056</v>
      </c>
      <c r="AA36" s="58" t="n">
        <v>0</v>
      </c>
      <c r="AB36" s="59" t="n">
        <v>79</v>
      </c>
      <c r="AC36" s="59" t="n">
        <v>43</v>
      </c>
      <c r="AD36" s="60" t="n">
        <v>27</v>
      </c>
      <c r="AE36" s="96"/>
      <c r="AF36" s="96"/>
    </row>
    <row r="37" customFormat="false" ht="11.1" hidden="false" customHeight="true" outlineLevel="0" collapsed="false">
      <c r="A37" s="60" t="n">
        <v>28</v>
      </c>
      <c r="B37" s="75" t="n">
        <v>6906.27</v>
      </c>
      <c r="C37" s="54" t="n">
        <v>307301</v>
      </c>
      <c r="D37" s="59" t="n">
        <f aca="false">C37-C36</f>
        <v>-466</v>
      </c>
      <c r="E37" s="54" t="n">
        <f aca="false">C37-151978</f>
        <v>155323</v>
      </c>
      <c r="F37" s="53" t="n">
        <f aca="false">D37/$D$2</f>
        <v>-234.938240483993</v>
      </c>
      <c r="G37" s="53" t="n">
        <v>121.8</v>
      </c>
      <c r="H37" s="55" t="n">
        <v>0</v>
      </c>
      <c r="I37" s="53" t="n">
        <f aca="false">G37+H37</f>
        <v>121.8</v>
      </c>
      <c r="J37" s="83" t="n">
        <f aca="false">IF(L37&gt;0,L37,0)</f>
        <v>0</v>
      </c>
      <c r="K37" s="53" t="n">
        <f aca="false">I37+J37</f>
        <v>121.8</v>
      </c>
      <c r="L37" s="53" t="n">
        <f aca="false">F37-(I37-X37)</f>
        <v>-46.6382404839929</v>
      </c>
      <c r="M37" s="53" t="n">
        <v>90.8</v>
      </c>
      <c r="N37" s="53" t="n">
        <v>0</v>
      </c>
      <c r="O37" s="53" t="n">
        <v>0</v>
      </c>
      <c r="P37" s="6" t="n">
        <f aca="false">M37-(N37+O37)</f>
        <v>90.8</v>
      </c>
      <c r="Q37" s="53" t="n">
        <v>94.6</v>
      </c>
      <c r="R37" s="53" t="n">
        <v>35.1</v>
      </c>
      <c r="S37" s="53" t="n">
        <f aca="false">SUM(P37:R37)</f>
        <v>220.5</v>
      </c>
      <c r="T37" s="54" t="n">
        <f aca="false">(I37-S37)+T36</f>
        <v>-4009.57</v>
      </c>
      <c r="U37" s="53" t="n">
        <v>56</v>
      </c>
      <c r="V37" s="53" t="n">
        <v>33.6</v>
      </c>
      <c r="W37" s="54" t="n">
        <f aca="false">W36-V37</f>
        <v>1109.57999999997</v>
      </c>
      <c r="X37" s="6" t="n">
        <f aca="false">N37+O37+S37+U37+V37</f>
        <v>310.1</v>
      </c>
      <c r="Y37" s="53" t="n">
        <f aca="false">IF(L37&lt;0,L37*-1,0)</f>
        <v>46.6382404839929</v>
      </c>
      <c r="Z37" s="53" t="n">
        <f aca="false">X37+Y37</f>
        <v>356.738240483993</v>
      </c>
      <c r="AA37" s="58" t="n">
        <v>0</v>
      </c>
      <c r="AB37" s="59" t="n">
        <v>75</v>
      </c>
      <c r="AC37" s="59" t="n">
        <v>46</v>
      </c>
      <c r="AD37" s="60" t="n">
        <v>28</v>
      </c>
      <c r="AE37" s="96"/>
      <c r="AF37" s="96"/>
    </row>
    <row r="38" customFormat="false" ht="11.1" hidden="false" customHeight="true" outlineLevel="0" collapsed="false">
      <c r="A38" s="60" t="n">
        <v>29</v>
      </c>
      <c r="B38" s="75" t="n">
        <v>6906.16</v>
      </c>
      <c r="C38" s="54" t="n">
        <v>306873</v>
      </c>
      <c r="D38" s="59" t="n">
        <f aca="false">C38-C37</f>
        <v>-428</v>
      </c>
      <c r="E38" s="54" t="n">
        <f aca="false">C38-151978</f>
        <v>154895</v>
      </c>
      <c r="F38" s="53" t="n">
        <f aca="false">D38/$D$2</f>
        <v>-215.780186538946</v>
      </c>
      <c r="G38" s="53" t="n">
        <v>125.3</v>
      </c>
      <c r="H38" s="55" t="n">
        <v>0</v>
      </c>
      <c r="I38" s="53" t="n">
        <f aca="false">G38+H38</f>
        <v>125.3</v>
      </c>
      <c r="J38" s="83" t="n">
        <f aca="false">IF(L38&gt;0,L38,0)</f>
        <v>0</v>
      </c>
      <c r="K38" s="53" t="n">
        <f aca="false">I38+J38</f>
        <v>125.3</v>
      </c>
      <c r="L38" s="53" t="n">
        <f aca="false">F38-(I38-X38)</f>
        <v>-40.8801865389463</v>
      </c>
      <c r="M38" s="53" t="n">
        <v>90.6</v>
      </c>
      <c r="N38" s="53" t="n">
        <v>0</v>
      </c>
      <c r="O38" s="53" t="n">
        <v>0</v>
      </c>
      <c r="P38" s="6" t="n">
        <f aca="false">M38-(N38+O38)</f>
        <v>90.6</v>
      </c>
      <c r="Q38" s="53" t="n">
        <v>96.8</v>
      </c>
      <c r="R38" s="53" t="n">
        <v>34.3</v>
      </c>
      <c r="S38" s="53" t="n">
        <f aca="false">SUM(P38:R38)</f>
        <v>221.7</v>
      </c>
      <c r="T38" s="54" t="n">
        <f aca="false">(I38-S38)+T37</f>
        <v>-4105.97</v>
      </c>
      <c r="U38" s="53" t="n">
        <v>45</v>
      </c>
      <c r="V38" s="53" t="n">
        <v>33.5</v>
      </c>
      <c r="W38" s="54" t="n">
        <f aca="false">W37-V38</f>
        <v>1076.07999999997</v>
      </c>
      <c r="X38" s="6" t="n">
        <f aca="false">N38+O38+S38+U38+V38</f>
        <v>300.2</v>
      </c>
      <c r="Y38" s="53" t="n">
        <f aca="false">IF(L38&lt;0,L38*-1,0)</f>
        <v>40.8801865389463</v>
      </c>
      <c r="Z38" s="53" t="n">
        <f aca="false">X38+Y38</f>
        <v>341.080186538946</v>
      </c>
      <c r="AA38" s="58" t="n">
        <v>0</v>
      </c>
      <c r="AB38" s="59" t="n">
        <v>71</v>
      </c>
      <c r="AC38" s="59" t="n">
        <v>42</v>
      </c>
      <c r="AD38" s="60" t="n">
        <v>29</v>
      </c>
      <c r="AE38" s="96"/>
      <c r="AF38" s="96"/>
    </row>
    <row r="39" customFormat="false" ht="11.1" hidden="false" customHeight="true" outlineLevel="0" collapsed="false">
      <c r="A39" s="60" t="n">
        <v>30</v>
      </c>
      <c r="B39" s="75" t="n">
        <v>6906.04</v>
      </c>
      <c r="C39" s="54" t="n">
        <v>306407</v>
      </c>
      <c r="D39" s="59" t="n">
        <f aca="false">C39-C38</f>
        <v>-466</v>
      </c>
      <c r="E39" s="54" t="n">
        <f aca="false">C39-151978</f>
        <v>154429</v>
      </c>
      <c r="F39" s="53" t="n">
        <f aca="false">D39/$D$2</f>
        <v>-234.938240483993</v>
      </c>
      <c r="G39" s="53" t="n">
        <v>159.6</v>
      </c>
      <c r="H39" s="55" t="n">
        <v>0</v>
      </c>
      <c r="I39" s="53" t="n">
        <f aca="false">G39+H39</f>
        <v>159.6</v>
      </c>
      <c r="J39" s="83" t="n">
        <f aca="false">IF(L39&gt;0,L39,0)</f>
        <v>0</v>
      </c>
      <c r="K39" s="53" t="n">
        <f aca="false">I39+J39</f>
        <v>159.6</v>
      </c>
      <c r="L39" s="53" t="n">
        <f aca="false">F39-(I39-X39)</f>
        <v>-88.5382404839929</v>
      </c>
      <c r="M39" s="53" t="n">
        <v>91</v>
      </c>
      <c r="N39" s="53" t="n">
        <v>0</v>
      </c>
      <c r="O39" s="53" t="n">
        <v>0</v>
      </c>
      <c r="P39" s="6" t="n">
        <f aca="false">M39-(N39+O39)</f>
        <v>91</v>
      </c>
      <c r="Q39" s="53" t="n">
        <v>97</v>
      </c>
      <c r="R39" s="53" t="n">
        <v>40</v>
      </c>
      <c r="S39" s="53" t="n">
        <f aca="false">SUM(P39:R39)</f>
        <v>228</v>
      </c>
      <c r="T39" s="54" t="n">
        <f aca="false">(I39-S39)+T38</f>
        <v>-4174.37</v>
      </c>
      <c r="U39" s="53" t="n">
        <v>45</v>
      </c>
      <c r="V39" s="53" t="n">
        <v>33</v>
      </c>
      <c r="W39" s="54" t="n">
        <f aca="false">W38-V39</f>
        <v>1043.07999999997</v>
      </c>
      <c r="X39" s="6" t="n">
        <f aca="false">N39+O39+S39+U39+V39</f>
        <v>306</v>
      </c>
      <c r="Y39" s="53" t="n">
        <f aca="false">IF(L39&lt;0,L39*-1,0)</f>
        <v>88.5382404839929</v>
      </c>
      <c r="Z39" s="53" t="n">
        <f aca="false">X39+Y39</f>
        <v>394.538240483993</v>
      </c>
      <c r="AA39" s="58" t="n">
        <v>0</v>
      </c>
      <c r="AB39" s="136" t="n">
        <v>72</v>
      </c>
      <c r="AC39" s="59" t="n">
        <v>44</v>
      </c>
      <c r="AD39" s="60" t="n">
        <v>30</v>
      </c>
      <c r="AE39" s="96"/>
      <c r="AF39" s="96"/>
    </row>
    <row r="40" customFormat="false" ht="3" hidden="false" customHeight="true" outlineLevel="0" collapsed="false">
      <c r="A40" s="76"/>
      <c r="B40" s="76"/>
      <c r="C40" s="78"/>
      <c r="D40" s="76"/>
      <c r="E40" s="78"/>
      <c r="F40" s="76"/>
      <c r="G40" s="76"/>
      <c r="H40" s="79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8"/>
      <c r="U40" s="76"/>
      <c r="V40" s="76"/>
      <c r="W40" s="76"/>
      <c r="X40" s="76"/>
      <c r="Y40" s="76"/>
      <c r="Z40" s="76"/>
      <c r="AA40" s="80"/>
      <c r="AB40" s="81"/>
      <c r="AC40" s="81"/>
      <c r="AD40" s="82"/>
      <c r="AE40" s="94"/>
      <c r="AF40" s="95"/>
    </row>
    <row r="41" customFormat="false" ht="11.1" hidden="false" customHeight="true" outlineLevel="0" collapsed="false">
      <c r="A41" s="53" t="s">
        <v>46</v>
      </c>
      <c r="B41" s="53"/>
      <c r="C41" s="54"/>
      <c r="D41" s="54"/>
      <c r="E41" s="54"/>
      <c r="F41" s="54" t="n">
        <f aca="false">SUM(F10:F39)</f>
        <v>-3461.05369296698</v>
      </c>
      <c r="G41" s="54" t="n">
        <f aca="false">SUM(G10:G39)</f>
        <v>7439.5</v>
      </c>
      <c r="H41" s="54" t="n">
        <f aca="false">SUM(H10:H39)</f>
        <v>0.03</v>
      </c>
      <c r="I41" s="54" t="n">
        <f aca="false">SUM(I10:I39)</f>
        <v>7439.53</v>
      </c>
      <c r="J41" s="54" t="n">
        <f aca="false">SUM(J10:J39)</f>
        <v>400.059195865894</v>
      </c>
      <c r="K41" s="54" t="n">
        <f aca="false">SUM(K10:K39)</f>
        <v>7839.58919586589</v>
      </c>
      <c r="L41" s="54" t="n">
        <f aca="false">SUM(L10:L39)</f>
        <v>-812.783692966977</v>
      </c>
      <c r="M41" s="54" t="n">
        <f aca="false">SUM(M10:M39)</f>
        <v>2799.2</v>
      </c>
      <c r="N41" s="54" t="n">
        <f aca="false">SUM(N10:N39)</f>
        <v>0</v>
      </c>
      <c r="O41" s="54" t="n">
        <f aca="false">SUM(O10:O39)</f>
        <v>0</v>
      </c>
      <c r="P41" s="54" t="n">
        <f aca="false">SUM(P10:P39)</f>
        <v>2799.2</v>
      </c>
      <c r="Q41" s="54" t="n">
        <f aca="false">SUM(Q10:Q39)</f>
        <v>2210.1</v>
      </c>
      <c r="R41" s="54" t="n">
        <f aca="false">SUM(R10:R39)</f>
        <v>1589.8</v>
      </c>
      <c r="S41" s="54" t="n">
        <f aca="false">SUM(S10:S39)</f>
        <v>6599.1</v>
      </c>
      <c r="T41" s="54"/>
      <c r="U41" s="54" t="n">
        <f aca="false">SUM(U10:U39)</f>
        <v>2087</v>
      </c>
      <c r="V41" s="54" t="n">
        <f aca="false">SUM(V10:V40)</f>
        <v>1401.7</v>
      </c>
      <c r="W41" s="54"/>
      <c r="X41" s="54" t="n">
        <f aca="false">SUM(X10:X39)</f>
        <v>10087.8</v>
      </c>
      <c r="Y41" s="54" t="n">
        <f aca="false">SUM(Y10:Y39)</f>
        <v>1212.84288883287</v>
      </c>
      <c r="Z41" s="54" t="n">
        <f aca="false">SUM(Z10:Z39)</f>
        <v>11300.6428888329</v>
      </c>
      <c r="AA41" s="58" t="n">
        <f aca="false">SUM(AA10:AA39)</f>
        <v>2.14</v>
      </c>
      <c r="AB41" s="59" t="n">
        <f aca="false">AVERAGE(AB10:AB39)</f>
        <v>74.5333333333333</v>
      </c>
      <c r="AC41" s="59" t="n">
        <f aca="false">AVERAGE(AC10:AC39)</f>
        <v>45.3</v>
      </c>
      <c r="AD41" s="60" t="s">
        <v>69</v>
      </c>
      <c r="AE41" s="94"/>
      <c r="AF41" s="95"/>
    </row>
    <row r="42" customFormat="false" ht="11.1" hidden="false" customHeight="true" outlineLevel="0" collapsed="false">
      <c r="A42" s="53" t="s">
        <v>48</v>
      </c>
      <c r="B42" s="53"/>
      <c r="C42" s="54"/>
      <c r="D42" s="54" t="n">
        <f aca="false">SUM(D10:D40)</f>
        <v>-6865</v>
      </c>
      <c r="E42" s="54"/>
      <c r="F42" s="54" t="n">
        <f aca="false">F41*$D$2</f>
        <v>-6865</v>
      </c>
      <c r="G42" s="54" t="n">
        <f aca="false">G41*$D$2</f>
        <v>14756.24825</v>
      </c>
      <c r="H42" s="54" t="n">
        <f aca="false">H41*$D$2</f>
        <v>0.059505</v>
      </c>
      <c r="I42" s="54" t="n">
        <f aca="false">I41*$D$2</f>
        <v>14756.307755</v>
      </c>
      <c r="J42" s="54" t="n">
        <f aca="false">J41*$D$2</f>
        <v>793.517415</v>
      </c>
      <c r="K42" s="54" t="n">
        <f aca="false">K41*$D$2</f>
        <v>15549.82517</v>
      </c>
      <c r="L42" s="54" t="n">
        <f aca="false">L41*$D$2</f>
        <v>-1612.156455</v>
      </c>
      <c r="M42" s="54" t="n">
        <f aca="false">M41*$D$2</f>
        <v>5552.2132</v>
      </c>
      <c r="N42" s="54" t="n">
        <f aca="false">N41*$D$2</f>
        <v>0</v>
      </c>
      <c r="O42" s="54" t="n">
        <f aca="false">O41*$D$2</f>
        <v>0</v>
      </c>
      <c r="P42" s="54" t="n">
        <f aca="false">P41*$D$2</f>
        <v>5552.2132</v>
      </c>
      <c r="Q42" s="54" t="n">
        <f aca="false">Q41*$D$2</f>
        <v>4383.73335</v>
      </c>
      <c r="R42" s="54" t="n">
        <f aca="false">R41*$D$2</f>
        <v>3153.3683</v>
      </c>
      <c r="S42" s="54" t="n">
        <f aca="false">S41*$D$2</f>
        <v>13089.31485</v>
      </c>
      <c r="T42" s="54"/>
      <c r="U42" s="54" t="n">
        <f aca="false">U41*$D$2</f>
        <v>4139.5645</v>
      </c>
      <c r="V42" s="54" t="n">
        <f aca="false">V41*$D$2</f>
        <v>2780.27195</v>
      </c>
      <c r="W42" s="54"/>
      <c r="X42" s="54" t="n">
        <f aca="false">X41*$D$2</f>
        <v>20009.1513</v>
      </c>
      <c r="Y42" s="54" t="n">
        <f aca="false">Y41*$D$2</f>
        <v>2405.67387</v>
      </c>
      <c r="Z42" s="54" t="n">
        <f aca="false">Z41*$D$2</f>
        <v>22414.82517</v>
      </c>
      <c r="AA42" s="58"/>
      <c r="AB42" s="59" t="n">
        <f aca="false">MAX(AB10:AB39)</f>
        <v>85</v>
      </c>
      <c r="AC42" s="59" t="n">
        <f aca="false">MAX(AC10:AC39)</f>
        <v>57</v>
      </c>
      <c r="AD42" s="60" t="s">
        <v>49</v>
      </c>
      <c r="AE42" s="94"/>
      <c r="AF42" s="95"/>
    </row>
    <row r="43" customFormat="false" ht="3" hidden="false" customHeight="true" outlineLevel="0" collapsed="false">
      <c r="A43" s="76"/>
      <c r="B43" s="76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6"/>
      <c r="X43" s="78"/>
      <c r="Y43" s="78"/>
      <c r="Z43" s="78"/>
      <c r="AA43" s="78"/>
      <c r="AB43" s="78"/>
      <c r="AC43" s="78"/>
      <c r="AD43" s="78"/>
      <c r="AE43" s="94"/>
      <c r="AF43" s="95"/>
    </row>
    <row r="44" customFormat="false" ht="11.1" hidden="false" customHeight="true" outlineLevel="0" collapsed="false">
      <c r="A44" s="53" t="s">
        <v>50</v>
      </c>
      <c r="B44" s="53"/>
      <c r="C44" s="54"/>
      <c r="D44" s="54"/>
      <c r="E44" s="54"/>
      <c r="F44" s="54" t="n">
        <f aca="false">F7+F41</f>
        <v>30702.7980841946</v>
      </c>
      <c r="G44" s="54" t="n">
        <f aca="false">G7+G41</f>
        <v>113537.5</v>
      </c>
      <c r="H44" s="54" t="n">
        <f aca="false">H7+H41</f>
        <v>4933.73</v>
      </c>
      <c r="I44" s="54" t="n">
        <f aca="false">I7+I41</f>
        <v>118471.23</v>
      </c>
      <c r="J44" s="54" t="n">
        <f aca="false">J7+J41</f>
        <v>16501.1270229393</v>
      </c>
      <c r="K44" s="54" t="n">
        <f aca="false">K7+K41</f>
        <v>134972.357022939</v>
      </c>
      <c r="L44" s="54" t="n">
        <f aca="false">L7+L41</f>
        <v>10430.8180841946</v>
      </c>
      <c r="M44" s="54" t="n">
        <f aca="false">M7+M41</f>
        <v>27570.2</v>
      </c>
      <c r="N44" s="54" t="n">
        <f aca="false">N7+N41</f>
        <v>0</v>
      </c>
      <c r="O44" s="54" t="n">
        <f aca="false">O7+O41</f>
        <v>0</v>
      </c>
      <c r="P44" s="54" t="n">
        <f aca="false">P7+P41</f>
        <v>27570.2</v>
      </c>
      <c r="Q44" s="54" t="n">
        <f aca="false">Q7+Q41</f>
        <v>24494.62</v>
      </c>
      <c r="R44" s="54" t="n">
        <f aca="false">R7+R41</f>
        <v>11252.71</v>
      </c>
      <c r="S44" s="54" t="n">
        <f aca="false">S7+S41</f>
        <v>63317.53</v>
      </c>
      <c r="T44" s="54" t="n">
        <f aca="false">T39</f>
        <v>-4174.37</v>
      </c>
      <c r="U44" s="54" t="n">
        <f aca="false">U7+U41</f>
        <v>14611.4</v>
      </c>
      <c r="V44" s="54" t="n">
        <f aca="false">V7+V41</f>
        <v>20270.32</v>
      </c>
      <c r="W44" s="54" t="n">
        <f aca="false">W39</f>
        <v>1043.07999999997</v>
      </c>
      <c r="X44" s="54" t="n">
        <f aca="false">X7+X41</f>
        <v>98199.25</v>
      </c>
      <c r="Y44" s="54" t="n">
        <f aca="false">Y7+Y41</f>
        <v>6070.30893874464</v>
      </c>
      <c r="Z44" s="54" t="n">
        <f aca="false">Z7+Z41</f>
        <v>104269.558938745</v>
      </c>
      <c r="AA44" s="58"/>
      <c r="AB44" s="59" t="n">
        <f aca="false">MIN(AB10:AB39)</f>
        <v>66</v>
      </c>
      <c r="AC44" s="59" t="n">
        <f aca="false">MIN(AC10:AC39)</f>
        <v>36</v>
      </c>
      <c r="AD44" s="60" t="s">
        <v>51</v>
      </c>
      <c r="AE44" s="94"/>
      <c r="AF44" s="95"/>
    </row>
    <row r="45" customFormat="false" ht="11.1" hidden="false" customHeight="true" outlineLevel="0" collapsed="false">
      <c r="A45" s="53" t="s">
        <v>52</v>
      </c>
      <c r="B45" s="53"/>
      <c r="C45" s="54"/>
      <c r="D45" s="54"/>
      <c r="E45" s="54"/>
      <c r="F45" s="54" t="n">
        <f aca="false">F44*$D$2</f>
        <v>60899</v>
      </c>
      <c r="G45" s="54" t="n">
        <f aca="false">G44*$D$2</f>
        <v>225201.63125</v>
      </c>
      <c r="H45" s="54" t="n">
        <f aca="false">H44*$D$2</f>
        <v>9786.053455</v>
      </c>
      <c r="I45" s="54" t="n">
        <f aca="false">I44*$D$2</f>
        <v>234987.684705</v>
      </c>
      <c r="J45" s="54" t="n">
        <f aca="false">J44*$D$2</f>
        <v>32729.98545</v>
      </c>
      <c r="K45" s="54" t="n">
        <f aca="false">K44*$D$2</f>
        <v>267717.670155</v>
      </c>
      <c r="L45" s="54" t="n">
        <f aca="false">L44*$D$2</f>
        <v>20689.52767</v>
      </c>
      <c r="M45" s="54" t="n">
        <f aca="false">M44*$D$2</f>
        <v>54685.4917</v>
      </c>
      <c r="N45" s="54" t="n">
        <f aca="false">N44*$D$2</f>
        <v>0</v>
      </c>
      <c r="O45" s="54" t="n">
        <f aca="false">O44*$D$2</f>
        <v>0</v>
      </c>
      <c r="P45" s="54" t="n">
        <f aca="false">P44*$D$2</f>
        <v>54685.4917</v>
      </c>
      <c r="Q45" s="54" t="n">
        <f aca="false">Q44*$D$2</f>
        <v>48585.07877</v>
      </c>
      <c r="R45" s="54" t="n">
        <f aca="false">R44*$D$2</f>
        <v>22319.750285</v>
      </c>
      <c r="S45" s="54" t="n">
        <f aca="false">S44*$D$2</f>
        <v>125590.320755</v>
      </c>
      <c r="T45" s="54" t="n">
        <f aca="false">T44*$D$2</f>
        <v>-8279.862895</v>
      </c>
      <c r="U45" s="54" t="n">
        <f aca="false">U44*$D$2</f>
        <v>28981.7119</v>
      </c>
      <c r="V45" s="54" t="n">
        <f aca="false">V44*$D$2</f>
        <v>40206.17972</v>
      </c>
      <c r="W45" s="54" t="n">
        <f aca="false">W44*$D$2</f>
        <v>2068.94917999995</v>
      </c>
      <c r="X45" s="54" t="n">
        <f aca="false">X44*$D$2</f>
        <v>194778.212375</v>
      </c>
      <c r="Y45" s="54" t="n">
        <f aca="false">Y44*$D$2</f>
        <v>12040.45778</v>
      </c>
      <c r="Z45" s="54" t="n">
        <f aca="false">Z44*$D$2</f>
        <v>206818.670155</v>
      </c>
      <c r="AA45" s="58"/>
      <c r="AB45" s="59"/>
      <c r="AC45" s="59"/>
      <c r="AD45" s="60"/>
      <c r="AE45" s="94"/>
      <c r="AF45" s="95"/>
    </row>
    <row r="46" customFormat="false" ht="3" hidden="false" customHeight="true" outlineLevel="0" collapsed="false">
      <c r="A46" s="76"/>
      <c r="B46" s="76"/>
      <c r="C46" s="78"/>
      <c r="D46" s="78"/>
      <c r="E46" s="78"/>
      <c r="F46" s="78"/>
      <c r="G46" s="78"/>
      <c r="H46" s="81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80"/>
      <c r="AB46" s="80"/>
      <c r="AC46" s="80"/>
      <c r="AD46" s="80"/>
      <c r="AE46" s="94"/>
      <c r="AF46" s="95"/>
    </row>
    <row r="47" customFormat="false" ht="11.1" hidden="false" customHeight="true" outlineLevel="0" collapsed="false">
      <c r="A47" s="53" t="s">
        <v>53</v>
      </c>
      <c r="B47" s="53"/>
      <c r="C47" s="54"/>
      <c r="D47" s="54"/>
      <c r="E47" s="54"/>
      <c r="F47" s="54" t="n">
        <f aca="false">F8+F41</f>
        <v>34051.9284093774</v>
      </c>
      <c r="G47" s="54" t="n">
        <f aca="false">G8+G41</f>
        <v>125002.27</v>
      </c>
      <c r="H47" s="59" t="n">
        <f aca="false">H8+H41</f>
        <v>5008.38</v>
      </c>
      <c r="I47" s="54" t="n">
        <f aca="false">I8+I41</f>
        <v>129907.45</v>
      </c>
      <c r="J47" s="54" t="n">
        <f aca="false">J8+J41</f>
        <v>17142.2359389967</v>
      </c>
      <c r="K47" s="54" t="n">
        <f aca="false">K8+K41</f>
        <v>147049.685938997</v>
      </c>
      <c r="L47" s="54" t="n">
        <f aca="false">L8+L41</f>
        <v>10533.7384093774</v>
      </c>
      <c r="M47" s="54" t="n">
        <f aca="false">M8+M41</f>
        <v>29006.52</v>
      </c>
      <c r="N47" s="54" t="n">
        <f aca="false">N8+N41</f>
        <v>0.08</v>
      </c>
      <c r="O47" s="54" t="n">
        <f aca="false">O8+O41</f>
        <v>0</v>
      </c>
      <c r="P47" s="54" t="n">
        <f aca="false">P8+P41</f>
        <v>29006.44</v>
      </c>
      <c r="Q47" s="54" t="n">
        <f aca="false">Q8+Q41</f>
        <v>26099.81</v>
      </c>
      <c r="R47" s="54" t="n">
        <f aca="false">R8+R41</f>
        <v>11625.11</v>
      </c>
      <c r="S47" s="54" t="n">
        <f aca="false">S8+S41</f>
        <v>66731.36</v>
      </c>
      <c r="T47" s="54" t="n">
        <f aca="false">T44</f>
        <v>-4174.37</v>
      </c>
      <c r="U47" s="54" t="n">
        <f aca="false">U8+U41</f>
        <v>14611.4</v>
      </c>
      <c r="V47" s="54" t="n">
        <f aca="false">V8+V41</f>
        <v>25046.42</v>
      </c>
      <c r="W47" s="54" t="n">
        <f aca="false">W39</f>
        <v>1043.07999999997</v>
      </c>
      <c r="X47" s="54" t="n">
        <f aca="false">X8+X41</f>
        <v>106389.26</v>
      </c>
      <c r="Y47" s="54" t="n">
        <f aca="false">Y8+Y41</f>
        <v>6608.49752961936</v>
      </c>
      <c r="Z47" s="54" t="n">
        <f aca="false">Z8+Z41</f>
        <v>112997.757529619</v>
      </c>
      <c r="AA47" s="58" t="n">
        <f aca="false">AA8+AA41</f>
        <v>11.48</v>
      </c>
      <c r="AB47" s="59"/>
      <c r="AC47" s="59"/>
      <c r="AD47" s="60"/>
      <c r="AE47" s="94"/>
      <c r="AF47" s="95"/>
    </row>
    <row r="48" customFormat="false" ht="11.1" hidden="false" customHeight="true" outlineLevel="0" collapsed="false">
      <c r="A48" s="53" t="s">
        <v>54</v>
      </c>
      <c r="B48" s="53"/>
      <c r="C48" s="54"/>
      <c r="D48" s="54" t="n">
        <f aca="false">D8+D42</f>
        <v>67542</v>
      </c>
      <c r="E48" s="54" t="n">
        <f aca="false">E39</f>
        <v>154429</v>
      </c>
      <c r="F48" s="54" t="n">
        <f aca="false">F47*$D$2</f>
        <v>67542</v>
      </c>
      <c r="G48" s="54" t="n">
        <f aca="false">G47*$D$2</f>
        <v>247942.002545</v>
      </c>
      <c r="H48" s="59" t="n">
        <f aca="false">H47*$D$2</f>
        <v>9934.12173</v>
      </c>
      <c r="I48" s="54" t="n">
        <f aca="false">I47*$D$2</f>
        <v>257671.427075</v>
      </c>
      <c r="J48" s="54" t="n">
        <f aca="false">J47*$D$2</f>
        <v>34001.624985</v>
      </c>
      <c r="K48" s="54" t="n">
        <f aca="false">K47*$D$2</f>
        <v>291673.05206</v>
      </c>
      <c r="L48" s="54" t="n">
        <f aca="false">L47*$D$2</f>
        <v>20893.670135</v>
      </c>
      <c r="M48" s="54" t="n">
        <f aca="false">M47*$D$2</f>
        <v>57534.43242</v>
      </c>
      <c r="N48" s="54" t="n">
        <f aca="false">N47*$D$2</f>
        <v>0.15868</v>
      </c>
      <c r="O48" s="54" t="n">
        <f aca="false">O47*$D$2</f>
        <v>0</v>
      </c>
      <c r="P48" s="54" t="n">
        <f aca="false">P47*$D$2</f>
        <v>57534.27374</v>
      </c>
      <c r="Q48" s="54" t="n">
        <f aca="false">Q47*$D$2</f>
        <v>51768.973135</v>
      </c>
      <c r="R48" s="54" t="n">
        <f aca="false">R47*$D$2</f>
        <v>23058.405685</v>
      </c>
      <c r="S48" s="54" t="n">
        <f aca="false">S47*$D$2</f>
        <v>132361.65256</v>
      </c>
      <c r="T48" s="54" t="n">
        <f aca="false">T47*$D$2</f>
        <v>-8279.862895</v>
      </c>
      <c r="U48" s="54" t="n">
        <f aca="false">U47*$D$2</f>
        <v>28981.7119</v>
      </c>
      <c r="V48" s="54" t="n">
        <f aca="false">V47*$D$2</f>
        <v>49679.57407</v>
      </c>
      <c r="W48" s="54" t="n">
        <f aca="false">W47*$D$2</f>
        <v>2068.94917999995</v>
      </c>
      <c r="X48" s="54" t="n">
        <f aca="false">X47*$D$2</f>
        <v>211023.09721</v>
      </c>
      <c r="Y48" s="54" t="n">
        <f aca="false">Y47*$D$2</f>
        <v>13107.95485</v>
      </c>
      <c r="Z48" s="54" t="n">
        <f aca="false">Z47*$D$2</f>
        <v>224131.05206</v>
      </c>
      <c r="AA48" s="58"/>
      <c r="AB48" s="59"/>
      <c r="AC48" s="59"/>
      <c r="AD48" s="60"/>
      <c r="AE48" s="94"/>
      <c r="AF48" s="95"/>
    </row>
    <row r="49" customFormat="false" ht="3" hidden="false" customHeight="true" outlineLevel="0" collapsed="false">
      <c r="A49" s="76"/>
      <c r="B49" s="76"/>
      <c r="C49" s="78"/>
      <c r="D49" s="76"/>
      <c r="E49" s="78"/>
      <c r="F49" s="76"/>
      <c r="G49" s="76"/>
      <c r="H49" s="79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8"/>
      <c r="U49" s="76"/>
      <c r="V49" s="76"/>
      <c r="W49" s="78"/>
      <c r="X49" s="76"/>
      <c r="Y49" s="76"/>
      <c r="Z49" s="76"/>
      <c r="AA49" s="76"/>
      <c r="AB49" s="76"/>
      <c r="AC49" s="76"/>
      <c r="AD49" s="76"/>
      <c r="AE49" s="94"/>
      <c r="AF49" s="95"/>
    </row>
    <row r="50" customFormat="false" ht="11.1" hidden="false" customHeight="true" outlineLevel="0" collapsed="false">
      <c r="Q50" s="143"/>
      <c r="S50" s="54"/>
      <c r="T50" s="53"/>
      <c r="U50" s="49"/>
    </row>
    <row r="51" customFormat="false" ht="11.1" hidden="false" customHeight="true" outlineLevel="0" collapsed="false">
      <c r="Q51" s="143"/>
      <c r="S51" s="54"/>
      <c r="T51" s="53"/>
      <c r="U51" s="49"/>
    </row>
    <row r="52" customFormat="false" ht="11.1" hidden="false" customHeight="true" outlineLevel="0" collapsed="false">
      <c r="Q52" s="143"/>
    </row>
    <row r="53" customFormat="false" ht="11.1" hidden="false" customHeight="true" outlineLevel="0" collapsed="false">
      <c r="Q53" s="143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9" topLeftCell="R21" activePane="bottomRight" state="frozen"/>
      <selection pane="topLeft" activeCell="A1" activeCellId="0" sqref="A1"/>
      <selection pane="topRight" activeCell="R1" activeCellId="0" sqref="R1"/>
      <selection pane="bottomLeft" activeCell="A21" activeCellId="0" sqref="A21"/>
      <selection pane="bottomRight" activeCell="AC41" activeCellId="0" sqref="AC41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5.66"/>
    <col collapsed="false" customWidth="true" hidden="false" outlineLevel="0" max="2" min="2" style="46" width="7.82"/>
    <col collapsed="false" customWidth="true" hidden="false" outlineLevel="0" max="3" min="3" style="47" width="7.66"/>
    <col collapsed="false" customWidth="true" hidden="false" outlineLevel="0" max="4" min="4" style="46" width="6.99"/>
    <col collapsed="false" customWidth="true" hidden="false" outlineLevel="0" max="5" min="5" style="47" width="7.66"/>
    <col collapsed="false" customWidth="true" hidden="false" outlineLevel="0" max="6" min="6" style="46" width="7.66"/>
    <col collapsed="false" customWidth="true" hidden="false" outlineLevel="0" max="7" min="7" style="46" width="7.16"/>
    <col collapsed="false" customWidth="true" hidden="false" outlineLevel="0" max="8" min="8" style="146" width="6.82"/>
    <col collapsed="false" customWidth="true" hidden="false" outlineLevel="0" max="9" min="9" style="46" width="7.99"/>
    <col collapsed="false" customWidth="true" hidden="false" outlineLevel="0" max="10" min="10" style="46" width="6.66"/>
    <col collapsed="false" customWidth="true" hidden="false" outlineLevel="0" max="12" min="11" style="46" width="7.16"/>
    <col collapsed="false" customWidth="true" hidden="false" outlineLevel="0" max="13" min="13" style="49" width="6.32"/>
    <col collapsed="false" customWidth="true" hidden="true" outlineLevel="0" max="14" min="14" style="49" width="7.32"/>
    <col collapsed="false" customWidth="true" hidden="true" outlineLevel="0" max="15" min="15" style="49" width="6.49"/>
    <col collapsed="false" customWidth="true" hidden="true" outlineLevel="0" max="16" min="16" style="46" width="7.99"/>
    <col collapsed="false" customWidth="true" hidden="false" outlineLevel="0" max="17" min="17" style="46" width="6.32"/>
    <col collapsed="false" customWidth="true" hidden="false" outlineLevel="0" max="18" min="18" style="46" width="5.82"/>
    <col collapsed="false" customWidth="true" hidden="false" outlineLevel="0" max="19" min="19" style="47" width="6.82"/>
    <col collapsed="false" customWidth="true" hidden="false" outlineLevel="0" max="20" min="20" style="46" width="7.66"/>
    <col collapsed="false" customWidth="true" hidden="false" outlineLevel="0" max="21" min="21" style="46" width="5.99"/>
    <col collapsed="false" customWidth="true" hidden="false" outlineLevel="0" max="22" min="22" style="47" width="6.66"/>
    <col collapsed="false" customWidth="true" hidden="false" outlineLevel="0" max="23" min="23" style="46" width="6.82"/>
    <col collapsed="false" customWidth="true" hidden="false" outlineLevel="0" max="25" min="24" style="46" width="7.82"/>
    <col collapsed="false" customWidth="true" hidden="false" outlineLevel="0" max="26" min="26" style="50" width="8.16"/>
    <col collapsed="false" customWidth="true" hidden="false" outlineLevel="0" max="27" min="27" style="50" width="4.66"/>
    <col collapsed="false" customWidth="true" hidden="false" outlineLevel="0" max="28" min="28" style="51" width="4.66"/>
    <col collapsed="false" customWidth="true" hidden="false" outlineLevel="0" max="29" min="29" style="52" width="4.66"/>
    <col collapsed="false" customWidth="true" hidden="false" outlineLevel="0" max="30" min="30" style="46" width="5.66"/>
    <col collapsed="false" customWidth="false" hidden="false" outlineLevel="0" max="257" min="31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147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7"/>
      <c r="AB1" s="59"/>
      <c r="AC1" s="60"/>
      <c r="AD1" s="90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1.9835</v>
      </c>
      <c r="E2" s="54"/>
      <c r="F2" s="53"/>
      <c r="G2" s="53"/>
      <c r="H2" s="147"/>
      <c r="I2" s="53"/>
      <c r="J2" s="53"/>
      <c r="K2" s="62" t="s">
        <v>83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7"/>
      <c r="AB2" s="59"/>
      <c r="AC2" s="60"/>
      <c r="AD2" s="90"/>
    </row>
    <row r="3" customFormat="false" ht="11.1" hidden="false" customHeight="true" outlineLevel="0" collapsed="false">
      <c r="A3" s="53"/>
      <c r="B3" s="53"/>
      <c r="C3" s="54"/>
      <c r="D3" s="63"/>
      <c r="E3" s="54"/>
      <c r="F3" s="53"/>
      <c r="G3" s="53"/>
      <c r="H3" s="147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7"/>
      <c r="AB3" s="59"/>
      <c r="AC3" s="60"/>
      <c r="AD3" s="90"/>
    </row>
    <row r="4" customFormat="false" ht="11.1" hidden="false" customHeight="true" outlineLevel="0" collapsed="false">
      <c r="A4" s="64" t="s">
        <v>3</v>
      </c>
      <c r="B4" s="64" t="s">
        <v>4</v>
      </c>
      <c r="C4" s="65" t="s">
        <v>4</v>
      </c>
      <c r="D4" s="64" t="s">
        <v>5</v>
      </c>
      <c r="E4" s="65" t="s">
        <v>6</v>
      </c>
      <c r="F4" s="64" t="s">
        <v>7</v>
      </c>
      <c r="G4" s="64" t="s">
        <v>8</v>
      </c>
      <c r="H4" s="148" t="s">
        <v>9</v>
      </c>
      <c r="I4" s="64" t="s">
        <v>10</v>
      </c>
      <c r="J4" s="64" t="s">
        <v>11</v>
      </c>
      <c r="K4" s="64" t="s">
        <v>12</v>
      </c>
      <c r="L4" s="64" t="s">
        <v>11</v>
      </c>
      <c r="M4" s="64" t="s">
        <v>13</v>
      </c>
      <c r="N4" s="64"/>
      <c r="O4" s="64"/>
      <c r="P4" s="64"/>
      <c r="Q4" s="64" t="s">
        <v>14</v>
      </c>
      <c r="R4" s="64" t="s">
        <v>15</v>
      </c>
      <c r="S4" s="64" t="s">
        <v>12</v>
      </c>
      <c r="T4" s="65" t="s">
        <v>16</v>
      </c>
      <c r="U4" s="64" t="s">
        <v>17</v>
      </c>
      <c r="V4" s="64" t="s">
        <v>18</v>
      </c>
      <c r="W4" s="65" t="s">
        <v>19</v>
      </c>
      <c r="X4" s="64" t="s">
        <v>10</v>
      </c>
      <c r="Y4" s="64" t="s">
        <v>11</v>
      </c>
      <c r="Z4" s="64" t="s">
        <v>12</v>
      </c>
      <c r="AA4" s="110" t="s">
        <v>20</v>
      </c>
      <c r="AB4" s="68" t="s">
        <v>21</v>
      </c>
      <c r="AC4" s="68" t="s">
        <v>22</v>
      </c>
      <c r="AD4" s="68" t="s">
        <v>3</v>
      </c>
      <c r="AE4" s="90"/>
    </row>
    <row r="5" customFormat="false" ht="11.1" hidden="false" customHeight="true" outlineLevel="0" collapsed="false">
      <c r="A5" s="69" t="s">
        <v>84</v>
      </c>
      <c r="B5" s="64" t="s">
        <v>24</v>
      </c>
      <c r="C5" s="65" t="s">
        <v>5</v>
      </c>
      <c r="D5" s="64" t="s">
        <v>25</v>
      </c>
      <c r="E5" s="65" t="s">
        <v>26</v>
      </c>
      <c r="F5" s="64" t="s">
        <v>27</v>
      </c>
      <c r="G5" s="64" t="s">
        <v>28</v>
      </c>
      <c r="H5" s="148" t="s">
        <v>29</v>
      </c>
      <c r="I5" s="64" t="s">
        <v>30</v>
      </c>
      <c r="J5" s="64" t="s">
        <v>30</v>
      </c>
      <c r="K5" s="64" t="s">
        <v>30</v>
      </c>
      <c r="L5" s="64" t="s">
        <v>31</v>
      </c>
      <c r="M5" s="64" t="s">
        <v>32</v>
      </c>
      <c r="N5" s="64" t="s">
        <v>33</v>
      </c>
      <c r="O5" s="64" t="s">
        <v>34</v>
      </c>
      <c r="P5" s="64" t="s">
        <v>35</v>
      </c>
      <c r="Q5" s="64" t="s">
        <v>36</v>
      </c>
      <c r="R5" s="64" t="s">
        <v>37</v>
      </c>
      <c r="S5" s="64" t="s">
        <v>16</v>
      </c>
      <c r="T5" s="65" t="s">
        <v>38</v>
      </c>
      <c r="U5" s="64" t="s">
        <v>39</v>
      </c>
      <c r="V5" s="64" t="s">
        <v>40</v>
      </c>
      <c r="W5" s="65" t="s">
        <v>41</v>
      </c>
      <c r="X5" s="64" t="s">
        <v>42</v>
      </c>
      <c r="Y5" s="64" t="s">
        <v>42</v>
      </c>
      <c r="Z5" s="64" t="s">
        <v>42</v>
      </c>
      <c r="AA5" s="134"/>
      <c r="AB5" s="68" t="s">
        <v>43</v>
      </c>
      <c r="AC5" s="68" t="s">
        <v>43</v>
      </c>
      <c r="AD5" s="71" t="s">
        <v>84</v>
      </c>
      <c r="AE5" s="90"/>
      <c r="AG5" s="139"/>
      <c r="AH5" s="139"/>
    </row>
    <row r="6" customFormat="false" ht="11.1" hidden="false" customHeight="true" outlineLevel="0" collapsed="false">
      <c r="A6" s="72"/>
      <c r="B6" s="72"/>
      <c r="C6" s="73"/>
      <c r="D6" s="72"/>
      <c r="E6" s="73"/>
      <c r="F6" s="72"/>
      <c r="G6" s="72"/>
      <c r="H6" s="147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3"/>
      <c r="U6" s="72"/>
      <c r="V6" s="72"/>
      <c r="W6" s="73"/>
      <c r="X6" s="72"/>
      <c r="Y6" s="72"/>
      <c r="Z6" s="72"/>
      <c r="AA6" s="57"/>
      <c r="AB6" s="60"/>
      <c r="AC6" s="60"/>
      <c r="AD6" s="60"/>
      <c r="AE6" s="94"/>
      <c r="AF6" s="95"/>
      <c r="AG6" s="139"/>
      <c r="AH6" s="139"/>
    </row>
    <row r="7" customFormat="false" ht="11.1" hidden="false" customHeight="true" outlineLevel="0" collapsed="false">
      <c r="A7" s="53" t="s">
        <v>44</v>
      </c>
      <c r="B7" s="53"/>
      <c r="C7" s="54"/>
      <c r="D7" s="54"/>
      <c r="E7" s="54"/>
      <c r="F7" s="54" t="n">
        <f aca="false">SEP!F44</f>
        <v>30702.7980841946</v>
      </c>
      <c r="G7" s="54" t="n">
        <f aca="false">SEP!G44</f>
        <v>113537.5</v>
      </c>
      <c r="H7" s="149" t="n">
        <f aca="false">SEP!H44</f>
        <v>4933.73</v>
      </c>
      <c r="I7" s="54" t="n">
        <f aca="false">SEP!I44</f>
        <v>118471.23</v>
      </c>
      <c r="J7" s="54" t="n">
        <f aca="false">SEP!J44</f>
        <v>16501.1270229393</v>
      </c>
      <c r="K7" s="54" t="n">
        <f aca="false">SEP!K44</f>
        <v>134972.357022939</v>
      </c>
      <c r="L7" s="54" t="n">
        <f aca="false">SEP!L44</f>
        <v>10430.8180841946</v>
      </c>
      <c r="M7" s="54" t="n">
        <f aca="false">SEP!M44</f>
        <v>27570.2</v>
      </c>
      <c r="N7" s="54" t="n">
        <f aca="false">SEP!N44</f>
        <v>0</v>
      </c>
      <c r="O7" s="54" t="n">
        <f aca="false">SEP!O44</f>
        <v>0</v>
      </c>
      <c r="P7" s="54" t="n">
        <f aca="false">SEP!P44</f>
        <v>27570.2</v>
      </c>
      <c r="Q7" s="54" t="n">
        <f aca="false">SEP!Q44</f>
        <v>24494.62</v>
      </c>
      <c r="R7" s="54" t="n">
        <f aca="false">SEP!R44</f>
        <v>11252.71</v>
      </c>
      <c r="S7" s="54" t="n">
        <f aca="false">SEP!S44</f>
        <v>63317.53</v>
      </c>
      <c r="T7" s="54" t="n">
        <f aca="false">SEP!T44</f>
        <v>-4174.37</v>
      </c>
      <c r="U7" s="54" t="n">
        <f aca="false">SEP!U44</f>
        <v>14611.4</v>
      </c>
      <c r="V7" s="54" t="n">
        <f aca="false">SEP!V44</f>
        <v>20270.32</v>
      </c>
      <c r="W7" s="54"/>
      <c r="X7" s="54" t="n">
        <f aca="false">SEP!X44</f>
        <v>98199.25</v>
      </c>
      <c r="Y7" s="54" t="n">
        <f aca="false">SEP!Y44</f>
        <v>6070.30893874464</v>
      </c>
      <c r="Z7" s="54" t="n">
        <f aca="false">SEP!Z44</f>
        <v>104269.558938745</v>
      </c>
      <c r="AA7" s="57"/>
      <c r="AB7" s="59"/>
      <c r="AC7" s="59"/>
      <c r="AD7" s="60"/>
      <c r="AE7" s="95"/>
      <c r="AF7" s="95"/>
    </row>
    <row r="8" s="47" customFormat="true" ht="11.1" hidden="false" customHeight="true" outlineLevel="0" collapsed="false">
      <c r="A8" s="54" t="s">
        <v>45</v>
      </c>
      <c r="B8" s="75" t="n">
        <f aca="false">SEP!B39</f>
        <v>6906.04</v>
      </c>
      <c r="C8" s="54" t="n">
        <f aca="false">SEP!C39</f>
        <v>306407</v>
      </c>
      <c r="D8" s="54" t="n">
        <f aca="false">SEP!D48</f>
        <v>67542</v>
      </c>
      <c r="E8" s="54" t="n">
        <f aca="false">SEP!E48</f>
        <v>154429</v>
      </c>
      <c r="F8" s="54" t="n">
        <f aca="false">SEP!F47</f>
        <v>34051.9284093774</v>
      </c>
      <c r="G8" s="54" t="n">
        <f aca="false">SEP!G47</f>
        <v>125002.27</v>
      </c>
      <c r="H8" s="147" t="n">
        <f aca="false">SEP!H47</f>
        <v>5008.38</v>
      </c>
      <c r="I8" s="54" t="n">
        <f aca="false">SEP!I47</f>
        <v>129907.45</v>
      </c>
      <c r="J8" s="54" t="n">
        <f aca="false">SEP!J47</f>
        <v>17142.2359389967</v>
      </c>
      <c r="K8" s="54" t="n">
        <f aca="false">SEP!K47</f>
        <v>147049.685938997</v>
      </c>
      <c r="L8" s="54" t="n">
        <f aca="false">SEP!L47</f>
        <v>10533.7384093774</v>
      </c>
      <c r="M8" s="54" t="n">
        <f aca="false">SEP!M47</f>
        <v>29006.52</v>
      </c>
      <c r="N8" s="54" t="n">
        <f aca="false">SEP!N47</f>
        <v>0.08</v>
      </c>
      <c r="O8" s="54" t="n">
        <f aca="false">SEP!O47</f>
        <v>0</v>
      </c>
      <c r="P8" s="54" t="n">
        <f aca="false">SEP!P47</f>
        <v>29006.44</v>
      </c>
      <c r="Q8" s="54" t="n">
        <f aca="false">SEP!Q47</f>
        <v>26099.81</v>
      </c>
      <c r="R8" s="54" t="n">
        <f aca="false">SEP!R47</f>
        <v>11625.11</v>
      </c>
      <c r="S8" s="54" t="n">
        <f aca="false">SEP!S47</f>
        <v>66731.36</v>
      </c>
      <c r="T8" s="54" t="n">
        <f aca="false">SEP!T47</f>
        <v>-4174.37</v>
      </c>
      <c r="U8" s="54" t="n">
        <f aca="false">SEP!U47</f>
        <v>14611.4</v>
      </c>
      <c r="V8" s="54" t="n">
        <f aca="false">SEP!V47</f>
        <v>25046.42</v>
      </c>
      <c r="W8" s="54" t="n">
        <f aca="false">SEP!W47</f>
        <v>1043.07999999997</v>
      </c>
      <c r="X8" s="54" t="n">
        <f aca="false">SEP!X47</f>
        <v>106389.26</v>
      </c>
      <c r="Y8" s="54" t="n">
        <f aca="false">SEP!Y47</f>
        <v>6608.49752961936</v>
      </c>
      <c r="Z8" s="54" t="n">
        <f aca="false">SEP!Z47</f>
        <v>112997.757529619</v>
      </c>
      <c r="AA8" s="57" t="n">
        <f aca="false">SEP!AA47</f>
        <v>11.48</v>
      </c>
      <c r="AB8" s="59"/>
      <c r="AC8" s="59"/>
      <c r="AD8" s="60"/>
      <c r="AE8" s="94"/>
      <c r="AF8" s="95"/>
      <c r="AG8" s="46"/>
      <c r="AH8" s="46"/>
    </row>
    <row r="9" customFormat="false" ht="3" hidden="false" customHeight="true" outlineLevel="0" collapsed="false">
      <c r="A9" s="76"/>
      <c r="B9" s="77"/>
      <c r="C9" s="78"/>
      <c r="D9" s="76"/>
      <c r="E9" s="78"/>
      <c r="F9" s="76"/>
      <c r="G9" s="76"/>
      <c r="H9" s="150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8"/>
      <c r="U9" s="76"/>
      <c r="V9" s="76"/>
      <c r="W9" s="78"/>
      <c r="X9" s="76"/>
      <c r="Y9" s="76"/>
      <c r="Z9" s="76"/>
      <c r="AA9" s="113"/>
      <c r="AB9" s="81"/>
      <c r="AC9" s="81"/>
      <c r="AD9" s="82"/>
      <c r="AE9" s="94"/>
      <c r="AF9" s="95"/>
    </row>
    <row r="10" customFormat="false" ht="11.1" hidden="false" customHeight="true" outlineLevel="0" collapsed="false">
      <c r="A10" s="60" t="n">
        <v>1</v>
      </c>
      <c r="B10" s="75" t="n">
        <v>6905.89</v>
      </c>
      <c r="C10" s="54" t="n">
        <v>305828</v>
      </c>
      <c r="D10" s="59" t="n">
        <f aca="false">C10-C8</f>
        <v>-579</v>
      </c>
      <c r="E10" s="54" t="n">
        <f aca="false">C10-152000</f>
        <v>153828</v>
      </c>
      <c r="F10" s="53" t="n">
        <f aca="false">D10/$D$2</f>
        <v>-291.908243004789</v>
      </c>
      <c r="G10" s="53" t="n">
        <v>123.5</v>
      </c>
      <c r="H10" s="147" t="n">
        <v>0</v>
      </c>
      <c r="I10" s="53" t="n">
        <f aca="false">G10+H10</f>
        <v>123.5</v>
      </c>
      <c r="J10" s="83" t="n">
        <f aca="false">IF(L10&gt;0,L10,0)</f>
        <v>0</v>
      </c>
      <c r="K10" s="53" t="n">
        <f aca="false">I10+J10</f>
        <v>123.5</v>
      </c>
      <c r="L10" s="53" t="n">
        <f aca="false">F10-(I10-X10)</f>
        <v>-119.70824300479</v>
      </c>
      <c r="M10" s="53" t="n">
        <v>96.5</v>
      </c>
      <c r="N10" s="53" t="n">
        <v>0</v>
      </c>
      <c r="O10" s="53" t="n">
        <v>0</v>
      </c>
      <c r="P10" s="6" t="n">
        <f aca="false">M10-(N10+O10)</f>
        <v>96.5</v>
      </c>
      <c r="Q10" s="53" t="n">
        <v>93.9</v>
      </c>
      <c r="R10" s="53" t="n">
        <v>31.9</v>
      </c>
      <c r="S10" s="53" t="n">
        <f aca="false">SUM(P10:R10)</f>
        <v>222.3</v>
      </c>
      <c r="T10" s="54" t="n">
        <f aca="false">(I10-S10)+T7</f>
        <v>-4273.17</v>
      </c>
      <c r="U10" s="53" t="n">
        <v>40</v>
      </c>
      <c r="V10" s="53" t="n">
        <v>33.4</v>
      </c>
      <c r="W10" s="54" t="n">
        <f aca="false">W8-V10</f>
        <v>1009.67999999997</v>
      </c>
      <c r="X10" s="6" t="n">
        <f aca="false">N10+O10+S10+U10+V10</f>
        <v>295.7</v>
      </c>
      <c r="Y10" s="53" t="n">
        <f aca="false">IF(L10&lt;0,L10*-1,0)</f>
        <v>119.70824300479</v>
      </c>
      <c r="Z10" s="53" t="n">
        <f aca="false">X10+Y10</f>
        <v>415.40824300479</v>
      </c>
      <c r="AA10" s="57" t="n">
        <v>0</v>
      </c>
      <c r="AB10" s="59" t="n">
        <v>74</v>
      </c>
      <c r="AC10" s="59" t="n">
        <v>43</v>
      </c>
      <c r="AD10" s="60" t="n">
        <v>1</v>
      </c>
      <c r="AE10" s="96"/>
      <c r="AF10" s="96"/>
    </row>
    <row r="11" customFormat="false" ht="11.1" hidden="false" customHeight="true" outlineLevel="0" collapsed="false">
      <c r="A11" s="60" t="n">
        <f aca="false">A10+1</f>
        <v>2</v>
      </c>
      <c r="B11" s="75" t="n">
        <v>6905.76</v>
      </c>
      <c r="C11" s="54" t="n">
        <v>305325</v>
      </c>
      <c r="D11" s="59" t="n">
        <f aca="false">C11-C10</f>
        <v>-503</v>
      </c>
      <c r="E11" s="54" t="n">
        <f aca="false">C11-152000</f>
        <v>153325</v>
      </c>
      <c r="F11" s="53" t="n">
        <f aca="false">D11/$D$2</f>
        <v>-253.592135114696</v>
      </c>
      <c r="G11" s="53" t="n">
        <v>115.4</v>
      </c>
      <c r="H11" s="147" t="n">
        <v>0</v>
      </c>
      <c r="I11" s="53" t="n">
        <f aca="false">G11+H11</f>
        <v>115.4</v>
      </c>
      <c r="J11" s="83" t="n">
        <f aca="false">IF(L11&gt;0,L11,0)</f>
        <v>0</v>
      </c>
      <c r="K11" s="53" t="n">
        <f aca="false">I11+J11</f>
        <v>115.4</v>
      </c>
      <c r="L11" s="53" t="n">
        <f aca="false">F11-(I11-X11)</f>
        <v>-62.9921351146963</v>
      </c>
      <c r="M11" s="53" t="n">
        <v>84.3</v>
      </c>
      <c r="N11" s="53" t="n">
        <v>0</v>
      </c>
      <c r="O11" s="53" t="n">
        <v>0</v>
      </c>
      <c r="P11" s="6" t="n">
        <f aca="false">M11-(N11+O11)</f>
        <v>84.3</v>
      </c>
      <c r="Q11" s="53" t="n">
        <v>113.6</v>
      </c>
      <c r="R11" s="53" t="n">
        <v>31.6</v>
      </c>
      <c r="S11" s="53" t="n">
        <f aca="false">SUM(P11:R11)</f>
        <v>229.5</v>
      </c>
      <c r="T11" s="54" t="n">
        <f aca="false">(I11-S11)+T10</f>
        <v>-4387.27</v>
      </c>
      <c r="U11" s="53" t="n">
        <v>42</v>
      </c>
      <c r="V11" s="53" t="n">
        <v>34.5</v>
      </c>
      <c r="W11" s="54" t="n">
        <f aca="false">W10-V11</f>
        <v>975.179999999975</v>
      </c>
      <c r="X11" s="6" t="n">
        <f aca="false">N11+O11+S11+U11+V11</f>
        <v>306</v>
      </c>
      <c r="Y11" s="53" t="n">
        <f aca="false">IF(L11&lt;0,L11*-1,0)</f>
        <v>62.9921351146963</v>
      </c>
      <c r="Z11" s="53" t="n">
        <f aca="false">X11+Y11</f>
        <v>368.992135114696</v>
      </c>
      <c r="AA11" s="57" t="n">
        <v>0</v>
      </c>
      <c r="AB11" s="59" t="n">
        <v>73</v>
      </c>
      <c r="AC11" s="59" t="n">
        <v>43</v>
      </c>
      <c r="AD11" s="60" t="n">
        <f aca="false">AD10+1</f>
        <v>2</v>
      </c>
      <c r="AE11" s="96"/>
      <c r="AF11" s="96"/>
    </row>
    <row r="12" customFormat="false" ht="11.1" hidden="false" customHeight="true" outlineLevel="0" collapsed="false">
      <c r="A12" s="60" t="n">
        <f aca="false">A11+1</f>
        <v>3</v>
      </c>
      <c r="B12" s="75" t="n">
        <v>6905.64</v>
      </c>
      <c r="C12" s="54" t="n">
        <v>304864</v>
      </c>
      <c r="D12" s="59" t="n">
        <f aca="false">C12-C11</f>
        <v>-461</v>
      </c>
      <c r="E12" s="54" t="n">
        <f aca="false">C12-152000</f>
        <v>152864</v>
      </c>
      <c r="F12" s="53" t="n">
        <f aca="false">D12/$D$2</f>
        <v>-232.417443912276</v>
      </c>
      <c r="G12" s="53" t="n">
        <v>109.1</v>
      </c>
      <c r="H12" s="147" t="n">
        <v>0</v>
      </c>
      <c r="I12" s="53" t="n">
        <f aca="false">G12+H12</f>
        <v>109.1</v>
      </c>
      <c r="J12" s="83" t="n">
        <f aca="false">IF(L12&gt;0,L12,0)</f>
        <v>0</v>
      </c>
      <c r="K12" s="53" t="n">
        <f aca="false">I12+J12</f>
        <v>109.1</v>
      </c>
      <c r="L12" s="53" t="n">
        <f aca="false">F12-(I12-X12)</f>
        <v>-37.3174439122763</v>
      </c>
      <c r="M12" s="53" t="n">
        <v>71.8</v>
      </c>
      <c r="N12" s="53" t="n">
        <v>0</v>
      </c>
      <c r="O12" s="53" t="n">
        <v>0</v>
      </c>
      <c r="P12" s="6" t="n">
        <f aca="false">M12-(N12+O12)</f>
        <v>71.8</v>
      </c>
      <c r="Q12" s="53" t="n">
        <v>122.5</v>
      </c>
      <c r="R12" s="53" t="n">
        <v>31.2</v>
      </c>
      <c r="S12" s="53" t="n">
        <f aca="false">SUM(P12:R12)</f>
        <v>225.5</v>
      </c>
      <c r="T12" s="54" t="n">
        <f aca="false">(I12-S12)+T11</f>
        <v>-4503.67</v>
      </c>
      <c r="U12" s="53" t="n">
        <v>43</v>
      </c>
      <c r="V12" s="53" t="n">
        <v>35.7</v>
      </c>
      <c r="W12" s="54" t="n">
        <f aca="false">W11-V12</f>
        <v>939.479999999974</v>
      </c>
      <c r="X12" s="6" t="n">
        <f aca="false">N12+O12+S12+U12+V12</f>
        <v>304.2</v>
      </c>
      <c r="Y12" s="53" t="n">
        <f aca="false">IF(L12&lt;0,L12*-1,0)</f>
        <v>37.3174439122763</v>
      </c>
      <c r="Z12" s="53" t="n">
        <f aca="false">X12+Y12</f>
        <v>341.517443912276</v>
      </c>
      <c r="AA12" s="57" t="n">
        <v>0</v>
      </c>
      <c r="AB12" s="59" t="n">
        <v>73</v>
      </c>
      <c r="AC12" s="59" t="n">
        <v>36</v>
      </c>
      <c r="AD12" s="60" t="n">
        <f aca="false">AD11+1</f>
        <v>3</v>
      </c>
      <c r="AE12" s="96"/>
      <c r="AF12" s="96"/>
    </row>
    <row r="13" customFormat="false" ht="11.1" hidden="false" customHeight="true" outlineLevel="0" collapsed="false">
      <c r="A13" s="60" t="n">
        <f aca="false">A12+1</f>
        <v>4</v>
      </c>
      <c r="B13" s="75" t="n">
        <v>6905.47</v>
      </c>
      <c r="C13" s="54" t="n">
        <v>304209</v>
      </c>
      <c r="D13" s="59" t="n">
        <f aca="false">C13-C12</f>
        <v>-655</v>
      </c>
      <c r="E13" s="54" t="n">
        <f aca="false">C13-152000</f>
        <v>152209</v>
      </c>
      <c r="F13" s="53" t="n">
        <f aca="false">D13/$D$2</f>
        <v>-330.224350894883</v>
      </c>
      <c r="G13" s="53" t="n">
        <v>103.3</v>
      </c>
      <c r="H13" s="147" t="n">
        <v>0</v>
      </c>
      <c r="I13" s="53" t="n">
        <f aca="false">G13+H13</f>
        <v>103.3</v>
      </c>
      <c r="J13" s="83" t="n">
        <f aca="false">IF(L13&gt;0,L13,0)</f>
        <v>0</v>
      </c>
      <c r="K13" s="53" t="n">
        <f aca="false">I13+J13</f>
        <v>103.3</v>
      </c>
      <c r="L13" s="53" t="n">
        <f aca="false">F13-(I13-X13)</f>
        <v>-120.324350894883</v>
      </c>
      <c r="M13" s="53" t="n">
        <v>70.4</v>
      </c>
      <c r="N13" s="53" t="n">
        <v>0</v>
      </c>
      <c r="O13" s="53" t="n">
        <v>0</v>
      </c>
      <c r="P13" s="6" t="n">
        <f aca="false">M13-(N13+O13)</f>
        <v>70.4</v>
      </c>
      <c r="Q13" s="53" t="n">
        <v>128.7</v>
      </c>
      <c r="R13" s="53" t="n">
        <v>32.4</v>
      </c>
      <c r="S13" s="53" t="n">
        <f aca="false">SUM(P13:R13)</f>
        <v>231.5</v>
      </c>
      <c r="T13" s="54" t="n">
        <f aca="false">(I13-S13)+T12</f>
        <v>-4631.87</v>
      </c>
      <c r="U13" s="53" t="n">
        <v>46</v>
      </c>
      <c r="V13" s="53" t="n">
        <v>35.7</v>
      </c>
      <c r="W13" s="54" t="n">
        <f aca="false">W12-V13</f>
        <v>903.779999999974</v>
      </c>
      <c r="X13" s="6" t="n">
        <f aca="false">N13+O13+S13+U13+V13</f>
        <v>313.2</v>
      </c>
      <c r="Y13" s="53" t="n">
        <f aca="false">IF(L13&lt;0,L13*-1,0)</f>
        <v>120.324350894883</v>
      </c>
      <c r="Z13" s="53" t="n">
        <f aca="false">X13+Y13</f>
        <v>433.524350894883</v>
      </c>
      <c r="AA13" s="57" t="n">
        <v>0</v>
      </c>
      <c r="AB13" s="59" t="n">
        <v>68</v>
      </c>
      <c r="AC13" s="59" t="n">
        <v>29</v>
      </c>
      <c r="AD13" s="60" t="n">
        <f aca="false">AD12+1</f>
        <v>4</v>
      </c>
      <c r="AE13" s="96"/>
      <c r="AF13" s="96"/>
    </row>
    <row r="14" customFormat="false" ht="11.1" hidden="false" customHeight="true" outlineLevel="0" collapsed="false">
      <c r="A14" s="60" t="n">
        <f aca="false">A13+1</f>
        <v>5</v>
      </c>
      <c r="B14" s="75" t="n">
        <v>6905.34</v>
      </c>
      <c r="C14" s="54" t="n">
        <v>303706</v>
      </c>
      <c r="D14" s="59" t="n">
        <f aca="false">C14-C13</f>
        <v>-503</v>
      </c>
      <c r="E14" s="54" t="n">
        <f aca="false">C14-152000</f>
        <v>151706</v>
      </c>
      <c r="F14" s="53" t="n">
        <f aca="false">D14/$D$2</f>
        <v>-253.592135114696</v>
      </c>
      <c r="G14" s="53" t="n">
        <v>101.9</v>
      </c>
      <c r="H14" s="147" t="n">
        <v>0</v>
      </c>
      <c r="I14" s="53" t="n">
        <f aca="false">G14+H14</f>
        <v>101.9</v>
      </c>
      <c r="J14" s="83" t="n">
        <f aca="false">IF(L14&gt;0,L14,0)</f>
        <v>0</v>
      </c>
      <c r="K14" s="53" t="n">
        <f aca="false">I14+J14</f>
        <v>101.9</v>
      </c>
      <c r="L14" s="53" t="n">
        <f aca="false">F14-(I14-X14)</f>
        <v>-46.2921351146963</v>
      </c>
      <c r="M14" s="53" t="n">
        <v>68.8</v>
      </c>
      <c r="N14" s="53" t="n">
        <v>0</v>
      </c>
      <c r="O14" s="53" t="n">
        <v>0</v>
      </c>
      <c r="P14" s="6" t="n">
        <f aca="false">M14-(N14+O14)</f>
        <v>68.8</v>
      </c>
      <c r="Q14" s="53" t="n">
        <v>133.6</v>
      </c>
      <c r="R14" s="53" t="n">
        <v>33</v>
      </c>
      <c r="S14" s="53" t="n">
        <f aca="false">SUM(P14:R14)</f>
        <v>235.4</v>
      </c>
      <c r="T14" s="54" t="n">
        <f aca="false">(I14-S14)+T13</f>
        <v>-4765.37</v>
      </c>
      <c r="U14" s="53" t="n">
        <v>38</v>
      </c>
      <c r="V14" s="53" t="n">
        <v>35.8</v>
      </c>
      <c r="W14" s="54" t="n">
        <f aca="false">W13-V14</f>
        <v>867.979999999974</v>
      </c>
      <c r="X14" s="6" t="n">
        <f aca="false">N14+O14+S14+U14+V14</f>
        <v>309.2</v>
      </c>
      <c r="Y14" s="53" t="n">
        <f aca="false">IF(L14&lt;0,L14*-1,0)</f>
        <v>46.2921351146963</v>
      </c>
      <c r="Z14" s="53" t="n">
        <f aca="false">X14+Y14</f>
        <v>355.492135114696</v>
      </c>
      <c r="AA14" s="57" t="n">
        <v>0</v>
      </c>
      <c r="AB14" s="59" t="n">
        <v>69</v>
      </c>
      <c r="AC14" s="59" t="n">
        <v>27</v>
      </c>
      <c r="AD14" s="60" t="n">
        <f aca="false">AD13+1</f>
        <v>5</v>
      </c>
      <c r="AE14" s="96"/>
      <c r="AF14" s="96"/>
    </row>
    <row r="15" customFormat="false" ht="11.1" hidden="false" customHeight="true" outlineLevel="0" collapsed="false">
      <c r="A15" s="60" t="n">
        <f aca="false">A14+1</f>
        <v>6</v>
      </c>
      <c r="B15" s="75" t="n">
        <v>6905.19</v>
      </c>
      <c r="C15" s="54" t="n">
        <v>303128</v>
      </c>
      <c r="D15" s="59" t="n">
        <f aca="false">C15-C14</f>
        <v>-578</v>
      </c>
      <c r="E15" s="54" t="n">
        <f aca="false">C15-152000</f>
        <v>151128</v>
      </c>
      <c r="F15" s="53" t="n">
        <f aca="false">D15/$D$2</f>
        <v>-291.404083690446</v>
      </c>
      <c r="G15" s="53" t="n">
        <v>98</v>
      </c>
      <c r="H15" s="147" t="n">
        <v>0</v>
      </c>
      <c r="I15" s="53" t="n">
        <f aca="false">G15+H15</f>
        <v>98</v>
      </c>
      <c r="J15" s="83" t="n">
        <f aca="false">IF(L15&gt;0,L15,0)</f>
        <v>0</v>
      </c>
      <c r="K15" s="53" t="n">
        <f aca="false">I15+J15</f>
        <v>98</v>
      </c>
      <c r="L15" s="53" t="n">
        <f aca="false">F15-(I15-X15)</f>
        <v>-75.7040836904462</v>
      </c>
      <c r="M15" s="53" t="n">
        <v>68.8</v>
      </c>
      <c r="N15" s="53" t="n">
        <v>0</v>
      </c>
      <c r="O15" s="53" t="n">
        <v>0</v>
      </c>
      <c r="P15" s="6" t="n">
        <f aca="false">M15-(N15+O15)</f>
        <v>68.8</v>
      </c>
      <c r="Q15" s="53" t="n">
        <v>140</v>
      </c>
      <c r="R15" s="53" t="n">
        <v>34.2</v>
      </c>
      <c r="S15" s="53" t="n">
        <f aca="false">SUM(P15:R15)</f>
        <v>243</v>
      </c>
      <c r="T15" s="54" t="n">
        <f aca="false">(I15-S15)+T14</f>
        <v>-4910.37</v>
      </c>
      <c r="U15" s="53" t="n">
        <v>35</v>
      </c>
      <c r="V15" s="53" t="n">
        <v>35.7</v>
      </c>
      <c r="W15" s="54" t="n">
        <f aca="false">W14-V15</f>
        <v>832.279999999974</v>
      </c>
      <c r="X15" s="6" t="n">
        <f aca="false">N15+O15+S15+U15+V15</f>
        <v>313.7</v>
      </c>
      <c r="Y15" s="53" t="n">
        <f aca="false">IF(L15&lt;0,L15*-1,0)</f>
        <v>75.7040836904462</v>
      </c>
      <c r="Z15" s="53" t="n">
        <f aca="false">X15+Y15</f>
        <v>389.404083690446</v>
      </c>
      <c r="AA15" s="57" t="n">
        <v>0</v>
      </c>
      <c r="AB15" s="59" t="n">
        <v>71</v>
      </c>
      <c r="AC15" s="59" t="n">
        <v>29</v>
      </c>
      <c r="AD15" s="60" t="n">
        <f aca="false">AD14+1</f>
        <v>6</v>
      </c>
      <c r="AE15" s="96"/>
      <c r="AF15" s="96"/>
    </row>
    <row r="16" customFormat="false" ht="11.1" hidden="false" customHeight="true" outlineLevel="0" collapsed="false">
      <c r="A16" s="60" t="n">
        <f aca="false">A15+1</f>
        <v>7</v>
      </c>
      <c r="B16" s="75" t="n">
        <v>6905.04</v>
      </c>
      <c r="C16" s="54" t="n">
        <v>302550</v>
      </c>
      <c r="D16" s="59" t="n">
        <f aca="false">C16-C15</f>
        <v>-578</v>
      </c>
      <c r="E16" s="54" t="n">
        <f aca="false">C16-152000</f>
        <v>150550</v>
      </c>
      <c r="F16" s="53" t="n">
        <f aca="false">D16/$D$2</f>
        <v>-291.404083690446</v>
      </c>
      <c r="G16" s="53" t="n">
        <v>95</v>
      </c>
      <c r="H16" s="147" t="n">
        <v>0</v>
      </c>
      <c r="I16" s="53" t="n">
        <f aca="false">G16+H16</f>
        <v>95</v>
      </c>
      <c r="J16" s="83" t="n">
        <f aca="false">IF(L16&gt;0,L16,0)</f>
        <v>0</v>
      </c>
      <c r="K16" s="53" t="n">
        <f aca="false">I16+J16</f>
        <v>95</v>
      </c>
      <c r="L16" s="53" t="n">
        <f aca="false">F16-(I16-X16)</f>
        <v>-70.3040836904462</v>
      </c>
      <c r="M16" s="53" t="n">
        <v>69.6</v>
      </c>
      <c r="N16" s="53" t="n">
        <v>0</v>
      </c>
      <c r="O16" s="53" t="n">
        <v>0</v>
      </c>
      <c r="P16" s="6" t="n">
        <f aca="false">M16-(N16+O16)</f>
        <v>69.6</v>
      </c>
      <c r="Q16" s="53" t="n">
        <v>145</v>
      </c>
      <c r="R16" s="53" t="n">
        <v>34.8</v>
      </c>
      <c r="S16" s="53" t="n">
        <f aca="false">SUM(P16:R16)</f>
        <v>249.4</v>
      </c>
      <c r="T16" s="54" t="n">
        <f aca="false">(I16-S16)+T15</f>
        <v>-5064.77</v>
      </c>
      <c r="U16" s="53" t="n">
        <v>31</v>
      </c>
      <c r="V16" s="53" t="n">
        <v>35.7</v>
      </c>
      <c r="W16" s="54" t="n">
        <f aca="false">W15-V16</f>
        <v>796.579999999974</v>
      </c>
      <c r="X16" s="6" t="n">
        <f aca="false">N16+O16+S16+U16+V16</f>
        <v>316.1</v>
      </c>
      <c r="Y16" s="53" t="n">
        <f aca="false">IF(L16&lt;0,L16*-1,0)</f>
        <v>70.3040836904462</v>
      </c>
      <c r="Z16" s="53" t="n">
        <f aca="false">X16+Y16</f>
        <v>386.404083690446</v>
      </c>
      <c r="AA16" s="57" t="n">
        <v>0</v>
      </c>
      <c r="AB16" s="59" t="n">
        <v>74</v>
      </c>
      <c r="AC16" s="59" t="n">
        <v>37</v>
      </c>
      <c r="AD16" s="60" t="n">
        <f aca="false">AD15+1</f>
        <v>7</v>
      </c>
      <c r="AE16" s="96"/>
      <c r="AF16" s="96"/>
    </row>
    <row r="17" customFormat="false" ht="11.1" hidden="false" customHeight="true" outlineLevel="0" collapsed="false">
      <c r="A17" s="60" t="n">
        <f aca="false">A16+1</f>
        <v>8</v>
      </c>
      <c r="B17" s="75" t="n">
        <v>6904.89</v>
      </c>
      <c r="C17" s="54" t="n">
        <v>301976</v>
      </c>
      <c r="D17" s="59" t="n">
        <f aca="false">C17-C16</f>
        <v>-574</v>
      </c>
      <c r="E17" s="54" t="n">
        <f aca="false">C17-152000</f>
        <v>149976</v>
      </c>
      <c r="F17" s="53" t="n">
        <f aca="false">D17/$D$2</f>
        <v>-289.387446433073</v>
      </c>
      <c r="G17" s="53" t="n">
        <v>91.7</v>
      </c>
      <c r="H17" s="147" t="n">
        <v>0</v>
      </c>
      <c r="I17" s="53" t="n">
        <f aca="false">G17+H17</f>
        <v>91.7</v>
      </c>
      <c r="J17" s="83" t="n">
        <f aca="false">IF(L17&gt;0,L17,0)</f>
        <v>0</v>
      </c>
      <c r="K17" s="53" t="n">
        <f aca="false">I17+J17</f>
        <v>91.7</v>
      </c>
      <c r="L17" s="53" t="n">
        <f aca="false">F17-(I17-X17)</f>
        <v>-49.0874464330728</v>
      </c>
      <c r="M17" s="53" t="n">
        <v>69.6</v>
      </c>
      <c r="N17" s="53" t="n">
        <v>0</v>
      </c>
      <c r="O17" s="53" t="n">
        <v>0</v>
      </c>
      <c r="P17" s="6" t="n">
        <f aca="false">M17-(N17+O17)</f>
        <v>69.6</v>
      </c>
      <c r="Q17" s="53" t="n">
        <v>150.5</v>
      </c>
      <c r="R17" s="53" t="n">
        <v>34.2</v>
      </c>
      <c r="S17" s="53" t="n">
        <f aca="false">SUM(P17:R17)</f>
        <v>254.3</v>
      </c>
      <c r="T17" s="54" t="n">
        <f aca="false">(I17-S17)+T16</f>
        <v>-5227.37</v>
      </c>
      <c r="U17" s="53" t="n">
        <v>42</v>
      </c>
      <c r="V17" s="53" t="n">
        <v>35.7</v>
      </c>
      <c r="W17" s="54" t="n">
        <f aca="false">W16-V17</f>
        <v>760.879999999974</v>
      </c>
      <c r="X17" s="6" t="n">
        <f aca="false">N17+O17+S17+U17+V17</f>
        <v>332</v>
      </c>
      <c r="Y17" s="53" t="n">
        <f aca="false">IF(L17&lt;0,L17*-1,0)</f>
        <v>49.0874464330728</v>
      </c>
      <c r="Z17" s="53" t="n">
        <f aca="false">X17+Y17</f>
        <v>381.087446433073</v>
      </c>
      <c r="AA17" s="57" t="n">
        <v>0</v>
      </c>
      <c r="AB17" s="59" t="n">
        <v>73</v>
      </c>
      <c r="AC17" s="59" t="n">
        <v>37</v>
      </c>
      <c r="AD17" s="60" t="n">
        <f aca="false">AD16+1</f>
        <v>8</v>
      </c>
      <c r="AE17" s="96"/>
      <c r="AF17" s="96"/>
    </row>
    <row r="18" customFormat="false" ht="11.1" hidden="false" customHeight="true" outlineLevel="0" collapsed="false">
      <c r="A18" s="60" t="n">
        <f aca="false">A17+1</f>
        <v>9</v>
      </c>
      <c r="B18" s="75" t="n">
        <v>6904.74</v>
      </c>
      <c r="C18" s="54" t="n">
        <v>301402</v>
      </c>
      <c r="D18" s="59" t="n">
        <f aca="false">C18-C17</f>
        <v>-574</v>
      </c>
      <c r="E18" s="54" t="n">
        <f aca="false">C18-152000</f>
        <v>149402</v>
      </c>
      <c r="F18" s="53" t="n">
        <f aca="false">D18/$D$2</f>
        <v>-289.387446433073</v>
      </c>
      <c r="G18" s="53" t="n">
        <v>89.1</v>
      </c>
      <c r="H18" s="147" t="n">
        <v>0</v>
      </c>
      <c r="I18" s="53" t="n">
        <f aca="false">G18+H18</f>
        <v>89.1</v>
      </c>
      <c r="J18" s="83" t="n">
        <f aca="false">IF(L18&gt;0,L18,0)</f>
        <v>0</v>
      </c>
      <c r="K18" s="53" t="n">
        <f aca="false">I18+J18</f>
        <v>89.1</v>
      </c>
      <c r="L18" s="53" t="n">
        <f aca="false">F18-(I18-X18)</f>
        <v>-54.8874464330729</v>
      </c>
      <c r="M18" s="53" t="n">
        <v>70.9</v>
      </c>
      <c r="N18" s="53" t="n">
        <v>0</v>
      </c>
      <c r="O18" s="53" t="n">
        <v>0</v>
      </c>
      <c r="P18" s="6" t="n">
        <f aca="false">M18-(N18+O18)</f>
        <v>70.9</v>
      </c>
      <c r="Q18" s="53" t="n">
        <v>150.2</v>
      </c>
      <c r="R18" s="53" t="n">
        <v>34.8</v>
      </c>
      <c r="S18" s="53" t="n">
        <f aca="false">SUM(P18:R18)</f>
        <v>255.9</v>
      </c>
      <c r="T18" s="54" t="n">
        <f aca="false">(I18-S18)+T17</f>
        <v>-5394.17</v>
      </c>
      <c r="U18" s="53" t="n">
        <v>32</v>
      </c>
      <c r="V18" s="53" t="n">
        <v>35.7</v>
      </c>
      <c r="W18" s="54" t="n">
        <f aca="false">W17-V18</f>
        <v>725.179999999974</v>
      </c>
      <c r="X18" s="6" t="n">
        <f aca="false">N18+O18+S18+U18+V18</f>
        <v>323.6</v>
      </c>
      <c r="Y18" s="53" t="n">
        <f aca="false">IF(L18&lt;0,L18*-1,0)</f>
        <v>54.8874464330729</v>
      </c>
      <c r="Z18" s="53" t="n">
        <f aca="false">X18+Y18</f>
        <v>378.487446433073</v>
      </c>
      <c r="AA18" s="57" t="n">
        <v>0</v>
      </c>
      <c r="AB18" s="84" t="n">
        <v>77</v>
      </c>
      <c r="AC18" s="59" t="n">
        <v>41</v>
      </c>
      <c r="AD18" s="60" t="n">
        <f aca="false">AD17+1</f>
        <v>9</v>
      </c>
      <c r="AE18" s="96"/>
      <c r="AF18" s="96"/>
    </row>
    <row r="19" customFormat="false" ht="11.1" hidden="false" customHeight="true" outlineLevel="0" collapsed="false">
      <c r="A19" s="60" t="n">
        <f aca="false">A18+1</f>
        <v>10</v>
      </c>
      <c r="B19" s="75" t="n">
        <v>6904.59</v>
      </c>
      <c r="C19" s="54" t="n">
        <v>300827</v>
      </c>
      <c r="D19" s="59" t="n">
        <f aca="false">C19-C18</f>
        <v>-575</v>
      </c>
      <c r="E19" s="54" t="n">
        <f aca="false">C19-152000</f>
        <v>148827</v>
      </c>
      <c r="F19" s="53" t="n">
        <f aca="false">D19/$D$2</f>
        <v>-289.891605747416</v>
      </c>
      <c r="G19" s="53" t="n">
        <v>88.6</v>
      </c>
      <c r="H19" s="147" t="n">
        <v>0</v>
      </c>
      <c r="I19" s="53" t="n">
        <f aca="false">G19+H19</f>
        <v>88.6</v>
      </c>
      <c r="J19" s="83" t="n">
        <f aca="false">IF(L19&gt;0,L19,0)</f>
        <v>0</v>
      </c>
      <c r="K19" s="53" t="n">
        <f aca="false">I19+J19</f>
        <v>88.6</v>
      </c>
      <c r="L19" s="53" t="n">
        <f aca="false">F19-(I19-X19)</f>
        <v>-43.8916057474162</v>
      </c>
      <c r="M19" s="53" t="n">
        <v>74.8</v>
      </c>
      <c r="N19" s="53" t="n">
        <v>0</v>
      </c>
      <c r="O19" s="53" t="n">
        <v>0</v>
      </c>
      <c r="P19" s="6" t="n">
        <f aca="false">M19-(N19+O19)</f>
        <v>74.8</v>
      </c>
      <c r="Q19" s="53" t="n">
        <v>150.4</v>
      </c>
      <c r="R19" s="53" t="n">
        <v>34.7</v>
      </c>
      <c r="S19" s="53" t="n">
        <f aca="false">SUM(P19:R19)</f>
        <v>259.9</v>
      </c>
      <c r="T19" s="54" t="n">
        <f aca="false">(I19-S19)+T18</f>
        <v>-5565.47</v>
      </c>
      <c r="U19" s="53" t="n">
        <v>39</v>
      </c>
      <c r="V19" s="53" t="n">
        <v>35.7</v>
      </c>
      <c r="W19" s="54" t="n">
        <f aca="false">W18-V19</f>
        <v>689.479999999974</v>
      </c>
      <c r="X19" s="6" t="n">
        <f aca="false">N19+O19+S19+U19+V19</f>
        <v>334.6</v>
      </c>
      <c r="Y19" s="53" t="n">
        <f aca="false">IF(L19&lt;0,L19*-1,0)</f>
        <v>43.8916057474162</v>
      </c>
      <c r="Z19" s="53" t="n">
        <f aca="false">X19+Y19</f>
        <v>378.491605747416</v>
      </c>
      <c r="AA19" s="57" t="n">
        <v>0</v>
      </c>
      <c r="AB19" s="59" t="n">
        <v>77</v>
      </c>
      <c r="AC19" s="59" t="n">
        <v>38</v>
      </c>
      <c r="AD19" s="60" t="n">
        <f aca="false">AD18+1</f>
        <v>10</v>
      </c>
      <c r="AE19" s="96"/>
      <c r="AF19" s="96"/>
    </row>
    <row r="20" customFormat="false" ht="11.1" hidden="false" customHeight="true" outlineLevel="0" collapsed="false">
      <c r="A20" s="60" t="n">
        <f aca="false">A19+1</f>
        <v>11</v>
      </c>
      <c r="B20" s="75" t="n">
        <v>6904.44</v>
      </c>
      <c r="C20" s="54" t="n">
        <v>300254</v>
      </c>
      <c r="D20" s="59" t="n">
        <f aca="false">C20-C19</f>
        <v>-573</v>
      </c>
      <c r="E20" s="54" t="n">
        <f aca="false">C20-152000</f>
        <v>148254</v>
      </c>
      <c r="F20" s="53" t="n">
        <f aca="false">D20/$D$2</f>
        <v>-288.88328711873</v>
      </c>
      <c r="G20" s="53" t="n">
        <v>83.6</v>
      </c>
      <c r="H20" s="147" t="n">
        <v>0</v>
      </c>
      <c r="I20" s="53" t="n">
        <f aca="false">G20+H20</f>
        <v>83.6</v>
      </c>
      <c r="J20" s="83" t="n">
        <f aca="false">IF(L20&gt;0,L20,0)</f>
        <v>0</v>
      </c>
      <c r="K20" s="53" t="n">
        <f aca="false">I20+J20</f>
        <v>83.6</v>
      </c>
      <c r="L20" s="53" t="n">
        <f aca="false">F20-(I20-X20)</f>
        <v>-40.4832871187295</v>
      </c>
      <c r="M20" s="53" t="n">
        <v>75.8</v>
      </c>
      <c r="N20" s="53" t="n">
        <v>0</v>
      </c>
      <c r="O20" s="53" t="n">
        <v>0</v>
      </c>
      <c r="P20" s="6" t="n">
        <f aca="false">M20-(N20+O20)</f>
        <v>75.8</v>
      </c>
      <c r="Q20" s="53" t="n">
        <v>149.8</v>
      </c>
      <c r="R20" s="53" t="n">
        <v>34.7</v>
      </c>
      <c r="S20" s="53" t="n">
        <f aca="false">SUM(P20:R20)</f>
        <v>260.3</v>
      </c>
      <c r="T20" s="54" t="n">
        <f aca="false">(I20-S20)+T19</f>
        <v>-5742.17</v>
      </c>
      <c r="U20" s="53" t="n">
        <v>36</v>
      </c>
      <c r="V20" s="53" t="n">
        <v>35.7</v>
      </c>
      <c r="W20" s="54" t="n">
        <f aca="false">W19-V20</f>
        <v>653.779999999974</v>
      </c>
      <c r="X20" s="6" t="n">
        <f aca="false">N20+O20+S20+U20+V20</f>
        <v>332</v>
      </c>
      <c r="Y20" s="53" t="n">
        <f aca="false">IF(L20&lt;0,L20*-1,0)</f>
        <v>40.4832871187295</v>
      </c>
      <c r="Z20" s="53" t="n">
        <f aca="false">X20+Y20</f>
        <v>372.48328711873</v>
      </c>
      <c r="AA20" s="57" t="n">
        <v>0</v>
      </c>
      <c r="AB20" s="59" t="n">
        <v>76</v>
      </c>
      <c r="AC20" s="59" t="n">
        <v>43</v>
      </c>
      <c r="AD20" s="60" t="n">
        <f aca="false">AD19+1</f>
        <v>11</v>
      </c>
      <c r="AE20" s="96"/>
      <c r="AF20" s="96"/>
      <c r="AG20" s="151"/>
      <c r="AH20" s="151"/>
      <c r="AI20" s="151"/>
    </row>
    <row r="21" customFormat="false" ht="11.1" hidden="false" customHeight="true" outlineLevel="0" collapsed="false">
      <c r="A21" s="60" t="n">
        <f aca="false">A20+1</f>
        <v>12</v>
      </c>
      <c r="B21" s="75" t="n">
        <v>6904.29</v>
      </c>
      <c r="C21" s="54" t="n">
        <v>299680</v>
      </c>
      <c r="D21" s="59" t="n">
        <f aca="false">C21-C20</f>
        <v>-574</v>
      </c>
      <c r="E21" s="54" t="n">
        <f aca="false">C21-152000</f>
        <v>147680</v>
      </c>
      <c r="F21" s="53" t="n">
        <f aca="false">D21/$D$2</f>
        <v>-289.387446433073</v>
      </c>
      <c r="G21" s="53" t="n">
        <v>83.9</v>
      </c>
      <c r="H21" s="147" t="n">
        <v>0</v>
      </c>
      <c r="I21" s="53" t="n">
        <f aca="false">G21+H21</f>
        <v>83.9</v>
      </c>
      <c r="J21" s="83" t="n">
        <f aca="false">IF(L21&gt;0,L21,0)</f>
        <v>0</v>
      </c>
      <c r="K21" s="53" t="n">
        <f aca="false">I21+J21</f>
        <v>83.9</v>
      </c>
      <c r="L21" s="53" t="n">
        <f aca="false">F21-(I21-X21)</f>
        <v>-46.6874464330728</v>
      </c>
      <c r="M21" s="53" t="n">
        <v>74.4</v>
      </c>
      <c r="N21" s="53" t="n">
        <v>0</v>
      </c>
      <c r="O21" s="53" t="n">
        <v>0</v>
      </c>
      <c r="P21" s="6" t="n">
        <f aca="false">M21-(N21+O21)</f>
        <v>74.4</v>
      </c>
      <c r="Q21" s="53" t="n">
        <v>149.9</v>
      </c>
      <c r="R21" s="53" t="n">
        <v>34.6</v>
      </c>
      <c r="S21" s="53" t="n">
        <f aca="false">SUM(P21:R21)</f>
        <v>258.9</v>
      </c>
      <c r="T21" s="54" t="n">
        <f aca="false">(I21-S21)+T20</f>
        <v>-5917.17</v>
      </c>
      <c r="U21" s="53" t="n">
        <v>32</v>
      </c>
      <c r="V21" s="53" t="n">
        <v>35.7</v>
      </c>
      <c r="W21" s="54" t="n">
        <f aca="false">W20-V21</f>
        <v>618.079999999974</v>
      </c>
      <c r="X21" s="6" t="n">
        <f aca="false">N21+O21+S21+U21+V21</f>
        <v>326.6</v>
      </c>
      <c r="Y21" s="53" t="n">
        <f aca="false">IF(L21&lt;0,L21*-1,0)</f>
        <v>46.6874464330728</v>
      </c>
      <c r="Z21" s="53" t="n">
        <f aca="false">X21+Y21</f>
        <v>373.287446433073</v>
      </c>
      <c r="AA21" s="57" t="n">
        <v>0</v>
      </c>
      <c r="AB21" s="59" t="n">
        <v>74</v>
      </c>
      <c r="AC21" s="59" t="n">
        <v>43</v>
      </c>
      <c r="AD21" s="60" t="n">
        <f aca="false">AD20+1</f>
        <v>12</v>
      </c>
      <c r="AE21" s="94"/>
      <c r="AF21" s="96"/>
    </row>
    <row r="22" customFormat="false" ht="11.1" hidden="false" customHeight="true" outlineLevel="0" collapsed="false">
      <c r="A22" s="60" t="n">
        <f aca="false">A21+1</f>
        <v>13</v>
      </c>
      <c r="B22" s="75" t="n">
        <v>6904.13</v>
      </c>
      <c r="C22" s="54" t="n">
        <v>299068</v>
      </c>
      <c r="D22" s="59" t="n">
        <f aca="false">C22-C21</f>
        <v>-612</v>
      </c>
      <c r="E22" s="54" t="n">
        <f aca="false">C22-152000</f>
        <v>147068</v>
      </c>
      <c r="F22" s="53" t="n">
        <f aca="false">D22/$D$2</f>
        <v>-308.545500378119</v>
      </c>
      <c r="G22" s="53" t="n">
        <v>81.3</v>
      </c>
      <c r="H22" s="147" t="n">
        <v>0</v>
      </c>
      <c r="I22" s="53" t="n">
        <f aca="false">G22+H22</f>
        <v>81.3</v>
      </c>
      <c r="J22" s="83" t="n">
        <f aca="false">IF(L22&gt;0,L22,0)</f>
        <v>0</v>
      </c>
      <c r="K22" s="53" t="n">
        <f aca="false">I22+J22</f>
        <v>81.3</v>
      </c>
      <c r="L22" s="53" t="n">
        <f aca="false">F22-(I22-X22)</f>
        <v>-68.7455003781195</v>
      </c>
      <c r="M22" s="53" t="n">
        <v>74.4</v>
      </c>
      <c r="N22" s="53" t="n">
        <v>0</v>
      </c>
      <c r="O22" s="53" t="n">
        <v>0</v>
      </c>
      <c r="P22" s="6" t="n">
        <f aca="false">M22-(N22+O22)</f>
        <v>74.4</v>
      </c>
      <c r="Q22" s="53" t="n">
        <v>149.7</v>
      </c>
      <c r="R22" s="53" t="n">
        <v>34.3</v>
      </c>
      <c r="S22" s="53" t="n">
        <f aca="false">SUM(P22:R22)</f>
        <v>258.4</v>
      </c>
      <c r="T22" s="54" t="n">
        <f aca="false">(I22-S22)+T21</f>
        <v>-6094.27</v>
      </c>
      <c r="U22" s="53" t="n">
        <v>27</v>
      </c>
      <c r="V22" s="53" t="n">
        <v>35.7</v>
      </c>
      <c r="W22" s="54" t="n">
        <f aca="false">W21-V22</f>
        <v>582.379999999974</v>
      </c>
      <c r="X22" s="6" t="n">
        <f aca="false">N22+O22+S22+U22+V22</f>
        <v>321.1</v>
      </c>
      <c r="Y22" s="53" t="n">
        <f aca="false">IF(L22&lt;0,L22*-1,0)</f>
        <v>68.7455003781195</v>
      </c>
      <c r="Z22" s="53" t="n">
        <f aca="false">X22+Y22</f>
        <v>389.845500378119</v>
      </c>
      <c r="AA22" s="57" t="n">
        <v>0</v>
      </c>
      <c r="AB22" s="59" t="n">
        <v>71</v>
      </c>
      <c r="AC22" s="59" t="n">
        <v>40</v>
      </c>
      <c r="AD22" s="60" t="n">
        <f aca="false">AD21+1</f>
        <v>13</v>
      </c>
      <c r="AE22" s="94"/>
      <c r="AF22" s="96"/>
    </row>
    <row r="23" customFormat="false" ht="11.1" hidden="false" customHeight="true" outlineLevel="0" collapsed="false">
      <c r="A23" s="60" t="n">
        <f aca="false">A22+1</f>
        <v>14</v>
      </c>
      <c r="B23" s="75" t="n">
        <v>6903.98</v>
      </c>
      <c r="C23" s="54" t="n">
        <v>298465</v>
      </c>
      <c r="D23" s="59" t="n">
        <f aca="false">C23-C22</f>
        <v>-603</v>
      </c>
      <c r="E23" s="54" t="n">
        <f aca="false">C23-152000</f>
        <v>146465</v>
      </c>
      <c r="F23" s="53" t="n">
        <f aca="false">D23/$D$2</f>
        <v>-304.008066549029</v>
      </c>
      <c r="G23" s="53" t="n">
        <v>79.7</v>
      </c>
      <c r="H23" s="147" t="n">
        <v>0</v>
      </c>
      <c r="I23" s="53" t="n">
        <f aca="false">G23+H23</f>
        <v>79.7</v>
      </c>
      <c r="J23" s="83" t="n">
        <f aca="false">IF(L23&gt;0,L23,0)</f>
        <v>0</v>
      </c>
      <c r="K23" s="53" t="n">
        <f aca="false">I23+J23</f>
        <v>79.7</v>
      </c>
      <c r="L23" s="53" t="n">
        <f aca="false">F23-(I23-X23)</f>
        <v>-53.4080665490295</v>
      </c>
      <c r="M23" s="53" t="n">
        <v>75</v>
      </c>
      <c r="N23" s="53" t="n">
        <v>0</v>
      </c>
      <c r="O23" s="53" t="n">
        <v>0</v>
      </c>
      <c r="P23" s="6" t="n">
        <f aca="false">M23-(N23+O23)</f>
        <v>75</v>
      </c>
      <c r="Q23" s="53" t="n">
        <v>149.3</v>
      </c>
      <c r="R23" s="104" t="n">
        <v>34.3</v>
      </c>
      <c r="S23" s="53" t="n">
        <f aca="false">SUM(P23:R23)</f>
        <v>258.6</v>
      </c>
      <c r="T23" s="54" t="n">
        <f aca="false">(I23-S23)+T22</f>
        <v>-6273.17</v>
      </c>
      <c r="U23" s="53" t="n">
        <v>36</v>
      </c>
      <c r="V23" s="53" t="n">
        <v>35.7</v>
      </c>
      <c r="W23" s="54" t="n">
        <f aca="false">W22-V23</f>
        <v>546.679999999974</v>
      </c>
      <c r="X23" s="6" t="n">
        <f aca="false">N23+O23+S23+U23+V23</f>
        <v>330.3</v>
      </c>
      <c r="Y23" s="53" t="n">
        <f aca="false">IF(L23&lt;0,L23*-1,0)</f>
        <v>53.4080665490295</v>
      </c>
      <c r="Z23" s="53" t="n">
        <f aca="false">X23+Y23</f>
        <v>383.708066549029</v>
      </c>
      <c r="AA23" s="57" t="n">
        <v>0</v>
      </c>
      <c r="AB23" s="84" t="n">
        <v>72</v>
      </c>
      <c r="AC23" s="59" t="n">
        <v>39</v>
      </c>
      <c r="AD23" s="60" t="n">
        <f aca="false">AD22+1</f>
        <v>14</v>
      </c>
      <c r="AE23" s="94"/>
      <c r="AF23" s="96"/>
    </row>
    <row r="24" customFormat="false" ht="11.1" hidden="false" customHeight="true" outlineLevel="0" collapsed="false">
      <c r="A24" s="60" t="n">
        <f aca="false">A23+1</f>
        <v>15</v>
      </c>
      <c r="B24" s="75" t="n">
        <v>6903.83</v>
      </c>
      <c r="C24" s="54" t="n">
        <v>297926</v>
      </c>
      <c r="D24" s="59" t="n">
        <f aca="false">C24-C23</f>
        <v>-539</v>
      </c>
      <c r="E24" s="54" t="n">
        <f aca="false">C24-152000</f>
        <v>145926</v>
      </c>
      <c r="F24" s="53" t="n">
        <f aca="false">D24/$D$2</f>
        <v>-271.741870431056</v>
      </c>
      <c r="G24" s="53" t="n">
        <v>77.5</v>
      </c>
      <c r="H24" s="147" t="n">
        <v>0</v>
      </c>
      <c r="I24" s="53" t="n">
        <f aca="false">G24+H24</f>
        <v>77.5</v>
      </c>
      <c r="J24" s="83" t="n">
        <f aca="false">IF(L24&gt;0,L24,0)</f>
        <v>0</v>
      </c>
      <c r="K24" s="53" t="n">
        <f aca="false">I24+J24</f>
        <v>77.5</v>
      </c>
      <c r="L24" s="53" t="n">
        <f aca="false">F24-(I24-X24)</f>
        <v>-29.8418704310562</v>
      </c>
      <c r="M24" s="53" t="n">
        <v>75.6</v>
      </c>
      <c r="N24" s="53" t="n">
        <v>0</v>
      </c>
      <c r="O24" s="53" t="n">
        <v>0</v>
      </c>
      <c r="P24" s="6" t="n">
        <f aca="false">M24-(N24+O24)</f>
        <v>75.6</v>
      </c>
      <c r="Q24" s="53" t="n">
        <v>150</v>
      </c>
      <c r="R24" s="104" t="n">
        <v>33.1</v>
      </c>
      <c r="S24" s="53" t="n">
        <f aca="false">SUM(P24:R24)</f>
        <v>258.7</v>
      </c>
      <c r="T24" s="54" t="n">
        <f aca="false">(I24-S24)+T23</f>
        <v>-6454.37</v>
      </c>
      <c r="U24" s="53" t="n">
        <v>25</v>
      </c>
      <c r="V24" s="53" t="n">
        <v>35.7</v>
      </c>
      <c r="W24" s="54" t="n">
        <f aca="false">W23-V24</f>
        <v>510.979999999974</v>
      </c>
      <c r="X24" s="6" t="n">
        <f aca="false">N24+O24+S24+U24+V24</f>
        <v>319.4</v>
      </c>
      <c r="Y24" s="53" t="n">
        <f aca="false">IF(L24&lt;0,L24*-1,0)</f>
        <v>29.8418704310562</v>
      </c>
      <c r="Z24" s="53" t="n">
        <f aca="false">X24+Y24</f>
        <v>349.241870431056</v>
      </c>
      <c r="AA24" s="57" t="n">
        <v>0</v>
      </c>
      <c r="AB24" s="84" t="n">
        <v>80</v>
      </c>
      <c r="AC24" s="59" t="n">
        <v>38</v>
      </c>
      <c r="AD24" s="60" t="n">
        <f aca="false">AD23+1</f>
        <v>15</v>
      </c>
      <c r="AE24" s="94"/>
      <c r="AF24" s="96"/>
    </row>
    <row r="25" customFormat="false" ht="11.1" hidden="false" customHeight="true" outlineLevel="0" collapsed="false">
      <c r="A25" s="60" t="n">
        <f aca="false">A24+1</f>
        <v>16</v>
      </c>
      <c r="B25" s="75" t="n">
        <v>6903.67</v>
      </c>
      <c r="C25" s="54" t="n">
        <v>297319</v>
      </c>
      <c r="D25" s="59" t="n">
        <f aca="false">C25-C24</f>
        <v>-607</v>
      </c>
      <c r="E25" s="54" t="n">
        <f aca="false">C25-152000</f>
        <v>145319</v>
      </c>
      <c r="F25" s="53" t="n">
        <f aca="false">D25/$D$2</f>
        <v>-306.024703806403</v>
      </c>
      <c r="G25" s="53" t="n">
        <v>75</v>
      </c>
      <c r="H25" s="147" t="n">
        <v>0</v>
      </c>
      <c r="I25" s="53" t="n">
        <f aca="false">G25+H25</f>
        <v>75</v>
      </c>
      <c r="J25" s="83" t="n">
        <f aca="false">IF(L25&gt;0,L25,0)</f>
        <v>0</v>
      </c>
      <c r="K25" s="53" t="n">
        <f aca="false">I25+J25</f>
        <v>75</v>
      </c>
      <c r="L25" s="53" t="n">
        <f aca="false">F25-(I25-X25)</f>
        <v>-68.5247038064028</v>
      </c>
      <c r="M25" s="53" t="n">
        <v>72.3</v>
      </c>
      <c r="N25" s="53" t="n">
        <v>0</v>
      </c>
      <c r="O25" s="53" t="n">
        <v>0</v>
      </c>
      <c r="P25" s="6" t="n">
        <f aca="false">M25-(N25+O25)</f>
        <v>72.3</v>
      </c>
      <c r="Q25" s="53" t="n">
        <v>152</v>
      </c>
      <c r="R25" s="53" t="n">
        <v>32.5</v>
      </c>
      <c r="S25" s="53" t="n">
        <f aca="false">SUM(P25:R25)</f>
        <v>256.8</v>
      </c>
      <c r="T25" s="54" t="n">
        <f aca="false">(I25-S25)+T24</f>
        <v>-6636.17</v>
      </c>
      <c r="U25" s="53" t="n">
        <v>20</v>
      </c>
      <c r="V25" s="53" t="n">
        <v>35.7</v>
      </c>
      <c r="W25" s="54" t="n">
        <f aca="false">W24-V25</f>
        <v>475.279999999974</v>
      </c>
      <c r="X25" s="6" t="n">
        <f aca="false">N25+O25+S25+U25+V25</f>
        <v>312.5</v>
      </c>
      <c r="Y25" s="53" t="n">
        <f aca="false">IF(L25&lt;0,L25*-1,0)</f>
        <v>68.5247038064028</v>
      </c>
      <c r="Z25" s="53" t="n">
        <f aca="false">X25+Y25</f>
        <v>381.024703806403</v>
      </c>
      <c r="AA25" s="57" t="n">
        <v>0</v>
      </c>
      <c r="AB25" s="84" t="n">
        <v>77</v>
      </c>
      <c r="AC25" s="59" t="n">
        <v>40</v>
      </c>
      <c r="AD25" s="60" t="n">
        <f aca="false">AD24+1</f>
        <v>16</v>
      </c>
      <c r="AE25" s="94"/>
      <c r="AF25" s="96"/>
    </row>
    <row r="26" customFormat="false" ht="11.1" hidden="false" customHeight="true" outlineLevel="0" collapsed="false">
      <c r="A26" s="60" t="n">
        <f aca="false">A25+1</f>
        <v>17</v>
      </c>
      <c r="B26" s="75" t="n">
        <v>6903.54</v>
      </c>
      <c r="C26" s="54" t="n">
        <v>296826</v>
      </c>
      <c r="D26" s="59" t="n">
        <f aca="false">C26-C25</f>
        <v>-493</v>
      </c>
      <c r="E26" s="54" t="n">
        <f aca="false">C26-152000</f>
        <v>144826</v>
      </c>
      <c r="F26" s="53" t="n">
        <f aca="false">D26/$D$2</f>
        <v>-248.550541971263</v>
      </c>
      <c r="G26" s="53" t="n">
        <v>73</v>
      </c>
      <c r="H26" s="147" t="n">
        <v>0</v>
      </c>
      <c r="I26" s="53" t="n">
        <f aca="false">G26+H26</f>
        <v>73</v>
      </c>
      <c r="J26" s="83" t="n">
        <f aca="false">IF(L26&gt;0,L26,0)</f>
        <v>0</v>
      </c>
      <c r="K26" s="53" t="n">
        <f aca="false">I26+J26</f>
        <v>73</v>
      </c>
      <c r="L26" s="53" t="n">
        <f aca="false">F26-(I26-X26)</f>
        <v>-8.0505419712629</v>
      </c>
      <c r="M26" s="53" t="n">
        <v>67.1</v>
      </c>
      <c r="N26" s="53" t="n">
        <v>0</v>
      </c>
      <c r="O26" s="53" t="n">
        <v>0</v>
      </c>
      <c r="P26" s="6" t="n">
        <f aca="false">M26-(N26+O26)</f>
        <v>67.1</v>
      </c>
      <c r="Q26" s="53" t="n">
        <v>136</v>
      </c>
      <c r="R26" s="53" t="n">
        <v>32.5</v>
      </c>
      <c r="S26" s="53" t="n">
        <f aca="false">SUM(P26:R26)</f>
        <v>235.6</v>
      </c>
      <c r="T26" s="54" t="n">
        <f aca="false">(I26-S26)+T25</f>
        <v>-6798.77</v>
      </c>
      <c r="U26" s="53" t="n">
        <v>42</v>
      </c>
      <c r="V26" s="53" t="n">
        <v>35.9</v>
      </c>
      <c r="W26" s="54" t="n">
        <f aca="false">W25-V26</f>
        <v>439.379999999974</v>
      </c>
      <c r="X26" s="6" t="n">
        <f aca="false">N26+O26+S26+U26+V26</f>
        <v>313.5</v>
      </c>
      <c r="Y26" s="53" t="n">
        <f aca="false">IF(L26&lt;0,L26*-1,0)</f>
        <v>8.0505419712629</v>
      </c>
      <c r="Z26" s="53" t="n">
        <f aca="false">X26+Y26</f>
        <v>321.550541971263</v>
      </c>
      <c r="AA26" s="57" t="n">
        <v>0</v>
      </c>
      <c r="AB26" s="84" t="n">
        <v>74</v>
      </c>
      <c r="AC26" s="59" t="n">
        <v>38</v>
      </c>
      <c r="AD26" s="60" t="n">
        <f aca="false">AD25+1</f>
        <v>17</v>
      </c>
      <c r="AE26" s="94"/>
      <c r="AF26" s="96"/>
    </row>
    <row r="27" customFormat="false" ht="11.1" hidden="false" customHeight="true" outlineLevel="0" collapsed="false">
      <c r="A27" s="60" t="n">
        <f aca="false">A26+1</f>
        <v>18</v>
      </c>
      <c r="B27" s="75" t="n">
        <v>6903.43</v>
      </c>
      <c r="C27" s="54" t="n">
        <v>296409</v>
      </c>
      <c r="D27" s="59" t="n">
        <f aca="false">C27-C26</f>
        <v>-417</v>
      </c>
      <c r="E27" s="54" t="n">
        <f aca="false">C27-152000</f>
        <v>144409</v>
      </c>
      <c r="F27" s="53" t="n">
        <f aca="false">D27/$D$2</f>
        <v>-210.23443408117</v>
      </c>
      <c r="G27" s="53" t="n">
        <v>73.4</v>
      </c>
      <c r="H27" s="147" t="n">
        <v>0</v>
      </c>
      <c r="I27" s="53" t="n">
        <f aca="false">G27+H27</f>
        <v>73.4</v>
      </c>
      <c r="J27" s="83" t="n">
        <f aca="false">IF(L27&gt;0,L27,0)</f>
        <v>0</v>
      </c>
      <c r="K27" s="53" t="n">
        <f aca="false">I27+J27</f>
        <v>73.4</v>
      </c>
      <c r="L27" s="53" t="n">
        <f aca="false">F27-(I27-X27)</f>
        <v>-21.7344340811697</v>
      </c>
      <c r="M27" s="53" t="n">
        <v>62.3</v>
      </c>
      <c r="N27" s="53" t="n">
        <v>0</v>
      </c>
      <c r="O27" s="53" t="n">
        <v>0</v>
      </c>
      <c r="P27" s="6" t="n">
        <f aca="false">M27-(N27+O27)</f>
        <v>62.3</v>
      </c>
      <c r="Q27" s="53" t="n">
        <v>109.8</v>
      </c>
      <c r="R27" s="53" t="n">
        <v>30</v>
      </c>
      <c r="S27" s="53" t="n">
        <f aca="false">SUM(P27:R27)</f>
        <v>202.1</v>
      </c>
      <c r="T27" s="54" t="n">
        <f aca="false">(I27-S27)+T26</f>
        <v>-6927.47</v>
      </c>
      <c r="U27" s="53" t="n">
        <v>24</v>
      </c>
      <c r="V27" s="53" t="n">
        <v>35.8</v>
      </c>
      <c r="W27" s="54" t="n">
        <f aca="false">W26-V27</f>
        <v>403.579999999974</v>
      </c>
      <c r="X27" s="6" t="n">
        <f aca="false">N27+O27+S27+U27+V27</f>
        <v>261.9</v>
      </c>
      <c r="Y27" s="53" t="n">
        <f aca="false">IF(L27&lt;0,L27*-1,0)</f>
        <v>21.7344340811697</v>
      </c>
      <c r="Z27" s="53" t="n">
        <f aca="false">X27+Y27</f>
        <v>283.63443408117</v>
      </c>
      <c r="AA27" s="57" t="n">
        <v>0</v>
      </c>
      <c r="AB27" s="84" t="n">
        <v>74</v>
      </c>
      <c r="AC27" s="59" t="n">
        <v>38</v>
      </c>
      <c r="AD27" s="60" t="n">
        <f aca="false">AD26+1</f>
        <v>18</v>
      </c>
      <c r="AE27" s="94"/>
      <c r="AF27" s="96"/>
    </row>
    <row r="28" customFormat="false" ht="11.1" hidden="false" customHeight="true" outlineLevel="0" collapsed="false">
      <c r="A28" s="60" t="n">
        <f aca="false">A27+1</f>
        <v>19</v>
      </c>
      <c r="B28" s="75" t="n">
        <v>6903.31</v>
      </c>
      <c r="C28" s="102" t="n">
        <v>295953</v>
      </c>
      <c r="D28" s="59" t="n">
        <f aca="false">C28-C27</f>
        <v>-456</v>
      </c>
      <c r="E28" s="54" t="n">
        <f aca="false">C28-152000</f>
        <v>143953</v>
      </c>
      <c r="F28" s="53" t="n">
        <f aca="false">D28/$D$2</f>
        <v>-229.89664734056</v>
      </c>
      <c r="G28" s="53" t="n">
        <v>72</v>
      </c>
      <c r="H28" s="147" t="n">
        <v>0</v>
      </c>
      <c r="I28" s="53" t="n">
        <f aca="false">G28+H28</f>
        <v>72</v>
      </c>
      <c r="J28" s="83" t="n">
        <f aca="false">IF(L28&gt;0,L28,0)</f>
        <v>0</v>
      </c>
      <c r="K28" s="53" t="n">
        <f aca="false">I28+J28</f>
        <v>72</v>
      </c>
      <c r="L28" s="53" t="n">
        <f aca="false">F28-(I28-X28)</f>
        <v>-51.0966473405596</v>
      </c>
      <c r="M28" s="53" t="n">
        <v>60</v>
      </c>
      <c r="N28" s="53" t="n">
        <v>0</v>
      </c>
      <c r="O28" s="53" t="n">
        <v>0</v>
      </c>
      <c r="P28" s="6" t="n">
        <f aca="false">M28-(N28+O28)</f>
        <v>60</v>
      </c>
      <c r="Q28" s="53" t="n">
        <v>90</v>
      </c>
      <c r="R28" s="53" t="n">
        <v>25</v>
      </c>
      <c r="S28" s="53" t="n">
        <f aca="false">SUM(P28:R28)</f>
        <v>175</v>
      </c>
      <c r="T28" s="54" t="n">
        <f aca="false">(I28-S28)+T27</f>
        <v>-7030.47</v>
      </c>
      <c r="U28" s="53" t="n">
        <v>40</v>
      </c>
      <c r="V28" s="53" t="n">
        <v>35.8</v>
      </c>
      <c r="W28" s="54" t="n">
        <f aca="false">W27-V28</f>
        <v>367.779999999974</v>
      </c>
      <c r="X28" s="6" t="n">
        <f aca="false">N28+O28+S28+U28+V28</f>
        <v>250.8</v>
      </c>
      <c r="Y28" s="53" t="n">
        <f aca="false">IF(L28&lt;0,L28*-1,0)</f>
        <v>51.0966473405596</v>
      </c>
      <c r="Z28" s="53" t="n">
        <f aca="false">X28+Y28</f>
        <v>301.89664734056</v>
      </c>
      <c r="AA28" s="57" t="n">
        <v>0</v>
      </c>
      <c r="AB28" s="84" t="n">
        <v>71</v>
      </c>
      <c r="AC28" s="59" t="n">
        <v>39</v>
      </c>
      <c r="AD28" s="60" t="n">
        <f aca="false">AD27+1</f>
        <v>19</v>
      </c>
      <c r="AE28" s="94"/>
      <c r="AF28" s="96"/>
    </row>
    <row r="29" customFormat="false" ht="11.1" hidden="false" customHeight="true" outlineLevel="0" collapsed="false">
      <c r="A29" s="60" t="n">
        <f aca="false">A28+1</f>
        <v>20</v>
      </c>
      <c r="B29" s="75" t="n">
        <v>6903.21</v>
      </c>
      <c r="C29" s="54" t="n">
        <v>295574</v>
      </c>
      <c r="D29" s="59" t="n">
        <f aca="false">C29-C28</f>
        <v>-379</v>
      </c>
      <c r="E29" s="54" t="n">
        <f aca="false">C29-152000</f>
        <v>143574</v>
      </c>
      <c r="F29" s="53" t="n">
        <f aca="false">D29/$D$2</f>
        <v>-191.076380136123</v>
      </c>
      <c r="G29" s="53" t="n">
        <v>70.8</v>
      </c>
      <c r="H29" s="147" t="n">
        <v>0</v>
      </c>
      <c r="I29" s="53" t="n">
        <f aca="false">G29+H29</f>
        <v>70.8</v>
      </c>
      <c r="J29" s="83" t="n">
        <f aca="false">IF(L29&gt;0,L29,0)</f>
        <v>0</v>
      </c>
      <c r="K29" s="53" t="n">
        <f aca="false">I29+J29</f>
        <v>70.8</v>
      </c>
      <c r="L29" s="53" t="n">
        <f aca="false">F29-(I29-X29)</f>
        <v>-57.276380136123</v>
      </c>
      <c r="M29" s="53" t="n">
        <v>60</v>
      </c>
      <c r="N29" s="53" t="n">
        <v>0</v>
      </c>
      <c r="O29" s="53" t="n">
        <v>0</v>
      </c>
      <c r="P29" s="6" t="n">
        <f aca="false">M29-(N29+O29)</f>
        <v>60</v>
      </c>
      <c r="Q29" s="53" t="n">
        <v>70.3</v>
      </c>
      <c r="R29" s="53" t="n">
        <v>20.3</v>
      </c>
      <c r="S29" s="53" t="n">
        <f aca="false">SUM(P29:R29)</f>
        <v>150.6</v>
      </c>
      <c r="T29" s="54" t="n">
        <f aca="false">(I29-S29)+T28</f>
        <v>-7110.27</v>
      </c>
      <c r="U29" s="53" t="n">
        <v>18</v>
      </c>
      <c r="V29" s="53" t="n">
        <v>36</v>
      </c>
      <c r="W29" s="54" t="n">
        <f aca="false">W28-V29</f>
        <v>331.779999999974</v>
      </c>
      <c r="X29" s="6" t="n">
        <f aca="false">N29+O29+S29+U29+V29</f>
        <v>204.6</v>
      </c>
      <c r="Y29" s="53" t="n">
        <f aca="false">IF(L29&lt;0,L29*-1,0)</f>
        <v>57.276380136123</v>
      </c>
      <c r="Z29" s="53" t="n">
        <f aca="false">X29+Y29</f>
        <v>261.876380136123</v>
      </c>
      <c r="AA29" s="57" t="n">
        <v>0</v>
      </c>
      <c r="AB29" s="84" t="n">
        <v>62</v>
      </c>
      <c r="AC29" s="59" t="n">
        <v>35</v>
      </c>
      <c r="AD29" s="60" t="n">
        <f aca="false">AD28+1</f>
        <v>20</v>
      </c>
      <c r="AE29" s="94"/>
      <c r="AF29" s="96"/>
    </row>
    <row r="30" customFormat="false" ht="11.1" hidden="false" customHeight="true" outlineLevel="0" collapsed="false">
      <c r="A30" s="60" t="n">
        <f aca="false">A29+1</f>
        <v>21</v>
      </c>
      <c r="B30" s="75" t="n">
        <v>6903.14</v>
      </c>
      <c r="C30" s="54" t="n">
        <v>295309</v>
      </c>
      <c r="D30" s="59" t="n">
        <f aca="false">C30-C29</f>
        <v>-265</v>
      </c>
      <c r="E30" s="54" t="n">
        <f aca="false">C30-152000</f>
        <v>143309</v>
      </c>
      <c r="F30" s="53" t="n">
        <f aca="false">D30/$D$2</f>
        <v>-133.602218300983</v>
      </c>
      <c r="G30" s="53" t="n">
        <v>70.5</v>
      </c>
      <c r="H30" s="147" t="n">
        <v>0</v>
      </c>
      <c r="I30" s="53" t="n">
        <f aca="false">G30+H30</f>
        <v>70.5</v>
      </c>
      <c r="J30" s="83" t="n">
        <f aca="false">IF(L30&gt;0,L30,0)</f>
        <v>0</v>
      </c>
      <c r="K30" s="53" t="n">
        <f aca="false">I30+J30</f>
        <v>70.5</v>
      </c>
      <c r="L30" s="53" t="n">
        <f aca="false">F30-(I30-X30)</f>
        <v>-30.8022183009831</v>
      </c>
      <c r="M30" s="53" t="n">
        <v>54.7</v>
      </c>
      <c r="N30" s="53" t="n">
        <v>0</v>
      </c>
      <c r="O30" s="53" t="n">
        <v>0</v>
      </c>
      <c r="P30" s="6" t="n">
        <f aca="false">M30-(N30+O30)</f>
        <v>54.7</v>
      </c>
      <c r="Q30" s="53" t="n">
        <v>46.3</v>
      </c>
      <c r="R30" s="53" t="n">
        <v>18.1</v>
      </c>
      <c r="S30" s="53" t="n">
        <f aca="false">SUM(P30:R30)</f>
        <v>119.1</v>
      </c>
      <c r="T30" s="54" t="n">
        <f aca="false">(I30-S30)+T29</f>
        <v>-7158.87</v>
      </c>
      <c r="U30" s="53" t="n">
        <v>18</v>
      </c>
      <c r="V30" s="53" t="n">
        <v>36.2</v>
      </c>
      <c r="W30" s="54" t="n">
        <f aca="false">W29-V30</f>
        <v>295.579999999974</v>
      </c>
      <c r="X30" s="6" t="n">
        <f aca="false">N30+O30+S30+U30+V30</f>
        <v>173.3</v>
      </c>
      <c r="Y30" s="53" t="n">
        <f aca="false">IF(L30&lt;0,L30*-1,0)</f>
        <v>30.8022183009831</v>
      </c>
      <c r="Z30" s="53" t="n">
        <f aca="false">X30+Y30</f>
        <v>204.102218300983</v>
      </c>
      <c r="AA30" s="57" t="n">
        <v>0</v>
      </c>
      <c r="AB30" s="59" t="n">
        <v>66</v>
      </c>
      <c r="AC30" s="59" t="n">
        <v>40</v>
      </c>
      <c r="AD30" s="60" t="n">
        <f aca="false">AD29+1</f>
        <v>21</v>
      </c>
      <c r="AE30" s="94"/>
      <c r="AF30" s="96"/>
    </row>
    <row r="31" customFormat="false" ht="11.1" hidden="false" customHeight="true" outlineLevel="0" collapsed="false">
      <c r="A31" s="60" t="n">
        <f aca="false">A30+1</f>
        <v>22</v>
      </c>
      <c r="B31" s="75" t="n">
        <v>6903.11</v>
      </c>
      <c r="C31" s="54" t="n">
        <v>295194</v>
      </c>
      <c r="D31" s="59" t="n">
        <f aca="false">C31-C30</f>
        <v>-115</v>
      </c>
      <c r="E31" s="54" t="n">
        <f aca="false">C31-152000</f>
        <v>143194</v>
      </c>
      <c r="F31" s="53" t="n">
        <f aca="false">D31/$D$2</f>
        <v>-57.9783211494832</v>
      </c>
      <c r="G31" s="53" t="n">
        <v>71.2</v>
      </c>
      <c r="H31" s="147" t="n">
        <v>0</v>
      </c>
      <c r="I31" s="53" t="n">
        <f aca="false">G31+H31</f>
        <v>71.2</v>
      </c>
      <c r="J31" s="83" t="n">
        <f aca="false">IF(L31&gt;0,L31,0)</f>
        <v>20.6216788505168</v>
      </c>
      <c r="K31" s="53" t="n">
        <f aca="false">I31+J31</f>
        <v>91.8216788505168</v>
      </c>
      <c r="L31" s="53" t="n">
        <f aca="false">F31-(I31-X31)</f>
        <v>20.6216788505168</v>
      </c>
      <c r="M31" s="53" t="n">
        <v>46.9</v>
      </c>
      <c r="N31" s="53" t="n">
        <v>0</v>
      </c>
      <c r="O31" s="53" t="n">
        <v>0</v>
      </c>
      <c r="P31" s="6" t="n">
        <f aca="false">M31-(N31+O31)</f>
        <v>46.9</v>
      </c>
      <c r="Q31" s="53" t="n">
        <v>33</v>
      </c>
      <c r="R31" s="53" t="n">
        <v>15.2</v>
      </c>
      <c r="S31" s="53" t="n">
        <f aca="false">SUM(P31:R31)</f>
        <v>95.1</v>
      </c>
      <c r="T31" s="54" t="n">
        <f aca="false">(I31-S31)+T30</f>
        <v>-7182.77</v>
      </c>
      <c r="U31" s="53" t="n">
        <v>20</v>
      </c>
      <c r="V31" s="53" t="n">
        <v>34.7</v>
      </c>
      <c r="W31" s="54" t="n">
        <f aca="false">W30-V31</f>
        <v>260.879999999974</v>
      </c>
      <c r="X31" s="6" t="n">
        <f aca="false">N31+O31+S31+U31+V31</f>
        <v>149.8</v>
      </c>
      <c r="Y31" s="53" t="n">
        <f aca="false">IF(L31&lt;0,L31*-1,0)</f>
        <v>0</v>
      </c>
      <c r="Z31" s="53" t="n">
        <f aca="false">X31+Y31</f>
        <v>149.8</v>
      </c>
      <c r="AA31" s="57" t="n">
        <v>0</v>
      </c>
      <c r="AB31" s="59" t="n">
        <v>61</v>
      </c>
      <c r="AC31" s="59" t="n">
        <v>36</v>
      </c>
      <c r="AD31" s="60" t="n">
        <f aca="false">AD30+1</f>
        <v>22</v>
      </c>
      <c r="AE31" s="94"/>
      <c r="AF31" s="96"/>
      <c r="AG31" s="151"/>
      <c r="AH31" s="151"/>
      <c r="AI31" s="151"/>
    </row>
    <row r="32" customFormat="false" ht="11.1" hidden="false" customHeight="true" outlineLevel="0" collapsed="false">
      <c r="A32" s="60" t="n">
        <f aca="false">A31+1</f>
        <v>23</v>
      </c>
      <c r="B32" s="75" t="n">
        <v>6903.09</v>
      </c>
      <c r="C32" s="54" t="n">
        <v>295118</v>
      </c>
      <c r="D32" s="59" t="n">
        <f aca="false">C32-C31</f>
        <v>-76</v>
      </c>
      <c r="E32" s="54" t="n">
        <f aca="false">C32-152000</f>
        <v>143118</v>
      </c>
      <c r="F32" s="53" t="n">
        <f aca="false">D32/$D$2</f>
        <v>-38.3161078900933</v>
      </c>
      <c r="G32" s="53" t="n">
        <v>72.7</v>
      </c>
      <c r="H32" s="147" t="n">
        <v>0</v>
      </c>
      <c r="I32" s="53" t="n">
        <f aca="false">G32+H32</f>
        <v>72.7</v>
      </c>
      <c r="J32" s="83" t="n">
        <f aca="false">IF(L32&gt;0,L32,0)</f>
        <v>2.18389210990673</v>
      </c>
      <c r="K32" s="53" t="n">
        <f aca="false">I32+J32</f>
        <v>74.8838921099067</v>
      </c>
      <c r="L32" s="53" t="n">
        <f aca="false">F32-(I32-X32)</f>
        <v>2.18389210990673</v>
      </c>
      <c r="M32" s="53" t="n">
        <v>45.5</v>
      </c>
      <c r="N32" s="53" t="n">
        <v>0</v>
      </c>
      <c r="O32" s="53" t="n">
        <v>0</v>
      </c>
      <c r="P32" s="6" t="n">
        <f aca="false">M32-(N32+O32)</f>
        <v>45.5</v>
      </c>
      <c r="Q32" s="53" t="n">
        <v>0</v>
      </c>
      <c r="R32" s="53" t="n">
        <v>14.2</v>
      </c>
      <c r="S32" s="53" t="n">
        <f aca="false">SUM(P32:R32)</f>
        <v>59.7</v>
      </c>
      <c r="T32" s="54" t="n">
        <f aca="false">(I32-S32)+T31</f>
        <v>-7169.77</v>
      </c>
      <c r="U32" s="53" t="n">
        <v>20</v>
      </c>
      <c r="V32" s="53" t="n">
        <v>33.5</v>
      </c>
      <c r="W32" s="54" t="n">
        <f aca="false">W31-V32</f>
        <v>227.379999999974</v>
      </c>
      <c r="X32" s="6" t="n">
        <f aca="false">N32+O32+S32+U32+V32</f>
        <v>113.2</v>
      </c>
      <c r="Y32" s="53" t="n">
        <f aca="false">IF(L32&lt;0,L32*-1,0)</f>
        <v>0</v>
      </c>
      <c r="Z32" s="53" t="n">
        <f aca="false">X32+Y32</f>
        <v>113.2</v>
      </c>
      <c r="AA32" s="57" t="n">
        <v>0.06</v>
      </c>
      <c r="AB32" s="59" t="n">
        <v>56</v>
      </c>
      <c r="AC32" s="84" t="n">
        <v>38</v>
      </c>
      <c r="AD32" s="60" t="n">
        <f aca="false">AD31+1</f>
        <v>23</v>
      </c>
      <c r="AE32" s="94"/>
      <c r="AF32" s="96"/>
    </row>
    <row r="33" customFormat="false" ht="11.1" hidden="false" customHeight="true" outlineLevel="0" collapsed="false">
      <c r="A33" s="60" t="n">
        <f aca="false">A32+1</f>
        <v>24</v>
      </c>
      <c r="B33" s="75" t="n">
        <v>6903.08</v>
      </c>
      <c r="C33" s="54" t="n">
        <v>295081</v>
      </c>
      <c r="D33" s="59" t="n">
        <f aca="false">C33-C32</f>
        <v>-37</v>
      </c>
      <c r="E33" s="54" t="n">
        <f aca="false">C33-152000</f>
        <v>143081</v>
      </c>
      <c r="F33" s="53" t="n">
        <f aca="false">D33/$D$2</f>
        <v>-18.6538946307033</v>
      </c>
      <c r="G33" s="53" t="n">
        <v>82.1</v>
      </c>
      <c r="H33" s="147" t="n">
        <v>0</v>
      </c>
      <c r="I33" s="53" t="n">
        <f aca="false">G33+H33</f>
        <v>82.1</v>
      </c>
      <c r="J33" s="83" t="n">
        <f aca="false">IF(L33&gt;0,L33,0)</f>
        <v>2.94610536929669</v>
      </c>
      <c r="K33" s="53" t="n">
        <f aca="false">I33+J33</f>
        <v>85.0461053692967</v>
      </c>
      <c r="L33" s="53" t="n">
        <f aca="false">F33-(I33-X33)</f>
        <v>2.94610536929669</v>
      </c>
      <c r="M33" s="53" t="n">
        <v>45.3</v>
      </c>
      <c r="N33" s="53" t="n">
        <v>0</v>
      </c>
      <c r="O33" s="53" t="n">
        <v>0</v>
      </c>
      <c r="P33" s="6" t="n">
        <f aca="false">M33-(N33+O33)</f>
        <v>45.3</v>
      </c>
      <c r="Q33" s="53" t="n">
        <v>0</v>
      </c>
      <c r="R33" s="53" t="n">
        <v>18.2</v>
      </c>
      <c r="S33" s="53" t="n">
        <f aca="false">SUM(P33:R33)</f>
        <v>63.5</v>
      </c>
      <c r="T33" s="54" t="n">
        <f aca="false">(I33-S33)+T32</f>
        <v>-7151.17</v>
      </c>
      <c r="U33" s="53" t="n">
        <v>8.1</v>
      </c>
      <c r="V33" s="53" t="n">
        <v>32.1</v>
      </c>
      <c r="W33" s="54" t="n">
        <f aca="false">W32-V33</f>
        <v>195.279999999974</v>
      </c>
      <c r="X33" s="6" t="n">
        <f aca="false">N33+O33+S33+U33+V33</f>
        <v>103.7</v>
      </c>
      <c r="Y33" s="53" t="n">
        <f aca="false">IF(L33&lt;0,L33*-1,0)</f>
        <v>0</v>
      </c>
      <c r="Z33" s="53" t="n">
        <f aca="false">X33+Y33</f>
        <v>103.7</v>
      </c>
      <c r="AA33" s="57" t="n">
        <v>0</v>
      </c>
      <c r="AB33" s="59" t="n">
        <v>52</v>
      </c>
      <c r="AC33" s="84" t="n">
        <v>38</v>
      </c>
      <c r="AD33" s="60" t="n">
        <f aca="false">AD32+1</f>
        <v>24</v>
      </c>
      <c r="AE33" s="94"/>
      <c r="AF33" s="96"/>
    </row>
    <row r="34" customFormat="false" ht="11.1" hidden="false" customHeight="true" outlineLevel="0" collapsed="false">
      <c r="A34" s="60" t="n">
        <v>25</v>
      </c>
      <c r="B34" s="75" t="n">
        <v>6903.06</v>
      </c>
      <c r="C34" s="54" t="n">
        <v>295005</v>
      </c>
      <c r="D34" s="59" t="n">
        <f aca="false">C34-C33</f>
        <v>-76</v>
      </c>
      <c r="E34" s="54" t="n">
        <f aca="false">C34-152000</f>
        <v>143005</v>
      </c>
      <c r="F34" s="53" t="n">
        <f aca="false">D34/$D$2</f>
        <v>-38.3161078900933</v>
      </c>
      <c r="G34" s="53" t="n">
        <v>90.2</v>
      </c>
      <c r="H34" s="147" t="n">
        <v>0</v>
      </c>
      <c r="I34" s="53" t="n">
        <f aca="false">G34+H34</f>
        <v>90.2</v>
      </c>
      <c r="J34" s="83" t="n">
        <f aca="false">IF(L34&gt;0,L34,0)</f>
        <v>0</v>
      </c>
      <c r="K34" s="53" t="n">
        <f aca="false">I34+J34</f>
        <v>90.2</v>
      </c>
      <c r="L34" s="53" t="n">
        <f aca="false">F34-(I34-X34)</f>
        <v>-33.8161078900933</v>
      </c>
      <c r="M34" s="53" t="n">
        <v>44.7</v>
      </c>
      <c r="N34" s="53" t="n">
        <v>0</v>
      </c>
      <c r="O34" s="53" t="n">
        <v>0</v>
      </c>
      <c r="P34" s="6" t="n">
        <f aca="false">M34-(N34+O34)</f>
        <v>44.7</v>
      </c>
      <c r="Q34" s="53" t="n">
        <v>0</v>
      </c>
      <c r="R34" s="53" t="n">
        <v>19.5</v>
      </c>
      <c r="S34" s="53" t="n">
        <f aca="false">SUM(P34:R34)</f>
        <v>64.2</v>
      </c>
      <c r="T34" s="54" t="n">
        <f aca="false">(I34-S34)+T33</f>
        <v>-7125.17</v>
      </c>
      <c r="U34" s="53" t="n">
        <v>0</v>
      </c>
      <c r="V34" s="53" t="n">
        <v>30.5</v>
      </c>
      <c r="W34" s="54" t="n">
        <f aca="false">W33-V34</f>
        <v>164.779999999974</v>
      </c>
      <c r="X34" s="6" t="n">
        <f aca="false">N34+O34+S34+U34+V34</f>
        <v>94.7</v>
      </c>
      <c r="Y34" s="53" t="n">
        <f aca="false">IF(L34&lt;0,L34*-1,0)</f>
        <v>33.8161078900933</v>
      </c>
      <c r="Z34" s="53" t="n">
        <f aca="false">X34+Y34</f>
        <v>128.516107890093</v>
      </c>
      <c r="AA34" s="57" t="n">
        <v>0</v>
      </c>
      <c r="AB34" s="59" t="n">
        <v>62</v>
      </c>
      <c r="AC34" s="84" t="n">
        <v>36</v>
      </c>
      <c r="AD34" s="60" t="n">
        <v>25</v>
      </c>
      <c r="AE34" s="94"/>
      <c r="AF34" s="96"/>
    </row>
    <row r="35" customFormat="false" ht="11.1" hidden="false" customHeight="true" outlineLevel="0" collapsed="false">
      <c r="A35" s="60" t="n">
        <v>26</v>
      </c>
      <c r="B35" s="75" t="n">
        <v>6903.06</v>
      </c>
      <c r="C35" s="54" t="n">
        <v>295005</v>
      </c>
      <c r="D35" s="59" t="n">
        <f aca="false">C35-C34</f>
        <v>0</v>
      </c>
      <c r="E35" s="54" t="n">
        <f aca="false">C35-152000</f>
        <v>143005</v>
      </c>
      <c r="F35" s="53" t="n">
        <f aca="false">D35/$D$2</f>
        <v>0</v>
      </c>
      <c r="G35" s="53" t="n">
        <v>86.4</v>
      </c>
      <c r="H35" s="147" t="n">
        <v>0</v>
      </c>
      <c r="I35" s="53" t="n">
        <f aca="false">G35+H35</f>
        <v>86.4</v>
      </c>
      <c r="J35" s="83" t="n">
        <f aca="false">IF(L35&gt;0,L35,0)</f>
        <v>7.89999999999999</v>
      </c>
      <c r="K35" s="53" t="n">
        <f aca="false">I35+J35</f>
        <v>94.3</v>
      </c>
      <c r="L35" s="53" t="n">
        <f aca="false">F35-(I35-X35)</f>
        <v>7.89999999999999</v>
      </c>
      <c r="M35" s="53" t="n">
        <v>44.6</v>
      </c>
      <c r="N35" s="53" t="n">
        <v>0</v>
      </c>
      <c r="O35" s="53" t="n">
        <v>0</v>
      </c>
      <c r="P35" s="6" t="n">
        <f aca="false">M35-(N35+O35)</f>
        <v>44.6</v>
      </c>
      <c r="Q35" s="53" t="n">
        <v>0</v>
      </c>
      <c r="R35" s="53" t="n">
        <v>19.2</v>
      </c>
      <c r="S35" s="53" t="n">
        <f aca="false">SUM(P35:R35)</f>
        <v>63.8</v>
      </c>
      <c r="T35" s="54" t="n">
        <f aca="false">(I35-S35)+T34</f>
        <v>-7102.57</v>
      </c>
      <c r="U35" s="53" t="n">
        <v>0</v>
      </c>
      <c r="V35" s="53" t="n">
        <v>30.5</v>
      </c>
      <c r="W35" s="54" t="n">
        <f aca="false">W34-V35</f>
        <v>134.279999999974</v>
      </c>
      <c r="X35" s="6" t="n">
        <f aca="false">N35+O35+S35+U35+V35</f>
        <v>94.3</v>
      </c>
      <c r="Y35" s="53" t="n">
        <f aca="false">IF(L35&lt;0,L35*-1,0)</f>
        <v>0</v>
      </c>
      <c r="Z35" s="53" t="n">
        <f aca="false">X35+Y35</f>
        <v>94.3</v>
      </c>
      <c r="AA35" s="57" t="n">
        <v>0</v>
      </c>
      <c r="AB35" s="59" t="n">
        <v>51</v>
      </c>
      <c r="AC35" s="84" t="n">
        <v>36</v>
      </c>
      <c r="AD35" s="60" t="n">
        <v>26</v>
      </c>
      <c r="AE35" s="94"/>
      <c r="AF35" s="96"/>
    </row>
    <row r="36" customFormat="false" ht="11.1" hidden="false" customHeight="true" outlineLevel="0" collapsed="false">
      <c r="A36" s="60" t="n">
        <v>27</v>
      </c>
      <c r="B36" s="75" t="n">
        <v>6903.06</v>
      </c>
      <c r="C36" s="54" t="n">
        <v>295005</v>
      </c>
      <c r="D36" s="59" t="n">
        <f aca="false">C36-C35</f>
        <v>0</v>
      </c>
      <c r="E36" s="54" t="n">
        <f aca="false">C36-152000</f>
        <v>143005</v>
      </c>
      <c r="F36" s="53" t="n">
        <f aca="false">D36/$D$2</f>
        <v>0</v>
      </c>
      <c r="G36" s="53" t="n">
        <v>82.9</v>
      </c>
      <c r="H36" s="147" t="n">
        <v>0</v>
      </c>
      <c r="I36" s="53" t="n">
        <f aca="false">G36+H36</f>
        <v>82.9</v>
      </c>
      <c r="J36" s="83" t="n">
        <f aca="false">IF(L36&gt;0,L36,0)</f>
        <v>10.9</v>
      </c>
      <c r="K36" s="53" t="n">
        <f aca="false">I36+J36</f>
        <v>93.8</v>
      </c>
      <c r="L36" s="53" t="n">
        <f aca="false">F36-(I36-X36)</f>
        <v>10.9</v>
      </c>
      <c r="M36" s="53" t="n">
        <v>44.6</v>
      </c>
      <c r="N36" s="53" t="n">
        <v>0</v>
      </c>
      <c r="O36" s="53" t="n">
        <v>0</v>
      </c>
      <c r="P36" s="6" t="n">
        <f aca="false">M36-(N36+O36)</f>
        <v>44.6</v>
      </c>
      <c r="Q36" s="53" t="n">
        <v>0</v>
      </c>
      <c r="R36" s="53" t="n">
        <v>18.6</v>
      </c>
      <c r="S36" s="53" t="n">
        <f aca="false">SUM(P36:R36)</f>
        <v>63.2</v>
      </c>
      <c r="T36" s="54" t="n">
        <f aca="false">(I36-S36)+T35</f>
        <v>-7082.87</v>
      </c>
      <c r="U36" s="53" t="n">
        <v>0</v>
      </c>
      <c r="V36" s="53" t="n">
        <v>30.6</v>
      </c>
      <c r="W36" s="54" t="n">
        <f aca="false">W35-V36</f>
        <v>103.679999999974</v>
      </c>
      <c r="X36" s="6" t="n">
        <f aca="false">N36+O36+S36+U36+V36</f>
        <v>93.8</v>
      </c>
      <c r="Y36" s="53" t="n">
        <f aca="false">IF(L36&lt;0,L36*-1,0)</f>
        <v>0</v>
      </c>
      <c r="Z36" s="53" t="n">
        <f aca="false">X36+Y36</f>
        <v>93.8</v>
      </c>
      <c r="AA36" s="57" t="n">
        <v>0.77</v>
      </c>
      <c r="AB36" s="59" t="n">
        <v>43</v>
      </c>
      <c r="AC36" s="84" t="n">
        <v>35</v>
      </c>
      <c r="AD36" s="60" t="n">
        <v>27</v>
      </c>
      <c r="AE36" s="94"/>
      <c r="AF36" s="96"/>
    </row>
    <row r="37" customFormat="false" ht="11.1" hidden="false" customHeight="true" outlineLevel="0" collapsed="false">
      <c r="A37" s="60" t="n">
        <v>28</v>
      </c>
      <c r="B37" s="75" t="n">
        <v>6903.04</v>
      </c>
      <c r="C37" s="54" t="n">
        <v>294929</v>
      </c>
      <c r="D37" s="59" t="n">
        <f aca="false">C37-C36</f>
        <v>-76</v>
      </c>
      <c r="E37" s="54" t="n">
        <f aca="false">C37-152000</f>
        <v>142929</v>
      </c>
      <c r="F37" s="53" t="n">
        <f aca="false">D37/$D$2</f>
        <v>-38.3161078900933</v>
      </c>
      <c r="G37" s="53" t="n">
        <v>99.9</v>
      </c>
      <c r="H37" s="147" t="n">
        <v>0</v>
      </c>
      <c r="I37" s="53" t="n">
        <f aca="false">G37+H37</f>
        <v>99.9</v>
      </c>
      <c r="J37" s="83" t="n">
        <f aca="false">IF(L37&gt;0,L37,0)</f>
        <v>0</v>
      </c>
      <c r="K37" s="53" t="n">
        <f aca="false">I37+J37</f>
        <v>99.9</v>
      </c>
      <c r="L37" s="53" t="n">
        <f aca="false">F37-(I37-X37)</f>
        <v>-45.9161078900933</v>
      </c>
      <c r="M37" s="53" t="n">
        <v>43.3</v>
      </c>
      <c r="N37" s="53" t="n">
        <v>0</v>
      </c>
      <c r="O37" s="53" t="n">
        <v>0</v>
      </c>
      <c r="P37" s="6" t="n">
        <f aca="false">M37-(N37+O37)</f>
        <v>43.3</v>
      </c>
      <c r="Q37" s="53" t="n">
        <v>0</v>
      </c>
      <c r="R37" s="53" t="n">
        <v>18.5</v>
      </c>
      <c r="S37" s="53" t="n">
        <f aca="false">SUM(P37:R37)</f>
        <v>61.8</v>
      </c>
      <c r="T37" s="54" t="n">
        <f aca="false">(I37-S37)+T36</f>
        <v>-7044.77</v>
      </c>
      <c r="U37" s="53" t="n">
        <v>0</v>
      </c>
      <c r="V37" s="53" t="n">
        <v>30.5</v>
      </c>
      <c r="W37" s="54" t="n">
        <f aca="false">W36-V37</f>
        <v>73.1799999999741</v>
      </c>
      <c r="X37" s="6" t="n">
        <f aca="false">N37+O37+S37+U37+V37</f>
        <v>92.3</v>
      </c>
      <c r="Y37" s="53" t="n">
        <f aca="false">IF(L37&lt;0,L37*-1,0)</f>
        <v>45.9161078900933</v>
      </c>
      <c r="Z37" s="53" t="n">
        <f aca="false">X37+Y37</f>
        <v>138.216107890093</v>
      </c>
      <c r="AA37" s="57" t="n">
        <v>0</v>
      </c>
      <c r="AB37" s="59" t="n">
        <v>29</v>
      </c>
      <c r="AC37" s="84" t="n">
        <v>28</v>
      </c>
      <c r="AD37" s="60" t="n">
        <v>28</v>
      </c>
      <c r="AE37" s="94"/>
      <c r="AF37" s="96"/>
    </row>
    <row r="38" customFormat="false" ht="11.1" hidden="false" customHeight="true" outlineLevel="0" collapsed="false">
      <c r="A38" s="60" t="n">
        <v>29</v>
      </c>
      <c r="B38" s="75" t="n">
        <v>6903.04</v>
      </c>
      <c r="C38" s="54" t="n">
        <v>294929</v>
      </c>
      <c r="D38" s="59" t="n">
        <f aca="false">C38-C37</f>
        <v>0</v>
      </c>
      <c r="E38" s="54" t="n">
        <f aca="false">C38-152000</f>
        <v>142929</v>
      </c>
      <c r="F38" s="53" t="n">
        <f aca="false">D38/$D$2</f>
        <v>0</v>
      </c>
      <c r="G38" s="53" t="n">
        <v>80.3</v>
      </c>
      <c r="H38" s="147" t="n">
        <v>0</v>
      </c>
      <c r="I38" s="53" t="n">
        <f aca="false">G38+H38</f>
        <v>80.3</v>
      </c>
      <c r="J38" s="83" t="n">
        <f aca="false">IF(L38&gt;0,L38,0)</f>
        <v>6.60000000000001</v>
      </c>
      <c r="K38" s="53" t="n">
        <f aca="false">I38+J38</f>
        <v>86.9</v>
      </c>
      <c r="L38" s="53" t="n">
        <f aca="false">F38-(I38-X38)</f>
        <v>6.60000000000001</v>
      </c>
      <c r="M38" s="53" t="n">
        <v>38.1</v>
      </c>
      <c r="N38" s="53" t="n">
        <v>0</v>
      </c>
      <c r="O38" s="53" t="n">
        <v>0</v>
      </c>
      <c r="P38" s="6" t="n">
        <f aca="false">M38-(N38+O38)</f>
        <v>38.1</v>
      </c>
      <c r="Q38" s="53" t="n">
        <v>0</v>
      </c>
      <c r="R38" s="53" t="n">
        <v>18.3</v>
      </c>
      <c r="S38" s="53" t="n">
        <f aca="false">SUM(P38:R38)</f>
        <v>56.4</v>
      </c>
      <c r="T38" s="54" t="n">
        <f aca="false">(I38-S38)+T37</f>
        <v>-7020.87</v>
      </c>
      <c r="U38" s="53" t="n">
        <v>0</v>
      </c>
      <c r="V38" s="53" t="n">
        <v>30.5</v>
      </c>
      <c r="W38" s="54" t="n">
        <f aca="false">W37-V38</f>
        <v>42.6799999999741</v>
      </c>
      <c r="X38" s="6" t="n">
        <f aca="false">N38+O38+S38+U38+V38</f>
        <v>86.9</v>
      </c>
      <c r="Y38" s="53" t="n">
        <f aca="false">IF(L38&lt;0,L38*-1,0)</f>
        <v>0</v>
      </c>
      <c r="Z38" s="53" t="n">
        <f aca="false">X38+Y38</f>
        <v>86.9</v>
      </c>
      <c r="AA38" s="57" t="n">
        <v>0.39</v>
      </c>
      <c r="AB38" s="59" t="n">
        <v>30</v>
      </c>
      <c r="AC38" s="84" t="n">
        <v>14</v>
      </c>
      <c r="AD38" s="60" t="n">
        <v>29</v>
      </c>
      <c r="AE38" s="94"/>
      <c r="AF38" s="96"/>
    </row>
    <row r="39" customFormat="false" ht="11.1" hidden="false" customHeight="true" outlineLevel="0" collapsed="false">
      <c r="A39" s="60" t="n">
        <v>30</v>
      </c>
      <c r="B39" s="75" t="n">
        <v>6903.03</v>
      </c>
      <c r="C39" s="54" t="n">
        <v>294890</v>
      </c>
      <c r="D39" s="59" t="n">
        <f aca="false">C39-C38</f>
        <v>-39</v>
      </c>
      <c r="E39" s="54" t="n">
        <f aca="false">C39-152000</f>
        <v>142890</v>
      </c>
      <c r="F39" s="53" t="n">
        <f aca="false">D39/$D$2</f>
        <v>-19.66221325939</v>
      </c>
      <c r="G39" s="53" t="n">
        <v>72</v>
      </c>
      <c r="H39" s="147" t="n">
        <v>0</v>
      </c>
      <c r="I39" s="53" t="n">
        <f aca="false">G39+H39</f>
        <v>72</v>
      </c>
      <c r="J39" s="83" t="n">
        <f aca="false">IF(L39&gt;0,L39,0)</f>
        <v>0</v>
      </c>
      <c r="K39" s="53" t="n">
        <f aca="false">I39+J39</f>
        <v>72</v>
      </c>
      <c r="L39" s="53" t="n">
        <f aca="false">F39-(I39-X39)</f>
        <v>-5.76221325938996</v>
      </c>
      <c r="M39" s="53" t="n">
        <v>37.3</v>
      </c>
      <c r="N39" s="53" t="n">
        <v>0</v>
      </c>
      <c r="O39" s="53" t="n">
        <v>0</v>
      </c>
      <c r="P39" s="6" t="n">
        <f aca="false">M39-(N39+O39)</f>
        <v>37.3</v>
      </c>
      <c r="Q39" s="53" t="n">
        <v>0</v>
      </c>
      <c r="R39" s="53" t="n">
        <v>18.1</v>
      </c>
      <c r="S39" s="53" t="n">
        <f aca="false">SUM(P39:R39)</f>
        <v>55.4</v>
      </c>
      <c r="T39" s="54" t="n">
        <f aca="false">(I39-S39)+T38</f>
        <v>-7004.27</v>
      </c>
      <c r="U39" s="53" t="n">
        <v>0</v>
      </c>
      <c r="V39" s="53" t="n">
        <v>30.5</v>
      </c>
      <c r="W39" s="54" t="n">
        <f aca="false">W38-V39</f>
        <v>12.1799999999741</v>
      </c>
      <c r="X39" s="6" t="n">
        <f aca="false">N39+O39+S39+U39+V39</f>
        <v>85.9</v>
      </c>
      <c r="Y39" s="53" t="n">
        <f aca="false">IF(L39&lt;0,L39*-1,0)</f>
        <v>5.76221325938996</v>
      </c>
      <c r="Z39" s="53" t="n">
        <f aca="false">X39+Y39</f>
        <v>91.66221325939</v>
      </c>
      <c r="AA39" s="57" t="n">
        <v>0</v>
      </c>
      <c r="AB39" s="59" t="n">
        <v>34</v>
      </c>
      <c r="AC39" s="84" t="n">
        <v>21</v>
      </c>
      <c r="AD39" s="60" t="n">
        <v>30</v>
      </c>
      <c r="AE39" s="94"/>
      <c r="AF39" s="96"/>
    </row>
    <row r="40" customFormat="false" ht="11.1" hidden="false" customHeight="true" outlineLevel="0" collapsed="false">
      <c r="A40" s="60" t="n">
        <v>31</v>
      </c>
      <c r="B40" s="75" t="n">
        <v>6903.02</v>
      </c>
      <c r="C40" s="54" t="n">
        <v>294853</v>
      </c>
      <c r="D40" s="59" t="n">
        <f aca="false">C40-C39</f>
        <v>-37</v>
      </c>
      <c r="E40" s="54" t="n">
        <f aca="false">C40-152000</f>
        <v>142853</v>
      </c>
      <c r="F40" s="53" t="n">
        <f aca="false">D40/$D$2</f>
        <v>-18.6538946307033</v>
      </c>
      <c r="G40" s="53" t="n">
        <v>74.3</v>
      </c>
      <c r="H40" s="147" t="n">
        <v>0</v>
      </c>
      <c r="I40" s="53" t="n">
        <f aca="false">G40+H40</f>
        <v>74.3</v>
      </c>
      <c r="J40" s="83" t="n">
        <f aca="false">IF(L40&gt;0,L40,0)</f>
        <v>0</v>
      </c>
      <c r="K40" s="53" t="n">
        <f aca="false">I40+J40</f>
        <v>74.3</v>
      </c>
      <c r="L40" s="53" t="n">
        <f aca="false">F40-(I40-X40)</f>
        <v>-5.1538946307033</v>
      </c>
      <c r="M40" s="53" t="n">
        <v>37.3</v>
      </c>
      <c r="N40" s="53" t="n">
        <v>0</v>
      </c>
      <c r="O40" s="53" t="n">
        <v>0</v>
      </c>
      <c r="P40" s="6" t="n">
        <f aca="false">M40-(N40+O40)</f>
        <v>37.3</v>
      </c>
      <c r="Q40" s="53" t="n">
        <v>0</v>
      </c>
      <c r="R40" s="53" t="n">
        <v>17.8</v>
      </c>
      <c r="S40" s="53" t="n">
        <f aca="false">SUM(P40:R40)</f>
        <v>55.1</v>
      </c>
      <c r="T40" s="54" t="n">
        <f aca="false">(I40-S40)+T39</f>
        <v>-6985.07</v>
      </c>
      <c r="U40" s="53" t="n">
        <v>0</v>
      </c>
      <c r="V40" s="53" t="n">
        <v>32.7</v>
      </c>
      <c r="W40" s="54" t="n">
        <f aca="false">W39-V40</f>
        <v>-20.5200000000259</v>
      </c>
      <c r="X40" s="6" t="n">
        <f aca="false">N40+O40+S40+U40+V40</f>
        <v>87.8</v>
      </c>
      <c r="Y40" s="53" t="n">
        <f aca="false">IF(L40&lt;0,L40*-1,0)</f>
        <v>5.1538946307033</v>
      </c>
      <c r="Z40" s="53" t="n">
        <f aca="false">X40+Y40</f>
        <v>92.9538946307033</v>
      </c>
      <c r="AA40" s="57" t="n">
        <v>0</v>
      </c>
      <c r="AB40" s="59" t="n">
        <v>32</v>
      </c>
      <c r="AC40" s="84" t="n">
        <v>15</v>
      </c>
      <c r="AD40" s="60" t="n">
        <v>31</v>
      </c>
      <c r="AE40" s="94"/>
      <c r="AF40" s="96"/>
    </row>
    <row r="41" customFormat="false" ht="3" hidden="false" customHeight="true" outlineLevel="0" collapsed="false">
      <c r="A41" s="76"/>
      <c r="B41" s="76"/>
      <c r="C41" s="78"/>
      <c r="D41" s="76"/>
      <c r="E41" s="78"/>
      <c r="F41" s="76"/>
      <c r="G41" s="76"/>
      <c r="H41" s="150" t="n">
        <v>0</v>
      </c>
      <c r="I41" s="76"/>
      <c r="J41" s="76"/>
      <c r="K41" s="76"/>
      <c r="L41" s="76"/>
      <c r="M41" s="76" t="n">
        <v>0</v>
      </c>
      <c r="N41" s="76"/>
      <c r="O41" s="76"/>
      <c r="P41" s="76"/>
      <c r="Q41" s="76"/>
      <c r="R41" s="76" t="n">
        <v>0</v>
      </c>
      <c r="S41" s="76"/>
      <c r="T41" s="78"/>
      <c r="U41" s="76"/>
      <c r="V41" s="76" t="n">
        <v>0</v>
      </c>
      <c r="W41" s="76"/>
      <c r="X41" s="76"/>
      <c r="Y41" s="76"/>
      <c r="Z41" s="76"/>
      <c r="AA41" s="113"/>
      <c r="AB41" s="81"/>
      <c r="AC41" s="81"/>
      <c r="AD41" s="82"/>
      <c r="AE41" s="94"/>
      <c r="AF41" s="95"/>
    </row>
    <row r="42" customFormat="false" ht="11.1" hidden="false" customHeight="true" outlineLevel="0" collapsed="false">
      <c r="A42" s="53" t="s">
        <v>46</v>
      </c>
      <c r="B42" s="53"/>
      <c r="C42" s="54"/>
      <c r="D42" s="54"/>
      <c r="E42" s="54"/>
      <c r="F42" s="54" t="n">
        <f aca="false">SUM(F10:F40)</f>
        <v>-5825.05671792286</v>
      </c>
      <c r="G42" s="54" t="n">
        <f aca="false">SUM(G10:G40)</f>
        <v>2668.3</v>
      </c>
      <c r="H42" s="147" t="n">
        <f aca="false">SUM(H10:H40)</f>
        <v>0</v>
      </c>
      <c r="I42" s="54" t="n">
        <f aca="false">SUM(I10:I40)</f>
        <v>2668.3</v>
      </c>
      <c r="J42" s="54" t="n">
        <f aca="false">SUM(J10:J40)</f>
        <v>51.1516763297202</v>
      </c>
      <c r="K42" s="54" t="n">
        <f aca="false">SUM(K10:K40)</f>
        <v>2719.45167632972</v>
      </c>
      <c r="L42" s="54" t="n">
        <f aca="false">SUM(L10:L40)</f>
        <v>-1196.65671792286</v>
      </c>
      <c r="M42" s="54" t="n">
        <f aca="false">SUM(M10:M40)</f>
        <v>1924.7</v>
      </c>
      <c r="N42" s="54" t="n">
        <f aca="false">SUM(N10:N40)</f>
        <v>0</v>
      </c>
      <c r="O42" s="54" t="n">
        <f aca="false">SUM(O10:O40)</f>
        <v>0</v>
      </c>
      <c r="P42" s="54" t="n">
        <f aca="false">SUM(P10:P40)</f>
        <v>1924.7</v>
      </c>
      <c r="Q42" s="54" t="n">
        <f aca="false">SUM(Q10:Q40)</f>
        <v>2714.5</v>
      </c>
      <c r="R42" s="54" t="n">
        <f aca="false">SUM(R10:R40)</f>
        <v>839.8</v>
      </c>
      <c r="S42" s="54" t="n">
        <f aca="false">SUM(S10:S40)</f>
        <v>5479</v>
      </c>
      <c r="T42" s="54"/>
      <c r="U42" s="54" t="n">
        <f aca="false">SUM(U10:U40)</f>
        <v>754.1</v>
      </c>
      <c r="V42" s="54" t="n">
        <f aca="false">SUM(V10:V40)</f>
        <v>1063.6</v>
      </c>
      <c r="W42" s="54"/>
      <c r="X42" s="54" t="n">
        <f aca="false">SUM(X10:X40)</f>
        <v>7296.7</v>
      </c>
      <c r="Y42" s="54" t="n">
        <f aca="false">SUM(Y10:Y40)</f>
        <v>1247.80839425258</v>
      </c>
      <c r="Z42" s="54" t="n">
        <f aca="false">SUM(Z10:Z40)</f>
        <v>8544.50839425258</v>
      </c>
      <c r="AA42" s="57" t="n">
        <f aca="false">SUM(AA10:AA40)</f>
        <v>1.22</v>
      </c>
      <c r="AB42" s="59" t="n">
        <f aca="false">AVERAGE(AB10:AB40)</f>
        <v>63.741935483871</v>
      </c>
      <c r="AC42" s="59" t="n">
        <f aca="false">AVERAGE(AC10:AC41)</f>
        <v>35.1612903225806</v>
      </c>
      <c r="AD42" s="60" t="s">
        <v>69</v>
      </c>
      <c r="AE42" s="94"/>
      <c r="AF42" s="95"/>
    </row>
    <row r="43" customFormat="false" ht="11.1" hidden="false" customHeight="true" outlineLevel="0" collapsed="false">
      <c r="A43" s="53" t="s">
        <v>48</v>
      </c>
      <c r="B43" s="53"/>
      <c r="C43" s="54"/>
      <c r="D43" s="54" t="n">
        <f aca="false">SUM(D10:D40)</f>
        <v>-11554</v>
      </c>
      <c r="E43" s="54"/>
      <c r="F43" s="54" t="n">
        <f aca="false">F42*$D$2</f>
        <v>-11554</v>
      </c>
      <c r="G43" s="54" t="n">
        <f aca="false">G42*$D$2</f>
        <v>5292.57305</v>
      </c>
      <c r="H43" s="147" t="n">
        <f aca="false">H42*$D$2</f>
        <v>0</v>
      </c>
      <c r="I43" s="54" t="n">
        <f aca="false">I42*$D$2</f>
        <v>5292.57305</v>
      </c>
      <c r="J43" s="54" t="n">
        <f aca="false">J42*$D$2</f>
        <v>101.45935</v>
      </c>
      <c r="K43" s="54" t="n">
        <f aca="false">K42*$D$2</f>
        <v>5394.0324</v>
      </c>
      <c r="L43" s="54" t="n">
        <f aca="false">L42*$D$2</f>
        <v>-2373.5686</v>
      </c>
      <c r="M43" s="54" t="n">
        <f aca="false">M42*$D$2</f>
        <v>3817.64245</v>
      </c>
      <c r="N43" s="54" t="n">
        <f aca="false">N42*$D$2</f>
        <v>0</v>
      </c>
      <c r="O43" s="54" t="n">
        <f aca="false">O42*$D$2</f>
        <v>0</v>
      </c>
      <c r="P43" s="54" t="n">
        <f aca="false">P42*$D$2</f>
        <v>3817.64245</v>
      </c>
      <c r="Q43" s="54" t="n">
        <f aca="false">Q42*$D$2</f>
        <v>5384.21075</v>
      </c>
      <c r="R43" s="54" t="n">
        <f aca="false">R42*$D$2</f>
        <v>1665.7433</v>
      </c>
      <c r="S43" s="54" t="n">
        <f aca="false">S42*$D$2</f>
        <v>10867.5965</v>
      </c>
      <c r="T43" s="54"/>
      <c r="U43" s="54" t="n">
        <f aca="false">U42*$D$2</f>
        <v>1495.75735</v>
      </c>
      <c r="V43" s="54" t="n">
        <f aca="false">V42*$D$2</f>
        <v>2109.6506</v>
      </c>
      <c r="W43" s="54"/>
      <c r="X43" s="54" t="n">
        <f aca="false">X42*$D$2</f>
        <v>14473.00445</v>
      </c>
      <c r="Y43" s="54" t="n">
        <f aca="false">Y42*$D$2</f>
        <v>2475.02795</v>
      </c>
      <c r="Z43" s="54" t="n">
        <f aca="false">Z42*$D$2</f>
        <v>16948.0324</v>
      </c>
      <c r="AA43" s="57"/>
      <c r="AB43" s="59" t="n">
        <f aca="false">MAX(AB10:AB40)</f>
        <v>80</v>
      </c>
      <c r="AC43" s="59" t="n">
        <f aca="false">MAX(AC10:AC41)</f>
        <v>43</v>
      </c>
      <c r="AD43" s="60" t="s">
        <v>49</v>
      </c>
      <c r="AE43" s="94"/>
      <c r="AF43" s="95"/>
    </row>
    <row r="44" customFormat="false" ht="3" hidden="false" customHeight="true" outlineLevel="0" collapsed="false">
      <c r="A44" s="76"/>
      <c r="B44" s="76"/>
      <c r="C44" s="78"/>
      <c r="D44" s="78"/>
      <c r="E44" s="78"/>
      <c r="F44" s="78"/>
      <c r="G44" s="78"/>
      <c r="H44" s="150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6"/>
      <c r="X44" s="78"/>
      <c r="Y44" s="78"/>
      <c r="Z44" s="78"/>
      <c r="AA44" s="113"/>
      <c r="AB44" s="78"/>
      <c r="AC44" s="78"/>
      <c r="AD44" s="78"/>
      <c r="AE44" s="94"/>
      <c r="AF44" s="95"/>
    </row>
    <row r="45" customFormat="false" ht="11.1" hidden="false" customHeight="true" outlineLevel="0" collapsed="false">
      <c r="A45" s="53" t="s">
        <v>50</v>
      </c>
      <c r="B45" s="53"/>
      <c r="C45" s="54"/>
      <c r="D45" s="54"/>
      <c r="E45" s="54"/>
      <c r="F45" s="54" t="n">
        <f aca="false">F7+F42</f>
        <v>24877.7413662717</v>
      </c>
      <c r="G45" s="54" t="n">
        <f aca="false">G7+G42</f>
        <v>116205.8</v>
      </c>
      <c r="H45" s="147" t="n">
        <f aca="false">H7+H42</f>
        <v>4933.73</v>
      </c>
      <c r="I45" s="54" t="n">
        <f aca="false">I7+I42</f>
        <v>121139.53</v>
      </c>
      <c r="J45" s="54" t="n">
        <f aca="false">J7+J42</f>
        <v>16552.278699269</v>
      </c>
      <c r="K45" s="54" t="n">
        <f aca="false">K7+K42</f>
        <v>137691.808699269</v>
      </c>
      <c r="L45" s="54" t="n">
        <f aca="false">L7+L42</f>
        <v>9234.16136627174</v>
      </c>
      <c r="M45" s="54" t="n">
        <f aca="false">M7+M42</f>
        <v>29494.9</v>
      </c>
      <c r="N45" s="54" t="n">
        <f aca="false">N7+N42</f>
        <v>0</v>
      </c>
      <c r="O45" s="54" t="n">
        <f aca="false">O7+O42</f>
        <v>0</v>
      </c>
      <c r="P45" s="54" t="n">
        <f aca="false">P7+P42</f>
        <v>29494.9</v>
      </c>
      <c r="Q45" s="54" t="n">
        <f aca="false">Q7+Q42</f>
        <v>27209.12</v>
      </c>
      <c r="R45" s="54" t="n">
        <f aca="false">R7+R42</f>
        <v>12092.51</v>
      </c>
      <c r="S45" s="54" t="n">
        <f aca="false">S7+S42</f>
        <v>68796.53</v>
      </c>
      <c r="T45" s="54" t="n">
        <f aca="false">T40</f>
        <v>-6985.07</v>
      </c>
      <c r="U45" s="54" t="n">
        <f aca="false">U7+U42</f>
        <v>15365.5</v>
      </c>
      <c r="V45" s="54" t="n">
        <f aca="false">V7+V42</f>
        <v>21333.92</v>
      </c>
      <c r="W45" s="54" t="n">
        <f aca="false">W40</f>
        <v>-20.5200000000259</v>
      </c>
      <c r="X45" s="54" t="n">
        <f aca="false">X7+X42</f>
        <v>105495.95</v>
      </c>
      <c r="Y45" s="54" t="n">
        <f aca="false">Y7+Y42</f>
        <v>7318.11733299723</v>
      </c>
      <c r="Z45" s="54" t="n">
        <f aca="false">Z7+Z42</f>
        <v>112814.067332997</v>
      </c>
      <c r="AA45" s="57"/>
      <c r="AB45" s="59" t="n">
        <f aca="false">MIN(AB10:AB40)</f>
        <v>29</v>
      </c>
      <c r="AC45" s="59" t="n">
        <f aca="false">MIN(AC10:AC41)</f>
        <v>14</v>
      </c>
      <c r="AD45" s="60" t="s">
        <v>51</v>
      </c>
      <c r="AE45" s="94"/>
      <c r="AF45" s="95"/>
    </row>
    <row r="46" customFormat="false" ht="11.1" hidden="false" customHeight="true" outlineLevel="0" collapsed="false">
      <c r="A46" s="53" t="s">
        <v>52</v>
      </c>
      <c r="B46" s="53"/>
      <c r="C46" s="54"/>
      <c r="D46" s="54"/>
      <c r="E46" s="54"/>
      <c r="F46" s="54" t="n">
        <f aca="false">F45*$D$2</f>
        <v>49345</v>
      </c>
      <c r="G46" s="54" t="n">
        <f aca="false">G45*$D$2</f>
        <v>230494.2043</v>
      </c>
      <c r="H46" s="147" t="n">
        <f aca="false">H45*$D$2</f>
        <v>9786.053455</v>
      </c>
      <c r="I46" s="54" t="n">
        <f aca="false">I45*$D$2</f>
        <v>240280.257755</v>
      </c>
      <c r="J46" s="54" t="n">
        <f aca="false">J45*$D$2</f>
        <v>32831.4448</v>
      </c>
      <c r="K46" s="54" t="n">
        <f aca="false">K45*$D$2</f>
        <v>273111.702555</v>
      </c>
      <c r="L46" s="54" t="n">
        <f aca="false">L45*$D$2</f>
        <v>18315.95907</v>
      </c>
      <c r="M46" s="54" t="n">
        <f aca="false">M45*$D$2</f>
        <v>58503.13415</v>
      </c>
      <c r="N46" s="54" t="n">
        <f aca="false">N45*$D$2</f>
        <v>0</v>
      </c>
      <c r="O46" s="54" t="n">
        <f aca="false">O45*$D$2</f>
        <v>0</v>
      </c>
      <c r="P46" s="54" t="n">
        <f aca="false">P45*$D$2</f>
        <v>58503.13415</v>
      </c>
      <c r="Q46" s="54" t="n">
        <f aca="false">Q45*$D$2</f>
        <v>53969.28952</v>
      </c>
      <c r="R46" s="54" t="n">
        <f aca="false">R45*$D$2</f>
        <v>23985.493585</v>
      </c>
      <c r="S46" s="54" t="n">
        <f aca="false">S45*$D$2</f>
        <v>136457.917255</v>
      </c>
      <c r="T46" s="54" t="n">
        <f aca="false">T45*$D$2</f>
        <v>-13854.886345</v>
      </c>
      <c r="U46" s="54" t="n">
        <f aca="false">U45*$D$2</f>
        <v>30477.46925</v>
      </c>
      <c r="V46" s="54" t="n">
        <f aca="false">V45*$D$2</f>
        <v>42315.83032</v>
      </c>
      <c r="W46" s="54" t="n">
        <f aca="false">W45*$D$2</f>
        <v>-40.7014200000514</v>
      </c>
      <c r="X46" s="54" t="n">
        <f aca="false">X45*$D$2</f>
        <v>209251.216825</v>
      </c>
      <c r="Y46" s="54" t="n">
        <f aca="false">Y45*$D$2</f>
        <v>14515.48573</v>
      </c>
      <c r="Z46" s="54" t="n">
        <f aca="false">Z45*$D$2</f>
        <v>223766.702555</v>
      </c>
      <c r="AA46" s="57"/>
      <c r="AB46" s="59"/>
      <c r="AC46" s="59"/>
      <c r="AD46" s="60"/>
      <c r="AE46" s="94"/>
      <c r="AF46" s="95"/>
    </row>
    <row r="47" customFormat="false" ht="3" hidden="false" customHeight="true" outlineLevel="0" collapsed="false">
      <c r="A47" s="76"/>
      <c r="B47" s="76"/>
      <c r="C47" s="78"/>
      <c r="D47" s="78"/>
      <c r="E47" s="78"/>
      <c r="F47" s="78"/>
      <c r="G47" s="78"/>
      <c r="H47" s="150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113"/>
      <c r="AB47" s="113"/>
      <c r="AC47" s="113"/>
      <c r="AD47" s="113"/>
      <c r="AE47" s="94"/>
      <c r="AF47" s="95"/>
    </row>
    <row r="48" customFormat="false" ht="11.1" hidden="false" customHeight="true" outlineLevel="0" collapsed="false">
      <c r="A48" s="53" t="s">
        <v>53</v>
      </c>
      <c r="B48" s="53"/>
      <c r="C48" s="54"/>
      <c r="D48" s="54"/>
      <c r="E48" s="54"/>
      <c r="F48" s="54" t="n">
        <f aca="false">F8+F42</f>
        <v>28226.8716914545</v>
      </c>
      <c r="G48" s="54" t="n">
        <f aca="false">G8+G42</f>
        <v>127670.57</v>
      </c>
      <c r="H48" s="147" t="n">
        <f aca="false">H8+H42</f>
        <v>5008.38</v>
      </c>
      <c r="I48" s="54" t="n">
        <f aca="false">I8+I42</f>
        <v>132575.75</v>
      </c>
      <c r="J48" s="54" t="n">
        <f aca="false">J8+J42</f>
        <v>17193.3876153264</v>
      </c>
      <c r="K48" s="54" t="n">
        <f aca="false">K8+K42</f>
        <v>149769.137615326</v>
      </c>
      <c r="L48" s="54" t="n">
        <f aca="false">L8+L42</f>
        <v>9337.0816914545</v>
      </c>
      <c r="M48" s="54" t="n">
        <f aca="false">M8+M42</f>
        <v>30931.22</v>
      </c>
      <c r="N48" s="54" t="n">
        <f aca="false">N8+N42</f>
        <v>0.08</v>
      </c>
      <c r="O48" s="54" t="n">
        <f aca="false">O8+O42</f>
        <v>0</v>
      </c>
      <c r="P48" s="54" t="n">
        <f aca="false">P8+P42</f>
        <v>30931.14</v>
      </c>
      <c r="Q48" s="54" t="n">
        <f aca="false">Q8+Q42</f>
        <v>28814.31</v>
      </c>
      <c r="R48" s="54" t="n">
        <f aca="false">R8+R42</f>
        <v>12464.91</v>
      </c>
      <c r="S48" s="54" t="n">
        <f aca="false">S8+S42</f>
        <v>72210.36</v>
      </c>
      <c r="T48" s="54" t="n">
        <f aca="false">T45</f>
        <v>-6985.07</v>
      </c>
      <c r="U48" s="54" t="n">
        <f aca="false">U8+U42</f>
        <v>15365.5</v>
      </c>
      <c r="V48" s="54" t="n">
        <f aca="false">V8+V42</f>
        <v>26110.02</v>
      </c>
      <c r="W48" s="54" t="n">
        <f aca="false">W40</f>
        <v>-20.5200000000259</v>
      </c>
      <c r="X48" s="54" t="n">
        <f aca="false">X8+X42</f>
        <v>113685.96</v>
      </c>
      <c r="Y48" s="54" t="n">
        <f aca="false">Y8+Y42</f>
        <v>7856.30592387194</v>
      </c>
      <c r="Z48" s="54" t="n">
        <f aca="false">Z8+Z42</f>
        <v>121542.265923872</v>
      </c>
      <c r="AA48" s="57" t="n">
        <f aca="false">AA8+AA42</f>
        <v>12.7</v>
      </c>
      <c r="AB48" s="59"/>
      <c r="AC48" s="59"/>
      <c r="AD48" s="60"/>
      <c r="AE48" s="94"/>
      <c r="AF48" s="95"/>
    </row>
    <row r="49" customFormat="false" ht="11.1" hidden="false" customHeight="true" outlineLevel="0" collapsed="false">
      <c r="A49" s="53" t="s">
        <v>54</v>
      </c>
      <c r="B49" s="53"/>
      <c r="C49" s="54"/>
      <c r="D49" s="54" t="n">
        <f aca="false">D8+D43</f>
        <v>55988</v>
      </c>
      <c r="E49" s="54" t="n">
        <f aca="false">E40</f>
        <v>142853</v>
      </c>
      <c r="F49" s="54" t="n">
        <f aca="false">F48*$D$2</f>
        <v>55988</v>
      </c>
      <c r="G49" s="54" t="n">
        <f aca="false">G48*$D$2</f>
        <v>253234.575595</v>
      </c>
      <c r="H49" s="147" t="n">
        <f aca="false">H48*$D$2</f>
        <v>9934.12173</v>
      </c>
      <c r="I49" s="54" t="n">
        <f aca="false">I48*$D$2</f>
        <v>262964.000125</v>
      </c>
      <c r="J49" s="54" t="n">
        <f aca="false">J48*$D$2</f>
        <v>34103.084335</v>
      </c>
      <c r="K49" s="54" t="n">
        <f aca="false">K48*$D$2</f>
        <v>297067.08446</v>
      </c>
      <c r="L49" s="54" t="n">
        <f aca="false">L48*$D$2</f>
        <v>18520.101535</v>
      </c>
      <c r="M49" s="54" t="n">
        <f aca="false">M48*$D$2</f>
        <v>61352.07487</v>
      </c>
      <c r="N49" s="54" t="n">
        <f aca="false">N48*$D$2</f>
        <v>0.15868</v>
      </c>
      <c r="O49" s="54" t="n">
        <f aca="false">O48*$D$2</f>
        <v>0</v>
      </c>
      <c r="P49" s="54" t="n">
        <f aca="false">P48*$D$2</f>
        <v>61351.91619</v>
      </c>
      <c r="Q49" s="54" t="n">
        <f aca="false">Q48*$D$2</f>
        <v>57153.183885</v>
      </c>
      <c r="R49" s="54" t="n">
        <f aca="false">R48*$D$2</f>
        <v>24724.148985</v>
      </c>
      <c r="S49" s="54" t="n">
        <f aca="false">S48*$D$2</f>
        <v>143229.24906</v>
      </c>
      <c r="T49" s="54" t="n">
        <f aca="false">T48*$D$2</f>
        <v>-13854.886345</v>
      </c>
      <c r="U49" s="54" t="n">
        <f aca="false">U48*$D$2</f>
        <v>30477.46925</v>
      </c>
      <c r="V49" s="54" t="n">
        <f aca="false">V48*$D$2</f>
        <v>51789.22467</v>
      </c>
      <c r="W49" s="54" t="n">
        <f aca="false">W48*$D$2</f>
        <v>-40.7014200000514</v>
      </c>
      <c r="X49" s="54" t="n">
        <f aca="false">X48*$D$2</f>
        <v>225496.10166</v>
      </c>
      <c r="Y49" s="54" t="n">
        <f aca="false">Y48*$D$2</f>
        <v>15582.9828</v>
      </c>
      <c r="Z49" s="54" t="n">
        <f aca="false">Z48*$D$2</f>
        <v>241079.08446</v>
      </c>
      <c r="AA49" s="57"/>
      <c r="AB49" s="59"/>
      <c r="AC49" s="59"/>
      <c r="AD49" s="60"/>
      <c r="AE49" s="94"/>
      <c r="AF49" s="95"/>
    </row>
    <row r="50" customFormat="false" ht="3" hidden="false" customHeight="true" outlineLevel="0" collapsed="false">
      <c r="A50" s="76"/>
      <c r="B50" s="76"/>
      <c r="C50" s="78"/>
      <c r="D50" s="76"/>
      <c r="E50" s="78"/>
      <c r="F50" s="76"/>
      <c r="G50" s="76"/>
      <c r="H50" s="150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8"/>
      <c r="U50" s="76"/>
      <c r="V50" s="76"/>
      <c r="W50" s="78"/>
      <c r="X50" s="76"/>
      <c r="Y50" s="76"/>
      <c r="Z50" s="76"/>
      <c r="AA50" s="113"/>
      <c r="AB50" s="76"/>
      <c r="AC50" s="76"/>
      <c r="AD50" s="76"/>
      <c r="AE50" s="94"/>
      <c r="AF50" s="95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1997-11-03T15:03:40Z</dcterms:created>
  <dc:creator>JOHN PORTER</dc:creator>
  <dc:description/>
  <dc:language>en-US</dc:language>
  <cp:lastModifiedBy>E A Birk</cp:lastModifiedBy>
  <cp:lastPrinted>2002-11-21T15:45:59Z</cp:lastPrinted>
  <dcterms:modified xsi:type="dcterms:W3CDTF">2003-01-13T12:41:03Z</dcterms:modified>
  <cp:revision>0</cp:revision>
  <dc:subject>MCPHEE IN/OUT FLOW</dc:subject>
  <dc:title>RIVER</dc:title>
</cp:coreProperties>
</file>