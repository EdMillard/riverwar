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comments2.xml" ContentType="application/vnd.openxmlformats-officedocument.spreadsheetml.comments+xml"/>
  <Override PartName="/xl/drawings/vmlDrawing8.vml" ContentType="application/vnd.openxmlformats-officedocument.vmlDrawing"/>
  <Override PartName="/xl/drawings/vmlDrawing12.vml" ContentType="application/vnd.openxmlformats-officedocument.vmlDrawing"/>
  <Override PartName="/xl/drawings/vmlDrawing7.vml" ContentType="application/vnd.openxmlformats-officedocument.vmlDrawing"/>
  <Override PartName="/xl/drawings/vmlDrawing11.vml" ContentType="application/vnd.openxmlformats-officedocument.vmlDrawing"/>
  <Override PartName="/xl/drawings/vmlDrawing6.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9.vml" ContentType="application/vnd.openxmlformats-officedocument.vmlDrawing"/>
  <Override PartName="/xl/drawings/vmlDrawing5.vml" ContentType="application/vnd.openxmlformats-officedocument.vmlDrawing"/>
  <Override PartName="/xl/drawings/vmlDrawing10.vml" ContentType="application/vnd.openxmlformats-officedocument.vmlDrawing"/>
  <Override PartName="/xl/drawings/vmlDrawing3.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vmlDrawing4.vml" ContentType="application/vnd.openxmlformats-officedocument.vmlDrawing"/>
  <Override PartName="/xl/comments7.xml" ContentType="application/vnd.openxmlformats-officedocument.spreadsheetml.comments+xml"/>
  <Override PartName="/xl/comments1.xml" ContentType="application/vnd.openxmlformats-officedocument.spreadsheetml.comments+xml"/>
  <Override PartName="/xl/comments5.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comments8.xml" ContentType="application/vnd.openxmlformats-officedocument.spreadsheetml.comments+xml"/>
  <Override PartName="/xl/workbook.xml" ContentType="application/vnd.openxmlformats-officedocument.spreadsheetml.sheet.main+xml"/>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0"/>
  </bookViews>
  <sheets>
    <sheet name="NOV" sheetId="1" state="visible" r:id="rId2"/>
    <sheet name="DEC" sheetId="2" state="visible" r:id="rId3"/>
    <sheet name="JAN" sheetId="3" state="visible" r:id="rId4"/>
    <sheet name="FEB" sheetId="4" state="visible" r:id="rId5"/>
    <sheet name="MAR" sheetId="5" state="visible" r:id="rId6"/>
    <sheet name="APR" sheetId="6" state="visible" r:id="rId7"/>
    <sheet name="MAY" sheetId="7" state="visible" r:id="rId8"/>
    <sheet name="JUN" sheetId="8" state="visible" r:id="rId9"/>
    <sheet name="JUL" sheetId="9" state="visible" r:id="rId10"/>
    <sheet name="AUG" sheetId="10" state="visible" r:id="rId11"/>
    <sheet name="SEP" sheetId="11" state="visible" r:id="rId12"/>
    <sheet name="OCT" sheetId="12" state="visible" r:id="rId13"/>
  </sheets>
  <externalReferences>
    <externalReference r:id="rId14"/>
  </externalReferences>
  <definedNames>
    <definedName function="false" hidden="false" localSheetId="5" name="_xlnm.Print_Area" vbProcedure="false">APR!$A$1:$AZ$58</definedName>
    <definedName function="false" hidden="false" localSheetId="9" name="_xlnm.Print_Area" vbProcedure="false">AUG!$A$1:$AZ$58</definedName>
    <definedName function="false" hidden="false" localSheetId="1" name="_xlnm.Print_Area" vbProcedure="false">DEC!$A$1:$AZ$58</definedName>
    <definedName function="false" hidden="false" localSheetId="3" name="_xlnm.Print_Area" vbProcedure="false">FEB!$A$1:$AZ$58</definedName>
    <definedName function="false" hidden="false" localSheetId="2" name="_xlnm.Print_Area" vbProcedure="false">JAN!$A$1:$AZ$58</definedName>
    <definedName function="false" hidden="false" localSheetId="8" name="_xlnm.Print_Area" vbProcedure="false">JUL!$A$1:$AZ$58</definedName>
    <definedName function="false" hidden="false" localSheetId="7" name="_xlnm.Print_Area" vbProcedure="false">JUN!$A$1:$AZ$54</definedName>
    <definedName function="false" hidden="false" localSheetId="4" name="_xlnm.Print_Area" vbProcedure="false">MAR!$A$1:$AZ$58</definedName>
    <definedName function="false" hidden="false" localSheetId="6" name="_xlnm.Print_Area" vbProcedure="false">MAY!$A$1:$AZ$58</definedName>
    <definedName function="false" hidden="false" localSheetId="0" name="_xlnm.Print_Area" vbProcedure="false">NOV!$A$1:$AZ$57</definedName>
    <definedName function="false" hidden="false" localSheetId="11" name="_xlnm.Print_Area" vbProcedure="false">OCT!$A$1:$AZ$58</definedName>
    <definedName function="false" hidden="false" localSheetId="10" name="_xlnm.Print_Area" vbProcedure="false">SEP!$A$1:$AZ$58</definedName>
  </definedName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 </author>
  </authors>
  <commentList>
    <comment ref="U16" authorId="0">
      <text>
        <r>
          <rPr>
            <sz val="8"/>
            <rFont val="LinePrinter"/>
            <family val="0"/>
            <charset val="1"/>
          </rPr>
          <t xml:space="preserve">EA BIRK:
</t>
        </r>
        <r>
          <rPr>
            <sz val="8"/>
            <color rgb="FF000000"/>
            <rFont val="Tahoma"/>
            <family val="0"/>
            <charset val="1"/>
          </rPr>
          <t xml:space="preserve">Only 13.74 cfs of this went into Narr.fill</t>
        </r>
      </text>
    </comment>
    <comment ref="U17" authorId="0">
      <text>
        <r>
          <rPr>
            <sz val="8"/>
            <rFont val="LinePrinter"/>
            <family val="0"/>
            <charset val="1"/>
          </rPr>
          <t xml:space="preserve">EA BIRK:
</t>
        </r>
        <r>
          <rPr>
            <sz val="8"/>
            <color rgb="FF000000"/>
            <rFont val="Tahoma"/>
            <family val="0"/>
            <charset val="1"/>
          </rPr>
          <t xml:space="preserve">only 22.04 cfs went into Narr. fill</t>
        </r>
      </text>
    </comment>
    <comment ref="U18" authorId="0">
      <text>
        <r>
          <rPr>
            <sz val="8"/>
            <rFont val="LinePrinter"/>
            <family val="0"/>
            <charset val="1"/>
          </rPr>
          <t xml:space="preserve">EA BIRK:
</t>
        </r>
        <r>
          <rPr>
            <sz val="8"/>
            <color rgb="FF000000"/>
            <rFont val="Tahoma"/>
            <family val="0"/>
            <charset val="1"/>
          </rPr>
          <t xml:space="preserve">only 21.96 cfs went into Narr. fill.</t>
        </r>
      </text>
    </comment>
    <comment ref="U19" authorId="0">
      <text>
        <r>
          <rPr>
            <sz val="8"/>
            <rFont val="LinePrinter"/>
            <family val="0"/>
            <charset val="1"/>
          </rPr>
          <t xml:space="preserve">EA BIRK:
</t>
        </r>
        <r>
          <rPr>
            <sz val="8"/>
            <color rgb="FF000000"/>
            <rFont val="Tahoma"/>
            <family val="0"/>
            <charset val="1"/>
          </rPr>
          <t xml:space="preserve">only 22.01 cfs went into Narr. fill.</t>
        </r>
      </text>
    </comment>
    <comment ref="U20" authorId="0">
      <text>
        <r>
          <rPr>
            <sz val="8"/>
            <rFont val="LinePrinter"/>
            <family val="0"/>
            <charset val="1"/>
          </rPr>
          <t xml:space="preserve">EA BIRK:
</t>
        </r>
        <r>
          <rPr>
            <sz val="8"/>
            <color rgb="FF000000"/>
            <rFont val="Tahoma"/>
            <family val="0"/>
            <charset val="1"/>
          </rPr>
          <t xml:space="preserve">Only 21.96 cfs went into Narr. fill.</t>
        </r>
      </text>
    </comment>
    <comment ref="U21" authorId="0">
      <text>
        <r>
          <rPr>
            <sz val="8"/>
            <rFont val="LinePrinter"/>
            <family val="0"/>
            <charset val="1"/>
          </rPr>
          <t xml:space="preserve">EA BIRK:
</t>
        </r>
        <r>
          <rPr>
            <sz val="8"/>
            <color rgb="FF000000"/>
            <rFont val="Tahoma"/>
            <family val="0"/>
            <charset val="1"/>
          </rPr>
          <t xml:space="preserve">Only 22.03 cfs went into Narr. Fill.</t>
        </r>
      </text>
    </comment>
    <comment ref="U22" authorId="0">
      <text>
        <r>
          <rPr>
            <sz val="8"/>
            <rFont val="LinePrinter"/>
            <family val="0"/>
            <charset val="1"/>
          </rPr>
          <t xml:space="preserve">EA BIRK:
</t>
        </r>
        <r>
          <rPr>
            <sz val="8"/>
            <color rgb="FF000000"/>
            <rFont val="Tahoma"/>
            <family val="0"/>
            <charset val="1"/>
          </rPr>
          <t xml:space="preserve">Only 7.32 cfs went into Narr. Fill.</t>
        </r>
      </text>
    </comment>
    <comment ref="AI5" authorId="0">
      <text>
        <r>
          <rPr>
            <sz val="8"/>
            <rFont val="LinePrinter"/>
            <family val="0"/>
            <charset val="1"/>
          </rPr>
          <t xml:space="preserve">E. A. Birk:
</t>
        </r>
        <r>
          <rPr>
            <sz val="8"/>
            <color rgb="FF000000"/>
            <rFont val="Tahoma"/>
            <family val="0"/>
            <charset val="1"/>
          </rPr>
          <t xml:space="preserve">This column runs from April 1st to March 31th as according to contract.</t>
        </r>
      </text>
    </comment>
  </commentList>
</comments>
</file>

<file path=xl/comments2.xml><?xml version="1.0" encoding="utf-8"?>
<comments xmlns="http://schemas.openxmlformats.org/spreadsheetml/2006/main" xmlns:xdr="http://schemas.openxmlformats.org/drawingml/2006/spreadsheetDrawing">
  <authors>
    <author> </author>
  </authors>
  <commentList>
    <comment ref="G16" authorId="0">
      <text>
        <r>
          <rPr>
            <sz val="8"/>
            <rFont val="LinePrinter"/>
            <family val="0"/>
            <charset val="1"/>
          </rPr>
          <t xml:space="preserve">EA BIRK:
</t>
        </r>
        <r>
          <rPr>
            <sz val="8"/>
            <color rgb="FF000000"/>
            <rFont val="Tahoma"/>
            <family val="0"/>
            <charset val="1"/>
          </rPr>
          <t xml:space="preserve">River Froze
</t>
        </r>
      </text>
    </comment>
    <comment ref="AI5" authorId="0">
      <text>
        <r>
          <rPr>
            <sz val="8"/>
            <rFont val="LinePrinter"/>
            <family val="0"/>
            <charset val="1"/>
          </rPr>
          <t xml:space="preserve">E. A. Birk:
</t>
        </r>
        <r>
          <rPr>
            <sz val="8"/>
            <color rgb="FF000000"/>
            <rFont val="Tahoma"/>
            <family val="0"/>
            <charset val="1"/>
          </rPr>
          <t xml:space="preserve">This column runs from April 1st to March 31th as according to contract.</t>
        </r>
      </text>
    </comment>
  </commentList>
</comments>
</file>

<file path=xl/comments3.xml><?xml version="1.0" encoding="utf-8"?>
<comments xmlns="http://schemas.openxmlformats.org/spreadsheetml/2006/main" xmlns:xdr="http://schemas.openxmlformats.org/drawingml/2006/spreadsheetDrawing">
  <authors>
    <author> </author>
  </authors>
  <commentList>
    <comment ref="G13" authorId="0">
      <text>
        <r>
          <rPr>
            <sz val="8"/>
            <rFont val="LinePrinter"/>
            <family val="0"/>
            <charset val="1"/>
          </rPr>
          <t xml:space="preserve">EA BIRK:
</t>
        </r>
        <r>
          <rPr>
            <sz val="8"/>
            <color rgb="FF000000"/>
            <rFont val="Tahoma"/>
            <family val="0"/>
            <charset val="1"/>
          </rPr>
          <t xml:space="preserve">River Froze
</t>
        </r>
      </text>
    </comment>
    <comment ref="AI5" authorId="0">
      <text>
        <r>
          <rPr>
            <sz val="8"/>
            <rFont val="LinePrinter"/>
            <family val="0"/>
            <charset val="1"/>
          </rPr>
          <t xml:space="preserve">E. A. Birk:
</t>
        </r>
        <r>
          <rPr>
            <sz val="8"/>
            <color rgb="FF000000"/>
            <rFont val="Tahoma"/>
            <family val="0"/>
            <charset val="1"/>
          </rPr>
          <t xml:space="preserve">This column runs from April 1st to March 31th as according to contract.</t>
        </r>
      </text>
    </comment>
  </commentList>
</comments>
</file>

<file path=xl/comments4.xml><?xml version="1.0" encoding="utf-8"?>
<comments xmlns="http://schemas.openxmlformats.org/spreadsheetml/2006/main" xmlns:xdr="http://schemas.openxmlformats.org/drawingml/2006/spreadsheetDrawing">
  <authors>
    <author> </author>
  </authors>
  <commentList>
    <comment ref="G13" authorId="0">
      <text>
        <r>
          <rPr>
            <sz val="8"/>
            <rFont val="LinePrinter"/>
            <family val="0"/>
            <charset val="1"/>
          </rPr>
          <t xml:space="preserve">EA BIRK:
</t>
        </r>
        <r>
          <rPr>
            <sz val="8"/>
            <color rgb="FF000000"/>
            <rFont val="Tahoma"/>
            <family val="0"/>
            <charset val="1"/>
          </rPr>
          <t xml:space="preserve">River Froze
</t>
        </r>
      </text>
    </comment>
    <comment ref="AI5" authorId="0">
      <text>
        <r>
          <rPr>
            <sz val="8"/>
            <rFont val="LinePrinter"/>
            <family val="0"/>
            <charset val="1"/>
          </rPr>
          <t xml:space="preserve">E. A. Birk:
</t>
        </r>
        <r>
          <rPr>
            <sz val="8"/>
            <color rgb="FF000000"/>
            <rFont val="Tahoma"/>
            <family val="0"/>
            <charset val="1"/>
          </rPr>
          <t xml:space="preserve">This column runs from April 1st to March 31th as according to contract.</t>
        </r>
      </text>
    </comment>
  </commentList>
</comments>
</file>

<file path=xl/comments5.xml><?xml version="1.0" encoding="utf-8"?>
<comments xmlns="http://schemas.openxmlformats.org/spreadsheetml/2006/main" xmlns:xdr="http://schemas.openxmlformats.org/drawingml/2006/spreadsheetDrawing">
  <authors>
    <author> </author>
  </authors>
  <commentList>
    <comment ref="G13" authorId="0">
      <text>
        <r>
          <rPr>
            <sz val="8"/>
            <rFont val="LinePrinter"/>
            <family val="0"/>
            <charset val="1"/>
          </rPr>
          <t xml:space="preserve">EA BIRK:
</t>
        </r>
        <r>
          <rPr>
            <sz val="8"/>
            <color rgb="FF000000"/>
            <rFont val="Tahoma"/>
            <family val="0"/>
            <charset val="1"/>
          </rPr>
          <t xml:space="preserve">River Froze
</t>
        </r>
      </text>
    </comment>
    <comment ref="G22" authorId="0">
      <text>
        <r>
          <rPr>
            <sz val="8"/>
            <rFont val="LinePrinter"/>
            <family val="0"/>
            <charset val="1"/>
          </rPr>
          <t xml:space="preserve">EA BIRK:
</t>
        </r>
        <r>
          <rPr>
            <sz val="8"/>
            <color rgb="FF000000"/>
            <rFont val="Tahoma"/>
            <family val="0"/>
            <charset val="1"/>
          </rPr>
          <t xml:space="preserve">PROVISIONAL DATA STILL</t>
        </r>
      </text>
    </comment>
    <comment ref="U24" authorId="0">
      <text>
        <r>
          <rPr>
            <sz val="8"/>
            <rFont val="LinePrinter"/>
            <family val="0"/>
            <charset val="1"/>
          </rPr>
          <t xml:space="preserve">EA BIRK:
</t>
        </r>
        <r>
          <rPr>
            <sz val="8"/>
            <color rgb="FF000000"/>
            <rFont val="Tahoma"/>
            <family val="0"/>
            <charset val="1"/>
          </rPr>
          <t xml:space="preserve">MVIC shut down the flow into Narr. still have 1.5 ft. to go to be full. Brad Reed said that we would fill it on up when irrigation begins.</t>
        </r>
      </text>
    </comment>
    <comment ref="U36" authorId="0">
      <text>
        <r>
          <rPr>
            <sz val="8"/>
            <rFont val="LinePrinter"/>
            <family val="0"/>
            <charset val="1"/>
          </rPr>
          <t xml:space="preserve">EA BIRK:
</t>
        </r>
        <r>
          <rPr>
            <sz val="8"/>
            <color rgb="FF000000"/>
            <rFont val="Tahoma"/>
            <family val="0"/>
            <charset val="1"/>
          </rPr>
          <t xml:space="preserve">MVI started filling Narr. on up.</t>
        </r>
      </text>
    </comment>
    <comment ref="AI5" authorId="0">
      <text>
        <r>
          <rPr>
            <sz val="8"/>
            <rFont val="LinePrinter"/>
            <family val="0"/>
            <charset val="1"/>
          </rPr>
          <t xml:space="preserve">E. A. Birk:
</t>
        </r>
        <r>
          <rPr>
            <sz val="8"/>
            <color rgb="FF000000"/>
            <rFont val="Tahoma"/>
            <family val="0"/>
            <charset val="1"/>
          </rPr>
          <t xml:space="preserve">This column runs from April 1st to March 31th as according to contract.</t>
        </r>
      </text>
    </comment>
    <comment ref="AN43" authorId="0">
      <text>
        <r>
          <rPr>
            <sz val="8"/>
            <rFont val="LinePrinter"/>
            <family val="0"/>
            <charset val="1"/>
          </rPr>
          <t xml:space="preserve">EA BIRK:
</t>
        </r>
        <r>
          <rPr>
            <sz val="8"/>
            <color rgb="FF000000"/>
            <rFont val="Tahoma"/>
            <family val="0"/>
            <charset val="1"/>
          </rPr>
          <t xml:space="preserve">Shut off water into Narr for now, Approx. 100 Ac. Ft. to go to fill it up.</t>
        </r>
      </text>
    </comment>
  </commentList>
</comments>
</file>

<file path=xl/comments6.xml><?xml version="1.0" encoding="utf-8"?>
<comments xmlns="http://schemas.openxmlformats.org/spreadsheetml/2006/main" xmlns:xdr="http://schemas.openxmlformats.org/drawingml/2006/spreadsheetDrawing">
  <authors>
    <author> </author>
  </authors>
  <commentList>
    <comment ref="N13" authorId="0">
      <text>
        <r>
          <rPr>
            <sz val="8"/>
            <rFont val="LinePrinter"/>
            <family val="0"/>
            <charset val="1"/>
          </rPr>
          <t xml:space="preserve">EA BIRK:
</t>
        </r>
        <r>
          <rPr>
            <sz val="8"/>
            <color rgb="FF000000"/>
            <rFont val="Tahoma"/>
            <family val="0"/>
            <charset val="1"/>
          </rPr>
          <t xml:space="preserve">This water is divided between the BOR wetlands and Totten Res.
</t>
        </r>
      </text>
    </comment>
    <comment ref="U15" authorId="0">
      <text>
        <r>
          <rPr>
            <sz val="8"/>
            <rFont val="LinePrinter"/>
            <family val="0"/>
            <charset val="1"/>
          </rPr>
          <t xml:space="preserve">EA BIRK:
</t>
        </r>
        <r>
          <rPr>
            <sz val="8"/>
            <color rgb="FF000000"/>
            <rFont val="Tahoma"/>
            <family val="0"/>
            <charset val="1"/>
          </rPr>
          <t xml:space="preserve">Brad Reed said that they flushed their new pipeline for part of two days. (irrigation water)</t>
        </r>
      </text>
    </comment>
    <comment ref="W18" authorId="0">
      <text>
        <r>
          <rPr>
            <sz val="8"/>
            <rFont val="LinePrinter"/>
            <family val="0"/>
            <charset val="1"/>
          </rPr>
          <t xml:space="preserve">EA BIRK:
</t>
        </r>
        <r>
          <rPr>
            <sz val="8"/>
            <color rgb="FF000000"/>
            <rFont val="Tahoma"/>
            <family val="0"/>
            <charset val="1"/>
          </rPr>
          <t xml:space="preserve">All of this water is going to MVI Stock Water, as they are making a stock water run.</t>
        </r>
      </text>
    </comment>
    <comment ref="X33" authorId="0">
      <text>
        <r>
          <rPr>
            <sz val="8"/>
            <rFont val="LinePrinter"/>
            <family val="0"/>
            <charset val="1"/>
          </rPr>
          <t xml:space="preserve">EA BIRK:
</t>
        </r>
        <r>
          <rPr>
            <sz val="8"/>
            <color rgb="FF000000"/>
            <rFont val="Tahoma"/>
            <family val="0"/>
            <charset val="1"/>
          </rPr>
          <t xml:space="preserve">MVIC has reached 2500 Ac. Ft. of stock water leaving 500 Ac. Ft. has Brad Reed wanted for the last of Oct.</t>
        </r>
      </text>
    </comment>
    <comment ref="AA11" authorId="0">
      <text>
        <r>
          <rPr>
            <sz val="8"/>
            <rFont val="LinePrinter"/>
            <family val="0"/>
            <charset val="1"/>
          </rPr>
          <t xml:space="preserve">EA BIRK:
</t>
        </r>
        <r>
          <rPr>
            <sz val="8"/>
            <color rgb="FF000000"/>
            <rFont val="Tahoma"/>
            <family val="0"/>
            <charset val="1"/>
          </rPr>
          <t xml:space="preserve">This is the amount of the excess Project Water that MVIC used in the 2008 water year out of Mcphee Reservoir when they had water left in Groundhog &amp; Narr, Reservoirs  (8007 ac.ft. or 4037 cfs)</t>
        </r>
      </text>
    </comment>
    <comment ref="AA20" authorId="0">
      <text>
        <r>
          <rPr>
            <sz val="8"/>
            <rFont val="LinePrinter"/>
            <family val="0"/>
            <charset val="1"/>
          </rPr>
          <t xml:space="preserve">EA BIRK:
</t>
        </r>
        <r>
          <rPr>
            <sz val="8"/>
            <color rgb="FF000000"/>
            <rFont val="Tahoma"/>
            <family val="0"/>
            <charset val="1"/>
          </rPr>
          <t xml:space="preserve">Started using Call water to replace the excess water used last year.</t>
        </r>
      </text>
    </comment>
    <comment ref="AA28" authorId="0">
      <text>
        <r>
          <rPr>
            <sz val="8"/>
            <rFont val="LinePrinter"/>
            <family val="0"/>
            <charset val="1"/>
          </rPr>
          <t xml:space="preserve">EA BIRK:
</t>
        </r>
        <r>
          <rPr>
            <sz val="8"/>
            <color rgb="FF000000"/>
            <rFont val="Tahoma"/>
            <family val="0"/>
            <charset val="1"/>
          </rPr>
          <t xml:space="preserve">Finished replaced excess water used last year and started accumulating call water.</t>
        </r>
      </text>
    </comment>
    <comment ref="AC13" authorId="0">
      <text>
        <r>
          <rPr>
            <sz val="8"/>
            <rFont val="LinePrinter"/>
            <family val="0"/>
            <charset val="1"/>
          </rPr>
          <t xml:space="preserve">EA BIRK:
</t>
        </r>
        <r>
          <rPr>
            <sz val="8"/>
            <color rgb="FF000000"/>
            <rFont val="Tahoma"/>
            <family val="0"/>
            <charset val="1"/>
          </rPr>
          <t xml:space="preserve">Started storing the 3400 Ac.Ft. of Totten Exchange Water(1714.14Cfs)</t>
        </r>
      </text>
    </comment>
    <comment ref="AC20" authorId="0">
      <text>
        <r>
          <rPr>
            <sz val="8"/>
            <rFont val="LinePrinter"/>
            <family val="0"/>
            <charset val="1"/>
          </rPr>
          <t xml:space="preserve">EA BIRK:
</t>
        </r>
        <r>
          <rPr>
            <sz val="8"/>
            <color rgb="FF000000"/>
            <rFont val="Tahoma"/>
            <family val="0"/>
            <charset val="1"/>
          </rPr>
          <t xml:space="preserve">Finished storing the Totten Exchange Water.</t>
        </r>
      </text>
    </comment>
    <comment ref="AE32" authorId="0">
      <text>
        <r>
          <rPr>
            <sz val="8"/>
            <rFont val="LinePrinter"/>
            <family val="0"/>
            <charset val="1"/>
          </rPr>
          <t xml:space="preserve">EA BIRK:
</t>
        </r>
        <r>
          <rPr>
            <sz val="8"/>
            <color rgb="FF000000"/>
            <rFont val="Tahoma"/>
            <family val="0"/>
            <charset val="1"/>
          </rPr>
          <t xml:space="preserve">Adjusted to read approx. what the flow meter and check by DWR read on 4/23/09
</t>
        </r>
      </text>
    </comment>
    <comment ref="AI5" authorId="0">
      <text>
        <r>
          <rPr>
            <sz val="8"/>
            <rFont val="LinePrinter"/>
            <family val="0"/>
            <charset val="1"/>
          </rPr>
          <t xml:space="preserve">E. A. Birk:
</t>
        </r>
        <r>
          <rPr>
            <sz val="8"/>
            <color rgb="FF000000"/>
            <rFont val="Tahoma"/>
            <family val="0"/>
            <charset val="1"/>
          </rPr>
          <t xml:space="preserve">This column runs from April 1st to March 31th as according to contract.</t>
        </r>
      </text>
    </comment>
  </commentList>
</comments>
</file>

<file path=xl/comments7.xml><?xml version="1.0" encoding="utf-8"?>
<comments xmlns="http://schemas.openxmlformats.org/spreadsheetml/2006/main" xmlns:xdr="http://schemas.openxmlformats.org/drawingml/2006/spreadsheetDrawing">
  <authors>
    <author> </author>
  </authors>
  <commentList>
    <comment ref="H39" authorId="0">
      <text>
        <r>
          <rPr>
            <sz val="8"/>
            <rFont val="LinePrinter"/>
            <family val="0"/>
            <charset val="1"/>
          </rPr>
          <t xml:space="preserve">EA BIRK:
</t>
        </r>
        <r>
          <rPr>
            <sz val="8"/>
            <color rgb="FF000000"/>
            <rFont val="Tahoma"/>
            <family val="0"/>
            <charset val="1"/>
          </rPr>
          <t xml:space="preserve">Approved data
</t>
        </r>
      </text>
    </comment>
    <comment ref="P24" authorId="0">
      <text>
        <r>
          <rPr>
            <sz val="8"/>
            <rFont val="LinePrinter"/>
            <family val="0"/>
            <charset val="1"/>
          </rPr>
          <t xml:space="preserve">EA BIRK:
</t>
        </r>
        <r>
          <rPr>
            <sz val="8"/>
            <color rgb="FF000000"/>
            <rFont val="Tahoma"/>
            <family val="0"/>
            <charset val="1"/>
          </rPr>
          <t xml:space="preserve">Began Questar 14.5 Ac. Ft.of Water.</t>
        </r>
      </text>
    </comment>
    <comment ref="P26" authorId="0">
      <text>
        <r>
          <rPr>
            <sz val="8"/>
            <rFont val="LinePrinter"/>
            <family val="0"/>
            <charset val="1"/>
          </rPr>
          <t xml:space="preserve">EA BIRK:
</t>
        </r>
        <r>
          <rPr>
            <sz val="8"/>
            <color rgb="FF000000"/>
            <rFont val="Tahoma"/>
            <family val="0"/>
            <charset val="1"/>
          </rPr>
          <t xml:space="preserve">Finished Questar 14.5 Ac. Ft. of water.</t>
        </r>
      </text>
    </comment>
    <comment ref="W23" authorId="0">
      <text>
        <r>
          <rPr>
            <sz val="8"/>
            <rFont val="LinePrinter"/>
            <family val="0"/>
            <charset val="1"/>
          </rPr>
          <t xml:space="preserve">EA BIRK:
</t>
        </r>
        <r>
          <rPr>
            <sz val="8"/>
            <color rgb="FF000000"/>
            <rFont val="Tahoma"/>
            <family val="0"/>
            <charset val="1"/>
          </rPr>
          <t xml:space="preserve">Totten refill is substracted off of daily 
total.</t>
        </r>
      </text>
    </comment>
    <comment ref="X23" authorId="0">
      <text>
        <r>
          <rPr>
            <sz val="8"/>
            <rFont val="LinePrinter"/>
            <family val="0"/>
            <charset val="1"/>
          </rPr>
          <t xml:space="preserve">EA BIRK:
</t>
        </r>
        <r>
          <rPr>
            <sz val="8"/>
            <color rgb="FF000000"/>
            <rFont val="Tahoma"/>
            <family val="0"/>
            <charset val="1"/>
          </rPr>
          <t xml:space="preserve">Totten refill is substracted off of daily total.</t>
        </r>
      </text>
    </comment>
    <comment ref="AA23" authorId="0">
      <text>
        <r>
          <rPr>
            <sz val="8"/>
            <rFont val="LinePrinter"/>
            <family val="0"/>
            <charset val="1"/>
          </rPr>
          <t xml:space="preserve">EA BIRK:
</t>
        </r>
        <r>
          <rPr>
            <sz val="8"/>
            <color rgb="FF000000"/>
            <rFont val="Tahoma"/>
            <family val="0"/>
            <charset val="1"/>
          </rPr>
          <t xml:space="preserve">Spill began so the amount of spill is substacted off.</t>
        </r>
      </text>
    </comment>
    <comment ref="AB23" authorId="0">
      <text>
        <r>
          <rPr>
            <sz val="8"/>
            <rFont val="LinePrinter"/>
            <family val="0"/>
            <charset val="1"/>
          </rPr>
          <t xml:space="preserve">EA BIRK:
</t>
        </r>
        <r>
          <rPr>
            <sz val="8"/>
            <color rgb="FF000000"/>
            <rFont val="Tahoma"/>
            <family val="0"/>
            <charset val="1"/>
          </rPr>
          <t xml:space="preserve">Spill began so the amount of the spill is substracted off of the call water portion of the number.</t>
        </r>
      </text>
    </comment>
    <comment ref="AI23" authorId="0">
      <text>
        <r>
          <rPr>
            <sz val="8"/>
            <rFont val="LinePrinter"/>
            <family val="0"/>
            <charset val="1"/>
          </rPr>
          <t xml:space="preserve">EA BIRK:
</t>
        </r>
        <r>
          <rPr>
            <sz val="8"/>
            <color rgb="FF000000"/>
            <rFont val="Tahoma"/>
            <family val="0"/>
            <charset val="1"/>
          </rPr>
          <t xml:space="preserve">Spill has begun so that the release downsptream isn't substracted from the fish water left.</t>
        </r>
      </text>
    </comment>
    <comment ref="AJ23" authorId="0">
      <text>
        <r>
          <rPr>
            <sz val="8"/>
            <rFont val="LinePrinter"/>
            <family val="0"/>
            <charset val="1"/>
          </rPr>
          <t xml:space="preserve">EA BIRK:
</t>
        </r>
        <r>
          <rPr>
            <sz val="8"/>
            <color rgb="FF000000"/>
            <rFont val="Tahoma"/>
            <family val="0"/>
            <charset val="1"/>
          </rPr>
          <t xml:space="preserve">Spill began</t>
        </r>
      </text>
    </comment>
    <comment ref="AP27" authorId="0">
      <text>
        <r>
          <rPr>
            <sz val="8"/>
            <rFont val="LinePrinter"/>
            <family val="0"/>
            <charset val="1"/>
          </rPr>
          <t xml:space="preserve">EA BIRK:
</t>
        </r>
        <r>
          <rPr>
            <sz val="8"/>
            <color rgb="FF000000"/>
            <rFont val="Tahoma"/>
            <family val="0"/>
            <charset val="1"/>
          </rPr>
          <t xml:space="preserve">Reservoir is only 178 Ac. Ft down from full so is able to store only 89.7 cfs or 178 Ac. Ft.</t>
        </r>
      </text>
    </comment>
    <comment ref="AP28" authorId="0">
      <text>
        <r>
          <rPr>
            <sz val="8"/>
            <rFont val="LinePrinter"/>
            <family val="0"/>
            <charset val="1"/>
          </rPr>
          <t xml:space="preserve">EA BIRK:
</t>
        </r>
        <r>
          <rPr>
            <sz val="8"/>
            <color rgb="FF000000"/>
            <rFont val="Tahoma"/>
            <family val="0"/>
            <charset val="1"/>
          </rPr>
          <t xml:space="preserve">Reservoir is only 178 Ac. Ft down from full so is able to store only 89.7 cfs or 178 Ac. Ft.</t>
        </r>
      </text>
    </comment>
    <comment ref="AP29" authorId="0">
      <text>
        <r>
          <rPr>
            <sz val="8"/>
            <rFont val="LinePrinter"/>
            <family val="0"/>
            <charset val="1"/>
          </rPr>
          <t xml:space="preserve">EA BIRK:
</t>
        </r>
        <r>
          <rPr>
            <sz val="8"/>
            <color rgb="FF000000"/>
            <rFont val="Tahoma"/>
            <family val="0"/>
            <charset val="1"/>
          </rPr>
          <t xml:space="preserve">Reservoir is only 223 Ac. Ft down from full so is able to store only 112.4cfs or 223 Ac. Ft.</t>
        </r>
      </text>
    </comment>
    <comment ref="AP30"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 ref="AP31"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 ref="AP32"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 ref="AP33"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 ref="AP34"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 ref="AP35"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 ref="AP36"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 ref="AP37"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 ref="AP38"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 ref="AP39"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 ref="AP40"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 ref="AP41"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 ref="AP42"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 ref="AP43"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 ref="AT23" authorId="0">
      <text>
        <r>
          <rPr>
            <sz val="8"/>
            <rFont val="LinePrinter"/>
            <family val="0"/>
            <charset val="1"/>
          </rPr>
          <t xml:space="preserve">EA BIRK:
</t>
        </r>
        <r>
          <rPr>
            <sz val="8"/>
            <color rgb="FF000000"/>
            <rFont val="Tahoma"/>
            <family val="0"/>
            <charset val="1"/>
          </rPr>
          <t xml:space="preserve">Began to fill Totten back up.</t>
        </r>
      </text>
    </comment>
    <comment ref="AT32" authorId="0">
      <text>
        <r>
          <rPr>
            <sz val="8"/>
            <rFont val="LinePrinter"/>
            <family val="0"/>
            <charset val="1"/>
          </rPr>
          <t xml:space="preserve">EA BIRK:
</t>
        </r>
        <r>
          <rPr>
            <sz val="8"/>
            <color rgb="FF000000"/>
            <rFont val="Tahoma"/>
            <family val="0"/>
            <charset val="1"/>
          </rPr>
          <t xml:space="preserve">Finished filling Totten back up to elevation we wanted.</t>
        </r>
      </text>
    </comment>
  </commentList>
</comments>
</file>

<file path=xl/comments8.xml><?xml version="1.0" encoding="utf-8"?>
<comments xmlns="http://schemas.openxmlformats.org/spreadsheetml/2006/main" xmlns:xdr="http://schemas.openxmlformats.org/drawingml/2006/spreadsheetDrawing">
  <authors>
    <author> </author>
  </authors>
  <commentList>
    <comment ref="AA34" authorId="0">
      <text>
        <r>
          <rPr>
            <sz val="8"/>
            <rFont val="LinePrinter"/>
            <family val="0"/>
            <charset val="1"/>
          </rPr>
          <t xml:space="preserve">EA BIRK;
</t>
        </r>
        <r>
          <rPr>
            <sz val="8"/>
            <color rgb="FF000000"/>
            <rFont val="Tahoma"/>
            <family val="2"/>
            <charset val="1"/>
          </rPr>
          <t xml:space="preserve"> MVIC usinig more water than the river is making, so took the excess out of call water.</t>
        </r>
      </text>
    </comment>
    <comment ref="AA35" authorId="0">
      <text>
        <r>
          <rPr>
            <sz val="8"/>
            <rFont val="LinePrinter"/>
            <family val="0"/>
            <charset val="1"/>
          </rPr>
          <t xml:space="preserve">EA BIRK;
</t>
        </r>
        <r>
          <rPr>
            <sz val="8"/>
            <color rgb="FF000000"/>
            <rFont val="Tahoma"/>
            <family val="2"/>
            <charset val="1"/>
          </rPr>
          <t xml:space="preserve"> MVIC usinig more water than the river is making, so took the excess out of call water.</t>
        </r>
      </text>
    </comment>
    <comment ref="AA42" authorId="0">
      <text>
        <r>
          <rPr>
            <sz val="8"/>
            <rFont val="LinePrinter"/>
            <family val="0"/>
            <charset val="1"/>
          </rPr>
          <t xml:space="preserve">EA BIRK;
</t>
        </r>
        <r>
          <rPr>
            <sz val="8"/>
            <color rgb="FF000000"/>
            <rFont val="Tahoma"/>
            <family val="2"/>
            <charset val="1"/>
          </rPr>
          <t xml:space="preserve"> MVIC usinig more water than the river is making, so took the excess out of call water.</t>
        </r>
      </text>
    </comment>
    <comment ref="AJ14" authorId="0">
      <text>
        <r>
          <rPr>
            <sz val="8"/>
            <rFont val="LinePrinter"/>
            <family val="0"/>
            <charset val="1"/>
          </rPr>
          <t xml:space="preserve">EA BIRK:
</t>
        </r>
        <r>
          <rPr>
            <sz val="8"/>
            <color rgb="FF000000"/>
            <rFont val="Tahoma"/>
            <family val="0"/>
            <charset val="1"/>
          </rPr>
          <t xml:space="preserve">Spill over.</t>
        </r>
      </text>
    </comment>
    <comment ref="AP13" authorId="0">
      <text>
        <r>
          <rPr>
            <sz val="8"/>
            <rFont val="LinePrinter"/>
            <family val="0"/>
            <charset val="1"/>
          </rPr>
          <t xml:space="preserve">EA BIRK:
</t>
        </r>
        <r>
          <rPr>
            <sz val="8"/>
            <color rgb="FF000000"/>
            <rFont val="Tahoma"/>
            <family val="0"/>
            <charset val="1"/>
          </rPr>
          <t xml:space="preserve">The Reservoir is full and no room to store any call water.</t>
        </r>
      </text>
    </comment>
  </commentList>
</comments>
</file>

<file path=xl/comments9.xml><?xml version="1.0" encoding="utf-8"?>
<comments xmlns="http://schemas.openxmlformats.org/spreadsheetml/2006/main" xmlns:xdr="http://schemas.openxmlformats.org/drawingml/2006/spreadsheetDrawing">
  <authors>
    <author> </author>
  </authors>
  <commentList>
    <comment ref="G20" authorId="0">
      <text>
        <r>
          <rPr>
            <sz val="8"/>
            <rFont val="LinePrinter"/>
            <family val="0"/>
            <charset val="1"/>
          </rPr>
          <t xml:space="preserve">EA BIRK:
</t>
        </r>
        <r>
          <rPr>
            <sz val="8"/>
            <color rgb="FF000000"/>
            <rFont val="Tahoma"/>
            <family val="0"/>
            <charset val="1"/>
          </rPr>
          <t xml:space="preserve">MVIC opened groundhog up to 20 cfs release 2 10:00am</t>
        </r>
      </text>
    </comment>
    <comment ref="G34" authorId="0">
      <text>
        <r>
          <rPr>
            <sz val="8"/>
            <rFont val="LinePrinter"/>
            <family val="0"/>
            <charset val="1"/>
          </rPr>
          <t xml:space="preserve">EA BIRK:
</t>
        </r>
        <r>
          <rPr>
            <sz val="8"/>
            <color rgb="FF000000"/>
            <rFont val="Tahoma"/>
            <family val="0"/>
            <charset val="1"/>
          </rPr>
          <t xml:space="preserve">MVIC opened Groundhog up to 77 cfs @ 10:00 am</t>
        </r>
      </text>
    </comment>
    <comment ref="AA14" authorId="0">
      <text>
        <r>
          <rPr>
            <sz val="8"/>
            <rFont val="LinePrinter"/>
            <family val="0"/>
            <charset val="1"/>
          </rPr>
          <t xml:space="preserve">EA BIRK;
</t>
        </r>
        <r>
          <rPr>
            <sz val="8"/>
            <color rgb="FF000000"/>
            <rFont val="Tahoma"/>
            <family val="2"/>
            <charset val="1"/>
          </rPr>
          <t xml:space="preserve"> MVIC usinig more water than the river is making, so took the excess out of call water.</t>
        </r>
      </text>
    </comment>
    <comment ref="AC32" authorId="0">
      <text>
        <r>
          <rPr>
            <sz val="8"/>
            <rFont val="LinePrinter"/>
            <family val="0"/>
            <charset val="1"/>
          </rPr>
          <t xml:space="preserve">EA BIRK:
</t>
        </r>
        <r>
          <rPr>
            <sz val="8"/>
            <color rgb="FF000000"/>
            <rFont val="Tahoma"/>
            <family val="0"/>
            <charset val="1"/>
          </rPr>
          <t xml:space="preserve">All Call water gone, startyed using Totten Exchange &amp; U/s Users Exchange</t>
        </r>
      </text>
    </comment>
    <comment ref="AS20" authorId="0">
      <text>
        <r>
          <rPr>
            <sz val="8"/>
            <rFont val="LinePrinter"/>
            <family val="0"/>
            <charset val="1"/>
          </rPr>
          <t xml:space="preserve">EA BIRK:
</t>
        </r>
        <r>
          <rPr>
            <sz val="8"/>
            <color rgb="FF000000"/>
            <rFont val="Tahoma"/>
            <family val="0"/>
            <charset val="1"/>
          </rPr>
          <t xml:space="preserve">Began upstream exchange</t>
        </r>
      </text>
    </comment>
    <comment ref="AS39" authorId="0">
      <text>
        <r>
          <rPr>
            <sz val="8"/>
            <rFont val="LinePrinter"/>
            <family val="0"/>
            <charset val="1"/>
          </rPr>
          <t xml:space="preserve">EA BIRK:
</t>
        </r>
        <r>
          <rPr>
            <sz val="8"/>
            <color rgb="FF000000"/>
            <rFont val="Tahoma"/>
            <family val="0"/>
            <charset val="1"/>
          </rPr>
          <t xml:space="preserve">Ended upstream exchange</t>
        </r>
      </text>
    </comment>
  </commentList>
</comments>
</file>

<file path=xl/comments10.xml><?xml version="1.0" encoding="utf-8"?>
<comments xmlns="http://schemas.openxmlformats.org/spreadsheetml/2006/main" xmlns:xdr="http://schemas.openxmlformats.org/drawingml/2006/spreadsheetDrawing">
  <authors>
    <author> </author>
  </authors>
  <commentList>
    <comment ref="G25" authorId="0">
      <text>
        <r>
          <rPr>
            <sz val="8"/>
            <rFont val="LinePrinter"/>
            <family val="0"/>
            <charset val="1"/>
          </rPr>
          <t xml:space="preserve">EA BIRK:
</t>
        </r>
        <r>
          <rPr>
            <sz val="8"/>
            <color rgb="FF000000"/>
            <rFont val="Tahoma"/>
            <family val="0"/>
            <charset val="1"/>
          </rPr>
          <t xml:space="preserve">Brad Reed of MVIC informed me that he closed the flow out of Groundhog to 37.5 cfs @ 1:45pm and that the elevation was 66.3 or a content of 17883 Ac. Ft.</t>
        </r>
      </text>
    </comment>
  </commentList>
</comments>
</file>

<file path=xl/comments11.xml><?xml version="1.0" encoding="utf-8"?>
<comments xmlns="http://schemas.openxmlformats.org/spreadsheetml/2006/main" xmlns:xdr="http://schemas.openxmlformats.org/drawingml/2006/spreadsheetDrawing">
  <authors>
    <author> </author>
  </authors>
  <commentList>
    <comment ref="O14" authorId="0">
      <text>
        <r>
          <rPr>
            <sz val="8"/>
            <rFont val="LinePrinter"/>
            <family val="0"/>
            <charset val="1"/>
          </rPr>
          <t xml:space="preserve">EA BIRK:
</t>
        </r>
        <r>
          <rPr>
            <sz val="8"/>
            <color rgb="FF000000"/>
            <rFont val="Tahoma"/>
            <family val="0"/>
            <charset val="1"/>
          </rPr>
          <t xml:space="preserve">Ute Farm &amp; Ranch started using lease water from DWCD. 75.92
 cfs of the 91.8 cfs was lease water</t>
        </r>
      </text>
    </comment>
  </commentList>
</comments>
</file>

<file path=xl/comments12.xml><?xml version="1.0" encoding="utf-8"?>
<comments xmlns="http://schemas.openxmlformats.org/spreadsheetml/2006/main" xmlns:xdr="http://schemas.openxmlformats.org/drawingml/2006/spreadsheetDrawing">
  <authors>
    <author> </author>
  </authors>
  <commentList>
    <comment ref="U22" authorId="0">
      <text>
        <r>
          <rPr>
            <sz val="8"/>
            <rFont val="LinePrinter"/>
            <family val="0"/>
            <charset val="1"/>
          </rPr>
          <t xml:space="preserve">EA BIRK:
</t>
        </r>
        <r>
          <rPr>
            <sz val="8"/>
            <color rgb="FF000000"/>
            <rFont val="Tahoma"/>
            <family val="0"/>
            <charset val="1"/>
          </rPr>
          <t xml:space="preserve">MVIC shut off the lone pine and put the river thru the tunnel to Towaoc Canal</t>
        </r>
      </text>
    </comment>
    <comment ref="U23" authorId="0">
      <text>
        <r>
          <rPr>
            <sz val="8"/>
            <rFont val="LinePrinter"/>
            <family val="0"/>
            <charset val="1"/>
          </rPr>
          <t xml:space="preserve">EA BIRK:
</t>
        </r>
        <r>
          <rPr>
            <sz val="8"/>
            <color rgb="FF000000"/>
            <rFont val="Tahoma"/>
            <family val="0"/>
            <charset val="1"/>
          </rPr>
          <t xml:space="preserve">MVIC started taking part of the river back to store in Narr. Res. And nothing going to irrigation.</t>
        </r>
      </text>
    </comment>
    <comment ref="U29" authorId="0">
      <text>
        <r>
          <rPr>
            <sz val="8"/>
            <rFont val="LinePrinter"/>
            <family val="0"/>
            <charset val="1"/>
          </rPr>
          <t xml:space="preserve">EA BIRK:
</t>
        </r>
        <r>
          <rPr>
            <sz val="8"/>
            <color rgb="FF000000"/>
            <rFont val="Tahoma"/>
            <family val="0"/>
            <charset val="1"/>
          </rPr>
          <t xml:space="preserve">Shut all of MVIC irrigation water at midnight on Oct. 15th as per contract.</t>
        </r>
      </text>
    </comment>
    <comment ref="W19" authorId="0">
      <text>
        <r>
          <rPr>
            <sz val="8"/>
            <rFont val="LinePrinter"/>
            <family val="0"/>
            <charset val="1"/>
          </rPr>
          <t xml:space="preserve">EA BIRK:
</t>
        </r>
        <r>
          <rPr>
            <sz val="8"/>
            <color rgb="FF000000"/>
            <rFont val="Tahoma"/>
            <family val="0"/>
            <charset val="1"/>
          </rPr>
          <t xml:space="preserve">MVIC started feeding the Towaoc Canal from Narr. Res. As DWCD shut off all of Mvic canals as they reached the 105,500 Ac. Ft. and started giving them just the ruver flow.</t>
        </r>
      </text>
    </comment>
    <comment ref="W56" authorId="0">
      <text>
        <r>
          <rPr>
            <sz val="8"/>
            <rFont val="LinePrinter"/>
            <family val="0"/>
            <charset val="1"/>
          </rPr>
          <t xml:space="preserve">EA BIRK:
</t>
        </r>
        <r>
          <rPr>
            <sz val="8"/>
            <color rgb="FF000000"/>
            <rFont val="Tahoma"/>
            <family val="0"/>
            <charset val="1"/>
          </rPr>
          <t xml:space="preserve">We drained 58.5 cfs from Reach 1&amp;2 of the towaoc Canal into Reach 3 for Ute Farm &amp; Ranch</t>
        </r>
      </text>
    </comment>
    <comment ref="X56" authorId="0">
      <text>
        <r>
          <rPr>
            <sz val="8"/>
            <rFont val="LinePrinter"/>
            <family val="0"/>
            <charset val="1"/>
          </rPr>
          <t xml:space="preserve">EA BIRK:
</t>
        </r>
        <r>
          <rPr>
            <sz val="8"/>
            <color rgb="FF000000"/>
            <rFont val="Tahoma"/>
            <family val="0"/>
            <charset val="1"/>
          </rPr>
          <t xml:space="preserve">We drained 58.5 cfs from Reach 1&amp;2 of the towaoc Canal into Reach 3 for Ute Farm &amp; Ranch</t>
        </r>
      </text>
    </comment>
    <comment ref="AO38" authorId="0">
      <text>
        <r>
          <rPr>
            <sz val="8"/>
            <rFont val="LinePrinter"/>
            <family val="0"/>
            <charset val="1"/>
          </rPr>
          <t xml:space="preserve">EA BIRK:
</t>
        </r>
        <r>
          <rPr>
            <sz val="8"/>
            <color rgb="FF000000"/>
            <rFont val="Tahoma"/>
            <family val="0"/>
            <charset val="1"/>
          </rPr>
          <t xml:space="preserve">2.8 cfs+1.5 cfs in west lateral</t>
        </r>
      </text>
    </comment>
    <comment ref="AO39" authorId="0">
      <text>
        <r>
          <rPr>
            <sz val="8"/>
            <rFont val="LinePrinter"/>
            <family val="0"/>
            <charset val="1"/>
          </rPr>
          <t xml:space="preserve">EA BIRK:
</t>
        </r>
        <r>
          <rPr>
            <sz val="8"/>
            <color rgb="FF000000"/>
            <rFont val="Tahoma"/>
            <family val="0"/>
            <charset val="1"/>
          </rPr>
          <t xml:space="preserve">4.9 in lone pine and 23.9 in east and west lateral
</t>
        </r>
      </text>
    </comment>
    <comment ref="AO40" authorId="0">
      <text>
        <r>
          <rPr>
            <sz val="8"/>
            <rFont val="LinePrinter"/>
            <family val="0"/>
            <charset val="1"/>
          </rPr>
          <t xml:space="preserve">EA BIRK:
</t>
        </r>
        <r>
          <rPr>
            <sz val="8"/>
            <color rgb="FF000000"/>
            <rFont val="Tahoma"/>
            <family val="0"/>
            <charset val="1"/>
          </rPr>
          <t xml:space="preserve">27.8 cfs in East &amp; West Lateral.</t>
        </r>
      </text>
    </comment>
    <comment ref="AO41" authorId="0">
      <text>
        <r>
          <rPr>
            <sz val="8"/>
            <rFont val="LinePrinter"/>
            <family val="0"/>
            <charset val="1"/>
          </rPr>
          <t xml:space="preserve">EA BIRK:
</t>
        </r>
        <r>
          <rPr>
            <sz val="8"/>
            <color rgb="FF000000"/>
            <rFont val="Tahoma"/>
            <family val="0"/>
            <charset val="1"/>
          </rPr>
          <t xml:space="preserve">29.0 cfs in East &amp; West Lateral.</t>
        </r>
      </text>
    </comment>
    <comment ref="AO42" authorId="0">
      <text>
        <r>
          <rPr>
            <sz val="8"/>
            <rFont val="LinePrinter"/>
            <family val="0"/>
            <charset val="1"/>
          </rPr>
          <t xml:space="preserve">EA BIRK:
</t>
        </r>
        <r>
          <rPr>
            <sz val="8"/>
            <color rgb="FF000000"/>
            <rFont val="Tahoma"/>
            <family val="0"/>
            <charset val="1"/>
          </rPr>
          <t xml:space="preserve">29.0 in east &amp; west laterals to noon then off, Opened lone pine @ 12:30 pm to 55.0
</t>
        </r>
      </text>
    </comment>
    <comment ref="AU56" authorId="0">
      <text>
        <r>
          <rPr>
            <sz val="8"/>
            <rFont val="LinePrinter"/>
            <family val="0"/>
            <charset val="1"/>
          </rPr>
          <t xml:space="preserve">EA BIRK:
</t>
        </r>
        <r>
          <rPr>
            <sz val="8"/>
            <color rgb="FF000000"/>
            <rFont val="Tahoma"/>
            <family val="0"/>
            <charset val="1"/>
          </rPr>
          <t xml:space="preserve">Equal Oct total plus water drained from reach </t>
        </r>
      </text>
    </comment>
  </commentList>
</comments>
</file>

<file path=xl/sharedStrings.xml><?xml version="1.0" encoding="utf-8"?>
<sst xmlns="http://schemas.openxmlformats.org/spreadsheetml/2006/main" count="2060" uniqueCount="135">
  <si>
    <t xml:space="preserve">MCPHEE  RESERVOIR  INFLOW/OUTFLOW  TABULATION</t>
  </si>
  <si>
    <t xml:space="preserve">AF/cfs  CONVERT FACTOR</t>
  </si>
  <si>
    <t xml:space="preserve">                     NOVEMBER  "2008"</t>
  </si>
  <si>
    <t xml:space="preserve">RESERVOIR</t>
  </si>
  <si>
    <t xml:space="preserve">INFLOW/OUTFLOW (CFS)</t>
  </si>
  <si>
    <t xml:space="preserve">ADJUSTMENTS</t>
  </si>
  <si>
    <t xml:space="preserve">WEATHER</t>
  </si>
  <si>
    <t xml:space="preserve">DATE</t>
  </si>
  <si>
    <t xml:space="preserve">RESERV</t>
  </si>
  <si>
    <t xml:space="preserve">AC  FT</t>
  </si>
  <si>
    <t xml:space="preserve">ACTIVE</t>
  </si>
  <si>
    <t xml:space="preserve">CONV  TO</t>
  </si>
  <si>
    <t xml:space="preserve">DOLORES</t>
  </si>
  <si>
    <t xml:space="preserve">LOST</t>
  </si>
  <si>
    <t xml:space="preserve">RECORD</t>
  </si>
  <si>
    <t xml:space="preserve">CALC</t>
  </si>
  <si>
    <t xml:space="preserve">TOTAL</t>
  </si>
  <si>
    <t xml:space="preserve">DOLORES TUNNEL</t>
  </si>
  <si>
    <t xml:space="preserve">LONE</t>
  </si>
  <si>
    <t xml:space="preserve">U</t>
  </si>
  <si>
    <t xml:space="preserve">TOTAl</t>
  </si>
  <si>
    <t xml:space="preserve">MVI</t>
  </si>
  <si>
    <t xml:space="preserve">TO EX &amp;</t>
  </si>
  <si>
    <t xml:space="preserve">DV  CR</t>
  </si>
  <si>
    <t xml:space="preserve">       D/S SENIOR </t>
  </si>
  <si>
    <t xml:space="preserve">BELOW</t>
  </si>
  <si>
    <t xml:space="preserve">FISH</t>
  </si>
  <si>
    <t xml:space="preserve">SPILL</t>
  </si>
  <si>
    <t xml:space="preserve">NAR</t>
  </si>
  <si>
    <t xml:space="preserve">MVI </t>
  </si>
  <si>
    <t xml:space="preserve">DIST.</t>
  </si>
  <si>
    <t xml:space="preserve">U/S</t>
  </si>
  <si>
    <t xml:space="preserve">TOTTEN</t>
  </si>
  <si>
    <t xml:space="preserve">UTES</t>
  </si>
  <si>
    <t xml:space="preserve">RAIN</t>
  </si>
  <si>
    <t xml:space="preserve">MAX</t>
  </si>
  <si>
    <t xml:space="preserve">MIN</t>
  </si>
  <si>
    <t xml:space="preserve">NOV</t>
  </si>
  <si>
    <t xml:space="preserve">ELEV</t>
  </si>
  <si>
    <t xml:space="preserve">CHANGE</t>
  </si>
  <si>
    <t xml:space="preserve">CAP</t>
  </si>
  <si>
    <t xml:space="preserve">CFS</t>
  </si>
  <si>
    <t xml:space="preserve">RIVER</t>
  </si>
  <si>
    <t xml:space="preserve">CAN</t>
  </si>
  <si>
    <t xml:space="preserve">INFLOW</t>
  </si>
  <si>
    <t xml:space="preserve">INF/OTF</t>
  </si>
  <si>
    <t xml:space="preserve">TOT DIV</t>
  </si>
  <si>
    <t xml:space="preserve">WET</t>
  </si>
  <si>
    <t xml:space="preserve">UTE</t>
  </si>
  <si>
    <t xml:space="preserve">QUEST</t>
  </si>
  <si>
    <t xml:space="preserve">MWC</t>
  </si>
  <si>
    <t xml:space="preserve">CTZ</t>
  </si>
  <si>
    <t xml:space="preserve">CTZ &amp;</t>
  </si>
  <si>
    <t xml:space="preserve">F-BAY</t>
  </si>
  <si>
    <t xml:space="preserve">PINE</t>
  </si>
  <si>
    <t xml:space="preserve">LAT</t>
  </si>
  <si>
    <t xml:space="preserve">CALL</t>
  </si>
  <si>
    <t xml:space="preserve">APR-</t>
  </si>
  <si>
    <t xml:space="preserve">U/S EX</t>
  </si>
  <si>
    <t xml:space="preserve">PROJ </t>
  </si>
  <si>
    <t xml:space="preserve">CANAL</t>
  </si>
  <si>
    <t xml:space="preserve">MVIC</t>
  </si>
  <si>
    <t xml:space="preserve">PROJ</t>
  </si>
  <si>
    <t xml:space="preserve">MCP</t>
  </si>
  <si>
    <t xml:space="preserve">LEFT</t>
  </si>
  <si>
    <t xml:space="preserve">OTF</t>
  </si>
  <si>
    <t xml:space="preserve">STOCK</t>
  </si>
  <si>
    <t xml:space="preserve">STORED</t>
  </si>
  <si>
    <t xml:space="preserve">CLASS</t>
  </si>
  <si>
    <t xml:space="preserve">USERS</t>
  </si>
  <si>
    <t xml:space="preserve">(FRESH</t>
  </si>
  <si>
    <t xml:space="preserve">FROM</t>
  </si>
  <si>
    <t xml:space="preserve">TMP</t>
  </si>
  <si>
    <t xml:space="preserve">TUNNEL</t>
  </si>
  <si>
    <t xml:space="preserve">LAND</t>
  </si>
  <si>
    <t xml:space="preserve">F&amp;R</t>
  </si>
  <si>
    <t xml:space="preserve">IRRIG.</t>
  </si>
  <si>
    <t xml:space="preserve">JUNE</t>
  </si>
  <si>
    <t xml:space="preserve">Apr - Jun</t>
  </si>
  <si>
    <t xml:space="preserve">EVAP</t>
  </si>
  <si>
    <t xml:space="preserve">"B"</t>
  </si>
  <si>
    <t xml:space="preserve">EXCH</t>
  </si>
  <si>
    <t xml:space="preserve">WATER)</t>
  </si>
  <si>
    <t xml:space="preserve">Misc.</t>
  </si>
  <si>
    <t xml:space="preserve">AC. Ft.</t>
  </si>
  <si>
    <t xml:space="preserve">AC FT</t>
  </si>
  <si>
    <t xml:space="preserve">Ac. Ft.</t>
  </si>
  <si>
    <t xml:space="preserve">AC.FT.</t>
  </si>
  <si>
    <t xml:space="preserve">Outflow </t>
  </si>
  <si>
    <t xml:space="preserve">SEASON BAL</t>
  </si>
  <si>
    <t xml:space="preserve">YTD</t>
  </si>
  <si>
    <t xml:space="preserve">MONTH / CFS</t>
  </si>
  <si>
    <t xml:space="preserve">Avg</t>
  </si>
  <si>
    <t xml:space="preserve">MONTH / AF</t>
  </si>
  <si>
    <t xml:space="preserve">HI</t>
  </si>
  <si>
    <t xml:space="preserve">SEASON / CFS</t>
  </si>
  <si>
    <t xml:space="preserve">LO</t>
  </si>
  <si>
    <t xml:space="preserve">SEASON / AF</t>
  </si>
  <si>
    <t xml:space="preserve">YTD / CFS</t>
  </si>
  <si>
    <t xml:space="preserve">YTD / AF</t>
  </si>
  <si>
    <t xml:space="preserve">DECEMBER  "2008"</t>
  </si>
  <si>
    <t xml:space="preserve">DEC</t>
  </si>
  <si>
    <t xml:space="preserve"> </t>
  </si>
  <si>
    <t xml:space="preserve">JANUARY  "2009"</t>
  </si>
  <si>
    <t xml:space="preserve">JAN</t>
  </si>
  <si>
    <t xml:space="preserve">FEBRUARY  "2009"</t>
  </si>
  <si>
    <t xml:space="preserve">FEB</t>
  </si>
  <si>
    <t xml:space="preserve">AVE</t>
  </si>
  <si>
    <t xml:space="preserve">MARCH  "2009"</t>
  </si>
  <si>
    <t xml:space="preserve">MAR</t>
  </si>
  <si>
    <t xml:space="preserve">MCPHEE  RESERVOIR  INFLOW/OUTFLOW TABULATION</t>
  </si>
  <si>
    <t xml:space="preserve">                               APRIL "2009"</t>
  </si>
  <si>
    <t xml:space="preserve">APR</t>
  </si>
  <si>
    <t xml:space="preserve">AVG</t>
  </si>
  <si>
    <t xml:space="preserve">                                  MAY  "2009"</t>
  </si>
  <si>
    <t xml:space="preserve">       D/S SENIOR</t>
  </si>
  <si>
    <t xml:space="preserve">FISH </t>
  </si>
  <si>
    <t xml:space="preserve">MAY</t>
  </si>
  <si>
    <t xml:space="preserve">                                    JUNE  "2009"</t>
  </si>
  <si>
    <t xml:space="preserve">JUN</t>
  </si>
  <si>
    <t xml:space="preserve">                                            JULY  "2009"</t>
  </si>
  <si>
    <t xml:space="preserve">JUL</t>
  </si>
  <si>
    <t xml:space="preserve">WATER</t>
  </si>
  <si>
    <t xml:space="preserve">DWCD</t>
  </si>
  <si>
    <t xml:space="preserve">USED</t>
  </si>
  <si>
    <t xml:space="preserve">N. PROJ</t>
  </si>
  <si>
    <t xml:space="preserve">&amp; PROJ</t>
  </si>
  <si>
    <t xml:space="preserve">AUGUST  "2009"</t>
  </si>
  <si>
    <t xml:space="preserve">AUG</t>
  </si>
  <si>
    <t xml:space="preserve">SEPTEMBER  "2009"</t>
  </si>
  <si>
    <t xml:space="preserve">SEPT</t>
  </si>
  <si>
    <t xml:space="preserve">c</t>
  </si>
  <si>
    <t xml:space="preserve">OCTOBER  "2009"</t>
  </si>
  <si>
    <t xml:space="preserve">OCT</t>
  </si>
  <si>
    <t xml:space="preserve">Final MVIC--</t>
  </si>
</sst>
</file>

<file path=xl/styles.xml><?xml version="1.0" encoding="utf-8"?>
<styleSheet xmlns="http://schemas.openxmlformats.org/spreadsheetml/2006/main">
  <numFmts count="18">
    <numFmt numFmtId="164" formatCode="General"/>
    <numFmt numFmtId="165" formatCode="#,##0"/>
    <numFmt numFmtId="166" formatCode="0.00_);\(0.00\)"/>
    <numFmt numFmtId="167" formatCode="0.0"/>
    <numFmt numFmtId="168" formatCode="0.00"/>
    <numFmt numFmtId="169" formatCode="0"/>
    <numFmt numFmtId="170" formatCode="#,##0.0"/>
    <numFmt numFmtId="171" formatCode="##0.0"/>
    <numFmt numFmtId="172" formatCode="0.0000"/>
    <numFmt numFmtId="173" formatCode="0.000"/>
    <numFmt numFmtId="174" formatCode="#,##0.00"/>
    <numFmt numFmtId="175" formatCode="[$-409]d\-mmm"/>
    <numFmt numFmtId="176" formatCode="0%"/>
    <numFmt numFmtId="177" formatCode="0.0_);\(0.0\)"/>
    <numFmt numFmtId="178" formatCode="0_);\(0\)"/>
    <numFmt numFmtId="179" formatCode="[$-409]mmm\-yy"/>
    <numFmt numFmtId="180" formatCode="#,##0.0000"/>
    <numFmt numFmtId="181" formatCode="0.00_);[RED]\(0.00\)"/>
  </numFmts>
  <fonts count="17">
    <font>
      <sz val="8"/>
      <name val="LinePrinter"/>
      <family val="0"/>
      <charset val="1"/>
    </font>
    <font>
      <sz val="10"/>
      <name val="Arial"/>
      <family val="0"/>
    </font>
    <font>
      <sz val="10"/>
      <name val="Arial"/>
      <family val="0"/>
    </font>
    <font>
      <sz val="10"/>
      <name val="Arial"/>
      <family val="0"/>
    </font>
    <font>
      <sz val="8"/>
      <name val="Arial Narrow"/>
      <family val="2"/>
      <charset val="1"/>
    </font>
    <font>
      <b val="true"/>
      <i val="true"/>
      <sz val="12"/>
      <name val="Arial Narrow"/>
      <family val="2"/>
      <charset val="1"/>
    </font>
    <font>
      <sz val="6"/>
      <name val="Arial Narrow"/>
      <family val="2"/>
      <charset val="1"/>
    </font>
    <font>
      <b val="true"/>
      <sz val="8"/>
      <name val="Arial Narrow"/>
      <family val="2"/>
      <charset val="1"/>
    </font>
    <font>
      <b val="true"/>
      <sz val="6"/>
      <name val="Arial Narrow"/>
      <family val="2"/>
      <charset val="1"/>
    </font>
    <font>
      <sz val="6"/>
      <name val="LinePrinter"/>
      <family val="0"/>
      <charset val="1"/>
    </font>
    <font>
      <b val="true"/>
      <sz val="9"/>
      <name val="Arial Narrow"/>
      <family val="2"/>
      <charset val="1"/>
    </font>
    <font>
      <sz val="8"/>
      <color rgb="FF000000"/>
      <name val="Tahoma"/>
      <family val="0"/>
      <charset val="1"/>
    </font>
    <font>
      <sz val="8"/>
      <name val="LinePrinter"/>
      <family val="0"/>
    </font>
    <font>
      <sz val="8"/>
      <name val="Times New Roman"/>
      <family val="0"/>
    </font>
    <font>
      <b val="true"/>
      <sz val="12"/>
      <name val="Arial Narrow"/>
      <family val="2"/>
      <charset val="1"/>
    </font>
    <font>
      <sz val="4"/>
      <name val="LinePrinter"/>
      <family val="0"/>
    </font>
    <font>
      <sz val="8"/>
      <color rgb="FF000000"/>
      <name val="Tahoma"/>
      <family val="2"/>
      <charset val="1"/>
    </font>
  </fonts>
  <fills count="6">
    <fill>
      <patternFill patternType="none"/>
    </fill>
    <fill>
      <patternFill patternType="gray125"/>
    </fill>
    <fill>
      <patternFill patternType="solid">
        <fgColor rgb="FF464648"/>
        <bgColor rgb="FF333300"/>
      </patternFill>
    </fill>
    <fill>
      <patternFill patternType="solid">
        <fgColor rgb="FFA6CAF0"/>
        <bgColor rgb="FFCCCCFF"/>
      </patternFill>
    </fill>
    <fill>
      <patternFill patternType="solid">
        <fgColor rgb="FFFFFF99"/>
        <bgColor rgb="FFFFFFCC"/>
      </patternFill>
    </fill>
    <fill>
      <patternFill patternType="solid">
        <fgColor rgb="FFCCFFCC"/>
        <bgColor rgb="FFCCFFFF"/>
      </patternFill>
    </fill>
  </fills>
  <borders count="31">
    <border diagonalUp="false" diagonalDown="false">
      <left/>
      <right/>
      <top/>
      <bottom/>
      <diagonal/>
    </border>
    <border diagonalUp="false" diagonalDown="false">
      <left/>
      <right/>
      <top/>
      <bottom style="thick">
        <color rgb="FFEEEEEC"/>
      </bottom>
      <diagonal/>
    </border>
    <border diagonalUp="false" diagonalDown="false">
      <left/>
      <right style="thick">
        <color rgb="FFEEEEEC"/>
      </right>
      <top style="thick">
        <color rgb="FFEEEEEC"/>
      </top>
      <bottom/>
      <diagonal/>
    </border>
    <border diagonalUp="false" diagonalDown="false">
      <left style="thick">
        <color rgb="FFEEEEEC"/>
      </left>
      <right/>
      <top style="thick">
        <color rgb="FFEEEEEC"/>
      </top>
      <bottom/>
      <diagonal/>
    </border>
    <border diagonalUp="false" diagonalDown="false">
      <left/>
      <right/>
      <top style="thick">
        <color rgb="FFEEEEEC"/>
      </top>
      <bottom/>
      <diagonal/>
    </border>
    <border diagonalUp="false" diagonalDown="false">
      <left style="thick">
        <color rgb="FFEEEEEC"/>
      </left>
      <right style="thick">
        <color rgb="FFEEEEEC"/>
      </right>
      <top style="thick">
        <color rgb="FFEEEEEC"/>
      </top>
      <bottom/>
      <diagonal/>
    </border>
    <border diagonalUp="false" diagonalDown="false">
      <left style="thick">
        <color rgb="FFEEEEEC"/>
      </left>
      <right/>
      <top/>
      <bottom/>
      <diagonal/>
    </border>
    <border diagonalUp="false" diagonalDown="false">
      <left/>
      <right style="thick">
        <color rgb="FFEEEEEC"/>
      </right>
      <top/>
      <bottom/>
      <diagonal/>
    </border>
    <border diagonalUp="false" diagonalDown="false">
      <left style="medium">
        <color rgb="FFEEEEEC"/>
      </left>
      <right style="medium">
        <color rgb="FFEEEEEC"/>
      </right>
      <top style="medium">
        <color rgb="FFEEEEEC"/>
      </top>
      <bottom/>
      <diagonal/>
    </border>
    <border diagonalUp="false" diagonalDown="false">
      <left style="thick">
        <color rgb="FFEEEEEC"/>
      </left>
      <right style="thick">
        <color rgb="FFEEEEEC"/>
      </right>
      <top/>
      <bottom/>
      <diagonal/>
    </border>
    <border diagonalUp="false" diagonalDown="false">
      <left style="medium">
        <color rgb="FFEEEEEC"/>
      </left>
      <right/>
      <top/>
      <bottom/>
      <diagonal/>
    </border>
    <border diagonalUp="false" diagonalDown="false">
      <left/>
      <right style="medium">
        <color rgb="FFEEEEEC"/>
      </right>
      <top/>
      <bottom/>
      <diagonal/>
    </border>
    <border diagonalUp="false" diagonalDown="false">
      <left/>
      <right/>
      <top style="thin">
        <color rgb="FFEEEEEC"/>
      </top>
      <bottom style="thin">
        <color rgb="FFEEEEEC"/>
      </bottom>
      <diagonal/>
    </border>
    <border diagonalUp="false" diagonalDown="false">
      <left style="thick">
        <color rgb="FFEEEEEC"/>
      </left>
      <right/>
      <top style="thin">
        <color rgb="FFEEEEEC"/>
      </top>
      <bottom style="thin">
        <color rgb="FFEEEEEC"/>
      </bottom>
      <diagonal/>
    </border>
    <border diagonalUp="false" diagonalDown="false">
      <left/>
      <right style="thick">
        <color rgb="FFEEEEEC"/>
      </right>
      <top style="thin">
        <color rgb="FFEEEEEC"/>
      </top>
      <bottom style="thin">
        <color rgb="FFEEEEEC"/>
      </bottom>
      <diagonal/>
    </border>
    <border diagonalUp="false" diagonalDown="false">
      <left style="medium">
        <color rgb="FFEEEEEC"/>
      </left>
      <right/>
      <top style="thin">
        <color rgb="FFEEEEEC"/>
      </top>
      <bottom style="thin">
        <color rgb="FFEEEEEC"/>
      </bottom>
      <diagonal/>
    </border>
    <border diagonalUp="false" diagonalDown="false">
      <left/>
      <right style="medium">
        <color rgb="FFEEEEEC"/>
      </right>
      <top style="thin">
        <color rgb="FFEEEEEC"/>
      </top>
      <bottom style="thin">
        <color rgb="FFEEEEEC"/>
      </bottom>
      <diagonal/>
    </border>
    <border diagonalUp="false" diagonalDown="false">
      <left/>
      <right/>
      <top style="thin">
        <color rgb="FFEEEEEC"/>
      </top>
      <bottom/>
      <diagonal/>
    </border>
    <border diagonalUp="false" diagonalDown="false">
      <left style="thick">
        <color rgb="FFEEEEEC"/>
      </left>
      <right/>
      <top style="thin">
        <color rgb="FFEEEEEC"/>
      </top>
      <bottom/>
      <diagonal/>
    </border>
    <border diagonalUp="false" diagonalDown="false">
      <left style="thick">
        <color rgb="FFEEEEEC"/>
      </left>
      <right/>
      <top/>
      <bottom style="thin">
        <color rgb="FFEEEEEC"/>
      </bottom>
      <diagonal/>
    </border>
    <border diagonalUp="false" diagonalDown="false">
      <left/>
      <right/>
      <top/>
      <bottom style="thin">
        <color rgb="FFEEEEEC"/>
      </bottom>
      <diagonal/>
    </border>
    <border diagonalUp="false" diagonalDown="false">
      <left style="thick">
        <color rgb="FFEEEEEC"/>
      </left>
      <right style="thick">
        <color rgb="FFEEEEEC"/>
      </right>
      <top/>
      <bottom style="thin">
        <color rgb="FFEEEEEC"/>
      </bottom>
      <diagonal/>
    </border>
    <border diagonalUp="false" diagonalDown="false">
      <left style="thick">
        <color rgb="FFEEEEEC"/>
      </left>
      <right style="thick">
        <color rgb="FFEEEEEC"/>
      </right>
      <top style="thin">
        <color rgb="FFEEEEEC"/>
      </top>
      <bottom style="thin">
        <color rgb="FFEEEEEC"/>
      </bottom>
      <diagonal/>
    </border>
    <border diagonalUp="false" diagonalDown="false">
      <left/>
      <right style="medium">
        <color rgb="FFEEEEEC"/>
      </right>
      <top/>
      <bottom style="thin">
        <color rgb="FFEEEEEC"/>
      </bottom>
      <diagonal/>
    </border>
    <border diagonalUp="false" diagonalDown="false">
      <left style="medium">
        <color rgb="FFEEEEEC"/>
      </left>
      <right/>
      <top/>
      <bottom style="thin">
        <color rgb="FFEEEEEC"/>
      </bottom>
      <diagonal/>
    </border>
    <border diagonalUp="false" diagonalDown="false">
      <left style="medium">
        <color rgb="FFEEEEEC"/>
      </left>
      <right/>
      <top style="thin">
        <color rgb="FFEEEEEC"/>
      </top>
      <bottom/>
      <diagonal/>
    </border>
    <border diagonalUp="false" diagonalDown="false">
      <left/>
      <right style="medium">
        <color rgb="FFEEEEEC"/>
      </right>
      <top style="thin">
        <color rgb="FFEEEEEC"/>
      </top>
      <bottom/>
      <diagonal/>
    </border>
    <border diagonalUp="false" diagonalDown="false">
      <left/>
      <right style="thick">
        <color rgb="FFEEEEEC"/>
      </right>
      <top style="thin">
        <color rgb="FFEEEEEC"/>
      </top>
      <bottom/>
      <diagonal/>
    </border>
    <border diagonalUp="false" diagonalDown="false">
      <left/>
      <right style="thin">
        <color rgb="FFEEEEEC"/>
      </right>
      <top style="thin">
        <color rgb="FFEEEEEC"/>
      </top>
      <bottom style="thin">
        <color rgb="FFEEEEEC"/>
      </bottom>
      <diagonal/>
    </border>
    <border diagonalUp="false" diagonalDown="false">
      <left/>
      <right style="thick">
        <color rgb="FFEEEEEC"/>
      </right>
      <top/>
      <bottom style="thin">
        <color rgb="FFEEEEEC"/>
      </bottom>
      <diagonal/>
    </border>
    <border diagonalUp="false" diagonalDown="false">
      <left/>
      <right/>
      <top style="hair">
        <color rgb="FFEEEEEC"/>
      </top>
      <bottom style="hair">
        <color rgb="FFEEEEE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6"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true">
      <alignment horizontal="general" vertical="bottom" textRotation="0" wrapText="false" indent="0" shrinkToFit="false"/>
      <protection locked="true" hidden="false"/>
    </xf>
  </cellStyleXfs>
  <cellXfs count="5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center"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9" fontId="4" fillId="0" borderId="0" xfId="0" applyFont="tru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71" fontId="4"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2" fontId="4" fillId="0" borderId="0" xfId="0" applyFont="true" applyBorder="false" applyAlignment="false" applyProtection="false">
      <alignment horizontal="general" vertical="bottom" textRotation="0" wrapText="false" indent="0" shrinkToFit="false"/>
      <protection locked="true" hidden="false"/>
    </xf>
    <xf numFmtId="170" fontId="4" fillId="0"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73" fontId="4" fillId="0" borderId="1" xfId="0" applyFont="true" applyBorder="true" applyAlignment="false" applyProtection="false">
      <alignment horizontal="general" vertical="bottom" textRotation="0" wrapText="false" indent="0" shrinkToFit="false"/>
      <protection locked="true" hidden="false"/>
    </xf>
    <xf numFmtId="171" fontId="4" fillId="0" borderId="1"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true" applyProtection="false">
      <alignment horizontal="center" vertical="bottom"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69"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9" fontId="4" fillId="0" borderId="1" xfId="0" applyFont="true" applyBorder="true" applyAlignment="true" applyProtection="false">
      <alignment horizontal="center" vertical="bottom" textRotation="0" wrapText="false" indent="0" shrinkToFit="false"/>
      <protection locked="true" hidden="false"/>
    </xf>
    <xf numFmtId="169" fontId="4" fillId="0" borderId="0" xfId="0" applyFont="true" applyBorder="true" applyAlignment="true" applyProtection="false">
      <alignment horizontal="center" vertical="bottom" textRotation="0" wrapText="false" indent="0" shrinkToFit="false"/>
      <protection locked="true" hidden="false"/>
    </xf>
    <xf numFmtId="170" fontId="4" fillId="0" borderId="2" xfId="0" applyFont="true" applyBorder="true" applyAlignment="false" applyProtection="false">
      <alignment horizontal="general" vertical="bottom" textRotation="0" wrapText="false" indent="0" shrinkToFit="false"/>
      <protection locked="true" hidden="false"/>
    </xf>
    <xf numFmtId="170" fontId="4" fillId="0" borderId="3" xfId="0" applyFont="true" applyBorder="true" applyAlignment="false" applyProtection="false">
      <alignment horizontal="general" vertical="bottom" textRotation="0" wrapText="false" indent="0" shrinkToFit="false"/>
      <protection locked="true" hidden="false"/>
    </xf>
    <xf numFmtId="165" fontId="4" fillId="0" borderId="4" xfId="0" applyFont="true" applyBorder="true" applyAlignment="false" applyProtection="false">
      <alignment horizontal="general" vertical="bottom" textRotation="0" wrapText="false" indent="0" shrinkToFit="false"/>
      <protection locked="true" hidden="false"/>
    </xf>
    <xf numFmtId="173" fontId="7" fillId="0" borderId="4" xfId="0" applyFont="true" applyBorder="true" applyAlignment="true" applyProtection="false">
      <alignment horizontal="center" vertical="bottom" textRotation="0" wrapText="false" indent="0" shrinkToFit="false"/>
      <protection locked="true" hidden="false"/>
    </xf>
    <xf numFmtId="170" fontId="4" fillId="0" borderId="4" xfId="0" applyFont="true" applyBorder="true" applyAlignment="false" applyProtection="false">
      <alignment horizontal="general" vertical="bottom" textRotation="0" wrapText="false" indent="0" shrinkToFit="false"/>
      <protection locked="true" hidden="false"/>
    </xf>
    <xf numFmtId="168" fontId="4" fillId="0" borderId="4" xfId="0" applyFont="true" applyBorder="true" applyAlignment="false" applyProtection="false">
      <alignment horizontal="general" vertical="bottom" textRotation="0" wrapText="false" indent="0" shrinkToFit="false"/>
      <protection locked="true" hidden="false"/>
    </xf>
    <xf numFmtId="165" fontId="7" fillId="0" borderId="4" xfId="0" applyFont="true" applyBorder="true" applyAlignment="true" applyProtection="false">
      <alignment horizontal="right" vertical="bottom" textRotation="0" wrapText="false" indent="0" shrinkToFit="false"/>
      <protection locked="true" hidden="false"/>
    </xf>
    <xf numFmtId="169" fontId="4" fillId="0" borderId="4" xfId="0" applyFont="true" applyBorder="true" applyAlignment="false" applyProtection="false">
      <alignment horizontal="general" vertical="bottom" textRotation="0" wrapText="false" indent="0" shrinkToFit="false"/>
      <protection locked="true" hidden="false"/>
    </xf>
    <xf numFmtId="167" fontId="4" fillId="0" borderId="4" xfId="0" applyFont="true" applyBorder="true" applyAlignment="false" applyProtection="false">
      <alignment horizontal="general" vertical="bottom" textRotation="0" wrapText="false" indent="0" shrinkToFit="false"/>
      <protection locked="true" hidden="false"/>
    </xf>
    <xf numFmtId="170" fontId="6" fillId="0" borderId="4" xfId="0" applyFont="true" applyBorder="true" applyAlignment="false" applyProtection="false">
      <alignment horizontal="general" vertical="bottom" textRotation="0" wrapText="false" indent="0" shrinkToFit="false"/>
      <protection locked="true" hidden="false"/>
    </xf>
    <xf numFmtId="165" fontId="4" fillId="0" borderId="3" xfId="0" applyFont="true" applyBorder="true" applyAlignment="true" applyProtection="false">
      <alignment horizontal="center" vertical="bottom" textRotation="0" wrapText="false" indent="0" shrinkToFit="false"/>
      <protection locked="true" hidden="false"/>
    </xf>
    <xf numFmtId="167" fontId="4" fillId="0" borderId="0" xfId="0" applyFont="true" applyBorder="true" applyAlignment="true" applyProtection="false">
      <alignment horizontal="center" vertical="bottom" textRotation="0" wrapText="false" indent="0" shrinkToFit="false"/>
      <protection locked="true" hidden="false"/>
    </xf>
    <xf numFmtId="169" fontId="7" fillId="0" borderId="0" xfId="20" applyFont="true" applyBorder="true" applyAlignment="true" applyProtection="false">
      <alignment horizontal="center" vertical="bottom" textRotation="0" wrapText="false" indent="0" shrinkToFit="false"/>
      <protection locked="true" hidden="false"/>
    </xf>
    <xf numFmtId="168" fontId="4" fillId="0" borderId="0" xfId="0" applyFont="true" applyBorder="true" applyAlignment="true" applyProtection="false">
      <alignment horizontal="center" vertical="bottom" textRotation="0" wrapText="false" indent="0" shrinkToFit="false"/>
      <protection locked="true" hidden="false"/>
    </xf>
    <xf numFmtId="168" fontId="4" fillId="0" borderId="4" xfId="0" applyFont="true" applyBorder="true" applyAlignment="true" applyProtection="false">
      <alignment horizontal="center"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6" fontId="4" fillId="0" borderId="3" xfId="0" applyFont="true" applyBorder="true" applyAlignment="false" applyProtection="false">
      <alignment horizontal="general" vertical="bottom" textRotation="0" wrapText="false" indent="0" shrinkToFit="false"/>
      <protection locked="true" hidden="false"/>
    </xf>
    <xf numFmtId="169" fontId="7" fillId="0" borderId="4" xfId="0" applyFont="true" applyBorder="true" applyAlignment="true" applyProtection="false">
      <alignment horizontal="center" vertical="bottom" textRotation="0" wrapText="false" indent="0" shrinkToFit="false"/>
      <protection locked="true" hidden="false"/>
    </xf>
    <xf numFmtId="169" fontId="4" fillId="0" borderId="4" xfId="0" applyFont="true" applyBorder="true" applyAlignment="true" applyProtection="false">
      <alignment horizontal="center" vertical="bottom" textRotation="0" wrapText="false" indent="0" shrinkToFit="false"/>
      <protection locked="true" hidden="false"/>
    </xf>
    <xf numFmtId="167" fontId="4" fillId="0" borderId="5" xfId="0" applyFont="true" applyBorder="true" applyAlignment="fals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70" fontId="6" fillId="0" borderId="6"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true" applyAlignment="true" applyProtection="false">
      <alignment horizontal="center" vertical="bottom" textRotation="0" wrapText="false" indent="0" shrinkToFit="false"/>
      <protection locked="true" hidden="false"/>
    </xf>
    <xf numFmtId="170" fontId="6" fillId="0" borderId="0" xfId="0" applyFont="true" applyBorder="true" applyAlignment="true" applyProtection="false">
      <alignment horizontal="center" vertical="bottom" textRotation="0" wrapText="false" indent="0" shrinkToFit="false"/>
      <protection locked="true" hidden="false"/>
    </xf>
    <xf numFmtId="170" fontId="6" fillId="0" borderId="7" xfId="0" applyFont="true" applyBorder="true" applyAlignment="true" applyProtection="false">
      <alignment horizontal="center" vertical="bottom" textRotation="0" wrapText="false" indent="0" shrinkToFit="false"/>
      <protection locked="true" hidden="false"/>
    </xf>
    <xf numFmtId="170" fontId="8" fillId="0" borderId="8" xfId="0" applyFont="true" applyBorder="true" applyAlignment="true" applyProtection="false">
      <alignment horizontal="center" vertical="bottom" textRotation="0" wrapText="false" indent="0" shrinkToFit="false"/>
      <protection locked="true" hidden="false"/>
    </xf>
    <xf numFmtId="165" fontId="6" fillId="0" borderId="0" xfId="20" applyFont="true" applyBorder="tru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70" fontId="8" fillId="0" borderId="8" xfId="0" applyFont="true" applyBorder="true" applyAlignment="true" applyProtection="false">
      <alignment horizontal="left" vertical="bottom" textRotation="0" wrapText="false" indent="0" shrinkToFit="false"/>
      <protection locked="true" hidden="false"/>
    </xf>
    <xf numFmtId="170" fontId="8" fillId="0" borderId="8" xfId="0" applyFont="true" applyBorder="tru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5" fontId="6" fillId="0" borderId="6" xfId="0" applyFont="true" applyBorder="tru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20" applyFont="true" applyBorder="true" applyAlignment="true" applyProtection="false">
      <alignment horizontal="center" vertical="bottom" textRotation="0" wrapText="false" indent="0" shrinkToFit="false"/>
      <protection locked="true" hidden="false"/>
    </xf>
    <xf numFmtId="166" fontId="6" fillId="0" borderId="6"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true" applyAlignment="true" applyProtection="false">
      <alignment horizontal="center" vertical="bottom" textRotation="0" wrapText="false" indent="0" shrinkToFit="false"/>
      <protection locked="true" hidden="false"/>
    </xf>
    <xf numFmtId="167" fontId="9" fillId="0" borderId="9" xfId="0" applyFont="true" applyBorder="tru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center" vertical="bottom" textRotation="0" wrapText="false" indent="0" shrinkToFit="false"/>
      <protection locked="true" hidden="false"/>
    </xf>
    <xf numFmtId="170" fontId="6" fillId="0" borderId="10" xfId="0" applyFont="true" applyBorder="true" applyAlignment="true" applyProtection="false">
      <alignment horizontal="center" vertical="bottom" textRotation="0" wrapText="false" indent="0" shrinkToFit="false"/>
      <protection locked="true" hidden="false"/>
    </xf>
    <xf numFmtId="168" fontId="6" fillId="0" borderId="0" xfId="0" applyFont="true" applyBorder="true" applyAlignment="true" applyProtection="false">
      <alignment horizontal="center" vertical="bottom" textRotation="0" wrapText="false" indent="0" shrinkToFit="false"/>
      <protection locked="true" hidden="false"/>
    </xf>
    <xf numFmtId="168" fontId="6" fillId="0" borderId="11" xfId="0" applyFont="true" applyBorder="true" applyAlignment="true" applyProtection="false">
      <alignment horizontal="center" vertical="bottom" textRotation="0" wrapText="false" indent="0" shrinkToFit="false"/>
      <protection locked="true" hidden="false"/>
    </xf>
    <xf numFmtId="170" fontId="6" fillId="0" borderId="11" xfId="0" applyFont="true" applyBorder="true" applyAlignment="true" applyProtection="false">
      <alignment horizontal="center" vertical="bottom" textRotation="0" wrapText="false" indent="0" shrinkToFit="false"/>
      <protection locked="true" hidden="false"/>
    </xf>
    <xf numFmtId="166" fontId="6" fillId="0" borderId="6" xfId="0" applyFont="true" applyBorder="true" applyAlignment="false" applyProtection="false">
      <alignment horizontal="general" vertical="bottom" textRotation="0" wrapText="false" indent="0" shrinkToFit="false"/>
      <protection locked="true" hidden="false"/>
    </xf>
    <xf numFmtId="170" fontId="4" fillId="0" borderId="0" xfId="0" applyFont="true" applyBorder="tru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right" vertical="bottom" textRotation="0" wrapText="false" indent="0" shrinkToFit="false"/>
      <protection locked="true" hidden="false"/>
    </xf>
    <xf numFmtId="165" fontId="4" fillId="0" borderId="0" xfId="20" applyFont="true" applyBorder="true" applyAlignment="true" applyProtection="false">
      <alignment horizontal="center" vertical="bottom" textRotation="0" wrapText="false" indent="0" shrinkToFit="false"/>
      <protection locked="true" hidden="false"/>
    </xf>
    <xf numFmtId="174" fontId="4" fillId="0" borderId="0" xfId="0" applyFont="true" applyBorder="true" applyAlignment="true" applyProtection="false">
      <alignment horizontal="center" vertical="bottom" textRotation="0" wrapText="false" indent="0" shrinkToFit="false"/>
      <protection locked="true" hidden="false"/>
    </xf>
    <xf numFmtId="165" fontId="6" fillId="0" borderId="11"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9" xfId="0" applyFont="true" applyBorder="true" applyAlignment="true" applyProtection="false">
      <alignment horizontal="center" vertical="bottom" textRotation="0" wrapText="false" indent="0" shrinkToFit="false"/>
      <protection locked="true" hidden="false"/>
    </xf>
    <xf numFmtId="170" fontId="4" fillId="0" borderId="6"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5" fontId="4" fillId="0" borderId="7" xfId="0" applyFont="true" applyBorder="true" applyAlignment="false" applyProtection="false">
      <alignment horizontal="general" vertical="bottom" textRotation="0" wrapText="false" indent="0" shrinkToFit="false"/>
      <protection locked="true" hidden="false"/>
    </xf>
    <xf numFmtId="165" fontId="4" fillId="0" borderId="10" xfId="0" applyFont="true" applyBorder="true" applyAlignment="false" applyProtection="false">
      <alignment horizontal="general" vertical="bottom" textRotation="0" wrapText="false" indent="0" shrinkToFit="false"/>
      <protection locked="true" hidden="false"/>
    </xf>
    <xf numFmtId="168" fontId="4" fillId="0" borderId="0"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true" applyProtection="false">
      <alignment horizontal="right" vertical="bottom" textRotation="0" wrapText="false" indent="0" shrinkToFit="false"/>
      <protection locked="true" hidden="false"/>
    </xf>
    <xf numFmtId="168" fontId="4" fillId="0" borderId="11" xfId="0" applyFont="true" applyBorder="true" applyAlignment="true" applyProtection="false">
      <alignment horizontal="center"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9" fontId="4" fillId="0" borderId="0" xfId="0" applyFont="true" applyBorder="false" applyAlignment="true" applyProtection="false">
      <alignment horizontal="right" vertical="bottom" textRotation="0" wrapText="false" indent="0" shrinkToFit="false"/>
      <protection locked="true" hidden="false"/>
    </xf>
    <xf numFmtId="165" fontId="4" fillId="0" borderId="10" xfId="0" applyFont="true" applyBorder="true" applyAlignment="true" applyProtection="false">
      <alignment horizontal="right" vertical="bottom" textRotation="0" wrapText="false" indent="0" shrinkToFit="false"/>
      <protection locked="true" hidden="false"/>
    </xf>
    <xf numFmtId="165" fontId="4" fillId="0" borderId="11" xfId="0" applyFont="true" applyBorder="true" applyAlignment="true" applyProtection="false">
      <alignment horizontal="right" vertical="bottom" textRotation="0" wrapText="false" indent="0" shrinkToFit="false"/>
      <protection locked="true" hidden="false"/>
    </xf>
    <xf numFmtId="167" fontId="4" fillId="0" borderId="6"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6" fontId="4" fillId="0" borderId="6" xfId="0" applyFont="true" applyBorder="true" applyAlignment="true" applyProtection="false">
      <alignment horizontal="right" vertical="bottom" textRotation="0" wrapText="false" indent="0" shrinkToFit="false"/>
      <protection locked="true" hidden="false"/>
    </xf>
    <xf numFmtId="169" fontId="4" fillId="0" borderId="0" xfId="0" applyFont="true" applyBorder="true" applyAlignment="true" applyProtection="false">
      <alignment horizontal="right" vertical="bottom" textRotation="0" wrapText="false" indent="0" shrinkToFit="false"/>
      <protection locked="true" hidden="false"/>
    </xf>
    <xf numFmtId="167" fontId="0" fillId="0" borderId="9" xfId="0" applyFont="fals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4" fontId="4" fillId="0" borderId="6" xfId="20" applyFont="true" applyBorder="true" applyAlignment="true" applyProtection="false">
      <alignment horizontal="right" vertical="bottom" textRotation="0" wrapText="false" indent="0" shrinkToFit="false"/>
      <protection locked="true" hidden="false"/>
    </xf>
    <xf numFmtId="165" fontId="4" fillId="0" borderId="0" xfId="20" applyFont="true" applyBorder="true" applyAlignment="true" applyProtection="false">
      <alignment horizontal="right" vertical="bottom" textRotation="0" wrapText="fals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0" fontId="4" fillId="2" borderId="12" xfId="0" applyFont="true" applyBorder="true" applyAlignment="false" applyProtection="false">
      <alignment horizontal="general" vertical="bottom" textRotation="0" wrapText="false" indent="0" shrinkToFit="false"/>
      <protection locked="true" hidden="false"/>
    </xf>
    <xf numFmtId="174" fontId="4" fillId="2" borderId="13" xfId="0" applyFont="true" applyBorder="true" applyAlignment="false" applyProtection="false">
      <alignment horizontal="general" vertical="bottom" textRotation="0" wrapText="false" indent="0" shrinkToFit="false"/>
      <protection locked="true" hidden="false"/>
    </xf>
    <xf numFmtId="165" fontId="4" fillId="2" borderId="12" xfId="0" applyFont="true" applyBorder="true" applyAlignment="false" applyProtection="false">
      <alignment horizontal="general" vertical="bottom" textRotation="0" wrapText="false" indent="0" shrinkToFit="false"/>
      <protection locked="true" hidden="false"/>
    </xf>
    <xf numFmtId="170" fontId="4" fillId="2" borderId="14" xfId="0" applyFont="true" applyBorder="true" applyAlignment="false" applyProtection="false">
      <alignment horizontal="general" vertical="bottom" textRotation="0" wrapText="false" indent="0" shrinkToFit="false"/>
      <protection locked="true" hidden="false"/>
    </xf>
    <xf numFmtId="171" fontId="4" fillId="2" borderId="12" xfId="0" applyFont="true" applyBorder="true" applyAlignment="false" applyProtection="false">
      <alignment horizontal="general" vertical="bottom" textRotation="0" wrapText="false" indent="0" shrinkToFit="false"/>
      <protection locked="true" hidden="false"/>
    </xf>
    <xf numFmtId="170" fontId="4" fillId="2" borderId="15" xfId="0" applyFont="true" applyBorder="true" applyAlignment="false" applyProtection="false">
      <alignment horizontal="general" vertical="bottom" textRotation="0" wrapText="false" indent="0" shrinkToFit="false"/>
      <protection locked="true" hidden="false"/>
    </xf>
    <xf numFmtId="168" fontId="4" fillId="2" borderId="12" xfId="0" applyFont="true" applyBorder="true" applyAlignment="false" applyProtection="false">
      <alignment horizontal="general" vertical="bottom" textRotation="0" wrapText="false" indent="0" shrinkToFit="false"/>
      <protection locked="true" hidden="false"/>
    </xf>
    <xf numFmtId="170" fontId="4" fillId="2" borderId="12" xfId="0" applyFont="true" applyBorder="true" applyAlignment="true" applyProtection="false">
      <alignment horizontal="right" vertical="bottom" textRotation="0" wrapText="false" indent="0" shrinkToFit="false"/>
      <protection locked="true" hidden="false"/>
    </xf>
    <xf numFmtId="168" fontId="4" fillId="2" borderId="16" xfId="0" applyFont="true" applyBorder="true" applyAlignment="true" applyProtection="false">
      <alignment horizontal="center" vertical="bottom" textRotation="0" wrapText="false" indent="0" shrinkToFit="false"/>
      <protection locked="true" hidden="false"/>
    </xf>
    <xf numFmtId="167" fontId="4" fillId="2" borderId="12" xfId="0" applyFont="true" applyBorder="true" applyAlignment="true" applyProtection="false">
      <alignment horizontal="right" vertical="bottom" textRotation="0" wrapText="false" indent="0" shrinkToFit="false"/>
      <protection locked="true" hidden="false"/>
    </xf>
    <xf numFmtId="169" fontId="4" fillId="2" borderId="12" xfId="0" applyFont="true" applyBorder="true" applyAlignment="true" applyProtection="false">
      <alignment horizontal="right" vertical="bottom" textRotation="0" wrapText="false" indent="0" shrinkToFit="false"/>
      <protection locked="true" hidden="false"/>
    </xf>
    <xf numFmtId="165" fontId="4" fillId="2" borderId="12" xfId="0" applyFont="true" applyBorder="true" applyAlignment="true" applyProtection="false">
      <alignment horizontal="right" vertical="bottom" textRotation="0" wrapText="false" indent="0" shrinkToFit="false"/>
      <protection locked="true" hidden="false"/>
    </xf>
    <xf numFmtId="170" fontId="4" fillId="2" borderId="15" xfId="0" applyFont="true" applyBorder="true" applyAlignment="true" applyProtection="false">
      <alignment horizontal="right" vertical="bottom" textRotation="0" wrapText="false" indent="0" shrinkToFit="false"/>
      <protection locked="true" hidden="false"/>
    </xf>
    <xf numFmtId="170" fontId="4" fillId="2" borderId="16" xfId="0" applyFont="true" applyBorder="true" applyAlignment="true" applyProtection="false">
      <alignment horizontal="right" vertical="bottom" textRotation="0" wrapText="false" indent="0" shrinkToFit="false"/>
      <protection locked="true" hidden="false"/>
    </xf>
    <xf numFmtId="167" fontId="4" fillId="2" borderId="13" xfId="0" applyFont="true" applyBorder="true" applyAlignment="true" applyProtection="false">
      <alignment horizontal="right" vertical="bottom" textRotation="0" wrapText="false" indent="0" shrinkToFit="false"/>
      <protection locked="true" hidden="false"/>
    </xf>
    <xf numFmtId="167" fontId="4" fillId="2" borderId="12" xfId="20" applyFont="true" applyBorder="true" applyAlignment="true" applyProtection="false">
      <alignment horizontal="center" vertical="bottom" textRotation="0" wrapText="false" indent="0" shrinkToFit="false"/>
      <protection locked="true" hidden="false"/>
    </xf>
    <xf numFmtId="166" fontId="4" fillId="2" borderId="13" xfId="0" applyFont="true" applyBorder="true" applyAlignment="true" applyProtection="false">
      <alignment horizontal="right" vertical="bottom" textRotation="0" wrapText="false" indent="0" shrinkToFit="false"/>
      <protection locked="true" hidden="false"/>
    </xf>
    <xf numFmtId="174" fontId="4" fillId="0" borderId="6"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true" applyAlignment="false" applyProtection="false">
      <alignment horizontal="general" vertical="bottom" textRotation="0" wrapText="false" indent="0" shrinkToFit="false"/>
      <protection locked="true" hidden="false"/>
    </xf>
    <xf numFmtId="170" fontId="4" fillId="0" borderId="7" xfId="0" applyFont="true" applyBorder="true" applyAlignment="false" applyProtection="false">
      <alignment horizontal="general" vertical="bottom" textRotation="0" wrapText="false" indent="0" shrinkToFit="false"/>
      <protection locked="true" hidden="false"/>
    </xf>
    <xf numFmtId="170" fontId="4" fillId="0" borderId="10" xfId="0" applyFont="true" applyBorder="true" applyAlignment="false" applyProtection="false">
      <alignment horizontal="general" vertical="bottom" textRotation="0" wrapText="false" indent="0" shrinkToFit="false"/>
      <protection locked="true" hidden="false"/>
    </xf>
    <xf numFmtId="170" fontId="4" fillId="0" borderId="0" xfId="0" applyFont="true" applyBorder="true" applyAlignment="false" applyProtection="false">
      <alignment horizontal="general" vertical="bottom" textRotation="0" wrapText="false" indent="0" shrinkToFit="false"/>
      <protection locked="true" hidden="false"/>
    </xf>
    <xf numFmtId="174" fontId="4" fillId="0" borderId="0" xfId="0" applyFont="true" applyBorder="true" applyAlignment="true" applyProtection="false">
      <alignment horizontal="right" vertical="bottom" textRotation="0" wrapText="false" indent="0" shrinkToFit="false"/>
      <protection locked="true" hidden="false"/>
    </xf>
    <xf numFmtId="170" fontId="4" fillId="0" borderId="17" xfId="0" applyFont="true" applyBorder="true" applyAlignment="fals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right" vertical="bottom" textRotation="0" wrapText="false" indent="0" shrinkToFit="false"/>
      <protection locked="true" hidden="false"/>
    </xf>
    <xf numFmtId="170" fontId="4" fillId="0" borderId="0" xfId="20" applyFont="true" applyBorder="true" applyAlignment="true" applyProtection="false">
      <alignment horizontal="right" vertical="bottom" textRotation="0" wrapText="false" indent="0" shrinkToFit="false"/>
      <protection locked="true" hidden="false"/>
    </xf>
    <xf numFmtId="167" fontId="4" fillId="0" borderId="0" xfId="20" applyFont="true" applyBorder="true" applyAlignment="true" applyProtection="false">
      <alignment horizontal="right" vertical="bottom" textRotation="0" wrapText="false" indent="0" shrinkToFit="false"/>
      <protection locked="true" hidden="false"/>
    </xf>
    <xf numFmtId="169" fontId="4" fillId="0" borderId="0" xfId="20" applyFont="true" applyBorder="true" applyAlignment="true" applyProtection="false">
      <alignment horizontal="right" vertical="bottom" textRotation="0" wrapText="false" indent="0" shrinkToFit="false"/>
      <protection locked="true" hidden="false"/>
    </xf>
    <xf numFmtId="170" fontId="4" fillId="0" borderId="10" xfId="0" applyFont="true" applyBorder="true" applyAlignment="true" applyProtection="false">
      <alignment horizontal="right" vertical="bottom" textRotation="0" wrapText="false" indent="0" shrinkToFit="false"/>
      <protection locked="true" hidden="false"/>
    </xf>
    <xf numFmtId="170" fontId="4" fillId="0" borderId="11" xfId="0" applyFont="true" applyBorder="true" applyAlignment="true" applyProtection="false">
      <alignment horizontal="right" vertical="bottom" textRotation="0" wrapText="false" indent="0" shrinkToFit="false"/>
      <protection locked="true" hidden="false"/>
    </xf>
    <xf numFmtId="166" fontId="4" fillId="0" borderId="18" xfId="0" applyFont="true" applyBorder="true" applyAlignment="true" applyProtection="false">
      <alignment horizontal="right" vertical="bottom" textRotation="0" wrapText="false" indent="0" shrinkToFit="false"/>
      <protection locked="true" hidden="false"/>
    </xf>
    <xf numFmtId="174" fontId="4" fillId="0" borderId="6" xfId="15"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bottom" textRotation="0" wrapText="false" indent="0" shrinkToFit="false"/>
      <protection locked="true" hidden="false"/>
    </xf>
    <xf numFmtId="170" fontId="4" fillId="2" borderId="13" xfId="0" applyFont="true" applyBorder="true" applyAlignment="false" applyProtection="false">
      <alignment horizontal="general" vertical="bottom" textRotation="0" wrapText="false" indent="0" shrinkToFit="false"/>
      <protection locked="true" hidden="false"/>
    </xf>
    <xf numFmtId="167" fontId="4" fillId="0" borderId="17" xfId="0" applyFont="true" applyBorder="true" applyAlignment="true" applyProtection="false">
      <alignment horizontal="right" vertical="bottom" textRotation="0" wrapText="false" indent="0" shrinkToFit="false"/>
      <protection locked="true" hidden="false"/>
    </xf>
    <xf numFmtId="167" fontId="4" fillId="0" borderId="9" xfId="0" applyFont="true" applyBorder="true" applyAlignment="true" applyProtection="false">
      <alignment horizontal="right" vertical="bottom" textRotation="0" wrapText="false" indent="0" shrinkToFit="false"/>
      <protection locked="true" hidden="false"/>
    </xf>
    <xf numFmtId="167" fontId="4" fillId="0" borderId="0" xfId="0" applyFont="true" applyBorder="true" applyAlignment="true" applyProtection="false">
      <alignment horizontal="right" vertical="bottom" textRotation="0" wrapText="false" indent="0" shrinkToFit="false"/>
      <protection locked="true" hidden="false"/>
    </xf>
    <xf numFmtId="165" fontId="4" fillId="2" borderId="14" xfId="0" applyFont="true" applyBorder="true" applyAlignment="false" applyProtection="false">
      <alignment horizontal="general" vertical="bottom" textRotation="0" wrapText="false" indent="0" shrinkToFit="false"/>
      <protection locked="true" hidden="false"/>
    </xf>
    <xf numFmtId="165" fontId="4" fillId="2" borderId="15" xfId="0" applyFont="true" applyBorder="true" applyAlignment="false" applyProtection="false">
      <alignment horizontal="general" vertical="bottom" textRotation="0" wrapText="false" indent="0" shrinkToFit="false"/>
      <protection locked="true" hidden="false"/>
    </xf>
    <xf numFmtId="165" fontId="4" fillId="2" borderId="15" xfId="0" applyFont="true" applyBorder="true" applyAlignment="true" applyProtection="false">
      <alignment horizontal="right" vertical="bottom" textRotation="0" wrapText="false" indent="0" shrinkToFit="false"/>
      <protection locked="true" hidden="false"/>
    </xf>
    <xf numFmtId="165" fontId="4" fillId="2" borderId="16" xfId="0" applyFont="true" applyBorder="true" applyAlignment="true" applyProtection="false">
      <alignment horizontal="right" vertical="bottom" textRotation="0" wrapText="false" indent="0" shrinkToFit="false"/>
      <protection locked="true" hidden="false"/>
    </xf>
    <xf numFmtId="165" fontId="4" fillId="2" borderId="13" xfId="0" applyFont="true" applyBorder="true" applyAlignment="true" applyProtection="false">
      <alignment horizontal="right" vertical="bottom" textRotation="0" wrapText="false" indent="0" shrinkToFit="false"/>
      <protection locked="true" hidden="false"/>
    </xf>
    <xf numFmtId="166" fontId="4" fillId="0" borderId="19" xfId="0" applyFont="true" applyBorder="true" applyAlignment="true" applyProtection="false">
      <alignment horizontal="right" vertical="bottom" textRotation="0" wrapText="false" indent="0" shrinkToFit="false"/>
      <protection locked="true" hidden="false"/>
    </xf>
    <xf numFmtId="169" fontId="4" fillId="2" borderId="12" xfId="0" applyFont="true" applyBorder="true" applyAlignment="false" applyProtection="false">
      <alignment horizontal="general" vertical="bottom" textRotation="0" wrapText="false" indent="0" shrinkToFit="false"/>
      <protection locked="true" hidden="false"/>
    </xf>
    <xf numFmtId="169" fontId="4" fillId="0" borderId="20" xfId="0" applyFont="true" applyBorder="true" applyAlignment="true" applyProtection="false">
      <alignment horizontal="right" vertical="bottom" textRotation="0" wrapText="false" indent="0" shrinkToFit="false"/>
      <protection locked="true" hidden="false"/>
    </xf>
    <xf numFmtId="167" fontId="4" fillId="0" borderId="21" xfId="0" applyFont="true" applyBorder="true" applyAlignment="true" applyProtection="false">
      <alignment horizontal="right" vertical="bottom" textRotation="0" wrapText="false" indent="0" shrinkToFit="false"/>
      <protection locked="true" hidden="false"/>
    </xf>
    <xf numFmtId="170" fontId="4" fillId="2" borderId="16" xfId="0" applyFont="true" applyBorder="true" applyAlignment="false" applyProtection="false">
      <alignment horizontal="general" vertical="bottom" textRotation="0" wrapText="false" indent="0" shrinkToFit="false"/>
      <protection locked="true" hidden="false"/>
    </xf>
    <xf numFmtId="167" fontId="4" fillId="2" borderId="12" xfId="0" applyFont="true" applyBorder="true" applyAlignment="false" applyProtection="false">
      <alignment horizontal="general" vertical="bottom" textRotation="0" wrapText="false" indent="0" shrinkToFit="false"/>
      <protection locked="true" hidden="false"/>
    </xf>
    <xf numFmtId="167" fontId="4" fillId="2" borderId="13" xfId="0" applyFont="true" applyBorder="true" applyAlignment="false" applyProtection="false">
      <alignment horizontal="general" vertical="bottom" textRotation="0" wrapText="false" indent="0" shrinkToFit="false"/>
      <protection locked="true" hidden="false"/>
    </xf>
    <xf numFmtId="170" fontId="4" fillId="2" borderId="12" xfId="0" applyFont="true" applyBorder="true" applyAlignment="true" applyProtection="false">
      <alignment horizontal="center" vertical="bottom" textRotation="0" wrapText="false" indent="0" shrinkToFit="false"/>
      <protection locked="true" hidden="false"/>
    </xf>
    <xf numFmtId="165" fontId="4" fillId="2" borderId="12" xfId="0" applyFont="true" applyBorder="true" applyAlignment="true" applyProtection="false">
      <alignment horizontal="center" vertical="bottom" textRotation="0" wrapText="false" indent="0" shrinkToFit="false"/>
      <protection locked="true" hidden="false"/>
    </xf>
    <xf numFmtId="167" fontId="4" fillId="2" borderId="2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5"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center" vertical="bottom" textRotation="0" wrapText="false" indent="0" shrinkToFit="false"/>
      <protection locked="true" hidden="false"/>
    </xf>
    <xf numFmtId="174" fontId="4" fillId="0" borderId="0" xfId="0" applyFont="true" applyBorder="false" applyAlignment="false" applyProtection="false">
      <alignment horizontal="general" vertical="bottom" textRotation="0" wrapText="false" indent="0" shrinkToFit="false"/>
      <protection locked="true" hidden="false"/>
    </xf>
    <xf numFmtId="176" fontId="4" fillId="0" borderId="0" xfId="19" applyFont="true" applyBorder="true" applyAlignment="true" applyProtection="true">
      <alignment horizontal="general" vertical="bottom" textRotation="0" wrapText="false" indent="0" shrinkToFit="false"/>
      <protection locked="true" hidden="false"/>
    </xf>
    <xf numFmtId="176"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20" applyFont="true" applyBorder="true" applyAlignment="false" applyProtection="false">
      <alignment horizontal="general" vertical="bottom" textRotation="0" wrapText="false" indent="0" shrinkToFit="false"/>
      <protection locked="true" hidden="false"/>
    </xf>
    <xf numFmtId="167" fontId="4" fillId="0" borderId="0" xfId="20" applyFont="true" applyBorder="true" applyAlignment="false" applyProtection="false">
      <alignment horizontal="general" vertical="bottom" textRotation="0" wrapText="false" indent="0" shrinkToFit="false"/>
      <protection locked="true" hidden="false"/>
    </xf>
    <xf numFmtId="168" fontId="4" fillId="0" borderId="0" xfId="20" applyFont="true" applyBorder="true" applyAlignment="false" applyProtection="false">
      <alignment horizontal="general" vertical="bottom" textRotation="0" wrapText="false" indent="0" shrinkToFit="false"/>
      <protection locked="true" hidden="false"/>
    </xf>
    <xf numFmtId="169" fontId="4" fillId="0" borderId="0" xfId="20" applyFont="true" applyBorder="true" applyAlignment="false" applyProtection="false">
      <alignment horizontal="general" vertical="bottom" textRotation="0" wrapText="false" indent="0" shrinkToFit="false"/>
      <protection locked="true" hidden="false"/>
    </xf>
    <xf numFmtId="164" fontId="6" fillId="0"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false" indent="0" shrinkToFit="false"/>
      <protection locked="true" hidden="false"/>
    </xf>
    <xf numFmtId="169" fontId="4" fillId="0" borderId="0" xfId="20" applyFont="true" applyBorder="true" applyAlignment="true" applyProtection="false">
      <alignment horizontal="center" vertical="bottom" textRotation="0" wrapText="false" indent="0" shrinkToFit="false"/>
      <protection locked="true" hidden="false"/>
    </xf>
    <xf numFmtId="164" fontId="0" fillId="0" borderId="0" xfId="20" applyFont="false" applyBorder="true" applyAlignment="false" applyProtection="false">
      <alignment horizontal="general" vertical="bottom" textRotation="0" wrapText="false" indent="0" shrinkToFit="false"/>
      <protection locked="true" hidden="false"/>
    </xf>
    <xf numFmtId="170" fontId="4" fillId="0" borderId="0" xfId="20" applyFont="true" applyBorder="true" applyAlignment="false" applyProtection="false">
      <alignment horizontal="general" vertical="bottom" textRotation="0" wrapText="false" indent="0" shrinkToFit="false"/>
      <protection locked="true" hidden="false"/>
    </xf>
    <xf numFmtId="171" fontId="4" fillId="0" borderId="0" xfId="20" applyFont="true" applyBorder="true" applyAlignment="false" applyProtection="false">
      <alignment horizontal="general" vertical="bottom" textRotation="0" wrapText="false" indent="0" shrinkToFit="false"/>
      <protection locked="true" hidden="false"/>
    </xf>
    <xf numFmtId="170" fontId="5" fillId="0" borderId="0" xfId="20" applyFont="true" applyBorder="true" applyAlignment="false" applyProtection="false">
      <alignment horizontal="general" vertical="bottom" textRotation="0" wrapText="false" indent="0" shrinkToFit="false"/>
      <protection locked="true" hidden="false"/>
    </xf>
    <xf numFmtId="170" fontId="6" fillId="0" borderId="0" xfId="20" applyFont="true" applyBorder="true" applyAlignment="false" applyProtection="false">
      <alignment horizontal="general" vertical="bottom" textRotation="0" wrapText="false" indent="0" shrinkToFit="false"/>
      <protection locked="true" hidden="false"/>
    </xf>
    <xf numFmtId="172" fontId="4" fillId="0" borderId="0" xfId="20" applyFont="true" applyBorder="true" applyAlignment="false" applyProtection="false">
      <alignment horizontal="general" vertical="bottom" textRotation="0" wrapText="false" indent="0" shrinkToFit="false"/>
      <protection locked="true" hidden="false"/>
    </xf>
    <xf numFmtId="170" fontId="5" fillId="0" borderId="0" xfId="20" applyFont="true" applyBorder="true" applyAlignment="true" applyProtection="false">
      <alignment horizontal="center" vertical="bottom" textRotation="0" wrapText="false" indent="0" shrinkToFit="false"/>
      <protection locked="true" hidden="false"/>
    </xf>
    <xf numFmtId="170" fontId="4" fillId="0" borderId="1" xfId="20" applyFont="true" applyBorder="true" applyAlignment="false" applyProtection="false">
      <alignment horizontal="general" vertical="bottom" textRotation="0" wrapText="false" indent="0" shrinkToFit="false"/>
      <protection locked="true" hidden="false"/>
    </xf>
    <xf numFmtId="165" fontId="4" fillId="0" borderId="1" xfId="20" applyFont="true" applyBorder="true" applyAlignment="false" applyProtection="false">
      <alignment horizontal="general" vertical="bottom" textRotation="0" wrapText="false" indent="0" shrinkToFit="false"/>
      <protection locked="true" hidden="false"/>
    </xf>
    <xf numFmtId="173" fontId="4" fillId="0" borderId="1" xfId="20" applyFont="true" applyBorder="true" applyAlignment="false" applyProtection="false">
      <alignment horizontal="general" vertical="bottom" textRotation="0" wrapText="false" indent="0" shrinkToFit="false"/>
      <protection locked="true" hidden="false"/>
    </xf>
    <xf numFmtId="171" fontId="4" fillId="0" borderId="1" xfId="20" applyFont="true" applyBorder="true" applyAlignment="false" applyProtection="false">
      <alignment horizontal="general" vertical="bottom" textRotation="0" wrapText="false" indent="0" shrinkToFit="false"/>
      <protection locked="true" hidden="false"/>
    </xf>
    <xf numFmtId="168" fontId="4" fillId="0" borderId="1" xfId="20" applyFont="true" applyBorder="true" applyAlignment="false" applyProtection="false">
      <alignment horizontal="general" vertical="bottom" textRotation="0" wrapText="false" indent="0" shrinkToFit="false"/>
      <protection locked="true" hidden="false"/>
    </xf>
    <xf numFmtId="169" fontId="4" fillId="0" borderId="1" xfId="20" applyFont="true" applyBorder="true" applyAlignment="false" applyProtection="false">
      <alignment horizontal="general" vertical="bottom" textRotation="0" wrapText="false" indent="0" shrinkToFit="false"/>
      <protection locked="true" hidden="false"/>
    </xf>
    <xf numFmtId="167" fontId="4" fillId="0" borderId="1" xfId="20" applyFont="true" applyBorder="true" applyAlignment="false" applyProtection="false">
      <alignment horizontal="general" vertical="bottom" textRotation="0" wrapText="false" indent="0" shrinkToFit="false"/>
      <protection locked="true" hidden="false"/>
    </xf>
    <xf numFmtId="170" fontId="6" fillId="0" borderId="1" xfId="20" applyFont="true" applyBorder="true" applyAlignment="false" applyProtection="false">
      <alignment horizontal="general" vertical="bottom" textRotation="0" wrapText="false" indent="0" shrinkToFit="false"/>
      <protection locked="true" hidden="false"/>
    </xf>
    <xf numFmtId="164" fontId="4" fillId="0" borderId="1" xfId="20" applyFont="true" applyBorder="true" applyAlignment="false" applyProtection="false">
      <alignment horizontal="general" vertical="bottom" textRotation="0" wrapText="false" indent="0" shrinkToFit="false"/>
      <protection locked="true" hidden="false"/>
    </xf>
    <xf numFmtId="164" fontId="4" fillId="0" borderId="1" xfId="20" applyFont="true" applyBorder="true" applyAlignment="true" applyProtection="false">
      <alignment horizontal="general" vertical="bottom" textRotation="0" wrapText="false" indent="0" shrinkToFit="false"/>
      <protection locked="true" hidden="false"/>
    </xf>
    <xf numFmtId="166" fontId="4" fillId="0" borderId="1" xfId="20" applyFont="true" applyBorder="true" applyAlignment="false" applyProtection="false">
      <alignment horizontal="general" vertical="bottom" textRotation="0" wrapText="false" indent="0" shrinkToFit="false"/>
      <protection locked="true" hidden="false"/>
    </xf>
    <xf numFmtId="169" fontId="4" fillId="0" borderId="1" xfId="20" applyFont="true" applyBorder="true" applyAlignment="true" applyProtection="false">
      <alignment horizontal="center" vertical="bottom" textRotation="0" wrapText="false" indent="0" shrinkToFit="false"/>
      <protection locked="true" hidden="false"/>
    </xf>
    <xf numFmtId="169" fontId="7" fillId="0" borderId="4" xfId="0" applyFont="true" applyBorder="true" applyAlignment="true" applyProtection="false">
      <alignment horizontal="right" vertical="bottom" textRotation="0" wrapText="false" indent="0" shrinkToFit="false"/>
      <protection locked="true" hidden="false"/>
    </xf>
    <xf numFmtId="169" fontId="4" fillId="0" borderId="2" xfId="0" applyFont="true" applyBorder="true" applyAlignment="true" applyProtection="false">
      <alignment horizontal="center" vertical="bottom"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69" fontId="6" fillId="0" borderId="7" xfId="0" applyFont="true" applyBorder="true" applyAlignment="true" applyProtection="false">
      <alignment horizontal="center" vertical="bottom" textRotation="0" wrapText="false" indent="0" shrinkToFit="false"/>
      <protection locked="true" hidden="false"/>
    </xf>
    <xf numFmtId="164" fontId="6" fillId="0" borderId="9" xfId="0" applyFont="true" applyBorder="true" applyAlignment="true" applyProtection="false">
      <alignment horizontal="center" vertical="bottom" textRotation="0" wrapText="false" indent="0" shrinkToFit="false"/>
      <protection locked="true" hidden="false"/>
    </xf>
    <xf numFmtId="170" fontId="4" fillId="0" borderId="6" xfId="20" applyFont="true" applyBorder="true" applyAlignment="true" applyProtection="false">
      <alignment horizontal="right" vertical="bottom" textRotation="0" wrapText="false" indent="0" shrinkToFit="false"/>
      <protection locked="true" hidden="false"/>
    </xf>
    <xf numFmtId="165" fontId="4" fillId="0" borderId="7" xfId="20" applyFont="true" applyBorder="true" applyAlignment="true" applyProtection="false">
      <alignment horizontal="right" vertical="bottom" textRotation="0" wrapText="false" indent="0" shrinkToFit="false"/>
      <protection locked="true" hidden="false"/>
    </xf>
    <xf numFmtId="165" fontId="4" fillId="0" borderId="10" xfId="20" applyFont="true" applyBorder="true" applyAlignment="true" applyProtection="false">
      <alignment horizontal="right" vertical="bottom" textRotation="0" wrapText="false" indent="0" shrinkToFit="false"/>
      <protection locked="true" hidden="false"/>
    </xf>
    <xf numFmtId="168" fontId="4" fillId="0" borderId="0" xfId="20" applyFont="true" applyBorder="true" applyAlignment="true" applyProtection="false">
      <alignment horizontal="right" vertical="bottom" textRotation="0" wrapText="false" indent="0" shrinkToFit="false"/>
      <protection locked="true" hidden="false"/>
    </xf>
    <xf numFmtId="168" fontId="4" fillId="0" borderId="11" xfId="20" applyFont="true" applyBorder="true" applyAlignment="true" applyProtection="false">
      <alignment horizontal="right" vertical="bottom" textRotation="0" wrapText="false" indent="0" shrinkToFit="false"/>
      <protection locked="true" hidden="false"/>
    </xf>
    <xf numFmtId="165" fontId="4" fillId="0" borderId="11" xfId="20" applyFont="true" applyBorder="true" applyAlignment="true" applyProtection="false">
      <alignment horizontal="right" vertical="bottom" textRotation="0" wrapText="false" indent="0" shrinkToFit="false"/>
      <protection locked="true" hidden="false"/>
    </xf>
    <xf numFmtId="165" fontId="6" fillId="0" borderId="0" xfId="20" applyFont="true" applyBorder="true" applyAlignment="true" applyProtection="false">
      <alignment horizontal="right" vertical="bottom" textRotation="0" wrapText="false" indent="0" shrinkToFit="false"/>
      <protection locked="true" hidden="false"/>
    </xf>
    <xf numFmtId="169" fontId="4" fillId="0" borderId="6" xfId="20" applyFont="true" applyBorder="true" applyAlignment="true" applyProtection="false">
      <alignment horizontal="right" vertical="bottom" textRotation="0" wrapText="false" indent="0" shrinkToFit="false"/>
      <protection locked="true" hidden="false"/>
    </xf>
    <xf numFmtId="164" fontId="4" fillId="0" borderId="0" xfId="20" applyFont="true" applyBorder="true" applyAlignment="true" applyProtection="false">
      <alignment horizontal="right" vertical="bottom" textRotation="0" wrapText="false" indent="0" shrinkToFit="false"/>
      <protection locked="true" hidden="false"/>
    </xf>
    <xf numFmtId="166" fontId="4" fillId="0" borderId="6" xfId="20" applyFont="true" applyBorder="true" applyAlignment="true" applyProtection="false">
      <alignment horizontal="right" vertical="bottom" textRotation="0" wrapText="false" indent="0" shrinkToFit="false"/>
      <protection locked="true" hidden="false"/>
    </xf>
    <xf numFmtId="169" fontId="4" fillId="0" borderId="7" xfId="20" applyFont="true" applyBorder="true" applyAlignment="true" applyProtection="false">
      <alignment horizontal="right" vertical="bottom" textRotation="0" wrapText="false" indent="0" shrinkToFit="false"/>
      <protection locked="true" hidden="false"/>
    </xf>
    <xf numFmtId="164" fontId="6" fillId="0" borderId="9" xfId="0" applyFont="true" applyBorder="true" applyAlignment="false" applyProtection="false">
      <alignment horizontal="general" vertical="bottom" textRotation="0" wrapText="false" indent="0" shrinkToFit="false"/>
      <protection locked="true" hidden="false"/>
    </xf>
    <xf numFmtId="165" fontId="6" fillId="0" borderId="0" xfId="20" applyFont="true" applyBorder="true" applyAlignment="false" applyProtection="false">
      <alignment horizontal="general" vertical="bottom" textRotation="0" wrapText="false" indent="0" shrinkToFit="false"/>
      <protection locked="true" hidden="false"/>
    </xf>
    <xf numFmtId="165" fontId="4" fillId="0" borderId="20" xfId="20" applyFont="true" applyBorder="true" applyAlignment="true" applyProtection="false">
      <alignment horizontal="right" vertical="bottom" textRotation="0" wrapText="false" indent="0" shrinkToFit="false"/>
      <protection locked="true" hidden="false"/>
    </xf>
    <xf numFmtId="168" fontId="4" fillId="0" borderId="23" xfId="20" applyFont="true" applyBorder="true" applyAlignment="true" applyProtection="false">
      <alignment horizontal="right" vertical="bottom" textRotation="0" wrapText="false" indent="0" shrinkToFit="false"/>
      <protection locked="true" hidden="false"/>
    </xf>
    <xf numFmtId="165" fontId="4" fillId="0" borderId="0" xfId="20" applyFont="true" applyBorder="true" applyAlignment="true" applyProtection="false">
      <alignment horizontal="general" vertical="bottom" textRotation="0" wrapText="false" indent="0" shrinkToFit="false"/>
      <protection locked="true" hidden="false"/>
    </xf>
    <xf numFmtId="167" fontId="4" fillId="0" borderId="21" xfId="20" applyFont="true" applyBorder="true" applyAlignment="true" applyProtection="false">
      <alignment horizontal="right" vertical="bottom" textRotation="0" wrapText="false" indent="0" shrinkToFit="false"/>
      <protection locked="true" hidden="false"/>
    </xf>
    <xf numFmtId="165" fontId="0" fillId="0" borderId="0" xfId="20" applyFont="false" applyBorder="true" applyAlignment="false" applyProtection="false">
      <alignment horizontal="general" vertical="bottom" textRotation="0" wrapText="false" indent="0" shrinkToFit="false"/>
      <protection locked="true" hidden="false"/>
    </xf>
    <xf numFmtId="170" fontId="4" fillId="2" borderId="12" xfId="20" applyFont="true" applyBorder="true" applyAlignment="false" applyProtection="false">
      <alignment horizontal="general" vertical="bottom" textRotation="0" wrapText="false" indent="0" shrinkToFit="false"/>
      <protection locked="true" hidden="false"/>
    </xf>
    <xf numFmtId="174" fontId="4" fillId="2" borderId="13" xfId="20" applyFont="true" applyBorder="true" applyAlignment="true" applyProtection="false">
      <alignment horizontal="right" vertical="bottom" textRotation="0" wrapText="false" indent="0" shrinkToFit="false"/>
      <protection locked="true" hidden="false"/>
    </xf>
    <xf numFmtId="165" fontId="4" fillId="2" borderId="12" xfId="20" applyFont="true" applyBorder="true" applyAlignment="true" applyProtection="false">
      <alignment horizontal="right" vertical="bottom" textRotation="0" wrapText="false" indent="0" shrinkToFit="false"/>
      <protection locked="true" hidden="false"/>
    </xf>
    <xf numFmtId="170" fontId="4" fillId="2" borderId="12" xfId="20" applyFont="true" applyBorder="true" applyAlignment="true" applyProtection="false">
      <alignment horizontal="right" vertical="bottom" textRotation="0" wrapText="false" indent="0" shrinkToFit="false"/>
      <protection locked="true" hidden="false"/>
    </xf>
    <xf numFmtId="170" fontId="4" fillId="2" borderId="14" xfId="20" applyFont="true" applyBorder="true" applyAlignment="true" applyProtection="false">
      <alignment horizontal="right" vertical="bottom" textRotation="0" wrapText="false" indent="0" shrinkToFit="false"/>
      <protection locked="true" hidden="false"/>
    </xf>
    <xf numFmtId="171" fontId="4" fillId="2" borderId="12" xfId="20" applyFont="true" applyBorder="true" applyAlignment="true" applyProtection="false">
      <alignment horizontal="right" vertical="bottom" textRotation="0" wrapText="false" indent="0" shrinkToFit="false"/>
      <protection locked="true" hidden="false"/>
    </xf>
    <xf numFmtId="170" fontId="4" fillId="2" borderId="15" xfId="20" applyFont="true" applyBorder="true" applyAlignment="true" applyProtection="false">
      <alignment horizontal="right" vertical="bottom" textRotation="0" wrapText="false" indent="0" shrinkToFit="false"/>
      <protection locked="true" hidden="false"/>
    </xf>
    <xf numFmtId="168" fontId="4" fillId="2" borderId="12" xfId="20" applyFont="true" applyBorder="true" applyAlignment="true" applyProtection="false">
      <alignment horizontal="right" vertical="bottom" textRotation="0" wrapText="false" indent="0" shrinkToFit="false"/>
      <protection locked="true" hidden="false"/>
    </xf>
    <xf numFmtId="168" fontId="4" fillId="2" borderId="16" xfId="20" applyFont="true" applyBorder="true" applyAlignment="true" applyProtection="false">
      <alignment horizontal="right" vertical="bottom" textRotation="0" wrapText="false" indent="0" shrinkToFit="false"/>
      <protection locked="true" hidden="false"/>
    </xf>
    <xf numFmtId="169" fontId="4" fillId="2" borderId="12" xfId="20" applyFont="true" applyBorder="true" applyAlignment="true" applyProtection="false">
      <alignment horizontal="right" vertical="bottom" textRotation="0" wrapText="false" indent="0" shrinkToFit="false"/>
      <protection locked="true" hidden="false"/>
    </xf>
    <xf numFmtId="167" fontId="4" fillId="2" borderId="12" xfId="20" applyFont="true" applyBorder="true" applyAlignment="true" applyProtection="false">
      <alignment horizontal="right" vertical="bottom" textRotation="0" wrapText="false" indent="0" shrinkToFit="false"/>
      <protection locked="true" hidden="false"/>
    </xf>
    <xf numFmtId="170" fontId="4" fillId="2" borderId="16" xfId="20" applyFont="true" applyBorder="true" applyAlignment="true" applyProtection="false">
      <alignment horizontal="right" vertical="bottom" textRotation="0" wrapText="false" indent="0" shrinkToFit="false"/>
      <protection locked="true" hidden="false"/>
    </xf>
    <xf numFmtId="169" fontId="4" fillId="2" borderId="13" xfId="20" applyFont="true" applyBorder="true" applyAlignment="true" applyProtection="false">
      <alignment horizontal="right" vertical="bottom" textRotation="0" wrapText="false" indent="0" shrinkToFit="false"/>
      <protection locked="true" hidden="false"/>
    </xf>
    <xf numFmtId="169" fontId="4" fillId="2" borderId="12" xfId="20" applyFont="true" applyBorder="true" applyAlignment="true" applyProtection="false">
      <alignment horizontal="general" vertical="bottom" textRotation="0" wrapText="false" indent="0" shrinkToFit="false"/>
      <protection locked="true" hidden="false"/>
    </xf>
    <xf numFmtId="166" fontId="4" fillId="2" borderId="13" xfId="20" applyFont="true" applyBorder="true" applyAlignment="true" applyProtection="false">
      <alignment horizontal="right" vertical="bottom" textRotation="0" wrapText="false" indent="0" shrinkToFit="false"/>
      <protection locked="true" hidden="false"/>
    </xf>
    <xf numFmtId="170" fontId="4" fillId="0" borderId="7" xfId="20" applyFont="true" applyBorder="true" applyAlignment="true" applyProtection="false">
      <alignment horizontal="right" vertical="bottom" textRotation="0" wrapText="false" indent="0" shrinkToFit="false"/>
      <protection locked="true" hidden="false"/>
    </xf>
    <xf numFmtId="171" fontId="4" fillId="0" borderId="0" xfId="20" applyFont="true" applyBorder="true" applyAlignment="true" applyProtection="false">
      <alignment horizontal="right" vertical="bottom" textRotation="0" wrapText="false" indent="0" shrinkToFit="false"/>
      <protection locked="true" hidden="false"/>
    </xf>
    <xf numFmtId="170" fontId="4" fillId="0" borderId="10" xfId="20" applyFont="true" applyBorder="true" applyAlignment="true" applyProtection="false">
      <alignment horizontal="right" vertical="bottom" textRotation="0" wrapText="false" indent="0" shrinkToFit="false"/>
      <protection locked="true" hidden="false"/>
    </xf>
    <xf numFmtId="170" fontId="4" fillId="0" borderId="11" xfId="20" applyFont="true" applyBorder="true" applyAlignment="true" applyProtection="false">
      <alignment horizontal="right" vertical="bottom" textRotation="0" wrapText="false" indent="0" shrinkToFit="false"/>
      <protection locked="true" hidden="false"/>
    </xf>
    <xf numFmtId="170" fontId="4" fillId="0" borderId="9" xfId="0" applyFont="true" applyBorder="true" applyAlignment="false" applyProtection="false">
      <alignment horizontal="general" vertical="bottom" textRotation="0" wrapText="false" indent="0" shrinkToFit="false"/>
      <protection locked="true" hidden="false"/>
    </xf>
    <xf numFmtId="164" fontId="4" fillId="0" borderId="7" xfId="20" applyFont="true" applyBorder="true" applyAlignment="true" applyProtection="false">
      <alignment horizontal="right" vertical="bottom" textRotation="0" wrapText="false" indent="0" shrinkToFit="false"/>
      <protection locked="true" hidden="false"/>
    </xf>
    <xf numFmtId="170" fontId="4" fillId="2" borderId="13" xfId="20" applyFont="true" applyBorder="true" applyAlignment="true" applyProtection="false">
      <alignment horizontal="right" vertical="bottom" textRotation="0" wrapText="false" indent="0" shrinkToFit="false"/>
      <protection locked="true" hidden="false"/>
    </xf>
    <xf numFmtId="170" fontId="4" fillId="0" borderId="12" xfId="20" applyFont="true" applyBorder="true" applyAlignment="true" applyProtection="false">
      <alignment horizontal="right" vertical="bottom" textRotation="0" wrapText="false" indent="0" shrinkToFit="false"/>
      <protection locked="true" hidden="false"/>
    </xf>
    <xf numFmtId="169" fontId="4" fillId="2" borderId="14" xfId="20" applyFont="true" applyBorder="true" applyAlignment="true" applyProtection="false">
      <alignment horizontal="right" vertical="bottom" textRotation="0" wrapText="false" indent="0" shrinkToFit="false"/>
      <protection locked="true" hidden="false"/>
    </xf>
    <xf numFmtId="169" fontId="4" fillId="2" borderId="22" xfId="20" applyFont="true" applyBorder="true" applyAlignment="true" applyProtection="false">
      <alignment horizontal="right" vertical="bottom" textRotation="0" wrapText="false" indent="0" shrinkToFit="false"/>
      <protection locked="true" hidden="false"/>
    </xf>
    <xf numFmtId="167" fontId="4" fillId="0" borderId="9" xfId="20" applyFont="true" applyBorder="true" applyAlignment="true" applyProtection="false">
      <alignment horizontal="right" vertical="bottom" textRotation="0" wrapText="false" indent="0" shrinkToFit="false"/>
      <protection locked="true" hidden="false"/>
    </xf>
    <xf numFmtId="165" fontId="4" fillId="2" borderId="14" xfId="20" applyFont="true" applyBorder="true" applyAlignment="true" applyProtection="false">
      <alignment horizontal="right" vertical="bottom" textRotation="0" wrapText="false" indent="0" shrinkToFit="false"/>
      <protection locked="true" hidden="false"/>
    </xf>
    <xf numFmtId="165" fontId="4" fillId="2" borderId="15" xfId="20" applyFont="true" applyBorder="true" applyAlignment="true" applyProtection="false">
      <alignment horizontal="right" vertical="bottom" textRotation="0" wrapText="false" indent="0" shrinkToFit="false"/>
      <protection locked="true" hidden="false"/>
    </xf>
    <xf numFmtId="165" fontId="4" fillId="2" borderId="16" xfId="20" applyFont="true" applyBorder="true" applyAlignment="true" applyProtection="false">
      <alignment horizontal="right" vertical="bottom" textRotation="0" wrapText="false" indent="0" shrinkToFit="false"/>
      <protection locked="true" hidden="false"/>
    </xf>
    <xf numFmtId="165" fontId="4" fillId="2" borderId="13" xfId="20" applyFont="true" applyBorder="true" applyAlignment="true" applyProtection="false">
      <alignment horizontal="right" vertical="bottom" textRotation="0" wrapText="false" indent="0" shrinkToFit="false"/>
      <protection locked="true" hidden="false"/>
    </xf>
    <xf numFmtId="165" fontId="4" fillId="2" borderId="12" xfId="20" applyFont="true" applyBorder="true" applyAlignment="true" applyProtection="false">
      <alignment horizontal="general" vertical="bottom" textRotation="0" wrapText="false" indent="0" shrinkToFit="false"/>
      <protection locked="true" hidden="false"/>
    </xf>
    <xf numFmtId="167" fontId="4" fillId="2" borderId="22" xfId="20" applyFont="true" applyBorder="true" applyAlignment="true" applyProtection="false">
      <alignment horizontal="right" vertical="bottom" textRotation="0" wrapText="false" indent="0" shrinkToFit="false"/>
      <protection locked="true" hidden="false"/>
    </xf>
    <xf numFmtId="166" fontId="4" fillId="2" borderId="12" xfId="20" applyFont="true" applyBorder="true" applyAlignment="true" applyProtection="false">
      <alignment horizontal="right" vertical="bottom" textRotation="0" wrapText="false" indent="0" shrinkToFit="false"/>
      <protection locked="true" hidden="false"/>
    </xf>
    <xf numFmtId="166" fontId="4" fillId="2" borderId="12" xfId="20" applyFont="true" applyBorder="true" applyAlignment="true" applyProtection="false">
      <alignment horizontal="general" vertical="bottom" textRotation="0" wrapText="false" indent="0" shrinkToFit="false"/>
      <protection locked="true" hidden="false"/>
    </xf>
    <xf numFmtId="166" fontId="4" fillId="2" borderId="14" xfId="20" applyFont="true" applyBorder="true" applyAlignment="true" applyProtection="false">
      <alignment horizontal="right" vertical="bottom" textRotation="0" wrapText="false" indent="0" shrinkToFit="false"/>
      <protection locked="true" hidden="false"/>
    </xf>
    <xf numFmtId="165" fontId="4" fillId="0" borderId="24" xfId="20" applyFont="true" applyBorder="true" applyAlignment="true" applyProtection="false">
      <alignment horizontal="right" vertical="bottom" textRotation="0" wrapText="false" indent="0" shrinkToFit="false"/>
      <protection locked="true" hidden="false"/>
    </xf>
    <xf numFmtId="165" fontId="4" fillId="0" borderId="23" xfId="20" applyFont="true" applyBorder="true" applyAlignment="true" applyProtection="false">
      <alignment horizontal="right" vertical="bottom" textRotation="0" wrapText="false" indent="0" shrinkToFit="false"/>
      <protection locked="true" hidden="false"/>
    </xf>
    <xf numFmtId="170" fontId="4" fillId="2" borderId="12" xfId="20" applyFont="true" applyBorder="true" applyAlignment="true" applyProtection="false">
      <alignment horizontal="general" vertical="bottom" textRotation="0" wrapText="false" indent="0" shrinkToFit="false"/>
      <protection locked="true" hidden="false"/>
    </xf>
    <xf numFmtId="170" fontId="6" fillId="2" borderId="12" xfId="20" applyFont="true" applyBorder="true" applyAlignment="true" applyProtection="false">
      <alignment horizontal="right" vertical="bottom" textRotation="0" wrapText="false" indent="0" shrinkToFit="false"/>
      <protection locked="true" hidden="false"/>
    </xf>
    <xf numFmtId="175" fontId="4" fillId="0" borderId="0" xfId="20" applyFont="true" applyBorder="true" applyAlignment="false" applyProtection="false">
      <alignment horizontal="general" vertical="bottom" textRotation="0" wrapText="false" indent="0" shrinkToFit="false"/>
      <protection locked="true" hidden="false"/>
    </xf>
    <xf numFmtId="167" fontId="4" fillId="0" borderId="0" xfId="20" applyFont="true" applyBorder="true" applyAlignment="true" applyProtection="false">
      <alignment horizontal="center" vertical="bottom" textRotation="0" wrapText="false" indent="0" shrinkToFit="false"/>
      <protection locked="true" hidden="false"/>
    </xf>
    <xf numFmtId="174" fontId="4" fillId="0" borderId="0" xfId="20" applyFont="true" applyBorder="true" applyAlignment="false" applyProtection="false">
      <alignment horizontal="general" vertical="bottom" textRotation="0" wrapText="false" indent="0" shrinkToFit="false"/>
      <protection locked="true" hidden="false"/>
    </xf>
    <xf numFmtId="176" fontId="4" fillId="0" borderId="0" xfId="20" applyFont="true" applyBorder="true" applyAlignment="false" applyProtection="false">
      <alignment horizontal="general" vertical="bottom" textRotation="0" wrapText="false" indent="0" shrinkToFit="false"/>
      <protection locked="true" hidden="false"/>
    </xf>
    <xf numFmtId="177" fontId="4" fillId="0"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false">
      <alignment horizontal="center" vertical="bottom" textRotation="0" wrapText="false" indent="0" shrinkToFit="false"/>
      <protection locked="true" hidden="false"/>
    </xf>
    <xf numFmtId="170" fontId="6" fillId="0" borderId="0" xfId="20" applyFont="true" applyBorder="true" applyAlignment="true" applyProtection="false">
      <alignment horizontal="center" vertical="bottom" textRotation="0" wrapText="false" indent="0" shrinkToFit="false"/>
      <protection locked="true" hidden="false"/>
    </xf>
    <xf numFmtId="177" fontId="4" fillId="0" borderId="1" xfId="20" applyFont="true" applyBorder="true" applyAlignment="false" applyProtection="false">
      <alignment horizontal="general" vertical="bottom" textRotation="0" wrapText="false" indent="0" shrinkToFit="false"/>
      <protection locked="true" hidden="false"/>
    </xf>
    <xf numFmtId="170" fontId="6" fillId="0" borderId="1" xfId="20" applyFont="true" applyBorder="true" applyAlignment="true" applyProtection="false">
      <alignment horizontal="center" vertical="bottom" textRotation="0" wrapText="false" indent="0" shrinkToFit="false"/>
      <protection locked="true" hidden="false"/>
    </xf>
    <xf numFmtId="164" fontId="4" fillId="0" borderId="1" xfId="20" applyFont="true" applyBorder="true" applyAlignment="true" applyProtection="false">
      <alignment horizontal="center" vertical="bottom" textRotation="0" wrapText="false" indent="0" shrinkToFit="false"/>
      <protection locked="true" hidden="false"/>
    </xf>
    <xf numFmtId="170" fontId="4" fillId="0" borderId="6" xfId="20" applyFont="true" applyBorder="true" applyAlignment="false" applyProtection="false">
      <alignment horizontal="general" vertical="bottom" textRotation="0" wrapText="false" indent="0" shrinkToFit="false"/>
      <protection locked="true" hidden="false"/>
    </xf>
    <xf numFmtId="165" fontId="4" fillId="0" borderId="7" xfId="20" applyFont="true" applyBorder="true" applyAlignment="false" applyProtection="false">
      <alignment horizontal="general" vertical="bottom" textRotation="0" wrapText="false" indent="0" shrinkToFit="false"/>
      <protection locked="true" hidden="false"/>
    </xf>
    <xf numFmtId="177" fontId="4" fillId="0" borderId="10" xfId="20" applyFont="true" applyBorder="true" applyAlignment="false" applyProtection="false">
      <alignment horizontal="general" vertical="bottom" textRotation="0" wrapText="false" indent="0" shrinkToFit="false"/>
      <protection locked="true" hidden="false"/>
    </xf>
    <xf numFmtId="168" fontId="4" fillId="0" borderId="11" xfId="20" applyFont="true" applyBorder="true" applyAlignment="false" applyProtection="false">
      <alignment horizontal="general" vertical="bottom" textRotation="0" wrapText="false" indent="0" shrinkToFit="false"/>
      <protection locked="true" hidden="false"/>
    </xf>
    <xf numFmtId="169" fontId="4" fillId="0" borderId="6" xfId="20" applyFont="true" applyBorder="true" applyAlignment="true" applyProtection="false">
      <alignment horizontal="center" vertical="bottom" textRotation="0" wrapText="false" indent="0" shrinkToFit="false"/>
      <protection locked="true" hidden="false"/>
    </xf>
    <xf numFmtId="166" fontId="4" fillId="0" borderId="6" xfId="20" applyFont="true" applyBorder="true" applyAlignment="false" applyProtection="false">
      <alignment horizontal="general" vertical="bottom" textRotation="0" wrapText="false" indent="0" shrinkToFit="false"/>
      <protection locked="true" hidden="false"/>
    </xf>
    <xf numFmtId="174" fontId="4" fillId="0" borderId="6" xfId="20" applyFont="true" applyBorder="true" applyAlignment="false" applyProtection="false">
      <alignment horizontal="general" vertical="bottom" textRotation="0" wrapText="false" indent="0" shrinkToFit="false"/>
      <protection locked="true" hidden="false"/>
    </xf>
    <xf numFmtId="178" fontId="4" fillId="0" borderId="0" xfId="20" applyFont="true" applyBorder="true" applyAlignment="false" applyProtection="false">
      <alignment horizontal="general" vertical="bottom" textRotation="0" wrapText="false" indent="0" shrinkToFit="false"/>
      <protection locked="true" hidden="false"/>
    </xf>
    <xf numFmtId="178" fontId="4" fillId="0" borderId="10" xfId="20" applyFont="true" applyBorder="true" applyAlignment="false" applyProtection="false">
      <alignment horizontal="general" vertical="bottom" textRotation="0" wrapText="false" indent="0" shrinkToFit="false"/>
      <protection locked="true" hidden="false"/>
    </xf>
    <xf numFmtId="165" fontId="4" fillId="0" borderId="20" xfId="20" applyFont="true" applyBorder="true" applyAlignment="false" applyProtection="false">
      <alignment horizontal="general" vertical="bottom" textRotation="0" wrapText="false" indent="0" shrinkToFit="false"/>
      <protection locked="true" hidden="false"/>
    </xf>
    <xf numFmtId="168" fontId="4" fillId="0" borderId="23" xfId="20" applyFont="true" applyBorder="true" applyAlignment="false" applyProtection="false">
      <alignment horizontal="general" vertical="bottom" textRotation="0" wrapText="false" indent="0" shrinkToFit="false"/>
      <protection locked="true" hidden="false"/>
    </xf>
    <xf numFmtId="170" fontId="4" fillId="0" borderId="0" xfId="20" applyFont="true" applyBorder="true" applyAlignment="true" applyProtection="false">
      <alignment horizontal="center" vertical="bottom" textRotation="0" wrapText="false" indent="0" shrinkToFit="false"/>
      <protection locked="true" hidden="false"/>
    </xf>
    <xf numFmtId="174" fontId="4" fillId="2" borderId="13" xfId="20" applyFont="true" applyBorder="true" applyAlignment="false" applyProtection="false">
      <alignment horizontal="general" vertical="bottom" textRotation="0" wrapText="false" indent="0" shrinkToFit="false"/>
      <protection locked="true" hidden="false"/>
    </xf>
    <xf numFmtId="165" fontId="4" fillId="2" borderId="12" xfId="20" applyFont="true" applyBorder="true" applyAlignment="false" applyProtection="false">
      <alignment horizontal="general" vertical="bottom" textRotation="0" wrapText="false" indent="0" shrinkToFit="false"/>
      <protection locked="true" hidden="false"/>
    </xf>
    <xf numFmtId="170" fontId="4" fillId="2" borderId="14" xfId="20" applyFont="true" applyBorder="true" applyAlignment="false" applyProtection="false">
      <alignment horizontal="general" vertical="bottom" textRotation="0" wrapText="false" indent="0" shrinkToFit="false"/>
      <protection locked="true" hidden="false"/>
    </xf>
    <xf numFmtId="166" fontId="4" fillId="2" borderId="12" xfId="20" applyFont="true" applyBorder="true" applyAlignment="false" applyProtection="false">
      <alignment horizontal="general" vertical="bottom" textRotation="0" wrapText="false" indent="0" shrinkToFit="false"/>
      <protection locked="true" hidden="false"/>
    </xf>
    <xf numFmtId="177" fontId="4" fillId="2" borderId="15" xfId="20" applyFont="true" applyBorder="true" applyAlignment="false" applyProtection="false">
      <alignment horizontal="general" vertical="bottom" textRotation="0" wrapText="false" indent="0" shrinkToFit="false"/>
      <protection locked="true" hidden="false"/>
    </xf>
    <xf numFmtId="168" fontId="4" fillId="2" borderId="12" xfId="20" applyFont="true" applyBorder="true" applyAlignment="false" applyProtection="false">
      <alignment horizontal="general" vertical="bottom" textRotation="0" wrapText="false" indent="0" shrinkToFit="false"/>
      <protection locked="true" hidden="false"/>
    </xf>
    <xf numFmtId="168" fontId="4" fillId="2" borderId="16" xfId="20" applyFont="true" applyBorder="true" applyAlignment="false" applyProtection="false">
      <alignment horizontal="general" vertical="bottom" textRotation="0" wrapText="false" indent="0" shrinkToFit="false"/>
      <protection locked="true" hidden="false"/>
    </xf>
    <xf numFmtId="169" fontId="4" fillId="2" borderId="12" xfId="20" applyFont="true" applyBorder="true" applyAlignment="false" applyProtection="false">
      <alignment horizontal="general" vertical="bottom" textRotation="0" wrapText="false" indent="0" shrinkToFit="false"/>
      <protection locked="true" hidden="false"/>
    </xf>
    <xf numFmtId="169" fontId="4" fillId="2" borderId="13" xfId="20" applyFont="true" applyBorder="true" applyAlignment="true" applyProtection="false">
      <alignment horizontal="center" vertical="bottom" textRotation="0" wrapText="false" indent="0" shrinkToFit="false"/>
      <protection locked="true" hidden="false"/>
    </xf>
    <xf numFmtId="169" fontId="4" fillId="2" borderId="12" xfId="20" applyFont="true" applyBorder="true" applyAlignment="true" applyProtection="false">
      <alignment horizontal="center" vertical="bottom" textRotation="0" wrapText="false" indent="0" shrinkToFit="false"/>
      <protection locked="true" hidden="false"/>
    </xf>
    <xf numFmtId="166" fontId="4" fillId="2" borderId="13" xfId="20" applyFont="true" applyBorder="true" applyAlignment="false" applyProtection="false">
      <alignment horizontal="general" vertical="bottom" textRotation="0" wrapText="false" indent="0" shrinkToFit="false"/>
      <protection locked="true" hidden="false"/>
    </xf>
    <xf numFmtId="170" fontId="4" fillId="0" borderId="7" xfId="20" applyFont="true" applyBorder="true" applyAlignment="false" applyProtection="false">
      <alignment horizontal="general" vertical="bottom" textRotation="0" wrapText="false" indent="0" shrinkToFit="false"/>
      <protection locked="true" hidden="false"/>
    </xf>
    <xf numFmtId="174" fontId="4" fillId="0" borderId="0" xfId="0" applyFont="true" applyBorder="true" applyAlignment="false" applyProtection="false">
      <alignment horizontal="general" vertical="bottom" textRotation="0" wrapText="false" indent="0" shrinkToFit="false"/>
      <protection locked="true" hidden="false"/>
    </xf>
    <xf numFmtId="170" fontId="4" fillId="2" borderId="13" xfId="20" applyFont="true" applyBorder="true" applyAlignment="false" applyProtection="false">
      <alignment horizontal="general" vertical="bottom" textRotation="0" wrapText="false" indent="0" shrinkToFit="false"/>
      <protection locked="true" hidden="false"/>
    </xf>
    <xf numFmtId="165" fontId="4" fillId="2" borderId="14" xfId="20" applyFont="true" applyBorder="true" applyAlignment="false" applyProtection="false">
      <alignment horizontal="general" vertical="bottom" textRotation="0" wrapText="false" indent="0" shrinkToFit="false"/>
      <protection locked="true" hidden="false"/>
    </xf>
    <xf numFmtId="178" fontId="4" fillId="2" borderId="12" xfId="20" applyFont="true" applyBorder="true" applyAlignment="false" applyProtection="false">
      <alignment horizontal="general" vertical="bottom" textRotation="0" wrapText="false" indent="0" shrinkToFit="false"/>
      <protection locked="true" hidden="false"/>
    </xf>
    <xf numFmtId="178" fontId="4" fillId="2" borderId="15" xfId="20" applyFont="true" applyBorder="true" applyAlignment="false" applyProtection="false">
      <alignment horizontal="general" vertical="bottom" textRotation="0" wrapText="false" indent="0" shrinkToFit="false"/>
      <protection locked="true" hidden="false"/>
    </xf>
    <xf numFmtId="165" fontId="4" fillId="2" borderId="13" xfId="20" applyFont="true" applyBorder="true" applyAlignment="false" applyProtection="false">
      <alignment horizontal="general" vertical="bottom" textRotation="0" wrapText="false" indent="0" shrinkToFit="false"/>
      <protection locked="true" hidden="false"/>
    </xf>
    <xf numFmtId="165" fontId="4" fillId="2" borderId="12" xfId="20" applyFont="true" applyBorder="true" applyAlignment="true" applyProtection="false">
      <alignment horizontal="center" vertical="bottom" textRotation="0" wrapText="false" indent="0" shrinkToFit="false"/>
      <protection locked="true" hidden="false"/>
    </xf>
    <xf numFmtId="166" fontId="4" fillId="2" borderId="12" xfId="20" applyFont="true" applyBorder="true" applyAlignment="true" applyProtection="false">
      <alignment horizontal="center" vertical="bottom" textRotation="0" wrapText="false" indent="0" shrinkToFit="false"/>
      <protection locked="true" hidden="false"/>
    </xf>
    <xf numFmtId="170" fontId="4" fillId="2" borderId="12" xfId="20" applyFont="true" applyBorder="true" applyAlignment="true" applyProtection="false">
      <alignment horizontal="center" vertical="bottom" textRotation="0" wrapText="false" indent="0" shrinkToFit="false"/>
      <protection locked="true" hidden="false"/>
    </xf>
    <xf numFmtId="167" fontId="0" fillId="0" borderId="0" xfId="20" applyFont="false" applyBorder="true" applyAlignment="false" applyProtection="false">
      <alignment horizontal="general" vertical="bottom" textRotation="0" wrapText="false" indent="0" shrinkToFit="false"/>
      <protection locked="true" hidden="false"/>
    </xf>
    <xf numFmtId="169" fontId="6" fillId="0" borderId="0" xfId="20" applyFont="true" applyBorder="true" applyAlignment="false" applyProtection="false">
      <alignment horizontal="general" vertical="bottom" textRotation="0" wrapText="false" indent="0" shrinkToFit="false"/>
      <protection locked="true" hidden="false"/>
    </xf>
    <xf numFmtId="169" fontId="6" fillId="0" borderId="1" xfId="2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77" fontId="4" fillId="0" borderId="0" xfId="20" applyFont="true" applyBorder="true" applyAlignment="true" applyProtection="false">
      <alignment horizontal="right" vertical="bottom" textRotation="0" wrapText="false" indent="0" shrinkToFit="false"/>
      <protection locked="true" hidden="false"/>
    </xf>
    <xf numFmtId="164" fontId="6" fillId="0" borderId="0" xfId="20" applyFont="true" applyBorder="true" applyAlignment="true" applyProtection="false">
      <alignment horizontal="right" vertical="bottom" textRotation="0" wrapText="false" indent="0" shrinkToFit="false"/>
      <protection locked="true" hidden="false"/>
    </xf>
    <xf numFmtId="164" fontId="0" fillId="0" borderId="7" xfId="20" applyFont="false" applyBorder="true" applyAlignment="false" applyProtection="false">
      <alignment horizontal="general" vertical="bottom" textRotation="0" wrapText="false" indent="0" shrinkToFit="false"/>
      <protection locked="true" hidden="false"/>
    </xf>
    <xf numFmtId="167" fontId="0" fillId="0" borderId="9" xfId="20" applyFont="false" applyBorder="true" applyAlignment="false" applyProtection="false">
      <alignment horizontal="general" vertical="bottom" textRotation="0" wrapText="false" indent="0" shrinkToFit="false"/>
      <protection locked="true" hidden="false"/>
    </xf>
    <xf numFmtId="178" fontId="4" fillId="0" borderId="0" xfId="20" applyFont="true" applyBorder="true" applyAlignment="true" applyProtection="false">
      <alignment horizontal="right" vertical="bottom" textRotation="0" wrapText="false" indent="0" shrinkToFit="false"/>
      <protection locked="true" hidden="false"/>
    </xf>
    <xf numFmtId="165" fontId="0" fillId="0" borderId="7" xfId="20" applyFont="false" applyBorder="true" applyAlignment="false" applyProtection="false">
      <alignment horizontal="general" vertical="bottom" textRotation="0" wrapText="false" indent="0" shrinkToFit="false"/>
      <protection locked="true" hidden="false"/>
    </xf>
    <xf numFmtId="177" fontId="4" fillId="2" borderId="12" xfId="20" applyFont="true" applyBorder="true" applyAlignment="true" applyProtection="false">
      <alignment horizontal="right" vertical="bottom" textRotation="0" wrapText="false" indent="0" shrinkToFit="false"/>
      <protection locked="true" hidden="false"/>
    </xf>
    <xf numFmtId="165" fontId="6" fillId="2" borderId="12" xfId="20" applyFont="true" applyBorder="true" applyAlignment="true" applyProtection="false">
      <alignment horizontal="right" vertical="bottom" textRotation="0" wrapText="false" indent="0" shrinkToFit="false"/>
      <protection locked="true" hidden="false"/>
    </xf>
    <xf numFmtId="169" fontId="6" fillId="2" borderId="12" xfId="20" applyFont="true" applyBorder="true" applyAlignment="true" applyProtection="false">
      <alignment horizontal="right" vertical="bottom" textRotation="0" wrapText="false" indent="0" shrinkToFit="false"/>
      <protection locked="true" hidden="false"/>
    </xf>
    <xf numFmtId="169" fontId="6" fillId="2" borderId="14" xfId="20" applyFont="true" applyBorder="true" applyAlignment="true" applyProtection="false">
      <alignment horizontal="right" vertical="bottom" textRotation="0" wrapText="false" indent="0" shrinkToFit="false"/>
      <protection locked="true" hidden="false"/>
    </xf>
    <xf numFmtId="167" fontId="6" fillId="2" borderId="22" xfId="20" applyFont="true" applyBorder="true" applyAlignment="true" applyProtection="false">
      <alignment horizontal="right" vertical="bottom" textRotation="0" wrapText="false" indent="0" shrinkToFit="false"/>
      <protection locked="true" hidden="false"/>
    </xf>
    <xf numFmtId="168" fontId="4" fillId="0" borderId="0" xfId="0" applyFont="true" applyBorder="true" applyAlignment="true" applyProtection="false">
      <alignment horizontal="right" vertical="bottom" textRotation="0" wrapText="false" indent="0" shrinkToFit="false"/>
      <protection locked="true" hidden="false"/>
    </xf>
    <xf numFmtId="165" fontId="4" fillId="0" borderId="0" xfId="15" applyFont="true" applyBorder="true" applyAlignment="true" applyProtection="true">
      <alignment horizontal="right" vertical="bottom" textRotation="0" wrapText="false" indent="0" shrinkToFit="false"/>
      <protection locked="true" hidden="false"/>
    </xf>
    <xf numFmtId="170" fontId="6" fillId="2" borderId="12" xfId="20" applyFont="true" applyBorder="true" applyAlignment="false" applyProtection="false">
      <alignment horizontal="general" vertical="bottom" textRotation="0" wrapText="false" indent="0" shrinkToFit="false"/>
      <protection locked="true" hidden="false"/>
    </xf>
    <xf numFmtId="169" fontId="4" fillId="0" borderId="25" xfId="20" applyFont="true" applyBorder="true" applyAlignment="true" applyProtection="false">
      <alignment horizontal="right" vertical="bottom" textRotation="0" wrapText="false" indent="0" shrinkToFit="false"/>
      <protection locked="true" hidden="false"/>
    </xf>
    <xf numFmtId="168" fontId="4" fillId="0" borderId="26" xfId="20" applyFont="true" applyBorder="true" applyAlignment="true" applyProtection="false">
      <alignment horizontal="right" vertical="bottom" textRotation="0" wrapText="false" indent="0" shrinkToFit="false"/>
      <protection locked="true" hidden="false"/>
    </xf>
    <xf numFmtId="169" fontId="4" fillId="0" borderId="18" xfId="20" applyFont="true" applyBorder="true" applyAlignment="false" applyProtection="false">
      <alignment horizontal="general" vertical="bottom" textRotation="0" wrapText="false" indent="0" shrinkToFit="false"/>
      <protection locked="true" hidden="false"/>
    </xf>
    <xf numFmtId="169" fontId="4" fillId="0" borderId="27" xfId="20" applyFont="true" applyBorder="true" applyAlignment="true" applyProtection="false">
      <alignment horizontal="right" vertical="bottom" textRotation="0" wrapText="false" indent="0" shrinkToFit="false"/>
      <protection locked="true" hidden="false"/>
    </xf>
    <xf numFmtId="169" fontId="4" fillId="0" borderId="9" xfId="20" applyFont="true" applyBorder="true" applyAlignment="true" applyProtection="false">
      <alignment horizontal="right" vertical="bottom" textRotation="0" wrapText="false" indent="0" shrinkToFit="false"/>
      <protection locked="true" hidden="false"/>
    </xf>
    <xf numFmtId="169" fontId="4" fillId="0" borderId="10" xfId="20" applyFont="true" applyBorder="true" applyAlignment="true" applyProtection="false">
      <alignment horizontal="right" vertical="bottom" textRotation="0" wrapText="false" indent="0" shrinkToFit="false"/>
      <protection locked="true" hidden="false"/>
    </xf>
    <xf numFmtId="167" fontId="4" fillId="0" borderId="11" xfId="20" applyFont="true" applyBorder="true" applyAlignment="true" applyProtection="false">
      <alignment horizontal="right" vertical="bottom" textRotation="0" wrapText="false" indent="0" shrinkToFit="false"/>
      <protection locked="true" hidden="false"/>
    </xf>
    <xf numFmtId="169" fontId="4" fillId="0" borderId="6" xfId="20" applyFont="true" applyBorder="true" applyAlignment="false" applyProtection="false">
      <alignment horizontal="general" vertical="bottom" textRotation="0" wrapText="false" indent="0" shrinkToFit="false"/>
      <protection locked="true" hidden="false"/>
    </xf>
    <xf numFmtId="165" fontId="4" fillId="2" borderId="22" xfId="20" applyFont="true" applyBorder="true" applyAlignment="true" applyProtection="false">
      <alignment horizontal="right" vertical="bottom" textRotation="0" wrapText="false" indent="0" shrinkToFit="false"/>
      <protection locked="true" hidden="false"/>
    </xf>
    <xf numFmtId="169" fontId="6" fillId="0" borderId="0" xfId="20" applyFont="true" applyBorder="true" applyAlignment="true" applyProtection="false">
      <alignment horizontal="right" vertical="bottom" textRotation="0" wrapText="false" indent="0" shrinkToFit="false"/>
      <protection locked="true" hidden="false"/>
    </xf>
    <xf numFmtId="169" fontId="4" fillId="2" borderId="15" xfId="20" applyFont="true" applyBorder="true" applyAlignment="true" applyProtection="false">
      <alignment horizontal="right" vertical="bottom" textRotation="0" wrapText="false" indent="0" shrinkToFit="false"/>
      <protection locked="true" hidden="false"/>
    </xf>
    <xf numFmtId="169" fontId="4" fillId="2" borderId="16" xfId="20" applyFont="true" applyBorder="true" applyAlignment="true" applyProtection="false">
      <alignment horizontal="right" vertical="bottom" textRotation="0" wrapText="false" indent="0" shrinkToFit="false"/>
      <protection locked="true" hidden="false"/>
    </xf>
    <xf numFmtId="168" fontId="4" fillId="0" borderId="6" xfId="20" applyFont="true" applyBorder="true" applyAlignment="true" applyProtection="false">
      <alignment horizontal="right" vertical="bottom" textRotation="0" wrapText="false" indent="0" shrinkToFit="false"/>
      <protection locked="true" hidden="false"/>
    </xf>
    <xf numFmtId="177"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20" applyFont="true" applyBorder="true" applyAlignment="true" applyProtection="false">
      <alignment horizontal="center" vertical="bottom" textRotation="0" wrapText="false" indent="0" shrinkToFit="false"/>
      <protection locked="true" hidden="false"/>
    </xf>
    <xf numFmtId="167" fontId="6" fillId="0" borderId="0" xfId="20" applyFont="true" applyBorder="true" applyAlignment="false" applyProtection="false">
      <alignment horizontal="general" vertical="bottom" textRotation="0" wrapText="false" indent="0" shrinkToFit="false"/>
      <protection locked="true" hidden="false"/>
    </xf>
    <xf numFmtId="168" fontId="4" fillId="0" borderId="1" xfId="20" applyFont="true" applyBorder="true" applyAlignment="true" applyProtection="false">
      <alignment horizontal="center" vertical="bottom" textRotation="0" wrapText="false" indent="0" shrinkToFit="false"/>
      <protection locked="true" hidden="false"/>
    </xf>
    <xf numFmtId="167" fontId="6" fillId="0" borderId="1" xfId="20" applyFont="true" applyBorder="true" applyAlignment="false" applyProtection="false">
      <alignment horizontal="general" vertical="bottom"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6" fontId="4" fillId="0" borderId="0" xfId="20" applyFont="true" applyBorder="true" applyAlignment="true" applyProtection="false">
      <alignment horizontal="right" vertical="bottom" textRotation="0" wrapText="false" indent="0" shrinkToFit="false"/>
      <protection locked="true" hidden="false"/>
    </xf>
    <xf numFmtId="168" fontId="4" fillId="0" borderId="11" xfId="20" applyFont="true" applyBorder="true" applyAlignment="true" applyProtection="false">
      <alignment horizontal="center" vertical="bottom" textRotation="0" wrapText="false" indent="0" shrinkToFit="false"/>
      <protection locked="true" hidden="false"/>
    </xf>
    <xf numFmtId="167" fontId="6" fillId="0" borderId="0" xfId="20" applyFont="true" applyBorder="true" applyAlignment="true" applyProtection="false">
      <alignment horizontal="right" vertical="bottom" textRotation="0" wrapText="false" indent="0" shrinkToFit="false"/>
      <protection locked="true" hidden="false"/>
    </xf>
    <xf numFmtId="164" fontId="0" fillId="0" borderId="9" xfId="20" applyFont="false" applyBorder="true" applyAlignment="false" applyProtection="false">
      <alignment horizontal="general" vertical="bottom" textRotation="0" wrapText="false" indent="0" shrinkToFit="false"/>
      <protection locked="true" hidden="false"/>
    </xf>
    <xf numFmtId="174" fontId="4" fillId="0" borderId="19" xfId="20" applyFont="true" applyBorder="true" applyAlignment="true" applyProtection="false">
      <alignment horizontal="right" vertical="bottom" textRotation="0" wrapText="false" indent="0" shrinkToFit="false"/>
      <protection locked="true" hidden="false"/>
    </xf>
    <xf numFmtId="168" fontId="4" fillId="2" borderId="16" xfId="20" applyFont="true" applyBorder="true" applyAlignment="true" applyProtection="false">
      <alignment horizontal="center" vertical="bottom" textRotation="0" wrapText="false" indent="0" shrinkToFit="false"/>
      <protection locked="true" hidden="false"/>
    </xf>
    <xf numFmtId="174" fontId="4" fillId="0" borderId="0" xfId="20" applyFont="true" applyBorder="true" applyAlignment="true" applyProtection="false">
      <alignment horizontal="right" vertical="bottom" textRotation="0" wrapText="false" indent="0" shrinkToFit="false"/>
      <protection locked="true" hidden="false"/>
    </xf>
    <xf numFmtId="165" fontId="4" fillId="0" borderId="9" xfId="20" applyFont="true" applyBorder="true" applyAlignment="true" applyProtection="false">
      <alignment horizontal="right" vertical="bottom" textRotation="0" wrapText="false" indent="0" shrinkToFit="false"/>
      <protection locked="true" hidden="false"/>
    </xf>
    <xf numFmtId="178" fontId="4" fillId="2" borderId="12" xfId="20" applyFont="true" applyBorder="true" applyAlignment="true" applyProtection="false">
      <alignment horizontal="right"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6" fontId="4" fillId="0" borderId="0" xfId="0" applyFont="true" applyBorder="tru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left" vertical="bottom" textRotation="0" wrapText="false" indent="0" shrinkToFit="false"/>
      <protection locked="true" hidden="false"/>
    </xf>
    <xf numFmtId="170" fontId="5" fillId="0" borderId="0" xfId="0" applyFont="true" applyBorder="false" applyAlignment="true" applyProtection="false">
      <alignment horizontal="center" vertical="bottom" textRotation="0" wrapText="false" indent="0" shrinkToFit="false"/>
      <protection locked="true" hidden="false"/>
    </xf>
    <xf numFmtId="170" fontId="4" fillId="0" borderId="0" xfId="0" applyFont="true" applyBorder="false" applyAlignment="true" applyProtection="false">
      <alignment horizontal="center" vertical="bottom" textRotation="0" wrapText="false" indent="0" shrinkToFit="false"/>
      <protection locked="true" hidden="false"/>
    </xf>
    <xf numFmtId="170" fontId="4" fillId="0" borderId="0" xfId="0" applyFont="true" applyBorder="false" applyAlignment="true" applyProtection="false">
      <alignment horizontal="left" vertical="bottom" textRotation="0" wrapText="false" indent="0" shrinkToFit="false"/>
      <protection locked="true" hidden="false"/>
    </xf>
    <xf numFmtId="170" fontId="14" fillId="0"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7" fontId="4" fillId="0" borderId="1" xfId="0" applyFont="true" applyBorder="true" applyAlignment="true" applyProtection="false">
      <alignment horizontal="center"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70" fontId="4" fillId="0" borderId="6" xfId="0" applyFont="true" applyBorder="true" applyAlignment="true" applyProtection="false">
      <alignment horizontal="right" vertical="bottom" textRotation="0" wrapText="false" indent="0" shrinkToFit="false"/>
      <protection locked="true" hidden="false"/>
    </xf>
    <xf numFmtId="165" fontId="4" fillId="0" borderId="7" xfId="0" applyFont="true" applyBorder="true" applyAlignment="true" applyProtection="false">
      <alignment horizontal="right" vertical="bottom" textRotation="0" wrapText="false" indent="0" shrinkToFit="false"/>
      <protection locked="true" hidden="false"/>
    </xf>
    <xf numFmtId="168" fontId="4" fillId="0" borderId="11" xfId="0" applyFont="true" applyBorder="true" applyAlignment="true" applyProtection="false">
      <alignment horizontal="right" vertical="bottom" textRotation="0" wrapText="false" indent="0" shrinkToFit="false"/>
      <protection locked="true" hidden="false"/>
    </xf>
    <xf numFmtId="165" fontId="4" fillId="0" borderId="6" xfId="0" applyFont="true" applyBorder="true" applyAlignment="true" applyProtection="false">
      <alignment horizontal="right" vertical="bottom" textRotation="0" wrapText="false" indent="0" shrinkToFit="false"/>
      <protection locked="true" hidden="false"/>
    </xf>
    <xf numFmtId="168" fontId="4" fillId="0" borderId="0" xfId="0" applyFont="true" applyBorder="false" applyAlignment="true" applyProtection="false">
      <alignment horizontal="right"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74" fontId="4" fillId="0" borderId="6" xfId="0" applyFont="true" applyBorder="true" applyAlignment="true" applyProtection="false">
      <alignment horizontal="right" vertical="bottom" textRotation="0" wrapText="false" indent="0" shrinkToFit="false"/>
      <protection locked="true" hidden="false"/>
    </xf>
    <xf numFmtId="165" fontId="4" fillId="0" borderId="23" xfId="0" applyFont="true" applyBorder="true" applyAlignment="true" applyProtection="false">
      <alignment horizontal="right" vertical="bottom" textRotation="0" wrapText="false" indent="0" shrinkToFit="false"/>
      <protection locked="true" hidden="false"/>
    </xf>
    <xf numFmtId="165" fontId="4" fillId="0" borderId="24" xfId="0" applyFont="true" applyBorder="true" applyAlignment="true" applyProtection="false">
      <alignment horizontal="right" vertical="bottom" textRotation="0" wrapText="false" indent="0" shrinkToFit="false"/>
      <protection locked="true" hidden="false"/>
    </xf>
    <xf numFmtId="165" fontId="0" fillId="0" borderId="7" xfId="0" applyFont="false" applyBorder="true" applyAlignment="false" applyProtection="false">
      <alignment horizontal="general" vertical="bottom" textRotation="0" wrapText="false" indent="0" shrinkToFit="false"/>
      <protection locked="true" hidden="false"/>
    </xf>
    <xf numFmtId="174" fontId="4" fillId="2" borderId="13" xfId="0" applyFont="true" applyBorder="true" applyAlignment="true" applyProtection="false">
      <alignment horizontal="right" vertical="bottom" textRotation="0" wrapText="false" indent="0" shrinkToFit="false"/>
      <protection locked="true" hidden="false"/>
    </xf>
    <xf numFmtId="170" fontId="4" fillId="2" borderId="14" xfId="0" applyFont="true" applyBorder="true" applyAlignment="true" applyProtection="false">
      <alignment horizontal="right" vertical="bottom" textRotation="0" wrapText="false" indent="0" shrinkToFit="false"/>
      <protection locked="true" hidden="false"/>
    </xf>
    <xf numFmtId="168" fontId="4" fillId="2" borderId="12" xfId="0" applyFont="true" applyBorder="true" applyAlignment="true" applyProtection="false">
      <alignment horizontal="right" vertical="bottom" textRotation="0" wrapText="false" indent="0" shrinkToFit="false"/>
      <protection locked="true" hidden="false"/>
    </xf>
    <xf numFmtId="168" fontId="4" fillId="2" borderId="16" xfId="0" applyFont="true" applyBorder="true" applyAlignment="true" applyProtection="false">
      <alignment horizontal="right" vertical="bottom" textRotation="0" wrapText="false" indent="0" shrinkToFit="false"/>
      <protection locked="true" hidden="false"/>
    </xf>
    <xf numFmtId="165" fontId="4" fillId="2" borderId="14" xfId="0" applyFont="true" applyBorder="true" applyAlignment="true" applyProtection="false">
      <alignment horizontal="right" vertical="bottom" textRotation="0" wrapText="false" indent="0" shrinkToFit="false"/>
      <protection locked="true" hidden="false"/>
    </xf>
    <xf numFmtId="165" fontId="4" fillId="2" borderId="22" xfId="0" applyFont="true" applyBorder="true" applyAlignment="true" applyProtection="false">
      <alignment horizontal="right" vertical="bottom" textRotation="0" wrapText="false" indent="0" shrinkToFit="false"/>
      <protection locked="true" hidden="false"/>
    </xf>
    <xf numFmtId="170" fontId="4" fillId="0" borderId="7" xfId="0" applyFont="true" applyBorder="true" applyAlignment="true" applyProtection="false">
      <alignment horizontal="right" vertical="bottom" textRotation="0" wrapText="false" indent="0" shrinkToFit="false"/>
      <protection locked="true" hidden="false"/>
    </xf>
    <xf numFmtId="170" fontId="4" fillId="0" borderId="0" xfId="15" applyFont="true" applyBorder="true" applyAlignment="true" applyProtection="true">
      <alignment horizontal="right" vertical="bottom" textRotation="0" wrapText="false" indent="0" shrinkToFit="false"/>
      <protection locked="true" hidden="false"/>
    </xf>
    <xf numFmtId="170" fontId="4" fillId="0" borderId="0" xfId="0" applyFont="true" applyBorder="true" applyAlignment="true" applyProtection="false">
      <alignment horizontal="right" vertical="bottom" textRotation="0" wrapText="false" indent="0" shrinkToFit="false"/>
      <protection locked="true" hidden="false"/>
    </xf>
    <xf numFmtId="165" fontId="4" fillId="0" borderId="6" xfId="20" applyFont="true" applyBorder="true" applyAlignment="true" applyProtection="false">
      <alignment horizontal="right" vertical="bottom" textRotation="0" wrapText="false" indent="0" shrinkToFit="false"/>
      <protection locked="true" hidden="false"/>
    </xf>
    <xf numFmtId="170" fontId="4" fillId="2" borderId="13" xfId="0" applyFont="true" applyBorder="true" applyAlignment="true" applyProtection="false">
      <alignment horizontal="right" vertical="bottom" textRotation="0" wrapText="false" indent="0" shrinkToFit="false"/>
      <protection locked="true" hidden="false"/>
    </xf>
    <xf numFmtId="165" fontId="4" fillId="0" borderId="17" xfId="0" applyFont="true" applyBorder="true" applyAlignment="true" applyProtection="false">
      <alignment horizontal="right" vertical="bottom" textRotation="0" wrapText="false" indent="0" shrinkToFit="false"/>
      <protection locked="true" hidden="false"/>
    </xf>
    <xf numFmtId="169" fontId="4" fillId="0" borderId="17" xfId="0" applyFont="true" applyBorder="true" applyAlignment="true" applyProtection="false">
      <alignment horizontal="right" vertical="bottom" textRotation="0" wrapText="false" indent="0" shrinkToFit="false"/>
      <protection locked="true" hidden="false"/>
    </xf>
    <xf numFmtId="165" fontId="4" fillId="0" borderId="9" xfId="0" applyFont="true" applyBorder="true" applyAlignment="true" applyProtection="false">
      <alignment horizontal="right" vertical="bottom" textRotation="0" wrapText="false" indent="0" shrinkToFit="false"/>
      <protection locked="true" hidden="false"/>
    </xf>
    <xf numFmtId="166" fontId="4" fillId="2" borderId="12" xfId="0" applyFont="true" applyBorder="true" applyAlignment="true" applyProtection="false">
      <alignment horizontal="right" vertical="bottom" textRotation="0" wrapText="false" indent="0" shrinkToFit="false"/>
      <protection locked="true" hidden="false"/>
    </xf>
    <xf numFmtId="167" fontId="4" fillId="0" borderId="11" xfId="0" applyFont="true" applyBorder="true" applyAlignment="true" applyProtection="false">
      <alignment horizontal="right" vertical="bottom" textRotation="0" wrapText="false" indent="0" shrinkToFit="false"/>
      <protection locked="true" hidden="false"/>
    </xf>
    <xf numFmtId="168" fontId="4" fillId="2" borderId="16" xfId="0" applyFont="true" applyBorder="true" applyAlignment="false" applyProtection="false">
      <alignment horizontal="general" vertical="bottom" textRotation="0" wrapText="false" indent="0" shrinkToFit="false"/>
      <protection locked="true" hidden="false"/>
    </xf>
    <xf numFmtId="165" fontId="6" fillId="2" borderId="12" xfId="0" applyFont="true" applyBorder="true" applyAlignment="false" applyProtection="false">
      <alignment horizontal="general" vertical="bottom" textRotation="0" wrapText="false" indent="0" shrinkToFit="false"/>
      <protection locked="true" hidden="false"/>
    </xf>
    <xf numFmtId="165" fontId="4" fillId="2" borderId="13" xfId="0" applyFont="true" applyBorder="true" applyAlignment="false" applyProtection="false">
      <alignment horizontal="general" vertical="bottom" textRotation="0" wrapText="false" indent="0" shrinkToFit="false"/>
      <protection locked="true" hidden="false"/>
    </xf>
    <xf numFmtId="168" fontId="6" fillId="2" borderId="12" xfId="0" applyFont="true" applyBorder="true" applyAlignment="false" applyProtection="false">
      <alignment horizontal="general" vertical="bottom" textRotation="0" wrapText="false" indent="0" shrinkToFit="false"/>
      <protection locked="true" hidden="false"/>
    </xf>
    <xf numFmtId="168" fontId="6" fillId="2" borderId="12" xfId="0" applyFont="true" applyBorder="true" applyAlignment="true" applyProtection="false">
      <alignment horizontal="right" vertical="bottom" textRotation="0" wrapText="false" indent="0" shrinkToFit="false"/>
      <protection locked="true" hidden="false"/>
    </xf>
    <xf numFmtId="170" fontId="5" fillId="0" borderId="0" xfId="20" applyFont="true" applyBorder="true" applyAlignment="true" applyProtection="false">
      <alignment horizontal="left" vertical="bottom" textRotation="0" wrapText="false" indent="0" shrinkToFit="false"/>
      <protection locked="true" hidden="false"/>
    </xf>
    <xf numFmtId="174" fontId="4" fillId="0" borderId="0" xfId="20" applyFont="true" applyBorder="true" applyAlignment="true" applyProtection="false">
      <alignment horizontal="center" vertical="bottom" textRotation="0" wrapText="false" indent="0" shrinkToFit="false"/>
      <protection locked="true" hidden="false"/>
    </xf>
    <xf numFmtId="173" fontId="4" fillId="0" borderId="0" xfId="20" applyFont="true" applyBorder="true" applyAlignment="false" applyProtection="false">
      <alignment horizontal="general" vertical="bottom" textRotation="0" wrapText="false" indent="0" shrinkToFit="false"/>
      <protection locked="true" hidden="false"/>
    </xf>
    <xf numFmtId="170" fontId="4" fillId="0" borderId="4" xfId="20" applyFont="true" applyBorder="true" applyAlignment="false" applyProtection="false">
      <alignment horizontal="general" vertical="bottom" textRotation="0" wrapText="false" indent="0" shrinkToFit="false"/>
      <protection locked="true" hidden="false"/>
    </xf>
    <xf numFmtId="170" fontId="4" fillId="0" borderId="3" xfId="20" applyFont="true" applyBorder="true" applyAlignment="false" applyProtection="false">
      <alignment horizontal="general" vertical="bottom" textRotation="0" wrapText="false" indent="0" shrinkToFit="false"/>
      <protection locked="true" hidden="false"/>
    </xf>
    <xf numFmtId="165" fontId="4" fillId="0" borderId="4" xfId="20" applyFont="true" applyBorder="true" applyAlignment="false" applyProtection="false">
      <alignment horizontal="general" vertical="bottom" textRotation="0" wrapText="false" indent="0" shrinkToFit="false"/>
      <protection locked="true" hidden="false"/>
    </xf>
    <xf numFmtId="173" fontId="7" fillId="0" borderId="4" xfId="20" applyFont="true" applyBorder="true" applyAlignment="true" applyProtection="false">
      <alignment horizontal="center" vertical="bottom" textRotation="0" wrapText="false" indent="0" shrinkToFit="false"/>
      <protection locked="true" hidden="false"/>
    </xf>
    <xf numFmtId="167" fontId="4" fillId="0" borderId="4" xfId="20" applyFont="true" applyBorder="true" applyAlignment="false" applyProtection="false">
      <alignment horizontal="general" vertical="bottom" textRotation="0" wrapText="false" indent="0" shrinkToFit="false"/>
      <protection locked="true" hidden="false"/>
    </xf>
    <xf numFmtId="168" fontId="4" fillId="0" borderId="4" xfId="20" applyFont="true" applyBorder="true" applyAlignment="false" applyProtection="false">
      <alignment horizontal="general" vertical="bottom" textRotation="0" wrapText="false" indent="0" shrinkToFit="false"/>
      <protection locked="true" hidden="false"/>
    </xf>
    <xf numFmtId="174" fontId="4" fillId="0" borderId="4" xfId="20" applyFont="true" applyBorder="true" applyAlignment="false" applyProtection="false">
      <alignment horizontal="general" vertical="bottom" textRotation="0" wrapText="false" indent="0" shrinkToFit="false"/>
      <protection locked="true" hidden="false"/>
    </xf>
    <xf numFmtId="170" fontId="7" fillId="0" borderId="4" xfId="20" applyFont="true" applyBorder="true" applyAlignment="false" applyProtection="false">
      <alignment horizontal="general" vertical="bottom" textRotation="0" wrapText="false" indent="0" shrinkToFit="false"/>
      <protection locked="true" hidden="false"/>
    </xf>
    <xf numFmtId="169" fontId="4" fillId="0" borderId="4" xfId="20" applyFont="true" applyBorder="true" applyAlignment="false" applyProtection="false">
      <alignment horizontal="general" vertical="bottom" textRotation="0" wrapText="false" indent="0" shrinkToFit="false"/>
      <protection locked="true" hidden="false"/>
    </xf>
    <xf numFmtId="170" fontId="6" fillId="0" borderId="4" xfId="20" applyFont="true" applyBorder="true" applyAlignment="false" applyProtection="false">
      <alignment horizontal="general" vertical="bottom" textRotation="0" wrapText="false" indent="0" shrinkToFit="false"/>
      <protection locked="true" hidden="false"/>
    </xf>
    <xf numFmtId="170" fontId="7" fillId="0" borderId="0" xfId="20" applyFont="true" applyBorder="true" applyAlignment="true" applyProtection="false">
      <alignment horizontal="center" vertical="bottom" textRotation="0" wrapText="false" indent="0" shrinkToFit="false"/>
      <protection locked="true" hidden="false"/>
    </xf>
    <xf numFmtId="167" fontId="6" fillId="0" borderId="4" xfId="20" applyFont="true" applyBorder="true" applyAlignment="false" applyProtection="false">
      <alignment horizontal="general" vertical="bottom" textRotation="0" wrapText="false" indent="0" shrinkToFit="false"/>
      <protection locked="true" hidden="false"/>
    </xf>
    <xf numFmtId="166" fontId="4" fillId="0" borderId="3" xfId="20" applyFont="true" applyBorder="true" applyAlignment="false" applyProtection="false">
      <alignment horizontal="general" vertical="bottom" textRotation="0" wrapText="false" indent="0" shrinkToFit="false"/>
      <protection locked="true" hidden="false"/>
    </xf>
    <xf numFmtId="169" fontId="7" fillId="0" borderId="4" xfId="20" applyFont="true" applyBorder="true" applyAlignment="true" applyProtection="false">
      <alignment horizontal="center" vertical="bottom" textRotation="0" wrapText="false" indent="0" shrinkToFit="false"/>
      <protection locked="true" hidden="false"/>
    </xf>
    <xf numFmtId="169" fontId="4" fillId="0" borderId="4" xfId="20" applyFont="true" applyBorder="true" applyAlignment="true" applyProtection="false">
      <alignment horizontal="center" vertical="bottom" textRotation="0" wrapText="false" indent="0" shrinkToFit="false"/>
      <protection locked="true" hidden="false"/>
    </xf>
    <xf numFmtId="164" fontId="4" fillId="0" borderId="2" xfId="20" applyFont="true" applyBorder="true" applyAlignment="false" applyProtection="false">
      <alignment horizontal="general" vertical="bottom" textRotation="0" wrapText="false" indent="0" shrinkToFit="false"/>
      <protection locked="true" hidden="false"/>
    </xf>
    <xf numFmtId="164" fontId="4" fillId="0" borderId="5" xfId="20" applyFont="true" applyBorder="true" applyAlignment="false" applyProtection="false">
      <alignment horizontal="general" vertical="bottom" textRotation="0" wrapText="false" indent="0" shrinkToFit="false"/>
      <protection locked="true" hidden="false"/>
    </xf>
    <xf numFmtId="170" fontId="6" fillId="0" borderId="6" xfId="20" applyFont="true" applyBorder="true" applyAlignment="true" applyProtection="false">
      <alignment horizontal="center" vertical="bottom" textRotation="0" wrapText="false" indent="0" shrinkToFit="false"/>
      <protection locked="true" hidden="false"/>
    </xf>
    <xf numFmtId="170" fontId="6" fillId="3" borderId="6" xfId="20" applyFont="true" applyBorder="true" applyAlignment="true" applyProtection="false">
      <alignment horizontal="center" vertical="bottom" textRotation="0" wrapText="false" indent="0" shrinkToFit="false"/>
      <protection locked="true" hidden="false"/>
    </xf>
    <xf numFmtId="167" fontId="6" fillId="3" borderId="0" xfId="20" applyFont="true" applyBorder="true" applyAlignment="true" applyProtection="false">
      <alignment horizontal="center" vertical="bottom" textRotation="0" wrapText="false" indent="0" shrinkToFit="false"/>
      <protection locked="true" hidden="false"/>
    </xf>
    <xf numFmtId="170" fontId="6" fillId="3" borderId="0" xfId="20" applyFont="true" applyBorder="true" applyAlignment="true" applyProtection="false">
      <alignment horizontal="center" vertical="bottom" textRotation="0" wrapText="false" indent="0" shrinkToFit="false"/>
      <protection locked="true" hidden="false"/>
    </xf>
    <xf numFmtId="170" fontId="8" fillId="0" borderId="8" xfId="20" applyFont="true" applyBorder="true" applyAlignment="true" applyProtection="false">
      <alignment horizontal="center" vertical="bottom" textRotation="0" wrapText="false" indent="0" shrinkToFit="false"/>
      <protection locked="true" hidden="false"/>
    </xf>
    <xf numFmtId="170" fontId="8" fillId="0" borderId="8" xfId="20" applyFont="true" applyBorder="true" applyAlignment="true" applyProtection="false">
      <alignment horizontal="left" vertical="bottom" textRotation="0" wrapText="false" indent="0" shrinkToFit="false"/>
      <protection locked="true" hidden="false"/>
    </xf>
    <xf numFmtId="170" fontId="8" fillId="0" borderId="8" xfId="20" applyFont="true" applyBorder="true" applyAlignment="true" applyProtection="false">
      <alignment horizontal="right" vertical="bottom" textRotation="0" wrapText="false" indent="0" shrinkToFit="false"/>
      <protection locked="true" hidden="false"/>
    </xf>
    <xf numFmtId="169" fontId="6" fillId="0" borderId="0" xfId="20" applyFont="true" applyBorder="true" applyAlignment="true" applyProtection="false">
      <alignment horizontal="center" vertical="bottom" textRotation="0" wrapText="false" indent="0" shrinkToFit="false"/>
      <protection locked="true" hidden="false"/>
    </xf>
    <xf numFmtId="167" fontId="6" fillId="0" borderId="0" xfId="20" applyFont="true" applyBorder="true" applyAlignment="true" applyProtection="false">
      <alignment horizontal="center" vertical="bottom" textRotation="0" wrapText="false" indent="0" shrinkToFit="false"/>
      <protection locked="true" hidden="false"/>
    </xf>
    <xf numFmtId="166" fontId="6" fillId="0" borderId="6" xfId="20" applyFont="true" applyBorder="true" applyAlignment="true" applyProtection="false">
      <alignment horizontal="center" vertical="bottom" textRotation="0" wrapText="false" indent="0" shrinkToFit="false"/>
      <protection locked="true" hidden="false"/>
    </xf>
    <xf numFmtId="170" fontId="8" fillId="0" borderId="0" xfId="20" applyFont="true" applyBorder="true" applyAlignment="true" applyProtection="false">
      <alignment horizontal="center" vertical="bottom" textRotation="0" wrapText="false" indent="0" shrinkToFit="false"/>
      <protection locked="true" hidden="false"/>
    </xf>
    <xf numFmtId="170" fontId="6" fillId="0" borderId="10" xfId="20" applyFont="true" applyBorder="true" applyAlignment="true" applyProtection="false">
      <alignment horizontal="center" vertical="bottom" textRotation="0" wrapText="false" indent="0" shrinkToFit="false"/>
      <protection locked="true" hidden="false"/>
    </xf>
    <xf numFmtId="168" fontId="6" fillId="0" borderId="0" xfId="20" applyFont="true" applyBorder="true" applyAlignment="true" applyProtection="false">
      <alignment horizontal="center" vertical="bottom" textRotation="0" wrapText="false" indent="0" shrinkToFit="false"/>
      <protection locked="true" hidden="false"/>
    </xf>
    <xf numFmtId="174" fontId="6" fillId="0" borderId="0" xfId="20" applyFont="true" applyBorder="true" applyAlignment="true" applyProtection="false">
      <alignment horizontal="center" vertical="bottom" textRotation="0" wrapText="false" indent="0" shrinkToFit="false"/>
      <protection locked="true" hidden="false"/>
    </xf>
    <xf numFmtId="168" fontId="6" fillId="0" borderId="11" xfId="20" applyFont="true" applyBorder="true" applyAlignment="true" applyProtection="false">
      <alignment horizontal="center" vertical="bottom" textRotation="0" wrapText="false" indent="0" shrinkToFit="false"/>
      <protection locked="true" hidden="false"/>
    </xf>
    <xf numFmtId="170" fontId="6" fillId="0" borderId="11" xfId="20" applyFont="true" applyBorder="true" applyAlignment="true" applyProtection="false">
      <alignment horizontal="center" vertical="bottom" textRotation="0" wrapText="false" indent="0" shrinkToFit="false"/>
      <protection locked="true" hidden="false"/>
    </xf>
    <xf numFmtId="166" fontId="6" fillId="0" borderId="6" xfId="20" applyFont="true" applyBorder="true" applyAlignment="false" applyProtection="false">
      <alignment horizontal="general" vertical="bottom" textRotation="0" wrapText="false" indent="0" shrinkToFit="false"/>
      <protection locked="true" hidden="false"/>
    </xf>
    <xf numFmtId="170" fontId="4" fillId="0" borderId="10" xfId="20" applyFont="true" applyBorder="true" applyAlignment="true" applyProtection="false">
      <alignment horizontal="center" vertical="bottom" textRotation="0" wrapText="false" indent="0" shrinkToFit="false"/>
      <protection locked="true" hidden="false"/>
    </xf>
    <xf numFmtId="170" fontId="4" fillId="0" borderId="11" xfId="20" applyFont="true" applyBorder="true" applyAlignment="true" applyProtection="false">
      <alignment horizontal="center" vertical="bottom" textRotation="0" wrapText="false" indent="0" shrinkToFit="false"/>
      <protection locked="true" hidden="false"/>
    </xf>
    <xf numFmtId="167" fontId="6" fillId="0" borderId="10" xfId="20" applyFont="true" applyBorder="true" applyAlignment="true" applyProtection="false">
      <alignment horizontal="center" vertical="bottom" textRotation="0" wrapText="false" indent="0" shrinkToFit="false"/>
      <protection locked="true" hidden="false"/>
    </xf>
    <xf numFmtId="167" fontId="6" fillId="0" borderId="11" xfId="20" applyFont="true" applyBorder="true" applyAlignment="true" applyProtection="false">
      <alignment horizontal="center" vertical="bottom" textRotation="0" wrapText="false" indent="0" shrinkToFit="false"/>
      <protection locked="true" hidden="false"/>
    </xf>
    <xf numFmtId="174" fontId="4" fillId="0" borderId="20" xfId="20" applyFont="true" applyBorder="true" applyAlignment="true" applyProtection="false">
      <alignment horizontal="right" vertical="bottom" textRotation="0" wrapText="false" indent="0" shrinkToFit="false"/>
      <protection locked="true" hidden="false"/>
    </xf>
    <xf numFmtId="165" fontId="4" fillId="0" borderId="19" xfId="20" applyFont="true" applyBorder="true" applyAlignment="true" applyProtection="false">
      <alignment horizontal="right" vertical="bottom" textRotation="0" wrapText="false" indent="0" shrinkToFit="false"/>
      <protection locked="true" hidden="false"/>
    </xf>
    <xf numFmtId="178" fontId="4" fillId="0" borderId="9" xfId="20" applyFont="true" applyBorder="true" applyAlignment="true" applyProtection="false">
      <alignment horizontal="right" vertical="bottom" textRotation="0" wrapText="false" indent="0" shrinkToFit="false"/>
      <protection locked="true" hidden="false"/>
    </xf>
    <xf numFmtId="174" fontId="4" fillId="2" borderId="12" xfId="20" applyFont="true" applyBorder="true" applyAlignment="true" applyProtection="false">
      <alignment horizontal="right" vertical="bottom" textRotation="0" wrapText="false" indent="0" shrinkToFit="false"/>
      <protection locked="true" hidden="false"/>
    </xf>
    <xf numFmtId="167" fontId="4" fillId="4" borderId="0" xfId="20" applyFont="true" applyBorder="true" applyAlignment="true" applyProtection="false">
      <alignment horizontal="right" vertical="bottom" textRotation="0" wrapText="false" indent="0" shrinkToFit="false"/>
      <protection locked="true" hidden="false"/>
    </xf>
    <xf numFmtId="165" fontId="4" fillId="4" borderId="0" xfId="20" applyFont="true" applyBorder="true" applyAlignment="true" applyProtection="false">
      <alignment horizontal="right" vertical="bottom" textRotation="0" wrapText="false" indent="0" shrinkToFit="false"/>
      <protection locked="true" hidden="false"/>
    </xf>
    <xf numFmtId="167" fontId="4" fillId="5" borderId="0" xfId="20" applyFont="true" applyBorder="true" applyAlignment="true" applyProtection="false">
      <alignment horizontal="right" vertical="bottom" textRotation="0" wrapText="false" indent="0" shrinkToFit="false"/>
      <protection locked="true" hidden="false"/>
    </xf>
    <xf numFmtId="165" fontId="4" fillId="5" borderId="0" xfId="0" applyFont="true" applyBorder="false" applyAlignment="true" applyProtection="false">
      <alignment horizontal="right" vertical="bottom" textRotation="0" wrapText="false" indent="0" shrinkToFit="false"/>
      <protection locked="true" hidden="false"/>
    </xf>
    <xf numFmtId="165" fontId="4" fillId="0" borderId="25" xfId="20" applyFont="true" applyBorder="true" applyAlignment="true" applyProtection="false">
      <alignment horizontal="right" vertical="bottom" textRotation="0" wrapText="false" indent="0" shrinkToFit="false"/>
      <protection locked="true" hidden="false"/>
    </xf>
    <xf numFmtId="165" fontId="4" fillId="0" borderId="26" xfId="20" applyFont="true" applyBorder="true" applyAlignment="true" applyProtection="false">
      <alignment horizontal="right" vertical="bottom" textRotation="0" wrapText="false" indent="0" shrinkToFit="false"/>
      <protection locked="true" hidden="false"/>
    </xf>
    <xf numFmtId="166" fontId="4" fillId="2" borderId="28" xfId="20" applyFont="true" applyBorder="true" applyAlignment="true" applyProtection="false">
      <alignment horizontal="right" vertical="bottom" textRotation="0" wrapText="false" indent="0" shrinkToFit="false"/>
      <protection locked="true" hidden="false"/>
    </xf>
    <xf numFmtId="170" fontId="4" fillId="2" borderId="17" xfId="20" applyFont="true" applyBorder="true" applyAlignment="true" applyProtection="false">
      <alignment horizontal="right" vertical="bottom" textRotation="0" wrapText="false" indent="0" shrinkToFit="false"/>
      <protection locked="true" hidden="false"/>
    </xf>
    <xf numFmtId="170" fontId="4" fillId="2" borderId="18" xfId="20" applyFont="true" applyBorder="true" applyAlignment="true" applyProtection="false">
      <alignment horizontal="right" vertical="bottom" textRotation="0" wrapText="false" indent="0" shrinkToFit="false"/>
      <protection locked="true" hidden="false"/>
    </xf>
    <xf numFmtId="167" fontId="4" fillId="2" borderId="17" xfId="20" applyFont="true" applyBorder="true" applyAlignment="true" applyProtection="false">
      <alignment horizontal="right" vertical="bottom" textRotation="0" wrapText="false" indent="0" shrinkToFit="false"/>
      <protection locked="true" hidden="false"/>
    </xf>
    <xf numFmtId="179" fontId="4" fillId="0" borderId="0" xfId="20" applyFont="true" applyBorder="true" applyAlignment="false" applyProtection="false">
      <alignment horizontal="general" vertical="bottom" textRotation="0" wrapText="false" indent="0" shrinkToFit="false"/>
      <protection locked="true" hidden="false"/>
    </xf>
    <xf numFmtId="168" fontId="4" fillId="0" borderId="17" xfId="20" applyFont="true" applyBorder="true" applyAlignment="false" applyProtection="false">
      <alignment horizontal="general" vertical="bottom" textRotation="0" wrapText="false" indent="0" shrinkToFit="false"/>
      <protection locked="true" hidden="false"/>
    </xf>
    <xf numFmtId="167" fontId="4" fillId="0" borderId="17" xfId="20" applyFont="true" applyBorder="true" applyAlignment="false" applyProtection="false">
      <alignment horizontal="general" vertical="bottom" textRotation="0" wrapText="false" indent="0" shrinkToFit="false"/>
      <protection locked="true" hidden="false"/>
    </xf>
    <xf numFmtId="165" fontId="4" fillId="0" borderId="0" xfId="15" applyFont="true" applyBorder="true" applyAlignment="true" applyProtection="true">
      <alignment horizontal="general" vertical="bottom" textRotation="0" wrapText="false" indent="0" shrinkToFit="false"/>
      <protection locked="true" hidden="false"/>
    </xf>
    <xf numFmtId="168" fontId="6" fillId="0" borderId="0" xfId="20" applyFont="true" applyBorder="true" applyAlignment="false" applyProtection="false">
      <alignment horizontal="general" vertical="bottom" textRotation="0" wrapText="false" indent="0" shrinkToFit="false"/>
      <protection locked="true" hidden="false"/>
    </xf>
    <xf numFmtId="176" fontId="7" fillId="0" borderId="0" xfId="20" applyFont="true" applyBorder="true" applyAlignment="false" applyProtection="false">
      <alignment horizontal="general" vertical="bottom" textRotation="0" wrapText="false" indent="0" shrinkToFit="false"/>
      <protection locked="true" hidden="false"/>
    </xf>
    <xf numFmtId="167" fontId="7" fillId="0" borderId="0" xfId="20" applyFont="true" applyBorder="true" applyAlignment="false" applyProtection="false">
      <alignment horizontal="general" vertical="bottom" textRotation="0" wrapText="false" indent="0" shrinkToFit="false"/>
      <protection locked="true" hidden="false"/>
    </xf>
    <xf numFmtId="165" fontId="7" fillId="0" borderId="0" xfId="2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9" fontId="4" fillId="0" borderId="3" xfId="0" applyFont="true" applyBorder="true" applyAlignment="true" applyProtection="false">
      <alignment horizontal="center" vertical="bottom" textRotation="0" wrapText="false" indent="0" shrinkToFit="false"/>
      <protection locked="true" hidden="false"/>
    </xf>
    <xf numFmtId="167" fontId="4" fillId="0" borderId="4" xfId="0" applyFont="true" applyBorder="true" applyAlignment="true" applyProtection="false">
      <alignment horizontal="center" vertical="bottom" textRotation="0" wrapText="false" indent="0" shrinkToFit="false"/>
      <protection locked="true" hidden="false"/>
    </xf>
    <xf numFmtId="169" fontId="6" fillId="0" borderId="6" xfId="0" applyFont="true" applyBorder="true" applyAlignment="true" applyProtection="false">
      <alignment horizontal="center" vertical="bottom" textRotation="0" wrapText="false" indent="0" shrinkToFit="false"/>
      <protection locked="true" hidden="false"/>
    </xf>
    <xf numFmtId="164" fontId="0" fillId="0" borderId="7" xfId="20" applyFont="true" applyBorder="true" applyAlignment="true" applyProtection="false">
      <alignment horizontal="center" vertical="bottom" textRotation="0" wrapText="false" indent="0" shrinkToFit="false"/>
      <protection locked="true" hidden="false"/>
    </xf>
    <xf numFmtId="169" fontId="4" fillId="0" borderId="6" xfId="0" applyFont="true" applyBorder="true" applyAlignment="true" applyProtection="false">
      <alignment horizontal="right" vertical="bottom" textRotation="0" wrapText="false" indent="0" shrinkToFit="false"/>
      <protection locked="true" hidden="false"/>
    </xf>
    <xf numFmtId="167" fontId="4" fillId="0" borderId="7" xfId="0" applyFont="true" applyBorder="true" applyAlignment="false" applyProtection="false">
      <alignment horizontal="general" vertical="bottom" textRotation="0" wrapText="false" indent="0" shrinkToFit="false"/>
      <protection locked="true" hidden="false"/>
    </xf>
    <xf numFmtId="166" fontId="4" fillId="0" borderId="0" xfId="0" applyFont="true" applyBorder="true" applyAlignment="true" applyProtection="false">
      <alignment horizontal="right" vertical="bottom" textRotation="0" wrapText="false" indent="0" shrinkToFit="false"/>
      <protection locked="true" hidden="false"/>
    </xf>
    <xf numFmtId="167" fontId="4" fillId="0" borderId="29" xfId="0" applyFont="true" applyBorder="true" applyAlignment="false" applyProtection="false">
      <alignment horizontal="general" vertical="bottom" textRotation="0" wrapText="false" indent="0" shrinkToFit="false"/>
      <protection locked="true" hidden="false"/>
    </xf>
    <xf numFmtId="169" fontId="4" fillId="2" borderId="13" xfId="0" applyFont="true" applyBorder="true" applyAlignment="true" applyProtection="false">
      <alignment horizontal="right" vertical="bottom" textRotation="0" wrapText="false" indent="0" shrinkToFit="false"/>
      <protection locked="true" hidden="false"/>
    </xf>
    <xf numFmtId="170" fontId="4" fillId="5" borderId="0" xfId="0" applyFont="true" applyBorder="false" applyAlignment="true" applyProtection="false">
      <alignment horizontal="right" vertical="bottom" textRotation="0" wrapText="false" indent="0" shrinkToFit="false"/>
      <protection locked="true" hidden="false"/>
    </xf>
    <xf numFmtId="165" fontId="4" fillId="4" borderId="0" xfId="0" applyFont="true" applyBorder="false" applyAlignment="true" applyProtection="false">
      <alignment horizontal="right" vertical="bottom" textRotation="0" wrapText="false" indent="0" shrinkToFit="false"/>
      <protection locked="true" hidden="false"/>
    </xf>
    <xf numFmtId="170" fontId="4" fillId="4" borderId="0" xfId="0" applyFont="true" applyBorder="false" applyAlignment="true" applyProtection="false">
      <alignment horizontal="right" vertical="bottom" textRotation="0" wrapText="false" indent="0" shrinkToFit="false"/>
      <protection locked="true" hidden="false"/>
    </xf>
    <xf numFmtId="170" fontId="4" fillId="4" borderId="12" xfId="0" applyFont="true" applyBorder="true" applyAlignment="true" applyProtection="false">
      <alignment horizontal="right" vertical="bottom" textRotation="0" wrapText="false" indent="0" shrinkToFit="false"/>
      <protection locked="true" hidden="false"/>
    </xf>
    <xf numFmtId="169" fontId="4" fillId="0" borderId="11" xfId="0" applyFont="true" applyBorder="true" applyAlignment="true" applyProtection="false">
      <alignment horizontal="right" vertical="bottom" textRotation="0" wrapText="false" indent="0" shrinkToFit="false"/>
      <protection locked="true" hidden="false"/>
    </xf>
    <xf numFmtId="169" fontId="4" fillId="0" borderId="7" xfId="0" applyFont="true" applyBorder="true" applyAlignment="true" applyProtection="false">
      <alignment horizontal="right" vertical="bottom" textRotation="0" wrapText="false" indent="0" shrinkToFit="false"/>
      <protection locked="true" hidden="false"/>
    </xf>
    <xf numFmtId="170" fontId="4" fillId="2" borderId="17" xfId="0" applyFont="true" applyBorder="true" applyAlignment="true" applyProtection="false">
      <alignment horizontal="right" vertical="bottom" textRotation="0" wrapText="false" indent="0" shrinkToFit="false"/>
      <protection locked="true" hidden="false"/>
    </xf>
    <xf numFmtId="165" fontId="6" fillId="2" borderId="12" xfId="0" applyFont="true" applyBorder="true" applyAlignment="true" applyProtection="false">
      <alignment horizontal="right" vertical="bottom" textRotation="0" wrapText="false" indent="0" shrinkToFit="false"/>
      <protection locked="true" hidden="false"/>
    </xf>
    <xf numFmtId="165" fontId="6" fillId="0" borderId="17" xfId="0" applyFont="true" applyBorder="true" applyAlignment="false" applyProtection="false">
      <alignment horizontal="general" vertical="bottom" textRotation="0" wrapText="false" indent="0" shrinkToFit="false"/>
      <protection locked="true" hidden="false"/>
    </xf>
    <xf numFmtId="165" fontId="6" fillId="0" borderId="0" xfId="0" applyFont="true" applyBorder="true" applyAlignment="false" applyProtection="false">
      <alignment horizontal="general" vertical="bottom" textRotation="0" wrapText="false" indent="0" shrinkToFit="false"/>
      <protection locked="true" hidden="false"/>
    </xf>
    <xf numFmtId="167" fontId="4" fillId="0" borderId="0" xfId="0" applyFont="true" applyBorder="true" applyAlignment="false" applyProtection="false">
      <alignment horizontal="general" vertical="bottom" textRotation="0" wrapText="false" indent="0" shrinkToFit="false"/>
      <protection locked="true" hidden="false"/>
    </xf>
    <xf numFmtId="167" fontId="4" fillId="0" borderId="0" xfId="15" applyFont="true" applyBorder="true" applyAlignment="true" applyProtection="true">
      <alignment horizontal="general" vertical="bottom" textRotation="0" wrapText="false" indent="0" shrinkToFit="false"/>
      <protection locked="true" hidden="false"/>
    </xf>
    <xf numFmtId="168" fontId="4" fillId="0" borderId="0" xfId="15"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center" vertical="bottom" textRotation="0" wrapText="false" indent="0" shrinkToFit="false"/>
      <protection locked="true" hidden="false"/>
    </xf>
    <xf numFmtId="167" fontId="7" fillId="0" borderId="0" xfId="20" applyFont="true" applyBorder="true" applyAlignment="true" applyProtection="false">
      <alignment horizontal="center" vertical="bottom" textRotation="0" wrapText="false" indent="0" shrinkToFit="false"/>
      <protection locked="true" hidden="false"/>
    </xf>
    <xf numFmtId="168" fontId="6" fillId="0" borderId="4" xfId="0" applyFont="true" applyBorder="true" applyAlignment="false" applyProtection="false">
      <alignment horizontal="general" vertical="bottom" textRotation="0" wrapText="false" indent="0" shrinkToFit="false"/>
      <protection locked="true" hidden="false"/>
    </xf>
    <xf numFmtId="167" fontId="6" fillId="0" borderId="4" xfId="0" applyFont="true" applyBorder="true" applyAlignment="false" applyProtection="false">
      <alignment horizontal="general" vertical="bottom" textRotation="0" wrapText="false" indent="0" shrinkToFit="false"/>
      <protection locked="true" hidden="false"/>
    </xf>
    <xf numFmtId="170" fontId="6" fillId="0" borderId="7" xfId="20" applyFont="true" applyBorder="true" applyAlignment="true" applyProtection="false">
      <alignment horizontal="center" vertical="bottom" textRotation="0" wrapText="false" indent="0" shrinkToFit="false"/>
      <protection locked="true" hidden="false"/>
    </xf>
    <xf numFmtId="167" fontId="4" fillId="0" borderId="29" xfId="20" applyFont="true" applyBorder="true" applyAlignment="false" applyProtection="false">
      <alignment horizontal="general" vertical="bottom" textRotation="0" wrapText="false" indent="0" shrinkToFit="false"/>
      <protection locked="true" hidden="false"/>
    </xf>
    <xf numFmtId="168" fontId="4" fillId="2" borderId="13" xfId="20" applyFont="true" applyBorder="true" applyAlignment="true" applyProtection="false">
      <alignment horizontal="right" vertical="bottom" textRotation="0" wrapText="false" indent="0" shrinkToFit="false"/>
      <protection locked="true" hidden="false"/>
    </xf>
    <xf numFmtId="168" fontId="4" fillId="0" borderId="30" xfId="20" applyFont="true" applyBorder="true" applyAlignment="true" applyProtection="false">
      <alignment horizontal="right" vertical="bottom" textRotation="0" wrapText="false" indent="0" shrinkToFit="false"/>
      <protection locked="true" hidden="false"/>
    </xf>
    <xf numFmtId="167" fontId="4" fillId="0" borderId="23" xfId="20" applyFont="true" applyBorder="true" applyAlignment="true" applyProtection="false">
      <alignment horizontal="right" vertical="bottom" textRotation="0" wrapText="false" indent="0" shrinkToFit="false"/>
      <protection locked="true" hidden="false"/>
    </xf>
    <xf numFmtId="167" fontId="4" fillId="2" borderId="12" xfId="20" applyFont="true" applyBorder="true" applyAlignment="false" applyProtection="false">
      <alignment horizontal="general" vertical="bottom" textRotation="0" wrapText="false" indent="0" shrinkToFit="false"/>
      <protection locked="true" hidden="false"/>
    </xf>
    <xf numFmtId="170" fontId="4" fillId="2" borderId="15" xfId="20" applyFont="true" applyBorder="tru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8" fontId="6" fillId="0" borderId="0" xfId="15" applyFont="true" applyBorder="true" applyAlignment="true" applyProtection="true">
      <alignment horizontal="general" vertical="bottom" textRotation="0" wrapText="false" indent="0" shrinkToFit="false"/>
      <protection locked="true" hidden="false"/>
    </xf>
    <xf numFmtId="169" fontId="6" fillId="0" borderId="0" xfId="20" applyFont="true" applyBorder="true" applyAlignment="true" applyProtection="false">
      <alignment horizontal="left" vertical="bottom" textRotation="0" wrapText="false" indent="0" shrinkToFit="false"/>
      <protection locked="true" hidden="false"/>
    </xf>
    <xf numFmtId="167" fontId="6" fillId="0" borderId="0" xfId="20" applyFont="true" applyBorder="true" applyAlignment="true" applyProtection="false">
      <alignment horizontal="left" vertical="bottom" textRotation="0" wrapText="false" indent="0" shrinkToFit="false"/>
      <protection locked="true" hidden="false"/>
    </xf>
    <xf numFmtId="169" fontId="6" fillId="0" borderId="1" xfId="20" applyFont="true" applyBorder="true" applyAlignment="true" applyProtection="false">
      <alignment horizontal="center" vertical="bottom" textRotation="0" wrapText="false" indent="0" shrinkToFit="false"/>
      <protection locked="true" hidden="false"/>
    </xf>
    <xf numFmtId="168" fontId="6" fillId="0" borderId="1" xfId="20" applyFont="true" applyBorder="true" applyAlignment="false" applyProtection="false">
      <alignment horizontal="general" vertical="bottom" textRotation="0" wrapText="false" indent="0" shrinkToFit="false"/>
      <protection locked="true" hidden="false"/>
    </xf>
    <xf numFmtId="170" fontId="4" fillId="0" borderId="2" xfId="20" applyFont="true" applyBorder="true" applyAlignment="false" applyProtection="false">
      <alignment horizontal="general" vertical="bottom" textRotation="0" wrapText="false" indent="0" shrinkToFit="false"/>
      <protection locked="true" hidden="false"/>
    </xf>
    <xf numFmtId="170" fontId="6" fillId="0" borderId="3" xfId="20" applyFont="true" applyBorder="true" applyAlignment="false" applyProtection="false">
      <alignment horizontal="general" vertical="bottom" textRotation="0" wrapText="false" indent="0" shrinkToFit="false"/>
      <protection locked="true" hidden="false"/>
    </xf>
    <xf numFmtId="169" fontId="8" fillId="0" borderId="0" xfId="20" applyFont="true" applyBorder="true" applyAlignment="true" applyProtection="false">
      <alignment horizontal="center" vertical="bottom" textRotation="0" wrapText="false" indent="0" shrinkToFit="false"/>
      <protection locked="true" hidden="false"/>
    </xf>
    <xf numFmtId="168" fontId="8" fillId="0" borderId="0" xfId="20" applyFont="true" applyBorder="true" applyAlignment="true" applyProtection="false">
      <alignment horizontal="center" vertical="bottom" textRotation="0" wrapText="false" indent="0" shrinkToFit="false"/>
      <protection locked="true" hidden="false"/>
    </xf>
    <xf numFmtId="168" fontId="8" fillId="0" borderId="4" xfId="20" applyFont="true" applyBorder="true" applyAlignment="true" applyProtection="false">
      <alignment horizontal="center" vertical="bottom" textRotation="0" wrapText="false" indent="0" shrinkToFit="false"/>
      <protection locked="true" hidden="false"/>
    </xf>
    <xf numFmtId="167" fontId="6" fillId="0" borderId="4" xfId="20" applyFont="true" applyBorder="true" applyAlignment="true" applyProtection="false">
      <alignment horizontal="center" vertical="bottom" textRotation="0" wrapText="false" indent="0" shrinkToFit="false"/>
      <protection locked="true" hidden="false"/>
    </xf>
    <xf numFmtId="164" fontId="6" fillId="0" borderId="4" xfId="20" applyFont="true" applyBorder="true" applyAlignment="false" applyProtection="false">
      <alignment horizontal="general" vertical="bottom" textRotation="0" wrapText="false" indent="0" shrinkToFit="false"/>
      <protection locked="true" hidden="false"/>
    </xf>
    <xf numFmtId="165" fontId="4" fillId="0" borderId="11" xfId="20" applyFont="true" applyBorder="true" applyAlignment="false" applyProtection="false">
      <alignment horizontal="general" vertical="bottom" textRotation="0" wrapText="false" indent="0" shrinkToFit="false"/>
      <protection locked="true" hidden="false"/>
    </xf>
    <xf numFmtId="165" fontId="4" fillId="0" borderId="6" xfId="20" applyFont="true" applyBorder="true" applyAlignment="false" applyProtection="false">
      <alignment horizontal="general" vertical="bottom" textRotation="0" wrapText="false" indent="0" shrinkToFit="false"/>
      <protection locked="true" hidden="false"/>
    </xf>
    <xf numFmtId="165" fontId="4" fillId="0" borderId="23" xfId="20" applyFont="true" applyBorder="true" applyAlignment="false" applyProtection="false">
      <alignment horizontal="general" vertical="bottom" textRotation="0" wrapText="false" indent="0" shrinkToFit="false"/>
      <protection locked="true" hidden="false"/>
    </xf>
    <xf numFmtId="165" fontId="4" fillId="0" borderId="9" xfId="20" applyFont="true" applyBorder="true" applyAlignment="false" applyProtection="false">
      <alignment horizontal="general" vertical="bottom" textRotation="0" wrapText="false" indent="0" shrinkToFit="false"/>
      <protection locked="true" hidden="false"/>
    </xf>
    <xf numFmtId="171" fontId="4" fillId="2" borderId="12" xfId="20" applyFont="true" applyBorder="true" applyAlignment="false" applyProtection="false">
      <alignment horizontal="general" vertical="bottom" textRotation="0" wrapText="false" indent="0" shrinkToFit="false"/>
      <protection locked="true" hidden="false"/>
    </xf>
    <xf numFmtId="170" fontId="4" fillId="2" borderId="16" xfId="20" applyFont="true" applyBorder="true" applyAlignment="false" applyProtection="false">
      <alignment horizontal="general" vertical="bottom" textRotation="0" wrapText="false" indent="0" shrinkToFit="false"/>
      <protection locked="true" hidden="false"/>
    </xf>
    <xf numFmtId="168" fontId="4" fillId="2" borderId="12" xfId="20" applyFont="true" applyBorder="true" applyAlignment="true" applyProtection="false">
      <alignment horizontal="center" vertical="bottom" textRotation="0" wrapText="false" indent="0" shrinkToFit="false"/>
      <protection locked="true" hidden="false"/>
    </xf>
    <xf numFmtId="165" fontId="4" fillId="2" borderId="22" xfId="20" applyFont="true" applyBorder="true" applyAlignment="false" applyProtection="false">
      <alignment horizontal="general" vertical="bottom" textRotation="0" wrapText="false" indent="0" shrinkToFit="false"/>
      <protection locked="true" hidden="false"/>
    </xf>
    <xf numFmtId="170" fontId="4" fillId="0" borderId="11" xfId="20" applyFont="true" applyBorder="true" applyAlignment="false" applyProtection="false">
      <alignment horizontal="general" vertical="bottom" textRotation="0" wrapText="false" indent="0" shrinkToFit="false"/>
      <protection locked="true" hidden="false"/>
    </xf>
    <xf numFmtId="170" fontId="4" fillId="0" borderId="10" xfId="20" applyFont="true" applyBorder="true" applyAlignment="false" applyProtection="false">
      <alignment horizontal="general" vertical="bottom" textRotation="0" wrapText="false" indent="0" shrinkToFit="false"/>
      <protection locked="true" hidden="false"/>
    </xf>
    <xf numFmtId="165" fontId="4" fillId="0" borderId="10" xfId="20" applyFont="true" applyBorder="true" applyAlignment="false" applyProtection="false">
      <alignment horizontal="general" vertical="bottom" textRotation="0" wrapText="false" indent="0" shrinkToFit="false"/>
      <protection locked="true" hidden="false"/>
    </xf>
    <xf numFmtId="169" fontId="4" fillId="0" borderId="7" xfId="20" applyFont="true" applyBorder="true" applyAlignment="true" applyProtection="false">
      <alignment horizontal="center" vertical="bottom" textRotation="0" wrapText="false" indent="0" shrinkToFit="false"/>
      <protection locked="true" hidden="false"/>
    </xf>
    <xf numFmtId="165" fontId="4" fillId="2" borderId="15" xfId="20" applyFont="true" applyBorder="true" applyAlignment="false" applyProtection="false">
      <alignment horizontal="general" vertical="bottom" textRotation="0" wrapText="false" indent="0" shrinkToFit="false"/>
      <protection locked="true" hidden="false"/>
    </xf>
    <xf numFmtId="165" fontId="4" fillId="2" borderId="16" xfId="20" applyFont="true" applyBorder="true" applyAlignment="false" applyProtection="false">
      <alignment horizontal="general" vertical="bottom" textRotation="0" wrapText="false" indent="0" shrinkToFit="false"/>
      <protection locked="true" hidden="false"/>
    </xf>
    <xf numFmtId="169" fontId="4" fillId="0" borderId="20" xfId="20" applyFont="true" applyBorder="true" applyAlignment="false" applyProtection="false">
      <alignment horizontal="general" vertical="bottom" textRotation="0" wrapText="false" indent="0" shrinkToFit="false"/>
      <protection locked="true" hidden="false"/>
    </xf>
    <xf numFmtId="167" fontId="4" fillId="0" borderId="23" xfId="20" applyFont="true" applyBorder="true" applyAlignment="false" applyProtection="false">
      <alignment horizontal="general" vertical="bottom" textRotation="0" wrapText="false" indent="0" shrinkToFit="false"/>
      <protection locked="true" hidden="false"/>
    </xf>
    <xf numFmtId="170" fontId="4" fillId="2" borderId="17" xfId="20" applyFont="true" applyBorder="true" applyAlignment="false" applyProtection="false">
      <alignment horizontal="general" vertical="bottom" textRotation="0" wrapText="false" indent="0" shrinkToFit="false"/>
      <protection locked="true" hidden="false"/>
    </xf>
    <xf numFmtId="170" fontId="7" fillId="0" borderId="0" xfId="20" applyFont="true" applyBorder="true" applyAlignment="false" applyProtection="false">
      <alignment horizontal="general" vertical="bottom" textRotation="0" wrapText="false" indent="0" shrinkToFit="false"/>
      <protection locked="true" hidden="false"/>
    </xf>
    <xf numFmtId="168" fontId="7" fillId="0" borderId="0" xfId="20" applyFont="true" applyBorder="true" applyAlignment="true" applyProtection="false">
      <alignment horizontal="center" vertical="bottom" textRotation="0" wrapText="false" indent="0" shrinkToFit="false"/>
      <protection locked="true" hidden="false"/>
    </xf>
    <xf numFmtId="168" fontId="7" fillId="0" borderId="4" xfId="20" applyFont="true" applyBorder="true" applyAlignment="true" applyProtection="false">
      <alignment horizontal="center" vertical="bottom" textRotation="0" wrapText="false" indent="0" shrinkToFit="false"/>
      <protection locked="true" hidden="false"/>
    </xf>
    <xf numFmtId="167" fontId="4" fillId="0" borderId="4" xfId="20" applyFont="true" applyBorder="true" applyAlignment="true" applyProtection="false">
      <alignment horizontal="center" vertical="bottom" textRotation="0" wrapText="false" indent="0" shrinkToFit="false"/>
      <protection locked="true" hidden="false"/>
    </xf>
    <xf numFmtId="164" fontId="4" fillId="0" borderId="4" xfId="20" applyFont="true" applyBorder="true" applyAlignment="false" applyProtection="false">
      <alignment horizontal="general" vertical="bottom" textRotation="0" wrapText="false" indent="0" shrinkToFit="false"/>
      <protection locked="true" hidden="false"/>
    </xf>
    <xf numFmtId="180" fontId="4" fillId="0" borderId="0" xfId="20" applyFont="true" applyBorder="true" applyAlignment="true" applyProtection="false">
      <alignment horizontal="right" vertical="bottom" textRotation="0" wrapText="false" indent="0" shrinkToFit="false"/>
      <protection locked="true" hidden="false"/>
    </xf>
    <xf numFmtId="165" fontId="4" fillId="0" borderId="29" xfId="20" applyFont="true" applyBorder="true" applyAlignment="true" applyProtection="false">
      <alignment horizontal="right" vertical="bottom" textRotation="0" wrapText="false" indent="0" shrinkToFit="false"/>
      <protection locked="true" hidden="false"/>
    </xf>
    <xf numFmtId="168" fontId="4" fillId="0" borderId="20" xfId="20" applyFont="true" applyBorder="true" applyAlignment="true" applyProtection="false">
      <alignment horizontal="right" vertical="bottom" textRotation="0" wrapText="false" indent="0" shrinkToFit="false"/>
      <protection locked="true" hidden="false"/>
    </xf>
    <xf numFmtId="167" fontId="4" fillId="0" borderId="7" xfId="20" applyFont="true" applyBorder="true" applyAlignment="true" applyProtection="false">
      <alignment horizontal="right" vertical="bottom" textRotation="0" wrapText="false" indent="0" shrinkToFit="false"/>
      <protection locked="true" hidden="false"/>
    </xf>
    <xf numFmtId="167" fontId="4" fillId="2" borderId="14" xfId="20" applyFont="true" applyBorder="true" applyAlignment="true" applyProtection="false">
      <alignment horizontal="right" vertical="bottom" textRotation="0" wrapText="false" indent="0" shrinkToFit="false"/>
      <protection locked="true" hidden="false"/>
    </xf>
    <xf numFmtId="168" fontId="4" fillId="0" borderId="17" xfId="20" applyFont="true" applyBorder="true" applyAlignment="true" applyProtection="false">
      <alignment horizontal="right" vertical="bottom" textRotation="0" wrapText="false" indent="0" shrinkToFit="false"/>
      <protection locked="true" hidden="false"/>
    </xf>
    <xf numFmtId="167" fontId="4" fillId="0" borderId="7" xfId="20" applyFont="true" applyBorder="true" applyAlignment="false" applyProtection="false">
      <alignment horizontal="general" vertical="bottom" textRotation="0" wrapText="false" indent="0" shrinkToFit="false"/>
      <protection locked="true" hidden="false"/>
    </xf>
    <xf numFmtId="169" fontId="4" fillId="0" borderId="0" xfId="20" applyFont="true" applyBorder="true" applyAlignment="true" applyProtection="false">
      <alignment horizontal="left" vertical="bottom" textRotation="0" wrapText="false" indent="0" shrinkToFit="false"/>
      <protection locked="true" hidden="false"/>
    </xf>
    <xf numFmtId="181" fontId="4" fillId="0" borderId="0" xfId="20" applyFont="true" applyBorder="true" applyAlignment="true" applyProtection="false">
      <alignment horizontal="center" vertical="bottom" textRotation="0" wrapText="false" indent="0" shrinkToFit="false"/>
      <protection locked="true" hidden="false"/>
    </xf>
    <xf numFmtId="181" fontId="4" fillId="0" borderId="1" xfId="20" applyFont="true" applyBorder="true" applyAlignment="true" applyProtection="false">
      <alignment horizontal="center" vertical="bottom" textRotation="0" wrapText="false" indent="0" shrinkToFit="false"/>
      <protection locked="true" hidden="false"/>
    </xf>
    <xf numFmtId="169" fontId="6" fillId="0" borderId="4" xfId="20" applyFont="true" applyBorder="true" applyAlignment="false" applyProtection="false">
      <alignment horizontal="general" vertical="bottom" textRotation="0" wrapText="false" indent="0" shrinkToFit="false"/>
      <protection locked="true" hidden="false"/>
    </xf>
    <xf numFmtId="166" fontId="6" fillId="0" borderId="3" xfId="20" applyFont="true" applyBorder="true" applyAlignment="false" applyProtection="false">
      <alignment horizontal="general" vertical="bottom" textRotation="0" wrapText="false" indent="0" shrinkToFit="false"/>
      <protection locked="true" hidden="false"/>
    </xf>
    <xf numFmtId="169" fontId="8" fillId="0" borderId="4" xfId="20" applyFont="true" applyBorder="true" applyAlignment="true" applyProtection="false">
      <alignment horizontal="center" vertical="bottom" textRotation="0" wrapText="false" indent="0" shrinkToFit="false"/>
      <protection locked="true" hidden="false"/>
    </xf>
    <xf numFmtId="169" fontId="6" fillId="0" borderId="4" xfId="20" applyFont="true" applyBorder="true" applyAlignment="true" applyProtection="false">
      <alignment horizontal="center" vertical="bottom" textRotation="0" wrapText="false" indent="0" shrinkToFit="false"/>
      <protection locked="true" hidden="false"/>
    </xf>
    <xf numFmtId="169" fontId="4" fillId="0" borderId="20" xfId="20" applyFont="true" applyBorder="true" applyAlignment="true" applyProtection="false">
      <alignment horizontal="right" vertical="bottom" textRotation="0" wrapText="false" indent="0" shrinkToFit="false"/>
      <protection locked="true" hidden="false"/>
    </xf>
    <xf numFmtId="167" fontId="4" fillId="0" borderId="6" xfId="20" applyFont="true" applyBorder="true" applyAlignment="true" applyProtection="false">
      <alignment horizontal="right" vertical="bottom" textRotation="0" wrapText="false" indent="0" shrinkToFit="false"/>
      <protection locked="true" hidden="false"/>
    </xf>
    <xf numFmtId="181" fontId="4" fillId="2" borderId="12" xfId="20" applyFont="true" applyBorder="true" applyAlignment="true" applyProtection="false">
      <alignment horizontal="right" vertical="bottom" textRotation="0" wrapText="false" indent="0" shrinkToFit="false"/>
      <protection locked="true" hidden="false"/>
    </xf>
    <xf numFmtId="181" fontId="4" fillId="0" borderId="0" xfId="20" applyFont="true" applyBorder="true" applyAlignment="true" applyProtection="false">
      <alignment horizontal="right" vertical="bottom" textRotation="0" wrapText="false" indent="0" shrinkToFit="false"/>
      <protection locked="true" hidden="false"/>
    </xf>
    <xf numFmtId="167" fontId="4" fillId="0" borderId="10" xfId="0" applyFont="true" applyBorder="true" applyAlignment="true" applyProtection="false">
      <alignment horizontal="right" vertical="bottom" textRotation="0" wrapText="false" indent="0" shrinkToFit="false"/>
      <protection locked="true" hidden="false"/>
    </xf>
    <xf numFmtId="181" fontId="4" fillId="2" borderId="12" xfId="20" applyFont="true" applyBorder="true" applyAlignment="true" applyProtection="false">
      <alignment horizontal="center" vertical="bottom" textRotation="0" wrapText="false" indent="0" shrinkToFit="false"/>
      <protection locked="true" hidden="false"/>
    </xf>
    <xf numFmtId="170" fontId="4" fillId="2" borderId="28" xfId="20" applyFont="true" applyBorder="true" applyAlignment="false" applyProtection="false">
      <alignment horizontal="general" vertical="bottom" textRotation="0" wrapText="false" indent="0" shrinkToFit="false"/>
      <protection locked="true" hidden="false"/>
    </xf>
    <xf numFmtId="171" fontId="4" fillId="0" borderId="0" xfId="20" applyFont="true" applyBorder="true" applyAlignment="true" applyProtection="false">
      <alignment horizontal="center" vertical="bottom" textRotation="0" wrapText="false" indent="0" shrinkToFit="false"/>
      <protection locked="true" hidden="false"/>
    </xf>
    <xf numFmtId="166" fontId="6" fillId="0" borderId="0" xfId="20" applyFont="true" applyBorder="true" applyAlignment="false" applyProtection="false">
      <alignment horizontal="general" vertical="bottom" textRotation="0" wrapText="false" indent="0" shrinkToFit="false"/>
      <protection locked="true" hidden="false"/>
    </xf>
    <xf numFmtId="165" fontId="6" fillId="0" borderId="0" xfId="15"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_RIVER054" xfId="20"/>
  </cellStyles>
  <colors>
    <indexedColors>
      <rgbColor rgb="FF000000"/>
      <rgbColor rgb="FFEEEE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6CAF0"/>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6464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externalLink" Target="externalLinks/externalLink1.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31</xdr:row>
      <xdr:rowOff>0</xdr:rowOff>
    </xdr:from>
    <xdr:to>
      <xdr:col>7</xdr:col>
      <xdr:colOff>21240</xdr:colOff>
      <xdr:row>32</xdr:row>
      <xdr:rowOff>28800</xdr:rowOff>
    </xdr:to>
    <xdr:sp>
      <xdr:nvSpPr>
        <xdr:cNvPr id="0" name="Text 1"/>
        <xdr:cNvSpPr/>
      </xdr:nvSpPr>
      <xdr:spPr>
        <a:xfrm>
          <a:off x="2544480" y="5030640"/>
          <a:ext cx="463320" cy="19296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eeeeec"/>
          </a:solidFill>
          <a:miter/>
        </a:ln>
      </xdr:spPr>
      <xdr:style>
        <a:lnRef idx="0"/>
        <a:fillRef idx="0"/>
        <a:effectRef idx="0"/>
        <a:fontRef idx="minor"/>
      </xdr:style>
      <xdr:txBody>
        <a:bodyPr lIns="20160" rIns="20160" tIns="20160" bIns="20160" anchor="t">
          <a:noAutofit/>
        </a:bodyPr>
        <a:p>
          <a:pPr>
            <a:lnSpc>
              <a:spcPct val="100000"/>
            </a:lnSpc>
          </a:pPr>
          <a:r>
            <a:rPr b="0" lang="en-US" sz="800" spc="-1" strike="noStrike">
              <a:latin typeface="LinePrinter"/>
            </a:rPr>
            <a:t>thawed</a:t>
          </a:r>
          <a:endParaRPr b="0" lang="en-US" sz="800" spc="-1" strike="noStrike">
            <a:latin typeface="Times New Roman"/>
          </a:endParaRPr>
        </a:p>
        <a:p>
          <a:pPr>
            <a:lnSpc>
              <a:spcPct val="100000"/>
            </a:lnSpc>
          </a:pPr>
          <a:endParaRPr b="0" lang="en-US" sz="8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34</xdr:col>
      <xdr:colOff>129240</xdr:colOff>
      <xdr:row>12</xdr:row>
      <xdr:rowOff>57240</xdr:rowOff>
    </xdr:from>
    <xdr:to>
      <xdr:col>36</xdr:col>
      <xdr:colOff>215640</xdr:colOff>
      <xdr:row>14</xdr:row>
      <xdr:rowOff>19080</xdr:rowOff>
    </xdr:to>
    <xdr:sp>
      <xdr:nvSpPr>
        <xdr:cNvPr id="1" name="Text 2"/>
        <xdr:cNvSpPr/>
      </xdr:nvSpPr>
      <xdr:spPr>
        <a:xfrm>
          <a:off x="13085640" y="1962720"/>
          <a:ext cx="841680" cy="290880"/>
        </a:xfrm>
        <a:custGeom>
          <a:avLst/>
          <a:gdLst/>
          <a:ahLst/>
          <a:rect l="l" t="t" r="r" b="b"/>
          <a:pathLst>
            <a:path w="21600" h="21600">
              <a:moveTo>
                <a:pt x="0" y="0"/>
              </a:moveTo>
              <a:lnTo>
                <a:pt x="21600" y="0"/>
              </a:lnTo>
              <a:lnTo>
                <a:pt x="21600" y="21600"/>
              </a:lnTo>
              <a:lnTo>
                <a:pt x="0" y="21600"/>
              </a:lnTo>
              <a:lnTo>
                <a:pt x="0" y="0"/>
              </a:lnTo>
              <a:close/>
            </a:path>
          </a:pathLst>
        </a:custGeom>
        <a:solidFill>
          <a:srgbClr val="ffffff"/>
        </a:solidFill>
        <a:ln w="9360">
          <a:solidFill>
            <a:srgbClr val="eeeeec"/>
          </a:solidFill>
          <a:miter/>
        </a:ln>
      </xdr:spPr>
      <xdr:style>
        <a:lnRef idx="0"/>
        <a:fillRef idx="0"/>
        <a:effectRef idx="0"/>
        <a:fontRef idx="minor"/>
      </xdr:style>
      <xdr:txBody>
        <a:bodyPr lIns="20160" rIns="20160" tIns="20160" bIns="20160" anchor="t">
          <a:noAutofit/>
        </a:bodyPr>
        <a:p>
          <a:pPr>
            <a:lnSpc>
              <a:spcPct val="100000"/>
            </a:lnSpc>
          </a:pPr>
          <a:r>
            <a:rPr b="0" lang="en-US" sz="400" spc="-1" strike="noStrike">
              <a:latin typeface="LinePrinter"/>
            </a:rPr>
            <a:t>SPILL STARTED</a:t>
          </a:r>
          <a:endParaRPr b="0" lang="en-US" sz="400" spc="-1" strike="noStrike">
            <a:latin typeface="Times New Roman"/>
          </a:endParaRPr>
        </a:p>
        <a:p>
          <a:pPr>
            <a:lnSpc>
              <a:spcPct val="100000"/>
            </a:lnSpc>
          </a:pPr>
          <a:r>
            <a:rPr b="0" lang="en-US" sz="400" spc="-1" strike="noStrike">
              <a:latin typeface="LinePrinter"/>
            </a:rPr>
            <a:t>NO DEBIT</a:t>
          </a:r>
          <a:endParaRPr b="0" lang="en-US" sz="4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37</xdr:row>
      <xdr:rowOff>0</xdr:rowOff>
    </xdr:from>
    <xdr:to>
      <xdr:col>14</xdr:col>
      <xdr:colOff>355320</xdr:colOff>
      <xdr:row>37</xdr:row>
      <xdr:rowOff>163800</xdr:rowOff>
    </xdr:to>
    <xdr:sp>
      <xdr:nvSpPr>
        <xdr:cNvPr id="2" name="Rectangle 1"/>
        <xdr:cNvSpPr/>
      </xdr:nvSpPr>
      <xdr:spPr>
        <a:xfrm>
          <a:off x="5864400" y="6017400"/>
          <a:ext cx="355320" cy="163800"/>
        </a:xfrm>
        <a:prstGeom prst="rect">
          <a:avLst/>
        </a:prstGeom>
        <a:noFill/>
        <a:ln w="9360">
          <a:solidFill>
            <a:srgbClr val="eeeeec"/>
          </a:solidFill>
          <a:miter/>
        </a:ln>
        <a:effectLst>
          <a:outerShdw blurRad="0" dir="2700000" dist="17309" rotWithShape="0">
            <a:srgbClr val="000000"/>
          </a:outerShdw>
        </a:effectLst>
      </xdr:spPr>
      <xdr:style>
        <a:lnRef idx="0"/>
        <a:fillRef idx="0"/>
        <a:effectRef idx="0"/>
        <a:fontRef idx="minor"/>
      </xdr:style>
    </xdr:sp>
    <xdr:clientData/>
  </xdr:twoCellAnchor>
  <xdr:twoCellAnchor editAs="oneCell">
    <xdr:from>
      <xdr:col>14</xdr:col>
      <xdr:colOff>0</xdr:colOff>
      <xdr:row>37</xdr:row>
      <xdr:rowOff>0</xdr:rowOff>
    </xdr:from>
    <xdr:to>
      <xdr:col>14</xdr:col>
      <xdr:colOff>355320</xdr:colOff>
      <xdr:row>37</xdr:row>
      <xdr:rowOff>163800</xdr:rowOff>
    </xdr:to>
    <xdr:sp>
      <xdr:nvSpPr>
        <xdr:cNvPr id="3" name="Rectangle 3"/>
        <xdr:cNvSpPr/>
      </xdr:nvSpPr>
      <xdr:spPr>
        <a:xfrm>
          <a:off x="5864400" y="6017400"/>
          <a:ext cx="355320" cy="163800"/>
        </a:xfrm>
        <a:prstGeom prst="rect">
          <a:avLst/>
        </a:prstGeom>
        <a:noFill/>
        <a:ln w="9360">
          <a:solidFill>
            <a:srgbClr val="eeeeec"/>
          </a:solidFill>
          <a:miter/>
        </a:ln>
        <a:effectLst>
          <a:outerShdw blurRad="0" dir="2700000" dist="17309" rotWithShape="0">
            <a:srgbClr val="000000"/>
          </a:outerShdw>
        </a:effectLst>
      </xdr:spPr>
      <xdr:style>
        <a:lnRef idx="0"/>
        <a:fillRef idx="0"/>
        <a:effectRef idx="0"/>
        <a:fontRef idx="minor"/>
      </xdr:style>
    </xdr:sp>
    <xdr:clientData/>
  </xdr:twoCellAnchor>
  <xdr:twoCellAnchor editAs="oneCell">
    <xdr:from>
      <xdr:col>14</xdr:col>
      <xdr:colOff>0</xdr:colOff>
      <xdr:row>37</xdr:row>
      <xdr:rowOff>0</xdr:rowOff>
    </xdr:from>
    <xdr:to>
      <xdr:col>14</xdr:col>
      <xdr:colOff>355320</xdr:colOff>
      <xdr:row>37</xdr:row>
      <xdr:rowOff>163800</xdr:rowOff>
    </xdr:to>
    <xdr:sp>
      <xdr:nvSpPr>
        <xdr:cNvPr id="4" name="Rectangle 4"/>
        <xdr:cNvSpPr/>
      </xdr:nvSpPr>
      <xdr:spPr>
        <a:xfrm>
          <a:off x="5864400" y="6017400"/>
          <a:ext cx="355320" cy="163800"/>
        </a:xfrm>
        <a:prstGeom prst="rect">
          <a:avLst/>
        </a:prstGeom>
        <a:noFill/>
        <a:ln w="9360">
          <a:solidFill>
            <a:srgbClr val="eeeeec"/>
          </a:solidFill>
          <a:miter/>
        </a:ln>
        <a:effectLst>
          <a:outerShdw blurRad="0" dir="2700000" dist="17309" rotWithShape="0">
            <a:srgbClr val="000000"/>
          </a:outerShdw>
        </a:effectLst>
      </xdr:spPr>
      <xdr:style>
        <a:lnRef idx="0"/>
        <a:fillRef idx="0"/>
        <a:effectRef idx="0"/>
        <a:fontRef idx="minor"/>
      </xdr:style>
    </xdr:sp>
    <xdr:clientData/>
  </xdr:twoCellAnchor>
  <xdr:twoCellAnchor editAs="oneCell">
    <xdr:from>
      <xdr:col>14</xdr:col>
      <xdr:colOff>0</xdr:colOff>
      <xdr:row>37</xdr:row>
      <xdr:rowOff>0</xdr:rowOff>
    </xdr:from>
    <xdr:to>
      <xdr:col>14</xdr:col>
      <xdr:colOff>355320</xdr:colOff>
      <xdr:row>37</xdr:row>
      <xdr:rowOff>163800</xdr:rowOff>
    </xdr:to>
    <xdr:sp>
      <xdr:nvSpPr>
        <xdr:cNvPr id="5" name="Rectangle 6"/>
        <xdr:cNvSpPr/>
      </xdr:nvSpPr>
      <xdr:spPr>
        <a:xfrm>
          <a:off x="5864400" y="6017400"/>
          <a:ext cx="355320" cy="16380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14</xdr:col>
      <xdr:colOff>0</xdr:colOff>
      <xdr:row>37</xdr:row>
      <xdr:rowOff>0</xdr:rowOff>
    </xdr:from>
    <xdr:to>
      <xdr:col>14</xdr:col>
      <xdr:colOff>355320</xdr:colOff>
      <xdr:row>37</xdr:row>
      <xdr:rowOff>163800</xdr:rowOff>
    </xdr:to>
    <xdr:sp>
      <xdr:nvSpPr>
        <xdr:cNvPr id="6" name="Rectangle 8"/>
        <xdr:cNvSpPr/>
      </xdr:nvSpPr>
      <xdr:spPr>
        <a:xfrm>
          <a:off x="5864400" y="6017400"/>
          <a:ext cx="355320" cy="16380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14</xdr:col>
      <xdr:colOff>0</xdr:colOff>
      <xdr:row>37</xdr:row>
      <xdr:rowOff>123840</xdr:rowOff>
    </xdr:from>
    <xdr:to>
      <xdr:col>14</xdr:col>
      <xdr:colOff>10800</xdr:colOff>
      <xdr:row>37</xdr:row>
      <xdr:rowOff>163800</xdr:rowOff>
    </xdr:to>
    <xdr:sp>
      <xdr:nvSpPr>
        <xdr:cNvPr id="7" name="Rectangle 10"/>
        <xdr:cNvSpPr/>
      </xdr:nvSpPr>
      <xdr:spPr>
        <a:xfrm>
          <a:off x="5864400" y="6141240"/>
          <a:ext cx="10800" cy="39960"/>
        </a:xfrm>
        <a:prstGeom prst="rect">
          <a:avLst/>
        </a:prstGeom>
        <a:noFill/>
        <a:ln w="9360">
          <a:solidFill>
            <a:srgbClr val="eeeeec"/>
          </a:solidFill>
          <a:miter/>
        </a:ln>
        <a:effectLst>
          <a:outerShdw blurRad="0" dir="2700000" dist="17309" rotWithShape="0">
            <a:srgbClr val="000000"/>
          </a:outerShdw>
        </a:effectLst>
      </xdr:spPr>
      <xdr:style>
        <a:lnRef idx="0"/>
        <a:fillRef idx="0"/>
        <a:effectRef idx="0"/>
        <a:fontRef idx="minor"/>
      </xdr:style>
    </xdr:sp>
    <xdr:clientData/>
  </xdr:twoCellAnchor>
  <xdr:twoCellAnchor editAs="oneCell">
    <xdr:from>
      <xdr:col>14</xdr:col>
      <xdr:colOff>0</xdr:colOff>
      <xdr:row>37</xdr:row>
      <xdr:rowOff>0</xdr:rowOff>
    </xdr:from>
    <xdr:to>
      <xdr:col>14</xdr:col>
      <xdr:colOff>355320</xdr:colOff>
      <xdr:row>37</xdr:row>
      <xdr:rowOff>163800</xdr:rowOff>
    </xdr:to>
    <xdr:sp>
      <xdr:nvSpPr>
        <xdr:cNvPr id="8" name="Rectangle 11"/>
        <xdr:cNvSpPr/>
      </xdr:nvSpPr>
      <xdr:spPr>
        <a:xfrm>
          <a:off x="5864400" y="6017400"/>
          <a:ext cx="355320" cy="163800"/>
        </a:xfrm>
        <a:prstGeom prst="rect">
          <a:avLst/>
        </a:prstGeom>
        <a:noFill/>
        <a:ln w="0">
          <a:noFill/>
        </a:ln>
      </xdr:spPr>
      <xdr:style>
        <a:lnRef idx="0"/>
        <a:fillRef idx="0"/>
        <a:effectRef idx="0"/>
        <a:fontRef idx="minor"/>
      </xdr:style>
    </xdr:sp>
    <xdr:clientData/>
  </xdr:twoCellAnchor>
  <xdr:twoCellAnchor editAs="oneCell">
    <xdr:from>
      <xdr:col>14</xdr:col>
      <xdr:colOff>0</xdr:colOff>
      <xdr:row>31</xdr:row>
      <xdr:rowOff>0</xdr:rowOff>
    </xdr:from>
    <xdr:to>
      <xdr:col>14</xdr:col>
      <xdr:colOff>355320</xdr:colOff>
      <xdr:row>31</xdr:row>
      <xdr:rowOff>163800</xdr:rowOff>
    </xdr:to>
    <xdr:sp>
      <xdr:nvSpPr>
        <xdr:cNvPr id="9" name="Rectangle 12"/>
        <xdr:cNvSpPr/>
      </xdr:nvSpPr>
      <xdr:spPr>
        <a:xfrm>
          <a:off x="5864400" y="5030640"/>
          <a:ext cx="355320" cy="163800"/>
        </a:xfrm>
        <a:prstGeom prst="rect">
          <a:avLst/>
        </a:prstGeom>
        <a:noFill/>
        <a:ln w="9360">
          <a:solidFill>
            <a:srgbClr val="eeeeec"/>
          </a:solidFill>
          <a:miter/>
        </a:ln>
      </xdr:spPr>
      <xdr:style>
        <a:lnRef idx="0"/>
        <a:fillRef idx="0"/>
        <a:effectRef idx="0"/>
        <a:fontRef idx="minor"/>
      </xdr:style>
    </xdr:sp>
    <xdr:clientData/>
  </xdr:twoCellAnchor>
  <xdr:twoCellAnchor editAs="oneCell">
    <xdr:from>
      <xdr:col>14</xdr:col>
      <xdr:colOff>0</xdr:colOff>
      <xdr:row>31</xdr:row>
      <xdr:rowOff>0</xdr:rowOff>
    </xdr:from>
    <xdr:to>
      <xdr:col>14</xdr:col>
      <xdr:colOff>355320</xdr:colOff>
      <xdr:row>31</xdr:row>
      <xdr:rowOff>163800</xdr:rowOff>
    </xdr:to>
    <xdr:sp>
      <xdr:nvSpPr>
        <xdr:cNvPr id="10" name="Rectangle 13"/>
        <xdr:cNvSpPr/>
      </xdr:nvSpPr>
      <xdr:spPr>
        <a:xfrm>
          <a:off x="5864400" y="5030640"/>
          <a:ext cx="355320" cy="163800"/>
        </a:xfrm>
        <a:prstGeom prst="rect">
          <a:avLst/>
        </a:prstGeom>
        <a:noFill/>
        <a:ln w="9360">
          <a:solidFill>
            <a:srgbClr val="eeeeec"/>
          </a:solidFill>
          <a:miter/>
        </a:ln>
        <a:effectLst>
          <a:outerShdw blurRad="0" dir="2700000" dist="17309" rotWithShape="0">
            <a:srgbClr val="000000"/>
          </a:outerShdw>
        </a:effectLst>
      </xdr:spPr>
      <xdr:style>
        <a:lnRef idx="0"/>
        <a:fillRef idx="0"/>
        <a:effectRef idx="0"/>
        <a:fontRef idx="minor"/>
      </xdr:style>
    </xdr:sp>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River2009-Provisional.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NOV"/>
      <sheetName val="DEC"/>
      <sheetName val="JAN"/>
      <sheetName val="FEB"/>
      <sheetName val="MAR"/>
      <sheetName val="APR"/>
      <sheetName val="MAY"/>
      <sheetName val="JUN"/>
      <sheetName val="JUL"/>
      <sheetName val="AUG"/>
      <sheetName val="SEP"/>
      <sheetName val="OCT"/>
    </sheetNames>
    <sheetDataSet>
      <sheetData sheetId="0"/>
      <sheetData sheetId="1"/>
      <sheetData sheetId="2"/>
      <sheetData sheetId="3"/>
      <sheetData sheetId="4"/>
      <sheetData sheetId="5"/>
      <sheetData sheetId="6"/>
      <sheetData sheetId="7"/>
      <sheetData sheetId="8"/>
      <sheetData sheetId="9"/>
      <sheetData sheetId="10">
        <row r="48">
          <cell r="AS48">
            <v>675.57</v>
          </cell>
          <cell r="AT48">
            <v>411.411015</v>
          </cell>
        </row>
      </sheetData>
      <sheetData sheetId="11"/>
    </sheetDataSet>
  </externalBook>
</externalLink>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xml"/><Relationship Id="rId3"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3.xml"/><Relationship Id="rId3"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57"/>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1" ySplit="12" topLeftCell="K25" activePane="bottomRight" state="frozen"/>
      <selection pane="topLeft" activeCell="A1" activeCellId="0" sqref="A1"/>
      <selection pane="topRight" activeCell="K1" activeCellId="0" sqref="K1"/>
      <selection pane="bottomLeft" activeCell="A25" activeCellId="0" sqref="A25"/>
      <selection pane="bottomRight" activeCell="AB2" activeCellId="1" sqref="E20:E43 AB2"/>
    </sheetView>
  </sheetViews>
  <sheetFormatPr defaultColWidth="9.296875" defaultRowHeight="11.1" zeroHeight="false" outlineLevelRow="0" outlineLevelCol="0"/>
  <cols>
    <col collapsed="false" customWidth="true" hidden="false" outlineLevel="0" max="1" min="1" style="1" width="4.67"/>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3" width="5.67"/>
    <col collapsed="false" customWidth="true" hidden="false" outlineLevel="0" max="11" min="9" style="1" width="6.32"/>
    <col collapsed="false" customWidth="true" hidden="false" outlineLevel="0" max="12" min="12" style="1" width="7.16"/>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19" min="19" style="1" width="4.32"/>
    <col collapsed="false" customWidth="true" hidden="false" outlineLevel="0" max="20" min="20" style="6" width="5.49"/>
    <col collapsed="false" customWidth="true" hidden="false" outlineLevel="0" max="22" min="21" style="1" width="5.49"/>
    <col collapsed="false" customWidth="true" hidden="false" outlineLevel="0" max="23" min="23" style="2" width="6.32"/>
    <col collapsed="false" customWidth="true" hidden="false" outlineLevel="0" max="25" min="24" style="4" width="6.32"/>
    <col collapsed="false" customWidth="true" hidden="false" outlineLevel="0" max="26" min="26" style="7" width="6.32"/>
    <col collapsed="false" customWidth="true" hidden="false" outlineLevel="0" max="28" min="27" style="1" width="5.49"/>
    <col collapsed="false" customWidth="true" hidden="false" outlineLevel="0" max="29" min="29" style="1" width="5.82"/>
    <col collapsed="false" customWidth="true" hidden="false" outlineLevel="0" max="31" min="30" style="1" width="5.49"/>
    <col collapsed="false" customWidth="true" hidden="false" outlineLevel="0" max="33" min="32" style="2" width="5.49"/>
    <col collapsed="false" customWidth="true" hidden="false" outlineLevel="0" max="34" min="34" style="2" width="6.49"/>
    <col collapsed="false" customWidth="true" hidden="false" outlineLevel="0" max="35" min="35" style="1" width="5.49"/>
    <col collapsed="false" customWidth="true" hidden="false" outlineLevel="0" max="37" min="36" style="1" width="6.32"/>
    <col collapsed="false" customWidth="true" hidden="false" outlineLevel="0" max="38" min="38" style="1" width="6.99"/>
    <col collapsed="false" customWidth="true" hidden="false" outlineLevel="0" max="39" min="39" style="3" width="6.99"/>
    <col collapsed="false" customWidth="true" hidden="false" outlineLevel="0" max="41" min="40" style="4" width="5.49"/>
    <col collapsed="false" customWidth="true" hidden="false" outlineLevel="0" max="42" min="42" style="1" width="6.32"/>
    <col collapsed="false" customWidth="true" hidden="false" outlineLevel="0" max="44" min="43" style="8" width="6.32"/>
    <col collapsed="false" customWidth="true" hidden="false" outlineLevel="0" max="45" min="45" style="1" width="6.32"/>
    <col collapsed="false" customWidth="true" hidden="false" outlineLevel="0" max="46" min="46" style="1" width="5.82"/>
    <col collapsed="false" customWidth="true" hidden="false" outlineLevel="0" max="47" min="47" style="9" width="4.99"/>
    <col collapsed="false" customWidth="true" hidden="false" outlineLevel="0" max="48" min="48" style="3" width="5.32"/>
    <col collapsed="false" customWidth="true" hidden="false" outlineLevel="0" max="49" min="49" style="7" width="3.82"/>
    <col collapsed="false" customWidth="true" hidden="false" outlineLevel="0" max="50" min="50" style="10" width="3.82"/>
    <col collapsed="false" customWidth="true" hidden="false" outlineLevel="0" max="51" min="51" style="10" width="4.32"/>
    <col collapsed="false" customWidth="true" hidden="false" outlineLevel="0" max="52" min="52" style="11" width="6.49"/>
  </cols>
  <sheetData>
    <row r="1" customFormat="false" ht="14.1" hidden="false" customHeight="true" outlineLevel="0" collapsed="false">
      <c r="A1" s="12"/>
      <c r="B1" s="12"/>
      <c r="D1" s="12"/>
      <c r="F1" s="12"/>
      <c r="G1" s="12"/>
      <c r="H1" s="13"/>
      <c r="I1" s="12"/>
      <c r="J1" s="12"/>
      <c r="K1" s="14" t="s">
        <v>0</v>
      </c>
      <c r="L1" s="12"/>
      <c r="M1" s="12"/>
      <c r="N1" s="12"/>
      <c r="O1" s="12"/>
      <c r="Q1" s="12"/>
      <c r="R1" s="12"/>
      <c r="S1" s="12"/>
      <c r="U1" s="12"/>
      <c r="V1" s="12"/>
      <c r="AA1" s="12"/>
      <c r="AB1" s="12"/>
      <c r="AC1" s="12"/>
      <c r="AD1" s="12"/>
      <c r="AE1" s="12"/>
      <c r="AI1" s="12"/>
      <c r="AJ1" s="12"/>
      <c r="AK1" s="12"/>
      <c r="AL1" s="12"/>
      <c r="AM1" s="5"/>
    </row>
    <row r="2" customFormat="false" ht="14.1" hidden="false" customHeight="true" outlineLevel="0" collapsed="false">
      <c r="A2" s="15" t="s">
        <v>1</v>
      </c>
      <c r="B2" s="12"/>
      <c r="D2" s="16" t="n">
        <v>1.9835</v>
      </c>
      <c r="F2" s="12"/>
      <c r="G2" s="12"/>
      <c r="H2" s="13"/>
      <c r="I2" s="12"/>
      <c r="J2" s="12"/>
      <c r="K2" s="12"/>
      <c r="L2" s="14" t="s">
        <v>2</v>
      </c>
      <c r="M2" s="12"/>
      <c r="N2" s="12"/>
      <c r="O2" s="12"/>
      <c r="Q2" s="12"/>
      <c r="R2" s="12"/>
      <c r="S2" s="12"/>
      <c r="U2" s="12"/>
      <c r="V2" s="12"/>
      <c r="AA2" s="12"/>
      <c r="AB2" s="12"/>
      <c r="AC2" s="12"/>
      <c r="AD2" s="12"/>
      <c r="AE2" s="12"/>
      <c r="AI2" s="12"/>
      <c r="AJ2" s="12"/>
      <c r="AK2" s="12"/>
      <c r="AL2" s="12"/>
      <c r="AM2" s="5"/>
    </row>
    <row r="3" customFormat="false" ht="14.1" hidden="false" customHeight="true" outlineLevel="0" collapsed="false">
      <c r="A3" s="17"/>
      <c r="B3" s="17"/>
      <c r="C3" s="18"/>
      <c r="D3" s="19"/>
      <c r="E3" s="18"/>
      <c r="F3" s="17"/>
      <c r="G3" s="17"/>
      <c r="H3" s="20"/>
      <c r="I3" s="17"/>
      <c r="J3" s="17"/>
      <c r="K3" s="17"/>
      <c r="L3" s="17"/>
      <c r="M3" s="17"/>
      <c r="N3" s="17"/>
      <c r="O3" s="17"/>
      <c r="P3" s="21"/>
      <c r="Q3" s="17"/>
      <c r="R3" s="17"/>
      <c r="S3" s="17"/>
      <c r="T3" s="22"/>
      <c r="U3" s="17"/>
      <c r="V3" s="17"/>
      <c r="W3" s="18"/>
      <c r="X3" s="23"/>
      <c r="Y3" s="23"/>
      <c r="Z3" s="24"/>
      <c r="AA3" s="17"/>
      <c r="AB3" s="17"/>
      <c r="AC3" s="17"/>
      <c r="AD3" s="17"/>
      <c r="AE3" s="17"/>
      <c r="AF3" s="18"/>
      <c r="AG3" s="18"/>
      <c r="AH3" s="18"/>
      <c r="AI3" s="17"/>
      <c r="AJ3" s="17"/>
      <c r="AK3" s="17"/>
      <c r="AL3" s="17"/>
      <c r="AM3" s="21"/>
      <c r="AN3" s="23"/>
      <c r="AO3" s="23"/>
      <c r="AP3" s="25"/>
      <c r="AQ3" s="26"/>
      <c r="AR3" s="27"/>
      <c r="AS3" s="28"/>
      <c r="AV3" s="29"/>
      <c r="AW3" s="24"/>
      <c r="AX3" s="30"/>
      <c r="AY3" s="31"/>
    </row>
    <row r="4" s="1" customFormat="true" ht="14.1" hidden="false" customHeight="true" outlineLevel="0" collapsed="false">
      <c r="A4" s="32"/>
      <c r="B4" s="33"/>
      <c r="C4" s="34"/>
      <c r="D4" s="35" t="s">
        <v>3</v>
      </c>
      <c r="E4" s="34"/>
      <c r="F4" s="32"/>
      <c r="G4" s="36"/>
      <c r="H4" s="36"/>
      <c r="I4" s="36"/>
      <c r="J4" s="36"/>
      <c r="K4" s="36"/>
      <c r="L4" s="36"/>
      <c r="M4" s="36"/>
      <c r="N4" s="36"/>
      <c r="O4" s="36"/>
      <c r="P4" s="37"/>
      <c r="Q4" s="36"/>
      <c r="R4" s="36"/>
      <c r="S4" s="36"/>
      <c r="T4" s="37"/>
      <c r="U4" s="36"/>
      <c r="V4" s="36"/>
      <c r="W4" s="38" t="s">
        <v>4</v>
      </c>
      <c r="X4" s="38"/>
      <c r="Y4" s="38"/>
      <c r="Z4" s="38"/>
      <c r="AA4" s="39"/>
      <c r="AB4" s="39"/>
      <c r="AC4" s="39"/>
      <c r="AD4" s="40"/>
      <c r="AE4" s="36"/>
      <c r="AF4" s="36"/>
      <c r="AG4" s="36"/>
      <c r="AH4" s="34"/>
      <c r="AI4" s="36"/>
      <c r="AJ4" s="41"/>
      <c r="AK4" s="36"/>
      <c r="AL4" s="36"/>
      <c r="AM4" s="37"/>
      <c r="AN4" s="42"/>
      <c r="AO4" s="43"/>
      <c r="AP4" s="44" t="s">
        <v>5</v>
      </c>
      <c r="AQ4" s="45"/>
      <c r="AR4" s="46"/>
      <c r="AS4" s="47"/>
      <c r="AT4" s="48"/>
      <c r="AU4" s="48"/>
      <c r="AV4" s="49"/>
      <c r="AW4" s="50" t="s">
        <v>6</v>
      </c>
      <c r="AX4" s="51"/>
      <c r="AY4" s="51"/>
      <c r="AZ4" s="52"/>
    </row>
    <row r="5" customFormat="false" ht="12.95" hidden="false" customHeight="true" outlineLevel="0" collapsed="false">
      <c r="A5" s="53" t="s">
        <v>7</v>
      </c>
      <c r="B5" s="54" t="s">
        <v>8</v>
      </c>
      <c r="C5" s="55" t="s">
        <v>8</v>
      </c>
      <c r="D5" s="56" t="s">
        <v>9</v>
      </c>
      <c r="E5" s="55" t="s">
        <v>10</v>
      </c>
      <c r="F5" s="57" t="s">
        <v>11</v>
      </c>
      <c r="G5" s="53" t="s">
        <v>12</v>
      </c>
      <c r="H5" s="53" t="s">
        <v>13</v>
      </c>
      <c r="I5" s="53" t="s">
        <v>14</v>
      </c>
      <c r="J5" s="53" t="s">
        <v>15</v>
      </c>
      <c r="K5" s="53" t="s">
        <v>16</v>
      </c>
      <c r="L5" s="53" t="s">
        <v>15</v>
      </c>
      <c r="M5" s="58" t="s">
        <v>17</v>
      </c>
      <c r="N5" s="58"/>
      <c r="O5" s="58"/>
      <c r="P5" s="58"/>
      <c r="Q5" s="58"/>
      <c r="R5" s="58"/>
      <c r="S5" s="58"/>
      <c r="T5" s="58"/>
      <c r="U5" s="53" t="s">
        <v>18</v>
      </c>
      <c r="V5" s="53" t="s">
        <v>19</v>
      </c>
      <c r="W5" s="53" t="s">
        <v>16</v>
      </c>
      <c r="X5" s="53" t="s">
        <v>16</v>
      </c>
      <c r="Y5" s="53" t="s">
        <v>16</v>
      </c>
      <c r="Z5" s="59" t="s">
        <v>20</v>
      </c>
      <c r="AA5" s="60" t="s">
        <v>21</v>
      </c>
      <c r="AB5" s="60" t="s">
        <v>21</v>
      </c>
      <c r="AC5" s="60" t="s">
        <v>22</v>
      </c>
      <c r="AD5" s="61" t="s">
        <v>21</v>
      </c>
      <c r="AE5" s="53" t="s">
        <v>23</v>
      </c>
      <c r="AF5" s="62" t="s">
        <v>24</v>
      </c>
      <c r="AG5" s="63"/>
      <c r="AH5" s="53" t="s">
        <v>25</v>
      </c>
      <c r="AI5" s="64" t="s">
        <v>26</v>
      </c>
      <c r="AJ5" s="64" t="s">
        <v>27</v>
      </c>
      <c r="AK5" s="53" t="s">
        <v>14</v>
      </c>
      <c r="AL5" s="53" t="s">
        <v>15</v>
      </c>
      <c r="AM5" s="56" t="s">
        <v>16</v>
      </c>
      <c r="AN5" s="65" t="s">
        <v>28</v>
      </c>
      <c r="AO5" s="61" t="s">
        <v>21</v>
      </c>
      <c r="AP5" s="60" t="s">
        <v>29</v>
      </c>
      <c r="AQ5" s="66" t="s">
        <v>29</v>
      </c>
      <c r="AR5" s="61" t="s">
        <v>30</v>
      </c>
      <c r="AS5" s="67" t="s">
        <v>31</v>
      </c>
      <c r="AT5" s="67" t="s">
        <v>32</v>
      </c>
      <c r="AU5" s="68" t="s">
        <v>33</v>
      </c>
      <c r="AV5" s="69" t="s">
        <v>34</v>
      </c>
      <c r="AW5" s="70" t="s">
        <v>35</v>
      </c>
      <c r="AX5" s="70" t="s">
        <v>36</v>
      </c>
      <c r="AY5" s="70"/>
      <c r="AZ5" s="71" t="s">
        <v>16</v>
      </c>
    </row>
    <row r="6" customFormat="false" ht="12.95" hidden="false" customHeight="true" outlineLevel="0" collapsed="false">
      <c r="A6" s="72" t="s">
        <v>37</v>
      </c>
      <c r="B6" s="54" t="s">
        <v>38</v>
      </c>
      <c r="C6" s="55"/>
      <c r="D6" s="56" t="s">
        <v>39</v>
      </c>
      <c r="E6" s="55" t="s">
        <v>40</v>
      </c>
      <c r="F6" s="57" t="s">
        <v>41</v>
      </c>
      <c r="G6" s="53" t="s">
        <v>42</v>
      </c>
      <c r="H6" s="53" t="s">
        <v>43</v>
      </c>
      <c r="I6" s="53" t="s">
        <v>44</v>
      </c>
      <c r="J6" s="53" t="s">
        <v>44</v>
      </c>
      <c r="K6" s="53" t="s">
        <v>44</v>
      </c>
      <c r="L6" s="53" t="s">
        <v>45</v>
      </c>
      <c r="M6" s="73" t="s">
        <v>46</v>
      </c>
      <c r="N6" s="56" t="s">
        <v>47</v>
      </c>
      <c r="O6" s="56" t="s">
        <v>48</v>
      </c>
      <c r="P6" s="74" t="s">
        <v>49</v>
      </c>
      <c r="Q6" s="56" t="s">
        <v>50</v>
      </c>
      <c r="R6" s="56" t="s">
        <v>51</v>
      </c>
      <c r="S6" s="56" t="s">
        <v>52</v>
      </c>
      <c r="T6" s="75" t="s">
        <v>53</v>
      </c>
      <c r="U6" s="53" t="s">
        <v>54</v>
      </c>
      <c r="V6" s="53" t="s">
        <v>55</v>
      </c>
      <c r="W6" s="53" t="s">
        <v>21</v>
      </c>
      <c r="X6" s="53" t="s">
        <v>21</v>
      </c>
      <c r="Y6" s="53" t="s">
        <v>21</v>
      </c>
      <c r="Z6" s="53" t="s">
        <v>21</v>
      </c>
      <c r="AA6" s="60" t="s">
        <v>56</v>
      </c>
      <c r="AB6" s="60" t="s">
        <v>57</v>
      </c>
      <c r="AC6" s="60" t="s">
        <v>58</v>
      </c>
      <c r="AD6" s="61" t="s">
        <v>59</v>
      </c>
      <c r="AE6" s="53" t="s">
        <v>60</v>
      </c>
      <c r="AF6" s="73" t="s">
        <v>61</v>
      </c>
      <c r="AG6" s="76" t="s">
        <v>62</v>
      </c>
      <c r="AH6" s="53" t="s">
        <v>63</v>
      </c>
      <c r="AI6" s="64" t="s">
        <v>64</v>
      </c>
      <c r="AJ6" s="64"/>
      <c r="AK6" s="53" t="s">
        <v>65</v>
      </c>
      <c r="AL6" s="53" t="s">
        <v>65</v>
      </c>
      <c r="AM6" s="56" t="s">
        <v>65</v>
      </c>
      <c r="AN6" s="65" t="s">
        <v>56</v>
      </c>
      <c r="AO6" s="61" t="s">
        <v>66</v>
      </c>
      <c r="AP6" s="60" t="s">
        <v>67</v>
      </c>
      <c r="AQ6" s="66" t="s">
        <v>67</v>
      </c>
      <c r="AR6" s="61" t="s">
        <v>68</v>
      </c>
      <c r="AS6" s="67" t="s">
        <v>69</v>
      </c>
      <c r="AT6" s="67" t="s">
        <v>70</v>
      </c>
      <c r="AU6" s="68" t="s">
        <v>71</v>
      </c>
      <c r="AV6" s="77"/>
      <c r="AW6" s="70" t="s">
        <v>72</v>
      </c>
      <c r="AX6" s="70" t="s">
        <v>72</v>
      </c>
      <c r="AY6" s="70"/>
      <c r="AZ6" s="71" t="s">
        <v>73</v>
      </c>
    </row>
    <row r="7" customFormat="false" ht="12.95" hidden="false" customHeight="true" outlineLevel="0" collapsed="false">
      <c r="A7" s="53"/>
      <c r="B7" s="54"/>
      <c r="C7" s="55"/>
      <c r="D7" s="56"/>
      <c r="E7" s="55"/>
      <c r="F7" s="57"/>
      <c r="G7" s="53"/>
      <c r="H7" s="53"/>
      <c r="I7" s="53"/>
      <c r="J7" s="53"/>
      <c r="K7" s="53"/>
      <c r="L7" s="53"/>
      <c r="M7" s="73"/>
      <c r="N7" s="56" t="s">
        <v>74</v>
      </c>
      <c r="O7" s="56" t="s">
        <v>75</v>
      </c>
      <c r="P7" s="74"/>
      <c r="Q7" s="56"/>
      <c r="R7" s="56"/>
      <c r="S7" s="56" t="s">
        <v>48</v>
      </c>
      <c r="T7" s="75" t="s">
        <v>27</v>
      </c>
      <c r="U7" s="53"/>
      <c r="V7" s="53"/>
      <c r="W7" s="64" t="n">
        <v>153400</v>
      </c>
      <c r="X7" s="55" t="s">
        <v>76</v>
      </c>
      <c r="Y7" s="55" t="s">
        <v>76</v>
      </c>
      <c r="Z7" s="59" t="n">
        <v>105500</v>
      </c>
      <c r="AA7" s="60"/>
      <c r="AB7" s="60" t="s">
        <v>77</v>
      </c>
      <c r="AC7" s="60"/>
      <c r="AD7" s="61"/>
      <c r="AE7" s="76"/>
      <c r="AF7" s="78" t="n">
        <v>1.7</v>
      </c>
      <c r="AG7" s="78" t="n">
        <v>1.3</v>
      </c>
      <c r="AH7" s="73"/>
      <c r="AI7" s="79" t="n">
        <v>31798</v>
      </c>
      <c r="AJ7" s="64"/>
      <c r="AK7" s="53"/>
      <c r="AL7" s="53"/>
      <c r="AM7" s="56"/>
      <c r="AN7" s="65"/>
      <c r="AO7" s="61"/>
      <c r="AP7" s="60" t="s">
        <v>78</v>
      </c>
      <c r="AQ7" s="66" t="s">
        <v>79</v>
      </c>
      <c r="AR7" s="61" t="s">
        <v>80</v>
      </c>
      <c r="AS7" s="67" t="s">
        <v>81</v>
      </c>
      <c r="AT7" s="67" t="s">
        <v>82</v>
      </c>
      <c r="AU7" s="68" t="s">
        <v>61</v>
      </c>
      <c r="AV7" s="77"/>
      <c r="AW7" s="70"/>
      <c r="AX7" s="70"/>
      <c r="AY7" s="70"/>
      <c r="AZ7" s="71" t="s">
        <v>83</v>
      </c>
    </row>
    <row r="8" customFormat="false" ht="12.95" hidden="false" customHeight="true" outlineLevel="0" collapsed="false">
      <c r="A8" s="53"/>
      <c r="B8" s="54"/>
      <c r="C8" s="55" t="s">
        <v>84</v>
      </c>
      <c r="D8" s="56"/>
      <c r="E8" s="55" t="s">
        <v>85</v>
      </c>
      <c r="F8" s="57"/>
      <c r="G8" s="56" t="s">
        <v>41</v>
      </c>
      <c r="H8" s="56" t="s">
        <v>41</v>
      </c>
      <c r="I8" s="56" t="s">
        <v>41</v>
      </c>
      <c r="J8" s="56" t="s">
        <v>41</v>
      </c>
      <c r="K8" s="56" t="s">
        <v>41</v>
      </c>
      <c r="L8" s="76" t="s">
        <v>41</v>
      </c>
      <c r="M8" s="56" t="s">
        <v>41</v>
      </c>
      <c r="N8" s="56" t="s">
        <v>41</v>
      </c>
      <c r="O8" s="56" t="s">
        <v>41</v>
      </c>
      <c r="P8" s="56" t="s">
        <v>41</v>
      </c>
      <c r="Q8" s="56" t="s">
        <v>41</v>
      </c>
      <c r="R8" s="56" t="s">
        <v>41</v>
      </c>
      <c r="S8" s="56" t="s">
        <v>62</v>
      </c>
      <c r="T8" s="76" t="s">
        <v>41</v>
      </c>
      <c r="U8" s="56" t="s">
        <v>41</v>
      </c>
      <c r="V8" s="56" t="s">
        <v>41</v>
      </c>
      <c r="W8" s="56" t="s">
        <v>41</v>
      </c>
      <c r="X8" s="55" t="n">
        <v>150400</v>
      </c>
      <c r="Y8" s="55" t="n">
        <v>150400</v>
      </c>
      <c r="Z8" s="80" t="s">
        <v>86</v>
      </c>
      <c r="AA8" s="56" t="s">
        <v>41</v>
      </c>
      <c r="AB8" s="55" t="n">
        <v>72000</v>
      </c>
      <c r="AC8" s="56" t="s">
        <v>41</v>
      </c>
      <c r="AD8" s="56" t="s">
        <v>41</v>
      </c>
      <c r="AE8" s="76" t="s">
        <v>41</v>
      </c>
      <c r="AF8" s="56" t="s">
        <v>41</v>
      </c>
      <c r="AG8" s="56" t="s">
        <v>41</v>
      </c>
      <c r="AH8" s="73" t="s">
        <v>41</v>
      </c>
      <c r="AI8" s="56" t="s">
        <v>41</v>
      </c>
      <c r="AJ8" s="56" t="s">
        <v>41</v>
      </c>
      <c r="AK8" s="56" t="s">
        <v>41</v>
      </c>
      <c r="AL8" s="56" t="s">
        <v>41</v>
      </c>
      <c r="AM8" s="56" t="s">
        <v>41</v>
      </c>
      <c r="AN8" s="65" t="s">
        <v>85</v>
      </c>
      <c r="AO8" s="61" t="s">
        <v>41</v>
      </c>
      <c r="AP8" s="61" t="s">
        <v>41</v>
      </c>
      <c r="AQ8" s="66" t="s">
        <v>87</v>
      </c>
      <c r="AR8" s="61" t="s">
        <v>41</v>
      </c>
      <c r="AS8" s="61" t="s">
        <v>41</v>
      </c>
      <c r="AT8" s="61" t="s">
        <v>41</v>
      </c>
      <c r="AU8" s="61" t="s">
        <v>41</v>
      </c>
      <c r="AV8" s="77"/>
      <c r="AW8" s="70"/>
      <c r="AX8" s="70"/>
      <c r="AY8" s="70"/>
      <c r="AZ8" s="71" t="s">
        <v>88</v>
      </c>
    </row>
    <row r="9" customFormat="false" ht="12.95" hidden="false" customHeight="true" outlineLevel="0" collapsed="false">
      <c r="A9" s="53"/>
      <c r="B9" s="54"/>
      <c r="C9" s="55"/>
      <c r="D9" s="56"/>
      <c r="E9" s="55"/>
      <c r="F9" s="57"/>
      <c r="G9" s="53"/>
      <c r="H9" s="53"/>
      <c r="I9" s="53"/>
      <c r="J9" s="53"/>
      <c r="K9" s="53"/>
      <c r="L9" s="76"/>
      <c r="M9" s="56"/>
      <c r="N9" s="45" t="n">
        <v>1.03</v>
      </c>
      <c r="O9" s="45" t="n">
        <v>1.05</v>
      </c>
      <c r="P9" s="45" t="n">
        <v>1.02</v>
      </c>
      <c r="Q9" s="81" t="n">
        <v>1.02</v>
      </c>
      <c r="R9" s="45" t="n">
        <v>1.04</v>
      </c>
      <c r="S9" s="56" t="s">
        <v>41</v>
      </c>
      <c r="T9" s="75"/>
      <c r="U9" s="53"/>
      <c r="V9" s="53"/>
      <c r="W9" s="53"/>
      <c r="X9" s="56" t="s">
        <v>41</v>
      </c>
      <c r="Y9" s="80" t="s">
        <v>86</v>
      </c>
      <c r="Z9" s="80"/>
      <c r="AA9" s="60"/>
      <c r="AB9" s="80" t="s">
        <v>86</v>
      </c>
      <c r="AC9" s="60"/>
      <c r="AD9" s="60"/>
      <c r="AE9" s="82"/>
      <c r="AF9" s="78"/>
      <c r="AG9" s="78"/>
      <c r="AH9" s="73"/>
      <c r="AI9" s="79"/>
      <c r="AJ9" s="83"/>
      <c r="AK9" s="53"/>
      <c r="AL9" s="53"/>
      <c r="AM9" s="56"/>
      <c r="AN9" s="65"/>
      <c r="AO9" s="61"/>
      <c r="AP9" s="60"/>
      <c r="AQ9" s="66"/>
      <c r="AR9" s="66"/>
      <c r="AS9" s="84"/>
      <c r="AT9" s="84"/>
      <c r="AU9" s="84"/>
      <c r="AV9" s="77"/>
      <c r="AW9" s="70"/>
      <c r="AX9" s="70"/>
      <c r="AY9" s="70"/>
      <c r="AZ9" s="85" t="s">
        <v>41</v>
      </c>
    </row>
    <row r="10" customFormat="false" ht="12.95" hidden="false" customHeight="true" outlineLevel="0" collapsed="false">
      <c r="A10" s="15" t="s">
        <v>89</v>
      </c>
      <c r="B10" s="86"/>
      <c r="C10" s="87"/>
      <c r="D10" s="87"/>
      <c r="E10" s="87"/>
      <c r="F10" s="88"/>
      <c r="G10" s="2"/>
      <c r="H10" s="7"/>
      <c r="I10" s="2"/>
      <c r="J10" s="2"/>
      <c r="K10" s="2"/>
      <c r="L10" s="2"/>
      <c r="M10" s="89"/>
      <c r="N10" s="87"/>
      <c r="O10" s="87"/>
      <c r="P10" s="90"/>
      <c r="Q10" s="91"/>
      <c r="R10" s="91"/>
      <c r="S10" s="91"/>
      <c r="T10" s="92"/>
      <c r="U10" s="79"/>
      <c r="V10" s="79"/>
      <c r="W10" s="79"/>
      <c r="X10" s="93"/>
      <c r="Y10" s="93"/>
      <c r="Z10" s="94"/>
      <c r="AA10" s="79"/>
      <c r="AB10" s="79"/>
      <c r="AC10" s="79"/>
      <c r="AD10" s="79"/>
      <c r="AE10" s="79"/>
      <c r="AF10" s="95"/>
      <c r="AG10" s="96"/>
      <c r="AH10" s="79"/>
      <c r="AI10" s="83"/>
      <c r="AJ10" s="83"/>
      <c r="AK10" s="79"/>
      <c r="AL10" s="79"/>
      <c r="AM10" s="79"/>
      <c r="AN10" s="97"/>
      <c r="AO10" s="93"/>
      <c r="AP10" s="98"/>
      <c r="AQ10" s="98"/>
      <c r="AR10" s="98"/>
      <c r="AS10" s="98"/>
      <c r="AV10" s="99"/>
      <c r="AW10" s="100"/>
      <c r="AX10" s="100"/>
      <c r="AY10" s="100"/>
      <c r="AZ10" s="101"/>
    </row>
    <row r="11" s="106" customFormat="true" ht="12.95" hidden="false" customHeight="true" outlineLevel="0" collapsed="false">
      <c r="A11" s="102" t="s">
        <v>90</v>
      </c>
      <c r="B11" s="103" t="n">
        <v>6900.33</v>
      </c>
      <c r="C11" s="104" t="n">
        <v>284801</v>
      </c>
      <c r="D11" s="87"/>
      <c r="E11" s="87"/>
      <c r="F11" s="88"/>
      <c r="G11" s="2"/>
      <c r="H11" s="7"/>
      <c r="I11" s="2"/>
      <c r="J11" s="2"/>
      <c r="K11" s="2"/>
      <c r="L11" s="2"/>
      <c r="M11" s="89"/>
      <c r="N11" s="87"/>
      <c r="O11" s="87"/>
      <c r="P11" s="90"/>
      <c r="Q11" s="91"/>
      <c r="R11" s="91"/>
      <c r="S11" s="91"/>
      <c r="T11" s="92"/>
      <c r="U11" s="79"/>
      <c r="V11" s="79"/>
      <c r="W11" s="79"/>
      <c r="X11" s="93"/>
      <c r="Y11" s="93"/>
      <c r="Z11" s="94"/>
      <c r="AA11" s="79"/>
      <c r="AB11" s="79"/>
      <c r="AC11" s="79"/>
      <c r="AD11" s="79"/>
      <c r="AE11" s="79"/>
      <c r="AF11" s="95"/>
      <c r="AG11" s="96"/>
      <c r="AH11" s="104"/>
      <c r="AI11" s="104" t="n">
        <v>6078</v>
      </c>
      <c r="AJ11" s="104"/>
      <c r="AK11" s="79"/>
      <c r="AL11" s="79"/>
      <c r="AM11" s="79"/>
      <c r="AN11" s="97"/>
      <c r="AO11" s="93" t="n">
        <v>0</v>
      </c>
      <c r="AP11" s="79"/>
      <c r="AQ11" s="79"/>
      <c r="AR11" s="79"/>
      <c r="AS11" s="79"/>
      <c r="AT11" s="2"/>
      <c r="AU11" s="105"/>
      <c r="AV11" s="99"/>
      <c r="AW11" s="100"/>
      <c r="AX11" s="100"/>
      <c r="AY11" s="100"/>
      <c r="AZ11" s="101"/>
    </row>
    <row r="12" customFormat="false" ht="3" hidden="false" customHeight="true" outlineLevel="0" collapsed="false">
      <c r="A12" s="107"/>
      <c r="B12" s="108"/>
      <c r="C12" s="109"/>
      <c r="D12" s="107"/>
      <c r="E12" s="109"/>
      <c r="F12" s="110"/>
      <c r="G12" s="107"/>
      <c r="H12" s="111"/>
      <c r="I12" s="107"/>
      <c r="J12" s="107"/>
      <c r="K12" s="107"/>
      <c r="L12" s="107"/>
      <c r="M12" s="112"/>
      <c r="N12" s="107"/>
      <c r="O12" s="107"/>
      <c r="P12" s="113"/>
      <c r="Q12" s="114"/>
      <c r="R12" s="114"/>
      <c r="S12" s="114"/>
      <c r="T12" s="115"/>
      <c r="U12" s="114"/>
      <c r="V12" s="114"/>
      <c r="W12" s="114"/>
      <c r="X12" s="116"/>
      <c r="Y12" s="116"/>
      <c r="Z12" s="117"/>
      <c r="AA12" s="118"/>
      <c r="AB12" s="118"/>
      <c r="AC12" s="118"/>
      <c r="AD12" s="118"/>
      <c r="AE12" s="114"/>
      <c r="AF12" s="119"/>
      <c r="AG12" s="120"/>
      <c r="AH12" s="114"/>
      <c r="AI12" s="118"/>
      <c r="AJ12" s="118"/>
      <c r="AK12" s="114"/>
      <c r="AL12" s="114"/>
      <c r="AM12" s="114"/>
      <c r="AN12" s="121"/>
      <c r="AO12" s="116"/>
      <c r="AP12" s="117"/>
      <c r="AQ12" s="117"/>
      <c r="AR12" s="117"/>
      <c r="AS12" s="117"/>
      <c r="AT12" s="117"/>
      <c r="AU12" s="122"/>
      <c r="AV12" s="123"/>
      <c r="AW12" s="117"/>
      <c r="AX12" s="117"/>
      <c r="AY12" s="117"/>
      <c r="AZ12" s="116"/>
    </row>
    <row r="13" customFormat="false" ht="12.95" hidden="false" customHeight="true" outlineLevel="0" collapsed="false">
      <c r="A13" s="10" t="n">
        <v>1</v>
      </c>
      <c r="B13" s="124" t="n">
        <v>6900.32</v>
      </c>
      <c r="C13" s="87" t="n">
        <v>284764</v>
      </c>
      <c r="D13" s="125" t="n">
        <f aca="false">C13-C11</f>
        <v>-37</v>
      </c>
      <c r="E13" s="87" t="n">
        <f aca="false">C13-152000</f>
        <v>132764</v>
      </c>
      <c r="F13" s="126" t="n">
        <f aca="false">D13/$D$2</f>
        <v>-18.6538946307033</v>
      </c>
      <c r="G13" s="12" t="n">
        <v>53</v>
      </c>
      <c r="H13" s="13" t="n">
        <v>0</v>
      </c>
      <c r="I13" s="12" t="n">
        <f aca="false">G13+H13</f>
        <v>53</v>
      </c>
      <c r="J13" s="4" t="n">
        <f aca="false">IF(L13&gt;0,L13,0)</f>
        <v>10.1461053692967</v>
      </c>
      <c r="K13" s="12" t="n">
        <f aca="false">I13+J13</f>
        <v>63.1461053692967</v>
      </c>
      <c r="L13" s="12" t="n">
        <f aca="false">F13-(I13-AK13)</f>
        <v>10.1461053692967</v>
      </c>
      <c r="M13" s="127" t="n">
        <v>4.8</v>
      </c>
      <c r="N13" s="128" t="n">
        <v>0</v>
      </c>
      <c r="O13" s="128" t="n">
        <v>0</v>
      </c>
      <c r="P13" s="90" t="n">
        <v>0</v>
      </c>
      <c r="Q13" s="129" t="n">
        <f aca="false">1.58*1.02</f>
        <v>1.6116</v>
      </c>
      <c r="R13" s="129" t="n">
        <v>2.61</v>
      </c>
      <c r="S13" s="130" t="n">
        <v>0</v>
      </c>
      <c r="T13" s="92" t="n">
        <v>0</v>
      </c>
      <c r="U13" s="131" t="n">
        <v>42</v>
      </c>
      <c r="V13" s="131" t="n">
        <v>0</v>
      </c>
      <c r="W13" s="132" t="n">
        <f aca="false">M13-N13-P13-O13-Q13-R13-S13-T13+U13+V13</f>
        <v>42.5784</v>
      </c>
      <c r="X13" s="133" t="n">
        <f aca="false">W13-AO13</f>
        <v>42.5784</v>
      </c>
      <c r="Y13" s="134" t="n">
        <f aca="false">X13*1.9835</f>
        <v>84.4542564</v>
      </c>
      <c r="Z13" s="134" t="n">
        <f aca="false">W13*(26300/37500)*1.9835</f>
        <v>59.2305851552</v>
      </c>
      <c r="AA13" s="79"/>
      <c r="AB13" s="79"/>
      <c r="AC13" s="79"/>
      <c r="AD13" s="79"/>
      <c r="AE13" s="131" t="n">
        <v>0</v>
      </c>
      <c r="AF13" s="135"/>
      <c r="AG13" s="136"/>
      <c r="AH13" s="131" t="n">
        <v>35</v>
      </c>
      <c r="AI13" s="79" t="n">
        <f aca="false">AI11-AH13</f>
        <v>6043</v>
      </c>
      <c r="AJ13" s="79"/>
      <c r="AK13" s="131" t="n">
        <f aca="false">N13+O13+P13+Q13+R13+S13+T13+W13+AE13+AH13</f>
        <v>81.8</v>
      </c>
      <c r="AL13" s="131" t="n">
        <f aca="false">IF(L13&lt;0,L13*-1,0)</f>
        <v>0</v>
      </c>
      <c r="AM13" s="131" t="n">
        <f aca="false">AK13+AL13</f>
        <v>81.8</v>
      </c>
      <c r="AN13" s="97" t="n">
        <f aca="false">U13*1.9835</f>
        <v>83.307</v>
      </c>
      <c r="AO13" s="93"/>
      <c r="AP13" s="98"/>
      <c r="AQ13" s="98"/>
      <c r="AR13" s="98"/>
      <c r="AS13" s="98"/>
      <c r="AU13" s="1"/>
      <c r="AV13" s="137" t="n">
        <v>0</v>
      </c>
      <c r="AW13" s="100" t="n">
        <v>68</v>
      </c>
      <c r="AX13" s="100" t="n">
        <v>37</v>
      </c>
      <c r="AY13" s="100"/>
      <c r="AZ13" s="101" t="n">
        <f aca="false">SUM(N13,P13:T13)</f>
        <v>4.2216</v>
      </c>
    </row>
    <row r="14" customFormat="false" ht="12.95" hidden="false" customHeight="true" outlineLevel="0" collapsed="false">
      <c r="A14" s="10" t="n">
        <f aca="false">A13+1</f>
        <v>2</v>
      </c>
      <c r="B14" s="138" t="n">
        <v>6900.3</v>
      </c>
      <c r="C14" s="87" t="n">
        <v>284690</v>
      </c>
      <c r="D14" s="125" t="n">
        <f aca="false">C14-C13</f>
        <v>-74</v>
      </c>
      <c r="E14" s="87" t="n">
        <f aca="false">C14-152000</f>
        <v>132690</v>
      </c>
      <c r="F14" s="126" t="n">
        <f aca="false">D14/$D$2</f>
        <v>-37.3077892614066</v>
      </c>
      <c r="G14" s="12" t="n">
        <v>54</v>
      </c>
      <c r="H14" s="13" t="n">
        <v>0</v>
      </c>
      <c r="I14" s="12" t="n">
        <f aca="false">G14+H14</f>
        <v>54</v>
      </c>
      <c r="J14" s="4" t="n">
        <f aca="false">IF(L14&gt;0,L14,0)</f>
        <v>0</v>
      </c>
      <c r="K14" s="12" t="n">
        <f aca="false">I14+J14</f>
        <v>54</v>
      </c>
      <c r="L14" s="12" t="n">
        <f aca="false">F14-(I14-AK14)</f>
        <v>-8.70778926140661</v>
      </c>
      <c r="M14" s="127" t="n">
        <v>4.6</v>
      </c>
      <c r="N14" s="128" t="n">
        <v>0</v>
      </c>
      <c r="O14" s="128" t="n">
        <v>0</v>
      </c>
      <c r="P14" s="90" t="n">
        <v>0</v>
      </c>
      <c r="Q14" s="129" t="n">
        <f aca="false">1.58*1.02</f>
        <v>1.6116</v>
      </c>
      <c r="R14" s="129" t="n">
        <v>2.52</v>
      </c>
      <c r="S14" s="128" t="n">
        <v>0</v>
      </c>
      <c r="T14" s="92" t="n">
        <v>0</v>
      </c>
      <c r="U14" s="131" t="n">
        <v>42</v>
      </c>
      <c r="V14" s="131" t="n">
        <v>0</v>
      </c>
      <c r="W14" s="132" t="n">
        <f aca="false">M14-N14-P14-O14-Q14-R14-S14-T14+U14+V14</f>
        <v>42.4684</v>
      </c>
      <c r="X14" s="133" t="n">
        <f aca="false">W14-AO14</f>
        <v>42.4684</v>
      </c>
      <c r="Y14" s="134" t="n">
        <f aca="false">Y13+(X14*1.9835)</f>
        <v>168.6903278</v>
      </c>
      <c r="Z14" s="134" t="n">
        <f aca="false">Z13+X14*(26300/37500)*1.9835</f>
        <v>118.308149897067</v>
      </c>
      <c r="AA14" s="79"/>
      <c r="AB14" s="79"/>
      <c r="AC14" s="79"/>
      <c r="AD14" s="79"/>
      <c r="AE14" s="131" t="n">
        <v>0</v>
      </c>
      <c r="AF14" s="135"/>
      <c r="AG14" s="136"/>
      <c r="AH14" s="131" t="n">
        <v>36</v>
      </c>
      <c r="AI14" s="79" t="n">
        <f aca="false">AI13-AH14</f>
        <v>6007</v>
      </c>
      <c r="AJ14" s="79"/>
      <c r="AK14" s="131" t="n">
        <f aca="false">N14+O14+P14+Q14+R14+S14+T14+W14+AE14+AH14</f>
        <v>82.6</v>
      </c>
      <c r="AL14" s="131" t="n">
        <f aca="false">IF(L14&lt;0,L14*-1,0)</f>
        <v>8.70778926140661</v>
      </c>
      <c r="AM14" s="131" t="n">
        <f aca="false">AK14+AL14</f>
        <v>91.3077892614066</v>
      </c>
      <c r="AN14" s="97" t="n">
        <f aca="false">(U14*1.9835)+AN13</f>
        <v>166.614</v>
      </c>
      <c r="AO14" s="93"/>
      <c r="AP14" s="98"/>
      <c r="AQ14" s="98"/>
      <c r="AR14" s="98"/>
      <c r="AS14" s="98"/>
      <c r="AU14" s="1"/>
      <c r="AV14" s="99" t="n">
        <v>0</v>
      </c>
      <c r="AW14" s="100" t="n">
        <v>66</v>
      </c>
      <c r="AX14" s="100" t="n">
        <v>39</v>
      </c>
      <c r="AY14" s="100"/>
      <c r="AZ14" s="101" t="n">
        <f aca="false">SUM(N14,P14:T14)</f>
        <v>4.1316</v>
      </c>
    </row>
    <row r="15" customFormat="false" ht="12.95" hidden="false" customHeight="true" outlineLevel="0" collapsed="false">
      <c r="A15" s="10" t="n">
        <f aca="false">A14+1</f>
        <v>3</v>
      </c>
      <c r="B15" s="124" t="n">
        <v>6900.28</v>
      </c>
      <c r="C15" s="87" t="n">
        <v>284616</v>
      </c>
      <c r="D15" s="125" t="n">
        <f aca="false">C15-C14</f>
        <v>-74</v>
      </c>
      <c r="E15" s="87" t="n">
        <f aca="false">C15-152000</f>
        <v>132616</v>
      </c>
      <c r="F15" s="126" t="n">
        <f aca="false">D15/$D$2</f>
        <v>-37.3077892614066</v>
      </c>
      <c r="G15" s="12" t="n">
        <v>62</v>
      </c>
      <c r="H15" s="13" t="n">
        <v>0</v>
      </c>
      <c r="I15" s="12" t="n">
        <f aca="false">G15+H15</f>
        <v>62</v>
      </c>
      <c r="J15" s="4" t="n">
        <f aca="false">IF(L15&gt;0,L15,0)</f>
        <v>0</v>
      </c>
      <c r="K15" s="12" t="n">
        <f aca="false">I15+J15</f>
        <v>62</v>
      </c>
      <c r="L15" s="12" t="n">
        <f aca="false">F15-(I15-AK15)</f>
        <v>-13.8077892614066</v>
      </c>
      <c r="M15" s="127" t="n">
        <v>5.5</v>
      </c>
      <c r="N15" s="128" t="n">
        <v>0</v>
      </c>
      <c r="O15" s="128" t="n">
        <v>0</v>
      </c>
      <c r="P15" s="90" t="n">
        <v>0</v>
      </c>
      <c r="Q15" s="129" t="n">
        <f aca="false">1.58*1.02</f>
        <v>1.6116</v>
      </c>
      <c r="R15" s="129" t="n">
        <v>2.68</v>
      </c>
      <c r="S15" s="128" t="n">
        <v>0</v>
      </c>
      <c r="T15" s="92" t="n">
        <v>0</v>
      </c>
      <c r="U15" s="131" t="n">
        <v>44</v>
      </c>
      <c r="V15" s="131" t="n">
        <v>0</v>
      </c>
      <c r="W15" s="132" t="n">
        <f aca="false">M15-N15-P15-O15-Q15-R15-S15-T15+U15+V15</f>
        <v>45.2084</v>
      </c>
      <c r="X15" s="133" t="n">
        <f aca="false">W15-AO15</f>
        <v>45.2084</v>
      </c>
      <c r="Y15" s="134" t="n">
        <f aca="false">Y14+(X15*1.9835)</f>
        <v>258.3611892</v>
      </c>
      <c r="Z15" s="134" t="n">
        <f aca="false">Z14+X15*(26300/37500)*1.9835</f>
        <v>181.1973140256</v>
      </c>
      <c r="AA15" s="79"/>
      <c r="AB15" s="79"/>
      <c r="AC15" s="79"/>
      <c r="AD15" s="79"/>
      <c r="AE15" s="131" t="n">
        <v>0</v>
      </c>
      <c r="AF15" s="135"/>
      <c r="AG15" s="136"/>
      <c r="AH15" s="131" t="n">
        <v>36</v>
      </c>
      <c r="AI15" s="79" t="n">
        <f aca="false">AI14-AH15</f>
        <v>5971</v>
      </c>
      <c r="AJ15" s="79"/>
      <c r="AK15" s="131" t="n">
        <f aca="false">N15+O15+P15+Q15+R15+S15+T15+W15+AE15+AH15</f>
        <v>85.5</v>
      </c>
      <c r="AL15" s="131" t="n">
        <f aca="false">IF(L15&lt;0,L15*-1,0)</f>
        <v>13.8077892614066</v>
      </c>
      <c r="AM15" s="131" t="n">
        <f aca="false">AK15+AL15</f>
        <v>99.3077892614066</v>
      </c>
      <c r="AN15" s="97" t="n">
        <f aca="false">(U15*1.9835)+AN14</f>
        <v>253.888</v>
      </c>
      <c r="AO15" s="93"/>
      <c r="AP15" s="98"/>
      <c r="AQ15" s="98"/>
      <c r="AR15" s="98"/>
      <c r="AS15" s="98"/>
      <c r="AU15" s="1"/>
      <c r="AV15" s="99" t="n">
        <v>0</v>
      </c>
      <c r="AW15" s="100" t="n">
        <v>60</v>
      </c>
      <c r="AX15" s="100" t="n">
        <v>39</v>
      </c>
      <c r="AY15" s="100"/>
      <c r="AZ15" s="101" t="n">
        <f aca="false">SUM(N15,P15:T15)</f>
        <v>4.2916</v>
      </c>
    </row>
    <row r="16" customFormat="false" ht="12.95" hidden="false" customHeight="true" outlineLevel="0" collapsed="false">
      <c r="A16" s="10" t="n">
        <f aca="false">A15+1</f>
        <v>4</v>
      </c>
      <c r="B16" s="124" t="n">
        <v>6900.24</v>
      </c>
      <c r="C16" s="87" t="n">
        <v>284468</v>
      </c>
      <c r="D16" s="125" t="n">
        <f aca="false">C16-C15</f>
        <v>-148</v>
      </c>
      <c r="E16" s="87" t="n">
        <f aca="false">C16-152000</f>
        <v>132468</v>
      </c>
      <c r="F16" s="126" t="n">
        <f aca="false">D16/$D$2</f>
        <v>-74.6155785228132</v>
      </c>
      <c r="G16" s="12" t="n">
        <v>61</v>
      </c>
      <c r="H16" s="13" t="n">
        <v>0</v>
      </c>
      <c r="I16" s="12" t="n">
        <f aca="false">G16+H16</f>
        <v>61</v>
      </c>
      <c r="J16" s="4" t="n">
        <f aca="false">IF(L16&gt;0,L16,0)</f>
        <v>0</v>
      </c>
      <c r="K16" s="12" t="n">
        <f aca="false">I16+J16</f>
        <v>61</v>
      </c>
      <c r="L16" s="12" t="n">
        <f aca="false">F16-(I16-AK16)</f>
        <v>-35.0155785228132</v>
      </c>
      <c r="M16" s="127" t="n">
        <v>13</v>
      </c>
      <c r="N16" s="128" t="n">
        <v>0</v>
      </c>
      <c r="O16" s="128" t="n">
        <v>0</v>
      </c>
      <c r="P16" s="90" t="n">
        <v>0</v>
      </c>
      <c r="Q16" s="129" t="n">
        <f aca="false">1.58*1.02</f>
        <v>1.6116</v>
      </c>
      <c r="R16" s="129" t="n">
        <v>2.31</v>
      </c>
      <c r="S16" s="128" t="n">
        <v>0</v>
      </c>
      <c r="T16" s="92" t="n">
        <v>0</v>
      </c>
      <c r="U16" s="131" t="n">
        <v>46</v>
      </c>
      <c r="V16" s="131" t="n">
        <v>5.6</v>
      </c>
      <c r="W16" s="132" t="n">
        <f aca="false">M16-N16-P16-O16-Q16-R16-S16-T16+U16+V16</f>
        <v>60.6784</v>
      </c>
      <c r="X16" s="133" t="n">
        <f aca="false">W16-AO16</f>
        <v>13.74</v>
      </c>
      <c r="Y16" s="134" t="n">
        <f aca="false">Y15+(X16*1.9835)</f>
        <v>285.6144792</v>
      </c>
      <c r="Z16" s="134" t="n">
        <f aca="false">Z15+X16*(26300/37500)*1.9835</f>
        <v>200.3109547456</v>
      </c>
      <c r="AA16" s="79"/>
      <c r="AB16" s="79"/>
      <c r="AC16" s="79"/>
      <c r="AD16" s="79"/>
      <c r="AE16" s="131" t="n">
        <v>0</v>
      </c>
      <c r="AF16" s="135"/>
      <c r="AG16" s="136"/>
      <c r="AH16" s="131" t="n">
        <v>36</v>
      </c>
      <c r="AI16" s="79" t="n">
        <f aca="false">AI15-AH16</f>
        <v>5935</v>
      </c>
      <c r="AJ16" s="79"/>
      <c r="AK16" s="131" t="n">
        <f aca="false">N16+O16+P16+Q16+R16+S16+T16+W16+AE16+AH16</f>
        <v>100.6</v>
      </c>
      <c r="AL16" s="131" t="n">
        <f aca="false">IF(L16&lt;0,L16*-1,0)</f>
        <v>35.0155785228132</v>
      </c>
      <c r="AM16" s="131" t="n">
        <f aca="false">AK16+AL16</f>
        <v>135.615578522813</v>
      </c>
      <c r="AN16" s="97" t="n">
        <f aca="false">(U16-13.74)*1.9835+AN15</f>
        <v>317.87571</v>
      </c>
      <c r="AO16" s="93" t="n">
        <f aca="false">W16-13.74</f>
        <v>46.9384</v>
      </c>
      <c r="AP16" s="98"/>
      <c r="AQ16" s="98"/>
      <c r="AR16" s="98"/>
      <c r="AS16" s="98"/>
      <c r="AU16" s="1"/>
      <c r="AV16" s="99" t="n">
        <v>0.02</v>
      </c>
      <c r="AW16" s="100" t="n">
        <v>53</v>
      </c>
      <c r="AX16" s="100" t="n">
        <v>28</v>
      </c>
      <c r="AY16" s="100"/>
      <c r="AZ16" s="101" t="n">
        <f aca="false">SUM(N16,P16:T16)</f>
        <v>3.9216</v>
      </c>
    </row>
    <row r="17" customFormat="false" ht="12.95" hidden="false" customHeight="true" outlineLevel="0" collapsed="false">
      <c r="A17" s="10" t="n">
        <f aca="false">A16+1</f>
        <v>5</v>
      </c>
      <c r="B17" s="124" t="n">
        <v>6900.19</v>
      </c>
      <c r="C17" s="87" t="n">
        <v>284283</v>
      </c>
      <c r="D17" s="125" t="n">
        <f aca="false">C17-C16</f>
        <v>-185</v>
      </c>
      <c r="E17" s="87" t="n">
        <f aca="false">C17-152000</f>
        <v>132283</v>
      </c>
      <c r="F17" s="126" t="n">
        <f aca="false">D17/$D$2</f>
        <v>-93.2694731535165</v>
      </c>
      <c r="G17" s="12" t="n">
        <v>69</v>
      </c>
      <c r="H17" s="13" t="n">
        <v>0</v>
      </c>
      <c r="I17" s="12" t="n">
        <f aca="false">G17+H17</f>
        <v>69</v>
      </c>
      <c r="J17" s="4" t="n">
        <f aca="false">IF(L17&gt;0,L17,0)</f>
        <v>0</v>
      </c>
      <c r="K17" s="12" t="n">
        <f aca="false">I17+J17</f>
        <v>69</v>
      </c>
      <c r="L17" s="12" t="n">
        <f aca="false">F17-(I17-AK17)</f>
        <v>-31.2694731535165</v>
      </c>
      <c r="M17" s="127" t="n">
        <v>34</v>
      </c>
      <c r="N17" s="128" t="n">
        <v>0</v>
      </c>
      <c r="O17" s="128" t="n">
        <v>0</v>
      </c>
      <c r="P17" s="90" t="n">
        <v>0</v>
      </c>
      <c r="Q17" s="129" t="n">
        <f aca="false">1.58*1.02</f>
        <v>1.6116</v>
      </c>
      <c r="R17" s="129" t="n">
        <v>2.25</v>
      </c>
      <c r="S17" s="128" t="n">
        <v>0</v>
      </c>
      <c r="T17" s="92" t="n">
        <v>0</v>
      </c>
      <c r="U17" s="131" t="n">
        <v>46</v>
      </c>
      <c r="V17" s="131" t="n">
        <v>15</v>
      </c>
      <c r="W17" s="132" t="n">
        <f aca="false">M17-N17-P17-O17-Q17-R17-S17-T17+U17+V17</f>
        <v>91.1384</v>
      </c>
      <c r="X17" s="133" t="n">
        <f aca="false">W17-AO17</f>
        <v>22</v>
      </c>
      <c r="Y17" s="134" t="n">
        <f aca="false">Y16+(X17*1.9835)</f>
        <v>329.2514792</v>
      </c>
      <c r="Z17" s="134" t="n">
        <f aca="false">Z16+X17*(26300/37500)*1.9835</f>
        <v>230.915037412267</v>
      </c>
      <c r="AA17" s="79"/>
      <c r="AB17" s="79"/>
      <c r="AC17" s="79"/>
      <c r="AD17" s="79"/>
      <c r="AE17" s="131" t="n">
        <v>0</v>
      </c>
      <c r="AF17" s="135"/>
      <c r="AG17" s="136"/>
      <c r="AH17" s="131" t="n">
        <v>36</v>
      </c>
      <c r="AI17" s="79" t="n">
        <f aca="false">AI16-AH17</f>
        <v>5899</v>
      </c>
      <c r="AJ17" s="79"/>
      <c r="AK17" s="131" t="n">
        <f aca="false">N17+O17+P17+Q17+R17+S17+T17+W17+AE17+AH17</f>
        <v>131</v>
      </c>
      <c r="AL17" s="131" t="n">
        <f aca="false">IF(L17&lt;0,L17*-1,0)</f>
        <v>31.2694731535165</v>
      </c>
      <c r="AM17" s="131" t="n">
        <f aca="false">AK17+AL17</f>
        <v>162.269473153517</v>
      </c>
      <c r="AN17" s="97" t="n">
        <f aca="false">(U17-22)*1.9835+AN16</f>
        <v>365.47971</v>
      </c>
      <c r="AO17" s="93" t="n">
        <f aca="false">W17-22</f>
        <v>69.1384</v>
      </c>
      <c r="AP17" s="98"/>
      <c r="AQ17" s="98"/>
      <c r="AR17" s="98"/>
      <c r="AS17" s="98"/>
      <c r="AU17" s="1"/>
      <c r="AV17" s="99" t="n">
        <v>0.06</v>
      </c>
      <c r="AW17" s="100" t="n">
        <v>36</v>
      </c>
      <c r="AX17" s="100" t="n">
        <v>19</v>
      </c>
      <c r="AY17" s="100"/>
      <c r="AZ17" s="101" t="n">
        <f aca="false">SUM(N17,P17:T17)</f>
        <v>3.8616</v>
      </c>
    </row>
    <row r="18" customFormat="false" ht="12.95" hidden="false" customHeight="true" outlineLevel="0" collapsed="false">
      <c r="A18" s="10" t="n">
        <f aca="false">A17+1</f>
        <v>6</v>
      </c>
      <c r="B18" s="124" t="n">
        <v>6900.12</v>
      </c>
      <c r="C18" s="87" t="n">
        <v>284024</v>
      </c>
      <c r="D18" s="125" t="n">
        <f aca="false">C18-C17</f>
        <v>-259</v>
      </c>
      <c r="E18" s="87" t="n">
        <f aca="false">C18-152000</f>
        <v>132024</v>
      </c>
      <c r="F18" s="126" t="n">
        <f aca="false">D18/$D$2</f>
        <v>-130.577262414923</v>
      </c>
      <c r="G18" s="12" t="n">
        <v>47</v>
      </c>
      <c r="H18" s="13" t="n">
        <v>0</v>
      </c>
      <c r="I18" s="12" t="n">
        <f aca="false">G18+H18</f>
        <v>47</v>
      </c>
      <c r="J18" s="4" t="n">
        <f aca="false">IF(L18&gt;0,L18,0)</f>
        <v>0</v>
      </c>
      <c r="K18" s="12" t="n">
        <f aca="false">I18+J18</f>
        <v>47</v>
      </c>
      <c r="L18" s="12" t="n">
        <f aca="false">F18-(I18-AK18)</f>
        <v>-41.5772624149231</v>
      </c>
      <c r="M18" s="127" t="n">
        <v>38</v>
      </c>
      <c r="N18" s="128" t="n">
        <v>0</v>
      </c>
      <c r="O18" s="128" t="n">
        <v>0</v>
      </c>
      <c r="P18" s="90" t="n">
        <v>0</v>
      </c>
      <c r="Q18" s="129" t="n">
        <f aca="false">1.58*1.02</f>
        <v>1.6116</v>
      </c>
      <c r="R18" s="129" t="n">
        <v>2.73</v>
      </c>
      <c r="S18" s="128" t="n">
        <v>0</v>
      </c>
      <c r="T18" s="92" t="n">
        <v>0</v>
      </c>
      <c r="U18" s="131" t="n">
        <v>46</v>
      </c>
      <c r="V18" s="131" t="n">
        <v>16</v>
      </c>
      <c r="W18" s="132" t="n">
        <f aca="false">M18-N18-P18-O18-Q18-R18-S18-T18+U18+V18</f>
        <v>95.6584</v>
      </c>
      <c r="X18" s="133" t="n">
        <f aca="false">W18-AO18</f>
        <v>21.96</v>
      </c>
      <c r="Y18" s="134" t="n">
        <f aca="false">Y17+(X18*1.9835)</f>
        <v>372.8091392</v>
      </c>
      <c r="Z18" s="134" t="n">
        <f aca="false">Z17+X18*(26300/37500)*1.9835</f>
        <v>261.463476292267</v>
      </c>
      <c r="AA18" s="79"/>
      <c r="AB18" s="79"/>
      <c r="AC18" s="79"/>
      <c r="AD18" s="79"/>
      <c r="AE18" s="131" t="n">
        <v>0</v>
      </c>
      <c r="AF18" s="135"/>
      <c r="AG18" s="136"/>
      <c r="AH18" s="131" t="n">
        <v>36</v>
      </c>
      <c r="AI18" s="79" t="n">
        <f aca="false">AI17-AH18</f>
        <v>5863</v>
      </c>
      <c r="AJ18" s="79"/>
      <c r="AK18" s="131" t="n">
        <f aca="false">N18+O18+P18+Q18+R18+S18+T18+W18+AE18+AH18</f>
        <v>136</v>
      </c>
      <c r="AL18" s="131" t="n">
        <f aca="false">IF(L18&lt;0,L18*-1,0)</f>
        <v>41.5772624149231</v>
      </c>
      <c r="AM18" s="131" t="n">
        <f aca="false">AK18+AL18</f>
        <v>177.577262414923</v>
      </c>
      <c r="AN18" s="97" t="n">
        <f aca="false">(U18-22)*1.9835+AN17</f>
        <v>413.08371</v>
      </c>
      <c r="AO18" s="93" t="n">
        <f aca="false">W18-21.96</f>
        <v>73.6984</v>
      </c>
      <c r="AP18" s="98"/>
      <c r="AQ18" s="98"/>
      <c r="AR18" s="98"/>
      <c r="AS18" s="98"/>
      <c r="AU18" s="1"/>
      <c r="AV18" s="99" t="n">
        <v>0</v>
      </c>
      <c r="AW18" s="100" t="n">
        <v>37</v>
      </c>
      <c r="AX18" s="100" t="n">
        <v>9</v>
      </c>
      <c r="AY18" s="100"/>
      <c r="AZ18" s="101" t="n">
        <f aca="false">SUM(N18,P18:T18)</f>
        <v>4.3416</v>
      </c>
    </row>
    <row r="19" customFormat="false" ht="12.95" hidden="false" customHeight="true" outlineLevel="0" collapsed="false">
      <c r="A19" s="10" t="n">
        <f aca="false">A18+1</f>
        <v>7</v>
      </c>
      <c r="B19" s="124" t="n">
        <v>6900.08</v>
      </c>
      <c r="C19" s="87" t="n">
        <v>283876</v>
      </c>
      <c r="D19" s="125" t="n">
        <f aca="false">C19-C18</f>
        <v>-148</v>
      </c>
      <c r="E19" s="87" t="n">
        <f aca="false">C19-152000</f>
        <v>131876</v>
      </c>
      <c r="F19" s="126" t="n">
        <f aca="false">D19/$D$2</f>
        <v>-74.6155785228132</v>
      </c>
      <c r="G19" s="12" t="n">
        <v>35</v>
      </c>
      <c r="H19" s="13" t="n">
        <v>0</v>
      </c>
      <c r="I19" s="12" t="n">
        <f aca="false">G19+H19</f>
        <v>35</v>
      </c>
      <c r="J19" s="4" t="n">
        <f aca="false">IF(L19&gt;0,L19,0)</f>
        <v>22.3844214771868</v>
      </c>
      <c r="K19" s="12" t="n">
        <f aca="false">I19+J19</f>
        <v>57.3844214771868</v>
      </c>
      <c r="L19" s="12" t="n">
        <f aca="false">F19-(I19-AK19)</f>
        <v>22.3844214771868</v>
      </c>
      <c r="M19" s="127" t="n">
        <v>38</v>
      </c>
      <c r="N19" s="128" t="n">
        <v>0</v>
      </c>
      <c r="O19" s="128" t="n">
        <v>0</v>
      </c>
      <c r="P19" s="90" t="n">
        <v>0</v>
      </c>
      <c r="Q19" s="129" t="n">
        <f aca="false">1.58*1.02</f>
        <v>1.6116</v>
      </c>
      <c r="R19" s="129" t="n">
        <v>2.18</v>
      </c>
      <c r="S19" s="128" t="n">
        <v>0</v>
      </c>
      <c r="T19" s="92" t="n">
        <v>0</v>
      </c>
      <c r="U19" s="131" t="n">
        <v>46</v>
      </c>
      <c r="V19" s="131" t="n">
        <v>12</v>
      </c>
      <c r="W19" s="132" t="n">
        <f aca="false">M19-N19-P19-O19-Q19-R19-S19-T19+U19+V19</f>
        <v>92.2084</v>
      </c>
      <c r="X19" s="133" t="n">
        <f aca="false">W19-AO19</f>
        <v>22.01</v>
      </c>
      <c r="Y19" s="134" t="n">
        <f aca="false">Y18+(X19*1.9835)</f>
        <v>416.4659742</v>
      </c>
      <c r="Z19" s="134" t="n">
        <f aca="false">Z18+X19*(26300/37500)*1.9835</f>
        <v>292.0814699056</v>
      </c>
      <c r="AA19" s="79"/>
      <c r="AB19" s="79"/>
      <c r="AC19" s="79"/>
      <c r="AD19" s="79"/>
      <c r="AE19" s="131" t="n">
        <v>0</v>
      </c>
      <c r="AF19" s="135"/>
      <c r="AG19" s="136"/>
      <c r="AH19" s="131" t="n">
        <v>36</v>
      </c>
      <c r="AI19" s="79" t="n">
        <f aca="false">AI18-AH19</f>
        <v>5827</v>
      </c>
      <c r="AJ19" s="79"/>
      <c r="AK19" s="131" t="n">
        <f aca="false">N19+O19+P19+Q19+R19+S19+T19+W19+AE19+AH19</f>
        <v>132</v>
      </c>
      <c r="AL19" s="131" t="n">
        <f aca="false">IF(L19&lt;0,L19*-1,0)</f>
        <v>0</v>
      </c>
      <c r="AM19" s="131" t="n">
        <f aca="false">AK19+AL19</f>
        <v>132</v>
      </c>
      <c r="AN19" s="97" t="n">
        <f aca="false">(U19-22)*1.9835+AN18</f>
        <v>460.68771</v>
      </c>
      <c r="AO19" s="93" t="n">
        <f aca="false">W19-22.01</f>
        <v>70.1984</v>
      </c>
      <c r="AP19" s="98"/>
      <c r="AQ19" s="98"/>
      <c r="AR19" s="98"/>
      <c r="AS19" s="98"/>
      <c r="AU19" s="1"/>
      <c r="AV19" s="99" t="n">
        <v>0</v>
      </c>
      <c r="AW19" s="100" t="n">
        <v>49</v>
      </c>
      <c r="AX19" s="100" t="n">
        <v>12</v>
      </c>
      <c r="AY19" s="100"/>
      <c r="AZ19" s="101" t="n">
        <f aca="false">SUM(N19,P19:T19)</f>
        <v>3.7916</v>
      </c>
    </row>
    <row r="20" customFormat="false" ht="12.95" hidden="false" customHeight="true" outlineLevel="0" collapsed="false">
      <c r="A20" s="10" t="n">
        <f aca="false">A19+1</f>
        <v>8</v>
      </c>
      <c r="B20" s="124" t="n">
        <v>6900.04</v>
      </c>
      <c r="C20" s="87" t="n">
        <v>283728</v>
      </c>
      <c r="D20" s="125" t="n">
        <f aca="false">C20-C19</f>
        <v>-148</v>
      </c>
      <c r="E20" s="87" t="n">
        <f aca="false">C20-152000</f>
        <v>131728</v>
      </c>
      <c r="F20" s="126" t="n">
        <f aca="false">D20/$D$2</f>
        <v>-74.6155785228132</v>
      </c>
      <c r="G20" s="12" t="n">
        <v>67</v>
      </c>
      <c r="H20" s="13" t="n">
        <v>0</v>
      </c>
      <c r="I20" s="12" t="n">
        <f aca="false">G20+H20</f>
        <v>67</v>
      </c>
      <c r="J20" s="4" t="n">
        <f aca="false">IF(L20&gt;0,L20,0)</f>
        <v>0</v>
      </c>
      <c r="K20" s="12" t="n">
        <f aca="false">I20+J20</f>
        <v>67</v>
      </c>
      <c r="L20" s="12" t="n">
        <f aca="false">F20-(I20-AK20)</f>
        <v>-10.6155785228132</v>
      </c>
      <c r="M20" s="127" t="n">
        <v>38</v>
      </c>
      <c r="N20" s="128" t="n">
        <v>0</v>
      </c>
      <c r="O20" s="128" t="n">
        <v>0</v>
      </c>
      <c r="P20" s="90" t="n">
        <v>0</v>
      </c>
      <c r="Q20" s="129" t="n">
        <f aca="false">1.58*1.02</f>
        <v>1.6116</v>
      </c>
      <c r="R20" s="129" t="n">
        <v>2.53</v>
      </c>
      <c r="S20" s="128" t="n">
        <v>0</v>
      </c>
      <c r="T20" s="92" t="n">
        <v>0</v>
      </c>
      <c r="U20" s="131" t="n">
        <v>45</v>
      </c>
      <c r="V20" s="131" t="n">
        <v>12</v>
      </c>
      <c r="W20" s="132" t="n">
        <f aca="false">M20-N20-P20-O20-Q20-R20-S20-T20+U20+V20</f>
        <v>90.8584</v>
      </c>
      <c r="X20" s="133" t="n">
        <f aca="false">W20-AO20</f>
        <v>21.96</v>
      </c>
      <c r="Y20" s="134" t="n">
        <f aca="false">Y19+(X20*1.9835)</f>
        <v>460.0236342</v>
      </c>
      <c r="Z20" s="134" t="n">
        <f aca="false">Z19+X20*(26300/37500)*1.9835</f>
        <v>322.6299087856</v>
      </c>
      <c r="AA20" s="79"/>
      <c r="AB20" s="79"/>
      <c r="AC20" s="79"/>
      <c r="AD20" s="79"/>
      <c r="AE20" s="131" t="n">
        <v>0</v>
      </c>
      <c r="AF20" s="135"/>
      <c r="AG20" s="136"/>
      <c r="AH20" s="131" t="n">
        <v>36</v>
      </c>
      <c r="AI20" s="79" t="n">
        <f aca="false">AI19-AH20</f>
        <v>5791</v>
      </c>
      <c r="AJ20" s="79"/>
      <c r="AK20" s="131" t="n">
        <f aca="false">N20+O20+P20+Q20+R20+S20+T20+W20+AE20+AH20</f>
        <v>131</v>
      </c>
      <c r="AL20" s="131" t="n">
        <f aca="false">IF(L20&lt;0,L20*-1,0)</f>
        <v>10.6155785228132</v>
      </c>
      <c r="AM20" s="131" t="n">
        <f aca="false">AK20+AL20</f>
        <v>141.615578522813</v>
      </c>
      <c r="AN20" s="97" t="n">
        <f aca="false">(U20-22)*1.9835+AN19</f>
        <v>506.30821</v>
      </c>
      <c r="AO20" s="93" t="n">
        <f aca="false">W20-21.96</f>
        <v>68.8984</v>
      </c>
      <c r="AP20" s="98"/>
      <c r="AQ20" s="98"/>
      <c r="AR20" s="98"/>
      <c r="AS20" s="98"/>
      <c r="AU20" s="1"/>
      <c r="AV20" s="99" t="n">
        <v>0</v>
      </c>
      <c r="AW20" s="100" t="n">
        <v>53</v>
      </c>
      <c r="AX20" s="100" t="n">
        <v>25</v>
      </c>
      <c r="AY20" s="100"/>
      <c r="AZ20" s="101" t="n">
        <f aca="false">SUM(N20,P20:T20)</f>
        <v>4.1416</v>
      </c>
    </row>
    <row r="21" customFormat="false" ht="12.95" hidden="false" customHeight="true" outlineLevel="0" collapsed="false">
      <c r="A21" s="10" t="n">
        <f aca="false">A20+1</f>
        <v>9</v>
      </c>
      <c r="B21" s="124" t="n">
        <v>6900</v>
      </c>
      <c r="C21" s="87" t="n">
        <v>283580</v>
      </c>
      <c r="D21" s="125" t="n">
        <f aca="false">C21-C20</f>
        <v>-148</v>
      </c>
      <c r="E21" s="87" t="n">
        <f aca="false">C21-152000</f>
        <v>131580</v>
      </c>
      <c r="F21" s="126" t="n">
        <f aca="false">D21/$D$2</f>
        <v>-74.6155785228132</v>
      </c>
      <c r="G21" s="12" t="n">
        <v>71</v>
      </c>
      <c r="H21" s="13" t="n">
        <v>0</v>
      </c>
      <c r="I21" s="12" t="n">
        <f aca="false">G21+H21</f>
        <v>71</v>
      </c>
      <c r="J21" s="4" t="n">
        <f aca="false">IF(L21&gt;0,L21,0)</f>
        <v>0</v>
      </c>
      <c r="K21" s="12" t="n">
        <f aca="false">I21+J21</f>
        <v>71</v>
      </c>
      <c r="L21" s="12" t="n">
        <f aca="false">F21-(I21-AK21)</f>
        <v>-14.6155785228132</v>
      </c>
      <c r="M21" s="127" t="n">
        <v>38</v>
      </c>
      <c r="N21" s="128" t="n">
        <v>0</v>
      </c>
      <c r="O21" s="128" t="n">
        <v>0</v>
      </c>
      <c r="P21" s="90" t="n">
        <v>0</v>
      </c>
      <c r="Q21" s="129" t="n">
        <f aca="false">1.58*1.02</f>
        <v>1.6116</v>
      </c>
      <c r="R21" s="129" t="n">
        <v>2.36</v>
      </c>
      <c r="S21" s="128" t="n">
        <v>0</v>
      </c>
      <c r="T21" s="92" t="n">
        <v>0</v>
      </c>
      <c r="U21" s="131" t="n">
        <v>45</v>
      </c>
      <c r="V21" s="131" t="n">
        <v>12</v>
      </c>
      <c r="W21" s="132" t="n">
        <f aca="false">M21-N21-P21-O21-Q21-R21-S21-T21+U21+V21</f>
        <v>91.0284</v>
      </c>
      <c r="X21" s="133" t="n">
        <f aca="false">W21-AO21</f>
        <v>22.03</v>
      </c>
      <c r="Y21" s="134" t="n">
        <f aca="false">Y20+(X21*1.9835)</f>
        <v>503.7201392</v>
      </c>
      <c r="Z21" s="134" t="n">
        <f aca="false">Z20+X21*(26300/37500)*1.9835</f>
        <v>353.275724292267</v>
      </c>
      <c r="AA21" s="79"/>
      <c r="AB21" s="79"/>
      <c r="AC21" s="79"/>
      <c r="AD21" s="79"/>
      <c r="AE21" s="131" t="n">
        <v>0</v>
      </c>
      <c r="AF21" s="135"/>
      <c r="AG21" s="136"/>
      <c r="AH21" s="131" t="n">
        <v>36</v>
      </c>
      <c r="AI21" s="79" t="n">
        <f aca="false">AI20-AH21</f>
        <v>5755</v>
      </c>
      <c r="AJ21" s="79"/>
      <c r="AK21" s="131" t="n">
        <f aca="false">N21+O21+P21+Q21+R21+S21+T21+W21+AE21+AH21</f>
        <v>131</v>
      </c>
      <c r="AL21" s="131" t="n">
        <f aca="false">IF(L21&lt;0,L21*-1,0)</f>
        <v>14.6155785228132</v>
      </c>
      <c r="AM21" s="131" t="n">
        <f aca="false">AK21+AL21</f>
        <v>145.615578522813</v>
      </c>
      <c r="AN21" s="97" t="n">
        <f aca="false">(U21-22)*1.9835+AN20</f>
        <v>551.92871</v>
      </c>
      <c r="AO21" s="93" t="n">
        <f aca="false">W21-22.03</f>
        <v>68.9984</v>
      </c>
      <c r="AP21" s="98"/>
      <c r="AQ21" s="98"/>
      <c r="AR21" s="98"/>
      <c r="AS21" s="98"/>
      <c r="AU21" s="1"/>
      <c r="AV21" s="99" t="n">
        <v>0</v>
      </c>
      <c r="AW21" s="100" t="n">
        <v>52</v>
      </c>
      <c r="AX21" s="139" t="n">
        <v>26</v>
      </c>
      <c r="AY21" s="139"/>
      <c r="AZ21" s="101" t="n">
        <f aca="false">SUM(N21,P21:T21)</f>
        <v>3.9716</v>
      </c>
    </row>
    <row r="22" customFormat="false" ht="12.95" hidden="false" customHeight="true" outlineLevel="0" collapsed="false">
      <c r="A22" s="10" t="n">
        <f aca="false">A21+1</f>
        <v>10</v>
      </c>
      <c r="B22" s="124" t="n">
        <v>6899.96</v>
      </c>
      <c r="C22" s="87" t="n">
        <v>283433</v>
      </c>
      <c r="D22" s="125" t="n">
        <f aca="false">C22-C21</f>
        <v>-147</v>
      </c>
      <c r="E22" s="87" t="n">
        <f aca="false">C22-152000</f>
        <v>131433</v>
      </c>
      <c r="F22" s="126" t="n">
        <f aca="false">D22/$D$2</f>
        <v>-74.1114192084699</v>
      </c>
      <c r="G22" s="12" t="n">
        <v>69</v>
      </c>
      <c r="H22" s="13" t="n">
        <v>0</v>
      </c>
      <c r="I22" s="12" t="n">
        <f aca="false">G22+H22</f>
        <v>69</v>
      </c>
      <c r="J22" s="4" t="n">
        <f aca="false">IF(L22&gt;0,L22,0)</f>
        <v>0</v>
      </c>
      <c r="K22" s="12" t="n">
        <f aca="false">I22+J22</f>
        <v>69</v>
      </c>
      <c r="L22" s="12" t="n">
        <f aca="false">F22-(I22-AK22)</f>
        <v>-40.4114192084699</v>
      </c>
      <c r="M22" s="127" t="n">
        <v>15</v>
      </c>
      <c r="N22" s="128" t="n">
        <v>0</v>
      </c>
      <c r="O22" s="128" t="n">
        <v>0</v>
      </c>
      <c r="P22" s="90" t="n">
        <v>0</v>
      </c>
      <c r="Q22" s="129" t="n">
        <f aca="false">1.58*1.02</f>
        <v>1.6116</v>
      </c>
      <c r="R22" s="129" t="n">
        <v>2.37</v>
      </c>
      <c r="S22" s="128" t="n">
        <v>0</v>
      </c>
      <c r="T22" s="92" t="n">
        <v>0</v>
      </c>
      <c r="U22" s="131" t="n">
        <v>48</v>
      </c>
      <c r="V22" s="131" t="n">
        <v>3.7</v>
      </c>
      <c r="W22" s="132" t="n">
        <f aca="false">M22-N22-P22-O22-Q22-R22-S22-T22+U22+V22</f>
        <v>62.7184</v>
      </c>
      <c r="X22" s="133" t="n">
        <f aca="false">W22-AO22</f>
        <v>7.32</v>
      </c>
      <c r="Y22" s="134" t="n">
        <f aca="false">Y21+(X22*1.9835)</f>
        <v>518.2393592</v>
      </c>
      <c r="Z22" s="134" t="n">
        <f aca="false">Z21+X22*(26300/37500)*1.9835</f>
        <v>363.458537252267</v>
      </c>
      <c r="AA22" s="79"/>
      <c r="AB22" s="79"/>
      <c r="AC22" s="79"/>
      <c r="AD22" s="79"/>
      <c r="AE22" s="131" t="n">
        <v>0</v>
      </c>
      <c r="AF22" s="135"/>
      <c r="AG22" s="136"/>
      <c r="AH22" s="131" t="n">
        <v>36</v>
      </c>
      <c r="AI22" s="79" t="n">
        <f aca="false">AI21-AH22</f>
        <v>5719</v>
      </c>
      <c r="AJ22" s="79"/>
      <c r="AK22" s="131" t="n">
        <f aca="false">N22+O22+P22+Q22+R22+S22+T22+W22+AE22+AH22</f>
        <v>102.7</v>
      </c>
      <c r="AL22" s="131" t="n">
        <f aca="false">IF(L22&lt;0,L22*-1,0)</f>
        <v>40.4114192084699</v>
      </c>
      <c r="AM22" s="131" t="n">
        <f aca="false">AK22+AL22</f>
        <v>143.11141920847</v>
      </c>
      <c r="AN22" s="97" t="n">
        <f aca="false">(U22-7.33)*1.9835+AN21</f>
        <v>632.597655</v>
      </c>
      <c r="AO22" s="93" t="n">
        <f aca="false">W22-7.32</f>
        <v>55.3984</v>
      </c>
      <c r="AP22" s="98"/>
      <c r="AQ22" s="98"/>
      <c r="AR22" s="98"/>
      <c r="AS22" s="98"/>
      <c r="AU22" s="1"/>
      <c r="AV22" s="99" t="n">
        <v>0.12</v>
      </c>
      <c r="AW22" s="100" t="n">
        <v>40</v>
      </c>
      <c r="AX22" s="100" t="n">
        <v>27</v>
      </c>
      <c r="AY22" s="100"/>
      <c r="AZ22" s="101" t="n">
        <f aca="false">SUM(N22,P22:T22)</f>
        <v>3.9816</v>
      </c>
    </row>
    <row r="23" customFormat="false" ht="12.95" hidden="false" customHeight="true" outlineLevel="0" collapsed="false">
      <c r="A23" s="10" t="n">
        <f aca="false">A22+1</f>
        <v>11</v>
      </c>
      <c r="B23" s="124" t="n">
        <v>6899.92</v>
      </c>
      <c r="C23" s="87" t="n">
        <v>283286</v>
      </c>
      <c r="D23" s="125" t="n">
        <f aca="false">C23-C22</f>
        <v>-147</v>
      </c>
      <c r="E23" s="87" t="n">
        <f aca="false">C23-152000</f>
        <v>131286</v>
      </c>
      <c r="F23" s="126" t="n">
        <f aca="false">D23/$D$2</f>
        <v>-74.1114192084699</v>
      </c>
      <c r="G23" s="12" t="n">
        <v>61</v>
      </c>
      <c r="H23" s="13" t="n">
        <v>0</v>
      </c>
      <c r="I23" s="12" t="n">
        <f aca="false">G23+H23</f>
        <v>61</v>
      </c>
      <c r="J23" s="4" t="n">
        <f aca="false">IF(L23&gt;0,L23,0)</f>
        <v>0</v>
      </c>
      <c r="K23" s="12" t="n">
        <f aca="false">I23+J23</f>
        <v>61</v>
      </c>
      <c r="L23" s="12" t="n">
        <f aca="false">F23-(I23-AK23)</f>
        <v>-34.9114192084699</v>
      </c>
      <c r="M23" s="127" t="n">
        <v>3.2</v>
      </c>
      <c r="N23" s="128" t="n">
        <v>0</v>
      </c>
      <c r="O23" s="128" t="n">
        <v>0</v>
      </c>
      <c r="P23" s="90" t="n">
        <v>0</v>
      </c>
      <c r="Q23" s="129" t="n">
        <f aca="false">1.58*1.02</f>
        <v>1.6116</v>
      </c>
      <c r="R23" s="129" t="n">
        <v>1.79</v>
      </c>
      <c r="S23" s="128" t="n">
        <v>0</v>
      </c>
      <c r="T23" s="92" t="n">
        <f aca="false">M23-(Q23+R23+S23)</f>
        <v>-0.2016</v>
      </c>
      <c r="U23" s="131" t="n">
        <v>61</v>
      </c>
      <c r="V23" s="131" t="n">
        <v>0</v>
      </c>
      <c r="W23" s="132" t="n">
        <f aca="false">M23-N23-P23-O23-Q23-R23-S23-T23+U23+V23</f>
        <v>61</v>
      </c>
      <c r="X23" s="133" t="n">
        <f aca="false">W23-AO23</f>
        <v>61</v>
      </c>
      <c r="Y23" s="134" t="n">
        <f aca="false">Y22+(X23*1.9835)</f>
        <v>639.2328592</v>
      </c>
      <c r="Z23" s="134" t="n">
        <f aca="false">Z22+X23*(26300/37500)*1.9835</f>
        <v>448.315311918933</v>
      </c>
      <c r="AA23" s="79"/>
      <c r="AB23" s="79"/>
      <c r="AC23" s="79"/>
      <c r="AD23" s="79"/>
      <c r="AE23" s="131" t="n">
        <v>0</v>
      </c>
      <c r="AF23" s="135"/>
      <c r="AG23" s="136"/>
      <c r="AH23" s="131" t="n">
        <v>36</v>
      </c>
      <c r="AI23" s="79" t="n">
        <f aca="false">AI22-AH23</f>
        <v>5683</v>
      </c>
      <c r="AJ23" s="79"/>
      <c r="AK23" s="131" t="n">
        <f aca="false">N23+O23+P23+Q23+R23+S23+T23+W23+AE23+AH23</f>
        <v>100.2</v>
      </c>
      <c r="AL23" s="131" t="n">
        <f aca="false">IF(L23&lt;0,L23*-1,0)</f>
        <v>34.9114192084699</v>
      </c>
      <c r="AM23" s="131" t="n">
        <f aca="false">AK23+AL23</f>
        <v>135.11141920847</v>
      </c>
      <c r="AN23" s="97" t="n">
        <f aca="false">(U23*1.9835)+AN22</f>
        <v>753.591155</v>
      </c>
      <c r="AO23" s="93"/>
      <c r="AP23" s="98"/>
      <c r="AQ23" s="98"/>
      <c r="AR23" s="98"/>
      <c r="AS23" s="98"/>
      <c r="AU23" s="1"/>
      <c r="AV23" s="99" t="n">
        <v>0</v>
      </c>
      <c r="AW23" s="100" t="n">
        <v>48</v>
      </c>
      <c r="AX23" s="100" t="n">
        <v>27</v>
      </c>
      <c r="AY23" s="100"/>
      <c r="AZ23" s="101" t="n">
        <f aca="false">SUM(N23,P23:T23)</f>
        <v>3.2</v>
      </c>
    </row>
    <row r="24" customFormat="false" ht="12.95" hidden="false" customHeight="true" outlineLevel="0" collapsed="false">
      <c r="A24" s="10" t="n">
        <f aca="false">A23+1</f>
        <v>12</v>
      </c>
      <c r="B24" s="124" t="n">
        <v>6899.88</v>
      </c>
      <c r="C24" s="87" t="n">
        <v>283139</v>
      </c>
      <c r="D24" s="125" t="n">
        <f aca="false">C24-C23</f>
        <v>-147</v>
      </c>
      <c r="E24" s="87" t="n">
        <f aca="false">C24-152000</f>
        <v>131139</v>
      </c>
      <c r="F24" s="126" t="n">
        <f aca="false">D24/$D$2</f>
        <v>-74.1114192084699</v>
      </c>
      <c r="G24" s="12" t="n">
        <v>56</v>
      </c>
      <c r="H24" s="13" t="n">
        <v>0</v>
      </c>
      <c r="I24" s="12" t="n">
        <f aca="false">G24+H24</f>
        <v>56</v>
      </c>
      <c r="J24" s="4" t="n">
        <f aca="false">IF(L24&gt;0,L24,0)</f>
        <v>0</v>
      </c>
      <c r="K24" s="12" t="n">
        <f aca="false">I24+J24</f>
        <v>56</v>
      </c>
      <c r="L24" s="12" t="n">
        <f aca="false">F24-(I24-AK24)</f>
        <v>-28.7114192084699</v>
      </c>
      <c r="M24" s="127" t="n">
        <v>3.4</v>
      </c>
      <c r="N24" s="128" t="n">
        <v>0</v>
      </c>
      <c r="O24" s="128" t="n">
        <v>0</v>
      </c>
      <c r="P24" s="90" t="n">
        <v>0</v>
      </c>
      <c r="Q24" s="129" t="n">
        <f aca="false">1.58*1.02</f>
        <v>1.6116</v>
      </c>
      <c r="R24" s="129" t="n">
        <v>2.31</v>
      </c>
      <c r="S24" s="128" t="n">
        <v>0</v>
      </c>
      <c r="T24" s="92" t="n">
        <f aca="false">M24-(Q24+R24+S24)</f>
        <v>-0.5216</v>
      </c>
      <c r="U24" s="131" t="n">
        <v>62</v>
      </c>
      <c r="V24" s="131" t="n">
        <v>0</v>
      </c>
      <c r="W24" s="132" t="n">
        <f aca="false">M24-N24-P24-O24-Q24-R24-S24-T24+U24+V24</f>
        <v>62</v>
      </c>
      <c r="X24" s="133" t="n">
        <f aca="false">W24-AO24</f>
        <v>62</v>
      </c>
      <c r="Y24" s="134" t="n">
        <f aca="false">Y23+(X24*1.9835)</f>
        <v>762.2098592</v>
      </c>
      <c r="Z24" s="134" t="n">
        <f aca="false">Z23+X24*(26300/37500)*1.9835</f>
        <v>534.563181252267</v>
      </c>
      <c r="AA24" s="79"/>
      <c r="AB24" s="79"/>
      <c r="AC24" s="79"/>
      <c r="AD24" s="79"/>
      <c r="AE24" s="131" t="n">
        <v>0</v>
      </c>
      <c r="AF24" s="135"/>
      <c r="AG24" s="136"/>
      <c r="AH24" s="131" t="n">
        <v>36</v>
      </c>
      <c r="AI24" s="79" t="n">
        <f aca="false">AI23-AH24</f>
        <v>5647</v>
      </c>
      <c r="AJ24" s="79"/>
      <c r="AK24" s="131" t="n">
        <f aca="false">N24+O24+P24+Q24+R24+S24+T24+W24+AE24+AH24</f>
        <v>101.4</v>
      </c>
      <c r="AL24" s="131" t="n">
        <f aca="false">IF(L24&lt;0,L24*-1,0)</f>
        <v>28.7114192084699</v>
      </c>
      <c r="AM24" s="131" t="n">
        <f aca="false">AK24+AL24</f>
        <v>130.11141920847</v>
      </c>
      <c r="AN24" s="97" t="n">
        <f aca="false">(U24*1.9835)+AN23</f>
        <v>876.568155</v>
      </c>
      <c r="AO24" s="93"/>
      <c r="AP24" s="98"/>
      <c r="AQ24" s="98"/>
      <c r="AR24" s="98"/>
      <c r="AS24" s="98"/>
      <c r="AU24" s="1"/>
      <c r="AV24" s="99" t="n">
        <v>0</v>
      </c>
      <c r="AW24" s="100" t="n">
        <v>50</v>
      </c>
      <c r="AX24" s="100" t="n">
        <v>22</v>
      </c>
      <c r="AY24" s="100"/>
      <c r="AZ24" s="101" t="n">
        <f aca="false">SUM(N24,P24:T24)</f>
        <v>3.4</v>
      </c>
    </row>
    <row r="25" customFormat="false" ht="12.95" hidden="false" customHeight="true" outlineLevel="0" collapsed="false">
      <c r="A25" s="10" t="n">
        <f aca="false">A24+1</f>
        <v>13</v>
      </c>
      <c r="B25" s="124" t="n">
        <v>6899.84</v>
      </c>
      <c r="C25" s="87" t="n">
        <v>282992</v>
      </c>
      <c r="D25" s="125" t="n">
        <f aca="false">C25-C24</f>
        <v>-147</v>
      </c>
      <c r="E25" s="87" t="n">
        <f aca="false">C25-152000</f>
        <v>130992</v>
      </c>
      <c r="F25" s="126" t="n">
        <f aca="false">D25/$D$2</f>
        <v>-74.1114192084699</v>
      </c>
      <c r="G25" s="12" t="n">
        <v>54</v>
      </c>
      <c r="H25" s="13" t="n">
        <v>0</v>
      </c>
      <c r="I25" s="12" t="n">
        <f aca="false">G25+H25</f>
        <v>54</v>
      </c>
      <c r="J25" s="4" t="n">
        <f aca="false">IF(L25&gt;0,L25,0)</f>
        <v>0</v>
      </c>
      <c r="K25" s="12" t="n">
        <f aca="false">I25+J25</f>
        <v>54</v>
      </c>
      <c r="L25" s="12" t="n">
        <f aca="false">F25-(I25-AK25)</f>
        <v>-27.6114192084699</v>
      </c>
      <c r="M25" s="127" t="n">
        <v>3.5</v>
      </c>
      <c r="N25" s="128" t="n">
        <v>0</v>
      </c>
      <c r="O25" s="128" t="n">
        <v>0</v>
      </c>
      <c r="P25" s="90" t="n">
        <v>0</v>
      </c>
      <c r="Q25" s="129" t="n">
        <f aca="false">1.58*1.02</f>
        <v>1.6116</v>
      </c>
      <c r="R25" s="129" t="n">
        <v>2.88</v>
      </c>
      <c r="S25" s="128" t="n">
        <v>0</v>
      </c>
      <c r="T25" s="92" t="n">
        <f aca="false">M25-(Q25+R25+S25)</f>
        <v>-0.9916</v>
      </c>
      <c r="U25" s="131" t="n">
        <v>61</v>
      </c>
      <c r="V25" s="131" t="n">
        <v>0</v>
      </c>
      <c r="W25" s="132" t="n">
        <f aca="false">M25-N25-P25-O25-Q25-R25-S25-T25+U25+V25</f>
        <v>61</v>
      </c>
      <c r="X25" s="133" t="n">
        <f aca="false">W25-AO25</f>
        <v>61</v>
      </c>
      <c r="Y25" s="134" t="n">
        <f aca="false">Y24+(X25*1.9835)</f>
        <v>883.2033592</v>
      </c>
      <c r="Z25" s="134" t="n">
        <f aca="false">Z24+X25*(26300/37500)*1.9835</f>
        <v>619.419955918933</v>
      </c>
      <c r="AA25" s="79"/>
      <c r="AB25" s="79"/>
      <c r="AC25" s="79"/>
      <c r="AD25" s="79"/>
      <c r="AE25" s="131" t="n">
        <v>0</v>
      </c>
      <c r="AF25" s="135"/>
      <c r="AG25" s="136"/>
      <c r="AH25" s="131" t="n">
        <v>36</v>
      </c>
      <c r="AI25" s="79" t="n">
        <f aca="false">AI24-AH25</f>
        <v>5611</v>
      </c>
      <c r="AJ25" s="79"/>
      <c r="AK25" s="131" t="n">
        <f aca="false">N25+O25+P25+Q25+R25+S25+T25+W25+AE25+AH25</f>
        <v>100.5</v>
      </c>
      <c r="AL25" s="131" t="n">
        <f aca="false">IF(L25&lt;0,L25*-1,0)</f>
        <v>27.6114192084699</v>
      </c>
      <c r="AM25" s="131" t="n">
        <f aca="false">AK25+AL25</f>
        <v>128.11141920847</v>
      </c>
      <c r="AN25" s="97" t="n">
        <f aca="false">(U25*1.9835)+AN24</f>
        <v>997.561655</v>
      </c>
      <c r="AO25" s="93"/>
      <c r="AP25" s="98"/>
      <c r="AQ25" s="98"/>
      <c r="AR25" s="98"/>
      <c r="AS25" s="98"/>
      <c r="AU25" s="1"/>
      <c r="AV25" s="99" t="n">
        <v>0</v>
      </c>
      <c r="AW25" s="100" t="n">
        <v>60</v>
      </c>
      <c r="AX25" s="100" t="n">
        <v>27</v>
      </c>
      <c r="AY25" s="100"/>
      <c r="AZ25" s="101" t="n">
        <f aca="false">SUM(N25,P25:T25)</f>
        <v>3.5</v>
      </c>
    </row>
    <row r="26" customFormat="false" ht="12.95" hidden="false" customHeight="true" outlineLevel="0" collapsed="false">
      <c r="A26" s="10" t="n">
        <f aca="false">A25+1</f>
        <v>14</v>
      </c>
      <c r="B26" s="124" t="n">
        <v>6899.79</v>
      </c>
      <c r="C26" s="87" t="n">
        <v>282808</v>
      </c>
      <c r="D26" s="125" t="n">
        <f aca="false">C26-C25</f>
        <v>-184</v>
      </c>
      <c r="E26" s="87" t="n">
        <f aca="false">C26-152000</f>
        <v>130808</v>
      </c>
      <c r="F26" s="126" t="n">
        <f aca="false">D26/$D$2</f>
        <v>-92.7653138391732</v>
      </c>
      <c r="G26" s="12" t="n">
        <v>54</v>
      </c>
      <c r="H26" s="13" t="n">
        <v>0</v>
      </c>
      <c r="I26" s="12" t="n">
        <f aca="false">G26+H26</f>
        <v>54</v>
      </c>
      <c r="J26" s="4" t="n">
        <f aca="false">IF(L26&gt;0,L26,0)</f>
        <v>0</v>
      </c>
      <c r="K26" s="12" t="n">
        <f aca="false">I26+J26</f>
        <v>54</v>
      </c>
      <c r="L26" s="12" t="n">
        <f aca="false">F26-(I26-AK26)</f>
        <v>-45.0653138391732</v>
      </c>
      <c r="M26" s="127" t="n">
        <v>3.7</v>
      </c>
      <c r="N26" s="128" t="n">
        <v>0</v>
      </c>
      <c r="O26" s="128" t="n">
        <v>0</v>
      </c>
      <c r="P26" s="90" t="n">
        <v>0</v>
      </c>
      <c r="Q26" s="129" t="n">
        <f aca="false">1.58*1.02</f>
        <v>1.6116</v>
      </c>
      <c r="R26" s="129" t="n">
        <v>3.96</v>
      </c>
      <c r="S26" s="128" t="n">
        <v>0</v>
      </c>
      <c r="T26" s="92" t="n">
        <f aca="false">M26-(Q26+R26+S26)</f>
        <v>-1.8716</v>
      </c>
      <c r="U26" s="131" t="n">
        <v>62</v>
      </c>
      <c r="V26" s="131" t="n">
        <v>0</v>
      </c>
      <c r="W26" s="132" t="n">
        <f aca="false">M26-N26-P26-O26-Q26-R26-S26-T26+U26+V26</f>
        <v>62</v>
      </c>
      <c r="X26" s="133" t="n">
        <f aca="false">W26-AO26</f>
        <v>62</v>
      </c>
      <c r="Y26" s="134" t="n">
        <f aca="false">Y25+(X26*1.9835)</f>
        <v>1006.1803592</v>
      </c>
      <c r="Z26" s="134" t="n">
        <f aca="false">Z25+X26*(26300/37500)*1.9835</f>
        <v>705.667825252267</v>
      </c>
      <c r="AA26" s="79"/>
      <c r="AB26" s="79"/>
      <c r="AC26" s="79"/>
      <c r="AD26" s="79"/>
      <c r="AE26" s="131" t="n">
        <v>0</v>
      </c>
      <c r="AF26" s="135"/>
      <c r="AG26" s="136"/>
      <c r="AH26" s="131" t="n">
        <v>36</v>
      </c>
      <c r="AI26" s="79" t="n">
        <f aca="false">AI25-AH26</f>
        <v>5575</v>
      </c>
      <c r="AJ26" s="79"/>
      <c r="AK26" s="131" t="n">
        <f aca="false">N26+O26+P26+Q26+R26+S26+T26+W26+AE26+AH26</f>
        <v>101.7</v>
      </c>
      <c r="AL26" s="131" t="n">
        <f aca="false">IF(L26&lt;0,L26*-1,0)</f>
        <v>45.0653138391732</v>
      </c>
      <c r="AM26" s="131" t="n">
        <f aca="false">AK26+AL26</f>
        <v>146.765313839173</v>
      </c>
      <c r="AN26" s="97" t="n">
        <f aca="false">(U26*1.9835)+AN25</f>
        <v>1120.538655</v>
      </c>
      <c r="AO26" s="93"/>
      <c r="AP26" s="98"/>
      <c r="AQ26" s="98"/>
      <c r="AR26" s="98"/>
      <c r="AS26" s="98"/>
      <c r="AU26" s="1"/>
      <c r="AV26" s="99" t="n">
        <v>0</v>
      </c>
      <c r="AW26" s="100" t="n">
        <v>51</v>
      </c>
      <c r="AX26" s="100" t="n">
        <v>24</v>
      </c>
      <c r="AY26" s="100"/>
      <c r="AZ26" s="101" t="n">
        <f aca="false">SUM(N26,P26:T26)</f>
        <v>3.7</v>
      </c>
    </row>
    <row r="27" customFormat="false" ht="12.95" hidden="false" customHeight="true" outlineLevel="0" collapsed="false">
      <c r="A27" s="10" t="n">
        <f aca="false">A26+1</f>
        <v>15</v>
      </c>
      <c r="B27" s="124" t="n">
        <v>6899.74</v>
      </c>
      <c r="C27" s="87" t="n">
        <v>282625</v>
      </c>
      <c r="D27" s="125" t="n">
        <f aca="false">C27-C26</f>
        <v>-183</v>
      </c>
      <c r="E27" s="87" t="n">
        <f aca="false">C27-152000</f>
        <v>130625</v>
      </c>
      <c r="F27" s="126" t="n">
        <f aca="false">D27/$D$2</f>
        <v>-92.2611545248298</v>
      </c>
      <c r="G27" s="12" t="n">
        <v>47</v>
      </c>
      <c r="H27" s="13" t="n">
        <v>0</v>
      </c>
      <c r="I27" s="12" t="n">
        <f aca="false">G27+H27</f>
        <v>47</v>
      </c>
      <c r="J27" s="4" t="n">
        <f aca="false">IF(L27&gt;0,L27,0)</f>
        <v>0</v>
      </c>
      <c r="K27" s="12" t="n">
        <f aca="false">I27+J27</f>
        <v>47</v>
      </c>
      <c r="L27" s="12" t="n">
        <f aca="false">F27-(I27-AK27)</f>
        <v>-37.5611545248298</v>
      </c>
      <c r="M27" s="127" t="n">
        <v>3.7</v>
      </c>
      <c r="N27" s="128" t="n">
        <v>0</v>
      </c>
      <c r="O27" s="128" t="n">
        <v>0</v>
      </c>
      <c r="P27" s="90" t="n">
        <v>0</v>
      </c>
      <c r="Q27" s="129" t="n">
        <f aca="false">1.58*1.02</f>
        <v>1.6116</v>
      </c>
      <c r="R27" s="129" t="n">
        <v>2.53</v>
      </c>
      <c r="S27" s="128" t="n">
        <v>0</v>
      </c>
      <c r="T27" s="92" t="n">
        <f aca="false">M27-(Q27+R27+S27)</f>
        <v>-0.4416</v>
      </c>
      <c r="U27" s="131" t="n">
        <v>62</v>
      </c>
      <c r="V27" s="131" t="n">
        <v>0</v>
      </c>
      <c r="W27" s="132" t="n">
        <f aca="false">M27-N27-P27-O27-Q27-R27-S27-T27+U27+V27</f>
        <v>62</v>
      </c>
      <c r="X27" s="133" t="n">
        <f aca="false">W27-AO27</f>
        <v>62</v>
      </c>
      <c r="Y27" s="134" t="n">
        <f aca="false">Y26+(X27*1.9835)</f>
        <v>1129.1573592</v>
      </c>
      <c r="Z27" s="134" t="n">
        <f aca="false">Z26+X27*(26300/37500)*1.9835</f>
        <v>791.9156945856</v>
      </c>
      <c r="AA27" s="79"/>
      <c r="AB27" s="79"/>
      <c r="AC27" s="79"/>
      <c r="AD27" s="79"/>
      <c r="AE27" s="131" t="n">
        <v>0</v>
      </c>
      <c r="AF27" s="135"/>
      <c r="AG27" s="136"/>
      <c r="AH27" s="131" t="n">
        <v>36</v>
      </c>
      <c r="AI27" s="79" t="n">
        <f aca="false">AI26-AH27</f>
        <v>5539</v>
      </c>
      <c r="AJ27" s="79"/>
      <c r="AK27" s="131" t="n">
        <f aca="false">N27+O27+P27+Q27+R27+S27+T27+W27+AE27+AH27</f>
        <v>101.7</v>
      </c>
      <c r="AL27" s="131" t="n">
        <f aca="false">IF(L27&lt;0,L27*-1,0)</f>
        <v>37.5611545248298</v>
      </c>
      <c r="AM27" s="131" t="n">
        <f aca="false">AK27+AL27</f>
        <v>139.26115452483</v>
      </c>
      <c r="AN27" s="97" t="n">
        <f aca="false">(U27*1.9835)+AN26</f>
        <v>1243.515655</v>
      </c>
      <c r="AO27" s="93"/>
      <c r="AP27" s="98"/>
      <c r="AQ27" s="98"/>
      <c r="AR27" s="98"/>
      <c r="AS27" s="98"/>
      <c r="AU27" s="1"/>
      <c r="AV27" s="99" t="n">
        <v>0</v>
      </c>
      <c r="AW27" s="100" t="n">
        <v>56</v>
      </c>
      <c r="AX27" s="100" t="n">
        <v>24</v>
      </c>
      <c r="AY27" s="100"/>
      <c r="AZ27" s="101" t="n">
        <f aca="false">SUM(N27,P27:T27)</f>
        <v>3.7</v>
      </c>
    </row>
    <row r="28" customFormat="false" ht="12.95" hidden="false" customHeight="true" outlineLevel="0" collapsed="false">
      <c r="A28" s="10" t="n">
        <f aca="false">A27+1</f>
        <v>16</v>
      </c>
      <c r="B28" s="124" t="n">
        <v>6899.69</v>
      </c>
      <c r="C28" s="87" t="n">
        <v>282441</v>
      </c>
      <c r="D28" s="125" t="n">
        <f aca="false">C28-C27</f>
        <v>-184</v>
      </c>
      <c r="E28" s="87" t="n">
        <f aca="false">C28-152000</f>
        <v>130441</v>
      </c>
      <c r="F28" s="126" t="n">
        <f aca="false">D28/$D$2</f>
        <v>-92.7653138391732</v>
      </c>
      <c r="G28" s="12" t="n">
        <v>48</v>
      </c>
      <c r="H28" s="13" t="n">
        <v>0</v>
      </c>
      <c r="I28" s="12" t="n">
        <f aca="false">G28+H28</f>
        <v>48</v>
      </c>
      <c r="J28" s="4" t="n">
        <f aca="false">IF(L28&gt;0,L28,0)</f>
        <v>0</v>
      </c>
      <c r="K28" s="12" t="n">
        <f aca="false">I28+J28</f>
        <v>48</v>
      </c>
      <c r="L28" s="12" t="n">
        <f aca="false">F28-(I28-AK28)</f>
        <v>-39.0653138391732</v>
      </c>
      <c r="M28" s="127" t="n">
        <v>3.7</v>
      </c>
      <c r="N28" s="128" t="n">
        <v>0</v>
      </c>
      <c r="O28" s="128" t="n">
        <v>0</v>
      </c>
      <c r="P28" s="90" t="n">
        <v>0</v>
      </c>
      <c r="Q28" s="129" t="n">
        <f aca="false">1.58*1.02</f>
        <v>1.6116</v>
      </c>
      <c r="R28" s="129" t="n">
        <v>2.49</v>
      </c>
      <c r="S28" s="128" t="n">
        <v>0</v>
      </c>
      <c r="T28" s="92" t="n">
        <f aca="false">M28-(Q28+R28+S28)</f>
        <v>-0.4016</v>
      </c>
      <c r="U28" s="131" t="n">
        <v>62</v>
      </c>
      <c r="V28" s="131" t="n">
        <v>0</v>
      </c>
      <c r="W28" s="132" t="n">
        <f aca="false">M28-N28-P28-O28-Q28-R28-S28-T28+U28+V28</f>
        <v>62</v>
      </c>
      <c r="X28" s="133" t="n">
        <f aca="false">W28-AO28</f>
        <v>62</v>
      </c>
      <c r="Y28" s="134" t="n">
        <f aca="false">Y27+(X28*1.9835)</f>
        <v>1252.1343592</v>
      </c>
      <c r="Z28" s="134" t="n">
        <f aca="false">Z27+X28*(26300/37500)*1.9835</f>
        <v>878.163563918934</v>
      </c>
      <c r="AA28" s="79"/>
      <c r="AB28" s="79"/>
      <c r="AC28" s="79"/>
      <c r="AD28" s="79"/>
      <c r="AE28" s="131" t="n">
        <v>0</v>
      </c>
      <c r="AF28" s="135"/>
      <c r="AG28" s="136"/>
      <c r="AH28" s="131" t="n">
        <v>36</v>
      </c>
      <c r="AI28" s="79" t="n">
        <f aca="false">AI27-AH28</f>
        <v>5503</v>
      </c>
      <c r="AJ28" s="79"/>
      <c r="AK28" s="131" t="n">
        <f aca="false">N28+O28+P28+Q28+R28+S28+T28+W28+AE28+AH28</f>
        <v>101.7</v>
      </c>
      <c r="AL28" s="131" t="n">
        <f aca="false">IF(L28&lt;0,L28*-1,0)</f>
        <v>39.0653138391732</v>
      </c>
      <c r="AM28" s="131" t="n">
        <f aca="false">AK28+AL28</f>
        <v>140.765313839173</v>
      </c>
      <c r="AN28" s="97" t="n">
        <f aca="false">(U28*1.9835)+AN27</f>
        <v>1366.492655</v>
      </c>
      <c r="AO28" s="93"/>
      <c r="AP28" s="98"/>
      <c r="AQ28" s="98"/>
      <c r="AR28" s="98"/>
      <c r="AS28" s="98"/>
      <c r="AU28" s="1"/>
      <c r="AV28" s="99" t="n">
        <v>0</v>
      </c>
      <c r="AW28" s="100" t="n">
        <v>59</v>
      </c>
      <c r="AX28" s="100" t="n">
        <v>26</v>
      </c>
      <c r="AY28" s="100"/>
      <c r="AZ28" s="101" t="n">
        <f aca="false">SUM(N28,P28:T28)</f>
        <v>3.7</v>
      </c>
    </row>
    <row r="29" customFormat="false" ht="12.95" hidden="false" customHeight="true" outlineLevel="0" collapsed="false">
      <c r="A29" s="10" t="n">
        <f aca="false">A28+1</f>
        <v>17</v>
      </c>
      <c r="B29" s="124" t="n">
        <v>6899.67</v>
      </c>
      <c r="C29" s="87" t="n">
        <v>282368</v>
      </c>
      <c r="D29" s="125" t="n">
        <f aca="false">C29-C28</f>
        <v>-73</v>
      </c>
      <c r="E29" s="87" t="n">
        <f aca="false">C29-152000</f>
        <v>130368</v>
      </c>
      <c r="F29" s="126" t="n">
        <f aca="false">D29/$D$2</f>
        <v>-36.8036299470633</v>
      </c>
      <c r="G29" s="12" t="n">
        <v>55</v>
      </c>
      <c r="H29" s="13" t="n">
        <v>0</v>
      </c>
      <c r="I29" s="12" t="n">
        <f aca="false">G29+H29</f>
        <v>55</v>
      </c>
      <c r="J29" s="4" t="n">
        <f aca="false">IF(L29&gt;0,L29,0)</f>
        <v>2.79637005293672</v>
      </c>
      <c r="K29" s="12" t="n">
        <f aca="false">I29+J29</f>
        <v>57.7963700529367</v>
      </c>
      <c r="L29" s="12" t="n">
        <f aca="false">F29-(I29-AK29)</f>
        <v>2.79637005293672</v>
      </c>
      <c r="M29" s="127" t="n">
        <v>3.6</v>
      </c>
      <c r="N29" s="128" t="n">
        <v>0</v>
      </c>
      <c r="O29" s="128" t="n">
        <v>0</v>
      </c>
      <c r="P29" s="90" t="n">
        <v>0</v>
      </c>
      <c r="Q29" s="129" t="n">
        <f aca="false">1.58*1.02</f>
        <v>1.6116</v>
      </c>
      <c r="R29" s="129" t="n">
        <v>2.22</v>
      </c>
      <c r="S29" s="128" t="n">
        <v>0</v>
      </c>
      <c r="T29" s="92" t="n">
        <f aca="false">M29-(Q29+R29+S29)</f>
        <v>-0.2316</v>
      </c>
      <c r="U29" s="131" t="n">
        <v>55</v>
      </c>
      <c r="V29" s="131" t="n">
        <v>0</v>
      </c>
      <c r="W29" s="132" t="n">
        <f aca="false">M29-N29-P29-O29-Q29-R29-S29-T29+U29+V29</f>
        <v>55</v>
      </c>
      <c r="X29" s="133" t="n">
        <f aca="false">W29-AO29</f>
        <v>55</v>
      </c>
      <c r="Y29" s="134" t="n">
        <f aca="false">Y28+(X29*1.9835)</f>
        <v>1361.2268592</v>
      </c>
      <c r="Z29" s="134" t="n">
        <f aca="false">Z28+X29*(26300/37500)*1.9835</f>
        <v>954.6737705856</v>
      </c>
      <c r="AA29" s="79"/>
      <c r="AB29" s="79"/>
      <c r="AC29" s="79"/>
      <c r="AD29" s="79"/>
      <c r="AE29" s="131" t="n">
        <v>0</v>
      </c>
      <c r="AF29" s="135"/>
      <c r="AG29" s="136"/>
      <c r="AH29" s="131" t="n">
        <v>36</v>
      </c>
      <c r="AI29" s="79" t="n">
        <f aca="false">AI28-AH29</f>
        <v>5467</v>
      </c>
      <c r="AJ29" s="79"/>
      <c r="AK29" s="131" t="n">
        <f aca="false">N29+O29+P29+Q29+R29+S29+T29+W29+AE29+AH29</f>
        <v>94.6</v>
      </c>
      <c r="AL29" s="131" t="n">
        <f aca="false">IF(L29&lt;0,L29*-1,0)</f>
        <v>0</v>
      </c>
      <c r="AM29" s="131" t="n">
        <f aca="false">AK29+AL29</f>
        <v>94.6</v>
      </c>
      <c r="AN29" s="97" t="n">
        <f aca="false">(U29*1.9835)+AN28</f>
        <v>1475.585155</v>
      </c>
      <c r="AO29" s="93"/>
      <c r="AP29" s="98"/>
      <c r="AQ29" s="98"/>
      <c r="AR29" s="98"/>
      <c r="AS29" s="98"/>
      <c r="AU29" s="1"/>
      <c r="AV29" s="99" t="n">
        <v>0</v>
      </c>
      <c r="AW29" s="100" t="n">
        <v>64</v>
      </c>
      <c r="AX29" s="100" t="n">
        <v>31</v>
      </c>
      <c r="AY29" s="100"/>
      <c r="AZ29" s="101" t="n">
        <f aca="false">SUM(N29,P29:T29)</f>
        <v>3.6</v>
      </c>
    </row>
    <row r="30" customFormat="false" ht="12.95" hidden="false" customHeight="true" outlineLevel="0" collapsed="false">
      <c r="A30" s="10" t="n">
        <f aca="false">A29+1</f>
        <v>18</v>
      </c>
      <c r="B30" s="124" t="n">
        <v>6899.65</v>
      </c>
      <c r="C30" s="87" t="n">
        <v>282294</v>
      </c>
      <c r="D30" s="125" t="n">
        <f aca="false">C30-C29</f>
        <v>-74</v>
      </c>
      <c r="E30" s="87" t="n">
        <f aca="false">C30-152000</f>
        <v>130294</v>
      </c>
      <c r="F30" s="126" t="n">
        <f aca="false">D30/$D$2</f>
        <v>-37.3077892614066</v>
      </c>
      <c r="G30" s="12" t="n">
        <v>54</v>
      </c>
      <c r="H30" s="13" t="n">
        <v>0</v>
      </c>
      <c r="I30" s="12" t="n">
        <f aca="false">G30+H30</f>
        <v>54</v>
      </c>
      <c r="J30" s="4" t="n">
        <f aca="false">IF(L30&gt;0,L30,0)</f>
        <v>0.392210738593398</v>
      </c>
      <c r="K30" s="12" t="n">
        <f aca="false">I30+J30</f>
        <v>54.3922107385934</v>
      </c>
      <c r="L30" s="12" t="n">
        <f aca="false">F30-(I30-AK30)</f>
        <v>0.392210738593398</v>
      </c>
      <c r="M30" s="127" t="n">
        <v>3.7</v>
      </c>
      <c r="N30" s="128" t="n">
        <v>0</v>
      </c>
      <c r="O30" s="128" t="n">
        <v>0</v>
      </c>
      <c r="P30" s="90" t="n">
        <v>0</v>
      </c>
      <c r="Q30" s="129" t="n">
        <f aca="false">1.58*1.02</f>
        <v>1.6116</v>
      </c>
      <c r="R30" s="129" t="n">
        <v>2.71</v>
      </c>
      <c r="S30" s="128" t="n">
        <v>0</v>
      </c>
      <c r="T30" s="92" t="n">
        <f aca="false">M30-(Q30+R30+S30)</f>
        <v>-0.6216</v>
      </c>
      <c r="U30" s="131" t="n">
        <v>52</v>
      </c>
      <c r="V30" s="131" t="n">
        <v>0</v>
      </c>
      <c r="W30" s="132" t="n">
        <f aca="false">M30-N30-P30-O30-Q30-R30-S30-T30+U30+V30</f>
        <v>52</v>
      </c>
      <c r="X30" s="133" t="n">
        <f aca="false">W30-AO30</f>
        <v>52</v>
      </c>
      <c r="Y30" s="134" t="n">
        <f aca="false">Y29+(X30*1.9835)</f>
        <v>1464.3688592</v>
      </c>
      <c r="Z30" s="134" t="n">
        <f aca="false">Z29+X30*(26300/37500)*1.9835</f>
        <v>1027.01069325227</v>
      </c>
      <c r="AA30" s="79"/>
      <c r="AB30" s="79"/>
      <c r="AC30" s="79"/>
      <c r="AD30" s="79"/>
      <c r="AE30" s="131" t="n">
        <v>0</v>
      </c>
      <c r="AF30" s="135"/>
      <c r="AG30" s="136"/>
      <c r="AH30" s="131" t="n">
        <v>36</v>
      </c>
      <c r="AI30" s="79" t="n">
        <f aca="false">AI29-AH30</f>
        <v>5431</v>
      </c>
      <c r="AJ30" s="79"/>
      <c r="AK30" s="131" t="n">
        <f aca="false">N30+O30+P30+Q30+R30+S30+T30+W30+AE30+AH30</f>
        <v>91.7</v>
      </c>
      <c r="AL30" s="131" t="n">
        <f aca="false">IF(L30&lt;0,L30*-1,0)</f>
        <v>0</v>
      </c>
      <c r="AM30" s="131" t="n">
        <f aca="false">AK30+AL30</f>
        <v>91.7</v>
      </c>
      <c r="AN30" s="97" t="n">
        <f aca="false">(U30*1.9835)+AN29</f>
        <v>1578.727155</v>
      </c>
      <c r="AO30" s="93"/>
      <c r="AP30" s="98"/>
      <c r="AQ30" s="98"/>
      <c r="AR30" s="98"/>
      <c r="AS30" s="98"/>
      <c r="AU30" s="1"/>
      <c r="AV30" s="99" t="n">
        <v>0</v>
      </c>
      <c r="AW30" s="100" t="n">
        <v>65</v>
      </c>
      <c r="AX30" s="100" t="n">
        <v>32</v>
      </c>
      <c r="AY30" s="100"/>
      <c r="AZ30" s="101" t="n">
        <f aca="false">SUM(N30,P30:T30)</f>
        <v>3.7</v>
      </c>
    </row>
    <row r="31" customFormat="false" ht="12.95" hidden="false" customHeight="true" outlineLevel="0" collapsed="false">
      <c r="A31" s="10" t="n">
        <f aca="false">A30+1</f>
        <v>19</v>
      </c>
      <c r="B31" s="124" t="n">
        <v>6899.63</v>
      </c>
      <c r="C31" s="87" t="n">
        <v>282221</v>
      </c>
      <c r="D31" s="125" t="n">
        <f aca="false">C31-C30</f>
        <v>-73</v>
      </c>
      <c r="E31" s="87" t="n">
        <f aca="false">C31-152000</f>
        <v>130221</v>
      </c>
      <c r="F31" s="126" t="n">
        <f aca="false">D31/$D$2</f>
        <v>-36.8036299470633</v>
      </c>
      <c r="G31" s="12" t="n">
        <v>50</v>
      </c>
      <c r="H31" s="13" t="n">
        <v>0</v>
      </c>
      <c r="I31" s="12" t="n">
        <f aca="false">G31+H31</f>
        <v>50</v>
      </c>
      <c r="J31" s="4" t="n">
        <f aca="false">IF(L31&gt;0,L31,0)</f>
        <v>4.89637005293673</v>
      </c>
      <c r="K31" s="12" t="n">
        <f aca="false">I31+J31</f>
        <v>54.8963700529367</v>
      </c>
      <c r="L31" s="12" t="n">
        <f aca="false">F31-(I31-AK31)</f>
        <v>4.89637005293673</v>
      </c>
      <c r="M31" s="127" t="n">
        <v>3.7</v>
      </c>
      <c r="N31" s="128" t="n">
        <v>0</v>
      </c>
      <c r="O31" s="128" t="n">
        <v>0</v>
      </c>
      <c r="P31" s="90" t="n">
        <v>0</v>
      </c>
      <c r="Q31" s="129" t="n">
        <f aca="false">1.58*1.02</f>
        <v>1.6116</v>
      </c>
      <c r="R31" s="129" t="n">
        <v>3.76</v>
      </c>
      <c r="S31" s="128" t="n">
        <v>0</v>
      </c>
      <c r="T31" s="92" t="n">
        <f aca="false">M31-(Q31+R31+S31)</f>
        <v>-1.6716</v>
      </c>
      <c r="U31" s="131" t="n">
        <v>52</v>
      </c>
      <c r="V31" s="131" t="n">
        <v>0</v>
      </c>
      <c r="W31" s="132" t="n">
        <f aca="false">M31-N31-P31-O31-Q31-R31-S31-T31+U31+V31</f>
        <v>52</v>
      </c>
      <c r="X31" s="133" t="n">
        <f aca="false">W31-AO31</f>
        <v>52</v>
      </c>
      <c r="Y31" s="134" t="n">
        <f aca="false">Y30+(X31*1.9835)</f>
        <v>1567.5108592</v>
      </c>
      <c r="Z31" s="134" t="n">
        <f aca="false">Z30+X31*(26300/37500)*1.9835</f>
        <v>1099.34761591893</v>
      </c>
      <c r="AA31" s="79"/>
      <c r="AB31" s="79"/>
      <c r="AC31" s="79"/>
      <c r="AD31" s="79"/>
      <c r="AE31" s="131" t="n">
        <v>0</v>
      </c>
      <c r="AF31" s="135"/>
      <c r="AG31" s="136"/>
      <c r="AH31" s="131" t="n">
        <v>36</v>
      </c>
      <c r="AI31" s="79" t="n">
        <f aca="false">AI30-AH31</f>
        <v>5395</v>
      </c>
      <c r="AJ31" s="79"/>
      <c r="AK31" s="131" t="n">
        <f aca="false">N31+O31+P31+Q31+R31+S31+T31+W31+AE31+AH31</f>
        <v>91.7</v>
      </c>
      <c r="AL31" s="131" t="n">
        <f aca="false">IF(L31&lt;0,L31*-1,0)</f>
        <v>0</v>
      </c>
      <c r="AM31" s="131" t="n">
        <f aca="false">AK31+AL31</f>
        <v>91.7</v>
      </c>
      <c r="AN31" s="97" t="n">
        <f aca="false">(U31*1.9835)+AN30</f>
        <v>1681.869155</v>
      </c>
      <c r="AO31" s="93"/>
      <c r="AP31" s="98"/>
      <c r="AQ31" s="98"/>
      <c r="AR31" s="98"/>
      <c r="AS31" s="98"/>
      <c r="AU31" s="1"/>
      <c r="AV31" s="99" t="n">
        <v>0</v>
      </c>
      <c r="AW31" s="100" t="n">
        <v>62</v>
      </c>
      <c r="AX31" s="100" t="n">
        <v>30</v>
      </c>
      <c r="AY31" s="100"/>
      <c r="AZ31" s="101" t="n">
        <f aca="false">SUM(N31,P31:T31)</f>
        <v>3.7</v>
      </c>
    </row>
    <row r="32" customFormat="false" ht="12.95" hidden="false" customHeight="true" outlineLevel="0" collapsed="false">
      <c r="A32" s="10" t="n">
        <f aca="false">A31+1</f>
        <v>20</v>
      </c>
      <c r="B32" s="124" t="n">
        <v>6899.6</v>
      </c>
      <c r="C32" s="87" t="n">
        <v>282110</v>
      </c>
      <c r="D32" s="125" t="n">
        <f aca="false">C32-C31</f>
        <v>-111</v>
      </c>
      <c r="E32" s="87" t="n">
        <f aca="false">C32-152000</f>
        <v>130110</v>
      </c>
      <c r="F32" s="126" t="n">
        <f aca="false">D32/$D$2</f>
        <v>-55.9616838921099</v>
      </c>
      <c r="G32" s="12" t="n">
        <v>47</v>
      </c>
      <c r="H32" s="13" t="n">
        <v>0</v>
      </c>
      <c r="I32" s="12" t="n">
        <f aca="false">G32+H32</f>
        <v>47</v>
      </c>
      <c r="J32" s="4" t="n">
        <f aca="false">IF(L32&gt;0,L32,0)</f>
        <v>0</v>
      </c>
      <c r="K32" s="12" t="n">
        <f aca="false">I32+J32</f>
        <v>47</v>
      </c>
      <c r="L32" s="12" t="n">
        <f aca="false">F32-(I32-AK32)</f>
        <v>-15.1616838921099</v>
      </c>
      <c r="M32" s="127" t="n">
        <v>3.8</v>
      </c>
      <c r="N32" s="128" t="n">
        <v>0</v>
      </c>
      <c r="O32" s="128" t="n">
        <v>0</v>
      </c>
      <c r="P32" s="90" t="n">
        <v>0</v>
      </c>
      <c r="Q32" s="129" t="n">
        <f aca="false">1.58*1.02</f>
        <v>1.6116</v>
      </c>
      <c r="R32" s="129" t="n">
        <v>1.76</v>
      </c>
      <c r="S32" s="128" t="n">
        <v>0</v>
      </c>
      <c r="T32" s="92" t="n">
        <f aca="false">M32-(Q32+R32+S32)</f>
        <v>0.4284</v>
      </c>
      <c r="U32" s="131" t="n">
        <v>48</v>
      </c>
      <c r="V32" s="131" t="n">
        <v>0</v>
      </c>
      <c r="W32" s="132" t="n">
        <f aca="false">M32-N32-P32-O32-Q32-R32-S32-T32+U32+V32</f>
        <v>48</v>
      </c>
      <c r="X32" s="133" t="n">
        <f aca="false">W32-AO32</f>
        <v>48</v>
      </c>
      <c r="Y32" s="134" t="n">
        <f aca="false">Y31+(X32*1.9835)</f>
        <v>1662.7188592</v>
      </c>
      <c r="Z32" s="134" t="n">
        <f aca="false">Z31+X32*(26300/37500)*1.9835</f>
        <v>1166.12015991893</v>
      </c>
      <c r="AA32" s="79"/>
      <c r="AB32" s="79"/>
      <c r="AC32" s="79"/>
      <c r="AD32" s="79"/>
      <c r="AE32" s="131" t="n">
        <v>0</v>
      </c>
      <c r="AF32" s="135"/>
      <c r="AG32" s="136"/>
      <c r="AH32" s="131" t="n">
        <v>36</v>
      </c>
      <c r="AI32" s="79" t="n">
        <f aca="false">AI31-AH32</f>
        <v>5359</v>
      </c>
      <c r="AJ32" s="79"/>
      <c r="AK32" s="131" t="n">
        <f aca="false">N32+O32+P32+Q32+R32+S32+T32+W32+AE32+AH32</f>
        <v>87.8</v>
      </c>
      <c r="AL32" s="131" t="n">
        <f aca="false">IF(L32&lt;0,L32*-1,0)</f>
        <v>15.1616838921099</v>
      </c>
      <c r="AM32" s="131" t="n">
        <f aca="false">AK32+AL32</f>
        <v>102.96168389211</v>
      </c>
      <c r="AN32" s="97" t="n">
        <f aca="false">(U32*1.9835)+AN31</f>
        <v>1777.077155</v>
      </c>
      <c r="AO32" s="93"/>
      <c r="AP32" s="98"/>
      <c r="AQ32" s="98"/>
      <c r="AR32" s="98"/>
      <c r="AS32" s="98"/>
      <c r="AU32" s="1"/>
      <c r="AV32" s="99" t="n">
        <v>0</v>
      </c>
      <c r="AW32" s="100" t="n">
        <v>58</v>
      </c>
      <c r="AX32" s="100" t="n">
        <v>26</v>
      </c>
      <c r="AY32" s="100"/>
      <c r="AZ32" s="101" t="n">
        <f aca="false">SUM(N32,P32:T32)</f>
        <v>3.8</v>
      </c>
    </row>
    <row r="33" customFormat="false" ht="12.95" hidden="false" customHeight="true" outlineLevel="0" collapsed="false">
      <c r="A33" s="10" t="n">
        <f aca="false">A32+1</f>
        <v>21</v>
      </c>
      <c r="B33" s="124" t="n">
        <v>6899.57</v>
      </c>
      <c r="C33" s="87" t="n">
        <v>282000</v>
      </c>
      <c r="D33" s="125" t="n">
        <f aca="false">C33-C32</f>
        <v>-110</v>
      </c>
      <c r="E33" s="87" t="n">
        <f aca="false">C33-152000</f>
        <v>130000</v>
      </c>
      <c r="F33" s="126" t="n">
        <f aca="false">D33/$D$2</f>
        <v>-55.4575245777666</v>
      </c>
      <c r="G33" s="12" t="n">
        <v>48</v>
      </c>
      <c r="H33" s="13" t="n">
        <v>0</v>
      </c>
      <c r="I33" s="12" t="n">
        <f aca="false">G33+H33</f>
        <v>48</v>
      </c>
      <c r="J33" s="4" t="n">
        <f aca="false">IF(L33&gt;0,L33,0)</f>
        <v>0</v>
      </c>
      <c r="K33" s="12" t="n">
        <f aca="false">I33+J33</f>
        <v>48</v>
      </c>
      <c r="L33" s="12" t="n">
        <f aca="false">F33-(I33-AK33)</f>
        <v>-22.4575245777666</v>
      </c>
      <c r="M33" s="127" t="n">
        <v>4</v>
      </c>
      <c r="N33" s="128" t="n">
        <v>0</v>
      </c>
      <c r="O33" s="128" t="n">
        <v>0</v>
      </c>
      <c r="P33" s="90" t="n">
        <v>0</v>
      </c>
      <c r="Q33" s="129" t="n">
        <f aca="false">1.58*1.02</f>
        <v>1.6116</v>
      </c>
      <c r="R33" s="129" t="n">
        <v>2.38</v>
      </c>
      <c r="S33" s="128" t="n">
        <v>0</v>
      </c>
      <c r="T33" s="92" t="n">
        <f aca="false">M33-(Q33+R33+S33)</f>
        <v>0.00839999999999996</v>
      </c>
      <c r="U33" s="131" t="n">
        <v>41</v>
      </c>
      <c r="V33" s="131" t="n">
        <v>0</v>
      </c>
      <c r="W33" s="132" t="n">
        <f aca="false">M33-N33-P33-O33-Q33-R33-S33-T33+U33+V33</f>
        <v>41</v>
      </c>
      <c r="X33" s="133" t="n">
        <f aca="false">W33-AO33</f>
        <v>41</v>
      </c>
      <c r="Y33" s="134" t="n">
        <f aca="false">Y32+(X33*1.9835)</f>
        <v>1744.0423592</v>
      </c>
      <c r="Z33" s="134" t="n">
        <f aca="false">Z32+X33*(26300/37500)*1.9835</f>
        <v>1223.15504125227</v>
      </c>
      <c r="AA33" s="79"/>
      <c r="AB33" s="79"/>
      <c r="AC33" s="79"/>
      <c r="AD33" s="79"/>
      <c r="AE33" s="131" t="n">
        <v>0</v>
      </c>
      <c r="AF33" s="135"/>
      <c r="AG33" s="136"/>
      <c r="AH33" s="131" t="n">
        <v>36</v>
      </c>
      <c r="AI33" s="79" t="n">
        <f aca="false">AI32-AH33</f>
        <v>5323</v>
      </c>
      <c r="AJ33" s="79"/>
      <c r="AK33" s="131" t="n">
        <f aca="false">N33+O33+P33+Q33+R33+S33+T33+W33+AE33+AH33</f>
        <v>81</v>
      </c>
      <c r="AL33" s="131" t="n">
        <f aca="false">IF(L33&lt;0,L33*-1,0)</f>
        <v>22.4575245777666</v>
      </c>
      <c r="AM33" s="131" t="n">
        <f aca="false">AK33+AL33</f>
        <v>103.457524577767</v>
      </c>
      <c r="AN33" s="97" t="n">
        <f aca="false">(U33*1.9835)+AN32</f>
        <v>1858.400655</v>
      </c>
      <c r="AO33" s="93"/>
      <c r="AP33" s="98"/>
      <c r="AQ33" s="98"/>
      <c r="AR33" s="98"/>
      <c r="AS33" s="98"/>
      <c r="AU33" s="1"/>
      <c r="AV33" s="99" t="n">
        <v>0</v>
      </c>
      <c r="AW33" s="100" t="n">
        <v>51</v>
      </c>
      <c r="AX33" s="100" t="n">
        <v>22</v>
      </c>
      <c r="AY33" s="100"/>
      <c r="AZ33" s="101" t="n">
        <f aca="false">SUM(N33,P33:T33)</f>
        <v>4</v>
      </c>
    </row>
    <row r="34" customFormat="false" ht="12.95" hidden="false" customHeight="true" outlineLevel="0" collapsed="false">
      <c r="A34" s="10" t="n">
        <f aca="false">A33+1</f>
        <v>22</v>
      </c>
      <c r="B34" s="124" t="n">
        <v>6899.55</v>
      </c>
      <c r="C34" s="87" t="n">
        <v>281927</v>
      </c>
      <c r="D34" s="125" t="n">
        <f aca="false">C34-C33</f>
        <v>-73</v>
      </c>
      <c r="E34" s="87" t="n">
        <f aca="false">C34-152000</f>
        <v>129927</v>
      </c>
      <c r="F34" s="126" t="n">
        <f aca="false">D34/$D$2</f>
        <v>-36.8036299470633</v>
      </c>
      <c r="G34" s="12" t="n">
        <v>42</v>
      </c>
      <c r="H34" s="13" t="n">
        <v>0</v>
      </c>
      <c r="I34" s="12" t="n">
        <f aca="false">G34+H34</f>
        <v>42</v>
      </c>
      <c r="J34" s="4" t="n">
        <f aca="false">IF(L34&gt;0,L34,0)</f>
        <v>2.19637005293673</v>
      </c>
      <c r="K34" s="12" t="n">
        <f aca="false">I34+J34</f>
        <v>44.1963700529367</v>
      </c>
      <c r="L34" s="12" t="n">
        <f aca="false">F34-(I34-AK34)</f>
        <v>2.19637005293673</v>
      </c>
      <c r="M34" s="127" t="n">
        <v>4</v>
      </c>
      <c r="N34" s="128" t="n">
        <v>0</v>
      </c>
      <c r="O34" s="128" t="n">
        <v>0</v>
      </c>
      <c r="P34" s="90" t="n">
        <v>0</v>
      </c>
      <c r="Q34" s="129" t="n">
        <f aca="false">1.58*1.02</f>
        <v>1.6116</v>
      </c>
      <c r="R34" s="129" t="n">
        <v>2.49</v>
      </c>
      <c r="S34" s="128" t="n">
        <v>0</v>
      </c>
      <c r="T34" s="92" t="n">
        <f aca="false">M34-(Q34+R34+S34)</f>
        <v>-0.1016</v>
      </c>
      <c r="U34" s="131" t="n">
        <v>41</v>
      </c>
      <c r="V34" s="131" t="n">
        <v>0</v>
      </c>
      <c r="W34" s="132" t="n">
        <f aca="false">M34-N34-P34-O34-Q34-R34-S34-T34+U34+V34</f>
        <v>41</v>
      </c>
      <c r="X34" s="133" t="n">
        <f aca="false">W34-AO34</f>
        <v>41</v>
      </c>
      <c r="Y34" s="134" t="n">
        <f aca="false">Y33+(X34*1.9835)</f>
        <v>1825.3658592</v>
      </c>
      <c r="Z34" s="134" t="n">
        <f aca="false">Z33+X34*(26300/37500)*1.9835</f>
        <v>1280.1899225856</v>
      </c>
      <c r="AA34" s="79"/>
      <c r="AB34" s="79"/>
      <c r="AC34" s="79"/>
      <c r="AD34" s="79"/>
      <c r="AE34" s="131" t="n">
        <v>0</v>
      </c>
      <c r="AF34" s="135"/>
      <c r="AG34" s="136"/>
      <c r="AH34" s="131" t="n">
        <v>36</v>
      </c>
      <c r="AI34" s="79" t="n">
        <f aca="false">AI33-AH34</f>
        <v>5287</v>
      </c>
      <c r="AJ34" s="79"/>
      <c r="AK34" s="131" t="n">
        <f aca="false">N34+O34+P34+Q34+R34+S34+T34+W34+AE34+AH34</f>
        <v>81</v>
      </c>
      <c r="AL34" s="131" t="n">
        <f aca="false">IF(L34&lt;0,L34*-1,0)</f>
        <v>0</v>
      </c>
      <c r="AM34" s="131" t="n">
        <f aca="false">AK34+AL34</f>
        <v>81</v>
      </c>
      <c r="AN34" s="97" t="n">
        <f aca="false">(U34*1.9835)+AN33</f>
        <v>1939.724155</v>
      </c>
      <c r="AO34" s="93"/>
      <c r="AP34" s="98"/>
      <c r="AQ34" s="98"/>
      <c r="AR34" s="98"/>
      <c r="AS34" s="98"/>
      <c r="AU34" s="1"/>
      <c r="AV34" s="99" t="n">
        <v>0</v>
      </c>
      <c r="AW34" s="100" t="n">
        <v>56</v>
      </c>
      <c r="AX34" s="100" t="n">
        <v>22</v>
      </c>
      <c r="AY34" s="100"/>
      <c r="AZ34" s="101" t="n">
        <f aca="false">SUM(N34,P34:T34)</f>
        <v>4</v>
      </c>
    </row>
    <row r="35" customFormat="false" ht="12.95" hidden="false" customHeight="true" outlineLevel="0" collapsed="false">
      <c r="A35" s="10" t="n">
        <f aca="false">A34+1</f>
        <v>23</v>
      </c>
      <c r="B35" s="124" t="n">
        <v>6899.52</v>
      </c>
      <c r="C35" s="87" t="n">
        <v>281817</v>
      </c>
      <c r="D35" s="125" t="n">
        <f aca="false">C35-C34</f>
        <v>-110</v>
      </c>
      <c r="E35" s="87" t="n">
        <f aca="false">C35-152000</f>
        <v>129817</v>
      </c>
      <c r="F35" s="126" t="n">
        <f aca="false">D35/$D$2</f>
        <v>-55.4575245777666</v>
      </c>
      <c r="G35" s="12" t="n">
        <v>40</v>
      </c>
      <c r="H35" s="13" t="n">
        <v>0</v>
      </c>
      <c r="I35" s="12" t="n">
        <f aca="false">G35+H35</f>
        <v>40</v>
      </c>
      <c r="J35" s="4" t="n">
        <f aca="false">IF(L35&gt;0,L35,0)</f>
        <v>0</v>
      </c>
      <c r="K35" s="12" t="n">
        <f aca="false">I35+J35</f>
        <v>40</v>
      </c>
      <c r="L35" s="12" t="n">
        <f aca="false">F35-(I35-AK35)</f>
        <v>-14.4575245777666</v>
      </c>
      <c r="M35" s="127" t="n">
        <v>4</v>
      </c>
      <c r="N35" s="128" t="n">
        <v>0</v>
      </c>
      <c r="O35" s="128" t="n">
        <v>0</v>
      </c>
      <c r="P35" s="90" t="n">
        <v>0</v>
      </c>
      <c r="Q35" s="129" t="n">
        <f aca="false">1.58*1.02</f>
        <v>1.6116</v>
      </c>
      <c r="R35" s="129" t="n">
        <v>2.32</v>
      </c>
      <c r="S35" s="128" t="n">
        <v>0</v>
      </c>
      <c r="T35" s="92" t="n">
        <f aca="false">M35-(Q35+R35+S35)</f>
        <v>0.0684</v>
      </c>
      <c r="U35" s="131" t="n">
        <v>41</v>
      </c>
      <c r="V35" s="131" t="n">
        <v>0</v>
      </c>
      <c r="W35" s="132" t="n">
        <f aca="false">M35-N35-P35-O35-Q35-R35-S35-T35+U35+V35</f>
        <v>41</v>
      </c>
      <c r="X35" s="133" t="n">
        <f aca="false">W35-AO35</f>
        <v>41</v>
      </c>
      <c r="Y35" s="134" t="n">
        <f aca="false">Y34+(X35*1.9835)</f>
        <v>1906.6893592</v>
      </c>
      <c r="Z35" s="134" t="n">
        <f aca="false">Z34+X35*(26300/37500)*1.9835</f>
        <v>1337.22480391893</v>
      </c>
      <c r="AA35" s="79"/>
      <c r="AB35" s="79"/>
      <c r="AC35" s="79"/>
      <c r="AD35" s="79"/>
      <c r="AE35" s="131" t="n">
        <v>0</v>
      </c>
      <c r="AF35" s="135"/>
      <c r="AG35" s="136"/>
      <c r="AH35" s="131" t="n">
        <v>36</v>
      </c>
      <c r="AI35" s="79" t="n">
        <f aca="false">AI34-AH35</f>
        <v>5251</v>
      </c>
      <c r="AJ35" s="79"/>
      <c r="AK35" s="131" t="n">
        <f aca="false">N35+O35+P35+Q35+R35+S35+T35+W35+AE35+AH35</f>
        <v>81</v>
      </c>
      <c r="AL35" s="131" t="n">
        <f aca="false">IF(L35&lt;0,L35*-1,0)</f>
        <v>14.4575245777666</v>
      </c>
      <c r="AM35" s="131" t="n">
        <f aca="false">AK35+AL35</f>
        <v>95.4575245777666</v>
      </c>
      <c r="AN35" s="97" t="n">
        <f aca="false">(U35*1.9835)+AN34</f>
        <v>2021.047655</v>
      </c>
      <c r="AO35" s="93"/>
      <c r="AP35" s="98"/>
      <c r="AQ35" s="98"/>
      <c r="AR35" s="98"/>
      <c r="AS35" s="98"/>
      <c r="AU35" s="1"/>
      <c r="AV35" s="99" t="n">
        <v>0</v>
      </c>
      <c r="AW35" s="100" t="n">
        <v>54</v>
      </c>
      <c r="AX35" s="139" t="n">
        <v>23</v>
      </c>
      <c r="AY35" s="139"/>
      <c r="AZ35" s="101" t="n">
        <f aca="false">SUM(N35,P35:T35)</f>
        <v>4</v>
      </c>
    </row>
    <row r="36" customFormat="false" ht="12.95" hidden="false" customHeight="true" outlineLevel="0" collapsed="false">
      <c r="A36" s="10" t="n">
        <f aca="false">A35+1</f>
        <v>24</v>
      </c>
      <c r="B36" s="124" t="n">
        <v>6899.49</v>
      </c>
      <c r="C36" s="87" t="n">
        <v>281706</v>
      </c>
      <c r="D36" s="125" t="n">
        <f aca="false">C36-C35</f>
        <v>-111</v>
      </c>
      <c r="E36" s="87" t="n">
        <f aca="false">C36-152000</f>
        <v>129706</v>
      </c>
      <c r="F36" s="126" t="n">
        <f aca="false">D36/$D$2</f>
        <v>-55.9616838921099</v>
      </c>
      <c r="G36" s="12" t="n">
        <v>38</v>
      </c>
      <c r="H36" s="13" t="n">
        <v>0</v>
      </c>
      <c r="I36" s="12" t="n">
        <f aca="false">G36+H36</f>
        <v>38</v>
      </c>
      <c r="J36" s="4" t="n">
        <f aca="false">IF(L36&gt;0,L36,0)</f>
        <v>0</v>
      </c>
      <c r="K36" s="12" t="n">
        <f aca="false">I36+J36</f>
        <v>38</v>
      </c>
      <c r="L36" s="12" t="n">
        <f aca="false">F36-(I36-AK36)</f>
        <v>-15.2616838921099</v>
      </c>
      <c r="M36" s="127" t="n">
        <v>3.7</v>
      </c>
      <c r="N36" s="128" t="n">
        <v>0</v>
      </c>
      <c r="O36" s="128" t="n">
        <v>0</v>
      </c>
      <c r="P36" s="90" t="n">
        <v>0</v>
      </c>
      <c r="Q36" s="129" t="n">
        <f aca="false">1.58*1.02</f>
        <v>1.6116</v>
      </c>
      <c r="R36" s="129" t="n">
        <v>2.48</v>
      </c>
      <c r="S36" s="128" t="n">
        <v>0</v>
      </c>
      <c r="T36" s="92" t="n">
        <f aca="false">M36-(Q36+R36+S36)</f>
        <v>-0.3916</v>
      </c>
      <c r="U36" s="131" t="n">
        <v>39</v>
      </c>
      <c r="V36" s="131" t="n">
        <v>0</v>
      </c>
      <c r="W36" s="132" t="n">
        <f aca="false">M36-N36-P36-O36-Q36-R36-S36-T36+U36+V36</f>
        <v>39</v>
      </c>
      <c r="X36" s="133" t="n">
        <f aca="false">W36-AO36</f>
        <v>39</v>
      </c>
      <c r="Y36" s="134" t="n">
        <f aca="false">Y35+(X36*1.9835)</f>
        <v>1984.0458592</v>
      </c>
      <c r="Z36" s="134" t="n">
        <f aca="false">Z35+X36*(26300/37500)*1.9835</f>
        <v>1391.47749591893</v>
      </c>
      <c r="AA36" s="79"/>
      <c r="AB36" s="79"/>
      <c r="AC36" s="79"/>
      <c r="AD36" s="79"/>
      <c r="AE36" s="131" t="n">
        <v>0</v>
      </c>
      <c r="AF36" s="135"/>
      <c r="AG36" s="136"/>
      <c r="AH36" s="131" t="n">
        <v>36</v>
      </c>
      <c r="AI36" s="79" t="n">
        <f aca="false">AI35-AH36</f>
        <v>5215</v>
      </c>
      <c r="AJ36" s="79"/>
      <c r="AK36" s="131" t="n">
        <f aca="false">N36+O36+P36+Q36+R36+S36+T36+W36+AE36+AH36</f>
        <v>78.7</v>
      </c>
      <c r="AL36" s="131" t="n">
        <f aca="false">IF(L36&lt;0,L36*-1,0)</f>
        <v>15.2616838921099</v>
      </c>
      <c r="AM36" s="131" t="n">
        <f aca="false">AK36+AL36</f>
        <v>93.9616838921099</v>
      </c>
      <c r="AN36" s="97" t="n">
        <f aca="false">(U36*1.9835)+AN35</f>
        <v>2098.404155</v>
      </c>
      <c r="AO36" s="93"/>
      <c r="AP36" s="98"/>
      <c r="AQ36" s="98"/>
      <c r="AR36" s="98"/>
      <c r="AS36" s="98"/>
      <c r="AU36" s="1"/>
      <c r="AV36" s="99" t="n">
        <v>0</v>
      </c>
      <c r="AW36" s="100" t="n">
        <v>55</v>
      </c>
      <c r="AX36" s="139" t="n">
        <v>22</v>
      </c>
      <c r="AY36" s="139"/>
      <c r="AZ36" s="101" t="n">
        <f aca="false">SUM(N36,P36:T36)</f>
        <v>3.7</v>
      </c>
    </row>
    <row r="37" customFormat="false" ht="12.95" hidden="false" customHeight="true" outlineLevel="0" collapsed="false">
      <c r="A37" s="10" t="n">
        <f aca="false">A36+1</f>
        <v>25</v>
      </c>
      <c r="B37" s="124" t="n">
        <v>6899.46</v>
      </c>
      <c r="C37" s="87" t="n">
        <v>281596</v>
      </c>
      <c r="D37" s="125" t="n">
        <f aca="false">C37-C36</f>
        <v>-110</v>
      </c>
      <c r="E37" s="87" t="n">
        <f aca="false">C37-152000</f>
        <v>129596</v>
      </c>
      <c r="F37" s="126" t="n">
        <f aca="false">D37/$D$2</f>
        <v>-55.4575245777666</v>
      </c>
      <c r="G37" s="12" t="n">
        <v>35</v>
      </c>
      <c r="H37" s="13" t="n">
        <v>0</v>
      </c>
      <c r="I37" s="12" t="n">
        <f aca="false">G37+H37</f>
        <v>35</v>
      </c>
      <c r="J37" s="4" t="n">
        <f aca="false">IF(L37&gt;0,L37,0)</f>
        <v>0</v>
      </c>
      <c r="K37" s="12" t="n">
        <f aca="false">I37+J37</f>
        <v>35</v>
      </c>
      <c r="L37" s="12" t="n">
        <f aca="false">F37-(I37-AK37)</f>
        <v>-20.7575245777666</v>
      </c>
      <c r="M37" s="127" t="n">
        <v>3.7</v>
      </c>
      <c r="N37" s="128" t="n">
        <v>0</v>
      </c>
      <c r="O37" s="128" t="n">
        <v>0</v>
      </c>
      <c r="P37" s="90" t="n">
        <v>0</v>
      </c>
      <c r="Q37" s="129" t="n">
        <f aca="false">1.58*1.02</f>
        <v>1.6116</v>
      </c>
      <c r="R37" s="129" t="n">
        <v>2.47</v>
      </c>
      <c r="S37" s="128" t="n">
        <v>0</v>
      </c>
      <c r="T37" s="92" t="n">
        <f aca="false">M37-(Q37+R37+S37)</f>
        <v>-0.3816</v>
      </c>
      <c r="U37" s="131" t="n">
        <v>30</v>
      </c>
      <c r="V37" s="131" t="n">
        <v>0</v>
      </c>
      <c r="W37" s="132" t="n">
        <f aca="false">M37-N37-P37-O37-Q37-R37-S37-T37+U37+V37</f>
        <v>30</v>
      </c>
      <c r="X37" s="133" t="n">
        <f aca="false">W37-AO37</f>
        <v>30</v>
      </c>
      <c r="Y37" s="134" t="n">
        <f aca="false">Y36+(X37*1.9835)</f>
        <v>2043.5508592</v>
      </c>
      <c r="Z37" s="134" t="n">
        <f aca="false">Z36+X37*(26300/37500)*1.9835</f>
        <v>1433.21033591893</v>
      </c>
      <c r="AA37" s="79"/>
      <c r="AB37" s="79"/>
      <c r="AC37" s="79"/>
      <c r="AD37" s="79"/>
      <c r="AE37" s="131" t="n">
        <v>0</v>
      </c>
      <c r="AF37" s="135"/>
      <c r="AG37" s="136"/>
      <c r="AH37" s="131" t="n">
        <v>36</v>
      </c>
      <c r="AI37" s="79" t="n">
        <f aca="false">AI36-AH37</f>
        <v>5179</v>
      </c>
      <c r="AJ37" s="79"/>
      <c r="AK37" s="131" t="n">
        <f aca="false">N37+O37+P37+Q37+R37+S37+T37+W37+AE37+AH37</f>
        <v>69.7</v>
      </c>
      <c r="AL37" s="131" t="n">
        <f aca="false">IF(L37&lt;0,L37*-1,0)</f>
        <v>20.7575245777666</v>
      </c>
      <c r="AM37" s="131" t="n">
        <f aca="false">AK37+AL37</f>
        <v>90.4575245777666</v>
      </c>
      <c r="AN37" s="97" t="n">
        <f aca="false">(U37*1.9835)+AN36</f>
        <v>2157.909155</v>
      </c>
      <c r="AO37" s="93"/>
      <c r="AP37" s="98"/>
      <c r="AQ37" s="98"/>
      <c r="AR37" s="98"/>
      <c r="AS37" s="98"/>
      <c r="AU37" s="1"/>
      <c r="AV37" s="99" t="n">
        <v>0</v>
      </c>
      <c r="AW37" s="100" t="n">
        <v>54</v>
      </c>
      <c r="AX37" s="139" t="n">
        <v>21</v>
      </c>
      <c r="AY37" s="139"/>
      <c r="AZ37" s="101" t="n">
        <f aca="false">SUM(N37,P37:T37)</f>
        <v>3.7</v>
      </c>
    </row>
    <row r="38" customFormat="false" ht="12.95" hidden="false" customHeight="true" outlineLevel="0" collapsed="false">
      <c r="A38" s="10" t="n">
        <f aca="false">A37+1</f>
        <v>26</v>
      </c>
      <c r="B38" s="124" t="n">
        <v>6899.5</v>
      </c>
      <c r="C38" s="87" t="n">
        <v>281743</v>
      </c>
      <c r="D38" s="125" t="n">
        <f aca="false">C38-C37</f>
        <v>147</v>
      </c>
      <c r="E38" s="87" t="n">
        <f aca="false">C38-152000</f>
        <v>129743</v>
      </c>
      <c r="F38" s="126" t="n">
        <f aca="false">D38/$D$2</f>
        <v>74.1114192084699</v>
      </c>
      <c r="G38" s="12" t="n">
        <v>49</v>
      </c>
      <c r="H38" s="13" t="n">
        <v>0</v>
      </c>
      <c r="I38" s="12" t="n">
        <f aca="false">G38+H38</f>
        <v>49</v>
      </c>
      <c r="J38" s="4" t="n">
        <f aca="false">IF(L38&gt;0,L38,0)</f>
        <v>90.8114192084699</v>
      </c>
      <c r="K38" s="12" t="n">
        <f aca="false">I38+J38</f>
        <v>139.81141920847</v>
      </c>
      <c r="L38" s="12" t="n">
        <f aca="false">F38-(I38-AK38)</f>
        <v>90.8114192084699</v>
      </c>
      <c r="M38" s="127" t="n">
        <v>3.7</v>
      </c>
      <c r="N38" s="128" t="n">
        <v>0</v>
      </c>
      <c r="O38" s="128" t="n">
        <v>0</v>
      </c>
      <c r="P38" s="90" t="n">
        <v>0</v>
      </c>
      <c r="Q38" s="129" t="n">
        <f aca="false">1.58*1.02</f>
        <v>1.6116</v>
      </c>
      <c r="R38" s="129" t="n">
        <v>2.38</v>
      </c>
      <c r="S38" s="128" t="n">
        <v>0</v>
      </c>
      <c r="T38" s="92" t="n">
        <f aca="false">M38-(Q38+R38+S38)</f>
        <v>-0.2916</v>
      </c>
      <c r="U38" s="131" t="n">
        <v>26</v>
      </c>
      <c r="V38" s="131" t="n">
        <v>0</v>
      </c>
      <c r="W38" s="132" t="n">
        <f aca="false">M38-N38-P38-O38-Q38-R38-S38-T38+U38+V38</f>
        <v>26</v>
      </c>
      <c r="X38" s="133" t="n">
        <f aca="false">W38-AO38</f>
        <v>26</v>
      </c>
      <c r="Y38" s="134" t="n">
        <f aca="false">Y37+(X38*1.9835)</f>
        <v>2095.1218592</v>
      </c>
      <c r="Z38" s="134" t="n">
        <f aca="false">Z37+X38*(26300/37500)*1.9835</f>
        <v>1469.37879725227</v>
      </c>
      <c r="AA38" s="79"/>
      <c r="AB38" s="79"/>
      <c r="AC38" s="79"/>
      <c r="AD38" s="79"/>
      <c r="AE38" s="131" t="n">
        <v>0</v>
      </c>
      <c r="AF38" s="135"/>
      <c r="AG38" s="136"/>
      <c r="AH38" s="131" t="n">
        <v>36</v>
      </c>
      <c r="AI38" s="79" t="n">
        <f aca="false">AI37-AH38</f>
        <v>5143</v>
      </c>
      <c r="AJ38" s="79"/>
      <c r="AK38" s="131" t="n">
        <f aca="false">N38+O38+P38+Q38+R38+S38+T38+W38+AE38+AH38</f>
        <v>65.7</v>
      </c>
      <c r="AL38" s="131" t="n">
        <f aca="false">IF(L38&lt;0,L38*-1,0)</f>
        <v>0</v>
      </c>
      <c r="AM38" s="131" t="n">
        <f aca="false">AK38+AL38</f>
        <v>65.7</v>
      </c>
      <c r="AN38" s="97" t="n">
        <f aca="false">(U38*1.9835)+AN37</f>
        <v>2209.480155</v>
      </c>
      <c r="AO38" s="93"/>
      <c r="AP38" s="98"/>
      <c r="AQ38" s="98"/>
      <c r="AR38" s="98"/>
      <c r="AS38" s="98"/>
      <c r="AU38" s="1"/>
      <c r="AV38" s="99" t="n">
        <v>0.65</v>
      </c>
      <c r="AW38" s="100" t="n">
        <v>55</v>
      </c>
      <c r="AX38" s="100" t="n">
        <v>26</v>
      </c>
      <c r="AY38" s="100"/>
      <c r="AZ38" s="101" t="n">
        <f aca="false">SUM(N38,P38:T38)</f>
        <v>3.7</v>
      </c>
    </row>
    <row r="39" customFormat="false" ht="12.95" hidden="false" customHeight="true" outlineLevel="0" collapsed="false">
      <c r="A39" s="10" t="n">
        <f aca="false">A38+1</f>
        <v>27</v>
      </c>
      <c r="B39" s="124" t="n">
        <v>6899.54</v>
      </c>
      <c r="C39" s="87" t="n">
        <v>281890</v>
      </c>
      <c r="D39" s="125" t="n">
        <f aca="false">C39-C38</f>
        <v>147</v>
      </c>
      <c r="E39" s="87" t="n">
        <f aca="false">C39-152000</f>
        <v>129890</v>
      </c>
      <c r="F39" s="126" t="n">
        <f aca="false">D39/$D$2</f>
        <v>74.1114192084699</v>
      </c>
      <c r="G39" s="12" t="n">
        <v>72</v>
      </c>
      <c r="H39" s="13" t="n">
        <v>0</v>
      </c>
      <c r="I39" s="12" t="n">
        <f aca="false">G39+H39</f>
        <v>72</v>
      </c>
      <c r="J39" s="4" t="n">
        <f aca="false">IF(L39&gt;0,L39,0)</f>
        <v>67.8114192084699</v>
      </c>
      <c r="K39" s="12" t="n">
        <f aca="false">I39+J39</f>
        <v>139.81141920847</v>
      </c>
      <c r="L39" s="12" t="n">
        <f aca="false">F39-(I39-AK39)</f>
        <v>67.8114192084699</v>
      </c>
      <c r="M39" s="127" t="n">
        <v>3.7</v>
      </c>
      <c r="N39" s="128" t="n">
        <v>0</v>
      </c>
      <c r="O39" s="128" t="n">
        <v>0</v>
      </c>
      <c r="P39" s="90" t="n">
        <v>0</v>
      </c>
      <c r="Q39" s="129" t="n">
        <f aca="false">1.58*1.02</f>
        <v>1.6116</v>
      </c>
      <c r="R39" s="129" t="n">
        <v>1.74</v>
      </c>
      <c r="S39" s="128" t="n">
        <v>0</v>
      </c>
      <c r="T39" s="92" t="n">
        <f aca="false">M39-(Q39+R39+S39)</f>
        <v>0.3484</v>
      </c>
      <c r="U39" s="131" t="n">
        <v>26</v>
      </c>
      <c r="V39" s="131" t="n">
        <v>0</v>
      </c>
      <c r="W39" s="132" t="n">
        <f aca="false">M39-N39-P39-O39-Q39-R39-S39-T39+U39+V39</f>
        <v>26</v>
      </c>
      <c r="X39" s="133" t="n">
        <f aca="false">W39-AO39</f>
        <v>26</v>
      </c>
      <c r="Y39" s="134" t="n">
        <f aca="false">Y38+(X39*1.9835)</f>
        <v>2146.6928592</v>
      </c>
      <c r="Z39" s="134" t="n">
        <f aca="false">Z38+X39*(26300/37500)*1.9835</f>
        <v>1505.5472585856</v>
      </c>
      <c r="AA39" s="79"/>
      <c r="AB39" s="79"/>
      <c r="AC39" s="79"/>
      <c r="AD39" s="79"/>
      <c r="AE39" s="131" t="n">
        <v>0</v>
      </c>
      <c r="AF39" s="135"/>
      <c r="AG39" s="136"/>
      <c r="AH39" s="131" t="n">
        <v>36</v>
      </c>
      <c r="AI39" s="79" t="n">
        <f aca="false">AI38-AH39</f>
        <v>5107</v>
      </c>
      <c r="AJ39" s="79"/>
      <c r="AK39" s="131" t="n">
        <f aca="false">N39+O39+P39+Q39+R39+S39+T39+W39+AE39+AH39</f>
        <v>65.7</v>
      </c>
      <c r="AL39" s="131" t="n">
        <f aca="false">IF(L39&lt;0,L39*-1,0)</f>
        <v>0</v>
      </c>
      <c r="AM39" s="131" t="n">
        <f aca="false">AK39+AL39</f>
        <v>65.7</v>
      </c>
      <c r="AN39" s="97" t="n">
        <f aca="false">(U39*1.9835)+AN38</f>
        <v>2261.051155</v>
      </c>
      <c r="AO39" s="93"/>
      <c r="AP39" s="98"/>
      <c r="AQ39" s="98"/>
      <c r="AR39" s="98"/>
      <c r="AS39" s="98"/>
      <c r="AU39" s="1"/>
      <c r="AV39" s="99" t="n">
        <v>0</v>
      </c>
      <c r="AW39" s="100" t="n">
        <v>44</v>
      </c>
      <c r="AX39" s="100" t="n">
        <v>28</v>
      </c>
      <c r="AY39" s="100"/>
      <c r="AZ39" s="101" t="n">
        <f aca="false">SUM(N39,P39:T39)</f>
        <v>3.7</v>
      </c>
    </row>
    <row r="40" customFormat="false" ht="12.95" hidden="false" customHeight="true" outlineLevel="0" collapsed="false">
      <c r="A40" s="10" t="n">
        <f aca="false">A39+1</f>
        <v>28</v>
      </c>
      <c r="B40" s="124" t="n">
        <v>6899.54</v>
      </c>
      <c r="C40" s="87" t="n">
        <v>281890</v>
      </c>
      <c r="D40" s="125" t="n">
        <f aca="false">C40-C39</f>
        <v>0</v>
      </c>
      <c r="E40" s="87" t="n">
        <f aca="false">C40-152000</f>
        <v>129890</v>
      </c>
      <c r="F40" s="126" t="n">
        <f aca="false">D40/$D$2</f>
        <v>0</v>
      </c>
      <c r="G40" s="12" t="n">
        <v>71</v>
      </c>
      <c r="H40" s="13" t="n">
        <v>0</v>
      </c>
      <c r="I40" s="12" t="n">
        <f aca="false">G40+H40</f>
        <v>71</v>
      </c>
      <c r="J40" s="4" t="n">
        <f aca="false">IF(L40&gt;0,L40,0)</f>
        <v>0</v>
      </c>
      <c r="K40" s="12" t="n">
        <f aca="false">I40+J40</f>
        <v>71</v>
      </c>
      <c r="L40" s="12" t="n">
        <f aca="false">F40-(I40-AK40)</f>
        <v>-5.3</v>
      </c>
      <c r="M40" s="127" t="n">
        <v>3.7</v>
      </c>
      <c r="N40" s="128" t="n">
        <v>0</v>
      </c>
      <c r="O40" s="128" t="n">
        <v>0</v>
      </c>
      <c r="P40" s="90" t="n">
        <v>0</v>
      </c>
      <c r="Q40" s="129" t="n">
        <f aca="false">1.58*1.02</f>
        <v>1.6116</v>
      </c>
      <c r="R40" s="129" t="n">
        <v>1.83</v>
      </c>
      <c r="S40" s="128" t="n">
        <v>0</v>
      </c>
      <c r="T40" s="92" t="n">
        <f aca="false">M40-(Q40+R40+S40)</f>
        <v>0.2584</v>
      </c>
      <c r="U40" s="131" t="n">
        <v>26</v>
      </c>
      <c r="V40" s="131" t="n">
        <v>0</v>
      </c>
      <c r="W40" s="132" t="n">
        <f aca="false">M40-N40-P40-O40-Q40-R40-S40-T40+U40+V40</f>
        <v>26</v>
      </c>
      <c r="X40" s="133" t="n">
        <f aca="false">W40-AO40</f>
        <v>26</v>
      </c>
      <c r="Y40" s="134" t="n">
        <f aca="false">Y39+(X40*1.9835)</f>
        <v>2198.2638592</v>
      </c>
      <c r="Z40" s="134" t="n">
        <f aca="false">Z39+X40*(26300/37500)*1.9835</f>
        <v>1541.71571991893</v>
      </c>
      <c r="AA40" s="79"/>
      <c r="AB40" s="79"/>
      <c r="AC40" s="79"/>
      <c r="AD40" s="79"/>
      <c r="AE40" s="131" t="n">
        <v>0</v>
      </c>
      <c r="AF40" s="135"/>
      <c r="AG40" s="136"/>
      <c r="AH40" s="131" t="n">
        <v>36</v>
      </c>
      <c r="AI40" s="79" t="n">
        <f aca="false">AI39-AH40</f>
        <v>5071</v>
      </c>
      <c r="AJ40" s="79"/>
      <c r="AK40" s="131" t="n">
        <f aca="false">N40+O40+P40+Q40+R40+S40+T40+W40+AE40+AH40</f>
        <v>65.7</v>
      </c>
      <c r="AL40" s="131" t="n">
        <f aca="false">IF(L40&lt;0,L40*-1,0)</f>
        <v>5.3</v>
      </c>
      <c r="AM40" s="131" t="n">
        <f aca="false">AK40+AL40</f>
        <v>71</v>
      </c>
      <c r="AN40" s="97" t="n">
        <f aca="false">(U40*1.9835)+AN39</f>
        <v>2312.622155</v>
      </c>
      <c r="AO40" s="93"/>
      <c r="AP40" s="98"/>
      <c r="AQ40" s="98"/>
      <c r="AR40" s="98"/>
      <c r="AS40" s="98"/>
      <c r="AU40" s="1"/>
      <c r="AV40" s="99" t="n">
        <v>0</v>
      </c>
      <c r="AW40" s="100" t="n">
        <v>40</v>
      </c>
      <c r="AX40" s="100" t="n">
        <v>28</v>
      </c>
      <c r="AY40" s="100"/>
      <c r="AZ40" s="101" t="n">
        <f aca="false">SUM(N40,P40:T40)</f>
        <v>3.7</v>
      </c>
    </row>
    <row r="41" customFormat="false" ht="12.95" hidden="false" customHeight="true" outlineLevel="0" collapsed="false">
      <c r="A41" s="10" t="n">
        <f aca="false">A40+1</f>
        <v>29</v>
      </c>
      <c r="B41" s="124" t="n">
        <v>6899.52</v>
      </c>
      <c r="C41" s="87" t="n">
        <v>281817</v>
      </c>
      <c r="D41" s="125" t="n">
        <f aca="false">C41-C40</f>
        <v>-73</v>
      </c>
      <c r="E41" s="87" t="n">
        <f aca="false">C41-152000</f>
        <v>129817</v>
      </c>
      <c r="F41" s="126" t="n">
        <f aca="false">D41/$D$2</f>
        <v>-36.8036299470633</v>
      </c>
      <c r="G41" s="12" t="n">
        <v>57</v>
      </c>
      <c r="H41" s="13" t="n">
        <v>0</v>
      </c>
      <c r="I41" s="12" t="n">
        <f aca="false">G41+H41</f>
        <v>57</v>
      </c>
      <c r="J41" s="4" t="n">
        <f aca="false">IF(L41&gt;0,L41,0)</f>
        <v>0</v>
      </c>
      <c r="K41" s="12" t="n">
        <f aca="false">I41+J41</f>
        <v>57</v>
      </c>
      <c r="L41" s="12" t="n">
        <f aca="false">F41-(I41-AK41)</f>
        <v>-28.1036299470633</v>
      </c>
      <c r="M41" s="127" t="n">
        <v>3.7</v>
      </c>
      <c r="N41" s="128" t="n">
        <v>0</v>
      </c>
      <c r="O41" s="128" t="n">
        <v>0</v>
      </c>
      <c r="P41" s="90" t="n">
        <v>0</v>
      </c>
      <c r="Q41" s="129" t="n">
        <f aca="false">1.58*1.02</f>
        <v>1.6116</v>
      </c>
      <c r="R41" s="129" t="n">
        <v>1.76</v>
      </c>
      <c r="S41" s="128" t="n">
        <v>0</v>
      </c>
      <c r="T41" s="92" t="n">
        <f aca="false">M41-(Q41+R41+S41)</f>
        <v>0.3284</v>
      </c>
      <c r="U41" s="131" t="n">
        <v>26</v>
      </c>
      <c r="V41" s="131" t="n">
        <v>0</v>
      </c>
      <c r="W41" s="132" t="n">
        <f aca="false">M41-N41-P41-O41-Q41-R41-S41-T41+U41+V41</f>
        <v>26</v>
      </c>
      <c r="X41" s="133" t="n">
        <f aca="false">W41-AO41</f>
        <v>26</v>
      </c>
      <c r="Y41" s="134" t="n">
        <f aca="false">Y40+(X41*1.9835)</f>
        <v>2249.8348592</v>
      </c>
      <c r="Z41" s="134" t="n">
        <f aca="false">Z40+X41*(26300/37500)*1.9835</f>
        <v>1577.88418125227</v>
      </c>
      <c r="AA41" s="79"/>
      <c r="AB41" s="79"/>
      <c r="AC41" s="79"/>
      <c r="AD41" s="79"/>
      <c r="AE41" s="131" t="n">
        <v>0</v>
      </c>
      <c r="AF41" s="135"/>
      <c r="AG41" s="136"/>
      <c r="AH41" s="131" t="n">
        <v>36</v>
      </c>
      <c r="AI41" s="79" t="n">
        <f aca="false">AI40-AH41</f>
        <v>5035</v>
      </c>
      <c r="AJ41" s="79"/>
      <c r="AK41" s="131" t="n">
        <f aca="false">N41+O41+P41+Q41+R41+S41+T41+W41+AE41+AH41</f>
        <v>65.7</v>
      </c>
      <c r="AL41" s="131" t="n">
        <f aca="false">IF(L41&lt;0,L41*-1,0)</f>
        <v>28.1036299470633</v>
      </c>
      <c r="AM41" s="131" t="n">
        <f aca="false">AK41+AL41</f>
        <v>93.8036299470633</v>
      </c>
      <c r="AN41" s="97" t="n">
        <f aca="false">(U41*1.9835)+AN40</f>
        <v>2364.193155</v>
      </c>
      <c r="AO41" s="93"/>
      <c r="AP41" s="98"/>
      <c r="AQ41" s="98"/>
      <c r="AR41" s="98"/>
      <c r="AS41" s="98"/>
      <c r="AU41" s="1"/>
      <c r="AV41" s="99" t="n">
        <v>0</v>
      </c>
      <c r="AW41" s="100" t="n">
        <v>45</v>
      </c>
      <c r="AX41" s="100" t="n">
        <v>24</v>
      </c>
      <c r="AY41" s="100"/>
      <c r="AZ41" s="101" t="n">
        <f aca="false">SUM(N41,P41:T41)</f>
        <v>3.7</v>
      </c>
    </row>
    <row r="42" customFormat="false" ht="12.95" hidden="false" customHeight="true" outlineLevel="0" collapsed="false">
      <c r="A42" s="10" t="n">
        <v>30</v>
      </c>
      <c r="B42" s="124" t="n">
        <v>6899.5</v>
      </c>
      <c r="C42" s="87" t="n">
        <v>281743</v>
      </c>
      <c r="D42" s="125" t="n">
        <f aca="false">C42-C41</f>
        <v>-74</v>
      </c>
      <c r="E42" s="87" t="n">
        <f aca="false">C42-152000</f>
        <v>129743</v>
      </c>
      <c r="F42" s="126" t="n">
        <f aca="false">D42/$D$2</f>
        <v>-37.3077892614066</v>
      </c>
      <c r="G42" s="12" t="n">
        <v>59</v>
      </c>
      <c r="H42" s="13" t="n">
        <v>0</v>
      </c>
      <c r="I42" s="12" t="n">
        <f aca="false">G42+H42</f>
        <v>59</v>
      </c>
      <c r="J42" s="4" t="n">
        <f aca="false">IF(L42&gt;0,L42,0)</f>
        <v>0</v>
      </c>
      <c r="K42" s="12" t="n">
        <f aca="false">I42+J42</f>
        <v>59</v>
      </c>
      <c r="L42" s="12" t="n">
        <f aca="false">F42-(I42-AK42)</f>
        <v>-30.6077892614066</v>
      </c>
      <c r="M42" s="127" t="n">
        <v>3.7</v>
      </c>
      <c r="N42" s="128" t="n">
        <v>0</v>
      </c>
      <c r="O42" s="128" t="n">
        <v>0</v>
      </c>
      <c r="P42" s="90" t="n">
        <v>0</v>
      </c>
      <c r="Q42" s="129" t="n">
        <f aca="false">1.58*1.02</f>
        <v>1.6116</v>
      </c>
      <c r="R42" s="129" t="n">
        <v>2.47</v>
      </c>
      <c r="S42" s="128" t="n">
        <v>0</v>
      </c>
      <c r="T42" s="92" t="n">
        <f aca="false">M42-(Q42+R42+S42)</f>
        <v>-0.3816</v>
      </c>
      <c r="U42" s="131" t="n">
        <v>26</v>
      </c>
      <c r="V42" s="131" t="n">
        <v>0</v>
      </c>
      <c r="W42" s="132" t="n">
        <f aca="false">M42-N42-P42-O42-Q42-R42-S42-T42+U42+V42</f>
        <v>26</v>
      </c>
      <c r="X42" s="133" t="n">
        <f aca="false">W42-AO42</f>
        <v>26</v>
      </c>
      <c r="Y42" s="134" t="n">
        <f aca="false">Y41+(X42*1.9835)</f>
        <v>2301.4058592</v>
      </c>
      <c r="Z42" s="134" t="n">
        <f aca="false">Z41+X42*(26300/37500)*1.9835</f>
        <v>1614.0526425856</v>
      </c>
      <c r="AA42" s="79"/>
      <c r="AB42" s="79"/>
      <c r="AC42" s="79"/>
      <c r="AD42" s="79"/>
      <c r="AE42" s="131" t="n">
        <v>0</v>
      </c>
      <c r="AF42" s="135"/>
      <c r="AG42" s="136"/>
      <c r="AH42" s="131" t="n">
        <v>36</v>
      </c>
      <c r="AI42" s="79" t="n">
        <f aca="false">AI41-AH42</f>
        <v>4999</v>
      </c>
      <c r="AJ42" s="79"/>
      <c r="AK42" s="131" t="n">
        <f aca="false">N42+O42+P42+Q42+R42+S42+T42+W42+AE42+AH42</f>
        <v>65.7</v>
      </c>
      <c r="AL42" s="131" t="n">
        <f aca="false">IF(L42&lt;0,L42*-1,0)</f>
        <v>30.6077892614066</v>
      </c>
      <c r="AM42" s="131" t="n">
        <f aca="false">AK42+AL42</f>
        <v>96.3077892614066</v>
      </c>
      <c r="AN42" s="97" t="n">
        <f aca="false">(U42*1.9835)+AN41</f>
        <v>2415.764155</v>
      </c>
      <c r="AO42" s="93"/>
      <c r="AP42" s="98"/>
      <c r="AQ42" s="98"/>
      <c r="AR42" s="98"/>
      <c r="AS42" s="98"/>
      <c r="AU42" s="1"/>
      <c r="AV42" s="99" t="n">
        <v>0</v>
      </c>
      <c r="AW42" s="100" t="n">
        <v>47</v>
      </c>
      <c r="AX42" s="100" t="n">
        <v>28</v>
      </c>
      <c r="AY42" s="100"/>
      <c r="AZ42" s="101" t="n">
        <f aca="false">SUM(N42,P42:T42)</f>
        <v>3.7</v>
      </c>
    </row>
    <row r="43" customFormat="false" ht="3" hidden="false" customHeight="true" outlineLevel="0" collapsed="false">
      <c r="A43" s="107"/>
      <c r="B43" s="140"/>
      <c r="C43" s="109"/>
      <c r="D43" s="107"/>
      <c r="E43" s="109"/>
      <c r="F43" s="110"/>
      <c r="G43" s="107"/>
      <c r="H43" s="111"/>
      <c r="I43" s="107"/>
      <c r="J43" s="107"/>
      <c r="K43" s="107"/>
      <c r="L43" s="107"/>
      <c r="M43" s="112"/>
      <c r="N43" s="107"/>
      <c r="O43" s="107"/>
      <c r="P43" s="113"/>
      <c r="Q43" s="114"/>
      <c r="R43" s="114"/>
      <c r="S43" s="114"/>
      <c r="T43" s="115"/>
      <c r="U43" s="114"/>
      <c r="V43" s="114"/>
      <c r="W43" s="114"/>
      <c r="X43" s="117"/>
      <c r="Y43" s="117"/>
      <c r="Z43" s="117"/>
      <c r="AA43" s="118"/>
      <c r="AB43" s="118"/>
      <c r="AC43" s="118"/>
      <c r="AD43" s="118"/>
      <c r="AE43" s="114"/>
      <c r="AF43" s="119"/>
      <c r="AG43" s="120"/>
      <c r="AH43" s="114"/>
      <c r="AI43" s="114"/>
      <c r="AJ43" s="114"/>
      <c r="AK43" s="114"/>
      <c r="AL43" s="114"/>
      <c r="AM43" s="114"/>
      <c r="AN43" s="121"/>
      <c r="AO43" s="116"/>
      <c r="AP43" s="117"/>
      <c r="AQ43" s="117"/>
      <c r="AR43" s="117"/>
      <c r="AS43" s="117"/>
      <c r="AT43" s="117"/>
      <c r="AU43" s="122"/>
      <c r="AV43" s="123"/>
      <c r="AW43" s="117"/>
      <c r="AX43" s="117"/>
      <c r="AY43" s="117"/>
      <c r="AZ43" s="116"/>
    </row>
    <row r="44" customFormat="false" ht="12.95" hidden="false" customHeight="true" outlineLevel="0" collapsed="false">
      <c r="A44" s="12" t="s">
        <v>91</v>
      </c>
      <c r="B44" s="86"/>
      <c r="C44" s="87"/>
      <c r="D44" s="87"/>
      <c r="E44" s="87"/>
      <c r="F44" s="88" t="n">
        <f aca="false">SUM(F13:F42)</f>
        <v>-1541.71918326191</v>
      </c>
      <c r="G44" s="2" t="n">
        <f aca="false">SUM(G13:G42)</f>
        <v>1625</v>
      </c>
      <c r="H44" s="2" t="n">
        <f aca="false">SUM(H13:H42)</f>
        <v>0</v>
      </c>
      <c r="I44" s="2" t="n">
        <f aca="false">SUM(I13:I42)</f>
        <v>1625</v>
      </c>
      <c r="J44" s="2" t="n">
        <f aca="false">SUM(J13:J42)</f>
        <v>201.434686160827</v>
      </c>
      <c r="K44" s="2" t="n">
        <f aca="false">SUM(K13:K42)</f>
        <v>1826.43468616083</v>
      </c>
      <c r="L44" s="2" t="n">
        <f aca="false">SUM(L13:L42)</f>
        <v>-359.619183261911</v>
      </c>
      <c r="M44" s="89" t="n">
        <f aca="false">SUM(M13:M42)</f>
        <v>302.8</v>
      </c>
      <c r="N44" s="87" t="n">
        <f aca="false">SUM(N13:N42)</f>
        <v>0</v>
      </c>
      <c r="O44" s="87" t="n">
        <f aca="false">SUM(O13:O42)</f>
        <v>0</v>
      </c>
      <c r="P44" s="90"/>
      <c r="Q44" s="91" t="n">
        <f aca="false">SUM(Q13:Q42)</f>
        <v>48.348</v>
      </c>
      <c r="R44" s="91" t="n">
        <f aca="false">SUM(R13:R42)</f>
        <v>73.27</v>
      </c>
      <c r="S44" s="91" t="n">
        <f aca="false">SUM(S14:S42)</f>
        <v>0</v>
      </c>
      <c r="T44" s="92" t="n">
        <f aca="false">SUM(T14:T42)</f>
        <v>-7.062</v>
      </c>
      <c r="U44" s="79" t="n">
        <f aca="false">SUM(U13:U42)</f>
        <v>1349</v>
      </c>
      <c r="V44" s="79" t="n">
        <f aca="false">SUM(V13:V42)</f>
        <v>76.3</v>
      </c>
      <c r="W44" s="79" t="n">
        <f aca="false">SUM(W13:W42)</f>
        <v>1613.544</v>
      </c>
      <c r="X44" s="79" t="n">
        <f aca="false">SUM(X13:X42)</f>
        <v>1160.2752</v>
      </c>
      <c r="Y44" s="79"/>
      <c r="Z44" s="94"/>
      <c r="AA44" s="79"/>
      <c r="AB44" s="79"/>
      <c r="AC44" s="79"/>
      <c r="AD44" s="79"/>
      <c r="AE44" s="79"/>
      <c r="AF44" s="95"/>
      <c r="AG44" s="96"/>
      <c r="AH44" s="79" t="n">
        <f aca="false">SUM(AH13:AH42)</f>
        <v>1079</v>
      </c>
      <c r="AI44" s="79"/>
      <c r="AJ44" s="79" t="n">
        <f aca="false">SUM(AJ13:AJ42)</f>
        <v>0</v>
      </c>
      <c r="AK44" s="79" t="n">
        <f aca="false">SUM(AK13:AK42)</f>
        <v>2807.1</v>
      </c>
      <c r="AL44" s="79" t="n">
        <f aca="false">SUM(AL13:AL42)</f>
        <v>561.053869422738</v>
      </c>
      <c r="AM44" s="79" t="n">
        <f aca="false">SUM(AM13:AM42)</f>
        <v>3368.15386942274</v>
      </c>
      <c r="AN44" s="97"/>
      <c r="AO44" s="93" t="n">
        <f aca="false">SUM(AO13:AO42)</f>
        <v>453.2688</v>
      </c>
      <c r="AP44" s="98"/>
      <c r="AQ44" s="98"/>
      <c r="AR44" s="98"/>
      <c r="AS44" s="98"/>
      <c r="AU44" s="8"/>
      <c r="AV44" s="137" t="n">
        <f aca="false">SUM(AV13:AV42)</f>
        <v>0.85</v>
      </c>
      <c r="AW44" s="100" t="n">
        <f aca="false">AVERAGE(AW13:AW42)</f>
        <v>52.9333333333333</v>
      </c>
      <c r="AX44" s="100" t="n">
        <f aca="false">AVERAGE(AX13:AX43)</f>
        <v>25.8</v>
      </c>
      <c r="AY44" s="141" t="s">
        <v>92</v>
      </c>
      <c r="AZ44" s="142" t="n">
        <f aca="false">SUM(AZ13:AZ42)</f>
        <v>114.556</v>
      </c>
    </row>
    <row r="45" customFormat="false" ht="12.95" hidden="false" customHeight="true" outlineLevel="0" collapsed="false">
      <c r="A45" s="12" t="s">
        <v>93</v>
      </c>
      <c r="B45" s="86"/>
      <c r="C45" s="87"/>
      <c r="D45" s="87" t="n">
        <f aca="false">SUM(D13:D42)</f>
        <v>-3058</v>
      </c>
      <c r="E45" s="87"/>
      <c r="F45" s="88" t="n">
        <f aca="false">F44*$D$2</f>
        <v>-3058</v>
      </c>
      <c r="G45" s="2" t="n">
        <f aca="false">G44*$D$2</f>
        <v>3223.1875</v>
      </c>
      <c r="H45" s="2" t="n">
        <f aca="false">H44*$D$2</f>
        <v>0</v>
      </c>
      <c r="I45" s="2" t="n">
        <f aca="false">I44*$D$2</f>
        <v>3223.1875</v>
      </c>
      <c r="J45" s="2" t="n">
        <f aca="false">J44*$D$2</f>
        <v>399.5457</v>
      </c>
      <c r="K45" s="2" t="n">
        <f aca="false">K44*$D$2</f>
        <v>3622.7332</v>
      </c>
      <c r="L45" s="2" t="n">
        <f aca="false">L44*$D$2</f>
        <v>-713.30465</v>
      </c>
      <c r="M45" s="89" t="n">
        <f aca="false">M44*$D$2</f>
        <v>600.6038</v>
      </c>
      <c r="N45" s="87" t="n">
        <f aca="false">N44*$D$2</f>
        <v>0</v>
      </c>
      <c r="O45" s="87" t="n">
        <f aca="false">O44*$D$2</f>
        <v>0</v>
      </c>
      <c r="P45" s="90"/>
      <c r="Q45" s="91" t="n">
        <f aca="false">Q44*$D$2</f>
        <v>95.898258</v>
      </c>
      <c r="R45" s="91" t="n">
        <f aca="false">R44*$D$2</f>
        <v>145.331045</v>
      </c>
      <c r="S45" s="91" t="n">
        <f aca="false">S44*$D$2</f>
        <v>0</v>
      </c>
      <c r="T45" s="92" t="n">
        <f aca="false">T44*$D$2</f>
        <v>-14.007477</v>
      </c>
      <c r="U45" s="79" t="n">
        <f aca="false">U44*$D$2</f>
        <v>2675.7415</v>
      </c>
      <c r="V45" s="79" t="n">
        <f aca="false">V44*$D$2</f>
        <v>151.34105</v>
      </c>
      <c r="W45" s="79" t="n">
        <f aca="false">W44*$D$2</f>
        <v>3200.464524</v>
      </c>
      <c r="X45" s="79" t="n">
        <f aca="false">X44*$D$2</f>
        <v>2301.4058592</v>
      </c>
      <c r="Y45" s="79"/>
      <c r="Z45" s="94"/>
      <c r="AA45" s="79"/>
      <c r="AB45" s="79"/>
      <c r="AC45" s="79"/>
      <c r="AD45" s="79"/>
      <c r="AE45" s="79"/>
      <c r="AF45" s="95"/>
      <c r="AG45" s="96"/>
      <c r="AH45" s="79" t="n">
        <f aca="false">AH44*$D$2</f>
        <v>2140.1965</v>
      </c>
      <c r="AI45" s="79"/>
      <c r="AJ45" s="79" t="n">
        <f aca="false">AJ44*$D$2</f>
        <v>0</v>
      </c>
      <c r="AK45" s="79" t="n">
        <f aca="false">AK44*$D$2</f>
        <v>5567.88285</v>
      </c>
      <c r="AL45" s="79" t="n">
        <f aca="false">AL44*$D$2</f>
        <v>1112.85035</v>
      </c>
      <c r="AM45" s="91" t="n">
        <f aca="false">AM44*$D$2</f>
        <v>6680.7332</v>
      </c>
      <c r="AN45" s="97"/>
      <c r="AO45" s="93" t="n">
        <f aca="false">AO44*$D$2</f>
        <v>899.0586648</v>
      </c>
      <c r="AP45" s="98"/>
      <c r="AQ45" s="98"/>
      <c r="AR45" s="98"/>
      <c r="AS45" s="98"/>
      <c r="AU45" s="134"/>
      <c r="AV45" s="99"/>
      <c r="AW45" s="100" t="n">
        <f aca="false">MAX(AW13:AW42)</f>
        <v>68</v>
      </c>
      <c r="AX45" s="100" t="n">
        <f aca="false">MAX(AX13:AX43)</f>
        <v>39</v>
      </c>
      <c r="AY45" s="143" t="s">
        <v>94</v>
      </c>
      <c r="AZ45" s="142" t="n">
        <f aca="false">AZ44*$D$2</f>
        <v>227.221826</v>
      </c>
    </row>
    <row r="46" customFormat="false" ht="3" hidden="false" customHeight="true" outlineLevel="0" collapsed="false">
      <c r="A46" s="107"/>
      <c r="B46" s="140"/>
      <c r="C46" s="109"/>
      <c r="D46" s="109"/>
      <c r="E46" s="109"/>
      <c r="F46" s="144"/>
      <c r="G46" s="109"/>
      <c r="H46" s="109"/>
      <c r="I46" s="109"/>
      <c r="J46" s="109"/>
      <c r="K46" s="109"/>
      <c r="L46" s="109"/>
      <c r="M46" s="145"/>
      <c r="N46" s="109"/>
      <c r="O46" s="109"/>
      <c r="P46" s="113"/>
      <c r="Q46" s="118"/>
      <c r="R46" s="118"/>
      <c r="S46" s="118"/>
      <c r="T46" s="115"/>
      <c r="U46" s="118"/>
      <c r="V46" s="118"/>
      <c r="W46" s="118"/>
      <c r="X46" s="118"/>
      <c r="Y46" s="118"/>
      <c r="Z46" s="117"/>
      <c r="AA46" s="118"/>
      <c r="AB46" s="118"/>
      <c r="AC46" s="118"/>
      <c r="AD46" s="118"/>
      <c r="AE46" s="118"/>
      <c r="AF46" s="146"/>
      <c r="AG46" s="147"/>
      <c r="AH46" s="118"/>
      <c r="AI46" s="114"/>
      <c r="AJ46" s="118"/>
      <c r="AK46" s="118"/>
      <c r="AL46" s="118"/>
      <c r="AM46" s="118"/>
      <c r="AN46" s="121"/>
      <c r="AO46" s="116"/>
      <c r="AP46" s="118"/>
      <c r="AQ46" s="118"/>
      <c r="AR46" s="118"/>
      <c r="AS46" s="118"/>
      <c r="AT46" s="118"/>
      <c r="AU46" s="122"/>
      <c r="AV46" s="148"/>
      <c r="AW46" s="117"/>
      <c r="AX46" s="118"/>
      <c r="AY46" s="116"/>
      <c r="AZ46" s="116"/>
    </row>
    <row r="47" customFormat="false" ht="12.95" hidden="false" customHeight="true" outlineLevel="0" collapsed="false">
      <c r="A47" s="12" t="s">
        <v>95</v>
      </c>
      <c r="B47" s="86"/>
      <c r="C47" s="87"/>
      <c r="D47" s="87"/>
      <c r="E47" s="87"/>
      <c r="F47" s="88"/>
      <c r="G47" s="2"/>
      <c r="H47" s="7"/>
      <c r="I47" s="2"/>
      <c r="J47" s="2"/>
      <c r="K47" s="2"/>
      <c r="L47" s="2"/>
      <c r="M47" s="89"/>
      <c r="N47" s="87"/>
      <c r="O47" s="87"/>
      <c r="P47" s="90"/>
      <c r="Q47" s="91"/>
      <c r="R47" s="91"/>
      <c r="S47" s="91"/>
      <c r="T47" s="92"/>
      <c r="U47" s="79"/>
      <c r="V47" s="79"/>
      <c r="W47" s="79"/>
      <c r="X47" s="79"/>
      <c r="Y47" s="79"/>
      <c r="Z47" s="94"/>
      <c r="AA47" s="79"/>
      <c r="AB47" s="79"/>
      <c r="AC47" s="79"/>
      <c r="AD47" s="79"/>
      <c r="AE47" s="79"/>
      <c r="AF47" s="95"/>
      <c r="AG47" s="96"/>
      <c r="AH47" s="79"/>
      <c r="AI47" s="79"/>
      <c r="AJ47" s="79"/>
      <c r="AK47" s="79"/>
      <c r="AL47" s="79"/>
      <c r="AM47" s="91"/>
      <c r="AN47" s="97"/>
      <c r="AO47" s="93"/>
      <c r="AP47" s="98"/>
      <c r="AQ47" s="98"/>
      <c r="AR47" s="98"/>
      <c r="AS47" s="98"/>
      <c r="AU47" s="1"/>
      <c r="AV47" s="99"/>
      <c r="AW47" s="100" t="n">
        <f aca="false">MIN(AW13:AW42)</f>
        <v>36</v>
      </c>
      <c r="AX47" s="100" t="n">
        <f aca="false">MIN(AX13:AX43)</f>
        <v>9</v>
      </c>
      <c r="AY47" s="143" t="s">
        <v>96</v>
      </c>
      <c r="AZ47" s="142"/>
    </row>
    <row r="48" customFormat="false" ht="12.95" hidden="false" customHeight="true" outlineLevel="0" collapsed="false">
      <c r="A48" s="12" t="s">
        <v>97</v>
      </c>
      <c r="B48" s="86"/>
      <c r="C48" s="87"/>
      <c r="D48" s="87"/>
      <c r="E48" s="87"/>
      <c r="F48" s="88"/>
      <c r="G48" s="2"/>
      <c r="H48" s="7"/>
      <c r="I48" s="2"/>
      <c r="J48" s="2"/>
      <c r="K48" s="2"/>
      <c r="L48" s="2"/>
      <c r="M48" s="89"/>
      <c r="N48" s="87"/>
      <c r="O48" s="87"/>
      <c r="P48" s="90"/>
      <c r="Q48" s="91"/>
      <c r="R48" s="91"/>
      <c r="S48" s="91"/>
      <c r="T48" s="92"/>
      <c r="U48" s="79"/>
      <c r="V48" s="79"/>
      <c r="W48" s="79"/>
      <c r="X48" s="79"/>
      <c r="Y48" s="79"/>
      <c r="Z48" s="94"/>
      <c r="AA48" s="79"/>
      <c r="AB48" s="79"/>
      <c r="AC48" s="79"/>
      <c r="AD48" s="79"/>
      <c r="AE48" s="79"/>
      <c r="AF48" s="95"/>
      <c r="AG48" s="96"/>
      <c r="AH48" s="79"/>
      <c r="AI48" s="79"/>
      <c r="AJ48" s="79"/>
      <c r="AK48" s="79"/>
      <c r="AL48" s="79"/>
      <c r="AM48" s="79"/>
      <c r="AN48" s="97"/>
      <c r="AO48" s="93"/>
      <c r="AP48" s="98"/>
      <c r="AQ48" s="98"/>
      <c r="AR48" s="98"/>
      <c r="AS48" s="98"/>
      <c r="AU48" s="134"/>
      <c r="AV48" s="149"/>
      <c r="AW48" s="100"/>
      <c r="AX48" s="100"/>
      <c r="AY48" s="100"/>
      <c r="AZ48" s="142"/>
    </row>
    <row r="49" customFormat="false" ht="3" hidden="false" customHeight="true" outlineLevel="0" collapsed="false">
      <c r="A49" s="107"/>
      <c r="B49" s="140"/>
      <c r="C49" s="109"/>
      <c r="D49" s="109"/>
      <c r="E49" s="109"/>
      <c r="F49" s="144"/>
      <c r="G49" s="109"/>
      <c r="H49" s="150"/>
      <c r="I49" s="109"/>
      <c r="J49" s="109"/>
      <c r="K49" s="109"/>
      <c r="L49" s="109"/>
      <c r="M49" s="145"/>
      <c r="N49" s="109"/>
      <c r="O49" s="109"/>
      <c r="P49" s="113"/>
      <c r="Q49" s="118"/>
      <c r="R49" s="118"/>
      <c r="S49" s="118"/>
      <c r="T49" s="115"/>
      <c r="U49" s="118"/>
      <c r="V49" s="118"/>
      <c r="W49" s="118"/>
      <c r="X49" s="118"/>
      <c r="Y49" s="118"/>
      <c r="Z49" s="117"/>
      <c r="AA49" s="118"/>
      <c r="AB49" s="118"/>
      <c r="AC49" s="118"/>
      <c r="AD49" s="118"/>
      <c r="AE49" s="118"/>
      <c r="AF49" s="146"/>
      <c r="AG49" s="147"/>
      <c r="AH49" s="118"/>
      <c r="AI49" s="118"/>
      <c r="AJ49" s="118"/>
      <c r="AK49" s="118"/>
      <c r="AL49" s="118"/>
      <c r="AM49" s="118"/>
      <c r="AN49" s="121"/>
      <c r="AO49" s="116"/>
      <c r="AP49" s="118"/>
      <c r="AQ49" s="118"/>
      <c r="AR49" s="118"/>
      <c r="AS49" s="118"/>
      <c r="AT49" s="118"/>
      <c r="AU49" s="122"/>
      <c r="AV49" s="123"/>
      <c r="AW49" s="117"/>
      <c r="AX49" s="118"/>
      <c r="AY49" s="118"/>
      <c r="AZ49" s="116"/>
    </row>
    <row r="50" customFormat="false" ht="12.95" hidden="false" customHeight="true" outlineLevel="0" collapsed="false">
      <c r="A50" s="12" t="s">
        <v>98</v>
      </c>
      <c r="B50" s="86"/>
      <c r="C50" s="87"/>
      <c r="D50" s="87"/>
      <c r="E50" s="87"/>
      <c r="F50" s="88" t="n">
        <f aca="false">F11+F44</f>
        <v>-1541.71918326191</v>
      </c>
      <c r="G50" s="2" t="n">
        <f aca="false">G11+G44</f>
        <v>1625</v>
      </c>
      <c r="H50" s="7" t="n">
        <f aca="false">H11+H44</f>
        <v>0</v>
      </c>
      <c r="I50" s="2" t="n">
        <f aca="false">I11+I44</f>
        <v>1625</v>
      </c>
      <c r="J50" s="2" t="n">
        <f aca="false">J11+J44</f>
        <v>201.434686160827</v>
      </c>
      <c r="K50" s="2" t="n">
        <f aca="false">K11+K44</f>
        <v>1826.43468616083</v>
      </c>
      <c r="L50" s="2" t="n">
        <f aca="false">L11+L44</f>
        <v>-359.619183261911</v>
      </c>
      <c r="M50" s="89" t="n">
        <f aca="false">M11+M44</f>
        <v>302.8</v>
      </c>
      <c r="N50" s="87" t="n">
        <f aca="false">N11+N44</f>
        <v>0</v>
      </c>
      <c r="O50" s="87" t="n">
        <v>0</v>
      </c>
      <c r="P50" s="90"/>
      <c r="Q50" s="91" t="n">
        <f aca="false">Q11+Q44</f>
        <v>48.348</v>
      </c>
      <c r="R50" s="91" t="n">
        <f aca="false">R11+R44</f>
        <v>73.27</v>
      </c>
      <c r="S50" s="91" t="n">
        <f aca="false">S11+S44</f>
        <v>0</v>
      </c>
      <c r="T50" s="92" t="n">
        <f aca="false">T11+T44</f>
        <v>-7.062</v>
      </c>
      <c r="U50" s="79" t="n">
        <f aca="false">U11+U44</f>
        <v>1349</v>
      </c>
      <c r="V50" s="79" t="n">
        <f aca="false">V11+V44</f>
        <v>76.3</v>
      </c>
      <c r="W50" s="79" t="n">
        <f aca="false">W11+W44</f>
        <v>1613.544</v>
      </c>
      <c r="X50" s="79" t="n">
        <f aca="false">X11+X44</f>
        <v>1160.2752</v>
      </c>
      <c r="Y50" s="79"/>
      <c r="Z50" s="94"/>
      <c r="AA50" s="79"/>
      <c r="AB50" s="79"/>
      <c r="AC50" s="79"/>
      <c r="AD50" s="79"/>
      <c r="AE50" s="79"/>
      <c r="AF50" s="95"/>
      <c r="AG50" s="96"/>
      <c r="AH50" s="79" t="n">
        <f aca="false">AH11+AH44</f>
        <v>1079</v>
      </c>
      <c r="AI50" s="79" t="n">
        <f aca="false">AI42</f>
        <v>4999</v>
      </c>
      <c r="AJ50" s="79" t="n">
        <f aca="false">AJ11+AJ44</f>
        <v>0</v>
      </c>
      <c r="AK50" s="79" t="n">
        <f aca="false">AK11+AK44</f>
        <v>2807.1</v>
      </c>
      <c r="AL50" s="79" t="n">
        <f aca="false">AL11+AL44</f>
        <v>561.053869422738</v>
      </c>
      <c r="AM50" s="79" t="n">
        <f aca="false">AM11+AM44</f>
        <v>3368.15386942274</v>
      </c>
      <c r="AN50" s="97"/>
      <c r="AO50" s="93" t="n">
        <f aca="false">AO11+AO44</f>
        <v>453.2688</v>
      </c>
      <c r="AP50" s="98"/>
      <c r="AQ50" s="98"/>
      <c r="AR50" s="98"/>
      <c r="AS50" s="98"/>
      <c r="AU50" s="1"/>
      <c r="AV50" s="99" t="n">
        <f aca="false">AV11+AV44</f>
        <v>0.85</v>
      </c>
      <c r="AW50" s="100"/>
      <c r="AX50" s="100"/>
      <c r="AY50" s="100"/>
      <c r="AZ50" s="142" t="n">
        <f aca="false">AZ11+AZ44</f>
        <v>114.556</v>
      </c>
    </row>
    <row r="51" customFormat="false" ht="12.95" hidden="false" customHeight="true" outlineLevel="0" collapsed="false">
      <c r="A51" s="12" t="s">
        <v>99</v>
      </c>
      <c r="B51" s="86"/>
      <c r="C51" s="87"/>
      <c r="D51" s="87" t="n">
        <f aca="false">D11+D45</f>
        <v>-3058</v>
      </c>
      <c r="E51" s="87" t="n">
        <f aca="false">E42</f>
        <v>129743</v>
      </c>
      <c r="F51" s="88" t="n">
        <f aca="false">F50*$D$2</f>
        <v>-3058</v>
      </c>
      <c r="G51" s="2" t="n">
        <f aca="false">G50*$D$2</f>
        <v>3223.1875</v>
      </c>
      <c r="H51" s="7" t="n">
        <f aca="false">H50*$D$2</f>
        <v>0</v>
      </c>
      <c r="I51" s="2" t="n">
        <f aca="false">I50*$D$2</f>
        <v>3223.1875</v>
      </c>
      <c r="J51" s="2" t="n">
        <f aca="false">J50*$D$2</f>
        <v>399.5457</v>
      </c>
      <c r="K51" s="2" t="n">
        <f aca="false">K50*$D$2</f>
        <v>3622.7332</v>
      </c>
      <c r="L51" s="2" t="n">
        <f aca="false">L50*$D$2</f>
        <v>-713.30465</v>
      </c>
      <c r="M51" s="89" t="n">
        <f aca="false">M50*$D$2</f>
        <v>600.6038</v>
      </c>
      <c r="N51" s="87" t="n">
        <f aca="false">N50*$D$2</f>
        <v>0</v>
      </c>
      <c r="O51" s="87" t="n">
        <f aca="false">O50*$D$2</f>
        <v>0</v>
      </c>
      <c r="P51" s="90"/>
      <c r="Q51" s="91" t="n">
        <f aca="false">Q50*$D$2</f>
        <v>95.898258</v>
      </c>
      <c r="R51" s="91" t="n">
        <f aca="false">R50*$D$2</f>
        <v>145.331045</v>
      </c>
      <c r="S51" s="91" t="n">
        <f aca="false">S50*$D$2</f>
        <v>0</v>
      </c>
      <c r="T51" s="92" t="n">
        <f aca="false">T50*$D$2</f>
        <v>-14.007477</v>
      </c>
      <c r="U51" s="79" t="n">
        <f aca="false">U50*$D$2</f>
        <v>2675.7415</v>
      </c>
      <c r="V51" s="79" t="n">
        <f aca="false">V50*$D$2</f>
        <v>151.34105</v>
      </c>
      <c r="W51" s="79" t="n">
        <f aca="false">W50*$D$2</f>
        <v>3200.464524</v>
      </c>
      <c r="X51" s="79" t="n">
        <f aca="false">X50*$D$2</f>
        <v>2301.4058592</v>
      </c>
      <c r="Y51" s="79"/>
      <c r="Z51" s="94"/>
      <c r="AA51" s="79"/>
      <c r="AB51" s="79"/>
      <c r="AC51" s="79"/>
      <c r="AD51" s="79"/>
      <c r="AE51" s="79"/>
      <c r="AF51" s="95"/>
      <c r="AG51" s="96"/>
      <c r="AH51" s="79" t="n">
        <f aca="false">AH50*$D$2</f>
        <v>2140.1965</v>
      </c>
      <c r="AI51" s="79" t="n">
        <f aca="false">AI50*$D$2</f>
        <v>9915.5165</v>
      </c>
      <c r="AJ51" s="79" t="n">
        <f aca="false">AJ50*$D$2</f>
        <v>0</v>
      </c>
      <c r="AK51" s="79" t="n">
        <f aca="false">AK50*$D$2</f>
        <v>5567.88285</v>
      </c>
      <c r="AL51" s="79" t="n">
        <f aca="false">AL50*$D$2</f>
        <v>1112.85035</v>
      </c>
      <c r="AM51" s="79" t="n">
        <f aca="false">AM50*$D$2</f>
        <v>6680.7332</v>
      </c>
      <c r="AN51" s="97" t="n">
        <f aca="false">AN42</f>
        <v>2415.764155</v>
      </c>
      <c r="AO51" s="93" t="n">
        <f aca="false">AO50*$D$2</f>
        <v>899.0586648</v>
      </c>
      <c r="AP51" s="98"/>
      <c r="AQ51" s="98"/>
      <c r="AR51" s="98"/>
      <c r="AS51" s="98"/>
      <c r="AV51" s="99"/>
      <c r="AW51" s="100"/>
      <c r="AX51" s="151"/>
      <c r="AY51" s="151"/>
      <c r="AZ51" s="152" t="n">
        <f aca="false">AZ50*$D$2</f>
        <v>227.221826</v>
      </c>
    </row>
    <row r="52" customFormat="false" ht="3" hidden="false" customHeight="true" outlineLevel="0" collapsed="false">
      <c r="A52" s="107"/>
      <c r="B52" s="140"/>
      <c r="C52" s="109"/>
      <c r="D52" s="107"/>
      <c r="E52" s="109"/>
      <c r="F52" s="110"/>
      <c r="G52" s="107"/>
      <c r="H52" s="111"/>
      <c r="I52" s="107"/>
      <c r="J52" s="107"/>
      <c r="K52" s="107"/>
      <c r="L52" s="107"/>
      <c r="M52" s="112"/>
      <c r="N52" s="107"/>
      <c r="O52" s="107"/>
      <c r="P52" s="113"/>
      <c r="Q52" s="107"/>
      <c r="R52" s="107"/>
      <c r="S52" s="153"/>
      <c r="T52" s="115"/>
      <c r="U52" s="107"/>
      <c r="V52" s="107"/>
      <c r="W52" s="107"/>
      <c r="X52" s="154"/>
      <c r="Y52" s="154"/>
      <c r="Z52" s="150"/>
      <c r="AA52" s="109"/>
      <c r="AB52" s="109"/>
      <c r="AC52" s="109"/>
      <c r="AD52" s="109"/>
      <c r="AE52" s="107"/>
      <c r="AF52" s="112"/>
      <c r="AG52" s="153"/>
      <c r="AH52" s="107"/>
      <c r="AI52" s="109"/>
      <c r="AJ52" s="109"/>
      <c r="AK52" s="107"/>
      <c r="AL52" s="107"/>
      <c r="AM52" s="107"/>
      <c r="AN52" s="155"/>
      <c r="AO52" s="154"/>
      <c r="AP52" s="107"/>
      <c r="AQ52" s="156"/>
      <c r="AR52" s="156"/>
      <c r="AS52" s="157"/>
      <c r="AT52" s="157"/>
      <c r="AU52" s="122"/>
      <c r="AV52" s="107"/>
      <c r="AW52" s="150"/>
      <c r="AX52" s="107"/>
      <c r="AY52" s="107"/>
      <c r="AZ52" s="158"/>
    </row>
    <row r="53" customFormat="false" ht="14.1" hidden="false" customHeight="true" outlineLevel="0" collapsed="false">
      <c r="A53" s="159"/>
      <c r="B53" s="160"/>
      <c r="D53" s="12"/>
      <c r="F53" s="12"/>
      <c r="G53" s="12"/>
      <c r="I53" s="12"/>
      <c r="J53" s="12"/>
      <c r="K53" s="12"/>
      <c r="L53" s="12"/>
      <c r="M53" s="12"/>
      <c r="N53" s="12"/>
      <c r="O53" s="12"/>
      <c r="Q53" s="12"/>
      <c r="R53" s="12"/>
      <c r="S53" s="12"/>
      <c r="U53" s="12"/>
      <c r="V53" s="12"/>
      <c r="W53" s="12"/>
      <c r="AA53" s="2"/>
      <c r="AB53" s="2"/>
      <c r="AC53" s="2"/>
      <c r="AD53" s="2"/>
      <c r="AE53" s="12"/>
      <c r="AF53" s="12"/>
      <c r="AG53" s="12"/>
      <c r="AH53" s="12"/>
      <c r="AI53" s="2"/>
      <c r="AJ53" s="2"/>
      <c r="AK53" s="12"/>
      <c r="AL53" s="12"/>
      <c r="AN53" s="161"/>
      <c r="AO53" s="161"/>
      <c r="AU53" s="8"/>
      <c r="AX53" s="7"/>
      <c r="AY53" s="7"/>
    </row>
    <row r="54" customFormat="false" ht="11.1" hidden="false" customHeight="true" outlineLevel="0" collapsed="false">
      <c r="A54" s="12"/>
      <c r="B54" s="162"/>
      <c r="F54" s="12"/>
      <c r="G54" s="12"/>
      <c r="I54" s="13"/>
      <c r="J54" s="12"/>
      <c r="K54" s="163"/>
      <c r="L54" s="12"/>
      <c r="M54" s="12"/>
      <c r="N54" s="12"/>
      <c r="O54" s="12"/>
      <c r="Q54" s="12"/>
      <c r="R54" s="12"/>
      <c r="S54" s="12"/>
      <c r="U54" s="12"/>
      <c r="V54" s="12"/>
      <c r="W54" s="12"/>
      <c r="AA54" s="2"/>
      <c r="AB54" s="2"/>
      <c r="AC54" s="2"/>
      <c r="AD54" s="2"/>
      <c r="AE54" s="12"/>
      <c r="AF54" s="12"/>
      <c r="AG54" s="12"/>
      <c r="AH54" s="12"/>
      <c r="AI54" s="2"/>
      <c r="AJ54" s="2"/>
      <c r="AK54" s="12"/>
      <c r="AL54" s="12"/>
      <c r="AN54" s="161"/>
      <c r="AO54" s="161"/>
      <c r="AU54" s="1"/>
      <c r="AX54" s="7"/>
      <c r="AY54" s="7"/>
    </row>
    <row r="55" customFormat="false" ht="11.1" hidden="false" customHeight="true" outlineLevel="0" collapsed="false">
      <c r="D55" s="2"/>
      <c r="S55" s="4"/>
      <c r="W55" s="1"/>
      <c r="AA55" s="2"/>
      <c r="AB55" s="2"/>
      <c r="AC55" s="2"/>
      <c r="AD55" s="2"/>
      <c r="AF55" s="1"/>
      <c r="AG55" s="1"/>
      <c r="AH55" s="1"/>
      <c r="AI55" s="2"/>
      <c r="AJ55" s="2"/>
      <c r="AN55" s="161"/>
      <c r="AO55" s="161"/>
      <c r="AX55" s="7"/>
      <c r="AY55" s="7"/>
    </row>
    <row r="56" customFormat="false" ht="11.1" hidden="false" customHeight="true" outlineLevel="0" collapsed="false">
      <c r="B56" s="5"/>
      <c r="D56" s="2"/>
      <c r="S56" s="4"/>
      <c r="W56" s="1"/>
      <c r="AA56" s="2"/>
      <c r="AB56" s="2"/>
      <c r="AC56" s="2"/>
      <c r="AD56" s="2"/>
      <c r="AF56" s="1"/>
      <c r="AG56" s="1"/>
      <c r="AH56" s="1"/>
      <c r="AI56" s="2"/>
      <c r="AJ56" s="2"/>
      <c r="AN56" s="161"/>
      <c r="AO56" s="161"/>
      <c r="AX56" s="7"/>
      <c r="AY56" s="7"/>
    </row>
    <row r="57" customFormat="false" ht="11.1" hidden="false" customHeight="true" outlineLevel="0" collapsed="false">
      <c r="G57" s="164"/>
    </row>
  </sheetData>
  <mergeCells count="1">
    <mergeCell ref="M5:T5"/>
  </mergeCells>
  <printOptions headings="true" gridLines="true" gridLinesSet="true" horizontalCentered="false" verticalCentered="true"/>
  <pageMargins left="0.25" right="0.25" top="0.25" bottom="0" header="0.511811023622047" footer="0.511811023622047"/>
  <pageSetup paperSize="3" scale="97"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8"/>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1" ySplit="12" topLeftCell="Z28" activePane="bottomRight" state="frozen"/>
      <selection pane="topLeft" activeCell="A1" activeCellId="0" sqref="A1"/>
      <selection pane="topRight" activeCell="Z1" activeCellId="0" sqref="Z1"/>
      <selection pane="bottomLeft" activeCell="A28" activeCellId="0" sqref="A28"/>
      <selection pane="bottomRight" activeCell="L51" activeCellId="1" sqref="E20:E43 L51"/>
    </sheetView>
  </sheetViews>
  <sheetFormatPr defaultColWidth="9.3359375" defaultRowHeight="11.1" zeroHeight="false" outlineLevelRow="0" outlineLevelCol="0"/>
  <cols>
    <col collapsed="false" customWidth="true" hidden="false" outlineLevel="0" max="1" min="1" style="9" width="4.67"/>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165" width="5.67"/>
    <col collapsed="false" customWidth="true" hidden="false" outlineLevel="0" max="11" min="9" style="9" width="6.32"/>
    <col collapsed="false" customWidth="true" hidden="false" outlineLevel="0" max="12" min="12" style="9" width="7.16"/>
    <col collapsed="false" customWidth="true" hidden="false" outlineLevel="0" max="13" min="13" style="166" width="5.49"/>
    <col collapsed="false" customWidth="true" hidden="false" outlineLevel="0" max="14" min="14" style="166" width="4.49"/>
    <col collapsed="false" customWidth="true" hidden="false" outlineLevel="0" max="15" min="15" style="166" width="5.49"/>
    <col collapsed="false" customWidth="true" hidden="false" outlineLevel="0" max="16" min="16" style="167" width="4.82"/>
    <col collapsed="false" customWidth="true" hidden="false" outlineLevel="0" max="19" min="17" style="9" width="4.32"/>
    <col collapsed="false" customWidth="true" hidden="false" outlineLevel="0" max="20" min="20" style="167" width="5.49"/>
    <col collapsed="false" customWidth="true" hidden="false" outlineLevel="0" max="22" min="21" style="9" width="5.49"/>
    <col collapsed="false" customWidth="true" hidden="false" outlineLevel="0" max="24" min="23" style="105" width="6.32"/>
    <col collapsed="false" customWidth="true" hidden="false" outlineLevel="0" max="26" min="25" style="168" width="6.32"/>
    <col collapsed="false" customWidth="true" hidden="false" outlineLevel="0" max="28" min="27" style="166" width="5.49"/>
    <col collapsed="false" customWidth="true" hidden="false" outlineLevel="0" max="29" min="29" style="166" width="5.67"/>
    <col collapsed="false" customWidth="true" hidden="false" outlineLevel="0" max="33" min="30" style="9" width="5.49"/>
    <col collapsed="false" customWidth="true" hidden="false" outlineLevel="0" max="34" min="34" style="105" width="6.82"/>
    <col collapsed="false" customWidth="true" hidden="false" outlineLevel="0" max="35" min="35" style="9" width="5.49"/>
    <col collapsed="false" customWidth="true" hidden="false" outlineLevel="0" max="36" min="36" style="169" width="6.32"/>
    <col collapsed="false" customWidth="true" hidden="false" outlineLevel="0" max="37" min="37" style="9" width="6.32"/>
    <col collapsed="false" customWidth="true" hidden="false" outlineLevel="0" max="38" min="38" style="9" width="6.99"/>
    <col collapsed="false" customWidth="true" hidden="false" outlineLevel="0" max="39" min="39" style="167" width="6.99"/>
    <col collapsed="false" customWidth="true" hidden="false" outlineLevel="0" max="40" min="40" style="9" width="5.49"/>
    <col collapsed="false" customWidth="true" hidden="false" outlineLevel="0" max="41" min="41" style="166" width="5.49"/>
    <col collapsed="false" customWidth="true" hidden="false" outlineLevel="0" max="42" min="42" style="9" width="6.32"/>
    <col collapsed="false" customWidth="true" hidden="false" outlineLevel="0" max="45" min="43" style="170" width="6.32"/>
    <col collapsed="false" customWidth="true" hidden="false" outlineLevel="0" max="46" min="46" style="170" width="5.82"/>
    <col collapsed="false" customWidth="true" hidden="false" outlineLevel="0" max="47" min="47" style="9" width="4.99"/>
    <col collapsed="false" customWidth="true" hidden="false" outlineLevel="0" max="48" min="48" style="165" width="5.32"/>
    <col collapsed="false" customWidth="true" hidden="false" outlineLevel="0" max="49" min="49" style="168" width="3.82"/>
    <col collapsed="false" customWidth="true" hidden="false" outlineLevel="0" max="50" min="50" style="171" width="3.82"/>
    <col collapsed="false" customWidth="true" hidden="false" outlineLevel="0" max="51" min="51" style="171" width="4.32"/>
    <col collapsed="false" customWidth="true" hidden="false" outlineLevel="0" max="52" min="52" style="169" width="6.49"/>
    <col collapsed="false" customWidth="false" hidden="false" outlineLevel="0" max="257" min="53" style="172" width="9.32"/>
  </cols>
  <sheetData>
    <row r="1" customFormat="false" ht="14.1" hidden="false" customHeight="true" outlineLevel="0" collapsed="false">
      <c r="A1" s="173"/>
      <c r="B1" s="173"/>
      <c r="D1" s="173"/>
      <c r="F1" s="173"/>
      <c r="G1" s="173"/>
      <c r="H1" s="174"/>
      <c r="I1" s="173"/>
      <c r="J1" s="173"/>
      <c r="K1" s="175" t="s">
        <v>0</v>
      </c>
      <c r="L1" s="173"/>
      <c r="M1" s="173"/>
      <c r="N1" s="173"/>
      <c r="O1" s="173"/>
      <c r="Q1" s="173"/>
      <c r="R1" s="173"/>
      <c r="S1" s="173"/>
      <c r="U1" s="173"/>
      <c r="V1" s="173"/>
      <c r="AD1" s="173"/>
      <c r="AE1" s="173"/>
      <c r="AF1" s="173"/>
      <c r="AG1" s="173"/>
      <c r="AI1" s="173"/>
      <c r="AJ1" s="176"/>
      <c r="AK1" s="173"/>
      <c r="AL1" s="173"/>
    </row>
    <row r="2" customFormat="false" ht="14.1" hidden="false" customHeight="true" outlineLevel="0" collapsed="false">
      <c r="A2" s="176" t="s">
        <v>1</v>
      </c>
      <c r="B2" s="173"/>
      <c r="D2" s="177" t="n">
        <v>1.9835</v>
      </c>
      <c r="F2" s="173"/>
      <c r="G2" s="173"/>
      <c r="H2" s="174"/>
      <c r="I2" s="173"/>
      <c r="J2" s="173"/>
      <c r="K2" s="178" t="s">
        <v>100</v>
      </c>
      <c r="L2" s="178"/>
      <c r="M2" s="178"/>
      <c r="N2" s="178"/>
      <c r="O2" s="178"/>
      <c r="P2" s="178"/>
      <c r="Q2" s="178"/>
      <c r="R2" s="178"/>
      <c r="S2" s="178"/>
      <c r="T2" s="178"/>
      <c r="U2" s="178"/>
      <c r="V2" s="178"/>
      <c r="W2" s="178"/>
      <c r="X2" s="178"/>
      <c r="Y2" s="178"/>
      <c r="Z2" s="178"/>
      <c r="AA2" s="178"/>
      <c r="AB2" s="178"/>
      <c r="AC2" s="178"/>
      <c r="AD2" s="178"/>
      <c r="AE2" s="173"/>
      <c r="AF2" s="173"/>
      <c r="AG2" s="173"/>
      <c r="AI2" s="173"/>
      <c r="AJ2" s="176"/>
      <c r="AK2" s="173"/>
      <c r="AL2" s="173"/>
    </row>
    <row r="3" customFormat="false" ht="14.1" hidden="false" customHeight="true" outlineLevel="0" collapsed="false">
      <c r="A3" s="179"/>
      <c r="B3" s="179"/>
      <c r="C3" s="180"/>
      <c r="D3" s="181"/>
      <c r="E3" s="180"/>
      <c r="F3" s="179"/>
      <c r="G3" s="179"/>
      <c r="H3" s="182"/>
      <c r="I3" s="179"/>
      <c r="J3" s="179"/>
      <c r="K3" s="179"/>
      <c r="L3" s="179"/>
      <c r="M3" s="179"/>
      <c r="N3" s="179"/>
      <c r="O3" s="179"/>
      <c r="P3" s="183"/>
      <c r="Q3" s="179"/>
      <c r="R3" s="179"/>
      <c r="S3" s="179"/>
      <c r="T3" s="183"/>
      <c r="U3" s="179"/>
      <c r="V3" s="179"/>
      <c r="W3" s="180"/>
      <c r="X3" s="180"/>
      <c r="Y3" s="184"/>
      <c r="Z3" s="184"/>
      <c r="AA3" s="185"/>
      <c r="AB3" s="185"/>
      <c r="AC3" s="185"/>
      <c r="AD3" s="179"/>
      <c r="AE3" s="179"/>
      <c r="AF3" s="179"/>
      <c r="AG3" s="179"/>
      <c r="AH3" s="180"/>
      <c r="AI3" s="179"/>
      <c r="AJ3" s="186"/>
      <c r="AK3" s="179"/>
      <c r="AL3" s="179"/>
      <c r="AM3" s="183"/>
      <c r="AN3" s="187"/>
      <c r="AO3" s="185"/>
      <c r="AP3" s="187"/>
      <c r="AQ3" s="188"/>
      <c r="AV3" s="189"/>
      <c r="AW3" s="184"/>
      <c r="AX3" s="190"/>
    </row>
    <row r="4" s="1" customFormat="true" ht="14.1" hidden="false" customHeight="true" outlineLevel="0" collapsed="false">
      <c r="A4" s="32"/>
      <c r="B4" s="33"/>
      <c r="C4" s="34"/>
      <c r="D4" s="35" t="s">
        <v>3</v>
      </c>
      <c r="E4" s="34"/>
      <c r="F4" s="32"/>
      <c r="G4" s="36"/>
      <c r="H4" s="36"/>
      <c r="I4" s="36"/>
      <c r="J4" s="36"/>
      <c r="K4" s="36"/>
      <c r="L4" s="36"/>
      <c r="M4" s="36"/>
      <c r="N4" s="36"/>
      <c r="O4" s="36"/>
      <c r="P4" s="37"/>
      <c r="Q4" s="36"/>
      <c r="R4" s="36"/>
      <c r="S4" s="36"/>
      <c r="T4" s="37"/>
      <c r="U4" s="36"/>
      <c r="V4" s="36"/>
      <c r="W4" s="38" t="s">
        <v>4</v>
      </c>
      <c r="X4" s="38"/>
      <c r="Y4" s="191"/>
      <c r="Z4" s="38"/>
      <c r="AA4" s="39"/>
      <c r="AB4" s="39"/>
      <c r="AC4" s="39"/>
      <c r="AD4" s="40"/>
      <c r="AE4" s="36"/>
      <c r="AF4" s="36"/>
      <c r="AG4" s="36"/>
      <c r="AH4" s="34"/>
      <c r="AI4" s="36"/>
      <c r="AJ4" s="41"/>
      <c r="AK4" s="36"/>
      <c r="AL4" s="36"/>
      <c r="AM4" s="37"/>
      <c r="AN4" s="42"/>
      <c r="AO4" s="43"/>
      <c r="AP4" s="44" t="s">
        <v>5</v>
      </c>
      <c r="AQ4" s="45"/>
      <c r="AR4" s="46"/>
      <c r="AS4" s="47"/>
      <c r="AT4" s="48"/>
      <c r="AU4" s="48"/>
      <c r="AV4" s="49"/>
      <c r="AW4" s="50" t="s">
        <v>6</v>
      </c>
      <c r="AX4" s="51"/>
      <c r="AY4" s="192"/>
      <c r="AZ4" s="193"/>
    </row>
    <row r="5" customFormat="false" ht="12.95" hidden="false" customHeight="true" outlineLevel="0" collapsed="false">
      <c r="A5" s="53" t="s">
        <v>7</v>
      </c>
      <c r="B5" s="54" t="s">
        <v>8</v>
      </c>
      <c r="C5" s="55" t="s">
        <v>8</v>
      </c>
      <c r="D5" s="56" t="s">
        <v>9</v>
      </c>
      <c r="E5" s="55" t="s">
        <v>10</v>
      </c>
      <c r="F5" s="57" t="s">
        <v>11</v>
      </c>
      <c r="G5" s="53" t="s">
        <v>12</v>
      </c>
      <c r="H5" s="53" t="s">
        <v>13</v>
      </c>
      <c r="I5" s="53" t="s">
        <v>14</v>
      </c>
      <c r="J5" s="53" t="s">
        <v>15</v>
      </c>
      <c r="K5" s="53" t="s">
        <v>16</v>
      </c>
      <c r="L5" s="53" t="s">
        <v>15</v>
      </c>
      <c r="M5" s="58" t="s">
        <v>17</v>
      </c>
      <c r="N5" s="58"/>
      <c r="O5" s="58"/>
      <c r="P5" s="58"/>
      <c r="Q5" s="58"/>
      <c r="R5" s="58"/>
      <c r="S5" s="58"/>
      <c r="T5" s="58"/>
      <c r="U5" s="53" t="s">
        <v>18</v>
      </c>
      <c r="V5" s="53" t="s">
        <v>19</v>
      </c>
      <c r="W5" s="53" t="s">
        <v>16</v>
      </c>
      <c r="X5" s="53" t="s">
        <v>16</v>
      </c>
      <c r="Y5" s="60" t="s">
        <v>16</v>
      </c>
      <c r="Z5" s="59" t="s">
        <v>20</v>
      </c>
      <c r="AA5" s="60" t="s">
        <v>21</v>
      </c>
      <c r="AB5" s="60" t="s">
        <v>21</v>
      </c>
      <c r="AC5" s="60" t="s">
        <v>22</v>
      </c>
      <c r="AD5" s="61" t="s">
        <v>21</v>
      </c>
      <c r="AE5" s="53" t="s">
        <v>23</v>
      </c>
      <c r="AF5" s="62" t="s">
        <v>24</v>
      </c>
      <c r="AG5" s="63"/>
      <c r="AH5" s="53" t="s">
        <v>25</v>
      </c>
      <c r="AI5" s="64" t="s">
        <v>26</v>
      </c>
      <c r="AJ5" s="64" t="s">
        <v>27</v>
      </c>
      <c r="AK5" s="53" t="s">
        <v>14</v>
      </c>
      <c r="AL5" s="53" t="s">
        <v>15</v>
      </c>
      <c r="AM5" s="56" t="s">
        <v>16</v>
      </c>
      <c r="AN5" s="65" t="s">
        <v>28</v>
      </c>
      <c r="AO5" s="61" t="s">
        <v>21</v>
      </c>
      <c r="AP5" s="60" t="s">
        <v>29</v>
      </c>
      <c r="AQ5" s="66" t="s">
        <v>29</v>
      </c>
      <c r="AR5" s="61" t="s">
        <v>30</v>
      </c>
      <c r="AS5" s="67" t="s">
        <v>31</v>
      </c>
      <c r="AT5" s="67" t="s">
        <v>32</v>
      </c>
      <c r="AU5" s="68" t="s">
        <v>33</v>
      </c>
      <c r="AV5" s="69" t="s">
        <v>34</v>
      </c>
      <c r="AW5" s="70" t="s">
        <v>35</v>
      </c>
      <c r="AX5" s="70" t="s">
        <v>36</v>
      </c>
      <c r="AY5" s="194"/>
      <c r="AZ5" s="195" t="s">
        <v>16</v>
      </c>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2" t="s">
        <v>101</v>
      </c>
      <c r="B6" s="54" t="s">
        <v>38</v>
      </c>
      <c r="C6" s="55"/>
      <c r="D6" s="56" t="s">
        <v>39</v>
      </c>
      <c r="E6" s="55" t="s">
        <v>40</v>
      </c>
      <c r="F6" s="57" t="s">
        <v>41</v>
      </c>
      <c r="G6" s="53" t="s">
        <v>42</v>
      </c>
      <c r="H6" s="53" t="s">
        <v>43</v>
      </c>
      <c r="I6" s="53" t="s">
        <v>44</v>
      </c>
      <c r="J6" s="53" t="s">
        <v>44</v>
      </c>
      <c r="K6" s="53" t="s">
        <v>44</v>
      </c>
      <c r="L6" s="53" t="s">
        <v>45</v>
      </c>
      <c r="M6" s="73" t="s">
        <v>46</v>
      </c>
      <c r="N6" s="56" t="s">
        <v>47</v>
      </c>
      <c r="O6" s="56" t="s">
        <v>48</v>
      </c>
      <c r="P6" s="74" t="s">
        <v>49</v>
      </c>
      <c r="Q6" s="56" t="s">
        <v>50</v>
      </c>
      <c r="R6" s="56" t="s">
        <v>51</v>
      </c>
      <c r="S6" s="56" t="s">
        <v>52</v>
      </c>
      <c r="T6" s="75" t="s">
        <v>53</v>
      </c>
      <c r="U6" s="53" t="s">
        <v>54</v>
      </c>
      <c r="V6" s="53" t="s">
        <v>55</v>
      </c>
      <c r="W6" s="53" t="s">
        <v>21</v>
      </c>
      <c r="X6" s="53" t="s">
        <v>21</v>
      </c>
      <c r="Y6" s="60" t="s">
        <v>21</v>
      </c>
      <c r="Z6" s="53" t="s">
        <v>21</v>
      </c>
      <c r="AA6" s="60" t="s">
        <v>56</v>
      </c>
      <c r="AB6" s="60" t="s">
        <v>57</v>
      </c>
      <c r="AC6" s="60" t="s">
        <v>58</v>
      </c>
      <c r="AD6" s="61" t="s">
        <v>59</v>
      </c>
      <c r="AE6" s="53" t="s">
        <v>60</v>
      </c>
      <c r="AF6" s="73" t="s">
        <v>61</v>
      </c>
      <c r="AG6" s="76" t="s">
        <v>62</v>
      </c>
      <c r="AH6" s="53" t="s">
        <v>63</v>
      </c>
      <c r="AI6" s="64" t="s">
        <v>64</v>
      </c>
      <c r="AJ6" s="64"/>
      <c r="AK6" s="53" t="s">
        <v>65</v>
      </c>
      <c r="AL6" s="53" t="s">
        <v>65</v>
      </c>
      <c r="AM6" s="56" t="s">
        <v>65</v>
      </c>
      <c r="AN6" s="65" t="s">
        <v>56</v>
      </c>
      <c r="AO6" s="61" t="s">
        <v>66</v>
      </c>
      <c r="AP6" s="60" t="s">
        <v>67</v>
      </c>
      <c r="AQ6" s="66" t="s">
        <v>67</v>
      </c>
      <c r="AR6" s="61" t="s">
        <v>68</v>
      </c>
      <c r="AS6" s="67" t="s">
        <v>69</v>
      </c>
      <c r="AT6" s="67" t="s">
        <v>70</v>
      </c>
      <c r="AU6" s="68" t="s">
        <v>71</v>
      </c>
      <c r="AV6" s="77"/>
      <c r="AW6" s="70" t="s">
        <v>72</v>
      </c>
      <c r="AX6" s="70" t="s">
        <v>72</v>
      </c>
      <c r="AY6" s="194"/>
      <c r="AZ6" s="195" t="s">
        <v>73</v>
      </c>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3"/>
      <c r="B7" s="54"/>
      <c r="C7" s="55"/>
      <c r="D7" s="56"/>
      <c r="E7" s="55"/>
      <c r="F7" s="57"/>
      <c r="G7" s="53"/>
      <c r="H7" s="53"/>
      <c r="I7" s="53"/>
      <c r="J7" s="53"/>
      <c r="K7" s="53"/>
      <c r="L7" s="53"/>
      <c r="M7" s="73"/>
      <c r="N7" s="56" t="s">
        <v>74</v>
      </c>
      <c r="O7" s="56" t="s">
        <v>75</v>
      </c>
      <c r="P7" s="74"/>
      <c r="Q7" s="56"/>
      <c r="R7" s="56"/>
      <c r="S7" s="56" t="s">
        <v>48</v>
      </c>
      <c r="T7" s="75" t="s">
        <v>27</v>
      </c>
      <c r="U7" s="53"/>
      <c r="V7" s="53"/>
      <c r="W7" s="64" t="n">
        <v>153400</v>
      </c>
      <c r="X7" s="55" t="s">
        <v>76</v>
      </c>
      <c r="Y7" s="70" t="s">
        <v>76</v>
      </c>
      <c r="Z7" s="59" t="n">
        <v>105500</v>
      </c>
      <c r="AA7" s="60"/>
      <c r="AB7" s="60" t="s">
        <v>77</v>
      </c>
      <c r="AC7" s="60"/>
      <c r="AD7" s="61"/>
      <c r="AE7" s="76"/>
      <c r="AF7" s="78" t="n">
        <v>1.7</v>
      </c>
      <c r="AG7" s="78" t="n">
        <v>1.3</v>
      </c>
      <c r="AH7" s="73"/>
      <c r="AI7" s="79" t="n">
        <v>31798</v>
      </c>
      <c r="AJ7" s="64"/>
      <c r="AK7" s="53"/>
      <c r="AL7" s="53"/>
      <c r="AM7" s="56"/>
      <c r="AN7" s="65"/>
      <c r="AO7" s="61"/>
      <c r="AP7" s="60" t="s">
        <v>78</v>
      </c>
      <c r="AQ7" s="66" t="s">
        <v>79</v>
      </c>
      <c r="AR7" s="61" t="s">
        <v>80</v>
      </c>
      <c r="AS7" s="67" t="s">
        <v>81</v>
      </c>
      <c r="AT7" s="67" t="s">
        <v>82</v>
      </c>
      <c r="AU7" s="68" t="s">
        <v>61</v>
      </c>
      <c r="AV7" s="77"/>
      <c r="AW7" s="70"/>
      <c r="AX7" s="70"/>
      <c r="AY7" s="194"/>
      <c r="AZ7" s="195" t="s">
        <v>83</v>
      </c>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3"/>
      <c r="B8" s="54"/>
      <c r="C8" s="55" t="s">
        <v>84</v>
      </c>
      <c r="D8" s="56"/>
      <c r="E8" s="55" t="s">
        <v>85</v>
      </c>
      <c r="F8" s="57"/>
      <c r="G8" s="56" t="s">
        <v>41</v>
      </c>
      <c r="H8" s="56" t="s">
        <v>41</v>
      </c>
      <c r="I8" s="56" t="s">
        <v>41</v>
      </c>
      <c r="J8" s="56" t="s">
        <v>41</v>
      </c>
      <c r="K8" s="56" t="s">
        <v>41</v>
      </c>
      <c r="L8" s="76" t="s">
        <v>41</v>
      </c>
      <c r="M8" s="56" t="s">
        <v>41</v>
      </c>
      <c r="N8" s="56" t="s">
        <v>41</v>
      </c>
      <c r="O8" s="56" t="s">
        <v>41</v>
      </c>
      <c r="P8" s="56" t="s">
        <v>41</v>
      </c>
      <c r="Q8" s="56" t="s">
        <v>41</v>
      </c>
      <c r="R8" s="56" t="s">
        <v>41</v>
      </c>
      <c r="S8" s="56" t="s">
        <v>62</v>
      </c>
      <c r="T8" s="76" t="s">
        <v>41</v>
      </c>
      <c r="U8" s="56" t="s">
        <v>41</v>
      </c>
      <c r="V8" s="56" t="s">
        <v>41</v>
      </c>
      <c r="W8" s="56" t="s">
        <v>41</v>
      </c>
      <c r="X8" s="55" t="n">
        <v>150400</v>
      </c>
      <c r="Y8" s="70" t="n">
        <v>150400</v>
      </c>
      <c r="Z8" s="80" t="s">
        <v>86</v>
      </c>
      <c r="AA8" s="56" t="s">
        <v>41</v>
      </c>
      <c r="AB8" s="55" t="n">
        <v>72000</v>
      </c>
      <c r="AC8" s="56" t="s">
        <v>41</v>
      </c>
      <c r="AD8" s="56" t="s">
        <v>41</v>
      </c>
      <c r="AE8" s="76" t="s">
        <v>41</v>
      </c>
      <c r="AF8" s="56" t="s">
        <v>41</v>
      </c>
      <c r="AG8" s="56" t="s">
        <v>41</v>
      </c>
      <c r="AH8" s="73" t="s">
        <v>41</v>
      </c>
      <c r="AI8" s="56" t="s">
        <v>41</v>
      </c>
      <c r="AJ8" s="56" t="s">
        <v>41</v>
      </c>
      <c r="AK8" s="56" t="s">
        <v>41</v>
      </c>
      <c r="AL8" s="56" t="s">
        <v>41</v>
      </c>
      <c r="AM8" s="56" t="s">
        <v>41</v>
      </c>
      <c r="AN8" s="65" t="s">
        <v>85</v>
      </c>
      <c r="AO8" s="61" t="s">
        <v>41</v>
      </c>
      <c r="AP8" s="61" t="s">
        <v>41</v>
      </c>
      <c r="AQ8" s="66" t="s">
        <v>87</v>
      </c>
      <c r="AR8" s="61" t="s">
        <v>41</v>
      </c>
      <c r="AS8" s="61" t="s">
        <v>41</v>
      </c>
      <c r="AT8" s="61" t="s">
        <v>41</v>
      </c>
      <c r="AU8" s="61" t="s">
        <v>41</v>
      </c>
      <c r="AV8" s="77"/>
      <c r="AW8" s="70"/>
      <c r="AX8" s="70"/>
      <c r="AY8" s="194"/>
      <c r="AZ8" s="195" t="s">
        <v>88</v>
      </c>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3"/>
      <c r="B9" s="54"/>
      <c r="C9" s="55"/>
      <c r="D9" s="56"/>
      <c r="E9" s="55"/>
      <c r="F9" s="57"/>
      <c r="G9" s="53"/>
      <c r="H9" s="53"/>
      <c r="I9" s="53"/>
      <c r="J9" s="53"/>
      <c r="K9" s="53"/>
      <c r="L9" s="76"/>
      <c r="M9" s="56"/>
      <c r="N9" s="45" t="n">
        <v>1.03</v>
      </c>
      <c r="O9" s="45" t="n">
        <v>1.05</v>
      </c>
      <c r="P9" s="45" t="n">
        <v>1.02</v>
      </c>
      <c r="Q9" s="81" t="n">
        <v>1.02</v>
      </c>
      <c r="R9" s="45" t="n">
        <v>1.04</v>
      </c>
      <c r="S9" s="56" t="s">
        <v>41</v>
      </c>
      <c r="T9" s="75"/>
      <c r="U9" s="53"/>
      <c r="V9" s="53"/>
      <c r="W9" s="53"/>
      <c r="X9" s="56" t="s">
        <v>41</v>
      </c>
      <c r="Y9" s="171" t="s">
        <v>86</v>
      </c>
      <c r="Z9" s="80"/>
      <c r="AA9" s="60"/>
      <c r="AB9" s="80" t="s">
        <v>86</v>
      </c>
      <c r="AC9" s="60"/>
      <c r="AD9" s="60"/>
      <c r="AE9" s="82"/>
      <c r="AF9" s="78"/>
      <c r="AG9" s="78"/>
      <c r="AH9" s="73"/>
      <c r="AI9" s="79"/>
      <c r="AJ9" s="83"/>
      <c r="AK9" s="53"/>
      <c r="AL9" s="53"/>
      <c r="AM9" s="56"/>
      <c r="AN9" s="65"/>
      <c r="AO9" s="61"/>
      <c r="AP9" s="60"/>
      <c r="AQ9" s="66"/>
      <c r="AR9" s="66"/>
      <c r="AS9" s="84"/>
      <c r="AT9" s="84"/>
      <c r="AU9" s="84"/>
      <c r="AV9" s="77"/>
      <c r="AW9" s="70"/>
      <c r="AX9" s="70"/>
      <c r="AY9" s="194"/>
      <c r="AZ9" s="195" t="s">
        <v>41</v>
      </c>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176" t="s">
        <v>89</v>
      </c>
      <c r="B10" s="196"/>
      <c r="C10" s="104"/>
      <c r="D10" s="104"/>
      <c r="E10" s="104"/>
      <c r="F10" s="197"/>
      <c r="G10" s="104"/>
      <c r="H10" s="134"/>
      <c r="I10" s="104"/>
      <c r="J10" s="104"/>
      <c r="K10" s="104"/>
      <c r="L10" s="104"/>
      <c r="M10" s="198"/>
      <c r="N10" s="104"/>
      <c r="O10" s="104"/>
      <c r="P10" s="199"/>
      <c r="Q10" s="104"/>
      <c r="R10" s="104"/>
      <c r="S10" s="104"/>
      <c r="T10" s="200"/>
      <c r="U10" s="104"/>
      <c r="V10" s="104"/>
      <c r="W10" s="104"/>
      <c r="X10" s="104"/>
      <c r="Y10" s="134"/>
      <c r="Z10" s="134"/>
      <c r="AA10" s="133"/>
      <c r="AB10" s="133"/>
      <c r="AC10" s="133"/>
      <c r="AD10" s="104"/>
      <c r="AE10" s="104"/>
      <c r="AF10" s="198"/>
      <c r="AG10" s="201"/>
      <c r="AH10" s="104"/>
      <c r="AI10" s="104"/>
      <c r="AJ10" s="202"/>
      <c r="AK10" s="104"/>
      <c r="AL10" s="104"/>
      <c r="AM10" s="104"/>
      <c r="AN10" s="203"/>
      <c r="AO10" s="133"/>
      <c r="AP10" s="204"/>
      <c r="AV10" s="205"/>
      <c r="AW10" s="134"/>
      <c r="AX10" s="134"/>
      <c r="AY10" s="206"/>
      <c r="AZ10" s="207"/>
    </row>
    <row r="11" s="213" customFormat="true" ht="12.95" hidden="false" customHeight="true" outlineLevel="0" collapsed="false">
      <c r="A11" s="208" t="s">
        <v>90</v>
      </c>
      <c r="B11" s="103" t="n">
        <f aca="false">NOV!B42</f>
        <v>6899.5</v>
      </c>
      <c r="C11" s="104" t="n">
        <f aca="false">NOV!C42</f>
        <v>281743</v>
      </c>
      <c r="D11" s="104" t="n">
        <f aca="false">NOV!D51</f>
        <v>-3058</v>
      </c>
      <c r="E11" s="104" t="n">
        <f aca="false">NOV!E51</f>
        <v>129743</v>
      </c>
      <c r="F11" s="197" t="n">
        <f aca="false">NOV!F50</f>
        <v>-1541.71918326191</v>
      </c>
      <c r="G11" s="104" t="n">
        <f aca="false">NOV!G50</f>
        <v>1625</v>
      </c>
      <c r="H11" s="134" t="n">
        <f aca="false">NOV!H50</f>
        <v>0</v>
      </c>
      <c r="I11" s="104" t="n">
        <f aca="false">NOV!I50</f>
        <v>1625</v>
      </c>
      <c r="J11" s="104" t="n">
        <f aca="false">NOV!J50</f>
        <v>201.434686160827</v>
      </c>
      <c r="K11" s="104" t="n">
        <f aca="false">NOV!K50</f>
        <v>1826.43468616083</v>
      </c>
      <c r="L11" s="104" t="n">
        <f aca="false">NOV!L50</f>
        <v>-359.619183261911</v>
      </c>
      <c r="M11" s="198" t="n">
        <f aca="false">NOV!M50</f>
        <v>302.8</v>
      </c>
      <c r="N11" s="104" t="n">
        <f aca="false">NOV!N50</f>
        <v>0</v>
      </c>
      <c r="O11" s="104" t="n">
        <f aca="false">NOV!O50</f>
        <v>0</v>
      </c>
      <c r="P11" s="199"/>
      <c r="Q11" s="104" t="n">
        <f aca="false">NOV!Q50</f>
        <v>48.348</v>
      </c>
      <c r="R11" s="104" t="n">
        <f aca="false">NOV!R50</f>
        <v>73.27</v>
      </c>
      <c r="S11" s="209" t="n">
        <f aca="false">NOV!S50</f>
        <v>0</v>
      </c>
      <c r="T11" s="210" t="n">
        <f aca="false">NOV!T50</f>
        <v>-7.062</v>
      </c>
      <c r="U11" s="104" t="n">
        <f aca="false">NOV!U50</f>
        <v>1349</v>
      </c>
      <c r="V11" s="104" t="n">
        <f aca="false">NOV!V50</f>
        <v>76.3</v>
      </c>
      <c r="W11" s="104" t="n">
        <f aca="false">NOV!W50</f>
        <v>1613.544</v>
      </c>
      <c r="X11" s="104" t="n">
        <f aca="false">NOV!X50</f>
        <v>1160.2752</v>
      </c>
      <c r="Y11" s="134" t="n">
        <f aca="false">NOV!Y42</f>
        <v>2301.4058592</v>
      </c>
      <c r="Z11" s="134" t="n">
        <f aca="false">NOV!Z42</f>
        <v>1614.0526425856</v>
      </c>
      <c r="AA11" s="133"/>
      <c r="AB11" s="133"/>
      <c r="AC11" s="133"/>
      <c r="AD11" s="104"/>
      <c r="AE11" s="104"/>
      <c r="AF11" s="198"/>
      <c r="AG11" s="201"/>
      <c r="AH11" s="104" t="n">
        <f aca="false">NOV!AH50</f>
        <v>1079</v>
      </c>
      <c r="AI11" s="104" t="n">
        <f aca="false">NOV!AI50</f>
        <v>4999</v>
      </c>
      <c r="AJ11" s="104" t="n">
        <f aca="false">NOV!AJ50</f>
        <v>0</v>
      </c>
      <c r="AK11" s="104" t="n">
        <f aca="false">NOV!AK50</f>
        <v>2807.1</v>
      </c>
      <c r="AL11" s="104" t="n">
        <f aca="false">NOV!AL50</f>
        <v>561.053869422738</v>
      </c>
      <c r="AM11" s="104" t="n">
        <f aca="false">NOV!AM50</f>
        <v>3368.15386942274</v>
      </c>
      <c r="AN11" s="203" t="n">
        <f aca="false">NOV!AN51</f>
        <v>2415.764155</v>
      </c>
      <c r="AO11" s="133" t="n">
        <f aca="false">NOV!AO50</f>
        <v>453.2688</v>
      </c>
      <c r="AP11" s="104"/>
      <c r="AQ11" s="211"/>
      <c r="AR11" s="211"/>
      <c r="AS11" s="211"/>
      <c r="AT11" s="211"/>
      <c r="AU11" s="105"/>
      <c r="AV11" s="205" t="n">
        <f aca="false">NOV!AV50</f>
        <v>0.85</v>
      </c>
      <c r="AW11" s="134"/>
      <c r="AX11" s="134"/>
      <c r="AY11" s="206"/>
      <c r="AZ11" s="212" t="n">
        <f aca="false">NOV!AZ50</f>
        <v>114.556</v>
      </c>
    </row>
    <row r="12" customFormat="false" ht="3" hidden="false" customHeight="true" outlineLevel="0" collapsed="false">
      <c r="A12" s="214"/>
      <c r="B12" s="215"/>
      <c r="C12" s="216"/>
      <c r="D12" s="217"/>
      <c r="E12" s="216"/>
      <c r="F12" s="218"/>
      <c r="G12" s="217"/>
      <c r="H12" s="219"/>
      <c r="I12" s="217"/>
      <c r="J12" s="217"/>
      <c r="K12" s="217"/>
      <c r="L12" s="217"/>
      <c r="M12" s="220"/>
      <c r="N12" s="217"/>
      <c r="O12" s="217"/>
      <c r="P12" s="221"/>
      <c r="Q12" s="217"/>
      <c r="R12" s="217"/>
      <c r="S12" s="217"/>
      <c r="T12" s="222"/>
      <c r="U12" s="217"/>
      <c r="V12" s="217"/>
      <c r="W12" s="217"/>
      <c r="X12" s="217"/>
      <c r="Y12" s="223"/>
      <c r="Z12" s="223"/>
      <c r="AA12" s="224"/>
      <c r="AB12" s="224"/>
      <c r="AC12" s="224"/>
      <c r="AD12" s="216"/>
      <c r="AE12" s="217"/>
      <c r="AF12" s="220"/>
      <c r="AG12" s="225"/>
      <c r="AH12" s="217"/>
      <c r="AI12" s="216"/>
      <c r="AJ12" s="216"/>
      <c r="AK12" s="217"/>
      <c r="AL12" s="217"/>
      <c r="AM12" s="217"/>
      <c r="AN12" s="226"/>
      <c r="AO12" s="224"/>
      <c r="AP12" s="223"/>
      <c r="AQ12" s="227"/>
      <c r="AR12" s="227"/>
      <c r="AS12" s="227"/>
      <c r="AT12" s="227"/>
      <c r="AU12" s="223"/>
      <c r="AV12" s="228"/>
      <c r="AW12" s="223"/>
      <c r="AX12" s="223"/>
      <c r="AY12" s="223"/>
      <c r="AZ12" s="117"/>
    </row>
    <row r="13" customFormat="false" ht="12.95" hidden="false" customHeight="true" outlineLevel="0" collapsed="false">
      <c r="A13" s="171" t="n">
        <v>1</v>
      </c>
      <c r="B13" s="103" t="n">
        <v>6899.49</v>
      </c>
      <c r="C13" s="104" t="n">
        <v>281706</v>
      </c>
      <c r="D13" s="134" t="n">
        <f aca="false">C13-C11</f>
        <v>-37</v>
      </c>
      <c r="E13" s="104" t="n">
        <f aca="false">C13-152000</f>
        <v>129706</v>
      </c>
      <c r="F13" s="229" t="n">
        <f aca="false">D13/$D$2</f>
        <v>-18.6538946307033</v>
      </c>
      <c r="G13" s="132" t="n">
        <v>54</v>
      </c>
      <c r="H13" s="230" t="n">
        <v>0.4</v>
      </c>
      <c r="I13" s="132" t="n">
        <f aca="false">G13+H13</f>
        <v>54.4</v>
      </c>
      <c r="J13" s="133" t="n">
        <f aca="false">IF(L13&gt;0,L13,0)</f>
        <v>0</v>
      </c>
      <c r="K13" s="132" t="n">
        <f aca="false">I13+J13</f>
        <v>54.4</v>
      </c>
      <c r="L13" s="132" t="n">
        <f aca="false">F13-(I13-AK13)</f>
        <v>-0.353894630703298</v>
      </c>
      <c r="M13" s="231" t="n">
        <v>3.7</v>
      </c>
      <c r="N13" s="132" t="n">
        <v>0</v>
      </c>
      <c r="O13" s="132" t="n">
        <v>0</v>
      </c>
      <c r="P13" s="199" t="n">
        <v>0</v>
      </c>
      <c r="Q13" s="129" t="n">
        <f aca="false">1.53*1.02</f>
        <v>1.5606</v>
      </c>
      <c r="R13" s="129" t="n">
        <v>2.47</v>
      </c>
      <c r="S13" s="129" t="n">
        <v>0</v>
      </c>
      <c r="T13" s="92" t="n">
        <f aca="false">M13-(Q13+R13+S13)</f>
        <v>-0.3306</v>
      </c>
      <c r="U13" s="132" t="n">
        <v>33</v>
      </c>
      <c r="V13" s="132" t="n">
        <v>0</v>
      </c>
      <c r="W13" s="132" t="n">
        <f aca="false">M13-N13-O13-P13-Q13-R13-S13-T13+U13+V13</f>
        <v>33</v>
      </c>
      <c r="X13" s="132" t="n">
        <f aca="false">W13-AO13</f>
        <v>33</v>
      </c>
      <c r="Y13" s="134" t="n">
        <f aca="false">Y11+(X13*1.9835)</f>
        <v>2366.8613592</v>
      </c>
      <c r="Z13" s="134" t="n">
        <f aca="false">Z11+X13*(26300/37500)*1.9835</f>
        <v>1659.9587665856</v>
      </c>
      <c r="AA13" s="133"/>
      <c r="AB13" s="133"/>
      <c r="AC13" s="133"/>
      <c r="AD13" s="104"/>
      <c r="AE13" s="132" t="n">
        <v>0</v>
      </c>
      <c r="AF13" s="231"/>
      <c r="AG13" s="232"/>
      <c r="AH13" s="132" t="n">
        <v>36</v>
      </c>
      <c r="AI13" s="104" t="n">
        <f aca="false">AI11-AH13</f>
        <v>4963</v>
      </c>
      <c r="AJ13" s="104"/>
      <c r="AK13" s="131" t="n">
        <f aca="false">N13+O13+P13+Q13+R13+S13+T13+W13+AE13+AH13</f>
        <v>72.7</v>
      </c>
      <c r="AL13" s="132" t="n">
        <f aca="false">IF(L13&lt;0,L13*-1,0)</f>
        <v>0.353894630703298</v>
      </c>
      <c r="AM13" s="132" t="n">
        <f aca="false">AK13+AL13</f>
        <v>73.0538946307033</v>
      </c>
      <c r="AN13" s="203" t="n">
        <f aca="false">AN11+(W13*1.9835)</f>
        <v>2481.219655</v>
      </c>
      <c r="AO13" s="133" t="n">
        <v>0</v>
      </c>
      <c r="AP13" s="204"/>
      <c r="AV13" s="205" t="n">
        <v>0</v>
      </c>
      <c r="AW13" s="134" t="n">
        <v>53</v>
      </c>
      <c r="AX13" s="134" t="n">
        <v>28</v>
      </c>
      <c r="AY13" s="206"/>
      <c r="AZ13" s="233" t="n">
        <f aca="false">SUM(N13,P13:T13)</f>
        <v>3.7</v>
      </c>
    </row>
    <row r="14" customFormat="false" ht="12.95" hidden="false" customHeight="true" outlineLevel="0" collapsed="false">
      <c r="A14" s="171" t="n">
        <f aca="false">A13+1</f>
        <v>2</v>
      </c>
      <c r="B14" s="103" t="n">
        <v>6899.47</v>
      </c>
      <c r="C14" s="104" t="n">
        <v>281633</v>
      </c>
      <c r="D14" s="134" t="n">
        <f aca="false">C14-C13</f>
        <v>-73</v>
      </c>
      <c r="E14" s="104" t="n">
        <f aca="false">C14-152000</f>
        <v>129633</v>
      </c>
      <c r="F14" s="229" t="n">
        <f aca="false">D14/$D$2</f>
        <v>-36.8036299470633</v>
      </c>
      <c r="G14" s="132" t="n">
        <v>50</v>
      </c>
      <c r="H14" s="230" t="n">
        <v>0.49</v>
      </c>
      <c r="I14" s="132" t="n">
        <f aca="false">G14+H14</f>
        <v>50.49</v>
      </c>
      <c r="J14" s="133" t="n">
        <f aca="false">IF(L14&gt;0,L14,0)</f>
        <v>0</v>
      </c>
      <c r="K14" s="132" t="n">
        <f aca="false">I14+J14</f>
        <v>50.49</v>
      </c>
      <c r="L14" s="132" t="n">
        <f aca="false">F14-(I14-AK14)</f>
        <v>-8.79362994706327</v>
      </c>
      <c r="M14" s="231" t="n">
        <v>3.5</v>
      </c>
      <c r="N14" s="132" t="n">
        <v>0</v>
      </c>
      <c r="O14" s="132" t="n">
        <v>0</v>
      </c>
      <c r="P14" s="199" t="n">
        <v>0</v>
      </c>
      <c r="Q14" s="129" t="n">
        <f aca="false">1.53*1.02</f>
        <v>1.5606</v>
      </c>
      <c r="R14" s="129" t="n">
        <v>2.19</v>
      </c>
      <c r="S14" s="129" t="n">
        <v>0</v>
      </c>
      <c r="T14" s="92" t="n">
        <f aca="false">M14-(Q14+R14+S14)</f>
        <v>-0.2506</v>
      </c>
      <c r="U14" s="132" t="n">
        <v>39</v>
      </c>
      <c r="V14" s="132" t="n">
        <v>0</v>
      </c>
      <c r="W14" s="132" t="n">
        <f aca="false">M14-N14-O14-P14-Q14-R14-S14-T14+U14+V14</f>
        <v>39</v>
      </c>
      <c r="X14" s="132" t="n">
        <f aca="false">W14-AO14</f>
        <v>39</v>
      </c>
      <c r="Y14" s="134" t="n">
        <f aca="false">Y13+(X14*1.9835)</f>
        <v>2444.2178592</v>
      </c>
      <c r="Z14" s="134" t="n">
        <f aca="false">Z13+X14*(26300/37500)*1.9835</f>
        <v>1714.2114585856</v>
      </c>
      <c r="AA14" s="133"/>
      <c r="AB14" s="133"/>
      <c r="AC14" s="133"/>
      <c r="AD14" s="104"/>
      <c r="AE14" s="132" t="n">
        <v>0</v>
      </c>
      <c r="AF14" s="231"/>
      <c r="AG14" s="232"/>
      <c r="AH14" s="132" t="n">
        <v>36</v>
      </c>
      <c r="AI14" s="104" t="n">
        <f aca="false">AI13-AH14</f>
        <v>4927</v>
      </c>
      <c r="AJ14" s="104"/>
      <c r="AK14" s="131" t="n">
        <f aca="false">N14+O14+P14+Q14+R14+S14+T14+W14+AE14+AH14</f>
        <v>78.5</v>
      </c>
      <c r="AL14" s="132" t="n">
        <f aca="false">IF(L14&lt;0,L14*-1,0)</f>
        <v>8.79362994706327</v>
      </c>
      <c r="AM14" s="132" t="n">
        <f aca="false">AK14+AL14</f>
        <v>87.2936299470633</v>
      </c>
      <c r="AN14" s="203" t="n">
        <f aca="false">AN13+(W14*1.9835)</f>
        <v>2558.576155</v>
      </c>
      <c r="AO14" s="133" t="n">
        <v>0</v>
      </c>
      <c r="AP14" s="204"/>
      <c r="AV14" s="205" t="n">
        <v>0</v>
      </c>
      <c r="AW14" s="134" t="n">
        <v>51</v>
      </c>
      <c r="AX14" s="134" t="n">
        <v>28</v>
      </c>
      <c r="AY14" s="206"/>
      <c r="AZ14" s="233" t="n">
        <f aca="false">SUM(N14,P14:T14)</f>
        <v>3.5</v>
      </c>
    </row>
    <row r="15" customFormat="false" ht="12.95" hidden="false" customHeight="true" outlineLevel="0" collapsed="false">
      <c r="A15" s="171" t="n">
        <f aca="false">A14+1</f>
        <v>3</v>
      </c>
      <c r="B15" s="103" t="n">
        <v>6899.45</v>
      </c>
      <c r="C15" s="104" t="n">
        <v>281559</v>
      </c>
      <c r="D15" s="134" t="n">
        <f aca="false">C15-C14</f>
        <v>-74</v>
      </c>
      <c r="E15" s="104" t="n">
        <f aca="false">C15-152000</f>
        <v>129559</v>
      </c>
      <c r="F15" s="229" t="n">
        <f aca="false">D15/$D$2</f>
        <v>-37.3077892614066</v>
      </c>
      <c r="G15" s="132" t="n">
        <v>55</v>
      </c>
      <c r="H15" s="230" t="n">
        <v>0.47</v>
      </c>
      <c r="I15" s="132" t="n">
        <f aca="false">G15+H15</f>
        <v>55.47</v>
      </c>
      <c r="J15" s="133" t="n">
        <f aca="false">IF(L15&gt;0,L15,0)</f>
        <v>0</v>
      </c>
      <c r="K15" s="132" t="n">
        <f aca="false">I15+J15</f>
        <v>55.47</v>
      </c>
      <c r="L15" s="132" t="n">
        <f aca="false">F15-(I15-AK15)</f>
        <v>-12.3777892614066</v>
      </c>
      <c r="M15" s="231" t="n">
        <v>3.4</v>
      </c>
      <c r="N15" s="132" t="n">
        <v>0</v>
      </c>
      <c r="O15" s="132" t="n">
        <v>0</v>
      </c>
      <c r="P15" s="199" t="n">
        <v>0</v>
      </c>
      <c r="Q15" s="129" t="n">
        <f aca="false">1.53*1.02</f>
        <v>1.5606</v>
      </c>
      <c r="R15" s="129" t="n">
        <v>2.38</v>
      </c>
      <c r="S15" s="129" t="n">
        <v>0</v>
      </c>
      <c r="T15" s="92" t="n">
        <f aca="false">M15-(Q15+R15+S15)</f>
        <v>-0.5406</v>
      </c>
      <c r="U15" s="132" t="n">
        <v>41</v>
      </c>
      <c r="V15" s="132" t="n">
        <v>0</v>
      </c>
      <c r="W15" s="132" t="n">
        <f aca="false">M15-N15-O15-P15-Q15-R15-S15-T15+U15+V15</f>
        <v>41</v>
      </c>
      <c r="X15" s="132" t="n">
        <f aca="false">W15-AO15</f>
        <v>41</v>
      </c>
      <c r="Y15" s="134" t="n">
        <f aca="false">Y14+(X15*1.9835)</f>
        <v>2525.5413592</v>
      </c>
      <c r="Z15" s="134" t="n">
        <f aca="false">Z14+X15*(26300/37500)*1.9835</f>
        <v>1771.24633991893</v>
      </c>
      <c r="AA15" s="133"/>
      <c r="AB15" s="133"/>
      <c r="AC15" s="133"/>
      <c r="AD15" s="104"/>
      <c r="AE15" s="132" t="n">
        <v>0</v>
      </c>
      <c r="AF15" s="231"/>
      <c r="AG15" s="232"/>
      <c r="AH15" s="132" t="n">
        <v>36</v>
      </c>
      <c r="AI15" s="104" t="n">
        <f aca="false">AI14-AH15</f>
        <v>4891</v>
      </c>
      <c r="AJ15" s="104"/>
      <c r="AK15" s="131" t="n">
        <f aca="false">N15+O15+P15+Q15+R15+S15+T15+W15+AE15+AH15</f>
        <v>80.4</v>
      </c>
      <c r="AL15" s="132" t="n">
        <f aca="false">IF(L15&lt;0,L15*-1,0)</f>
        <v>12.3777892614066</v>
      </c>
      <c r="AM15" s="132" t="n">
        <f aca="false">AK15+AL15</f>
        <v>92.7777892614066</v>
      </c>
      <c r="AN15" s="203" t="n">
        <f aca="false">AN14+(W15*1.9835)</f>
        <v>2639.899655</v>
      </c>
      <c r="AO15" s="133" t="n">
        <v>0</v>
      </c>
      <c r="AP15" s="204"/>
      <c r="AV15" s="205" t="n">
        <v>0</v>
      </c>
      <c r="AW15" s="134" t="n">
        <v>45</v>
      </c>
      <c r="AX15" s="134" t="n">
        <v>22</v>
      </c>
      <c r="AY15" s="206"/>
      <c r="AZ15" s="233" t="n">
        <f aca="false">SUM(N15,P15:T15)</f>
        <v>3.4</v>
      </c>
    </row>
    <row r="16" customFormat="false" ht="12.95" hidden="false" customHeight="true" outlineLevel="0" collapsed="false">
      <c r="A16" s="171" t="n">
        <f aca="false">A15+1</f>
        <v>4</v>
      </c>
      <c r="B16" s="103" t="n">
        <v>6899.42</v>
      </c>
      <c r="C16" s="104" t="n">
        <v>281449</v>
      </c>
      <c r="D16" s="134" t="n">
        <f aca="false">C16-C15</f>
        <v>-110</v>
      </c>
      <c r="E16" s="104" t="n">
        <f aca="false">C16-152000</f>
        <v>129449</v>
      </c>
      <c r="F16" s="229" t="n">
        <f aca="false">D16/$D$2</f>
        <v>-55.4575245777666</v>
      </c>
      <c r="G16" s="132" t="n">
        <v>35</v>
      </c>
      <c r="H16" s="230" t="n">
        <v>0.37</v>
      </c>
      <c r="I16" s="132" t="n">
        <f aca="false">G16+H16</f>
        <v>35.37</v>
      </c>
      <c r="J16" s="133" t="n">
        <f aca="false">IF(L16&gt;0,L16,0)</f>
        <v>0</v>
      </c>
      <c r="K16" s="132" t="n">
        <f aca="false">I16+J16</f>
        <v>35.37</v>
      </c>
      <c r="L16" s="132" t="n">
        <f aca="false">F16-(I16-AK16)</f>
        <v>-10.3275245777666</v>
      </c>
      <c r="M16" s="231" t="n">
        <v>3.5</v>
      </c>
      <c r="N16" s="132" t="n">
        <v>0</v>
      </c>
      <c r="O16" s="132" t="n">
        <v>0</v>
      </c>
      <c r="P16" s="199" t="n">
        <v>0</v>
      </c>
      <c r="Q16" s="129" t="n">
        <f aca="false">1.53*1.02</f>
        <v>1.5606</v>
      </c>
      <c r="R16" s="129" t="n">
        <v>2.23</v>
      </c>
      <c r="S16" s="129" t="n">
        <v>0</v>
      </c>
      <c r="T16" s="92" t="n">
        <f aca="false">M16-(Q16+R16+S16)</f>
        <v>-0.2906</v>
      </c>
      <c r="U16" s="132" t="n">
        <v>41</v>
      </c>
      <c r="V16" s="132" t="n">
        <v>0</v>
      </c>
      <c r="W16" s="132" t="n">
        <f aca="false">M16-N16-O16-P16-Q16-R16-S16-T16+U16+V16</f>
        <v>41</v>
      </c>
      <c r="X16" s="132" t="n">
        <f aca="false">W16-AO16</f>
        <v>41</v>
      </c>
      <c r="Y16" s="134" t="n">
        <f aca="false">Y15+(X16*1.9835)</f>
        <v>2606.8648592</v>
      </c>
      <c r="Z16" s="134" t="n">
        <f aca="false">Z15+X16*(26300/37500)*1.9835</f>
        <v>1828.28122125227</v>
      </c>
      <c r="AA16" s="133"/>
      <c r="AB16" s="133"/>
      <c r="AC16" s="133"/>
      <c r="AD16" s="104"/>
      <c r="AE16" s="132" t="n">
        <v>0</v>
      </c>
      <c r="AF16" s="231"/>
      <c r="AG16" s="232"/>
      <c r="AH16" s="132" t="n">
        <v>36</v>
      </c>
      <c r="AI16" s="104" t="n">
        <f aca="false">AI15-AH16</f>
        <v>4855</v>
      </c>
      <c r="AJ16" s="104"/>
      <c r="AK16" s="131" t="n">
        <f aca="false">N16+O16+P16+Q16+R16+S16+T16+W16+AE16+AH16</f>
        <v>80.5</v>
      </c>
      <c r="AL16" s="132" t="n">
        <f aca="false">IF(L16&lt;0,L16*-1,0)</f>
        <v>10.3275245777666</v>
      </c>
      <c r="AM16" s="132" t="n">
        <f aca="false">AK16+AL16</f>
        <v>90.8275245777666</v>
      </c>
      <c r="AN16" s="203" t="n">
        <f aca="false">AN15+(W16*1.9835)</f>
        <v>2721.223155</v>
      </c>
      <c r="AO16" s="133" t="n">
        <v>0</v>
      </c>
      <c r="AP16" s="204"/>
      <c r="AV16" s="205" t="n">
        <v>0</v>
      </c>
      <c r="AW16" s="134" t="n">
        <v>42</v>
      </c>
      <c r="AX16" s="134" t="n">
        <v>21</v>
      </c>
      <c r="AY16" s="206"/>
      <c r="AZ16" s="233" t="n">
        <f aca="false">SUM(N16,P16:T16)</f>
        <v>3.5</v>
      </c>
    </row>
    <row r="17" customFormat="false" ht="12.95" hidden="false" customHeight="true" outlineLevel="0" collapsed="false">
      <c r="A17" s="171" t="n">
        <f aca="false">A16+1</f>
        <v>5</v>
      </c>
      <c r="B17" s="103" t="n">
        <v>6899.39</v>
      </c>
      <c r="C17" s="104" t="n">
        <v>281339</v>
      </c>
      <c r="D17" s="134" t="n">
        <f aca="false">C17-C16</f>
        <v>-110</v>
      </c>
      <c r="E17" s="104" t="n">
        <f aca="false">C17-152000</f>
        <v>129339</v>
      </c>
      <c r="F17" s="229" t="n">
        <f aca="false">D17/$D$2</f>
        <v>-55.4575245777666</v>
      </c>
      <c r="G17" s="132" t="n">
        <v>35</v>
      </c>
      <c r="H17" s="230" t="n">
        <v>0.24</v>
      </c>
      <c r="I17" s="132" t="n">
        <f aca="false">G17+H17</f>
        <v>35.24</v>
      </c>
      <c r="J17" s="133" t="n">
        <f aca="false">IF(L17&gt;0,L17,0)</f>
        <v>0</v>
      </c>
      <c r="K17" s="132" t="n">
        <f aca="false">I17+J17</f>
        <v>35.24</v>
      </c>
      <c r="L17" s="132" t="n">
        <f aca="false">F17-(I17-AK17)</f>
        <v>-9.99752457776657</v>
      </c>
      <c r="M17" s="231" t="n">
        <v>3.7</v>
      </c>
      <c r="N17" s="132" t="n">
        <v>0</v>
      </c>
      <c r="O17" s="132" t="n">
        <v>0</v>
      </c>
      <c r="P17" s="199" t="n">
        <v>0</v>
      </c>
      <c r="Q17" s="129" t="n">
        <f aca="false">1.53*1.02</f>
        <v>1.5606</v>
      </c>
      <c r="R17" s="129" t="n">
        <v>2.56</v>
      </c>
      <c r="S17" s="129" t="n">
        <v>0</v>
      </c>
      <c r="T17" s="92" t="n">
        <f aca="false">M17-(Q17+R17+S17)</f>
        <v>-0.420599999999999</v>
      </c>
      <c r="U17" s="132" t="n">
        <v>41</v>
      </c>
      <c r="V17" s="132" t="n">
        <v>0</v>
      </c>
      <c r="W17" s="132" t="n">
        <f aca="false">M17-N17-O17-P17-Q17-R17-S17-T17+U17+V17</f>
        <v>41</v>
      </c>
      <c r="X17" s="132" t="n">
        <f aca="false">W17-AO17</f>
        <v>41</v>
      </c>
      <c r="Y17" s="134" t="n">
        <f aca="false">Y16+(X17*1.9835)</f>
        <v>2688.1883592</v>
      </c>
      <c r="Z17" s="134" t="n">
        <f aca="false">Z16+X17*(26300/37500)*1.9835</f>
        <v>1885.3161025856</v>
      </c>
      <c r="AA17" s="133"/>
      <c r="AB17" s="133"/>
      <c r="AC17" s="133"/>
      <c r="AD17" s="104"/>
      <c r="AE17" s="132" t="n">
        <v>0</v>
      </c>
      <c r="AF17" s="231"/>
      <c r="AG17" s="232"/>
      <c r="AH17" s="132" t="n">
        <v>36</v>
      </c>
      <c r="AI17" s="104" t="n">
        <f aca="false">AI16-AH17</f>
        <v>4819</v>
      </c>
      <c r="AJ17" s="104"/>
      <c r="AK17" s="131" t="n">
        <f aca="false">N17+O17+P17+Q17+R17+S17+T17+W17+AE17+AH17</f>
        <v>80.7</v>
      </c>
      <c r="AL17" s="132" t="n">
        <f aca="false">IF(L17&lt;0,L17*-1,0)</f>
        <v>9.99752457776657</v>
      </c>
      <c r="AM17" s="132" t="n">
        <f aca="false">AK17+AL17</f>
        <v>90.6975245777666</v>
      </c>
      <c r="AN17" s="203" t="n">
        <f aca="false">AN16+(W17*1.9835)</f>
        <v>2802.546655</v>
      </c>
      <c r="AO17" s="133" t="n">
        <v>0</v>
      </c>
      <c r="AP17" s="204"/>
      <c r="AV17" s="205" t="n">
        <v>0</v>
      </c>
      <c r="AW17" s="134" t="n">
        <v>43</v>
      </c>
      <c r="AX17" s="134" t="n">
        <v>19</v>
      </c>
      <c r="AY17" s="206"/>
      <c r="AZ17" s="233" t="n">
        <f aca="false">SUM(N17,P17:T17)</f>
        <v>3.7</v>
      </c>
    </row>
    <row r="18" customFormat="false" ht="12.95" hidden="false" customHeight="true" outlineLevel="0" collapsed="false">
      <c r="A18" s="171" t="n">
        <f aca="false">A17+1</f>
        <v>6</v>
      </c>
      <c r="B18" s="103" t="n">
        <v>6899.37</v>
      </c>
      <c r="C18" s="104" t="n">
        <v>281266</v>
      </c>
      <c r="D18" s="134" t="n">
        <f aca="false">C18-C17</f>
        <v>-73</v>
      </c>
      <c r="E18" s="104" t="n">
        <f aca="false">C18-152000</f>
        <v>129266</v>
      </c>
      <c r="F18" s="229" t="n">
        <f aca="false">D18/$D$2</f>
        <v>-36.8036299470633</v>
      </c>
      <c r="G18" s="132" t="n">
        <v>43</v>
      </c>
      <c r="H18" s="230" t="n">
        <v>0.22</v>
      </c>
      <c r="I18" s="132" t="n">
        <f aca="false">G18+H18</f>
        <v>43.22</v>
      </c>
      <c r="J18" s="133" t="n">
        <f aca="false">IF(L18&gt;0,L18,0)</f>
        <v>0.676370052936733</v>
      </c>
      <c r="K18" s="132" t="n">
        <f aca="false">I18+J18</f>
        <v>43.8963700529367</v>
      </c>
      <c r="L18" s="132" t="n">
        <f aca="false">F18-(I18-AK18)</f>
        <v>0.676370052936733</v>
      </c>
      <c r="M18" s="231" t="n">
        <v>3.7</v>
      </c>
      <c r="N18" s="132" t="n">
        <v>0</v>
      </c>
      <c r="O18" s="132" t="n">
        <v>0</v>
      </c>
      <c r="P18" s="199" t="n">
        <v>0</v>
      </c>
      <c r="Q18" s="129" t="n">
        <f aca="false">1.53*1.02</f>
        <v>1.5606</v>
      </c>
      <c r="R18" s="129" t="n">
        <v>2.77</v>
      </c>
      <c r="S18" s="129" t="n">
        <v>0</v>
      </c>
      <c r="T18" s="92" t="n">
        <f aca="false">M18-(Q18+R18+S18)</f>
        <v>-0.6306</v>
      </c>
      <c r="U18" s="132" t="n">
        <v>41</v>
      </c>
      <c r="V18" s="132" t="n">
        <v>0</v>
      </c>
      <c r="W18" s="132" t="n">
        <f aca="false">M18-N18-O18-P18-Q18-R18-S18-T18+U18+V18</f>
        <v>41</v>
      </c>
      <c r="X18" s="132" t="n">
        <f aca="false">W18-AO18</f>
        <v>41</v>
      </c>
      <c r="Y18" s="134" t="n">
        <f aca="false">Y17+(X18*1.9835)</f>
        <v>2769.5118592</v>
      </c>
      <c r="Z18" s="134" t="n">
        <f aca="false">Z17+X18*(26300/37500)*1.9835</f>
        <v>1942.35098391893</v>
      </c>
      <c r="AA18" s="133"/>
      <c r="AB18" s="133"/>
      <c r="AC18" s="133"/>
      <c r="AD18" s="104"/>
      <c r="AE18" s="132" t="n">
        <v>0</v>
      </c>
      <c r="AF18" s="231"/>
      <c r="AG18" s="232"/>
      <c r="AH18" s="132" t="n">
        <v>36</v>
      </c>
      <c r="AI18" s="104" t="n">
        <f aca="false">AI17-AH18</f>
        <v>4783</v>
      </c>
      <c r="AJ18" s="104"/>
      <c r="AK18" s="131" t="n">
        <f aca="false">N18+O18+P18+Q18+R18+S18+T18+W18+AE18+AH18</f>
        <v>80.7</v>
      </c>
      <c r="AL18" s="132" t="n">
        <f aca="false">IF(L18&lt;0,L18*-1,0)</f>
        <v>0</v>
      </c>
      <c r="AM18" s="132" t="n">
        <f aca="false">AK18+AL18</f>
        <v>80.7</v>
      </c>
      <c r="AN18" s="203" t="n">
        <f aca="false">AN17+(W18*1.9835)</f>
        <v>2883.870155</v>
      </c>
      <c r="AO18" s="133" t="n">
        <v>0</v>
      </c>
      <c r="AP18" s="204"/>
      <c r="AV18" s="205" t="n">
        <v>0</v>
      </c>
      <c r="AW18" s="134" t="n">
        <v>51</v>
      </c>
      <c r="AX18" s="134" t="n">
        <v>19</v>
      </c>
      <c r="AY18" s="206"/>
      <c r="AZ18" s="233" t="n">
        <f aca="false">SUM(N18,P18:T18)</f>
        <v>3.7</v>
      </c>
    </row>
    <row r="19" customFormat="false" ht="12.95" hidden="false" customHeight="true" outlineLevel="0" collapsed="false">
      <c r="A19" s="171" t="n">
        <f aca="false">A18+1</f>
        <v>7</v>
      </c>
      <c r="B19" s="103" t="n">
        <v>6899.36</v>
      </c>
      <c r="C19" s="104" t="n">
        <v>281229</v>
      </c>
      <c r="D19" s="134" t="n">
        <f aca="false">C19-C18</f>
        <v>-37</v>
      </c>
      <c r="E19" s="104" t="n">
        <f aca="false">C19-152000</f>
        <v>129229</v>
      </c>
      <c r="F19" s="229" t="n">
        <f aca="false">D19/$D$2</f>
        <v>-18.6538946307033</v>
      </c>
      <c r="G19" s="132" t="n">
        <v>45</v>
      </c>
      <c r="H19" s="230" t="n">
        <v>0.27</v>
      </c>
      <c r="I19" s="132" t="n">
        <f aca="false">G19+H19</f>
        <v>45.27</v>
      </c>
      <c r="J19" s="133" t="n">
        <f aca="false">IF(L19&gt;0,L19,0)</f>
        <v>16.7761053692967</v>
      </c>
      <c r="K19" s="132" t="n">
        <f aca="false">I19+J19</f>
        <v>62.0461053692967</v>
      </c>
      <c r="L19" s="132" t="n">
        <f aca="false">F19-(I19-AK19)</f>
        <v>16.7761053692967</v>
      </c>
      <c r="M19" s="231" t="n">
        <v>3.7</v>
      </c>
      <c r="N19" s="132" t="n">
        <v>0</v>
      </c>
      <c r="O19" s="132" t="n">
        <v>0</v>
      </c>
      <c r="P19" s="199" t="n">
        <v>0</v>
      </c>
      <c r="Q19" s="129" t="n">
        <f aca="false">1.53*1.02</f>
        <v>1.5606</v>
      </c>
      <c r="R19" s="129" t="n">
        <v>2.53</v>
      </c>
      <c r="S19" s="129" t="n">
        <v>0</v>
      </c>
      <c r="T19" s="92" t="n">
        <f aca="false">M19-(Q19+R19+S19)</f>
        <v>-0.3906</v>
      </c>
      <c r="U19" s="132" t="n">
        <v>41</v>
      </c>
      <c r="V19" s="132" t="n">
        <v>0</v>
      </c>
      <c r="W19" s="132" t="n">
        <f aca="false">M19-N19-O19-P19-Q19-R19-S19-T19+U19+V19</f>
        <v>41</v>
      </c>
      <c r="X19" s="132" t="n">
        <f aca="false">W19-AO19</f>
        <v>41</v>
      </c>
      <c r="Y19" s="134" t="n">
        <f aca="false">Y18+(X19*1.9835)</f>
        <v>2850.8353592</v>
      </c>
      <c r="Z19" s="134" t="n">
        <f aca="false">Z18+X19*(26300/37500)*1.9835</f>
        <v>1999.38586525227</v>
      </c>
      <c r="AA19" s="133"/>
      <c r="AB19" s="133"/>
      <c r="AC19" s="133"/>
      <c r="AD19" s="104"/>
      <c r="AE19" s="132" t="n">
        <v>0</v>
      </c>
      <c r="AF19" s="231"/>
      <c r="AG19" s="232"/>
      <c r="AH19" s="132" t="n">
        <v>36</v>
      </c>
      <c r="AI19" s="104" t="n">
        <f aca="false">AI18-AH19</f>
        <v>4747</v>
      </c>
      <c r="AJ19" s="104"/>
      <c r="AK19" s="131" t="n">
        <f aca="false">N19+O19+P19+Q19+R19+S19+T19+W19+AE19+AH19</f>
        <v>80.7</v>
      </c>
      <c r="AL19" s="132" t="n">
        <f aca="false">IF(L19&lt;0,L19*-1,0)</f>
        <v>0</v>
      </c>
      <c r="AM19" s="132" t="n">
        <f aca="false">AK19+AL19</f>
        <v>80.7</v>
      </c>
      <c r="AN19" s="203" t="n">
        <f aca="false">AN18+(W19*1.9835)</f>
        <v>2965.193655</v>
      </c>
      <c r="AO19" s="133" t="n">
        <v>0</v>
      </c>
      <c r="AP19" s="204"/>
      <c r="AV19" s="205" t="n">
        <v>0</v>
      </c>
      <c r="AW19" s="134" t="n">
        <v>51</v>
      </c>
      <c r="AX19" s="134" t="n">
        <v>25</v>
      </c>
      <c r="AY19" s="206"/>
      <c r="AZ19" s="233" t="n">
        <f aca="false">SUM(N19,P19:T19)</f>
        <v>3.7</v>
      </c>
    </row>
    <row r="20" customFormat="false" ht="12.95" hidden="false" customHeight="true" outlineLevel="0" collapsed="false">
      <c r="A20" s="171" t="n">
        <f aca="false">A19+1</f>
        <v>8</v>
      </c>
      <c r="B20" s="103" t="n">
        <v>6899.41</v>
      </c>
      <c r="C20" s="104" t="n">
        <v>281412</v>
      </c>
      <c r="D20" s="134" t="n">
        <f aca="false">C20-C19</f>
        <v>183</v>
      </c>
      <c r="E20" s="104" t="n">
        <f aca="false">C20-152000</f>
        <v>129412</v>
      </c>
      <c r="F20" s="229" t="n">
        <f aca="false">D20/$D$2</f>
        <v>92.2611545248298</v>
      </c>
      <c r="G20" s="132" t="n">
        <v>49</v>
      </c>
      <c r="H20" s="230" t="n">
        <v>0.52</v>
      </c>
      <c r="I20" s="132" t="n">
        <f aca="false">G20+H20</f>
        <v>49.52</v>
      </c>
      <c r="J20" s="133" t="n">
        <f aca="false">IF(L20&gt;0,L20,0)</f>
        <v>127.14115452483</v>
      </c>
      <c r="K20" s="132" t="n">
        <f aca="false">I20+J20</f>
        <v>176.66115452483</v>
      </c>
      <c r="L20" s="132" t="n">
        <f aca="false">F20-(I20-AK20)</f>
        <v>127.14115452483</v>
      </c>
      <c r="M20" s="231" t="n">
        <v>3.4</v>
      </c>
      <c r="N20" s="132" t="n">
        <v>0</v>
      </c>
      <c r="O20" s="132" t="n">
        <v>0</v>
      </c>
      <c r="P20" s="199" t="n">
        <v>0</v>
      </c>
      <c r="Q20" s="129" t="n">
        <f aca="false">1.53*1.02</f>
        <v>1.5606</v>
      </c>
      <c r="R20" s="129" t="n">
        <v>2.34</v>
      </c>
      <c r="S20" s="129" t="n">
        <v>0</v>
      </c>
      <c r="T20" s="92" t="n">
        <f aca="false">M20-(Q20+R20+S20)</f>
        <v>-0.5006</v>
      </c>
      <c r="U20" s="132" t="n">
        <v>45</v>
      </c>
      <c r="V20" s="132" t="n">
        <v>0</v>
      </c>
      <c r="W20" s="132" t="n">
        <f aca="false">M20-N20-O20-P20-Q20-R20-S20-T20+U20+V20</f>
        <v>45</v>
      </c>
      <c r="X20" s="132" t="n">
        <f aca="false">W20-AO20</f>
        <v>45</v>
      </c>
      <c r="Y20" s="134" t="n">
        <f aca="false">Y19+(X20*1.9835)</f>
        <v>2940.0928592</v>
      </c>
      <c r="Z20" s="134" t="n">
        <f aca="false">Z19+X20*(26300/37500)*1.9835</f>
        <v>2061.98512525227</v>
      </c>
      <c r="AA20" s="133"/>
      <c r="AB20" s="133"/>
      <c r="AC20" s="133"/>
      <c r="AD20" s="104"/>
      <c r="AE20" s="132" t="n">
        <v>0</v>
      </c>
      <c r="AF20" s="231"/>
      <c r="AG20" s="232"/>
      <c r="AH20" s="132" t="n">
        <v>36</v>
      </c>
      <c r="AI20" s="104" t="n">
        <f aca="false">AI19-AH20</f>
        <v>4711</v>
      </c>
      <c r="AJ20" s="104"/>
      <c r="AK20" s="131" t="n">
        <f aca="false">N20+O20+P20+Q20+R20+S20+T20+W20+AE20+AH20</f>
        <v>84.4</v>
      </c>
      <c r="AL20" s="132" t="n">
        <f aca="false">IF(L20&lt;0,L20*-1,0)</f>
        <v>0</v>
      </c>
      <c r="AM20" s="132" t="n">
        <f aca="false">AK20+AL20</f>
        <v>84.4</v>
      </c>
      <c r="AN20" s="203" t="n">
        <f aca="false">AN19+(W20*1.9835)</f>
        <v>3054.451155</v>
      </c>
      <c r="AO20" s="133" t="n">
        <v>0</v>
      </c>
      <c r="AP20" s="204"/>
      <c r="AV20" s="205" t="n">
        <v>0.28</v>
      </c>
      <c r="AW20" s="104" t="n">
        <v>36</v>
      </c>
      <c r="AX20" s="134" t="n">
        <v>22</v>
      </c>
      <c r="AY20" s="206"/>
      <c r="AZ20" s="233" t="n">
        <f aca="false">SUM(N20,P20:T20)</f>
        <v>3.4</v>
      </c>
    </row>
    <row r="21" customFormat="false" ht="12.95" hidden="false" customHeight="true" outlineLevel="0" collapsed="false">
      <c r="A21" s="171" t="n">
        <f aca="false">A20+1</f>
        <v>9</v>
      </c>
      <c r="B21" s="103" t="n">
        <v>6899.39</v>
      </c>
      <c r="C21" s="104" t="n">
        <v>281339</v>
      </c>
      <c r="D21" s="134" t="n">
        <f aca="false">C21-C20</f>
        <v>-73</v>
      </c>
      <c r="E21" s="104" t="n">
        <f aca="false">C21-152000</f>
        <v>129339</v>
      </c>
      <c r="F21" s="229" t="n">
        <f aca="false">D21/$D$2</f>
        <v>-36.8036299470633</v>
      </c>
      <c r="G21" s="132" t="n">
        <v>54</v>
      </c>
      <c r="H21" s="230" t="n">
        <v>0.53</v>
      </c>
      <c r="I21" s="132" t="n">
        <f aca="false">G21+H21</f>
        <v>54.53</v>
      </c>
      <c r="J21" s="133" t="n">
        <f aca="false">IF(L21&gt;0,L21,0)</f>
        <v>0</v>
      </c>
      <c r="K21" s="132" t="n">
        <f aca="false">I21+J21</f>
        <v>54.53</v>
      </c>
      <c r="L21" s="132" t="n">
        <f aca="false">F21-(I21-AK21)</f>
        <v>-4.23362994706328</v>
      </c>
      <c r="M21" s="231" t="n">
        <v>3.1</v>
      </c>
      <c r="N21" s="132" t="n">
        <v>0</v>
      </c>
      <c r="O21" s="132" t="n">
        <v>0</v>
      </c>
      <c r="P21" s="199" t="n">
        <v>0</v>
      </c>
      <c r="Q21" s="129" t="n">
        <f aca="false">1.53*1.02</f>
        <v>1.5606</v>
      </c>
      <c r="R21" s="129" t="n">
        <v>2.14</v>
      </c>
      <c r="S21" s="129" t="n">
        <v>0</v>
      </c>
      <c r="T21" s="92" t="n">
        <f aca="false">M21-(Q21+R21+S21)</f>
        <v>-0.6006</v>
      </c>
      <c r="U21" s="132" t="n">
        <v>48</v>
      </c>
      <c r="V21" s="132" t="n">
        <v>0</v>
      </c>
      <c r="W21" s="132" t="n">
        <f aca="false">M21-N21-O21-P21-Q21-R21-S21-T21+U21+V21</f>
        <v>48</v>
      </c>
      <c r="X21" s="132" t="n">
        <f aca="false">W21-AO21</f>
        <v>48</v>
      </c>
      <c r="Y21" s="134" t="n">
        <f aca="false">Y20+(X21*1.9835)</f>
        <v>3035.3008592</v>
      </c>
      <c r="Z21" s="134" t="n">
        <f aca="false">Z20+X21*(26300/37500)*1.9835</f>
        <v>2128.75766925227</v>
      </c>
      <c r="AA21" s="133"/>
      <c r="AB21" s="133"/>
      <c r="AC21" s="133"/>
      <c r="AD21" s="104"/>
      <c r="AE21" s="132" t="n">
        <v>0</v>
      </c>
      <c r="AF21" s="231"/>
      <c r="AG21" s="232"/>
      <c r="AH21" s="132" t="n">
        <v>36</v>
      </c>
      <c r="AI21" s="104" t="n">
        <f aca="false">AI20-AH21</f>
        <v>4675</v>
      </c>
      <c r="AJ21" s="104"/>
      <c r="AK21" s="131" t="n">
        <f aca="false">N21+O21+P21+Q21+R21+S21+T21+W21+AE21+AH21</f>
        <v>87.1</v>
      </c>
      <c r="AL21" s="132" t="n">
        <f aca="false">IF(L21&lt;0,L21*-1,0)</f>
        <v>4.23362994706328</v>
      </c>
      <c r="AM21" s="132" t="n">
        <f aca="false">AK21+AL21</f>
        <v>91.3336299470633</v>
      </c>
      <c r="AN21" s="203" t="n">
        <f aca="false">AN20+(W21*1.9835)</f>
        <v>3149.659155</v>
      </c>
      <c r="AO21" s="133" t="n">
        <v>0</v>
      </c>
      <c r="AP21" s="204"/>
      <c r="AV21" s="205" t="n">
        <v>0.28</v>
      </c>
      <c r="AW21" s="104" t="n">
        <v>32</v>
      </c>
      <c r="AX21" s="134" t="n">
        <v>12</v>
      </c>
      <c r="AY21" s="206"/>
      <c r="AZ21" s="233" t="n">
        <f aca="false">SUM(N21,P21:T21)</f>
        <v>3.1</v>
      </c>
    </row>
    <row r="22" customFormat="false" ht="12.95" hidden="false" customHeight="true" outlineLevel="0" collapsed="false">
      <c r="A22" s="171" t="n">
        <f aca="false">A21+1</f>
        <v>10</v>
      </c>
      <c r="B22" s="103" t="n">
        <v>6899.37</v>
      </c>
      <c r="C22" s="104" t="n">
        <v>281266</v>
      </c>
      <c r="D22" s="134" t="n">
        <f aca="false">C22-C21</f>
        <v>-73</v>
      </c>
      <c r="E22" s="104" t="n">
        <f aca="false">C22-152000</f>
        <v>129266</v>
      </c>
      <c r="F22" s="229" t="n">
        <f aca="false">D22/$D$2</f>
        <v>-36.8036299470633</v>
      </c>
      <c r="G22" s="132" t="n">
        <v>54</v>
      </c>
      <c r="H22" s="230" t="n">
        <v>0.34</v>
      </c>
      <c r="I22" s="132" t="n">
        <f aca="false">G22+H22</f>
        <v>54.34</v>
      </c>
      <c r="J22" s="133" t="n">
        <f aca="false">IF(L22&gt;0,L22,0)</f>
        <v>0</v>
      </c>
      <c r="K22" s="132" t="n">
        <f aca="false">I22+J22</f>
        <v>54.34</v>
      </c>
      <c r="L22" s="132" t="n">
        <f aca="false">F22-(I22-AK22)</f>
        <v>-3.84362994706328</v>
      </c>
      <c r="M22" s="231" t="n">
        <v>3.3</v>
      </c>
      <c r="N22" s="132" t="n">
        <v>0</v>
      </c>
      <c r="O22" s="132" t="n">
        <v>0</v>
      </c>
      <c r="P22" s="199" t="n">
        <v>0</v>
      </c>
      <c r="Q22" s="129" t="n">
        <f aca="false">1.53*1.02</f>
        <v>1.5606</v>
      </c>
      <c r="R22" s="129" t="n">
        <v>1.89</v>
      </c>
      <c r="S22" s="129" t="n">
        <v>0</v>
      </c>
      <c r="T22" s="92" t="n">
        <f aca="false">M22-(Q22+R22+S22)</f>
        <v>-0.1506</v>
      </c>
      <c r="U22" s="132" t="n">
        <v>48</v>
      </c>
      <c r="V22" s="132" t="n">
        <v>0</v>
      </c>
      <c r="W22" s="132" t="n">
        <f aca="false">M22-N22-O22-P22-Q22-R22-S22-T22+U22+V22</f>
        <v>48</v>
      </c>
      <c r="X22" s="132" t="n">
        <f aca="false">W22-AO22</f>
        <v>48</v>
      </c>
      <c r="Y22" s="134" t="n">
        <f aca="false">Y21+(X22*1.9835)</f>
        <v>3130.5088592</v>
      </c>
      <c r="Z22" s="134" t="n">
        <f aca="false">Z21+X22*(26300/37500)*1.9835</f>
        <v>2195.53021325227</v>
      </c>
      <c r="AA22" s="133"/>
      <c r="AB22" s="133"/>
      <c r="AC22" s="133"/>
      <c r="AD22" s="104"/>
      <c r="AE22" s="132" t="n">
        <v>0</v>
      </c>
      <c r="AF22" s="231"/>
      <c r="AG22" s="232"/>
      <c r="AH22" s="132" t="n">
        <v>36</v>
      </c>
      <c r="AI22" s="104" t="n">
        <f aca="false">AI21-AH22</f>
        <v>4639</v>
      </c>
      <c r="AJ22" s="104"/>
      <c r="AK22" s="131" t="n">
        <f aca="false">N22+O22+P22+Q22+R22+S22+T22+W22+AE22+AH22</f>
        <v>87.3</v>
      </c>
      <c r="AL22" s="132" t="n">
        <f aca="false">IF(L22&lt;0,L22*-1,0)</f>
        <v>3.84362994706328</v>
      </c>
      <c r="AM22" s="132" t="n">
        <f aca="false">AK22+AL22</f>
        <v>91.1436299470633</v>
      </c>
      <c r="AN22" s="203" t="n">
        <f aca="false">AN21+(W22*1.9835)</f>
        <v>3244.867155</v>
      </c>
      <c r="AO22" s="133" t="n">
        <v>0</v>
      </c>
      <c r="AP22" s="204"/>
      <c r="AV22" s="205" t="n">
        <v>0</v>
      </c>
      <c r="AW22" s="104" t="n">
        <v>45</v>
      </c>
      <c r="AX22" s="134" t="n">
        <v>11</v>
      </c>
      <c r="AY22" s="206"/>
      <c r="AZ22" s="233" t="n">
        <f aca="false">SUM(N22,P22:T22)</f>
        <v>3.3</v>
      </c>
    </row>
    <row r="23" customFormat="false" ht="12.95" hidden="false" customHeight="true" outlineLevel="0" collapsed="false">
      <c r="A23" s="171" t="n">
        <f aca="false">A22+1</f>
        <v>11</v>
      </c>
      <c r="B23" s="103" t="n">
        <v>6899.35</v>
      </c>
      <c r="C23" s="104" t="n">
        <v>281192</v>
      </c>
      <c r="D23" s="134" t="n">
        <f aca="false">C23-C22</f>
        <v>-74</v>
      </c>
      <c r="E23" s="104" t="n">
        <f aca="false">C23-152000</f>
        <v>129192</v>
      </c>
      <c r="F23" s="229" t="n">
        <f aca="false">D23/$D$2</f>
        <v>-37.3077892614066</v>
      </c>
      <c r="G23" s="132" t="n">
        <v>54</v>
      </c>
      <c r="H23" s="230" t="n">
        <v>0.34</v>
      </c>
      <c r="I23" s="132" t="n">
        <f aca="false">G23+H23</f>
        <v>54.34</v>
      </c>
      <c r="J23" s="133" t="n">
        <f aca="false">IF(L23&gt;0,L23,0)</f>
        <v>0</v>
      </c>
      <c r="K23" s="132" t="n">
        <f aca="false">I23+J23</f>
        <v>54.34</v>
      </c>
      <c r="L23" s="132" t="n">
        <f aca="false">F23-(I23-AK23)</f>
        <v>-4.34778926140661</v>
      </c>
      <c r="M23" s="231" t="n">
        <v>3.3</v>
      </c>
      <c r="N23" s="132" t="n">
        <v>0</v>
      </c>
      <c r="O23" s="132" t="n">
        <v>0</v>
      </c>
      <c r="P23" s="199" t="n">
        <v>0</v>
      </c>
      <c r="Q23" s="129" t="n">
        <f aca="false">1.53*1.02</f>
        <v>1.5606</v>
      </c>
      <c r="R23" s="129" t="n">
        <v>1.97</v>
      </c>
      <c r="S23" s="129" t="n">
        <v>0</v>
      </c>
      <c r="T23" s="92" t="n">
        <f aca="false">M23-(Q23+R23+S23)</f>
        <v>-0.2306</v>
      </c>
      <c r="U23" s="132" t="n">
        <v>48</v>
      </c>
      <c r="V23" s="132" t="n">
        <v>0</v>
      </c>
      <c r="W23" s="132" t="n">
        <f aca="false">M23-N23-O23-P23-Q23-R23-S23-T23+U23+V23</f>
        <v>48</v>
      </c>
      <c r="X23" s="132" t="n">
        <f aca="false">W23-AO23</f>
        <v>48</v>
      </c>
      <c r="Y23" s="134" t="n">
        <f aca="false">Y22+(X23*1.9835)</f>
        <v>3225.7168592</v>
      </c>
      <c r="Z23" s="134" t="n">
        <f aca="false">Z22+X23*(26300/37500)*1.9835</f>
        <v>2262.30275725227</v>
      </c>
      <c r="AA23" s="133"/>
      <c r="AB23" s="133"/>
      <c r="AC23" s="133"/>
      <c r="AD23" s="104"/>
      <c r="AE23" s="132" t="n">
        <v>0</v>
      </c>
      <c r="AF23" s="231"/>
      <c r="AG23" s="232"/>
      <c r="AH23" s="132" t="n">
        <v>36</v>
      </c>
      <c r="AI23" s="104" t="n">
        <f aca="false">AI22-AH23</f>
        <v>4603</v>
      </c>
      <c r="AJ23" s="104"/>
      <c r="AK23" s="131" t="n">
        <f aca="false">N23+O23+P23+Q23+R23+S23+T23+W23+AE23+AH23</f>
        <v>87.3</v>
      </c>
      <c r="AL23" s="132" t="n">
        <f aca="false">IF(L23&lt;0,L23*-1,0)</f>
        <v>4.34778926140661</v>
      </c>
      <c r="AM23" s="132" t="n">
        <f aca="false">AK23+AL23</f>
        <v>91.6477892614066</v>
      </c>
      <c r="AN23" s="203" t="n">
        <f aca="false">AN22+(W23*1.9835)</f>
        <v>3340.075155</v>
      </c>
      <c r="AO23" s="133" t="n">
        <v>0</v>
      </c>
      <c r="AP23" s="204"/>
      <c r="AV23" s="205" t="n">
        <v>0</v>
      </c>
      <c r="AW23" s="104" t="n">
        <v>45</v>
      </c>
      <c r="AX23" s="134" t="n">
        <v>18</v>
      </c>
      <c r="AY23" s="206"/>
      <c r="AZ23" s="233" t="n">
        <f aca="false">SUM(N23,P23:T23)</f>
        <v>3.3</v>
      </c>
    </row>
    <row r="24" customFormat="false" ht="12.95" hidden="false" customHeight="true" outlineLevel="0" collapsed="false">
      <c r="A24" s="171" t="n">
        <f aca="false">A23+1</f>
        <v>12</v>
      </c>
      <c r="B24" s="103" t="n">
        <v>6899.33</v>
      </c>
      <c r="C24" s="104" t="n">
        <v>281119</v>
      </c>
      <c r="D24" s="134" t="n">
        <f aca="false">C24-C23</f>
        <v>-73</v>
      </c>
      <c r="E24" s="104" t="n">
        <f aca="false">C24-152000</f>
        <v>129119</v>
      </c>
      <c r="F24" s="229" t="n">
        <f aca="false">D24/$D$2</f>
        <v>-36.8036299470633</v>
      </c>
      <c r="G24" s="132" t="n">
        <v>54</v>
      </c>
      <c r="H24" s="230" t="n">
        <v>0.32</v>
      </c>
      <c r="I24" s="132" t="n">
        <f aca="false">G24+H24</f>
        <v>54.32</v>
      </c>
      <c r="J24" s="133" t="n">
        <f aca="false">IF(L24&gt;0,L24,0)</f>
        <v>0</v>
      </c>
      <c r="K24" s="132" t="n">
        <f aca="false">I24+J24</f>
        <v>54.32</v>
      </c>
      <c r="L24" s="132" t="n">
        <f aca="false">F24-(I24-AK24)</f>
        <v>-4.02362994706328</v>
      </c>
      <c r="M24" s="231" t="n">
        <v>3.1</v>
      </c>
      <c r="N24" s="132" t="n">
        <v>0</v>
      </c>
      <c r="O24" s="132" t="n">
        <v>0</v>
      </c>
      <c r="P24" s="199" t="n">
        <v>0</v>
      </c>
      <c r="Q24" s="129" t="n">
        <f aca="false">1.53*1.02</f>
        <v>1.5606</v>
      </c>
      <c r="R24" s="129" t="n">
        <v>2.03</v>
      </c>
      <c r="S24" s="129" t="n">
        <v>0</v>
      </c>
      <c r="T24" s="92" t="n">
        <f aca="false">M24-(Q24+R24+S24)</f>
        <v>-0.4906</v>
      </c>
      <c r="U24" s="132" t="n">
        <v>48</v>
      </c>
      <c r="V24" s="132" t="n">
        <v>0</v>
      </c>
      <c r="W24" s="132" t="n">
        <f aca="false">M24-N24-O24-P24-Q24-R24-S24-T24+U24+V24</f>
        <v>48</v>
      </c>
      <c r="X24" s="132" t="n">
        <f aca="false">W24-AO24</f>
        <v>48</v>
      </c>
      <c r="Y24" s="134" t="n">
        <f aca="false">Y23+(X24*1.9835)</f>
        <v>3320.9248592</v>
      </c>
      <c r="Z24" s="134" t="n">
        <f aca="false">Z23+X24*(26300/37500)*1.9835</f>
        <v>2329.07530125227</v>
      </c>
      <c r="AA24" s="133"/>
      <c r="AB24" s="133"/>
      <c r="AC24" s="133"/>
      <c r="AD24" s="104"/>
      <c r="AE24" s="132" t="n">
        <v>0</v>
      </c>
      <c r="AF24" s="231"/>
      <c r="AG24" s="232"/>
      <c r="AH24" s="132" t="n">
        <v>36</v>
      </c>
      <c r="AI24" s="104" t="n">
        <f aca="false">AI23-AH24</f>
        <v>4567</v>
      </c>
      <c r="AJ24" s="104"/>
      <c r="AK24" s="131" t="n">
        <f aca="false">N24+O24+P24+Q24+R24+S24+T24+W24+AE24+AH24</f>
        <v>87.1</v>
      </c>
      <c r="AL24" s="132" t="n">
        <f aca="false">IF(L24&lt;0,L24*-1,0)</f>
        <v>4.02362994706328</v>
      </c>
      <c r="AM24" s="132" t="n">
        <f aca="false">AK24+AL24</f>
        <v>91.1236299470633</v>
      </c>
      <c r="AN24" s="203" t="n">
        <f aca="false">AN23+(W24*1.9835)</f>
        <v>3435.283155</v>
      </c>
      <c r="AO24" s="133" t="n">
        <v>0</v>
      </c>
      <c r="AP24" s="204"/>
      <c r="AV24" s="205" t="n">
        <v>0</v>
      </c>
      <c r="AW24" s="104" t="n">
        <v>44</v>
      </c>
      <c r="AX24" s="134" t="n">
        <v>21</v>
      </c>
      <c r="AY24" s="206"/>
      <c r="AZ24" s="233" t="n">
        <f aca="false">SUM(N24,P24:T24)</f>
        <v>3.1</v>
      </c>
    </row>
    <row r="25" customFormat="false" ht="12.95" hidden="false" customHeight="true" outlineLevel="0" collapsed="false">
      <c r="A25" s="171" t="n">
        <f aca="false">A24+1</f>
        <v>13</v>
      </c>
      <c r="B25" s="103" t="n">
        <v>6899.31</v>
      </c>
      <c r="C25" s="104" t="n">
        <v>281045</v>
      </c>
      <c r="D25" s="134" t="n">
        <f aca="false">C25-C24</f>
        <v>-74</v>
      </c>
      <c r="E25" s="104" t="n">
        <f aca="false">C25-152000</f>
        <v>129045</v>
      </c>
      <c r="F25" s="229" t="n">
        <f aca="false">D25/$D$2</f>
        <v>-37.3077892614066</v>
      </c>
      <c r="G25" s="132" t="n">
        <v>53</v>
      </c>
      <c r="H25" s="230" t="n">
        <v>0.47</v>
      </c>
      <c r="I25" s="132" t="n">
        <f aca="false">G25+H25</f>
        <v>53.47</v>
      </c>
      <c r="J25" s="133" t="n">
        <f aca="false">IF(L25&gt;0,L25,0)</f>
        <v>0</v>
      </c>
      <c r="K25" s="132" t="n">
        <f aca="false">I25+J25</f>
        <v>53.47</v>
      </c>
      <c r="L25" s="132" t="n">
        <f aca="false">F25-(I25-AK25)</f>
        <v>-3.67778926140661</v>
      </c>
      <c r="M25" s="231" t="n">
        <v>3.1</v>
      </c>
      <c r="N25" s="132" t="n">
        <v>0</v>
      </c>
      <c r="O25" s="132" t="n">
        <v>0</v>
      </c>
      <c r="P25" s="199" t="n">
        <v>0</v>
      </c>
      <c r="Q25" s="129" t="n">
        <f aca="false">1.53*1.02</f>
        <v>1.5606</v>
      </c>
      <c r="R25" s="129" t="n">
        <v>2.1</v>
      </c>
      <c r="S25" s="129" t="n">
        <v>0</v>
      </c>
      <c r="T25" s="92" t="n">
        <f aca="false">M25-(Q25+R25+S25)</f>
        <v>-0.5606</v>
      </c>
      <c r="U25" s="132" t="n">
        <v>48</v>
      </c>
      <c r="V25" s="132" t="n">
        <v>0</v>
      </c>
      <c r="W25" s="132" t="n">
        <f aca="false">M25-N25-O25-P25-Q25-R25-S25-T25+U25+V25</f>
        <v>48</v>
      </c>
      <c r="X25" s="132" t="n">
        <f aca="false">W25-AO25</f>
        <v>48</v>
      </c>
      <c r="Y25" s="134" t="n">
        <f aca="false">Y24+(X25*1.9835)</f>
        <v>3416.1328592</v>
      </c>
      <c r="Z25" s="134" t="n">
        <f aca="false">Z24+X25*(26300/37500)*1.9835</f>
        <v>2395.84784525227</v>
      </c>
      <c r="AA25" s="133"/>
      <c r="AB25" s="133"/>
      <c r="AC25" s="133"/>
      <c r="AD25" s="104"/>
      <c r="AE25" s="132" t="n">
        <v>0</v>
      </c>
      <c r="AF25" s="231"/>
      <c r="AG25" s="232"/>
      <c r="AH25" s="132" t="n">
        <v>36</v>
      </c>
      <c r="AI25" s="104" t="n">
        <f aca="false">AI24-AH25</f>
        <v>4531</v>
      </c>
      <c r="AJ25" s="104"/>
      <c r="AK25" s="131" t="n">
        <f aca="false">N25+O25+P25+Q25+R25+S25+T25+W25+AE25+AH25</f>
        <v>87.1</v>
      </c>
      <c r="AL25" s="132" t="n">
        <f aca="false">IF(L25&lt;0,L25*-1,0)</f>
        <v>3.67778926140661</v>
      </c>
      <c r="AM25" s="132" t="n">
        <f aca="false">AK25+AL25</f>
        <v>90.7777892614066</v>
      </c>
      <c r="AN25" s="203" t="n">
        <f aca="false">AN24+(W25*1.9835)</f>
        <v>3530.491155</v>
      </c>
      <c r="AO25" s="133" t="n">
        <v>0</v>
      </c>
      <c r="AP25" s="204"/>
      <c r="AV25" s="205" t="n">
        <v>0</v>
      </c>
      <c r="AW25" s="104" t="n">
        <v>43</v>
      </c>
      <c r="AX25" s="134" t="n">
        <v>29</v>
      </c>
      <c r="AY25" s="206"/>
      <c r="AZ25" s="233" t="n">
        <f aca="false">SUM(N25,P25:T25)</f>
        <v>3.1</v>
      </c>
    </row>
    <row r="26" customFormat="false" ht="12.95" hidden="false" customHeight="true" outlineLevel="0" collapsed="false">
      <c r="A26" s="171" t="n">
        <f aca="false">A25+1</f>
        <v>14</v>
      </c>
      <c r="B26" s="103" t="n">
        <v>6899.31</v>
      </c>
      <c r="C26" s="104" t="n">
        <v>281045</v>
      </c>
      <c r="D26" s="134" t="n">
        <f aca="false">C26-C25</f>
        <v>0</v>
      </c>
      <c r="E26" s="104" t="n">
        <f aca="false">C26-152000</f>
        <v>129045</v>
      </c>
      <c r="F26" s="229" t="n">
        <f aca="false">D26/$D$2</f>
        <v>0</v>
      </c>
      <c r="G26" s="132" t="n">
        <v>38</v>
      </c>
      <c r="H26" s="230" t="n">
        <v>0.39</v>
      </c>
      <c r="I26" s="132" t="n">
        <f aca="false">G26+H26</f>
        <v>38.39</v>
      </c>
      <c r="J26" s="133" t="n">
        <f aca="false">IF(L26&gt;0,L26,0)</f>
        <v>48.71</v>
      </c>
      <c r="K26" s="132" t="n">
        <f aca="false">I26+J26</f>
        <v>87.1</v>
      </c>
      <c r="L26" s="132" t="n">
        <f aca="false">F26-(I26-AK26)</f>
        <v>48.71</v>
      </c>
      <c r="M26" s="231" t="n">
        <v>3.1</v>
      </c>
      <c r="N26" s="132" t="n">
        <v>0</v>
      </c>
      <c r="O26" s="132" t="n">
        <v>0</v>
      </c>
      <c r="P26" s="199" t="n">
        <v>0</v>
      </c>
      <c r="Q26" s="129" t="n">
        <f aca="false">1.53*1.02</f>
        <v>1.5606</v>
      </c>
      <c r="R26" s="129" t="n">
        <v>1.88</v>
      </c>
      <c r="S26" s="129" t="n">
        <v>0</v>
      </c>
      <c r="T26" s="92" t="n">
        <f aca="false">M26-(Q26+R26+S26)</f>
        <v>-0.3406</v>
      </c>
      <c r="U26" s="132" t="n">
        <v>48</v>
      </c>
      <c r="V26" s="132" t="n">
        <v>0</v>
      </c>
      <c r="W26" s="132" t="n">
        <f aca="false">M26-N26-O26-P26-Q26-R26-S26-T26+U26+V26</f>
        <v>48</v>
      </c>
      <c r="X26" s="132" t="n">
        <f aca="false">W26-AO26</f>
        <v>48</v>
      </c>
      <c r="Y26" s="134" t="n">
        <f aca="false">Y25+(X26*1.9835)</f>
        <v>3511.3408592</v>
      </c>
      <c r="Z26" s="134" t="n">
        <f aca="false">Z25+X26*(26300/37500)*1.9835</f>
        <v>2462.62038925227</v>
      </c>
      <c r="AA26" s="133"/>
      <c r="AB26" s="133"/>
      <c r="AC26" s="133"/>
      <c r="AD26" s="104"/>
      <c r="AE26" s="132" t="n">
        <v>0</v>
      </c>
      <c r="AF26" s="231"/>
      <c r="AG26" s="232"/>
      <c r="AH26" s="132" t="n">
        <v>36</v>
      </c>
      <c r="AI26" s="104" t="n">
        <f aca="false">AI25-AH26</f>
        <v>4495</v>
      </c>
      <c r="AJ26" s="104"/>
      <c r="AK26" s="131" t="n">
        <f aca="false">N26+O26+P26+Q26+R26+S26+T26+W26+AE26+AH26</f>
        <v>87.1</v>
      </c>
      <c r="AL26" s="132" t="n">
        <f aca="false">IF(L26&lt;0,L26*-1,0)</f>
        <v>0</v>
      </c>
      <c r="AM26" s="132" t="n">
        <f aca="false">AK26+AL26</f>
        <v>87.1</v>
      </c>
      <c r="AN26" s="203" t="n">
        <f aca="false">AN25+(W26*1.9835)</f>
        <v>3625.699155</v>
      </c>
      <c r="AO26" s="133" t="n">
        <v>0</v>
      </c>
      <c r="AP26" s="204"/>
      <c r="AV26" s="205" t="n">
        <v>0.28</v>
      </c>
      <c r="AW26" s="104" t="n">
        <v>36</v>
      </c>
      <c r="AX26" s="134" t="n">
        <v>3</v>
      </c>
      <c r="AY26" s="206"/>
      <c r="AZ26" s="233" t="n">
        <f aca="false">SUM(N26,P26:T26)</f>
        <v>3.1</v>
      </c>
    </row>
    <row r="27" customFormat="false" ht="12.95" hidden="false" customHeight="true" outlineLevel="0" collapsed="false">
      <c r="A27" s="171" t="n">
        <f aca="false">A26+1</f>
        <v>15</v>
      </c>
      <c r="B27" s="103" t="n">
        <v>6899.31</v>
      </c>
      <c r="C27" s="104" t="n">
        <v>281045</v>
      </c>
      <c r="D27" s="134" t="n">
        <f aca="false">C27-C26</f>
        <v>0</v>
      </c>
      <c r="E27" s="104" t="n">
        <f aca="false">C27-152000</f>
        <v>129045</v>
      </c>
      <c r="F27" s="229" t="n">
        <f aca="false">D27/$D$2</f>
        <v>0</v>
      </c>
      <c r="G27" s="132" t="n">
        <v>27</v>
      </c>
      <c r="H27" s="230" t="n">
        <v>0.43</v>
      </c>
      <c r="I27" s="132" t="n">
        <f aca="false">G27+H27</f>
        <v>27.43</v>
      </c>
      <c r="J27" s="133" t="n">
        <f aca="false">IF(L27&gt;0,L27,0)</f>
        <v>59.57</v>
      </c>
      <c r="K27" s="132" t="n">
        <f aca="false">I27+J27</f>
        <v>87</v>
      </c>
      <c r="L27" s="132" t="n">
        <f aca="false">F27-(I27-AK27)</f>
        <v>59.57</v>
      </c>
      <c r="M27" s="231" t="n">
        <v>3</v>
      </c>
      <c r="N27" s="132" t="n">
        <v>0</v>
      </c>
      <c r="O27" s="132" t="n">
        <v>0</v>
      </c>
      <c r="P27" s="199" t="n">
        <v>0</v>
      </c>
      <c r="Q27" s="129" t="n">
        <f aca="false">1.53*1.02</f>
        <v>1.5606</v>
      </c>
      <c r="R27" s="129" t="n">
        <v>1.82</v>
      </c>
      <c r="S27" s="129" t="n">
        <v>0</v>
      </c>
      <c r="T27" s="92" t="n">
        <f aca="false">M27-(Q27+R27+S27)</f>
        <v>-0.3806</v>
      </c>
      <c r="U27" s="132" t="n">
        <v>48</v>
      </c>
      <c r="V27" s="132" t="n">
        <v>0</v>
      </c>
      <c r="W27" s="132" t="n">
        <f aca="false">M27-N27-O27-P27-Q27-R27-S27-T27+U27+V27</f>
        <v>48</v>
      </c>
      <c r="X27" s="132" t="n">
        <f aca="false">W27-AO27</f>
        <v>48</v>
      </c>
      <c r="Y27" s="134" t="n">
        <f aca="false">Y26+(X27*1.9835)</f>
        <v>3606.5488592</v>
      </c>
      <c r="Z27" s="134" t="n">
        <f aca="false">Z26+X27*(26300/37500)*1.9835</f>
        <v>2529.39293325227</v>
      </c>
      <c r="AA27" s="133"/>
      <c r="AB27" s="133"/>
      <c r="AC27" s="133"/>
      <c r="AD27" s="104"/>
      <c r="AE27" s="132" t="n">
        <v>0</v>
      </c>
      <c r="AF27" s="231"/>
      <c r="AG27" s="232"/>
      <c r="AH27" s="132" t="n">
        <v>36</v>
      </c>
      <c r="AI27" s="104" t="n">
        <f aca="false">AI26-AH27</f>
        <v>4459</v>
      </c>
      <c r="AJ27" s="104"/>
      <c r="AK27" s="131" t="n">
        <f aca="false">N27+O27+P27+Q27+R27+S27+T27+W27+AE27+AH27</f>
        <v>87</v>
      </c>
      <c r="AL27" s="132" t="n">
        <f aca="false">IF(L27&lt;0,L27*-1,0)</f>
        <v>0</v>
      </c>
      <c r="AM27" s="132" t="n">
        <f aca="false">AK27+AL27</f>
        <v>87</v>
      </c>
      <c r="AN27" s="203" t="n">
        <f aca="false">AN26+(W27*1.9835)</f>
        <v>3720.907155</v>
      </c>
      <c r="AO27" s="133" t="n">
        <v>0</v>
      </c>
      <c r="AP27" s="204"/>
      <c r="AV27" s="205" t="n">
        <v>0.05</v>
      </c>
      <c r="AW27" s="104" t="n">
        <v>26</v>
      </c>
      <c r="AX27" s="134" t="n">
        <v>6</v>
      </c>
      <c r="AY27" s="206"/>
      <c r="AZ27" s="233" t="n">
        <f aca="false">SUM(N27,P27:T27)</f>
        <v>3</v>
      </c>
    </row>
    <row r="28" customFormat="false" ht="12.95" hidden="false" customHeight="true" outlineLevel="0" collapsed="false">
      <c r="A28" s="171" t="n">
        <f aca="false">A27+1</f>
        <v>16</v>
      </c>
      <c r="B28" s="103" t="n">
        <v>6899.3</v>
      </c>
      <c r="C28" s="104" t="n">
        <v>281008</v>
      </c>
      <c r="D28" s="134" t="n">
        <f aca="false">C28-C27</f>
        <v>-37</v>
      </c>
      <c r="E28" s="104" t="n">
        <f aca="false">C28-152000</f>
        <v>129008</v>
      </c>
      <c r="F28" s="229" t="n">
        <f aca="false">D28/$D$2</f>
        <v>-18.6538946307033</v>
      </c>
      <c r="G28" s="132" t="n">
        <v>47</v>
      </c>
      <c r="H28" s="230" t="n">
        <v>0.69</v>
      </c>
      <c r="I28" s="132" t="n">
        <f aca="false">G28+H28</f>
        <v>47.69</v>
      </c>
      <c r="J28" s="133" t="n">
        <f aca="false">IF(L28&gt;0,L28,0)</f>
        <v>20.4561053692967</v>
      </c>
      <c r="K28" s="132" t="n">
        <f aca="false">I28+J28</f>
        <v>68.1461053692967</v>
      </c>
      <c r="L28" s="132" t="n">
        <f aca="false">F28-(I28-AK28)</f>
        <v>20.4561053692967</v>
      </c>
      <c r="M28" s="231" t="n">
        <v>2.8</v>
      </c>
      <c r="N28" s="132" t="n">
        <v>0</v>
      </c>
      <c r="O28" s="132" t="n">
        <v>0</v>
      </c>
      <c r="P28" s="199" t="n">
        <v>0</v>
      </c>
      <c r="Q28" s="129" t="n">
        <f aca="false">1.53*1.02</f>
        <v>1.5606</v>
      </c>
      <c r="R28" s="129" t="n">
        <v>2.09</v>
      </c>
      <c r="S28" s="129" t="n">
        <v>0</v>
      </c>
      <c r="T28" s="92" t="n">
        <f aca="false">M28-(Q28+R28+S28)</f>
        <v>-0.8506</v>
      </c>
      <c r="U28" s="132" t="n">
        <v>48</v>
      </c>
      <c r="V28" s="132" t="n">
        <v>0</v>
      </c>
      <c r="W28" s="132" t="n">
        <f aca="false">M28-N28-O28-P28-Q28-R28-S28-T28+U28+V28</f>
        <v>48</v>
      </c>
      <c r="X28" s="132" t="n">
        <f aca="false">W28-AO28</f>
        <v>48</v>
      </c>
      <c r="Y28" s="134" t="n">
        <f aca="false">Y27+(X28*1.9835)</f>
        <v>3701.7568592</v>
      </c>
      <c r="Z28" s="134" t="n">
        <f aca="false">Z27+X28*(26300/37500)*1.9835</f>
        <v>2596.16547725227</v>
      </c>
      <c r="AA28" s="133"/>
      <c r="AB28" s="133"/>
      <c r="AC28" s="133"/>
      <c r="AD28" s="104"/>
      <c r="AE28" s="132" t="n">
        <v>0</v>
      </c>
      <c r="AF28" s="231"/>
      <c r="AG28" s="232"/>
      <c r="AH28" s="132" t="n">
        <v>36</v>
      </c>
      <c r="AI28" s="104" t="n">
        <f aca="false">AI27-AH28</f>
        <v>4423</v>
      </c>
      <c r="AJ28" s="104"/>
      <c r="AK28" s="131" t="n">
        <f aca="false">N28+O28+P28+Q28+R28+S28+T28+W28+AE28+AH28</f>
        <v>86.8</v>
      </c>
      <c r="AL28" s="132" t="n">
        <f aca="false">IF(L28&lt;0,L28*-1,0)</f>
        <v>0</v>
      </c>
      <c r="AM28" s="132" t="n">
        <f aca="false">AK28+AL28</f>
        <v>86.8</v>
      </c>
      <c r="AN28" s="203" t="n">
        <f aca="false">AN27+(W28*1.9835)</f>
        <v>3816.115155</v>
      </c>
      <c r="AO28" s="133" t="n">
        <v>0</v>
      </c>
      <c r="AP28" s="204"/>
      <c r="AV28" s="205" t="n">
        <v>0.1</v>
      </c>
      <c r="AW28" s="104" t="n">
        <v>31</v>
      </c>
      <c r="AX28" s="134" t="n">
        <v>23</v>
      </c>
      <c r="AY28" s="206"/>
      <c r="AZ28" s="233" t="n">
        <f aca="false">SUM(N28,P28:T28)</f>
        <v>2.8</v>
      </c>
    </row>
    <row r="29" customFormat="false" ht="12.95" hidden="false" customHeight="true" outlineLevel="0" collapsed="false">
      <c r="A29" s="171" t="n">
        <f aca="false">A28+1</f>
        <v>17</v>
      </c>
      <c r="B29" s="103" t="n">
        <v>6899.28</v>
      </c>
      <c r="C29" s="104" t="n">
        <v>280935</v>
      </c>
      <c r="D29" s="134" t="n">
        <f aca="false">C29-C28</f>
        <v>-73</v>
      </c>
      <c r="E29" s="104" t="n">
        <f aca="false">C29-152000</f>
        <v>128935</v>
      </c>
      <c r="F29" s="229" t="n">
        <f aca="false">D29/$D$2</f>
        <v>-36.8036299470633</v>
      </c>
      <c r="G29" s="132" t="n">
        <v>53</v>
      </c>
      <c r="H29" s="230" t="n">
        <v>0.75</v>
      </c>
      <c r="I29" s="132" t="n">
        <f aca="false">G29+H29</f>
        <v>53.75</v>
      </c>
      <c r="J29" s="133" t="n">
        <f aca="false">IF(L29&gt;0,L29,0)</f>
        <v>0</v>
      </c>
      <c r="K29" s="132" t="n">
        <f aca="false">I29+J29</f>
        <v>53.75</v>
      </c>
      <c r="L29" s="132" t="n">
        <f aca="false">F29-(I29-AK29)</f>
        <v>-3.75362994706327</v>
      </c>
      <c r="M29" s="231" t="n">
        <v>2.8</v>
      </c>
      <c r="N29" s="132" t="n">
        <v>0</v>
      </c>
      <c r="O29" s="132" t="n">
        <v>0</v>
      </c>
      <c r="P29" s="199" t="n">
        <v>0</v>
      </c>
      <c r="Q29" s="129" t="n">
        <f aca="false">1.53*1.02</f>
        <v>1.5606</v>
      </c>
      <c r="R29" s="129" t="n">
        <v>2.58</v>
      </c>
      <c r="S29" s="129" t="n">
        <v>0</v>
      </c>
      <c r="T29" s="92" t="n">
        <f aca="false">M29-(Q29+R29+S29)</f>
        <v>-1.3406</v>
      </c>
      <c r="U29" s="132" t="n">
        <v>48</v>
      </c>
      <c r="V29" s="132" t="n">
        <v>0</v>
      </c>
      <c r="W29" s="132" t="n">
        <f aca="false">M29-N29-O29-P29-Q29-R29-S29-T29+U29+V29</f>
        <v>48</v>
      </c>
      <c r="X29" s="132" t="n">
        <f aca="false">W29-AO29</f>
        <v>48</v>
      </c>
      <c r="Y29" s="134" t="n">
        <f aca="false">Y28+(X29*1.9835)</f>
        <v>3796.9648592</v>
      </c>
      <c r="Z29" s="134" t="n">
        <f aca="false">Z28+X29*(26300/37500)*1.9835</f>
        <v>2662.93802125227</v>
      </c>
      <c r="AA29" s="133"/>
      <c r="AB29" s="133"/>
      <c r="AC29" s="133"/>
      <c r="AD29" s="104"/>
      <c r="AE29" s="132" t="n">
        <v>0</v>
      </c>
      <c r="AF29" s="231"/>
      <c r="AG29" s="232"/>
      <c r="AH29" s="132" t="n">
        <v>36</v>
      </c>
      <c r="AI29" s="104" t="n">
        <f aca="false">AI28-AH29</f>
        <v>4387</v>
      </c>
      <c r="AJ29" s="104"/>
      <c r="AK29" s="131" t="n">
        <f aca="false">N29+O29+P29+Q29+R29+S29+T29+W29+AE29+AH29</f>
        <v>86.8</v>
      </c>
      <c r="AL29" s="132" t="n">
        <f aca="false">IF(L29&lt;0,L29*-1,0)</f>
        <v>3.75362994706327</v>
      </c>
      <c r="AM29" s="132" t="n">
        <f aca="false">AK29+AL29</f>
        <v>90.5536299470633</v>
      </c>
      <c r="AN29" s="203" t="n">
        <f aca="false">AN28+(W29*1.9835)</f>
        <v>3911.323155</v>
      </c>
      <c r="AO29" s="133" t="n">
        <v>0</v>
      </c>
      <c r="AP29" s="204"/>
      <c r="AV29" s="205" t="n">
        <v>0</v>
      </c>
      <c r="AW29" s="104" t="n">
        <v>36</v>
      </c>
      <c r="AX29" s="134" t="n">
        <v>23</v>
      </c>
      <c r="AY29" s="206"/>
      <c r="AZ29" s="233" t="n">
        <f aca="false">SUM(N29,P29:T29)</f>
        <v>2.8</v>
      </c>
    </row>
    <row r="30" customFormat="false" ht="12.95" hidden="false" customHeight="true" outlineLevel="0" collapsed="false">
      <c r="A30" s="171" t="n">
        <f aca="false">A29+1</f>
        <v>18</v>
      </c>
      <c r="B30" s="103" t="n">
        <v>6899.26</v>
      </c>
      <c r="C30" s="104" t="n">
        <v>280861</v>
      </c>
      <c r="D30" s="134" t="n">
        <f aca="false">C30-C29</f>
        <v>-74</v>
      </c>
      <c r="E30" s="104" t="n">
        <f aca="false">C30-152000</f>
        <v>128861</v>
      </c>
      <c r="F30" s="229" t="n">
        <f aca="false">D30/$D$2</f>
        <v>-37.3077892614066</v>
      </c>
      <c r="G30" s="132" t="n">
        <v>49</v>
      </c>
      <c r="H30" s="230" t="n">
        <v>0.64</v>
      </c>
      <c r="I30" s="132" t="n">
        <f aca="false">G30+H30</f>
        <v>49.64</v>
      </c>
      <c r="J30" s="133" t="n">
        <f aca="false">IF(L30&gt;0,L30,0)</f>
        <v>0</v>
      </c>
      <c r="K30" s="132" t="n">
        <f aca="false">I30+J30</f>
        <v>49.64</v>
      </c>
      <c r="L30" s="132" t="n">
        <f aca="false">F30-(I30-AK30)</f>
        <v>-0.0477892614065993</v>
      </c>
      <c r="M30" s="231" t="n">
        <v>2.9</v>
      </c>
      <c r="N30" s="132" t="n">
        <v>0</v>
      </c>
      <c r="O30" s="132" t="n">
        <v>0</v>
      </c>
      <c r="P30" s="199" t="n">
        <v>0</v>
      </c>
      <c r="Q30" s="129" t="n">
        <f aca="false">1.53*1.02</f>
        <v>1.5606</v>
      </c>
      <c r="R30" s="129" t="n">
        <v>2.2</v>
      </c>
      <c r="S30" s="129" t="n">
        <v>0</v>
      </c>
      <c r="T30" s="92" t="n">
        <f aca="false">M30-(Q30+R30+S30)</f>
        <v>-0.8606</v>
      </c>
      <c r="U30" s="132" t="n">
        <v>48</v>
      </c>
      <c r="V30" s="132" t="n">
        <v>0</v>
      </c>
      <c r="W30" s="132" t="n">
        <f aca="false">M30-N30-O30-P30-Q30-R30-S30-T30+U30+V30</f>
        <v>48</v>
      </c>
      <c r="X30" s="132" t="n">
        <f aca="false">W30-AO30</f>
        <v>48</v>
      </c>
      <c r="Y30" s="134" t="n">
        <f aca="false">Y29+(X30*1.9835)</f>
        <v>3892.1728592</v>
      </c>
      <c r="Z30" s="134" t="n">
        <f aca="false">Z29+X30*(26300/37500)*1.9835</f>
        <v>2729.71056525227</v>
      </c>
      <c r="AA30" s="133"/>
      <c r="AB30" s="133"/>
      <c r="AC30" s="133"/>
      <c r="AD30" s="104"/>
      <c r="AE30" s="132" t="n">
        <v>0</v>
      </c>
      <c r="AF30" s="231"/>
      <c r="AG30" s="232"/>
      <c r="AH30" s="132" t="n">
        <v>36</v>
      </c>
      <c r="AI30" s="104" t="n">
        <f aca="false">AI29-AH30</f>
        <v>4351</v>
      </c>
      <c r="AJ30" s="104"/>
      <c r="AK30" s="131" t="n">
        <f aca="false">N30+O30+P30+Q30+R30+S30+T30+W30+AE30+AH30</f>
        <v>86.9</v>
      </c>
      <c r="AL30" s="132" t="n">
        <f aca="false">IF(L30&lt;0,L30*-1,0)</f>
        <v>0.0477892614065993</v>
      </c>
      <c r="AM30" s="132" t="n">
        <f aca="false">AK30+AL30</f>
        <v>86.9477892614066</v>
      </c>
      <c r="AN30" s="203" t="n">
        <f aca="false">AN29+(W30*1.9835)</f>
        <v>4006.531155</v>
      </c>
      <c r="AO30" s="133" t="n">
        <v>0</v>
      </c>
      <c r="AP30" s="204"/>
      <c r="AV30" s="205" t="n">
        <v>0.15</v>
      </c>
      <c r="AW30" s="104" t="n">
        <v>38</v>
      </c>
      <c r="AX30" s="134" t="n">
        <v>20</v>
      </c>
      <c r="AY30" s="206"/>
      <c r="AZ30" s="233" t="n">
        <f aca="false">SUM(N30,P30:T30)</f>
        <v>2.9</v>
      </c>
    </row>
    <row r="31" customFormat="false" ht="12.95" hidden="false" customHeight="true" outlineLevel="0" collapsed="false">
      <c r="A31" s="171" t="n">
        <f aca="false">A30+1</f>
        <v>19</v>
      </c>
      <c r="B31" s="103" t="n">
        <v>6899.25</v>
      </c>
      <c r="C31" s="104" t="n">
        <v>280825</v>
      </c>
      <c r="D31" s="134" t="n">
        <f aca="false">C31-C30</f>
        <v>-36</v>
      </c>
      <c r="E31" s="104" t="n">
        <f aca="false">C31-152000</f>
        <v>128825</v>
      </c>
      <c r="F31" s="229" t="n">
        <f aca="false">D31/$D$2</f>
        <v>-18.14973531636</v>
      </c>
      <c r="G31" s="132" t="n">
        <v>42</v>
      </c>
      <c r="H31" s="230" t="n">
        <v>0.65</v>
      </c>
      <c r="I31" s="132" t="n">
        <f aca="false">G31+H31</f>
        <v>42.65</v>
      </c>
      <c r="J31" s="133" t="n">
        <f aca="false">IF(L31&gt;0,L31,0)</f>
        <v>26.30026468364</v>
      </c>
      <c r="K31" s="132" t="n">
        <f aca="false">I31+J31</f>
        <v>68.95026468364</v>
      </c>
      <c r="L31" s="132" t="n">
        <f aca="false">F31-(I31-AK31)</f>
        <v>26.30026468364</v>
      </c>
      <c r="M31" s="231" t="n">
        <v>3.1</v>
      </c>
      <c r="N31" s="132" t="n">
        <v>0</v>
      </c>
      <c r="O31" s="132" t="n">
        <v>0</v>
      </c>
      <c r="P31" s="199" t="n">
        <v>0</v>
      </c>
      <c r="Q31" s="129" t="n">
        <f aca="false">1.53*1.02</f>
        <v>1.5606</v>
      </c>
      <c r="R31" s="129" t="n">
        <v>2.41</v>
      </c>
      <c r="S31" s="129" t="n">
        <v>0</v>
      </c>
      <c r="T31" s="92" t="n">
        <f aca="false">M31-(Q31+R31+S31)</f>
        <v>-0.8706</v>
      </c>
      <c r="U31" s="132" t="n">
        <v>48</v>
      </c>
      <c r="V31" s="132" t="n">
        <v>0</v>
      </c>
      <c r="W31" s="132" t="n">
        <f aca="false">M31-N31-O31-P31-Q31-R31-S31-T31+U31+V31</f>
        <v>48</v>
      </c>
      <c r="X31" s="132" t="n">
        <f aca="false">W31-AO31</f>
        <v>48</v>
      </c>
      <c r="Y31" s="134" t="n">
        <f aca="false">Y30+(X31*1.9835)</f>
        <v>3987.3808592</v>
      </c>
      <c r="Z31" s="134" t="n">
        <f aca="false">Z30+X31*(26300/37500)*1.9835</f>
        <v>2796.48310925227</v>
      </c>
      <c r="AA31" s="133"/>
      <c r="AB31" s="133"/>
      <c r="AC31" s="133"/>
      <c r="AD31" s="104"/>
      <c r="AE31" s="132" t="n">
        <v>0</v>
      </c>
      <c r="AF31" s="231"/>
      <c r="AG31" s="232"/>
      <c r="AH31" s="132" t="n">
        <v>36</v>
      </c>
      <c r="AI31" s="104" t="n">
        <f aca="false">AI30-AH31</f>
        <v>4315</v>
      </c>
      <c r="AJ31" s="104"/>
      <c r="AK31" s="131" t="n">
        <f aca="false">N31+O31+P31+Q31+R31+S31+T31+W31+AE31+AH31</f>
        <v>87.1</v>
      </c>
      <c r="AL31" s="132" t="n">
        <f aca="false">IF(L31&lt;0,L31*-1,0)</f>
        <v>0</v>
      </c>
      <c r="AM31" s="132" t="n">
        <f aca="false">AK31+AL31</f>
        <v>87.1</v>
      </c>
      <c r="AN31" s="203" t="n">
        <f aca="false">AN30+(W31*1.9835)</f>
        <v>4101.739155</v>
      </c>
      <c r="AO31" s="133" t="n">
        <v>0</v>
      </c>
      <c r="AP31" s="204"/>
      <c r="AV31" s="205" t="n">
        <v>0</v>
      </c>
      <c r="AW31" s="104" t="n">
        <v>33</v>
      </c>
      <c r="AX31" s="134" t="n">
        <v>6</v>
      </c>
      <c r="AY31" s="206"/>
      <c r="AZ31" s="233" t="n">
        <f aca="false">SUM(N31,P31:T31)</f>
        <v>3.1</v>
      </c>
    </row>
    <row r="32" customFormat="false" ht="12.95" hidden="false" customHeight="true" outlineLevel="0" collapsed="false">
      <c r="A32" s="171" t="n">
        <f aca="false">A31+1</f>
        <v>20</v>
      </c>
      <c r="B32" s="103" t="n">
        <v>6899.23</v>
      </c>
      <c r="C32" s="104" t="n">
        <v>280751</v>
      </c>
      <c r="D32" s="134" t="n">
        <f aca="false">C32-C31</f>
        <v>-74</v>
      </c>
      <c r="E32" s="104" t="n">
        <f aca="false">C32-152000</f>
        <v>128751</v>
      </c>
      <c r="F32" s="229" t="n">
        <f aca="false">D32/$D$2</f>
        <v>-37.3077892614066</v>
      </c>
      <c r="G32" s="132" t="n">
        <v>28</v>
      </c>
      <c r="H32" s="230" t="n">
        <v>0.86</v>
      </c>
      <c r="I32" s="132" t="n">
        <f aca="false">G32+H32</f>
        <v>28.86</v>
      </c>
      <c r="J32" s="133" t="n">
        <f aca="false">IF(L32&gt;0,L32,0)</f>
        <v>20.9322107385934</v>
      </c>
      <c r="K32" s="132" t="n">
        <f aca="false">I32+J32</f>
        <v>49.7922107385934</v>
      </c>
      <c r="L32" s="132" t="n">
        <f aca="false">F32-(I32-AK32)</f>
        <v>20.9322107385934</v>
      </c>
      <c r="M32" s="231" t="n">
        <v>3.1</v>
      </c>
      <c r="N32" s="132" t="n">
        <v>0</v>
      </c>
      <c r="O32" s="132" t="n">
        <v>0</v>
      </c>
      <c r="P32" s="199" t="n">
        <v>0</v>
      </c>
      <c r="Q32" s="129" t="n">
        <f aca="false">1.53*1.02</f>
        <v>1.5606</v>
      </c>
      <c r="R32" s="129" t="n">
        <v>2.38</v>
      </c>
      <c r="S32" s="129" t="n">
        <v>0</v>
      </c>
      <c r="T32" s="92" t="n">
        <f aca="false">M32-(Q32+R32+S32)</f>
        <v>-0.8406</v>
      </c>
      <c r="U32" s="132" t="n">
        <v>48</v>
      </c>
      <c r="V32" s="132" t="n">
        <v>0</v>
      </c>
      <c r="W32" s="132" t="n">
        <f aca="false">M32-N32-O32-P32-Q32-R32-S32-T32+U32+V32</f>
        <v>48</v>
      </c>
      <c r="X32" s="132" t="n">
        <f aca="false">W32-AO32</f>
        <v>48</v>
      </c>
      <c r="Y32" s="134" t="n">
        <f aca="false">Y31+(X32*1.9835)</f>
        <v>4082.5888592</v>
      </c>
      <c r="Z32" s="134" t="n">
        <f aca="false">Z31+X32*(26300/37500)*1.9835</f>
        <v>2863.25565325227</v>
      </c>
      <c r="AA32" s="133"/>
      <c r="AB32" s="133"/>
      <c r="AC32" s="133"/>
      <c r="AD32" s="104"/>
      <c r="AE32" s="132" t="n">
        <v>0</v>
      </c>
      <c r="AF32" s="231"/>
      <c r="AG32" s="232"/>
      <c r="AH32" s="132" t="n">
        <v>36</v>
      </c>
      <c r="AI32" s="104" t="n">
        <f aca="false">AI31-AH32</f>
        <v>4279</v>
      </c>
      <c r="AJ32" s="104"/>
      <c r="AK32" s="131" t="n">
        <f aca="false">N32+O32+P32+Q32+R32+S32+T32+W32+AE32+AH32</f>
        <v>87.1</v>
      </c>
      <c r="AL32" s="132" t="n">
        <f aca="false">IF(L32&lt;0,L32*-1,0)</f>
        <v>0</v>
      </c>
      <c r="AM32" s="132" t="n">
        <f aca="false">AK32+AL32</f>
        <v>87.1</v>
      </c>
      <c r="AN32" s="203" t="n">
        <f aca="false">AN31+(W32*1.9835)</f>
        <v>4196.947155</v>
      </c>
      <c r="AO32" s="133" t="n">
        <v>0</v>
      </c>
      <c r="AP32" s="204"/>
      <c r="AV32" s="205" t="n">
        <v>0</v>
      </c>
      <c r="AW32" s="104" t="n">
        <v>33</v>
      </c>
      <c r="AX32" s="134" t="n">
        <v>0</v>
      </c>
      <c r="AY32" s="206"/>
      <c r="AZ32" s="233" t="n">
        <f aca="false">SUM(N32,P32:T32)</f>
        <v>3.1</v>
      </c>
    </row>
    <row r="33" customFormat="false" ht="12.95" hidden="false" customHeight="true" outlineLevel="0" collapsed="false">
      <c r="A33" s="171" t="n">
        <f aca="false">A32+1</f>
        <v>21</v>
      </c>
      <c r="B33" s="103" t="n">
        <v>6899.21</v>
      </c>
      <c r="C33" s="104" t="n">
        <v>280678</v>
      </c>
      <c r="D33" s="134" t="n">
        <f aca="false">C33-C32</f>
        <v>-73</v>
      </c>
      <c r="E33" s="104" t="n">
        <f aca="false">C33-152000</f>
        <v>128678</v>
      </c>
      <c r="F33" s="229" t="n">
        <f aca="false">D33/$D$2</f>
        <v>-36.8036299470633</v>
      </c>
      <c r="G33" s="132" t="n">
        <v>11</v>
      </c>
      <c r="H33" s="230" t="n">
        <v>0.79</v>
      </c>
      <c r="I33" s="132" t="n">
        <f aca="false">G33+H33</f>
        <v>11.79</v>
      </c>
      <c r="J33" s="133" t="n">
        <f aca="false">IF(L33&gt;0,L33,0)</f>
        <v>38.5063700529367</v>
      </c>
      <c r="K33" s="132" t="n">
        <f aca="false">I33+J33</f>
        <v>50.2963700529367</v>
      </c>
      <c r="L33" s="132" t="n">
        <f aca="false">F33-(I33-AK33)</f>
        <v>38.5063700529367</v>
      </c>
      <c r="M33" s="231" t="n">
        <v>3.1</v>
      </c>
      <c r="N33" s="132" t="n">
        <v>0</v>
      </c>
      <c r="O33" s="132" t="n">
        <v>0</v>
      </c>
      <c r="P33" s="199" t="n">
        <v>0</v>
      </c>
      <c r="Q33" s="129" t="n">
        <f aca="false">1.53*1.02</f>
        <v>1.5606</v>
      </c>
      <c r="R33" s="129" t="n">
        <v>2.34</v>
      </c>
      <c r="S33" s="129" t="n">
        <v>0</v>
      </c>
      <c r="T33" s="92" t="n">
        <f aca="false">M33-(Q33+R33+S33)</f>
        <v>-0.8006</v>
      </c>
      <c r="U33" s="132" t="n">
        <v>48</v>
      </c>
      <c r="V33" s="132" t="n">
        <v>0</v>
      </c>
      <c r="W33" s="132" t="n">
        <f aca="false">M33-N33-O33-P33-Q33-R33-S33-T33+U33+V33</f>
        <v>48</v>
      </c>
      <c r="X33" s="132" t="n">
        <f aca="false">W33-AO33</f>
        <v>48</v>
      </c>
      <c r="Y33" s="134" t="n">
        <f aca="false">Y32+(X33*1.9835)</f>
        <v>4177.7968592</v>
      </c>
      <c r="Z33" s="134" t="n">
        <f aca="false">Z32+X33*(26300/37500)*1.9835</f>
        <v>2930.02819725227</v>
      </c>
      <c r="AA33" s="133"/>
      <c r="AB33" s="133"/>
      <c r="AC33" s="133"/>
      <c r="AD33" s="104"/>
      <c r="AE33" s="132" t="n">
        <v>0</v>
      </c>
      <c r="AF33" s="231"/>
      <c r="AG33" s="232"/>
      <c r="AH33" s="132" t="n">
        <v>36</v>
      </c>
      <c r="AI33" s="104" t="n">
        <f aca="false">AI32-AH33</f>
        <v>4243</v>
      </c>
      <c r="AJ33" s="104"/>
      <c r="AK33" s="131" t="n">
        <f aca="false">N33+O33+P33+Q33+R33+S33+T33+W33+AE33+AH33</f>
        <v>87.1</v>
      </c>
      <c r="AL33" s="132" t="n">
        <f aca="false">IF(L33&lt;0,L33*-1,0)</f>
        <v>0</v>
      </c>
      <c r="AM33" s="132" t="n">
        <f aca="false">AK33+AL33</f>
        <v>87.1</v>
      </c>
      <c r="AN33" s="203" t="n">
        <f aca="false">AN32+(W33*1.9835)</f>
        <v>4292.155155</v>
      </c>
      <c r="AO33" s="133" t="n">
        <v>0</v>
      </c>
      <c r="AP33" s="204"/>
      <c r="AV33" s="205" t="n">
        <v>0</v>
      </c>
      <c r="AW33" s="104" t="n">
        <v>35</v>
      </c>
      <c r="AX33" s="134" t="n">
        <v>8</v>
      </c>
      <c r="AY33" s="206"/>
      <c r="AZ33" s="233" t="n">
        <f aca="false">SUM(N33,P33:T33)</f>
        <v>3.1</v>
      </c>
    </row>
    <row r="34" customFormat="false" ht="12.95" hidden="false" customHeight="true" outlineLevel="0" collapsed="false">
      <c r="A34" s="171" t="n">
        <f aca="false">A33+1</f>
        <v>22</v>
      </c>
      <c r="B34" s="103" t="n">
        <v>6899.17</v>
      </c>
      <c r="C34" s="104" t="n">
        <v>280531</v>
      </c>
      <c r="D34" s="134" t="n">
        <f aca="false">C34-C33</f>
        <v>-147</v>
      </c>
      <c r="E34" s="104" t="n">
        <f aca="false">C34-152000</f>
        <v>128531</v>
      </c>
      <c r="F34" s="229" t="n">
        <f aca="false">D34/$D$2</f>
        <v>-74.1114192084699</v>
      </c>
      <c r="G34" s="132" t="n">
        <v>27</v>
      </c>
      <c r="H34" s="230" t="n">
        <v>0.72</v>
      </c>
      <c r="I34" s="132" t="n">
        <f aca="false">G34+H34</f>
        <v>27.72</v>
      </c>
      <c r="J34" s="133" t="n">
        <f aca="false">IF(L34&gt;0,L34,0)</f>
        <v>19.2685807915301</v>
      </c>
      <c r="K34" s="132" t="n">
        <f aca="false">I34+J34</f>
        <v>46.9885807915301</v>
      </c>
      <c r="L34" s="132" t="n">
        <f aca="false">F34-(I34-AK34)</f>
        <v>19.2685807915301</v>
      </c>
      <c r="M34" s="231" t="n">
        <v>3.1</v>
      </c>
      <c r="N34" s="132" t="n">
        <v>0</v>
      </c>
      <c r="O34" s="132" t="n">
        <v>0</v>
      </c>
      <c r="P34" s="199" t="n">
        <v>0</v>
      </c>
      <c r="Q34" s="129" t="n">
        <f aca="false">1.53*1.02</f>
        <v>1.5606</v>
      </c>
      <c r="R34" s="129" t="n">
        <v>2.13</v>
      </c>
      <c r="S34" s="129" t="n">
        <v>0</v>
      </c>
      <c r="T34" s="92" t="n">
        <f aca="false">M34-(Q34+R34+S34)</f>
        <v>-0.5906</v>
      </c>
      <c r="U34" s="132" t="n">
        <v>82</v>
      </c>
      <c r="V34" s="132" t="n">
        <v>0</v>
      </c>
      <c r="W34" s="132" t="n">
        <f aca="false">M34-N34-O34-P34-Q34-R34-S34-T34+U34+V34</f>
        <v>82</v>
      </c>
      <c r="X34" s="132" t="n">
        <f aca="false">W34-AO34</f>
        <v>82</v>
      </c>
      <c r="Y34" s="134" t="n">
        <f aca="false">Y33+(X34*1.9835)</f>
        <v>4340.4438592</v>
      </c>
      <c r="Z34" s="134" t="n">
        <f aca="false">Z33+X34*(26300/37500)*1.9835</f>
        <v>3044.09795991893</v>
      </c>
      <c r="AA34" s="133"/>
      <c r="AB34" s="133"/>
      <c r="AC34" s="133"/>
      <c r="AD34" s="104"/>
      <c r="AE34" s="132" t="n">
        <v>0</v>
      </c>
      <c r="AF34" s="231"/>
      <c r="AG34" s="232"/>
      <c r="AH34" s="132" t="n">
        <v>36</v>
      </c>
      <c r="AI34" s="104" t="n">
        <f aca="false">AI33-AH34</f>
        <v>4207</v>
      </c>
      <c r="AJ34" s="104"/>
      <c r="AK34" s="131" t="n">
        <f aca="false">N34+O34+P34+Q34+R34+S34+T34+W34+AE34+AH34</f>
        <v>121.1</v>
      </c>
      <c r="AL34" s="132" t="n">
        <f aca="false">IF(L34&lt;0,L34*-1,0)</f>
        <v>0</v>
      </c>
      <c r="AM34" s="132" t="n">
        <f aca="false">AK34+AL34</f>
        <v>121.1</v>
      </c>
      <c r="AN34" s="203" t="n">
        <f aca="false">AN33+(W34*1.9835)</f>
        <v>4454.802155</v>
      </c>
      <c r="AO34" s="133" t="n">
        <v>0</v>
      </c>
      <c r="AP34" s="204"/>
      <c r="AV34" s="205" t="n">
        <v>0.09</v>
      </c>
      <c r="AW34" s="104" t="n">
        <v>34</v>
      </c>
      <c r="AX34" s="134" t="n">
        <v>23</v>
      </c>
      <c r="AY34" s="206"/>
      <c r="AZ34" s="233" t="n">
        <f aca="false">SUM(N34,P34:T34)</f>
        <v>3.1</v>
      </c>
    </row>
    <row r="35" customFormat="false" ht="12.95" hidden="false" customHeight="true" outlineLevel="0" collapsed="false">
      <c r="A35" s="171" t="n">
        <f aca="false">A34+1</f>
        <v>23</v>
      </c>
      <c r="B35" s="103" t="n">
        <v>6899.1</v>
      </c>
      <c r="C35" s="104" t="n">
        <v>280274</v>
      </c>
      <c r="D35" s="134" t="n">
        <f aca="false">C35-C34</f>
        <v>-257</v>
      </c>
      <c r="E35" s="104" t="n">
        <f aca="false">C35-152000</f>
        <v>128274</v>
      </c>
      <c r="F35" s="229" t="n">
        <f aca="false">D35/$D$2</f>
        <v>-129.568943786236</v>
      </c>
      <c r="G35" s="132" t="n">
        <v>48</v>
      </c>
      <c r="H35" s="230" t="n">
        <v>0.74</v>
      </c>
      <c r="I35" s="132" t="n">
        <f aca="false">G35+H35</f>
        <v>48.74</v>
      </c>
      <c r="J35" s="133" t="n">
        <f aca="false">IF(L35&gt;0,L35,0)</f>
        <v>0</v>
      </c>
      <c r="K35" s="132" t="n">
        <f aca="false">I35+J35</f>
        <v>48.74</v>
      </c>
      <c r="L35" s="132" t="n">
        <f aca="false">F35-(I35-AK35)</f>
        <v>-5.20894378623646</v>
      </c>
      <c r="M35" s="231" t="n">
        <v>3.1</v>
      </c>
      <c r="N35" s="132" t="n">
        <v>0</v>
      </c>
      <c r="O35" s="132" t="n">
        <v>0</v>
      </c>
      <c r="P35" s="199" t="n">
        <v>0</v>
      </c>
      <c r="Q35" s="129" t="n">
        <f aca="false">1.53*1.02</f>
        <v>1.5606</v>
      </c>
      <c r="R35" s="129" t="n">
        <v>2.35</v>
      </c>
      <c r="S35" s="129" t="n">
        <v>0</v>
      </c>
      <c r="T35" s="92" t="n">
        <f aca="false">M35-(Q35+R35+S35)</f>
        <v>-0.8106</v>
      </c>
      <c r="U35" s="132" t="n">
        <v>134</v>
      </c>
      <c r="V35" s="132" t="n">
        <v>0</v>
      </c>
      <c r="W35" s="132" t="n">
        <f aca="false">M35-N35-O35-P35-Q35-R35-S35-T35+U35+V35</f>
        <v>134</v>
      </c>
      <c r="X35" s="132" t="n">
        <f aca="false">W35-AO35</f>
        <v>134</v>
      </c>
      <c r="Y35" s="134" t="n">
        <f aca="false">Y34+(X35*1.9835)</f>
        <v>4606.2328592</v>
      </c>
      <c r="Z35" s="134" t="n">
        <f aca="false">Z34+X35*(26300/37500)*1.9835</f>
        <v>3230.50464525227</v>
      </c>
      <c r="AA35" s="133"/>
      <c r="AB35" s="133"/>
      <c r="AC35" s="133"/>
      <c r="AD35" s="104"/>
      <c r="AE35" s="132" t="n">
        <v>0</v>
      </c>
      <c r="AF35" s="231"/>
      <c r="AG35" s="232"/>
      <c r="AH35" s="132" t="n">
        <v>36</v>
      </c>
      <c r="AI35" s="104" t="n">
        <f aca="false">AI34-AH35</f>
        <v>4171</v>
      </c>
      <c r="AJ35" s="104"/>
      <c r="AK35" s="131" t="n">
        <f aca="false">N35+O35+P35+Q35+R35+S35+T35+W35+AE35+AH35</f>
        <v>173.1</v>
      </c>
      <c r="AL35" s="132" t="n">
        <f aca="false">IF(L35&lt;0,L35*-1,0)</f>
        <v>5.20894378623646</v>
      </c>
      <c r="AM35" s="132" t="n">
        <f aca="false">AK35+AL35</f>
        <v>178.308943786236</v>
      </c>
      <c r="AN35" s="203" t="n">
        <f aca="false">AN34+(W35*1.9835)</f>
        <v>4720.591155</v>
      </c>
      <c r="AO35" s="133" t="n">
        <v>0</v>
      </c>
      <c r="AP35" s="204"/>
      <c r="AV35" s="205" t="n">
        <v>0.03</v>
      </c>
      <c r="AW35" s="104" t="n">
        <v>32</v>
      </c>
      <c r="AX35" s="204" t="n">
        <v>8</v>
      </c>
      <c r="AY35" s="234"/>
      <c r="AZ35" s="233" t="n">
        <f aca="false">SUM(N35,P35:T35)</f>
        <v>3.1</v>
      </c>
    </row>
    <row r="36" customFormat="false" ht="12.95" hidden="false" customHeight="true" outlineLevel="0" collapsed="false">
      <c r="A36" s="171" t="n">
        <f aca="false">A35+1</f>
        <v>24</v>
      </c>
      <c r="B36" s="103" t="n">
        <v>6899.05</v>
      </c>
      <c r="C36" s="104" t="n">
        <v>280090</v>
      </c>
      <c r="D36" s="134" t="n">
        <f aca="false">C36-C35</f>
        <v>-184</v>
      </c>
      <c r="E36" s="104" t="n">
        <f aca="false">C36-152000</f>
        <v>128090</v>
      </c>
      <c r="F36" s="229" t="n">
        <f aca="false">D36/$D$2</f>
        <v>-92.7653138391732</v>
      </c>
      <c r="G36" s="132" t="n">
        <v>32</v>
      </c>
      <c r="H36" s="230" t="n">
        <v>0.56</v>
      </c>
      <c r="I36" s="132" t="n">
        <f aca="false">G36+H36</f>
        <v>32.56</v>
      </c>
      <c r="J36" s="133" t="n">
        <f aca="false">IF(L36&gt;0,L36,0)</f>
        <v>47.7746861608268</v>
      </c>
      <c r="K36" s="132" t="n">
        <f aca="false">I36+J36</f>
        <v>80.3346861608268</v>
      </c>
      <c r="L36" s="132" t="n">
        <f aca="false">F36-(I36-AK36)</f>
        <v>47.7746861608268</v>
      </c>
      <c r="M36" s="231" t="n">
        <v>3.1</v>
      </c>
      <c r="N36" s="132" t="n">
        <v>0</v>
      </c>
      <c r="O36" s="132" t="n">
        <v>0</v>
      </c>
      <c r="P36" s="199" t="n">
        <v>0</v>
      </c>
      <c r="Q36" s="129" t="n">
        <f aca="false">1.53*1.02</f>
        <v>1.5606</v>
      </c>
      <c r="R36" s="129" t="n">
        <v>2.12</v>
      </c>
      <c r="S36" s="129" t="n">
        <v>0</v>
      </c>
      <c r="T36" s="92" t="n">
        <f aca="false">M36-(Q36+R36+S36)</f>
        <v>-0.5806</v>
      </c>
      <c r="U36" s="132" t="n">
        <v>134</v>
      </c>
      <c r="V36" s="132" t="n">
        <v>0</v>
      </c>
      <c r="W36" s="132" t="n">
        <f aca="false">M36-N36-O36-P36-Q36-R36-S36-T36+U36+V36</f>
        <v>134</v>
      </c>
      <c r="X36" s="132" t="n">
        <f aca="false">W36-AO36</f>
        <v>134</v>
      </c>
      <c r="Y36" s="134" t="n">
        <f aca="false">Y35+(X36*1.9835)</f>
        <v>4872.0218592</v>
      </c>
      <c r="Z36" s="134" t="n">
        <f aca="false">Z35+X36*(26300/37500)*1.9835</f>
        <v>3416.9113305856</v>
      </c>
      <c r="AA36" s="133"/>
      <c r="AB36" s="133"/>
      <c r="AC36" s="133"/>
      <c r="AD36" s="104"/>
      <c r="AE36" s="132" t="n">
        <v>0</v>
      </c>
      <c r="AF36" s="231"/>
      <c r="AG36" s="232"/>
      <c r="AH36" s="132" t="n">
        <v>36</v>
      </c>
      <c r="AI36" s="104" t="n">
        <f aca="false">AI35-AH36</f>
        <v>4135</v>
      </c>
      <c r="AJ36" s="104"/>
      <c r="AK36" s="131" t="n">
        <f aca="false">N36+O36+P36+Q36+R36+S36+T36+W36+AE36+AH36</f>
        <v>173.1</v>
      </c>
      <c r="AL36" s="132" t="n">
        <f aca="false">IF(L36&lt;0,L36*-1,0)</f>
        <v>0</v>
      </c>
      <c r="AM36" s="132" t="n">
        <f aca="false">AK36+AL36</f>
        <v>173.1</v>
      </c>
      <c r="AN36" s="203" t="n">
        <f aca="false">AN35+(W36*1.9835)</f>
        <v>4986.380155</v>
      </c>
      <c r="AO36" s="133" t="n">
        <v>0</v>
      </c>
      <c r="AP36" s="204"/>
      <c r="AV36" s="205" t="n">
        <v>0.1</v>
      </c>
      <c r="AW36" s="104" t="n">
        <v>38</v>
      </c>
      <c r="AX36" s="204" t="n">
        <v>24</v>
      </c>
      <c r="AY36" s="234"/>
      <c r="AZ36" s="233" t="n">
        <f aca="false">SUM(N36,P36:T36)</f>
        <v>3.1</v>
      </c>
    </row>
    <row r="37" customFormat="false" ht="12.95" hidden="false" customHeight="true" outlineLevel="0" collapsed="false">
      <c r="A37" s="171" t="n">
        <f aca="false">A36+1</f>
        <v>25</v>
      </c>
      <c r="B37" s="103" t="n">
        <v>6899.01</v>
      </c>
      <c r="C37" s="104" t="n">
        <v>279943</v>
      </c>
      <c r="D37" s="134" t="n">
        <f aca="false">C37-C36</f>
        <v>-147</v>
      </c>
      <c r="E37" s="104" t="n">
        <f aca="false">C37-152000</f>
        <v>127943</v>
      </c>
      <c r="F37" s="229" t="n">
        <f aca="false">D37/$D$2</f>
        <v>-74.1114192084699</v>
      </c>
      <c r="G37" s="132" t="n">
        <v>36</v>
      </c>
      <c r="H37" s="230" t="n">
        <v>1.4</v>
      </c>
      <c r="I37" s="132" t="n">
        <f aca="false">G37+H37</f>
        <v>37.4</v>
      </c>
      <c r="J37" s="133" t="n">
        <f aca="false">IF(L37&gt;0,L37,0)</f>
        <v>61.5885807915301</v>
      </c>
      <c r="K37" s="132" t="n">
        <f aca="false">I37+J37</f>
        <v>98.9885807915301</v>
      </c>
      <c r="L37" s="132" t="n">
        <f aca="false">F37-(I37-AK37)</f>
        <v>61.5885807915301</v>
      </c>
      <c r="M37" s="231" t="n">
        <v>3.1</v>
      </c>
      <c r="N37" s="132" t="n">
        <v>0</v>
      </c>
      <c r="O37" s="132" t="n">
        <v>0</v>
      </c>
      <c r="P37" s="199" t="n">
        <v>0</v>
      </c>
      <c r="Q37" s="129" t="n">
        <f aca="false">1.53*1.02</f>
        <v>1.5606</v>
      </c>
      <c r="R37" s="129" t="n">
        <v>1.99</v>
      </c>
      <c r="S37" s="129" t="n">
        <v>0</v>
      </c>
      <c r="T37" s="92" t="n">
        <f aca="false">M37-(Q37+R37+S37)</f>
        <v>-0.4506</v>
      </c>
      <c r="U37" s="132" t="n">
        <v>134</v>
      </c>
      <c r="V37" s="132" t="n">
        <v>0</v>
      </c>
      <c r="W37" s="132" t="n">
        <f aca="false">M37-N37-O37-P37-Q37-R37-S37-T37+U37+V37</f>
        <v>134</v>
      </c>
      <c r="X37" s="132" t="n">
        <f aca="false">W37-AO37</f>
        <v>134</v>
      </c>
      <c r="Y37" s="134" t="n">
        <f aca="false">Y36+(X37*1.9835)</f>
        <v>5137.8108592</v>
      </c>
      <c r="Z37" s="134" t="n">
        <f aca="false">Z36+X37*(26300/37500)*1.9835</f>
        <v>3603.31801591893</v>
      </c>
      <c r="AA37" s="133"/>
      <c r="AB37" s="133"/>
      <c r="AC37" s="133"/>
      <c r="AD37" s="104"/>
      <c r="AE37" s="132" t="n">
        <v>0</v>
      </c>
      <c r="AF37" s="231"/>
      <c r="AG37" s="232"/>
      <c r="AH37" s="132" t="n">
        <v>36</v>
      </c>
      <c r="AI37" s="104" t="n">
        <f aca="false">AI36-AH37</f>
        <v>4099</v>
      </c>
      <c r="AJ37" s="104"/>
      <c r="AK37" s="131" t="n">
        <f aca="false">N37+O37+P37+Q37+R37+S37+T37+W37+AE37+AH37</f>
        <v>173.1</v>
      </c>
      <c r="AL37" s="132" t="n">
        <f aca="false">IF(L37&lt;0,L37*-1,0)</f>
        <v>0</v>
      </c>
      <c r="AM37" s="132" t="n">
        <f aca="false">AK37+AL37</f>
        <v>173.1</v>
      </c>
      <c r="AN37" s="203" t="n">
        <f aca="false">AN36+(W37*1.9835)</f>
        <v>5252.169155</v>
      </c>
      <c r="AO37" s="133" t="n">
        <v>0</v>
      </c>
      <c r="AP37" s="204"/>
      <c r="AV37" s="205" t="n">
        <v>0.14</v>
      </c>
      <c r="AW37" s="104" t="n">
        <v>37</v>
      </c>
      <c r="AX37" s="204" t="n">
        <v>24</v>
      </c>
      <c r="AY37" s="234"/>
      <c r="AZ37" s="233" t="n">
        <f aca="false">SUM(N37,P37:T37)</f>
        <v>3.1</v>
      </c>
    </row>
    <row r="38" customFormat="false" ht="12.95" hidden="false" customHeight="true" outlineLevel="0" collapsed="false">
      <c r="A38" s="171" t="n">
        <f aca="false">A37+1</f>
        <v>26</v>
      </c>
      <c r="B38" s="103" t="n">
        <v>6898.96</v>
      </c>
      <c r="C38" s="104" t="n">
        <v>279761</v>
      </c>
      <c r="D38" s="134" t="n">
        <f aca="false">C38-C37</f>
        <v>-182</v>
      </c>
      <c r="E38" s="104" t="n">
        <f aca="false">C38-152000</f>
        <v>127761</v>
      </c>
      <c r="F38" s="229" t="n">
        <f aca="false">D38/$D$2</f>
        <v>-91.7569952104865</v>
      </c>
      <c r="G38" s="132" t="n">
        <v>35</v>
      </c>
      <c r="H38" s="230" t="n">
        <v>1.4</v>
      </c>
      <c r="I38" s="132" t="n">
        <f aca="false">G38+H38</f>
        <v>36.4</v>
      </c>
      <c r="J38" s="133" t="n">
        <f aca="false">IF(L38&gt;0,L38,0)</f>
        <v>44.9430047895135</v>
      </c>
      <c r="K38" s="132" t="n">
        <f aca="false">I38+J38</f>
        <v>81.3430047895135</v>
      </c>
      <c r="L38" s="132" t="n">
        <f aca="false">F38-(I38-AK38)</f>
        <v>44.9430047895135</v>
      </c>
      <c r="M38" s="231" t="n">
        <v>3.1</v>
      </c>
      <c r="N38" s="132" t="n">
        <v>0</v>
      </c>
      <c r="O38" s="132" t="n">
        <v>0</v>
      </c>
      <c r="P38" s="199" t="n">
        <v>0</v>
      </c>
      <c r="Q38" s="129" t="n">
        <f aca="false">1.53*1.02</f>
        <v>1.5606</v>
      </c>
      <c r="R38" s="129" t="n">
        <v>2.48</v>
      </c>
      <c r="S38" s="129" t="n">
        <v>0</v>
      </c>
      <c r="T38" s="92" t="n">
        <f aca="false">M38-(Q38+R38+S38)</f>
        <v>-0.940599999999999</v>
      </c>
      <c r="U38" s="132" t="n">
        <v>134</v>
      </c>
      <c r="V38" s="132" t="n">
        <v>0</v>
      </c>
      <c r="W38" s="132" t="n">
        <f aca="false">M38-N38-O38-P38-Q38-R38-S38-T38+U38+V38</f>
        <v>134</v>
      </c>
      <c r="X38" s="132" t="n">
        <f aca="false">W38-AO38</f>
        <v>134</v>
      </c>
      <c r="Y38" s="134" t="n">
        <f aca="false">Y37+(X38*1.9835)</f>
        <v>5403.5998592</v>
      </c>
      <c r="Z38" s="134" t="n">
        <f aca="false">Z37+X38*(26300/37500)*1.9835</f>
        <v>3789.72470125227</v>
      </c>
      <c r="AA38" s="133"/>
      <c r="AB38" s="133"/>
      <c r="AC38" s="133"/>
      <c r="AD38" s="104"/>
      <c r="AE38" s="132" t="n">
        <v>0</v>
      </c>
      <c r="AF38" s="231"/>
      <c r="AG38" s="232"/>
      <c r="AH38" s="132" t="n">
        <v>36</v>
      </c>
      <c r="AI38" s="104" t="n">
        <f aca="false">AI37-AH38</f>
        <v>4063</v>
      </c>
      <c r="AJ38" s="104"/>
      <c r="AK38" s="131" t="n">
        <f aca="false">N38+O38+P38+Q38+R38+S38+T38+W38+AE38+AH38</f>
        <v>173.1</v>
      </c>
      <c r="AL38" s="132" t="n">
        <f aca="false">IF(L38&lt;0,L38*-1,0)</f>
        <v>0</v>
      </c>
      <c r="AM38" s="132" t="n">
        <f aca="false">AK38+AL38</f>
        <v>173.1</v>
      </c>
      <c r="AN38" s="203" t="n">
        <f aca="false">AN37+(W38*1.9835)</f>
        <v>5517.958155</v>
      </c>
      <c r="AO38" s="133" t="n">
        <v>0</v>
      </c>
      <c r="AP38" s="204"/>
      <c r="AV38" s="205" t="n">
        <v>0</v>
      </c>
      <c r="AW38" s="104" t="n">
        <v>37</v>
      </c>
      <c r="AX38" s="134" t="n">
        <v>1</v>
      </c>
      <c r="AY38" s="206"/>
      <c r="AZ38" s="233" t="n">
        <f aca="false">SUM(N38,P38:T38)</f>
        <v>3.1</v>
      </c>
    </row>
    <row r="39" customFormat="false" ht="12.95" hidden="false" customHeight="true" outlineLevel="0" collapsed="false">
      <c r="A39" s="171" t="n">
        <f aca="false">A38+1</f>
        <v>27</v>
      </c>
      <c r="B39" s="103" t="n">
        <v>6898.9</v>
      </c>
      <c r="C39" s="104" t="n">
        <v>279542</v>
      </c>
      <c r="D39" s="134" t="n">
        <f aca="false">C39-C38</f>
        <v>-219</v>
      </c>
      <c r="E39" s="104" t="n">
        <f aca="false">C39-152000</f>
        <v>127542</v>
      </c>
      <c r="F39" s="229" t="n">
        <f aca="false">D39/$D$2</f>
        <v>-110.41088984119</v>
      </c>
      <c r="G39" s="132" t="n">
        <v>33</v>
      </c>
      <c r="H39" s="230" t="n">
        <v>1.1</v>
      </c>
      <c r="I39" s="132" t="n">
        <f aca="false">G39+H39</f>
        <v>34.1</v>
      </c>
      <c r="J39" s="133" t="n">
        <f aca="false">IF(L39&gt;0,L39,0)</f>
        <v>28.5891101588102</v>
      </c>
      <c r="K39" s="132" t="n">
        <f aca="false">I39+J39</f>
        <v>62.6891101588102</v>
      </c>
      <c r="L39" s="132" t="n">
        <f aca="false">F39-(I39-AK39)</f>
        <v>28.5891101588102</v>
      </c>
      <c r="M39" s="231" t="n">
        <v>3.1</v>
      </c>
      <c r="N39" s="132" t="n">
        <v>0</v>
      </c>
      <c r="O39" s="132" t="n">
        <v>0</v>
      </c>
      <c r="P39" s="199" t="n">
        <v>0</v>
      </c>
      <c r="Q39" s="129" t="n">
        <f aca="false">1.53*1.02</f>
        <v>1.5606</v>
      </c>
      <c r="R39" s="129" t="n">
        <v>1.96</v>
      </c>
      <c r="S39" s="129" t="n">
        <v>0</v>
      </c>
      <c r="T39" s="92" t="n">
        <f aca="false">M39-(Q39+R39+S39)</f>
        <v>-0.4206</v>
      </c>
      <c r="U39" s="132" t="n">
        <v>134</v>
      </c>
      <c r="V39" s="132" t="n">
        <v>0</v>
      </c>
      <c r="W39" s="132" t="n">
        <f aca="false">M39-N39-O39-P39-Q39-R39-S39-T39+U39+V39</f>
        <v>134</v>
      </c>
      <c r="X39" s="132" t="n">
        <f aca="false">W39-AO39</f>
        <v>134</v>
      </c>
      <c r="Y39" s="134" t="n">
        <f aca="false">Y38+(X39*1.9835)</f>
        <v>5669.3888592</v>
      </c>
      <c r="Z39" s="134" t="n">
        <f aca="false">Z38+X39*(26300/37500)*1.9835</f>
        <v>3976.1313865856</v>
      </c>
      <c r="AA39" s="133"/>
      <c r="AB39" s="133"/>
      <c r="AC39" s="133"/>
      <c r="AD39" s="104"/>
      <c r="AE39" s="132" t="n">
        <v>0</v>
      </c>
      <c r="AF39" s="231"/>
      <c r="AG39" s="232"/>
      <c r="AH39" s="132" t="n">
        <v>36</v>
      </c>
      <c r="AI39" s="104" t="n">
        <f aca="false">AI38-AH39</f>
        <v>4027</v>
      </c>
      <c r="AJ39" s="104"/>
      <c r="AK39" s="131" t="n">
        <f aca="false">N39+O39+P39+Q39+R39+S39+T39+W39+AE39+AH39</f>
        <v>173.1</v>
      </c>
      <c r="AL39" s="132" t="n">
        <f aca="false">IF(L39&lt;0,L39*-1,0)</f>
        <v>0</v>
      </c>
      <c r="AM39" s="132" t="n">
        <f aca="false">AK39+AL39</f>
        <v>173.1</v>
      </c>
      <c r="AN39" s="203" t="n">
        <f aca="false">AN38+(W39*1.9835)</f>
        <v>5783.747155</v>
      </c>
      <c r="AO39" s="133" t="n">
        <v>0</v>
      </c>
      <c r="AP39" s="204"/>
      <c r="AV39" s="205" t="n">
        <v>0</v>
      </c>
      <c r="AW39" s="104" t="n">
        <v>17</v>
      </c>
      <c r="AX39" s="134" t="n">
        <v>-4</v>
      </c>
      <c r="AY39" s="206"/>
      <c r="AZ39" s="233" t="n">
        <f aca="false">SUM(N39,P39:T39)</f>
        <v>3.1</v>
      </c>
    </row>
    <row r="40" customFormat="false" ht="12.95" hidden="false" customHeight="true" outlineLevel="0" collapsed="false">
      <c r="A40" s="171" t="n">
        <f aca="false">A39+1</f>
        <v>28</v>
      </c>
      <c r="B40" s="103" t="n">
        <v>6898.83</v>
      </c>
      <c r="C40" s="104" t="n">
        <v>279287</v>
      </c>
      <c r="D40" s="134" t="n">
        <f aca="false">C40-C39</f>
        <v>-255</v>
      </c>
      <c r="E40" s="104" t="n">
        <f aca="false">C40-152000</f>
        <v>127287</v>
      </c>
      <c r="F40" s="229" t="n">
        <f aca="false">D40/$D$2</f>
        <v>-128.56062515755</v>
      </c>
      <c r="G40" s="132" t="n">
        <v>10</v>
      </c>
      <c r="H40" s="230" t="n">
        <v>2.1</v>
      </c>
      <c r="I40" s="132" t="n">
        <f aca="false">G40+H40</f>
        <v>12.1</v>
      </c>
      <c r="J40" s="133" t="n">
        <f aca="false">IF(L40&gt;0,L40,0)</f>
        <v>32.4393748424502</v>
      </c>
      <c r="K40" s="132" t="n">
        <f aca="false">I40+J40</f>
        <v>44.5393748424502</v>
      </c>
      <c r="L40" s="132" t="n">
        <f aca="false">F40-(I40-AK40)</f>
        <v>32.4393748424502</v>
      </c>
      <c r="M40" s="231" t="n">
        <v>3.1</v>
      </c>
      <c r="N40" s="132" t="n">
        <v>0</v>
      </c>
      <c r="O40" s="132" t="n">
        <v>0</v>
      </c>
      <c r="P40" s="199" t="n">
        <v>0</v>
      </c>
      <c r="Q40" s="129" t="n">
        <f aca="false">1.53*1.02</f>
        <v>1.5606</v>
      </c>
      <c r="R40" s="129" t="n">
        <v>1.94</v>
      </c>
      <c r="S40" s="129" t="n">
        <v>0</v>
      </c>
      <c r="T40" s="92" t="n">
        <f aca="false">M40-(Q40+R40+S40)</f>
        <v>-0.4006</v>
      </c>
      <c r="U40" s="132" t="n">
        <v>134</v>
      </c>
      <c r="V40" s="132" t="n">
        <v>0</v>
      </c>
      <c r="W40" s="132" t="n">
        <f aca="false">M40-N40-O40-P40-Q40-R40-S40-T40+U40+V40</f>
        <v>134</v>
      </c>
      <c r="X40" s="132" t="n">
        <f aca="false">W40-AO40</f>
        <v>134</v>
      </c>
      <c r="Y40" s="134" t="n">
        <f aca="false">Y39+(X40*1.9835)</f>
        <v>5935.1778592</v>
      </c>
      <c r="Z40" s="134" t="n">
        <f aca="false">Z39+X40*(26300/37500)*1.9835</f>
        <v>4162.53807191893</v>
      </c>
      <c r="AA40" s="133"/>
      <c r="AB40" s="133"/>
      <c r="AC40" s="133"/>
      <c r="AD40" s="104"/>
      <c r="AE40" s="132" t="n">
        <v>0</v>
      </c>
      <c r="AF40" s="231"/>
      <c r="AG40" s="232"/>
      <c r="AH40" s="132" t="n">
        <v>36</v>
      </c>
      <c r="AI40" s="104" t="n">
        <f aca="false">AI39-AH40</f>
        <v>3991</v>
      </c>
      <c r="AJ40" s="104"/>
      <c r="AK40" s="131" t="n">
        <f aca="false">N40+O40+P40+Q40+R40+S40+T40+W40+AE40+AH40</f>
        <v>173.1</v>
      </c>
      <c r="AL40" s="132" t="n">
        <f aca="false">IF(L40&lt;0,L40*-1,0)</f>
        <v>0</v>
      </c>
      <c r="AM40" s="132" t="n">
        <f aca="false">AK40+AL40</f>
        <v>173.1</v>
      </c>
      <c r="AN40" s="203" t="n">
        <f aca="false">AN39+(W40*1.9835)</f>
        <v>6049.536155</v>
      </c>
      <c r="AO40" s="133" t="n">
        <v>0</v>
      </c>
      <c r="AP40" s="204"/>
      <c r="AV40" s="205" t="n">
        <v>0</v>
      </c>
      <c r="AW40" s="104" t="n">
        <v>27</v>
      </c>
      <c r="AX40" s="134" t="n">
        <v>-3</v>
      </c>
      <c r="AY40" s="206"/>
      <c r="AZ40" s="233" t="n">
        <f aca="false">SUM(N40,P40:T40)</f>
        <v>3.1</v>
      </c>
    </row>
    <row r="41" customFormat="false" ht="12.95" hidden="false" customHeight="true" outlineLevel="0" collapsed="false">
      <c r="A41" s="171" t="n">
        <f aca="false">A40+1</f>
        <v>29</v>
      </c>
      <c r="B41" s="103" t="n">
        <v>6898.76</v>
      </c>
      <c r="C41" s="104" t="n">
        <v>279031</v>
      </c>
      <c r="D41" s="134" t="n">
        <f aca="false">C41-C40</f>
        <v>-256</v>
      </c>
      <c r="E41" s="104" t="n">
        <f aca="false">C41-152000</f>
        <v>127031</v>
      </c>
      <c r="F41" s="229" t="n">
        <f aca="false">D41/$D$2</f>
        <v>-129.064784471893</v>
      </c>
      <c r="G41" s="132" t="n">
        <v>28</v>
      </c>
      <c r="H41" s="230" t="n">
        <v>1.7</v>
      </c>
      <c r="I41" s="132" t="n">
        <f aca="false">G41+H41</f>
        <v>29.7</v>
      </c>
      <c r="J41" s="133" t="n">
        <f aca="false">IF(L41&gt;0,L41,0)</f>
        <v>14.3352155281069</v>
      </c>
      <c r="K41" s="132" t="n">
        <f aca="false">I41+J41</f>
        <v>44.0352155281069</v>
      </c>
      <c r="L41" s="132" t="n">
        <f aca="false">F41-(I41-AK41)</f>
        <v>14.3352155281069</v>
      </c>
      <c r="M41" s="231" t="n">
        <v>3.1</v>
      </c>
      <c r="N41" s="132" t="n">
        <v>0</v>
      </c>
      <c r="O41" s="132" t="n">
        <v>0</v>
      </c>
      <c r="P41" s="199" t="n">
        <v>0</v>
      </c>
      <c r="Q41" s="129" t="n">
        <f aca="false">1.53*1.02</f>
        <v>1.5606</v>
      </c>
      <c r="R41" s="129" t="n">
        <v>2.49</v>
      </c>
      <c r="S41" s="129" t="n">
        <v>0</v>
      </c>
      <c r="T41" s="92" t="n">
        <f aca="false">M41-(Q41+R41+S41)</f>
        <v>-0.9506</v>
      </c>
      <c r="U41" s="132" t="n">
        <v>134</v>
      </c>
      <c r="V41" s="132" t="n">
        <v>0</v>
      </c>
      <c r="W41" s="132" t="n">
        <f aca="false">M41-N41-O41-P41-Q41-R41-S41-T41+U41+V41</f>
        <v>134</v>
      </c>
      <c r="X41" s="132" t="n">
        <f aca="false">W41-AO41</f>
        <v>134</v>
      </c>
      <c r="Y41" s="134" t="n">
        <f aca="false">Y40+(X41*1.9835)</f>
        <v>6200.9668592</v>
      </c>
      <c r="Z41" s="134" t="n">
        <f aca="false">Z40+X41*(26300/37500)*1.9835</f>
        <v>4348.94475725227</v>
      </c>
      <c r="AA41" s="133"/>
      <c r="AB41" s="133"/>
      <c r="AC41" s="133"/>
      <c r="AD41" s="104"/>
      <c r="AE41" s="132" t="n">
        <v>0</v>
      </c>
      <c r="AF41" s="231"/>
      <c r="AG41" s="232"/>
      <c r="AH41" s="132" t="n">
        <v>36</v>
      </c>
      <c r="AI41" s="104" t="n">
        <f aca="false">AI40-AH41</f>
        <v>3955</v>
      </c>
      <c r="AJ41" s="104"/>
      <c r="AK41" s="131" t="n">
        <f aca="false">N41+O41+P41+Q41+R41+S41+T41+W41+AE41+AH41</f>
        <v>173.1</v>
      </c>
      <c r="AL41" s="132" t="n">
        <f aca="false">IF(L41&lt;0,L41*-1,0)</f>
        <v>0</v>
      </c>
      <c r="AM41" s="132" t="n">
        <f aca="false">AK41+AL41</f>
        <v>173.1</v>
      </c>
      <c r="AN41" s="203" t="n">
        <f aca="false">AN40+(W41*1.9835)</f>
        <v>6315.325155</v>
      </c>
      <c r="AO41" s="133" t="n">
        <v>0</v>
      </c>
      <c r="AP41" s="204"/>
      <c r="AV41" s="205" t="n">
        <v>0</v>
      </c>
      <c r="AW41" s="104" t="n">
        <v>34</v>
      </c>
      <c r="AX41" s="134" t="n">
        <v>8</v>
      </c>
      <c r="AY41" s="206"/>
      <c r="AZ41" s="233" t="n">
        <f aca="false">SUM(N41,P41:T41)</f>
        <v>3.1</v>
      </c>
    </row>
    <row r="42" customFormat="false" ht="12.95" hidden="false" customHeight="true" outlineLevel="0" collapsed="false">
      <c r="A42" s="171" t="n">
        <v>30</v>
      </c>
      <c r="B42" s="103" t="n">
        <v>6898.74</v>
      </c>
      <c r="C42" s="104" t="n">
        <v>278959</v>
      </c>
      <c r="D42" s="134" t="n">
        <f aca="false">C42-C41</f>
        <v>-72</v>
      </c>
      <c r="E42" s="104" t="n">
        <f aca="false">C42-152000</f>
        <v>126959</v>
      </c>
      <c r="F42" s="229" t="n">
        <f aca="false">D42/$D$2</f>
        <v>-36.2994706327199</v>
      </c>
      <c r="G42" s="132" t="n">
        <v>28</v>
      </c>
      <c r="H42" s="230" t="n">
        <v>1.9</v>
      </c>
      <c r="I42" s="132" t="n">
        <f aca="false">G42+H42</f>
        <v>29.9</v>
      </c>
      <c r="J42" s="133" t="n">
        <f aca="false">IF(L42&gt;0,L42,0)</f>
        <v>14.9005293672801</v>
      </c>
      <c r="K42" s="132" t="n">
        <f aca="false">I42+J42</f>
        <v>44.8005293672801</v>
      </c>
      <c r="L42" s="132" t="n">
        <f aca="false">F42-(I42-AK42)</f>
        <v>14.9005293672801</v>
      </c>
      <c r="M42" s="231" t="n">
        <v>3.1</v>
      </c>
      <c r="N42" s="132" t="n">
        <v>0</v>
      </c>
      <c r="O42" s="132" t="n">
        <v>0</v>
      </c>
      <c r="P42" s="199" t="n">
        <v>0</v>
      </c>
      <c r="Q42" s="129" t="n">
        <f aca="false">1.53*1.02</f>
        <v>1.5606</v>
      </c>
      <c r="R42" s="129" t="n">
        <v>2.42</v>
      </c>
      <c r="S42" s="129" t="n">
        <v>0</v>
      </c>
      <c r="T42" s="92" t="n">
        <f aca="false">M42-(Q42+R42+S42)</f>
        <v>-0.8806</v>
      </c>
      <c r="U42" s="132" t="n">
        <v>42</v>
      </c>
      <c r="V42" s="132" t="n">
        <v>0</v>
      </c>
      <c r="W42" s="132" t="n">
        <f aca="false">M42-N42-O42-P42-Q42-R42-S42-T42+U42+V42</f>
        <v>42</v>
      </c>
      <c r="X42" s="132" t="n">
        <f aca="false">W42-AO42</f>
        <v>42</v>
      </c>
      <c r="Y42" s="134" t="n">
        <f aca="false">Y41+(X42*1.9835)</f>
        <v>6284.2738592</v>
      </c>
      <c r="Z42" s="134" t="n">
        <f aca="false">Z41+X42*(26300/37500)*1.9835</f>
        <v>4407.37073325227</v>
      </c>
      <c r="AA42" s="133"/>
      <c r="AB42" s="133"/>
      <c r="AC42" s="133"/>
      <c r="AD42" s="104"/>
      <c r="AE42" s="132" t="n">
        <v>0</v>
      </c>
      <c r="AF42" s="231"/>
      <c r="AG42" s="232"/>
      <c r="AH42" s="132" t="n">
        <v>36</v>
      </c>
      <c r="AI42" s="104" t="n">
        <f aca="false">AI41-AH42</f>
        <v>3919</v>
      </c>
      <c r="AJ42" s="104"/>
      <c r="AK42" s="131" t="n">
        <f aca="false">N42+O42+P42+Q42+R42+S42+T42+W42+AE42+AH42</f>
        <v>81.1</v>
      </c>
      <c r="AL42" s="132" t="n">
        <f aca="false">IF(L42&lt;0,L42*-1,0)</f>
        <v>0</v>
      </c>
      <c r="AM42" s="132" t="n">
        <f aca="false">AK42+AL42</f>
        <v>81.1</v>
      </c>
      <c r="AN42" s="203" t="n">
        <f aca="false">AN41+(W42*1.9835)</f>
        <v>6398.632155</v>
      </c>
      <c r="AO42" s="133" t="n">
        <v>0</v>
      </c>
      <c r="AP42" s="204"/>
      <c r="AV42" s="205" t="n">
        <v>0</v>
      </c>
      <c r="AW42" s="104" t="n">
        <v>38</v>
      </c>
      <c r="AX42" s="134" t="n">
        <v>9</v>
      </c>
      <c r="AY42" s="206"/>
      <c r="AZ42" s="233" t="n">
        <f aca="false">SUM(N42,P42:T42)</f>
        <v>3.1</v>
      </c>
    </row>
    <row r="43" customFormat="false" ht="12.95" hidden="false" customHeight="true" outlineLevel="0" collapsed="false">
      <c r="A43" s="171" t="n">
        <v>31</v>
      </c>
      <c r="B43" s="103" t="n">
        <v>6898.75</v>
      </c>
      <c r="C43" s="104" t="n">
        <v>278995</v>
      </c>
      <c r="D43" s="134" t="n">
        <f aca="false">C43-C42</f>
        <v>36</v>
      </c>
      <c r="E43" s="104" t="n">
        <f aca="false">C43-152000</f>
        <v>126995</v>
      </c>
      <c r="F43" s="229" t="n">
        <f aca="false">D43/$D$2</f>
        <v>18.14973531636</v>
      </c>
      <c r="G43" s="132" t="n">
        <v>28</v>
      </c>
      <c r="H43" s="230" t="n">
        <v>1.9</v>
      </c>
      <c r="I43" s="132" t="n">
        <f aca="false">G43+H43</f>
        <v>29.9</v>
      </c>
      <c r="J43" s="133" t="n">
        <f aca="false">IF(L43&gt;0,L43,0)</f>
        <v>27.34973531636</v>
      </c>
      <c r="K43" s="132" t="n">
        <f aca="false">I43+J43</f>
        <v>57.24973531636</v>
      </c>
      <c r="L43" s="132" t="n">
        <f aca="false">F43-(I43-AK43)</f>
        <v>27.34973531636</v>
      </c>
      <c r="M43" s="231" t="n">
        <v>3.1</v>
      </c>
      <c r="N43" s="132" t="n">
        <v>0</v>
      </c>
      <c r="O43" s="132" t="n">
        <v>0</v>
      </c>
      <c r="P43" s="199" t="n">
        <v>0</v>
      </c>
      <c r="Q43" s="129" t="n">
        <f aca="false">1.53*1.02</f>
        <v>1.5606</v>
      </c>
      <c r="R43" s="129" t="n">
        <v>2.77</v>
      </c>
      <c r="S43" s="129" t="n">
        <v>0</v>
      </c>
      <c r="T43" s="92" t="n">
        <f aca="false">M43-(Q43+R43+S43)</f>
        <v>-1.2306</v>
      </c>
      <c r="U43" s="132" t="n">
        <v>0</v>
      </c>
      <c r="V43" s="132" t="n">
        <v>0</v>
      </c>
      <c r="W43" s="132" t="n">
        <f aca="false">M43-N43-O43-P43-Q43-R43-S43-T43+U43+V43</f>
        <v>0</v>
      </c>
      <c r="X43" s="132" t="n">
        <f aca="false">W43-AO43</f>
        <v>0</v>
      </c>
      <c r="Y43" s="134" t="n">
        <f aca="false">Y42+(X43*1.9835)</f>
        <v>6284.2738592</v>
      </c>
      <c r="Z43" s="134" t="n">
        <f aca="false">Z42+X43*(26300/37500)*1.9835</f>
        <v>4407.37073325227</v>
      </c>
      <c r="AA43" s="133"/>
      <c r="AB43" s="133"/>
      <c r="AC43" s="133"/>
      <c r="AD43" s="104"/>
      <c r="AE43" s="132" t="n">
        <v>0</v>
      </c>
      <c r="AF43" s="231"/>
      <c r="AG43" s="232"/>
      <c r="AH43" s="132" t="n">
        <v>36</v>
      </c>
      <c r="AI43" s="104" t="n">
        <f aca="false">AI42-AH43</f>
        <v>3883</v>
      </c>
      <c r="AJ43" s="104"/>
      <c r="AK43" s="131" t="n">
        <f aca="false">N43+O43+P43+Q43+R43+S43+T43+W43+AE43+AH43</f>
        <v>39.1</v>
      </c>
      <c r="AL43" s="132" t="n">
        <f aca="false">IF(L43&lt;0,L43*-1,0)</f>
        <v>0</v>
      </c>
      <c r="AM43" s="132" t="n">
        <f aca="false">AK43+AL43</f>
        <v>39.1</v>
      </c>
      <c r="AN43" s="203" t="n">
        <f aca="false">AN42+(W43*1.9835)</f>
        <v>6398.632155</v>
      </c>
      <c r="AO43" s="133" t="n">
        <v>0</v>
      </c>
      <c r="AP43" s="204"/>
      <c r="AV43" s="205" t="n">
        <v>0</v>
      </c>
      <c r="AW43" s="104" t="n">
        <v>36</v>
      </c>
      <c r="AX43" s="134" t="n">
        <v>9</v>
      </c>
      <c r="AY43" s="206"/>
      <c r="AZ43" s="233" t="n">
        <f aca="false">SUM(N43,P43:T43)</f>
        <v>3.1</v>
      </c>
    </row>
    <row r="44" customFormat="false" ht="3" hidden="false" customHeight="true" outlineLevel="0" collapsed="false">
      <c r="A44" s="214"/>
      <c r="B44" s="235"/>
      <c r="C44" s="216"/>
      <c r="D44" s="217"/>
      <c r="E44" s="216"/>
      <c r="F44" s="218"/>
      <c r="G44" s="217"/>
      <c r="H44" s="219"/>
      <c r="I44" s="217"/>
      <c r="J44" s="217"/>
      <c r="K44" s="217"/>
      <c r="L44" s="217"/>
      <c r="M44" s="217"/>
      <c r="N44" s="217"/>
      <c r="O44" s="217"/>
      <c r="P44" s="221"/>
      <c r="Q44" s="217"/>
      <c r="R44" s="217"/>
      <c r="S44" s="217"/>
      <c r="T44" s="222"/>
      <c r="U44" s="217"/>
      <c r="V44" s="217"/>
      <c r="W44" s="217" t="n">
        <f aca="false">M44-N44-O44-Q44-R44-S44+U44+V44</f>
        <v>0</v>
      </c>
      <c r="X44" s="217" t="n">
        <f aca="false">N44-O44-P44-R44-S44-T44+V44+W44</f>
        <v>0</v>
      </c>
      <c r="Y44" s="223"/>
      <c r="Z44" s="223"/>
      <c r="AA44" s="224"/>
      <c r="AB44" s="224"/>
      <c r="AC44" s="224"/>
      <c r="AD44" s="216"/>
      <c r="AE44" s="217"/>
      <c r="AF44" s="220"/>
      <c r="AG44" s="225"/>
      <c r="AH44" s="236"/>
      <c r="AI44" s="217"/>
      <c r="AJ44" s="217"/>
      <c r="AK44" s="217" t="n">
        <f aca="false">N44+O44+Q44+R44+S44+W44+AE44+AH44</f>
        <v>0</v>
      </c>
      <c r="AL44" s="217"/>
      <c r="AM44" s="217"/>
      <c r="AN44" s="226"/>
      <c r="AO44" s="224"/>
      <c r="AP44" s="223"/>
      <c r="AQ44" s="227"/>
      <c r="AR44" s="227"/>
      <c r="AS44" s="227"/>
      <c r="AT44" s="227"/>
      <c r="AU44" s="223"/>
      <c r="AV44" s="228"/>
      <c r="AW44" s="223"/>
      <c r="AX44" s="223" t="s">
        <v>102</v>
      </c>
      <c r="AY44" s="237"/>
      <c r="AZ44" s="238" t="s">
        <v>102</v>
      </c>
    </row>
    <row r="45" customFormat="false" ht="12.95" hidden="false" customHeight="true" outlineLevel="0" collapsed="false">
      <c r="A45" s="173" t="s">
        <v>91</v>
      </c>
      <c r="B45" s="196"/>
      <c r="C45" s="104"/>
      <c r="D45" s="104"/>
      <c r="E45" s="104"/>
      <c r="F45" s="197" t="n">
        <f aca="false">SUM(F13:F43)</f>
        <v>-1385.42979581548</v>
      </c>
      <c r="G45" s="104" t="n">
        <f aca="false">SUM(G13:G43)</f>
        <v>1235</v>
      </c>
      <c r="H45" s="104" t="n">
        <f aca="false">SUM(H13:H43)</f>
        <v>23.7</v>
      </c>
      <c r="I45" s="104" t="n">
        <f aca="false">SUM(I13:I43)</f>
        <v>1258.7</v>
      </c>
      <c r="J45" s="104" t="n">
        <f aca="false">SUM(J13:J43)</f>
        <v>650.257398537938</v>
      </c>
      <c r="K45" s="104" t="n">
        <f aca="false">SUM(K13:K43)</f>
        <v>1908.95739853794</v>
      </c>
      <c r="L45" s="104" t="n">
        <f aca="false">SUM(L13:L43)</f>
        <v>579.270204184522</v>
      </c>
      <c r="M45" s="198" t="n">
        <f aca="false">SUM(M13:M44)</f>
        <v>99.4</v>
      </c>
      <c r="N45" s="104" t="n">
        <f aca="false">SUM(N13:N43)</f>
        <v>0</v>
      </c>
      <c r="O45" s="104" t="n">
        <f aca="false">SUM(O13:O43)</f>
        <v>0</v>
      </c>
      <c r="P45" s="199"/>
      <c r="Q45" s="104" t="n">
        <f aca="false">SUM(Q13:Q43)</f>
        <v>48.3786</v>
      </c>
      <c r="R45" s="104" t="n">
        <f aca="false">SUM(R13:R43)</f>
        <v>69.95</v>
      </c>
      <c r="S45" s="104" t="n">
        <f aca="false">SUM(S13:S43)</f>
        <v>0</v>
      </c>
      <c r="T45" s="200" t="n">
        <f aca="false">SUM(T13:T43)</f>
        <v>-18.9286</v>
      </c>
      <c r="U45" s="104" t="n">
        <f aca="false">SUM(U13:U43)</f>
        <v>2008</v>
      </c>
      <c r="V45" s="104" t="n">
        <f aca="false">SUM(V13:V43)</f>
        <v>0</v>
      </c>
      <c r="W45" s="104" t="n">
        <f aca="false">SUM(W13:W43)</f>
        <v>2008</v>
      </c>
      <c r="X45" s="104" t="n">
        <f aca="false">SUM(X13:X43)</f>
        <v>2008</v>
      </c>
      <c r="Y45" s="134"/>
      <c r="Z45" s="134"/>
      <c r="AA45" s="133"/>
      <c r="AB45" s="133"/>
      <c r="AC45" s="133"/>
      <c r="AD45" s="104"/>
      <c r="AE45" s="104"/>
      <c r="AF45" s="198"/>
      <c r="AG45" s="201"/>
      <c r="AH45" s="104" t="n">
        <f aca="false">SUM(AH13:AH44)</f>
        <v>1116</v>
      </c>
      <c r="AI45" s="104"/>
      <c r="AJ45" s="79" t="n">
        <f aca="false">SUM(AJ14:AJ43)</f>
        <v>0</v>
      </c>
      <c r="AK45" s="104" t="n">
        <f aca="false">SUM(AK13:AK44)</f>
        <v>3223.4</v>
      </c>
      <c r="AL45" s="104" t="n">
        <f aca="false">SUM(AL13:AL43)</f>
        <v>70.9871943534157</v>
      </c>
      <c r="AM45" s="104" t="n">
        <f aca="false">SUM(AM13:AM43)</f>
        <v>3294.38719435342</v>
      </c>
      <c r="AN45" s="203"/>
      <c r="AO45" s="133" t="n">
        <f aca="false">SUM(AO13:AO43)</f>
        <v>0</v>
      </c>
      <c r="AP45" s="204"/>
      <c r="AV45" s="205" t="n">
        <f aca="false">SUM(AV13:AV43)</f>
        <v>1.5</v>
      </c>
      <c r="AW45" s="134" t="n">
        <f aca="false">AVERAGE(AW13:AW43)</f>
        <v>38.0322580645161</v>
      </c>
      <c r="AX45" s="134" t="n">
        <f aca="false">AVERAGE(AX13:AX43)</f>
        <v>14.9354838709677</v>
      </c>
      <c r="AY45" s="206" t="s">
        <v>92</v>
      </c>
      <c r="AZ45" s="239" t="n">
        <f aca="false">SUM(AZ13:AZ43)</f>
        <v>99.4</v>
      </c>
    </row>
    <row r="46" customFormat="false" ht="12.95" hidden="false" customHeight="true" outlineLevel="0" collapsed="false">
      <c r="A46" s="173" t="s">
        <v>93</v>
      </c>
      <c r="B46" s="196"/>
      <c r="C46" s="104"/>
      <c r="D46" s="104" t="n">
        <f aca="false">SUM(D13:D43)</f>
        <v>-2748</v>
      </c>
      <c r="E46" s="104"/>
      <c r="F46" s="197" t="n">
        <f aca="false">F45*$D$2</f>
        <v>-2748</v>
      </c>
      <c r="G46" s="104" t="n">
        <f aca="false">G45*$D$2</f>
        <v>2449.6225</v>
      </c>
      <c r="H46" s="104" t="n">
        <f aca="false">H45*$D$2</f>
        <v>47.00895</v>
      </c>
      <c r="I46" s="104" t="n">
        <f aca="false">I45*$D$2</f>
        <v>2496.63145</v>
      </c>
      <c r="J46" s="104" t="n">
        <f aca="false">J45*$D$2</f>
        <v>1289.78555</v>
      </c>
      <c r="K46" s="104" t="n">
        <f aca="false">K45*$D$2</f>
        <v>3786.417</v>
      </c>
      <c r="L46" s="104" t="n">
        <f aca="false">L45*$D$2</f>
        <v>1148.98245</v>
      </c>
      <c r="M46" s="198" t="n">
        <f aca="false">M45*$D$2</f>
        <v>197.1599</v>
      </c>
      <c r="N46" s="104" t="n">
        <f aca="false">N45*$D$2</f>
        <v>0</v>
      </c>
      <c r="O46" s="104" t="n">
        <f aca="false">O45*$D$2</f>
        <v>0</v>
      </c>
      <c r="P46" s="199"/>
      <c r="Q46" s="104" t="n">
        <f aca="false">Q45*$D$2</f>
        <v>95.9589531</v>
      </c>
      <c r="R46" s="104" t="n">
        <f aca="false">R45*$D$2</f>
        <v>138.745825</v>
      </c>
      <c r="S46" s="104" t="n">
        <f aca="false">S45*$D$2</f>
        <v>0</v>
      </c>
      <c r="T46" s="200" t="n">
        <f aca="false">T45*$D$2</f>
        <v>-37.5448781</v>
      </c>
      <c r="U46" s="104" t="n">
        <f aca="false">U45*$D$2</f>
        <v>3982.868</v>
      </c>
      <c r="V46" s="104" t="n">
        <f aca="false">V45*$D$2</f>
        <v>0</v>
      </c>
      <c r="W46" s="104" t="n">
        <f aca="false">W45*$D$2</f>
        <v>3982.868</v>
      </c>
      <c r="X46" s="104" t="n">
        <f aca="false">X45*$D$2</f>
        <v>3982.868</v>
      </c>
      <c r="Y46" s="134"/>
      <c r="Z46" s="134"/>
      <c r="AA46" s="133"/>
      <c r="AB46" s="133"/>
      <c r="AC46" s="133"/>
      <c r="AD46" s="104"/>
      <c r="AE46" s="104"/>
      <c r="AF46" s="198"/>
      <c r="AG46" s="201"/>
      <c r="AH46" s="104" t="n">
        <f aca="false">AH45*$D$2</f>
        <v>2213.586</v>
      </c>
      <c r="AI46" s="104"/>
      <c r="AJ46" s="79" t="n">
        <f aca="false">AJ45*$D$2</f>
        <v>0</v>
      </c>
      <c r="AK46" s="104" t="n">
        <f aca="false">AK45*$D$2</f>
        <v>6393.6139</v>
      </c>
      <c r="AL46" s="104" t="n">
        <f aca="false">AL45*$D$2</f>
        <v>140.8031</v>
      </c>
      <c r="AM46" s="104" t="n">
        <f aca="false">AM45*$D$2</f>
        <v>6534.417</v>
      </c>
      <c r="AN46" s="203"/>
      <c r="AO46" s="133" t="n">
        <f aca="false">AO45*$D$2</f>
        <v>0</v>
      </c>
      <c r="AP46" s="204"/>
      <c r="AV46" s="205"/>
      <c r="AW46" s="134" t="n">
        <f aca="false">MAX(AW13:AW43)</f>
        <v>53</v>
      </c>
      <c r="AX46" s="134" t="n">
        <f aca="false">MAX(AX13:AX43)</f>
        <v>29</v>
      </c>
      <c r="AY46" s="206" t="s">
        <v>94</v>
      </c>
      <c r="AZ46" s="239" t="n">
        <f aca="false">AZ45*$D$2</f>
        <v>197.1599</v>
      </c>
    </row>
    <row r="47" customFormat="false" ht="3" hidden="false" customHeight="true" outlineLevel="0" collapsed="false">
      <c r="A47" s="214"/>
      <c r="B47" s="235"/>
      <c r="C47" s="216"/>
      <c r="D47" s="216"/>
      <c r="E47" s="216"/>
      <c r="F47" s="240"/>
      <c r="G47" s="216"/>
      <c r="H47" s="216"/>
      <c r="I47" s="216"/>
      <c r="J47" s="216"/>
      <c r="K47" s="216"/>
      <c r="L47" s="216"/>
      <c r="M47" s="241"/>
      <c r="N47" s="216"/>
      <c r="O47" s="216"/>
      <c r="P47" s="221"/>
      <c r="Q47" s="216"/>
      <c r="R47" s="216"/>
      <c r="S47" s="216"/>
      <c r="T47" s="222"/>
      <c r="U47" s="216"/>
      <c r="V47" s="216"/>
      <c r="W47" s="216"/>
      <c r="X47" s="216"/>
      <c r="Y47" s="223"/>
      <c r="Z47" s="223"/>
      <c r="AA47" s="224"/>
      <c r="AB47" s="224"/>
      <c r="AC47" s="224"/>
      <c r="AD47" s="216"/>
      <c r="AE47" s="216"/>
      <c r="AF47" s="241"/>
      <c r="AG47" s="242"/>
      <c r="AH47" s="216"/>
      <c r="AI47" s="217"/>
      <c r="AJ47" s="118"/>
      <c r="AK47" s="216"/>
      <c r="AL47" s="216"/>
      <c r="AM47" s="216"/>
      <c r="AN47" s="243"/>
      <c r="AO47" s="224"/>
      <c r="AP47" s="216"/>
      <c r="AQ47" s="244"/>
      <c r="AR47" s="244"/>
      <c r="AS47" s="227"/>
      <c r="AT47" s="227"/>
      <c r="AU47" s="223"/>
      <c r="AV47" s="243"/>
      <c r="AW47" s="216"/>
      <c r="AX47" s="216"/>
      <c r="AY47" s="240"/>
      <c r="AZ47" s="245"/>
    </row>
    <row r="48" customFormat="false" ht="12.95" hidden="false" customHeight="true" outlineLevel="0" collapsed="false">
      <c r="A48" s="173" t="s">
        <v>95</v>
      </c>
      <c r="B48" s="196"/>
      <c r="C48" s="104"/>
      <c r="D48" s="104"/>
      <c r="E48" s="104"/>
      <c r="F48" s="197"/>
      <c r="G48" s="104"/>
      <c r="H48" s="104"/>
      <c r="I48" s="104"/>
      <c r="J48" s="104"/>
      <c r="K48" s="104"/>
      <c r="L48" s="104"/>
      <c r="M48" s="198"/>
      <c r="N48" s="104"/>
      <c r="O48" s="104"/>
      <c r="P48" s="199"/>
      <c r="Q48" s="104"/>
      <c r="R48" s="104"/>
      <c r="S48" s="104"/>
      <c r="T48" s="200"/>
      <c r="U48" s="104"/>
      <c r="V48" s="104"/>
      <c r="W48" s="104"/>
      <c r="X48" s="104"/>
      <c r="Y48" s="134"/>
      <c r="Z48" s="134"/>
      <c r="AA48" s="133"/>
      <c r="AB48" s="133"/>
      <c r="AC48" s="133"/>
      <c r="AD48" s="104"/>
      <c r="AE48" s="104"/>
      <c r="AF48" s="198"/>
      <c r="AG48" s="201"/>
      <c r="AH48" s="104"/>
      <c r="AI48" s="104"/>
      <c r="AJ48" s="79"/>
      <c r="AK48" s="104"/>
      <c r="AL48" s="104"/>
      <c r="AM48" s="104"/>
      <c r="AN48" s="203"/>
      <c r="AO48" s="133"/>
      <c r="AP48" s="204"/>
      <c r="AV48" s="205"/>
      <c r="AW48" s="134" t="n">
        <f aca="false">MIN(AW13:AW43)</f>
        <v>17</v>
      </c>
      <c r="AX48" s="134" t="n">
        <f aca="false">MIN(AX13:AX43)</f>
        <v>-4</v>
      </c>
      <c r="AY48" s="206" t="s">
        <v>96</v>
      </c>
      <c r="AZ48" s="239"/>
    </row>
    <row r="49" customFormat="false" ht="12.95" hidden="false" customHeight="true" outlineLevel="0" collapsed="false">
      <c r="A49" s="173" t="s">
        <v>97</v>
      </c>
      <c r="B49" s="196"/>
      <c r="C49" s="104"/>
      <c r="D49" s="104"/>
      <c r="E49" s="104"/>
      <c r="F49" s="197"/>
      <c r="G49" s="104"/>
      <c r="H49" s="104"/>
      <c r="I49" s="104"/>
      <c r="J49" s="104"/>
      <c r="K49" s="104"/>
      <c r="L49" s="104"/>
      <c r="M49" s="198"/>
      <c r="N49" s="104"/>
      <c r="O49" s="104"/>
      <c r="P49" s="199"/>
      <c r="Q49" s="104"/>
      <c r="R49" s="104"/>
      <c r="S49" s="104"/>
      <c r="T49" s="200"/>
      <c r="U49" s="104"/>
      <c r="V49" s="104"/>
      <c r="W49" s="104"/>
      <c r="X49" s="104"/>
      <c r="Y49" s="134"/>
      <c r="Z49" s="134"/>
      <c r="AA49" s="133"/>
      <c r="AB49" s="133"/>
      <c r="AC49" s="133"/>
      <c r="AD49" s="104"/>
      <c r="AE49" s="104"/>
      <c r="AF49" s="198"/>
      <c r="AG49" s="201"/>
      <c r="AH49" s="104"/>
      <c r="AI49" s="104"/>
      <c r="AJ49" s="79"/>
      <c r="AK49" s="104"/>
      <c r="AL49" s="104"/>
      <c r="AM49" s="104"/>
      <c r="AN49" s="203"/>
      <c r="AO49" s="133"/>
      <c r="AP49" s="204"/>
      <c r="AV49" s="205"/>
      <c r="AW49" s="134"/>
      <c r="AX49" s="134"/>
      <c r="AY49" s="206"/>
      <c r="AZ49" s="239"/>
    </row>
    <row r="50" customFormat="false" ht="3" hidden="false" customHeight="true" outlineLevel="0" collapsed="false">
      <c r="A50" s="214"/>
      <c r="B50" s="235"/>
      <c r="C50" s="216"/>
      <c r="D50" s="216"/>
      <c r="E50" s="216"/>
      <c r="F50" s="240"/>
      <c r="G50" s="216"/>
      <c r="H50" s="223"/>
      <c r="I50" s="216"/>
      <c r="J50" s="216"/>
      <c r="K50" s="216"/>
      <c r="L50" s="216"/>
      <c r="M50" s="241"/>
      <c r="N50" s="216"/>
      <c r="O50" s="216"/>
      <c r="P50" s="221"/>
      <c r="Q50" s="216"/>
      <c r="R50" s="216"/>
      <c r="S50" s="216"/>
      <c r="T50" s="222"/>
      <c r="U50" s="216"/>
      <c r="V50" s="216"/>
      <c r="W50" s="216"/>
      <c r="X50" s="216"/>
      <c r="Y50" s="223"/>
      <c r="Z50" s="223"/>
      <c r="AA50" s="224"/>
      <c r="AB50" s="224"/>
      <c r="AC50" s="224"/>
      <c r="AD50" s="216"/>
      <c r="AE50" s="216"/>
      <c r="AF50" s="241"/>
      <c r="AG50" s="242"/>
      <c r="AH50" s="216"/>
      <c r="AI50" s="216"/>
      <c r="AJ50" s="118"/>
      <c r="AK50" s="216"/>
      <c r="AL50" s="216"/>
      <c r="AM50" s="216"/>
      <c r="AN50" s="228"/>
      <c r="AO50" s="224"/>
      <c r="AP50" s="246"/>
      <c r="AQ50" s="247"/>
      <c r="AR50" s="247"/>
      <c r="AS50" s="227"/>
      <c r="AT50" s="227"/>
      <c r="AU50" s="223"/>
      <c r="AV50" s="228"/>
      <c r="AW50" s="246"/>
      <c r="AX50" s="246"/>
      <c r="AY50" s="248"/>
      <c r="AZ50" s="245"/>
    </row>
    <row r="51" customFormat="false" ht="12.95" hidden="false" customHeight="true" outlineLevel="0" collapsed="false">
      <c r="A51" s="173" t="s">
        <v>98</v>
      </c>
      <c r="B51" s="196"/>
      <c r="C51" s="104"/>
      <c r="D51" s="104"/>
      <c r="E51" s="104"/>
      <c r="F51" s="197" t="n">
        <f aca="false">F11+F45</f>
        <v>-2927.14897907739</v>
      </c>
      <c r="G51" s="104" t="n">
        <f aca="false">G11+G45</f>
        <v>2860</v>
      </c>
      <c r="H51" s="134" t="n">
        <f aca="false">H11+H45</f>
        <v>23.7</v>
      </c>
      <c r="I51" s="104" t="n">
        <f aca="false">I11+I45</f>
        <v>2883.7</v>
      </c>
      <c r="J51" s="104" t="n">
        <f aca="false">J11+J45</f>
        <v>851.692084698765</v>
      </c>
      <c r="K51" s="104" t="n">
        <f aca="false">K11+K45</f>
        <v>3735.39208469876</v>
      </c>
      <c r="L51" s="104" t="n">
        <f aca="false">L11+L45</f>
        <v>219.651020922612</v>
      </c>
      <c r="M51" s="198" t="n">
        <f aca="false">M11+M45</f>
        <v>402.2</v>
      </c>
      <c r="N51" s="104" t="n">
        <f aca="false">N11+N45</f>
        <v>0</v>
      </c>
      <c r="O51" s="104" t="n">
        <v>0</v>
      </c>
      <c r="P51" s="199"/>
      <c r="Q51" s="104" t="n">
        <f aca="false">Q11+Q45</f>
        <v>96.7266</v>
      </c>
      <c r="R51" s="104" t="n">
        <f aca="false">R11+R45</f>
        <v>143.22</v>
      </c>
      <c r="S51" s="104" t="n">
        <f aca="false">S11+S45</f>
        <v>0</v>
      </c>
      <c r="T51" s="200" t="n">
        <f aca="false">T11+T45</f>
        <v>-25.9906</v>
      </c>
      <c r="U51" s="104" t="n">
        <f aca="false">U11+U45</f>
        <v>3357</v>
      </c>
      <c r="V51" s="104" t="n">
        <f aca="false">V11+V45</f>
        <v>76.3</v>
      </c>
      <c r="W51" s="104" t="n">
        <f aca="false">W11+W45</f>
        <v>3621.544</v>
      </c>
      <c r="X51" s="104" t="n">
        <f aca="false">X11+X45</f>
        <v>3168.2752</v>
      </c>
      <c r="Y51" s="134"/>
      <c r="Z51" s="134"/>
      <c r="AA51" s="133"/>
      <c r="AB51" s="133"/>
      <c r="AC51" s="133"/>
      <c r="AD51" s="104"/>
      <c r="AE51" s="104"/>
      <c r="AF51" s="198"/>
      <c r="AG51" s="201"/>
      <c r="AH51" s="104" t="n">
        <f aca="false">AH11+AH45</f>
        <v>2195</v>
      </c>
      <c r="AI51" s="104" t="n">
        <f aca="false">AI43</f>
        <v>3883</v>
      </c>
      <c r="AJ51" s="79" t="n">
        <f aca="false">AJ12+AJ45</f>
        <v>0</v>
      </c>
      <c r="AK51" s="104" t="n">
        <f aca="false">AK11+AK45</f>
        <v>6030.5</v>
      </c>
      <c r="AL51" s="104" t="n">
        <f aca="false">AL11+AL45</f>
        <v>632.041063776153</v>
      </c>
      <c r="AM51" s="104" t="n">
        <f aca="false">AM11+AM45</f>
        <v>6662.54106377615</v>
      </c>
      <c r="AN51" s="203"/>
      <c r="AO51" s="133" t="n">
        <f aca="false">AO11+AO45</f>
        <v>453.2688</v>
      </c>
      <c r="AP51" s="204"/>
      <c r="AV51" s="205" t="n">
        <f aca="false">AV11+AV45</f>
        <v>2.35</v>
      </c>
      <c r="AW51" s="134"/>
      <c r="AX51" s="134"/>
      <c r="AY51" s="206"/>
      <c r="AZ51" s="239" t="n">
        <f aca="false">AZ11+AZ45</f>
        <v>213.956</v>
      </c>
    </row>
    <row r="52" customFormat="false" ht="12.95" hidden="false" customHeight="true" outlineLevel="0" collapsed="false">
      <c r="A52" s="173" t="s">
        <v>99</v>
      </c>
      <c r="B52" s="196"/>
      <c r="C52" s="104"/>
      <c r="D52" s="104" t="n">
        <f aca="false">D11+D46</f>
        <v>-5806</v>
      </c>
      <c r="E52" s="104" t="n">
        <f aca="false">E43</f>
        <v>126995</v>
      </c>
      <c r="F52" s="197" t="n">
        <f aca="false">F51*$D$2</f>
        <v>-5806</v>
      </c>
      <c r="G52" s="104" t="n">
        <f aca="false">G51*$D$2</f>
        <v>5672.81</v>
      </c>
      <c r="H52" s="134" t="n">
        <f aca="false">H51*$D$2</f>
        <v>47.00895</v>
      </c>
      <c r="I52" s="104" t="n">
        <f aca="false">I51*$D$2</f>
        <v>5719.81895</v>
      </c>
      <c r="J52" s="104" t="n">
        <f aca="false">J51*$D$2</f>
        <v>1689.33125</v>
      </c>
      <c r="K52" s="104" t="n">
        <f aca="false">K51*$D$2</f>
        <v>7409.1502</v>
      </c>
      <c r="L52" s="104" t="n">
        <f aca="false">L51*$D$2</f>
        <v>435.6778</v>
      </c>
      <c r="M52" s="198" t="n">
        <f aca="false">M51*$D$2</f>
        <v>797.7637</v>
      </c>
      <c r="N52" s="104" t="n">
        <f aca="false">N51*$D$2</f>
        <v>0</v>
      </c>
      <c r="O52" s="104" t="n">
        <f aca="false">O51*$D$2</f>
        <v>0</v>
      </c>
      <c r="P52" s="199"/>
      <c r="Q52" s="104" t="n">
        <f aca="false">Q51*$D$2</f>
        <v>191.8572111</v>
      </c>
      <c r="R52" s="104" t="n">
        <f aca="false">R51*$D$2</f>
        <v>284.07687</v>
      </c>
      <c r="S52" s="209" t="n">
        <f aca="false">S51*$D$2</f>
        <v>0</v>
      </c>
      <c r="T52" s="210" t="n">
        <f aca="false">T51*$D$2</f>
        <v>-51.5523551</v>
      </c>
      <c r="U52" s="104" t="n">
        <f aca="false">U51*$D$2</f>
        <v>6658.6095</v>
      </c>
      <c r="V52" s="104" t="n">
        <f aca="false">V51*$D$2</f>
        <v>151.34105</v>
      </c>
      <c r="W52" s="104" t="n">
        <f aca="false">W51*$D$2</f>
        <v>7183.332524</v>
      </c>
      <c r="X52" s="104" t="n">
        <f aca="false">X51*$D$2</f>
        <v>6284.2738592</v>
      </c>
      <c r="Y52" s="134"/>
      <c r="Z52" s="134"/>
      <c r="AA52" s="133"/>
      <c r="AB52" s="133"/>
      <c r="AC52" s="133"/>
      <c r="AD52" s="104"/>
      <c r="AE52" s="104"/>
      <c r="AF52" s="249"/>
      <c r="AG52" s="250"/>
      <c r="AH52" s="104" t="n">
        <f aca="false">AH51*$D$2</f>
        <v>4353.7825</v>
      </c>
      <c r="AI52" s="104" t="n">
        <f aca="false">AI51*$D$2</f>
        <v>7701.9305</v>
      </c>
      <c r="AJ52" s="79" t="n">
        <f aca="false">AJ51*$D$2</f>
        <v>0</v>
      </c>
      <c r="AK52" s="104" t="n">
        <f aca="false">AK51*$D$2</f>
        <v>11961.49675</v>
      </c>
      <c r="AL52" s="104" t="n">
        <f aca="false">AL51*$D$2</f>
        <v>1253.65345</v>
      </c>
      <c r="AM52" s="104" t="n">
        <f aca="false">AM51*$D$2</f>
        <v>13215.1502</v>
      </c>
      <c r="AN52" s="203" t="n">
        <f aca="false">AN43</f>
        <v>6398.632155</v>
      </c>
      <c r="AO52" s="133" t="n">
        <f aca="false">AO51*$D$2</f>
        <v>899.0586648</v>
      </c>
      <c r="AP52" s="204"/>
      <c r="AV52" s="205"/>
      <c r="AW52" s="134"/>
      <c r="AX52" s="134"/>
      <c r="AY52" s="206"/>
      <c r="AZ52" s="212" t="n">
        <f aca="false">AZ51*$D$2</f>
        <v>424.381726</v>
      </c>
    </row>
    <row r="53" customFormat="false" ht="3" hidden="false" customHeight="true" outlineLevel="0" collapsed="false">
      <c r="A53" s="214"/>
      <c r="B53" s="235"/>
      <c r="C53" s="216"/>
      <c r="D53" s="217"/>
      <c r="E53" s="216"/>
      <c r="F53" s="218"/>
      <c r="G53" s="217"/>
      <c r="H53" s="219"/>
      <c r="I53" s="217"/>
      <c r="J53" s="217"/>
      <c r="K53" s="217"/>
      <c r="L53" s="217"/>
      <c r="M53" s="220"/>
      <c r="N53" s="217"/>
      <c r="O53" s="217"/>
      <c r="P53" s="221"/>
      <c r="Q53" s="217"/>
      <c r="R53" s="217"/>
      <c r="S53" s="225"/>
      <c r="T53" s="222"/>
      <c r="U53" s="217"/>
      <c r="V53" s="217"/>
      <c r="W53" s="217"/>
      <c r="X53" s="217"/>
      <c r="Y53" s="223"/>
      <c r="Z53" s="223"/>
      <c r="AA53" s="224"/>
      <c r="AB53" s="224"/>
      <c r="AC53" s="224"/>
      <c r="AD53" s="216"/>
      <c r="AE53" s="217"/>
      <c r="AF53" s="220"/>
      <c r="AG53" s="225"/>
      <c r="AH53" s="217"/>
      <c r="AI53" s="216"/>
      <c r="AJ53" s="216"/>
      <c r="AK53" s="217"/>
      <c r="AL53" s="217"/>
      <c r="AM53" s="217"/>
      <c r="AN53" s="235"/>
      <c r="AO53" s="224"/>
      <c r="AP53" s="217"/>
      <c r="AQ53" s="251"/>
      <c r="AR53" s="251"/>
      <c r="AS53" s="227"/>
      <c r="AT53" s="227"/>
      <c r="AU53" s="223"/>
      <c r="AV53" s="235"/>
      <c r="AW53" s="217"/>
      <c r="AX53" s="217"/>
      <c r="AY53" s="217"/>
      <c r="AZ53" s="252"/>
    </row>
    <row r="54" customFormat="false" ht="11.1" hidden="false" customHeight="true" outlineLevel="0" collapsed="false">
      <c r="A54" s="173"/>
      <c r="B54" s="253"/>
      <c r="D54" s="173"/>
      <c r="F54" s="173"/>
      <c r="G54" s="173"/>
      <c r="I54" s="173"/>
      <c r="J54" s="173"/>
      <c r="K54" s="173"/>
      <c r="L54" s="173"/>
      <c r="M54" s="173"/>
      <c r="N54" s="173"/>
      <c r="O54" s="173"/>
      <c r="Q54" s="173"/>
      <c r="R54" s="173"/>
      <c r="S54" s="173"/>
      <c r="U54" s="173"/>
      <c r="V54" s="173"/>
      <c r="W54" s="173"/>
      <c r="X54" s="173"/>
      <c r="AD54" s="105"/>
      <c r="AE54" s="173"/>
      <c r="AF54" s="173"/>
      <c r="AG54" s="173"/>
      <c r="AH54" s="173"/>
      <c r="AI54" s="105"/>
      <c r="AJ54" s="208"/>
      <c r="AK54" s="173"/>
      <c r="AL54" s="173"/>
      <c r="AM54" s="173"/>
      <c r="AN54" s="171"/>
      <c r="AO54" s="254"/>
      <c r="AX54" s="168"/>
      <c r="AY54" s="168"/>
    </row>
    <row r="55" customFormat="false" ht="11.1" hidden="false" customHeight="true" outlineLevel="0" collapsed="false">
      <c r="A55" s="173"/>
      <c r="B55" s="255"/>
      <c r="F55" s="173"/>
      <c r="G55" s="173"/>
      <c r="I55" s="174"/>
      <c r="J55" s="173"/>
      <c r="K55" s="163"/>
      <c r="L55" s="173"/>
      <c r="M55" s="173"/>
      <c r="N55" s="173"/>
      <c r="O55" s="173"/>
      <c r="Q55" s="173"/>
      <c r="R55" s="173"/>
      <c r="S55" s="173"/>
      <c r="U55" s="173"/>
      <c r="V55" s="173"/>
      <c r="W55" s="173"/>
      <c r="X55" s="173"/>
      <c r="AD55" s="105"/>
      <c r="AE55" s="173"/>
      <c r="AF55" s="173"/>
      <c r="AG55" s="173"/>
      <c r="AH55" s="173"/>
      <c r="AI55" s="105"/>
      <c r="AJ55" s="208"/>
      <c r="AK55" s="173"/>
      <c r="AL55" s="173"/>
      <c r="AM55" s="173"/>
      <c r="AN55" s="171"/>
      <c r="AO55" s="254"/>
      <c r="AX55" s="168"/>
      <c r="AY55" s="168"/>
    </row>
    <row r="56" customFormat="false" ht="11.1" hidden="false" customHeight="true" outlineLevel="0" collapsed="false">
      <c r="D56" s="105"/>
      <c r="Q56" s="166"/>
      <c r="R56" s="166"/>
      <c r="S56" s="166"/>
      <c r="W56" s="9"/>
      <c r="X56" s="9"/>
      <c r="AD56" s="105"/>
      <c r="AH56" s="9"/>
      <c r="AI56" s="105"/>
      <c r="AJ56" s="208"/>
      <c r="AM56" s="9"/>
      <c r="AN56" s="171"/>
      <c r="AO56" s="254"/>
      <c r="AX56" s="168"/>
      <c r="AY56" s="168"/>
    </row>
    <row r="57" customFormat="false" ht="11.1" hidden="false" customHeight="true" outlineLevel="0" collapsed="false">
      <c r="B57" s="167"/>
      <c r="D57" s="105"/>
    </row>
    <row r="58" customFormat="false" ht="11.1" hidden="false" customHeight="true" outlineLevel="0" collapsed="false">
      <c r="G58" s="256"/>
    </row>
  </sheetData>
  <mergeCells count="2">
    <mergeCell ref="K2:AD2"/>
    <mergeCell ref="M5:T5"/>
  </mergeCells>
  <printOptions headings="true" gridLines="true" gridLinesSet="true" horizontalCentered="false" verticalCentered="true"/>
  <pageMargins left="0.25" right="0.25" top="0.25" bottom="0" header="0.511811023622047" footer="0.511811023622047"/>
  <pageSetup paperSize="3" scale="97"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1" ySplit="12" topLeftCell="B31" activePane="bottomRight" state="frozen"/>
      <selection pane="topLeft" activeCell="A1" activeCellId="0" sqref="A1"/>
      <selection pane="topRight" activeCell="B1" activeCellId="0" sqref="B1"/>
      <selection pane="bottomLeft" activeCell="A31" activeCellId="0" sqref="A31"/>
      <selection pane="bottomRight" activeCell="H3" activeCellId="1" sqref="E20:E43 H3"/>
    </sheetView>
  </sheetViews>
  <sheetFormatPr defaultColWidth="9.3359375" defaultRowHeight="11.1" zeroHeight="false" outlineLevelRow="0" outlineLevelCol="0"/>
  <cols>
    <col collapsed="false" customWidth="true" hidden="false" outlineLevel="0" max="1" min="1" style="9" width="4.67"/>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165" width="5.67"/>
    <col collapsed="false" customWidth="true" hidden="false" outlineLevel="0" max="11" min="9" style="9" width="6.32"/>
    <col collapsed="false" customWidth="true" hidden="false" outlineLevel="0" max="12" min="12" style="9" width="7.16"/>
    <col collapsed="false" customWidth="true" hidden="false" outlineLevel="0" max="13" min="13" style="257" width="5.49"/>
    <col collapsed="false" customWidth="true" hidden="false" outlineLevel="0" max="14" min="14" style="166" width="4.49"/>
    <col collapsed="false" customWidth="true" hidden="false" outlineLevel="0" max="15" min="15" style="166" width="5.49"/>
    <col collapsed="false" customWidth="true" hidden="false" outlineLevel="0" max="16" min="16" style="167" width="4.82"/>
    <col collapsed="false" customWidth="true" hidden="false" outlineLevel="0" max="18" min="17" style="166" width="4.32"/>
    <col collapsed="false" customWidth="true" hidden="false" outlineLevel="0" max="19" min="19" style="9" width="4.32"/>
    <col collapsed="false" customWidth="true" hidden="false" outlineLevel="0" max="20" min="20" style="167" width="5.49"/>
    <col collapsed="false" customWidth="true" hidden="false" outlineLevel="0" max="22" min="21" style="9" width="5.49"/>
    <col collapsed="false" customWidth="true" hidden="false" outlineLevel="0" max="25" min="23" style="105" width="6.32"/>
    <col collapsed="false" customWidth="true" hidden="false" outlineLevel="0" max="26" min="26" style="168" width="6.32"/>
    <col collapsed="false" customWidth="true" hidden="false" outlineLevel="0" max="33" min="27" style="9" width="5.49"/>
    <col collapsed="false" customWidth="true" hidden="false" outlineLevel="0" max="34" min="34" style="105" width="6.32"/>
    <col collapsed="false" customWidth="true" hidden="false" outlineLevel="0" max="35" min="35" style="9" width="5.49"/>
    <col collapsed="false" customWidth="true" hidden="false" outlineLevel="0" max="36" min="36" style="169" width="6.32"/>
    <col collapsed="false" customWidth="true" hidden="false" outlineLevel="0" max="37" min="37" style="9" width="6.32"/>
    <col collapsed="false" customWidth="true" hidden="false" outlineLevel="0" max="38" min="38" style="9" width="6.99"/>
    <col collapsed="false" customWidth="true" hidden="false" outlineLevel="0" max="39" min="39" style="167" width="6.99"/>
    <col collapsed="false" customWidth="true" hidden="false" outlineLevel="0" max="40" min="40" style="9" width="5.49"/>
    <col collapsed="false" customWidth="true" hidden="false" outlineLevel="0" max="41" min="41" style="258" width="5.49"/>
    <col collapsed="false" customWidth="true" hidden="false" outlineLevel="0" max="42" min="42" style="9" width="6.32"/>
    <col collapsed="false" customWidth="true" hidden="false" outlineLevel="0" max="45" min="43" style="258" width="6.32"/>
    <col collapsed="false" customWidth="true" hidden="false" outlineLevel="0" max="46" min="46" style="9" width="5.82"/>
    <col collapsed="false" customWidth="true" hidden="false" outlineLevel="0" max="47" min="47" style="169" width="4.99"/>
    <col collapsed="false" customWidth="true" hidden="false" outlineLevel="0" max="48" min="48" style="165" width="5.32"/>
    <col collapsed="false" customWidth="true" hidden="false" outlineLevel="0" max="49" min="49" style="168" width="3.82"/>
    <col collapsed="false" customWidth="true" hidden="false" outlineLevel="0" max="50" min="50" style="171" width="3.82"/>
    <col collapsed="false" customWidth="true" hidden="false" outlineLevel="0" max="51" min="51" style="172" width="4.32"/>
    <col collapsed="false" customWidth="true" hidden="false" outlineLevel="0" max="52" min="52" style="169" width="6.49"/>
    <col collapsed="false" customWidth="false" hidden="false" outlineLevel="0" max="257" min="53" style="172" width="9.32"/>
  </cols>
  <sheetData>
    <row r="1" customFormat="false" ht="14.1" hidden="false" customHeight="true" outlineLevel="0" collapsed="false">
      <c r="A1" s="173"/>
      <c r="B1" s="173"/>
      <c r="D1" s="173"/>
      <c r="F1" s="173"/>
      <c r="G1" s="173"/>
      <c r="I1" s="173"/>
      <c r="J1" s="173"/>
      <c r="K1" s="175" t="s">
        <v>0</v>
      </c>
      <c r="L1" s="173"/>
      <c r="N1" s="173"/>
      <c r="O1" s="173"/>
      <c r="Q1" s="173"/>
      <c r="R1" s="173"/>
      <c r="S1" s="173"/>
      <c r="U1" s="173"/>
      <c r="V1" s="173"/>
      <c r="AA1" s="173"/>
      <c r="AB1" s="173"/>
      <c r="AC1" s="173"/>
      <c r="AD1" s="173"/>
      <c r="AE1" s="173"/>
      <c r="AF1" s="173"/>
      <c r="AG1" s="173"/>
      <c r="AI1" s="173"/>
      <c r="AJ1" s="176"/>
      <c r="AK1" s="173"/>
      <c r="AL1" s="173"/>
      <c r="AN1" s="176"/>
      <c r="AO1" s="259"/>
      <c r="AP1" s="176"/>
      <c r="AY1" s="171"/>
    </row>
    <row r="2" customFormat="false" ht="14.1" hidden="false" customHeight="true" outlineLevel="0" collapsed="false">
      <c r="A2" s="176" t="s">
        <v>1</v>
      </c>
      <c r="B2" s="173"/>
      <c r="D2" s="177" t="n">
        <v>1.9835</v>
      </c>
      <c r="F2" s="173"/>
      <c r="G2" s="173"/>
      <c r="I2" s="173"/>
      <c r="J2" s="173"/>
      <c r="K2" s="178" t="s">
        <v>103</v>
      </c>
      <c r="L2" s="178"/>
      <c r="M2" s="178"/>
      <c r="N2" s="178"/>
      <c r="O2" s="178"/>
      <c r="P2" s="178"/>
      <c r="Q2" s="178"/>
      <c r="R2" s="178"/>
      <c r="S2" s="178"/>
      <c r="T2" s="178"/>
      <c r="U2" s="178"/>
      <c r="V2" s="178"/>
      <c r="W2" s="178"/>
      <c r="X2" s="178"/>
      <c r="Y2" s="178"/>
      <c r="Z2" s="178"/>
      <c r="AA2" s="178"/>
      <c r="AB2" s="178"/>
      <c r="AC2" s="178"/>
      <c r="AD2" s="178"/>
      <c r="AE2" s="173"/>
      <c r="AF2" s="173"/>
      <c r="AG2" s="173"/>
      <c r="AI2" s="173"/>
      <c r="AJ2" s="176"/>
      <c r="AK2" s="173"/>
      <c r="AL2" s="173"/>
      <c r="AN2" s="176"/>
      <c r="AO2" s="259"/>
      <c r="AP2" s="176"/>
      <c r="AY2" s="171"/>
    </row>
    <row r="3" customFormat="false" ht="14.1" hidden="false" customHeight="true" outlineLevel="0" collapsed="false">
      <c r="A3" s="179"/>
      <c r="B3" s="179"/>
      <c r="C3" s="180"/>
      <c r="D3" s="181"/>
      <c r="E3" s="180"/>
      <c r="F3" s="179"/>
      <c r="G3" s="179"/>
      <c r="H3" s="189"/>
      <c r="I3" s="179"/>
      <c r="J3" s="179"/>
      <c r="K3" s="179"/>
      <c r="L3" s="179"/>
      <c r="M3" s="260"/>
      <c r="N3" s="179"/>
      <c r="O3" s="179"/>
      <c r="P3" s="183"/>
      <c r="Q3" s="179"/>
      <c r="R3" s="179"/>
      <c r="S3" s="179"/>
      <c r="T3" s="183"/>
      <c r="U3" s="179"/>
      <c r="V3" s="179"/>
      <c r="W3" s="180"/>
      <c r="X3" s="180"/>
      <c r="Y3" s="180"/>
      <c r="Z3" s="184"/>
      <c r="AA3" s="179"/>
      <c r="AB3" s="179"/>
      <c r="AC3" s="179"/>
      <c r="AD3" s="179"/>
      <c r="AE3" s="179"/>
      <c r="AF3" s="179"/>
      <c r="AG3" s="179"/>
      <c r="AH3" s="180"/>
      <c r="AI3" s="179"/>
      <c r="AJ3" s="186"/>
      <c r="AK3" s="179"/>
      <c r="AL3" s="179"/>
      <c r="AM3" s="183"/>
      <c r="AN3" s="186"/>
      <c r="AO3" s="261"/>
      <c r="AP3" s="186"/>
      <c r="AQ3" s="262"/>
      <c r="AV3" s="189"/>
      <c r="AW3" s="184"/>
      <c r="AX3" s="190"/>
      <c r="AY3" s="171"/>
    </row>
    <row r="4" s="1" customFormat="true" ht="14.1" hidden="false" customHeight="true" outlineLevel="0" collapsed="false">
      <c r="A4" s="32"/>
      <c r="B4" s="33"/>
      <c r="C4" s="34"/>
      <c r="D4" s="35" t="s">
        <v>3</v>
      </c>
      <c r="E4" s="34"/>
      <c r="F4" s="32"/>
      <c r="G4" s="36"/>
      <c r="H4" s="36"/>
      <c r="I4" s="36"/>
      <c r="J4" s="36"/>
      <c r="K4" s="36"/>
      <c r="L4" s="36"/>
      <c r="M4" s="36"/>
      <c r="N4" s="36"/>
      <c r="O4" s="36"/>
      <c r="P4" s="37"/>
      <c r="Q4" s="36"/>
      <c r="R4" s="36"/>
      <c r="S4" s="36"/>
      <c r="T4" s="37"/>
      <c r="U4" s="36"/>
      <c r="V4" s="36"/>
      <c r="W4" s="38" t="s">
        <v>4</v>
      </c>
      <c r="X4" s="38"/>
      <c r="Y4" s="38"/>
      <c r="Z4" s="38"/>
      <c r="AA4" s="39"/>
      <c r="AB4" s="39"/>
      <c r="AC4" s="39"/>
      <c r="AD4" s="40"/>
      <c r="AE4" s="36"/>
      <c r="AF4" s="36"/>
      <c r="AG4" s="36"/>
      <c r="AH4" s="34"/>
      <c r="AI4" s="36"/>
      <c r="AJ4" s="41"/>
      <c r="AK4" s="36"/>
      <c r="AL4" s="36"/>
      <c r="AM4" s="37"/>
      <c r="AN4" s="42"/>
      <c r="AO4" s="43"/>
      <c r="AP4" s="44" t="s">
        <v>5</v>
      </c>
      <c r="AQ4" s="45"/>
      <c r="AR4" s="46"/>
      <c r="AS4" s="47"/>
      <c r="AT4" s="48"/>
      <c r="AU4" s="48"/>
      <c r="AV4" s="49"/>
      <c r="AW4" s="50" t="s">
        <v>6</v>
      </c>
      <c r="AX4" s="51"/>
      <c r="AY4" s="192"/>
      <c r="AZ4" s="193"/>
    </row>
    <row r="5" customFormat="false" ht="12.95" hidden="false" customHeight="true" outlineLevel="0" collapsed="false">
      <c r="A5" s="53" t="s">
        <v>7</v>
      </c>
      <c r="B5" s="54" t="s">
        <v>8</v>
      </c>
      <c r="C5" s="55" t="s">
        <v>8</v>
      </c>
      <c r="D5" s="56" t="s">
        <v>9</v>
      </c>
      <c r="E5" s="55" t="s">
        <v>10</v>
      </c>
      <c r="F5" s="57" t="s">
        <v>11</v>
      </c>
      <c r="G5" s="53" t="s">
        <v>12</v>
      </c>
      <c r="H5" s="53" t="s">
        <v>13</v>
      </c>
      <c r="I5" s="53" t="s">
        <v>14</v>
      </c>
      <c r="J5" s="53" t="s">
        <v>15</v>
      </c>
      <c r="K5" s="53" t="s">
        <v>16</v>
      </c>
      <c r="L5" s="53" t="s">
        <v>15</v>
      </c>
      <c r="M5" s="58" t="s">
        <v>17</v>
      </c>
      <c r="N5" s="58"/>
      <c r="O5" s="58"/>
      <c r="P5" s="58"/>
      <c r="Q5" s="58"/>
      <c r="R5" s="58"/>
      <c r="S5" s="58"/>
      <c r="T5" s="58"/>
      <c r="U5" s="53" t="s">
        <v>18</v>
      </c>
      <c r="V5" s="53" t="s">
        <v>19</v>
      </c>
      <c r="W5" s="53" t="s">
        <v>16</v>
      </c>
      <c r="X5" s="53" t="s">
        <v>16</v>
      </c>
      <c r="Y5" s="53" t="s">
        <v>16</v>
      </c>
      <c r="Z5" s="59" t="s">
        <v>20</v>
      </c>
      <c r="AA5" s="60" t="s">
        <v>21</v>
      </c>
      <c r="AB5" s="60" t="s">
        <v>21</v>
      </c>
      <c r="AC5" s="60" t="s">
        <v>22</v>
      </c>
      <c r="AD5" s="61" t="s">
        <v>21</v>
      </c>
      <c r="AE5" s="53" t="s">
        <v>23</v>
      </c>
      <c r="AF5" s="62" t="s">
        <v>24</v>
      </c>
      <c r="AG5" s="63"/>
      <c r="AH5" s="53" t="s">
        <v>25</v>
      </c>
      <c r="AI5" s="64" t="s">
        <v>26</v>
      </c>
      <c r="AJ5" s="64" t="s">
        <v>27</v>
      </c>
      <c r="AK5" s="53" t="s">
        <v>14</v>
      </c>
      <c r="AL5" s="53" t="s">
        <v>15</v>
      </c>
      <c r="AM5" s="56" t="s">
        <v>16</v>
      </c>
      <c r="AN5" s="65" t="s">
        <v>28</v>
      </c>
      <c r="AO5" s="61" t="s">
        <v>21</v>
      </c>
      <c r="AP5" s="60" t="s">
        <v>29</v>
      </c>
      <c r="AQ5" s="66" t="s">
        <v>29</v>
      </c>
      <c r="AR5" s="61" t="s">
        <v>30</v>
      </c>
      <c r="AS5" s="67" t="s">
        <v>31</v>
      </c>
      <c r="AT5" s="67" t="s">
        <v>32</v>
      </c>
      <c r="AU5" s="68" t="s">
        <v>33</v>
      </c>
      <c r="AV5" s="69" t="s">
        <v>34</v>
      </c>
      <c r="AW5" s="70" t="s">
        <v>35</v>
      </c>
      <c r="AX5" s="70" t="s">
        <v>36</v>
      </c>
      <c r="AY5" s="194"/>
      <c r="AZ5" s="195" t="s">
        <v>16</v>
      </c>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2" t="s">
        <v>104</v>
      </c>
      <c r="B6" s="54" t="s">
        <v>38</v>
      </c>
      <c r="C6" s="55"/>
      <c r="D6" s="56" t="s">
        <v>39</v>
      </c>
      <c r="E6" s="55" t="s">
        <v>40</v>
      </c>
      <c r="F6" s="57" t="s">
        <v>41</v>
      </c>
      <c r="G6" s="53" t="s">
        <v>42</v>
      </c>
      <c r="H6" s="53" t="s">
        <v>43</v>
      </c>
      <c r="I6" s="53" t="s">
        <v>44</v>
      </c>
      <c r="J6" s="53" t="s">
        <v>44</v>
      </c>
      <c r="K6" s="53" t="s">
        <v>44</v>
      </c>
      <c r="L6" s="53" t="s">
        <v>45</v>
      </c>
      <c r="M6" s="73" t="s">
        <v>46</v>
      </c>
      <c r="N6" s="56" t="s">
        <v>47</v>
      </c>
      <c r="O6" s="56" t="s">
        <v>48</v>
      </c>
      <c r="P6" s="74" t="s">
        <v>49</v>
      </c>
      <c r="Q6" s="56" t="s">
        <v>50</v>
      </c>
      <c r="R6" s="56" t="s">
        <v>51</v>
      </c>
      <c r="S6" s="56" t="s">
        <v>52</v>
      </c>
      <c r="T6" s="75" t="s">
        <v>53</v>
      </c>
      <c r="U6" s="53" t="s">
        <v>54</v>
      </c>
      <c r="V6" s="53" t="s">
        <v>55</v>
      </c>
      <c r="W6" s="53" t="s">
        <v>21</v>
      </c>
      <c r="X6" s="53" t="s">
        <v>21</v>
      </c>
      <c r="Y6" s="53" t="s">
        <v>21</v>
      </c>
      <c r="Z6" s="53" t="s">
        <v>21</v>
      </c>
      <c r="AA6" s="60" t="s">
        <v>56</v>
      </c>
      <c r="AB6" s="60" t="s">
        <v>57</v>
      </c>
      <c r="AC6" s="60" t="s">
        <v>58</v>
      </c>
      <c r="AD6" s="61" t="s">
        <v>59</v>
      </c>
      <c r="AE6" s="53" t="s">
        <v>60</v>
      </c>
      <c r="AF6" s="73" t="s">
        <v>61</v>
      </c>
      <c r="AG6" s="76" t="s">
        <v>62</v>
      </c>
      <c r="AH6" s="53" t="s">
        <v>63</v>
      </c>
      <c r="AI6" s="64" t="s">
        <v>64</v>
      </c>
      <c r="AJ6" s="64"/>
      <c r="AK6" s="53" t="s">
        <v>65</v>
      </c>
      <c r="AL6" s="53" t="s">
        <v>65</v>
      </c>
      <c r="AM6" s="56" t="s">
        <v>65</v>
      </c>
      <c r="AN6" s="65" t="s">
        <v>56</v>
      </c>
      <c r="AO6" s="61" t="s">
        <v>66</v>
      </c>
      <c r="AP6" s="60" t="s">
        <v>67</v>
      </c>
      <c r="AQ6" s="66" t="s">
        <v>67</v>
      </c>
      <c r="AR6" s="61" t="s">
        <v>68</v>
      </c>
      <c r="AS6" s="67" t="s">
        <v>69</v>
      </c>
      <c r="AT6" s="67" t="s">
        <v>70</v>
      </c>
      <c r="AU6" s="68" t="s">
        <v>71</v>
      </c>
      <c r="AV6" s="77"/>
      <c r="AW6" s="70" t="s">
        <v>72</v>
      </c>
      <c r="AX6" s="70" t="s">
        <v>72</v>
      </c>
      <c r="AY6" s="194"/>
      <c r="AZ6" s="195" t="s">
        <v>73</v>
      </c>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3"/>
      <c r="B7" s="54"/>
      <c r="C7" s="55"/>
      <c r="D7" s="56"/>
      <c r="E7" s="55"/>
      <c r="F7" s="57"/>
      <c r="G7" s="53"/>
      <c r="H7" s="53"/>
      <c r="I7" s="53"/>
      <c r="J7" s="53"/>
      <c r="K7" s="53"/>
      <c r="L7" s="53"/>
      <c r="M7" s="73"/>
      <c r="N7" s="56" t="s">
        <v>74</v>
      </c>
      <c r="O7" s="56" t="s">
        <v>75</v>
      </c>
      <c r="P7" s="74"/>
      <c r="Q7" s="56"/>
      <c r="R7" s="56"/>
      <c r="S7" s="56" t="s">
        <v>48</v>
      </c>
      <c r="T7" s="75" t="s">
        <v>27</v>
      </c>
      <c r="U7" s="53"/>
      <c r="V7" s="53"/>
      <c r="W7" s="64" t="n">
        <v>153400</v>
      </c>
      <c r="X7" s="55" t="s">
        <v>76</v>
      </c>
      <c r="Y7" s="55" t="s">
        <v>76</v>
      </c>
      <c r="Z7" s="59" t="n">
        <v>105500</v>
      </c>
      <c r="AA7" s="60"/>
      <c r="AB7" s="60" t="s">
        <v>77</v>
      </c>
      <c r="AC7" s="60"/>
      <c r="AD7" s="61"/>
      <c r="AE7" s="76"/>
      <c r="AF7" s="78" t="n">
        <v>1.7</v>
      </c>
      <c r="AG7" s="78" t="n">
        <v>1.3</v>
      </c>
      <c r="AH7" s="73"/>
      <c r="AI7" s="79" t="n">
        <v>31798</v>
      </c>
      <c r="AJ7" s="64"/>
      <c r="AK7" s="53"/>
      <c r="AL7" s="53"/>
      <c r="AM7" s="56"/>
      <c r="AN7" s="65"/>
      <c r="AO7" s="61"/>
      <c r="AP7" s="60" t="s">
        <v>78</v>
      </c>
      <c r="AQ7" s="66" t="s">
        <v>79</v>
      </c>
      <c r="AR7" s="61" t="s">
        <v>80</v>
      </c>
      <c r="AS7" s="67" t="s">
        <v>81</v>
      </c>
      <c r="AT7" s="67" t="s">
        <v>82</v>
      </c>
      <c r="AU7" s="68" t="s">
        <v>61</v>
      </c>
      <c r="AV7" s="77"/>
      <c r="AW7" s="70"/>
      <c r="AX7" s="70"/>
      <c r="AY7" s="194"/>
      <c r="AZ7" s="195" t="s">
        <v>88</v>
      </c>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3"/>
      <c r="B8" s="54"/>
      <c r="C8" s="55" t="s">
        <v>84</v>
      </c>
      <c r="D8" s="56"/>
      <c r="E8" s="55" t="s">
        <v>85</v>
      </c>
      <c r="F8" s="57"/>
      <c r="G8" s="56" t="s">
        <v>41</v>
      </c>
      <c r="H8" s="56" t="s">
        <v>41</v>
      </c>
      <c r="I8" s="56" t="s">
        <v>41</v>
      </c>
      <c r="J8" s="56" t="s">
        <v>41</v>
      </c>
      <c r="K8" s="56" t="s">
        <v>41</v>
      </c>
      <c r="L8" s="76" t="s">
        <v>41</v>
      </c>
      <c r="M8" s="56" t="s">
        <v>41</v>
      </c>
      <c r="N8" s="56" t="s">
        <v>41</v>
      </c>
      <c r="O8" s="56" t="s">
        <v>41</v>
      </c>
      <c r="P8" s="56" t="s">
        <v>41</v>
      </c>
      <c r="Q8" s="56" t="s">
        <v>41</v>
      </c>
      <c r="R8" s="56" t="s">
        <v>41</v>
      </c>
      <c r="S8" s="56" t="s">
        <v>62</v>
      </c>
      <c r="T8" s="76" t="s">
        <v>41</v>
      </c>
      <c r="U8" s="56" t="s">
        <v>41</v>
      </c>
      <c r="V8" s="56" t="s">
        <v>41</v>
      </c>
      <c r="W8" s="56" t="s">
        <v>41</v>
      </c>
      <c r="X8" s="55" t="n">
        <v>150400</v>
      </c>
      <c r="Y8" s="55" t="n">
        <v>150400</v>
      </c>
      <c r="Z8" s="80" t="s">
        <v>86</v>
      </c>
      <c r="AA8" s="56" t="s">
        <v>41</v>
      </c>
      <c r="AB8" s="55" t="n">
        <v>72000</v>
      </c>
      <c r="AC8" s="56" t="s">
        <v>41</v>
      </c>
      <c r="AD8" s="56" t="s">
        <v>41</v>
      </c>
      <c r="AE8" s="76" t="s">
        <v>41</v>
      </c>
      <c r="AF8" s="56" t="s">
        <v>41</v>
      </c>
      <c r="AG8" s="56" t="s">
        <v>41</v>
      </c>
      <c r="AH8" s="73" t="s">
        <v>41</v>
      </c>
      <c r="AI8" s="56" t="s">
        <v>41</v>
      </c>
      <c r="AJ8" s="56" t="s">
        <v>41</v>
      </c>
      <c r="AK8" s="56" t="s">
        <v>41</v>
      </c>
      <c r="AL8" s="56" t="s">
        <v>41</v>
      </c>
      <c r="AM8" s="56" t="s">
        <v>41</v>
      </c>
      <c r="AN8" s="65" t="s">
        <v>85</v>
      </c>
      <c r="AO8" s="61" t="s">
        <v>41</v>
      </c>
      <c r="AP8" s="61" t="s">
        <v>41</v>
      </c>
      <c r="AQ8" s="66" t="s">
        <v>87</v>
      </c>
      <c r="AR8" s="61" t="s">
        <v>41</v>
      </c>
      <c r="AS8" s="61" t="s">
        <v>41</v>
      </c>
      <c r="AT8" s="61" t="s">
        <v>41</v>
      </c>
      <c r="AU8" s="61" t="s">
        <v>41</v>
      </c>
      <c r="AV8" s="77"/>
      <c r="AW8" s="70"/>
      <c r="AX8" s="70"/>
      <c r="AY8" s="194"/>
      <c r="AZ8" s="195" t="s">
        <v>41</v>
      </c>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3"/>
      <c r="B9" s="54"/>
      <c r="C9" s="55"/>
      <c r="D9" s="56"/>
      <c r="E9" s="55"/>
      <c r="F9" s="57"/>
      <c r="G9" s="53"/>
      <c r="H9" s="53"/>
      <c r="I9" s="53"/>
      <c r="J9" s="53"/>
      <c r="K9" s="53"/>
      <c r="L9" s="76"/>
      <c r="M9" s="56"/>
      <c r="N9" s="45" t="n">
        <v>1.03</v>
      </c>
      <c r="O9" s="45" t="n">
        <v>1.05</v>
      </c>
      <c r="P9" s="45" t="n">
        <v>1.02</v>
      </c>
      <c r="Q9" s="81" t="n">
        <v>1.02</v>
      </c>
      <c r="R9" s="45" t="n">
        <v>1.04</v>
      </c>
      <c r="S9" s="56" t="s">
        <v>41</v>
      </c>
      <c r="T9" s="75"/>
      <c r="U9" s="53"/>
      <c r="V9" s="53"/>
      <c r="W9" s="53"/>
      <c r="X9" s="56" t="s">
        <v>41</v>
      </c>
      <c r="Y9" s="80" t="s">
        <v>86</v>
      </c>
      <c r="Z9" s="80"/>
      <c r="AA9" s="60"/>
      <c r="AB9" s="80" t="s">
        <v>86</v>
      </c>
      <c r="AC9" s="60"/>
      <c r="AD9" s="60"/>
      <c r="AE9" s="82"/>
      <c r="AF9" s="78"/>
      <c r="AG9" s="78"/>
      <c r="AH9" s="73"/>
      <c r="AI9" s="79"/>
      <c r="AJ9" s="83"/>
      <c r="AK9" s="53"/>
      <c r="AL9" s="53"/>
      <c r="AM9" s="56"/>
      <c r="AN9" s="65"/>
      <c r="AO9" s="61"/>
      <c r="AP9" s="60"/>
      <c r="AQ9" s="66"/>
      <c r="AR9" s="66"/>
      <c r="AS9" s="84"/>
      <c r="AT9" s="84"/>
      <c r="AU9" s="84"/>
      <c r="AV9" s="77"/>
      <c r="AW9" s="70"/>
      <c r="AX9" s="70"/>
      <c r="AY9" s="194"/>
      <c r="AZ9" s="207"/>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176" t="s">
        <v>89</v>
      </c>
      <c r="B10" s="263"/>
      <c r="D10" s="105"/>
      <c r="F10" s="264"/>
      <c r="G10" s="105"/>
      <c r="I10" s="105"/>
      <c r="J10" s="105"/>
      <c r="K10" s="105"/>
      <c r="L10" s="105"/>
      <c r="M10" s="265"/>
      <c r="N10" s="105"/>
      <c r="O10" s="105"/>
      <c r="Q10" s="105"/>
      <c r="R10" s="105"/>
      <c r="S10" s="105"/>
      <c r="T10" s="266"/>
      <c r="U10" s="105"/>
      <c r="V10" s="105"/>
      <c r="AA10" s="105"/>
      <c r="AB10" s="105"/>
      <c r="AC10" s="105"/>
      <c r="AD10" s="105"/>
      <c r="AE10" s="105"/>
      <c r="AF10" s="198"/>
      <c r="AG10" s="201"/>
      <c r="AI10" s="105"/>
      <c r="AJ10" s="208"/>
      <c r="AK10" s="105"/>
      <c r="AL10" s="105"/>
      <c r="AM10" s="105"/>
      <c r="AN10" s="267"/>
      <c r="AO10" s="171"/>
      <c r="AP10" s="173"/>
      <c r="AV10" s="268"/>
      <c r="AX10" s="168"/>
      <c r="AY10" s="206"/>
      <c r="AZ10" s="207"/>
    </row>
    <row r="11" s="213" customFormat="true" ht="12.95" hidden="false" customHeight="true" outlineLevel="0" collapsed="false">
      <c r="A11" s="208" t="s">
        <v>90</v>
      </c>
      <c r="B11" s="269" t="n">
        <f aca="false">DEC!B43</f>
        <v>6898.75</v>
      </c>
      <c r="C11" s="105" t="n">
        <f aca="false">DEC!C43</f>
        <v>278995</v>
      </c>
      <c r="D11" s="105" t="n">
        <f aca="false">DEC!D52</f>
        <v>-5806</v>
      </c>
      <c r="E11" s="105" t="n">
        <f aca="false">DEC!E52</f>
        <v>126995</v>
      </c>
      <c r="F11" s="264" t="n">
        <f aca="false">DEC!F51</f>
        <v>-2927.14897907739</v>
      </c>
      <c r="G11" s="105" t="n">
        <f aca="false">DEC!G51</f>
        <v>2860</v>
      </c>
      <c r="H11" s="270" t="n">
        <f aca="false">DEC!H51</f>
        <v>23.7</v>
      </c>
      <c r="I11" s="105" t="n">
        <f aca="false">DEC!I51</f>
        <v>2883.7</v>
      </c>
      <c r="J11" s="105" t="n">
        <f aca="false">DEC!J51</f>
        <v>851.692084698765</v>
      </c>
      <c r="K11" s="105" t="n">
        <f aca="false">DEC!K51</f>
        <v>3735.39208469876</v>
      </c>
      <c r="L11" s="105" t="n">
        <f aca="false">DEC!L51</f>
        <v>219.651020922612</v>
      </c>
      <c r="M11" s="271" t="n">
        <f aca="false">DEC!M51</f>
        <v>402.2</v>
      </c>
      <c r="N11" s="105" t="n">
        <f aca="false">DEC!N51</f>
        <v>0</v>
      </c>
      <c r="O11" s="105" t="n">
        <f aca="false">DEC!O51</f>
        <v>0</v>
      </c>
      <c r="P11" s="167"/>
      <c r="Q11" s="105" t="n">
        <f aca="false">DEC!Q51</f>
        <v>96.7266</v>
      </c>
      <c r="R11" s="105" t="n">
        <f aca="false">DEC!R51</f>
        <v>143.22</v>
      </c>
      <c r="S11" s="272" t="n">
        <f aca="false">DEC!S51</f>
        <v>0</v>
      </c>
      <c r="T11" s="273" t="n">
        <f aca="false">DEC!T51</f>
        <v>-25.9906</v>
      </c>
      <c r="U11" s="105" t="n">
        <f aca="false">DEC!U51</f>
        <v>3357</v>
      </c>
      <c r="V11" s="105" t="n">
        <f aca="false">DEC!V51</f>
        <v>76.3</v>
      </c>
      <c r="W11" s="105" t="n">
        <f aca="false">DEC!W51</f>
        <v>3621.544</v>
      </c>
      <c r="X11" s="105" t="n">
        <f aca="false">DEC!X51</f>
        <v>3168.2752</v>
      </c>
      <c r="Y11" s="168" t="n">
        <f aca="false">DEC!Y43</f>
        <v>6284.2738592</v>
      </c>
      <c r="Z11" s="168" t="n">
        <f aca="false">DEC!Z43</f>
        <v>4407.37073325227</v>
      </c>
      <c r="AA11" s="105"/>
      <c r="AB11" s="105"/>
      <c r="AC11" s="105"/>
      <c r="AD11" s="105"/>
      <c r="AE11" s="105"/>
      <c r="AF11" s="198"/>
      <c r="AG11" s="201"/>
      <c r="AH11" s="105" t="n">
        <f aca="false">DEC!AH51</f>
        <v>2195</v>
      </c>
      <c r="AI11" s="105" t="n">
        <f aca="false">DEC!AI51</f>
        <v>3883</v>
      </c>
      <c r="AJ11" s="105" t="n">
        <f aca="false">DEC!AJ51</f>
        <v>0</v>
      </c>
      <c r="AK11" s="105" t="n">
        <f aca="false">DEC!AK51</f>
        <v>6030.5</v>
      </c>
      <c r="AL11" s="105" t="n">
        <f aca="false">DEC!AL51</f>
        <v>632.041063776153</v>
      </c>
      <c r="AM11" s="105" t="n">
        <f aca="false">DEC!AM51</f>
        <v>6662.54106377615</v>
      </c>
      <c r="AN11" s="267" t="n">
        <f aca="false">DEC!AN52</f>
        <v>6398.632155</v>
      </c>
      <c r="AO11" s="171" t="n">
        <f aca="false">DEC!AO51</f>
        <v>453.2688</v>
      </c>
      <c r="AP11" s="105"/>
      <c r="AQ11" s="274"/>
      <c r="AR11" s="274"/>
      <c r="AS11" s="80"/>
      <c r="AT11" s="105"/>
      <c r="AU11" s="105"/>
      <c r="AV11" s="268" t="n">
        <f aca="false">DEC!AV51</f>
        <v>2.35</v>
      </c>
      <c r="AW11" s="168"/>
      <c r="AX11" s="168"/>
      <c r="AY11" s="206"/>
      <c r="AZ11" s="212" t="n">
        <f aca="false">DEC!AZ51</f>
        <v>213.956</v>
      </c>
    </row>
    <row r="12" customFormat="false" ht="3" hidden="false" customHeight="true" outlineLevel="0" collapsed="false">
      <c r="A12" s="214"/>
      <c r="B12" s="275"/>
      <c r="C12" s="276"/>
      <c r="D12" s="214"/>
      <c r="E12" s="276"/>
      <c r="F12" s="277"/>
      <c r="G12" s="214"/>
      <c r="H12" s="278"/>
      <c r="I12" s="214"/>
      <c r="J12" s="214"/>
      <c r="K12" s="214"/>
      <c r="L12" s="214"/>
      <c r="M12" s="279"/>
      <c r="N12" s="214"/>
      <c r="O12" s="214"/>
      <c r="P12" s="280"/>
      <c r="Q12" s="214"/>
      <c r="R12" s="214"/>
      <c r="S12" s="214"/>
      <c r="T12" s="281"/>
      <c r="U12" s="214"/>
      <c r="V12" s="214"/>
      <c r="W12" s="214"/>
      <c r="X12" s="214"/>
      <c r="Y12" s="214"/>
      <c r="Z12" s="282"/>
      <c r="AA12" s="276"/>
      <c r="AB12" s="276"/>
      <c r="AC12" s="276"/>
      <c r="AD12" s="276"/>
      <c r="AE12" s="214"/>
      <c r="AF12" s="220"/>
      <c r="AG12" s="225"/>
      <c r="AH12" s="214"/>
      <c r="AI12" s="276"/>
      <c r="AJ12" s="276"/>
      <c r="AK12" s="214"/>
      <c r="AL12" s="214"/>
      <c r="AM12" s="214"/>
      <c r="AN12" s="283"/>
      <c r="AO12" s="284"/>
      <c r="AP12" s="284"/>
      <c r="AQ12" s="284"/>
      <c r="AR12" s="284"/>
      <c r="AS12" s="284"/>
      <c r="AT12" s="284"/>
      <c r="AU12" s="284"/>
      <c r="AV12" s="285"/>
      <c r="AW12" s="282"/>
      <c r="AX12" s="282"/>
      <c r="AY12" s="223"/>
      <c r="AZ12" s="117"/>
    </row>
    <row r="13" customFormat="false" ht="12.95" hidden="false" customHeight="true" outlineLevel="0" collapsed="false">
      <c r="A13" s="171" t="n">
        <v>1</v>
      </c>
      <c r="B13" s="269" t="n">
        <v>6898.76</v>
      </c>
      <c r="C13" s="105" t="n">
        <v>279031</v>
      </c>
      <c r="D13" s="168" t="n">
        <f aca="false">C13-C11</f>
        <v>36</v>
      </c>
      <c r="E13" s="105" t="n">
        <f aca="false">C13-152000</f>
        <v>127031</v>
      </c>
      <c r="F13" s="286" t="n">
        <f aca="false">D13/$D$2</f>
        <v>18.14973531636</v>
      </c>
      <c r="G13" s="132" t="n">
        <v>28</v>
      </c>
      <c r="H13" s="165" t="n">
        <v>1.9</v>
      </c>
      <c r="I13" s="173" t="n">
        <f aca="false">G13+H13</f>
        <v>29.9</v>
      </c>
      <c r="J13" s="166" t="n">
        <f aca="false">IF(L13&gt;0,L13,0)</f>
        <v>27.34973531636</v>
      </c>
      <c r="K13" s="173" t="n">
        <f aca="false">I13+J13</f>
        <v>57.24973531636</v>
      </c>
      <c r="L13" s="173" t="n">
        <f aca="false">F13-(I13-AK13)</f>
        <v>27.34973531636</v>
      </c>
      <c r="M13" s="265" t="n">
        <v>3.1</v>
      </c>
      <c r="N13" s="173" t="n">
        <v>0</v>
      </c>
      <c r="O13" s="173" t="n">
        <v>0</v>
      </c>
      <c r="P13" s="167" t="n">
        <v>0</v>
      </c>
      <c r="Q13" s="255" t="n">
        <f aca="false">1.52*1.02</f>
        <v>1.5504</v>
      </c>
      <c r="R13" s="255" t="n">
        <v>2.49</v>
      </c>
      <c r="S13" s="287" t="n">
        <v>0</v>
      </c>
      <c r="T13" s="92" t="n">
        <f aca="false">M13-(Q13+R13+S13)</f>
        <v>-0.9404</v>
      </c>
      <c r="U13" s="173" t="n">
        <v>0</v>
      </c>
      <c r="V13" s="173" t="n">
        <v>0</v>
      </c>
      <c r="W13" s="132" t="n">
        <f aca="false">M13-N13-O13-P13-Q13-R13-S13-T13+U13+V13</f>
        <v>0</v>
      </c>
      <c r="X13" s="132" t="n">
        <f aca="false">W13-AO13</f>
        <v>0</v>
      </c>
      <c r="Y13" s="134" t="n">
        <f aca="false">Y11+(X13*1.9835)</f>
        <v>6284.2738592</v>
      </c>
      <c r="Z13" s="134" t="n">
        <f aca="false">Z11+X13*(26300/37500)*1.9835</f>
        <v>4407.37073325227</v>
      </c>
      <c r="AA13" s="105"/>
      <c r="AB13" s="105"/>
      <c r="AC13" s="105"/>
      <c r="AD13" s="105"/>
      <c r="AE13" s="173" t="n">
        <v>0</v>
      </c>
      <c r="AF13" s="231"/>
      <c r="AG13" s="232"/>
      <c r="AH13" s="173" t="n">
        <v>36</v>
      </c>
      <c r="AI13" s="105" t="n">
        <f aca="false">AI11-AH13</f>
        <v>3847</v>
      </c>
      <c r="AJ13" s="105"/>
      <c r="AK13" s="12" t="n">
        <f aca="false">N13+O13+P13+Q13+R13+S13+T13+W13+AE13+AH13</f>
        <v>39.1</v>
      </c>
      <c r="AL13" s="173" t="n">
        <f aca="false">IF(L13&lt;0,L13*-1,0)</f>
        <v>0</v>
      </c>
      <c r="AM13" s="173" t="n">
        <f aca="false">AK13+AL13</f>
        <v>39.1</v>
      </c>
      <c r="AN13" s="267" t="n">
        <f aca="false">AN11+(W13*1.9835)</f>
        <v>6398.632155</v>
      </c>
      <c r="AO13" s="171" t="n">
        <v>0</v>
      </c>
      <c r="AQ13" s="80"/>
      <c r="AR13" s="80"/>
      <c r="AU13" s="9"/>
      <c r="AV13" s="268" t="n">
        <v>0</v>
      </c>
      <c r="AW13" s="168" t="n">
        <v>35</v>
      </c>
      <c r="AX13" s="168" t="n">
        <v>4</v>
      </c>
      <c r="AY13" s="206"/>
      <c r="AZ13" s="233" t="n">
        <f aca="false">SUM(N13,P13:T13)</f>
        <v>3.1</v>
      </c>
    </row>
    <row r="14" customFormat="false" ht="12.95" hidden="false" customHeight="true" outlineLevel="0" collapsed="false">
      <c r="A14" s="171" t="n">
        <f aca="false">A13+1</f>
        <v>2</v>
      </c>
      <c r="B14" s="269" t="n">
        <v>6898.78</v>
      </c>
      <c r="C14" s="105" t="n">
        <v>279104</v>
      </c>
      <c r="D14" s="168" t="n">
        <f aca="false">C14-C13</f>
        <v>73</v>
      </c>
      <c r="E14" s="105" t="n">
        <f aca="false">C14-152000</f>
        <v>127104</v>
      </c>
      <c r="F14" s="286" t="n">
        <f aca="false">D14/$D$2</f>
        <v>36.8036299470633</v>
      </c>
      <c r="G14" s="173" t="n">
        <v>28</v>
      </c>
      <c r="H14" s="165" t="n">
        <v>1.9</v>
      </c>
      <c r="I14" s="173" t="n">
        <f aca="false">G14+H14</f>
        <v>29.9</v>
      </c>
      <c r="J14" s="166" t="n">
        <f aca="false">IF(L14&gt;0,L14,0)</f>
        <v>46.0036299470633</v>
      </c>
      <c r="K14" s="173" t="n">
        <f aca="false">I14+J14</f>
        <v>75.9036299470633</v>
      </c>
      <c r="L14" s="173" t="n">
        <f aca="false">F14-(I14-AK14)</f>
        <v>46.0036299470633</v>
      </c>
      <c r="M14" s="265" t="n">
        <v>3.1</v>
      </c>
      <c r="N14" s="173" t="n">
        <v>0</v>
      </c>
      <c r="O14" s="173" t="n">
        <v>0</v>
      </c>
      <c r="P14" s="167" t="n">
        <v>0</v>
      </c>
      <c r="Q14" s="255" t="n">
        <f aca="false">1.52*1.02</f>
        <v>1.5504</v>
      </c>
      <c r="R14" s="255" t="n">
        <v>2.51</v>
      </c>
      <c r="S14" s="287" t="n">
        <v>0</v>
      </c>
      <c r="T14" s="92" t="n">
        <f aca="false">M14-(Q14+R14+S14)</f>
        <v>-0.960399999999999</v>
      </c>
      <c r="U14" s="173" t="n">
        <v>0</v>
      </c>
      <c r="V14" s="173" t="n">
        <v>0</v>
      </c>
      <c r="W14" s="132" t="n">
        <f aca="false">M14-N14-O14-P14-Q14-R14-S14-T14+U14+V14</f>
        <v>0</v>
      </c>
      <c r="X14" s="132" t="n">
        <f aca="false">W14-AO14</f>
        <v>0</v>
      </c>
      <c r="Y14" s="134" t="n">
        <f aca="false">Y13+(X14*1.9835)</f>
        <v>6284.2738592</v>
      </c>
      <c r="Z14" s="134" t="n">
        <f aca="false">Z13+X14*(26300/37500)*1.9835</f>
        <v>4407.37073325227</v>
      </c>
      <c r="AA14" s="105"/>
      <c r="AB14" s="105"/>
      <c r="AC14" s="105"/>
      <c r="AD14" s="105"/>
      <c r="AE14" s="173" t="n">
        <v>0</v>
      </c>
      <c r="AF14" s="231"/>
      <c r="AG14" s="232"/>
      <c r="AH14" s="173" t="n">
        <v>36</v>
      </c>
      <c r="AI14" s="105" t="n">
        <f aca="false">AI13-AH14</f>
        <v>3811</v>
      </c>
      <c r="AJ14" s="105"/>
      <c r="AK14" s="12" t="n">
        <f aca="false">N14+O14+P14+Q14+R14+S14+T14+W14+AE14+AH14</f>
        <v>39.1</v>
      </c>
      <c r="AL14" s="173" t="n">
        <f aca="false">IF(L14&lt;0,L14*-1,0)</f>
        <v>0</v>
      </c>
      <c r="AM14" s="173" t="n">
        <f aca="false">AK14+AL14</f>
        <v>39.1</v>
      </c>
      <c r="AN14" s="267" t="n">
        <f aca="false">AN13+(W14*1.9835)</f>
        <v>6398.632155</v>
      </c>
      <c r="AO14" s="171" t="n">
        <v>0</v>
      </c>
      <c r="AQ14" s="80"/>
      <c r="AR14" s="80"/>
      <c r="AU14" s="9"/>
      <c r="AV14" s="268" t="n">
        <v>0</v>
      </c>
      <c r="AW14" s="168" t="n">
        <v>41</v>
      </c>
      <c r="AX14" s="168" t="n">
        <v>6</v>
      </c>
      <c r="AY14" s="206"/>
      <c r="AZ14" s="233" t="n">
        <f aca="false">SUM(N14,P14:T14)</f>
        <v>3.1</v>
      </c>
    </row>
    <row r="15" customFormat="false" ht="12.95" hidden="false" customHeight="true" outlineLevel="0" collapsed="false">
      <c r="A15" s="171" t="n">
        <f aca="false">A14+1</f>
        <v>3</v>
      </c>
      <c r="B15" s="269" t="n">
        <v>6898.8</v>
      </c>
      <c r="C15" s="105" t="n">
        <v>279177</v>
      </c>
      <c r="D15" s="168" t="n">
        <f aca="false">C15-C14</f>
        <v>73</v>
      </c>
      <c r="E15" s="105" t="n">
        <f aca="false">C15-152000</f>
        <v>127177</v>
      </c>
      <c r="F15" s="286" t="n">
        <f aca="false">D15/$D$2</f>
        <v>36.8036299470633</v>
      </c>
      <c r="G15" s="173" t="n">
        <v>30</v>
      </c>
      <c r="H15" s="165" t="n">
        <v>1.6</v>
      </c>
      <c r="I15" s="173" t="n">
        <f aca="false">G15+H15</f>
        <v>31.6</v>
      </c>
      <c r="J15" s="166" t="n">
        <f aca="false">IF(L15&gt;0,L15,0)</f>
        <v>44.3036299470633</v>
      </c>
      <c r="K15" s="173" t="n">
        <f aca="false">I15+J15</f>
        <v>75.9036299470633</v>
      </c>
      <c r="L15" s="173" t="n">
        <f aca="false">F15-(I15-AK15)</f>
        <v>44.3036299470633</v>
      </c>
      <c r="M15" s="265" t="n">
        <v>3.1</v>
      </c>
      <c r="N15" s="173" t="n">
        <v>0</v>
      </c>
      <c r="O15" s="173" t="n">
        <v>0</v>
      </c>
      <c r="P15" s="167" t="n">
        <v>0</v>
      </c>
      <c r="Q15" s="255" t="n">
        <f aca="false">1.52*1.02</f>
        <v>1.5504</v>
      </c>
      <c r="R15" s="255" t="n">
        <v>2.62</v>
      </c>
      <c r="S15" s="287" t="n">
        <v>0</v>
      </c>
      <c r="T15" s="92" t="n">
        <f aca="false">M15-(Q15+R15+S15)</f>
        <v>-1.0704</v>
      </c>
      <c r="U15" s="173" t="n">
        <v>0</v>
      </c>
      <c r="V15" s="173" t="n">
        <v>0</v>
      </c>
      <c r="W15" s="132" t="n">
        <f aca="false">M15-N15-O15-P15-Q15-R15-S15-T15+U15+V15</f>
        <v>0</v>
      </c>
      <c r="X15" s="132" t="n">
        <f aca="false">W15-AO15</f>
        <v>0</v>
      </c>
      <c r="Y15" s="134" t="n">
        <f aca="false">Y14+(X15*1.9835)</f>
        <v>6284.2738592</v>
      </c>
      <c r="Z15" s="134" t="n">
        <f aca="false">Z14+X15*(26300/37500)*1.9835</f>
        <v>4407.37073325227</v>
      </c>
      <c r="AA15" s="105"/>
      <c r="AB15" s="105"/>
      <c r="AC15" s="105"/>
      <c r="AD15" s="105"/>
      <c r="AE15" s="173" t="n">
        <v>0</v>
      </c>
      <c r="AF15" s="231"/>
      <c r="AG15" s="232"/>
      <c r="AH15" s="173" t="n">
        <v>36</v>
      </c>
      <c r="AI15" s="105" t="n">
        <f aca="false">AI14-AH15</f>
        <v>3775</v>
      </c>
      <c r="AJ15" s="105"/>
      <c r="AK15" s="12" t="n">
        <f aca="false">N15+O15+P15+Q15+R15+S15+T15+W15+AE15+AH15</f>
        <v>39.1</v>
      </c>
      <c r="AL15" s="173" t="n">
        <f aca="false">IF(L15&lt;0,L15*-1,0)</f>
        <v>0</v>
      </c>
      <c r="AM15" s="173" t="n">
        <f aca="false">AK15+AL15</f>
        <v>39.1</v>
      </c>
      <c r="AN15" s="267" t="n">
        <f aca="false">AN14+(W15*1.9835)</f>
        <v>6398.632155</v>
      </c>
      <c r="AO15" s="171" t="n">
        <v>0</v>
      </c>
      <c r="AQ15" s="80"/>
      <c r="AR15" s="80"/>
      <c r="AU15" s="9"/>
      <c r="AV15" s="268" t="n">
        <v>0.02</v>
      </c>
      <c r="AW15" s="168" t="n">
        <v>37</v>
      </c>
      <c r="AX15" s="168" t="n">
        <v>17</v>
      </c>
      <c r="AY15" s="206"/>
      <c r="AZ15" s="233" t="n">
        <f aca="false">SUM(N15,P15:T15)</f>
        <v>3.1</v>
      </c>
    </row>
    <row r="16" customFormat="false" ht="12.95" hidden="false" customHeight="true" outlineLevel="0" collapsed="false">
      <c r="A16" s="171" t="n">
        <f aca="false">A15+1</f>
        <v>4</v>
      </c>
      <c r="B16" s="269" t="n">
        <v>6898.81</v>
      </c>
      <c r="C16" s="105" t="n">
        <v>279214</v>
      </c>
      <c r="D16" s="168" t="n">
        <f aca="false">C16-C15</f>
        <v>37</v>
      </c>
      <c r="E16" s="105" t="n">
        <f aca="false">C16-152000</f>
        <v>127214</v>
      </c>
      <c r="F16" s="286" t="n">
        <f aca="false">D16/$D$2</f>
        <v>18.6538946307033</v>
      </c>
      <c r="G16" s="173" t="n">
        <v>30</v>
      </c>
      <c r="H16" s="165" t="n">
        <v>1.5</v>
      </c>
      <c r="I16" s="173" t="n">
        <f aca="false">G16+H16</f>
        <v>31.5</v>
      </c>
      <c r="J16" s="166" t="n">
        <f aca="false">IF(L16&gt;0,L16,0)</f>
        <v>26.2538946307033</v>
      </c>
      <c r="K16" s="173" t="n">
        <f aca="false">I16+J16</f>
        <v>57.7538946307033</v>
      </c>
      <c r="L16" s="173" t="n">
        <f aca="false">F16-(I16-AK16)</f>
        <v>26.2538946307033</v>
      </c>
      <c r="M16" s="265" t="n">
        <v>3.1</v>
      </c>
      <c r="N16" s="173" t="n">
        <v>0</v>
      </c>
      <c r="O16" s="173" t="n">
        <v>0</v>
      </c>
      <c r="P16" s="167" t="n">
        <v>0</v>
      </c>
      <c r="Q16" s="255" t="n">
        <f aca="false">1.52*1.02</f>
        <v>1.5504</v>
      </c>
      <c r="R16" s="255" t="n">
        <v>2.45</v>
      </c>
      <c r="S16" s="287" t="n">
        <v>0</v>
      </c>
      <c r="T16" s="92" t="n">
        <f aca="false">M16-(Q16+R16+S16)</f>
        <v>-0.9004</v>
      </c>
      <c r="U16" s="173" t="n">
        <v>0</v>
      </c>
      <c r="V16" s="173" t="n">
        <v>0</v>
      </c>
      <c r="W16" s="132" t="n">
        <f aca="false">M16-N16-O16-P16-Q16-R16-S16-T16+U16+V16</f>
        <v>0</v>
      </c>
      <c r="X16" s="132" t="n">
        <f aca="false">W16-AO16</f>
        <v>0</v>
      </c>
      <c r="Y16" s="134" t="n">
        <f aca="false">Y15+(X16*1.9835)</f>
        <v>6284.2738592</v>
      </c>
      <c r="Z16" s="134" t="n">
        <f aca="false">Z15+X16*(26300/37500)*1.9835</f>
        <v>4407.37073325227</v>
      </c>
      <c r="AA16" s="105"/>
      <c r="AB16" s="105"/>
      <c r="AC16" s="105"/>
      <c r="AD16" s="105"/>
      <c r="AE16" s="173" t="n">
        <v>0</v>
      </c>
      <c r="AF16" s="231"/>
      <c r="AG16" s="232"/>
      <c r="AH16" s="173" t="n">
        <v>36</v>
      </c>
      <c r="AI16" s="105" t="n">
        <f aca="false">AI15-AH16</f>
        <v>3739</v>
      </c>
      <c r="AJ16" s="105"/>
      <c r="AK16" s="12" t="n">
        <f aca="false">N16+O16+P16+Q16+R16+S16+T16+W16+AE16+AH16</f>
        <v>39.1</v>
      </c>
      <c r="AL16" s="173" t="n">
        <f aca="false">IF(L16&lt;0,L16*-1,0)</f>
        <v>0</v>
      </c>
      <c r="AM16" s="173" t="n">
        <f aca="false">AK16+AL16</f>
        <v>39.1</v>
      </c>
      <c r="AN16" s="267" t="n">
        <f aca="false">AN15+(W16*1.9835)</f>
        <v>6398.632155</v>
      </c>
      <c r="AO16" s="171" t="n">
        <v>0</v>
      </c>
      <c r="AQ16" s="80"/>
      <c r="AR16" s="80"/>
      <c r="AU16" s="9"/>
      <c r="AV16" s="268" t="n">
        <v>0.02</v>
      </c>
      <c r="AW16" s="168" t="n">
        <v>31</v>
      </c>
      <c r="AX16" s="168" t="n">
        <v>19</v>
      </c>
      <c r="AY16" s="206"/>
      <c r="AZ16" s="233" t="n">
        <f aca="false">SUM(N16,P16:T16)</f>
        <v>3.1</v>
      </c>
    </row>
    <row r="17" customFormat="false" ht="12.95" hidden="false" customHeight="true" outlineLevel="0" collapsed="false">
      <c r="A17" s="171" t="n">
        <f aca="false">A16+1</f>
        <v>5</v>
      </c>
      <c r="B17" s="269" t="n">
        <v>6898.82</v>
      </c>
      <c r="C17" s="105" t="n">
        <v>279250</v>
      </c>
      <c r="D17" s="168" t="n">
        <f aca="false">C17-C16</f>
        <v>36</v>
      </c>
      <c r="E17" s="105" t="n">
        <f aca="false">C17-152000</f>
        <v>127250</v>
      </c>
      <c r="F17" s="286" t="n">
        <f aca="false">D17/$D$2</f>
        <v>18.14973531636</v>
      </c>
      <c r="G17" s="173" t="n">
        <v>30</v>
      </c>
      <c r="H17" s="165" t="n">
        <v>1.3</v>
      </c>
      <c r="I17" s="173" t="n">
        <f aca="false">G17+H17</f>
        <v>31.3</v>
      </c>
      <c r="J17" s="166" t="n">
        <f aca="false">IF(L17&gt;0,L17,0)</f>
        <v>25.14973531636</v>
      </c>
      <c r="K17" s="173" t="n">
        <f aca="false">I17+J17</f>
        <v>56.44973531636</v>
      </c>
      <c r="L17" s="173" t="n">
        <f aca="false">F17-(I17-AK17)</f>
        <v>25.14973531636</v>
      </c>
      <c r="M17" s="265" t="n">
        <v>3.3</v>
      </c>
      <c r="N17" s="173" t="n">
        <v>0</v>
      </c>
      <c r="O17" s="173" t="n">
        <v>0</v>
      </c>
      <c r="P17" s="167" t="n">
        <v>0</v>
      </c>
      <c r="Q17" s="255" t="n">
        <f aca="false">1.52*1.02</f>
        <v>1.5504</v>
      </c>
      <c r="R17" s="255" t="n">
        <v>2.46</v>
      </c>
      <c r="S17" s="287" t="n">
        <v>0</v>
      </c>
      <c r="T17" s="92" t="n">
        <f aca="false">M17-(Q17+R17+S17)</f>
        <v>-0.7104</v>
      </c>
      <c r="U17" s="173" t="n">
        <v>0</v>
      </c>
      <c r="V17" s="173" t="n">
        <v>0</v>
      </c>
      <c r="W17" s="132" t="n">
        <f aca="false">M17-N17-O17-P17-Q17-R17-S17-T17+U17+V17</f>
        <v>0</v>
      </c>
      <c r="X17" s="132" t="n">
        <f aca="false">W17-AO17</f>
        <v>0</v>
      </c>
      <c r="Y17" s="134" t="n">
        <f aca="false">Y16+(X17*1.9835)</f>
        <v>6284.2738592</v>
      </c>
      <c r="Z17" s="134" t="n">
        <f aca="false">Z16+X17*(26300/37500)*1.9835</f>
        <v>4407.37073325227</v>
      </c>
      <c r="AA17" s="105"/>
      <c r="AB17" s="105"/>
      <c r="AC17" s="105"/>
      <c r="AD17" s="105"/>
      <c r="AE17" s="173" t="n">
        <v>0</v>
      </c>
      <c r="AF17" s="231"/>
      <c r="AG17" s="232"/>
      <c r="AH17" s="173" t="n">
        <v>35</v>
      </c>
      <c r="AI17" s="105" t="n">
        <f aca="false">AI16-AH17</f>
        <v>3704</v>
      </c>
      <c r="AJ17" s="105"/>
      <c r="AK17" s="12" t="n">
        <f aca="false">N17+O17+P17+Q17+R17+S17+T17+W17+AE17+AH17</f>
        <v>38.3</v>
      </c>
      <c r="AL17" s="173" t="n">
        <f aca="false">IF(L17&lt;0,L17*-1,0)</f>
        <v>0</v>
      </c>
      <c r="AM17" s="173" t="n">
        <f aca="false">AK17+AL17</f>
        <v>38.3</v>
      </c>
      <c r="AN17" s="267" t="n">
        <f aca="false">AN16+(W17*1.9835)</f>
        <v>6398.632155</v>
      </c>
      <c r="AO17" s="171" t="n">
        <v>0</v>
      </c>
      <c r="AQ17" s="80"/>
      <c r="AR17" s="80"/>
      <c r="AU17" s="9"/>
      <c r="AV17" s="268" t="n">
        <v>0</v>
      </c>
      <c r="AW17" s="168" t="n">
        <v>28</v>
      </c>
      <c r="AX17" s="168" t="n">
        <v>8</v>
      </c>
      <c r="AY17" s="206"/>
      <c r="AZ17" s="233" t="n">
        <f aca="false">SUM(N17,P17:T17)</f>
        <v>3.3</v>
      </c>
    </row>
    <row r="18" customFormat="false" ht="12.95" hidden="false" customHeight="true" outlineLevel="0" collapsed="false">
      <c r="A18" s="171" t="n">
        <f aca="false">A17+1</f>
        <v>6</v>
      </c>
      <c r="B18" s="269" t="n">
        <v>6898.83</v>
      </c>
      <c r="C18" s="105" t="n">
        <v>279287</v>
      </c>
      <c r="D18" s="168" t="n">
        <f aca="false">C18-C17</f>
        <v>37</v>
      </c>
      <c r="E18" s="105" t="n">
        <f aca="false">C18-152000</f>
        <v>127287</v>
      </c>
      <c r="F18" s="286" t="n">
        <f aca="false">D18/$D$2</f>
        <v>18.6538946307033</v>
      </c>
      <c r="G18" s="173" t="n">
        <v>30</v>
      </c>
      <c r="H18" s="165" t="n">
        <v>1</v>
      </c>
      <c r="I18" s="173" t="n">
        <f aca="false">G18+H18</f>
        <v>31</v>
      </c>
      <c r="J18" s="166" t="n">
        <f aca="false">IF(L18&gt;0,L18,0)</f>
        <v>24.9538946307033</v>
      </c>
      <c r="K18" s="173" t="n">
        <f aca="false">I18+J18</f>
        <v>55.9538946307033</v>
      </c>
      <c r="L18" s="173" t="n">
        <f aca="false">F18-(I18-AK18)</f>
        <v>24.9538946307033</v>
      </c>
      <c r="M18" s="265" t="n">
        <v>3.3</v>
      </c>
      <c r="N18" s="173" t="n">
        <v>0</v>
      </c>
      <c r="O18" s="173" t="n">
        <v>0</v>
      </c>
      <c r="P18" s="167" t="n">
        <v>0</v>
      </c>
      <c r="Q18" s="255" t="n">
        <f aca="false">1.52*1.02</f>
        <v>1.5504</v>
      </c>
      <c r="R18" s="255" t="n">
        <v>2.37</v>
      </c>
      <c r="S18" s="287" t="n">
        <v>0</v>
      </c>
      <c r="T18" s="92" t="n">
        <f aca="false">M18-(Q18+R18+S18)</f>
        <v>-0.6204</v>
      </c>
      <c r="U18" s="173" t="n">
        <v>0</v>
      </c>
      <c r="V18" s="173" t="n">
        <v>0</v>
      </c>
      <c r="W18" s="132" t="n">
        <f aca="false">M18-N18-O18-P18-Q18-R18-S18-T18+U18+V18</f>
        <v>0</v>
      </c>
      <c r="X18" s="132" t="n">
        <f aca="false">W18-AO18</f>
        <v>0</v>
      </c>
      <c r="Y18" s="134" t="n">
        <f aca="false">Y17+(X18*1.9835)</f>
        <v>6284.2738592</v>
      </c>
      <c r="Z18" s="134" t="n">
        <f aca="false">Z17+X18*(26300/37500)*1.9835</f>
        <v>4407.37073325227</v>
      </c>
      <c r="AA18" s="105"/>
      <c r="AB18" s="105"/>
      <c r="AC18" s="105"/>
      <c r="AD18" s="105"/>
      <c r="AE18" s="173" t="n">
        <v>0</v>
      </c>
      <c r="AF18" s="231"/>
      <c r="AG18" s="232"/>
      <c r="AH18" s="173" t="n">
        <v>34</v>
      </c>
      <c r="AI18" s="105" t="n">
        <f aca="false">AI17-AH18</f>
        <v>3670</v>
      </c>
      <c r="AJ18" s="105"/>
      <c r="AK18" s="12" t="n">
        <f aca="false">N18+O18+P18+Q18+R18+S18+T18+W18+AE18+AH18</f>
        <v>37.3</v>
      </c>
      <c r="AL18" s="173" t="n">
        <f aca="false">IF(L18&lt;0,L18*-1,0)</f>
        <v>0</v>
      </c>
      <c r="AM18" s="173" t="n">
        <f aca="false">AK18+AL18</f>
        <v>37.3</v>
      </c>
      <c r="AN18" s="267" t="n">
        <f aca="false">AN17+(W18*1.9835)</f>
        <v>6398.632155</v>
      </c>
      <c r="AO18" s="171" t="n">
        <v>0</v>
      </c>
      <c r="AP18" s="173"/>
      <c r="AQ18" s="80"/>
      <c r="AR18" s="80"/>
      <c r="AU18" s="9"/>
      <c r="AV18" s="268" t="n">
        <v>0</v>
      </c>
      <c r="AW18" s="168" t="n">
        <v>33</v>
      </c>
      <c r="AX18" s="168" t="n">
        <v>-2</v>
      </c>
      <c r="AY18" s="206"/>
      <c r="AZ18" s="233" t="n">
        <f aca="false">SUM(N18,P18:T18)</f>
        <v>3.3</v>
      </c>
    </row>
    <row r="19" customFormat="false" ht="12.95" hidden="false" customHeight="true" outlineLevel="0" collapsed="false">
      <c r="A19" s="171" t="n">
        <f aca="false">A18+1</f>
        <v>7</v>
      </c>
      <c r="B19" s="269" t="n">
        <v>6898.83</v>
      </c>
      <c r="C19" s="105" t="n">
        <v>279287</v>
      </c>
      <c r="D19" s="168" t="n">
        <f aca="false">C19-C18</f>
        <v>0</v>
      </c>
      <c r="E19" s="105" t="n">
        <f aca="false">C19-152000</f>
        <v>127287</v>
      </c>
      <c r="F19" s="286" t="n">
        <f aca="false">D19/$D$2</f>
        <v>0</v>
      </c>
      <c r="G19" s="173" t="n">
        <v>29</v>
      </c>
      <c r="H19" s="165" t="n">
        <v>0.88</v>
      </c>
      <c r="I19" s="173" t="n">
        <f aca="false">G19+H19</f>
        <v>29.88</v>
      </c>
      <c r="J19" s="166" t="n">
        <f aca="false">IF(L19&gt;0,L19,0)</f>
        <v>38.42</v>
      </c>
      <c r="K19" s="173" t="n">
        <f aca="false">I19+J19</f>
        <v>68.3</v>
      </c>
      <c r="L19" s="173" t="n">
        <f aca="false">F19-(I19-AK19)</f>
        <v>38.42</v>
      </c>
      <c r="M19" s="265" t="n">
        <v>3.3</v>
      </c>
      <c r="N19" s="173" t="n">
        <v>0</v>
      </c>
      <c r="O19" s="173" t="n">
        <v>0</v>
      </c>
      <c r="P19" s="167" t="n">
        <v>0</v>
      </c>
      <c r="Q19" s="255" t="n">
        <f aca="false">1.52*1.02</f>
        <v>1.5504</v>
      </c>
      <c r="R19" s="255" t="n">
        <v>2.25</v>
      </c>
      <c r="S19" s="287" t="n">
        <v>0</v>
      </c>
      <c r="T19" s="92" t="n">
        <f aca="false">M19-(Q19+R19+S19)</f>
        <v>-0.5004</v>
      </c>
      <c r="U19" s="173" t="n">
        <v>31</v>
      </c>
      <c r="V19" s="173" t="n">
        <v>0</v>
      </c>
      <c r="W19" s="132" t="n">
        <f aca="false">M19-N19-O19-P19-Q19-R19-S19-T19+U19+V19</f>
        <v>31</v>
      </c>
      <c r="X19" s="132" t="n">
        <f aca="false">W19-AO19</f>
        <v>31</v>
      </c>
      <c r="Y19" s="134" t="n">
        <f aca="false">Y18+(X19*1.9835)</f>
        <v>6345.7623592</v>
      </c>
      <c r="Z19" s="134" t="n">
        <f aca="false">Z18+X19*(26300/37500)*1.9835</f>
        <v>4450.49466791893</v>
      </c>
      <c r="AA19" s="105"/>
      <c r="AB19" s="105"/>
      <c r="AC19" s="105"/>
      <c r="AD19" s="105"/>
      <c r="AE19" s="173" t="n">
        <v>0</v>
      </c>
      <c r="AF19" s="231"/>
      <c r="AG19" s="232"/>
      <c r="AH19" s="173" t="n">
        <v>34</v>
      </c>
      <c r="AI19" s="105" t="n">
        <f aca="false">AI18-AH19</f>
        <v>3636</v>
      </c>
      <c r="AJ19" s="105"/>
      <c r="AK19" s="12" t="n">
        <f aca="false">N19+O19+P19+Q19+R19+S19+T19+W19+AE19+AH19</f>
        <v>68.3</v>
      </c>
      <c r="AL19" s="173" t="n">
        <f aca="false">IF(L19&lt;0,L19*-1,0)</f>
        <v>0</v>
      </c>
      <c r="AM19" s="173" t="n">
        <f aca="false">AK19+AL19</f>
        <v>68.3</v>
      </c>
      <c r="AN19" s="267" t="n">
        <f aca="false">AN18+(W19*1.9835)</f>
        <v>6460.120655</v>
      </c>
      <c r="AO19" s="171" t="n">
        <v>0</v>
      </c>
      <c r="AP19" s="173"/>
      <c r="AQ19" s="80"/>
      <c r="AR19" s="80"/>
      <c r="AU19" s="9"/>
      <c r="AV19" s="268" t="n">
        <v>0</v>
      </c>
      <c r="AW19" s="168" t="n">
        <v>35</v>
      </c>
      <c r="AX19" s="168" t="n">
        <v>-4</v>
      </c>
      <c r="AY19" s="206"/>
      <c r="AZ19" s="233" t="n">
        <f aca="false">SUM(N19,P19:T19)</f>
        <v>3.3</v>
      </c>
    </row>
    <row r="20" customFormat="false" ht="12.95" hidden="false" customHeight="true" outlineLevel="0" collapsed="false">
      <c r="A20" s="171" t="n">
        <f aca="false">A19+1</f>
        <v>8</v>
      </c>
      <c r="B20" s="269" t="n">
        <v>6898.81</v>
      </c>
      <c r="C20" s="105" t="n">
        <v>279214</v>
      </c>
      <c r="D20" s="168" t="n">
        <f aca="false">C20-C19</f>
        <v>-73</v>
      </c>
      <c r="E20" s="105" t="n">
        <f aca="false">C20-152000</f>
        <v>127214</v>
      </c>
      <c r="F20" s="286" t="n">
        <f aca="false">D20/$D$2</f>
        <v>-36.8036299470633</v>
      </c>
      <c r="G20" s="173" t="n">
        <v>28</v>
      </c>
      <c r="H20" s="165" t="n">
        <v>0.83</v>
      </c>
      <c r="I20" s="173" t="n">
        <f aca="false">G20+H20</f>
        <v>28.83</v>
      </c>
      <c r="J20" s="166" t="n">
        <f aca="false">IF(L20&gt;0,L20,0)</f>
        <v>18.7663700529367</v>
      </c>
      <c r="K20" s="173" t="n">
        <f aca="false">I20+J20</f>
        <v>47.5963700529367</v>
      </c>
      <c r="L20" s="173" t="n">
        <f aca="false">F20-(I20-AK20)</f>
        <v>18.7663700529367</v>
      </c>
      <c r="M20" s="265" t="n">
        <v>3.4</v>
      </c>
      <c r="N20" s="173" t="n">
        <v>0</v>
      </c>
      <c r="O20" s="173" t="n">
        <v>0</v>
      </c>
      <c r="P20" s="167" t="n">
        <v>0</v>
      </c>
      <c r="Q20" s="255" t="n">
        <f aca="false">1.52*1.02</f>
        <v>1.5504</v>
      </c>
      <c r="R20" s="255" t="n">
        <v>2.42</v>
      </c>
      <c r="S20" s="287" t="n">
        <v>0</v>
      </c>
      <c r="T20" s="92" t="n">
        <f aca="false">M20-(Q20+R20+S20)</f>
        <v>-0.5704</v>
      </c>
      <c r="U20" s="173" t="n">
        <v>47</v>
      </c>
      <c r="V20" s="173" t="n">
        <v>0</v>
      </c>
      <c r="W20" s="132" t="n">
        <f aca="false">M20-N20-O20-P20-Q20-R20-S20-T20+U20+V20</f>
        <v>47</v>
      </c>
      <c r="X20" s="132" t="n">
        <f aca="false">W20-AO20</f>
        <v>47</v>
      </c>
      <c r="Y20" s="134" t="n">
        <f aca="false">Y19+(X20*1.9835)</f>
        <v>6438.9868592</v>
      </c>
      <c r="Z20" s="134" t="n">
        <f aca="false">Z19+X20*(26300/37500)*1.9835</f>
        <v>4515.87611725227</v>
      </c>
      <c r="AA20" s="105"/>
      <c r="AB20" s="105"/>
      <c r="AC20" s="105"/>
      <c r="AD20" s="105"/>
      <c r="AE20" s="173" t="n">
        <v>0</v>
      </c>
      <c r="AF20" s="231"/>
      <c r="AG20" s="232"/>
      <c r="AH20" s="173" t="n">
        <v>34</v>
      </c>
      <c r="AI20" s="105" t="n">
        <f aca="false">AI19-AH20</f>
        <v>3602</v>
      </c>
      <c r="AJ20" s="105"/>
      <c r="AK20" s="12" t="n">
        <f aca="false">N20+O20+P20+Q20+R20+S20+T20+W20+AE20+AH20</f>
        <v>84.4</v>
      </c>
      <c r="AL20" s="173" t="n">
        <f aca="false">IF(L20&lt;0,L20*-1,0)</f>
        <v>0</v>
      </c>
      <c r="AM20" s="173" t="n">
        <f aca="false">AK20+AL20</f>
        <v>84.4</v>
      </c>
      <c r="AN20" s="267" t="n">
        <f aca="false">AN19+(W20*1.9835)</f>
        <v>6553.345155</v>
      </c>
      <c r="AO20" s="171" t="n">
        <v>0</v>
      </c>
      <c r="AP20" s="173"/>
      <c r="AQ20" s="80"/>
      <c r="AR20" s="80"/>
      <c r="AU20" s="9"/>
      <c r="AV20" s="268" t="n">
        <v>0</v>
      </c>
      <c r="AW20" s="168" t="n">
        <v>34</v>
      </c>
      <c r="AX20" s="168" t="n">
        <v>5</v>
      </c>
      <c r="AY20" s="206"/>
      <c r="AZ20" s="233" t="n">
        <f aca="false">SUM(N20,P20:T20)</f>
        <v>3.4</v>
      </c>
    </row>
    <row r="21" customFormat="false" ht="12.95" hidden="false" customHeight="true" outlineLevel="0" collapsed="false">
      <c r="A21" s="171" t="n">
        <f aca="false">A20+1</f>
        <v>9</v>
      </c>
      <c r="B21" s="269" t="n">
        <v>6898.8</v>
      </c>
      <c r="C21" s="105" t="n">
        <v>279177</v>
      </c>
      <c r="D21" s="168" t="n">
        <f aca="false">C21-C20</f>
        <v>-37</v>
      </c>
      <c r="E21" s="105" t="n">
        <f aca="false">C21-152000</f>
        <v>127177</v>
      </c>
      <c r="F21" s="286" t="n">
        <f aca="false">D21/$D$2</f>
        <v>-18.6538946307033</v>
      </c>
      <c r="G21" s="173" t="n">
        <v>27</v>
      </c>
      <c r="H21" s="165" t="n">
        <v>0.75</v>
      </c>
      <c r="I21" s="173" t="n">
        <f aca="false">G21+H21</f>
        <v>27.75</v>
      </c>
      <c r="J21" s="166" t="n">
        <f aca="false">IF(L21&gt;0,L21,0)</f>
        <v>35.9961053692967</v>
      </c>
      <c r="K21" s="173" t="n">
        <f aca="false">I21+J21</f>
        <v>63.7461053692967</v>
      </c>
      <c r="L21" s="173" t="n">
        <f aca="false">F21-(I21-AK21)</f>
        <v>35.9961053692967</v>
      </c>
      <c r="M21" s="265" t="n">
        <v>3.4</v>
      </c>
      <c r="N21" s="173" t="n">
        <v>0</v>
      </c>
      <c r="O21" s="173" t="n">
        <v>0</v>
      </c>
      <c r="P21" s="167" t="n">
        <v>0</v>
      </c>
      <c r="Q21" s="255" t="n">
        <f aca="false">1.52*1.02</f>
        <v>1.5504</v>
      </c>
      <c r="R21" s="255" t="n">
        <v>2.57</v>
      </c>
      <c r="S21" s="287" t="n">
        <v>0</v>
      </c>
      <c r="T21" s="92" t="n">
        <f aca="false">M21-(Q21+R21+S21)</f>
        <v>-0.7204</v>
      </c>
      <c r="U21" s="173" t="n">
        <v>45</v>
      </c>
      <c r="V21" s="173" t="n">
        <v>0</v>
      </c>
      <c r="W21" s="132" t="n">
        <f aca="false">M21-N21-O21-P21-Q21-R21-S21-T21+U21+V21</f>
        <v>45</v>
      </c>
      <c r="X21" s="132" t="n">
        <f aca="false">W21-AO21</f>
        <v>45</v>
      </c>
      <c r="Y21" s="134" t="n">
        <f aca="false">Y20+(X21*1.9835)</f>
        <v>6528.2443592</v>
      </c>
      <c r="Z21" s="134" t="n">
        <f aca="false">Z20+X21*(26300/37500)*1.9835</f>
        <v>4578.47537725227</v>
      </c>
      <c r="AA21" s="105"/>
      <c r="AB21" s="105"/>
      <c r="AC21" s="105"/>
      <c r="AD21" s="105"/>
      <c r="AE21" s="173" t="n">
        <v>0</v>
      </c>
      <c r="AF21" s="231"/>
      <c r="AG21" s="232"/>
      <c r="AH21" s="173" t="n">
        <v>34</v>
      </c>
      <c r="AI21" s="105" t="n">
        <f aca="false">AI20-AH21</f>
        <v>3568</v>
      </c>
      <c r="AJ21" s="105"/>
      <c r="AK21" s="12" t="n">
        <f aca="false">N21+O21+P21+Q21+R21+S21+T21+W21+AE21+AH21</f>
        <v>82.4</v>
      </c>
      <c r="AL21" s="173" t="n">
        <f aca="false">IF(L21&lt;0,L21*-1,0)</f>
        <v>0</v>
      </c>
      <c r="AM21" s="173" t="n">
        <f aca="false">AK21+AL21</f>
        <v>82.4</v>
      </c>
      <c r="AN21" s="267" t="n">
        <f aca="false">AN20+(W21*1.9835)</f>
        <v>6642.602655</v>
      </c>
      <c r="AO21" s="171" t="n">
        <v>0</v>
      </c>
      <c r="AP21" s="173"/>
      <c r="AQ21" s="80"/>
      <c r="AR21" s="80"/>
      <c r="AU21" s="9"/>
      <c r="AV21" s="268" t="n">
        <v>0</v>
      </c>
      <c r="AW21" s="9" t="n">
        <v>35</v>
      </c>
      <c r="AX21" s="168" t="n">
        <v>6</v>
      </c>
      <c r="AY21" s="206"/>
      <c r="AZ21" s="233" t="n">
        <f aca="false">SUM(N21,P21:T21)</f>
        <v>3.4</v>
      </c>
    </row>
    <row r="22" customFormat="false" ht="12.95" hidden="false" customHeight="true" outlineLevel="0" collapsed="false">
      <c r="A22" s="171" t="n">
        <f aca="false">A21+1</f>
        <v>10</v>
      </c>
      <c r="B22" s="269" t="n">
        <v>6898.79</v>
      </c>
      <c r="C22" s="105" t="n">
        <v>279141</v>
      </c>
      <c r="D22" s="168" t="n">
        <f aca="false">C22-C21</f>
        <v>-36</v>
      </c>
      <c r="E22" s="105" t="n">
        <f aca="false">C22-152000</f>
        <v>127141</v>
      </c>
      <c r="F22" s="286" t="n">
        <f aca="false">D22/$D$2</f>
        <v>-18.14973531636</v>
      </c>
      <c r="G22" s="173" t="n">
        <v>26</v>
      </c>
      <c r="H22" s="165" t="n">
        <v>0.75</v>
      </c>
      <c r="I22" s="173" t="n">
        <f aca="false">G22+H22</f>
        <v>26.75</v>
      </c>
      <c r="J22" s="166" t="n">
        <f aca="false">IF(L22&gt;0,L22,0)</f>
        <v>37.50026468364</v>
      </c>
      <c r="K22" s="173" t="n">
        <f aca="false">I22+J22</f>
        <v>64.25026468364</v>
      </c>
      <c r="L22" s="173" t="n">
        <f aca="false">F22-(I22-AK22)</f>
        <v>37.50026468364</v>
      </c>
      <c r="M22" s="265" t="n">
        <v>3.4</v>
      </c>
      <c r="N22" s="173" t="n">
        <v>0</v>
      </c>
      <c r="O22" s="173" t="n">
        <v>0</v>
      </c>
      <c r="P22" s="167" t="n">
        <v>0</v>
      </c>
      <c r="Q22" s="255" t="n">
        <f aca="false">1.52*1.02</f>
        <v>1.5504</v>
      </c>
      <c r="R22" s="255" t="n">
        <v>2.38</v>
      </c>
      <c r="S22" s="287" t="n">
        <v>0</v>
      </c>
      <c r="T22" s="92" t="n">
        <f aca="false">M22-(Q22+R22+S22)</f>
        <v>-0.5304</v>
      </c>
      <c r="U22" s="173" t="n">
        <v>45</v>
      </c>
      <c r="V22" s="173" t="n">
        <v>0</v>
      </c>
      <c r="W22" s="132" t="n">
        <f aca="false">M22-N22-O22-P22-Q22-R22-S22-T22+U22+V22</f>
        <v>45</v>
      </c>
      <c r="X22" s="132" t="n">
        <f aca="false">W22-AO22</f>
        <v>45</v>
      </c>
      <c r="Y22" s="134" t="n">
        <f aca="false">Y21+(X22*1.9835)</f>
        <v>6617.5018592</v>
      </c>
      <c r="Z22" s="134" t="n">
        <f aca="false">Z21+X22*(26300/37500)*1.9835</f>
        <v>4641.07463725227</v>
      </c>
      <c r="AA22" s="105"/>
      <c r="AB22" s="105"/>
      <c r="AC22" s="105"/>
      <c r="AD22" s="105"/>
      <c r="AE22" s="173" t="n">
        <v>0</v>
      </c>
      <c r="AF22" s="231"/>
      <c r="AG22" s="232"/>
      <c r="AH22" s="173" t="n">
        <v>34</v>
      </c>
      <c r="AI22" s="105" t="n">
        <f aca="false">AI21-AH22</f>
        <v>3534</v>
      </c>
      <c r="AJ22" s="105"/>
      <c r="AK22" s="12" t="n">
        <f aca="false">N22+O22+P22+Q22+R22+S22+T22+W22+AE22+AH22</f>
        <v>82.4</v>
      </c>
      <c r="AL22" s="173" t="n">
        <f aca="false">IF(L22&lt;0,L22*-1,0)</f>
        <v>0</v>
      </c>
      <c r="AM22" s="173" t="n">
        <f aca="false">AK22+AL22</f>
        <v>82.4</v>
      </c>
      <c r="AN22" s="267" t="n">
        <f aca="false">AN21+(W22*1.9835)</f>
        <v>6731.860155</v>
      </c>
      <c r="AO22" s="171" t="n">
        <v>0</v>
      </c>
      <c r="AP22" s="173"/>
      <c r="AQ22" s="80"/>
      <c r="AR22" s="80"/>
      <c r="AU22" s="9"/>
      <c r="AV22" s="268" t="n">
        <v>0</v>
      </c>
      <c r="AW22" s="168" t="n">
        <v>38</v>
      </c>
      <c r="AX22" s="168" t="n">
        <v>7</v>
      </c>
      <c r="AY22" s="206"/>
      <c r="AZ22" s="233" t="n">
        <f aca="false">SUM(N22,P22:T22)</f>
        <v>3.4</v>
      </c>
    </row>
    <row r="23" customFormat="false" ht="12.95" hidden="false" customHeight="true" outlineLevel="0" collapsed="false">
      <c r="A23" s="171" t="n">
        <f aca="false">A22+1</f>
        <v>11</v>
      </c>
      <c r="B23" s="269" t="n">
        <v>6898.77</v>
      </c>
      <c r="C23" s="105" t="n">
        <v>279068</v>
      </c>
      <c r="D23" s="168" t="n">
        <f aca="false">C23-C22</f>
        <v>-73</v>
      </c>
      <c r="E23" s="105" t="n">
        <f aca="false">C23-152000</f>
        <v>127068</v>
      </c>
      <c r="F23" s="286" t="n">
        <f aca="false">D23/$D$2</f>
        <v>-36.8036299470633</v>
      </c>
      <c r="G23" s="173" t="n">
        <v>14</v>
      </c>
      <c r="H23" s="165" t="n">
        <v>0.66</v>
      </c>
      <c r="I23" s="173" t="n">
        <f aca="false">G23+H23</f>
        <v>14.66</v>
      </c>
      <c r="J23" s="166" t="n">
        <f aca="false">IF(L23&gt;0,L23,0)</f>
        <v>30.9363700529367</v>
      </c>
      <c r="K23" s="173" t="n">
        <f aca="false">I23+J23</f>
        <v>45.5963700529367</v>
      </c>
      <c r="L23" s="173" t="n">
        <f aca="false">F23-(I23-AK23)</f>
        <v>30.9363700529367</v>
      </c>
      <c r="M23" s="265" t="n">
        <v>3.4</v>
      </c>
      <c r="N23" s="173" t="n">
        <v>0</v>
      </c>
      <c r="O23" s="173" t="n">
        <v>0</v>
      </c>
      <c r="P23" s="167" t="n">
        <v>0</v>
      </c>
      <c r="Q23" s="255" t="n">
        <f aca="false">1.52*1.02</f>
        <v>1.5504</v>
      </c>
      <c r="R23" s="255" t="n">
        <v>2.31</v>
      </c>
      <c r="S23" s="287" t="n">
        <v>0</v>
      </c>
      <c r="T23" s="92" t="n">
        <f aca="false">M23-(Q23+R23+S23)</f>
        <v>-0.4604</v>
      </c>
      <c r="U23" s="173" t="n">
        <v>45</v>
      </c>
      <c r="V23" s="173" t="n">
        <v>0</v>
      </c>
      <c r="W23" s="132" t="n">
        <f aca="false">M23-N23-O23-P23-Q23-R23-S23-T23+U23+V23</f>
        <v>45</v>
      </c>
      <c r="X23" s="132" t="n">
        <f aca="false">W23-AO23</f>
        <v>45</v>
      </c>
      <c r="Y23" s="134" t="n">
        <f aca="false">Y22+(X23*1.9835)</f>
        <v>6706.7593592</v>
      </c>
      <c r="Z23" s="134" t="n">
        <f aca="false">Z22+X23*(26300/37500)*1.9835</f>
        <v>4703.67389725227</v>
      </c>
      <c r="AA23" s="105"/>
      <c r="AB23" s="105"/>
      <c r="AC23" s="105"/>
      <c r="AD23" s="105"/>
      <c r="AE23" s="173" t="n">
        <v>0</v>
      </c>
      <c r="AF23" s="231"/>
      <c r="AG23" s="232"/>
      <c r="AH23" s="173" t="n">
        <v>34</v>
      </c>
      <c r="AI23" s="105" t="n">
        <f aca="false">AI22-AH23</f>
        <v>3500</v>
      </c>
      <c r="AJ23" s="105"/>
      <c r="AK23" s="12" t="n">
        <f aca="false">N23+O23+P23+Q23+R23+S23+T23+W23+AE23+AH23</f>
        <v>82.4</v>
      </c>
      <c r="AL23" s="173" t="n">
        <f aca="false">IF(L23&lt;0,L23*-1,0)</f>
        <v>0</v>
      </c>
      <c r="AM23" s="173" t="n">
        <f aca="false">AK23+AL23</f>
        <v>82.4</v>
      </c>
      <c r="AN23" s="267" t="n">
        <f aca="false">AN22+(W23*1.9835)</f>
        <v>6821.117655</v>
      </c>
      <c r="AO23" s="171" t="n">
        <v>0</v>
      </c>
      <c r="AP23" s="173"/>
      <c r="AQ23" s="80"/>
      <c r="AR23" s="80"/>
      <c r="AU23" s="9"/>
      <c r="AV23" s="268" t="n">
        <v>0</v>
      </c>
      <c r="AW23" s="168" t="n">
        <v>39</v>
      </c>
      <c r="AX23" s="168" t="n">
        <v>8</v>
      </c>
      <c r="AY23" s="206"/>
      <c r="AZ23" s="233" t="n">
        <f aca="false">SUM(N23,P23:T23)</f>
        <v>3.4</v>
      </c>
    </row>
    <row r="24" customFormat="false" ht="12.95" hidden="false" customHeight="true" outlineLevel="0" collapsed="false">
      <c r="A24" s="171" t="n">
        <f aca="false">A23+1</f>
        <v>12</v>
      </c>
      <c r="B24" s="269" t="n">
        <v>6898.74</v>
      </c>
      <c r="C24" s="105" t="n">
        <v>278959</v>
      </c>
      <c r="D24" s="168" t="n">
        <f aca="false">C24-C23</f>
        <v>-109</v>
      </c>
      <c r="E24" s="105" t="n">
        <f aca="false">C24-152000</f>
        <v>126959</v>
      </c>
      <c r="F24" s="286" t="n">
        <f aca="false">D24/$D$2</f>
        <v>-54.9533652634232</v>
      </c>
      <c r="G24" s="173" t="n">
        <v>11</v>
      </c>
      <c r="H24" s="165" t="n">
        <v>0.61</v>
      </c>
      <c r="I24" s="173" t="n">
        <f aca="false">G24+H24</f>
        <v>11.61</v>
      </c>
      <c r="J24" s="166" t="n">
        <f aca="false">IF(L24&gt;0,L24,0)</f>
        <v>21.8366347365768</v>
      </c>
      <c r="K24" s="173" t="n">
        <f aca="false">I24+J24</f>
        <v>33.4466347365768</v>
      </c>
      <c r="L24" s="173" t="n">
        <f aca="false">F24-(I24-AK24)</f>
        <v>21.8366347365768</v>
      </c>
      <c r="M24" s="265" t="n">
        <v>3.4</v>
      </c>
      <c r="N24" s="173" t="n">
        <v>0</v>
      </c>
      <c r="O24" s="173" t="n">
        <v>0</v>
      </c>
      <c r="P24" s="167" t="n">
        <v>0</v>
      </c>
      <c r="Q24" s="255" t="n">
        <f aca="false">1.52*1.02</f>
        <v>1.5504</v>
      </c>
      <c r="R24" s="255" t="n">
        <v>2.27</v>
      </c>
      <c r="S24" s="287" t="n">
        <v>0</v>
      </c>
      <c r="T24" s="92" t="n">
        <f aca="false">M24-(Q24+R24+S24)</f>
        <v>-0.4204</v>
      </c>
      <c r="U24" s="173" t="n">
        <v>51</v>
      </c>
      <c r="V24" s="173" t="n">
        <v>0</v>
      </c>
      <c r="W24" s="132" t="n">
        <f aca="false">M24-N24-O24-P24-Q24-R24-S24-T24+U24+V24</f>
        <v>51</v>
      </c>
      <c r="X24" s="132" t="n">
        <f aca="false">W24-AO24</f>
        <v>51</v>
      </c>
      <c r="Y24" s="134" t="n">
        <f aca="false">Y23+(X24*1.9835)</f>
        <v>6807.9178592</v>
      </c>
      <c r="Z24" s="134" t="n">
        <f aca="false">Z23+X24*(26300/37500)*1.9835</f>
        <v>4774.61972525227</v>
      </c>
      <c r="AA24" s="105"/>
      <c r="AB24" s="105"/>
      <c r="AC24" s="105"/>
      <c r="AD24" s="105"/>
      <c r="AE24" s="173" t="n">
        <v>0</v>
      </c>
      <c r="AF24" s="231"/>
      <c r="AG24" s="232"/>
      <c r="AH24" s="173" t="n">
        <v>34</v>
      </c>
      <c r="AI24" s="105" t="n">
        <f aca="false">AI23-AH24</f>
        <v>3466</v>
      </c>
      <c r="AJ24" s="105"/>
      <c r="AK24" s="12" t="n">
        <f aca="false">N24+O24+P24+Q24+R24+S24+T24+W24+AE24+AH24</f>
        <v>88.4</v>
      </c>
      <c r="AL24" s="173" t="n">
        <f aca="false">IF(L24&lt;0,L24*-1,0)</f>
        <v>0</v>
      </c>
      <c r="AM24" s="173" t="n">
        <f aca="false">AK24+AL24</f>
        <v>88.4</v>
      </c>
      <c r="AN24" s="267" t="n">
        <f aca="false">AN23+(W24*1.9835)</f>
        <v>6922.276155</v>
      </c>
      <c r="AO24" s="171" t="n">
        <v>0</v>
      </c>
      <c r="AP24" s="173"/>
      <c r="AQ24" s="80"/>
      <c r="AR24" s="80"/>
      <c r="AU24" s="9"/>
      <c r="AV24" s="268" t="n">
        <v>0</v>
      </c>
      <c r="AW24" s="168" t="n">
        <v>42</v>
      </c>
      <c r="AX24" s="168" t="n">
        <v>1</v>
      </c>
      <c r="AY24" s="206"/>
      <c r="AZ24" s="233" t="n">
        <f aca="false">SUM(N24,P24:T24)</f>
        <v>3.4</v>
      </c>
    </row>
    <row r="25" customFormat="false" ht="12.95" hidden="false" customHeight="true" outlineLevel="0" collapsed="false">
      <c r="A25" s="171" t="n">
        <v>13</v>
      </c>
      <c r="B25" s="269" t="n">
        <v>6898.71</v>
      </c>
      <c r="C25" s="105" t="n">
        <v>278849</v>
      </c>
      <c r="D25" s="168" t="n">
        <f aca="false">C25-C24</f>
        <v>-110</v>
      </c>
      <c r="E25" s="105" t="n">
        <f aca="false">C25-152000</f>
        <v>126849</v>
      </c>
      <c r="F25" s="286" t="n">
        <f aca="false">D25/$D$2</f>
        <v>-55.4575245777666</v>
      </c>
      <c r="G25" s="173" t="n">
        <v>23</v>
      </c>
      <c r="H25" s="165" t="n">
        <v>0.66</v>
      </c>
      <c r="I25" s="173" t="n">
        <f aca="false">G25+H25</f>
        <v>23.66</v>
      </c>
      <c r="J25" s="166" t="n">
        <f aca="false">IF(L25&gt;0,L25,0)</f>
        <v>14.2824754222334</v>
      </c>
      <c r="K25" s="173" t="n">
        <f aca="false">I25+J25</f>
        <v>37.9424754222334</v>
      </c>
      <c r="L25" s="173" t="n">
        <f aca="false">F25-(I25-AK25)</f>
        <v>14.2824754222334</v>
      </c>
      <c r="M25" s="265" t="n">
        <v>3.4</v>
      </c>
      <c r="N25" s="173" t="n">
        <v>0</v>
      </c>
      <c r="O25" s="173" t="n">
        <v>0</v>
      </c>
      <c r="P25" s="167" t="n">
        <v>0</v>
      </c>
      <c r="Q25" s="255" t="n">
        <f aca="false">1.52*1.02</f>
        <v>1.5504</v>
      </c>
      <c r="R25" s="255" t="n">
        <v>2.23</v>
      </c>
      <c r="S25" s="287" t="n">
        <v>0</v>
      </c>
      <c r="T25" s="92" t="n">
        <f aca="false">M25-(Q25+R25+S25)</f>
        <v>-0.3804</v>
      </c>
      <c r="U25" s="173" t="n">
        <v>56</v>
      </c>
      <c r="V25" s="173" t="n">
        <v>0</v>
      </c>
      <c r="W25" s="132" t="n">
        <f aca="false">M25-N25-O25-P25-Q25-R25-S25-T25+U25+V25</f>
        <v>56</v>
      </c>
      <c r="X25" s="132" t="n">
        <f aca="false">W25-AO25</f>
        <v>56</v>
      </c>
      <c r="Y25" s="134" t="n">
        <f aca="false">Y24+(X25*1.9835)</f>
        <v>6918.9938592</v>
      </c>
      <c r="Z25" s="134" t="n">
        <f aca="false">Z24+X25*(26300/37500)*1.9835</f>
        <v>4852.5210265856</v>
      </c>
      <c r="AA25" s="105"/>
      <c r="AB25" s="105"/>
      <c r="AC25" s="105"/>
      <c r="AD25" s="105"/>
      <c r="AE25" s="173" t="n">
        <v>0</v>
      </c>
      <c r="AF25" s="231"/>
      <c r="AG25" s="232"/>
      <c r="AH25" s="173" t="n">
        <v>34</v>
      </c>
      <c r="AI25" s="105" t="n">
        <f aca="false">AI24-AH25</f>
        <v>3432</v>
      </c>
      <c r="AJ25" s="105"/>
      <c r="AK25" s="12" t="n">
        <f aca="false">N25+O25+P25+Q25+R25+S25+T25+W25+AE25+AH25</f>
        <v>93.4</v>
      </c>
      <c r="AL25" s="173" t="n">
        <f aca="false">IF(L25&lt;0,L25*-1,0)</f>
        <v>0</v>
      </c>
      <c r="AM25" s="173" t="n">
        <f aca="false">AK25+AL25</f>
        <v>93.4</v>
      </c>
      <c r="AN25" s="267" t="n">
        <f aca="false">AN24+(W25*1.9835)</f>
        <v>7033.352155</v>
      </c>
      <c r="AO25" s="171" t="n">
        <v>0</v>
      </c>
      <c r="AP25" s="173"/>
      <c r="AQ25" s="80"/>
      <c r="AR25" s="80"/>
      <c r="AU25" s="9"/>
      <c r="AV25" s="268" t="n">
        <v>0</v>
      </c>
      <c r="AW25" s="168" t="n">
        <v>35</v>
      </c>
      <c r="AX25" s="168" t="n">
        <v>3</v>
      </c>
      <c r="AY25" s="206"/>
      <c r="AZ25" s="233" t="n">
        <f aca="false">SUM(N25,P25:T25)</f>
        <v>3.4</v>
      </c>
    </row>
    <row r="26" customFormat="false" ht="12.95" hidden="false" customHeight="true" outlineLevel="0" collapsed="false">
      <c r="A26" s="171" t="n">
        <f aca="false">A25+1</f>
        <v>14</v>
      </c>
      <c r="B26" s="269" t="n">
        <v>6898.69</v>
      </c>
      <c r="C26" s="105" t="n">
        <v>278776</v>
      </c>
      <c r="D26" s="168" t="n">
        <f aca="false">C26-C25</f>
        <v>-73</v>
      </c>
      <c r="E26" s="105" t="n">
        <f aca="false">C26-152000</f>
        <v>126776</v>
      </c>
      <c r="F26" s="286" t="n">
        <f aca="false">D26/$D$2</f>
        <v>-36.8036299470633</v>
      </c>
      <c r="G26" s="173" t="n">
        <v>24</v>
      </c>
      <c r="H26" s="165" t="n">
        <v>0.58</v>
      </c>
      <c r="I26" s="173" t="n">
        <f aca="false">G26+H26</f>
        <v>24.58</v>
      </c>
      <c r="J26" s="166" t="n">
        <f aca="false">IF(L26&gt;0,L26,0)</f>
        <v>31.8163700529367</v>
      </c>
      <c r="K26" s="173" t="n">
        <f aca="false">I26+J26</f>
        <v>56.3963700529367</v>
      </c>
      <c r="L26" s="173" t="n">
        <f aca="false">F26-(I26-AK26)</f>
        <v>31.8163700529367</v>
      </c>
      <c r="M26" s="265" t="n">
        <v>3.2</v>
      </c>
      <c r="N26" s="173" t="n">
        <v>0</v>
      </c>
      <c r="O26" s="173" t="n">
        <v>0</v>
      </c>
      <c r="P26" s="167" t="n">
        <v>0</v>
      </c>
      <c r="Q26" s="255" t="n">
        <f aca="false">1.52*1.02</f>
        <v>1.5504</v>
      </c>
      <c r="R26" s="255" t="n">
        <v>2.42</v>
      </c>
      <c r="S26" s="287" t="n">
        <v>0</v>
      </c>
      <c r="T26" s="92" t="n">
        <f aca="false">M26-(Q26+R26+S26)</f>
        <v>-0.7704</v>
      </c>
      <c r="U26" s="173" t="n">
        <v>56</v>
      </c>
      <c r="V26" s="173" t="n">
        <v>0</v>
      </c>
      <c r="W26" s="132" t="n">
        <f aca="false">M26-N26-O26-P26-Q26-R26-S26-T26+U26+V26</f>
        <v>56</v>
      </c>
      <c r="X26" s="132" t="n">
        <f aca="false">W26-AO26</f>
        <v>56</v>
      </c>
      <c r="Y26" s="134" t="n">
        <f aca="false">Y25+(X26*1.9835)</f>
        <v>7030.0698592</v>
      </c>
      <c r="Z26" s="134" t="n">
        <f aca="false">Z25+X26*(26300/37500)*1.9835</f>
        <v>4930.42232791893</v>
      </c>
      <c r="AA26" s="105"/>
      <c r="AB26" s="105"/>
      <c r="AC26" s="105"/>
      <c r="AD26" s="105"/>
      <c r="AE26" s="173" t="n">
        <v>0</v>
      </c>
      <c r="AF26" s="231"/>
      <c r="AG26" s="232"/>
      <c r="AH26" s="173" t="n">
        <v>34</v>
      </c>
      <c r="AI26" s="105" t="n">
        <f aca="false">AI25-AH26</f>
        <v>3398</v>
      </c>
      <c r="AJ26" s="105"/>
      <c r="AK26" s="12" t="n">
        <f aca="false">N26+O26+P26+Q26+R26+S26+T26+W26+AE26+AH26</f>
        <v>93.2</v>
      </c>
      <c r="AL26" s="173" t="n">
        <f aca="false">IF(L26&lt;0,L26*-1,0)</f>
        <v>0</v>
      </c>
      <c r="AM26" s="173" t="n">
        <f aca="false">AK26+AL26</f>
        <v>93.2</v>
      </c>
      <c r="AN26" s="267" t="n">
        <f aca="false">AN25+(W26*1.9835)</f>
        <v>7144.428155</v>
      </c>
      <c r="AO26" s="171" t="n">
        <v>0</v>
      </c>
      <c r="AP26" s="173"/>
      <c r="AQ26" s="80"/>
      <c r="AR26" s="80"/>
      <c r="AU26" s="9"/>
      <c r="AV26" s="268" t="n">
        <v>0</v>
      </c>
      <c r="AW26" s="9" t="n">
        <v>36</v>
      </c>
      <c r="AX26" s="168" t="n">
        <v>7</v>
      </c>
      <c r="AY26" s="206"/>
      <c r="AZ26" s="233" t="n">
        <f aca="false">SUM(N26,P26:T26)</f>
        <v>3.2</v>
      </c>
    </row>
    <row r="27" customFormat="false" ht="12.95" hidden="false" customHeight="true" outlineLevel="0" collapsed="false">
      <c r="A27" s="171" t="n">
        <f aca="false">A26+1</f>
        <v>15</v>
      </c>
      <c r="B27" s="269" t="n">
        <v>6898.67</v>
      </c>
      <c r="C27" s="105" t="n">
        <v>278703</v>
      </c>
      <c r="D27" s="168" t="n">
        <f aca="false">C27-C26</f>
        <v>-73</v>
      </c>
      <c r="E27" s="105" t="n">
        <f aca="false">C27-152000</f>
        <v>126703</v>
      </c>
      <c r="F27" s="286" t="n">
        <f aca="false">D27/$D$2</f>
        <v>-36.8036299470633</v>
      </c>
      <c r="G27" s="173" t="n">
        <v>24</v>
      </c>
      <c r="H27" s="165" t="n">
        <v>0.5</v>
      </c>
      <c r="I27" s="173" t="n">
        <f aca="false">G27+H27</f>
        <v>24.5</v>
      </c>
      <c r="J27" s="166" t="n">
        <f aca="false">IF(L27&gt;0,L27,0)</f>
        <v>31.7963700529367</v>
      </c>
      <c r="K27" s="173" t="n">
        <f aca="false">I27+J27</f>
        <v>56.2963700529367</v>
      </c>
      <c r="L27" s="173" t="n">
        <f aca="false">F27-(I27-AK27)</f>
        <v>31.7963700529367</v>
      </c>
      <c r="M27" s="265" t="n">
        <v>3.1</v>
      </c>
      <c r="N27" s="173" t="n">
        <v>0</v>
      </c>
      <c r="O27" s="173" t="n">
        <v>0</v>
      </c>
      <c r="P27" s="167" t="n">
        <v>0</v>
      </c>
      <c r="Q27" s="255" t="n">
        <f aca="false">1.52*1.02</f>
        <v>1.5504</v>
      </c>
      <c r="R27" s="255" t="n">
        <v>2.58</v>
      </c>
      <c r="S27" s="287" t="n">
        <v>0</v>
      </c>
      <c r="T27" s="92" t="n">
        <f aca="false">M27-(Q27+R27+S27)</f>
        <v>-1.0304</v>
      </c>
      <c r="U27" s="173" t="n">
        <v>56</v>
      </c>
      <c r="V27" s="173" t="n">
        <v>0</v>
      </c>
      <c r="W27" s="132" t="n">
        <f aca="false">M27-N27-O27-P27-Q27-R27-S27-T27+U27+V27</f>
        <v>56</v>
      </c>
      <c r="X27" s="132" t="n">
        <f aca="false">W27-AO27</f>
        <v>56</v>
      </c>
      <c r="Y27" s="134" t="n">
        <f aca="false">Y26+(X27*1.9835)</f>
        <v>7141.1458592</v>
      </c>
      <c r="Z27" s="134" t="n">
        <f aca="false">Z26+X27*(26300/37500)*1.9835</f>
        <v>5008.32362925227</v>
      </c>
      <c r="AA27" s="105"/>
      <c r="AB27" s="105"/>
      <c r="AC27" s="105"/>
      <c r="AD27" s="105"/>
      <c r="AE27" s="173" t="n">
        <v>0</v>
      </c>
      <c r="AF27" s="231"/>
      <c r="AG27" s="232"/>
      <c r="AH27" s="173" t="n">
        <v>34</v>
      </c>
      <c r="AI27" s="105" t="n">
        <f aca="false">AI26-AH27</f>
        <v>3364</v>
      </c>
      <c r="AJ27" s="105"/>
      <c r="AK27" s="12" t="n">
        <f aca="false">N27+O27+P27+Q27+R27+S27+T27+W27+AE27+AH27</f>
        <v>93.1</v>
      </c>
      <c r="AL27" s="173" t="n">
        <f aca="false">IF(L27&lt;0,L27*-1,0)</f>
        <v>0</v>
      </c>
      <c r="AM27" s="173" t="n">
        <f aca="false">AK27+AL27</f>
        <v>93.1</v>
      </c>
      <c r="AN27" s="267" t="n">
        <f aca="false">AN26+(W27*1.9835)</f>
        <v>7255.504155</v>
      </c>
      <c r="AO27" s="171" t="n">
        <v>0</v>
      </c>
      <c r="AP27" s="173"/>
      <c r="AQ27" s="80"/>
      <c r="AR27" s="80"/>
      <c r="AU27" s="9"/>
      <c r="AV27" s="268" t="n">
        <v>0</v>
      </c>
      <c r="AW27" s="9" t="n">
        <v>41</v>
      </c>
      <c r="AX27" s="168" t="n">
        <v>8</v>
      </c>
      <c r="AY27" s="206"/>
      <c r="AZ27" s="233" t="n">
        <f aca="false">SUM(N27,P27:T27)</f>
        <v>3.1</v>
      </c>
    </row>
    <row r="28" customFormat="false" ht="12.95" hidden="false" customHeight="true" outlineLevel="0" collapsed="false">
      <c r="A28" s="171" t="n">
        <f aca="false">A27+1</f>
        <v>16</v>
      </c>
      <c r="B28" s="269" t="n">
        <v>6898.65</v>
      </c>
      <c r="C28" s="105" t="n">
        <v>278630</v>
      </c>
      <c r="D28" s="168" t="n">
        <f aca="false">C28-C27</f>
        <v>-73</v>
      </c>
      <c r="E28" s="105" t="n">
        <f aca="false">C28-152000</f>
        <v>126630</v>
      </c>
      <c r="F28" s="286" t="n">
        <f aca="false">D28/$D$2</f>
        <v>-36.8036299470633</v>
      </c>
      <c r="G28" s="173" t="n">
        <v>24</v>
      </c>
      <c r="H28" s="165" t="n">
        <v>0.38</v>
      </c>
      <c r="I28" s="173" t="n">
        <f aca="false">G28+H28</f>
        <v>24.38</v>
      </c>
      <c r="J28" s="166" t="n">
        <f aca="false">IF(L28&gt;0,L28,0)</f>
        <v>32.2163700529367</v>
      </c>
      <c r="K28" s="173" t="n">
        <f aca="false">I28+J28</f>
        <v>56.5963700529367</v>
      </c>
      <c r="L28" s="173" t="n">
        <f aca="false">F28-(I28-AK28)</f>
        <v>32.2163700529367</v>
      </c>
      <c r="M28" s="265" t="n">
        <v>3.4</v>
      </c>
      <c r="N28" s="173" t="n">
        <v>0</v>
      </c>
      <c r="O28" s="173" t="n">
        <v>0</v>
      </c>
      <c r="P28" s="167" t="n">
        <v>0</v>
      </c>
      <c r="Q28" s="255" t="n">
        <f aca="false">1.52*1.02</f>
        <v>1.5504</v>
      </c>
      <c r="R28" s="255" t="n">
        <v>2.75</v>
      </c>
      <c r="S28" s="287" t="n">
        <v>0</v>
      </c>
      <c r="T28" s="92" t="n">
        <f aca="false">M28-(Q28+R28+S28)</f>
        <v>-0.9004</v>
      </c>
      <c r="U28" s="173" t="n">
        <v>56</v>
      </c>
      <c r="V28" s="173" t="n">
        <v>0</v>
      </c>
      <c r="W28" s="132" t="n">
        <f aca="false">M28-N28-O28-P28-Q28-R28-S28-T28+U28+V28</f>
        <v>56</v>
      </c>
      <c r="X28" s="132" t="n">
        <f aca="false">W28-AO28</f>
        <v>56</v>
      </c>
      <c r="Y28" s="134" t="n">
        <f aca="false">Y27+(X28*1.9835)</f>
        <v>7252.2218592</v>
      </c>
      <c r="Z28" s="134" t="n">
        <f aca="false">Z27+X28*(26300/37500)*1.9835</f>
        <v>5086.2249305856</v>
      </c>
      <c r="AA28" s="105"/>
      <c r="AB28" s="105"/>
      <c r="AC28" s="105"/>
      <c r="AD28" s="105"/>
      <c r="AE28" s="173" t="n">
        <v>0</v>
      </c>
      <c r="AF28" s="231"/>
      <c r="AG28" s="232"/>
      <c r="AH28" s="173" t="n">
        <v>34</v>
      </c>
      <c r="AI28" s="105" t="n">
        <f aca="false">AI27-AH28</f>
        <v>3330</v>
      </c>
      <c r="AJ28" s="105"/>
      <c r="AK28" s="12" t="n">
        <f aca="false">N28+O28+P28+Q28+R28+S28+T28+W28+AE28+AH28</f>
        <v>93.4</v>
      </c>
      <c r="AL28" s="173" t="n">
        <f aca="false">IF(L28&lt;0,L28*-1,0)</f>
        <v>0</v>
      </c>
      <c r="AM28" s="173" t="n">
        <f aca="false">AK28+AL28</f>
        <v>93.4</v>
      </c>
      <c r="AN28" s="267" t="n">
        <f aca="false">AN27+(W28*1.9835)</f>
        <v>7366.580155</v>
      </c>
      <c r="AO28" s="171" t="n">
        <v>0</v>
      </c>
      <c r="AP28" s="173"/>
      <c r="AQ28" s="8"/>
      <c r="AR28" s="8"/>
      <c r="AU28" s="9"/>
      <c r="AV28" s="268" t="n">
        <v>0</v>
      </c>
      <c r="AW28" s="9" t="n">
        <v>41</v>
      </c>
      <c r="AX28" s="168" t="n">
        <v>10</v>
      </c>
      <c r="AY28" s="206"/>
      <c r="AZ28" s="233" t="n">
        <f aca="false">SUM(N28,P28:T28)</f>
        <v>3.4</v>
      </c>
    </row>
    <row r="29" customFormat="false" ht="12.95" hidden="false" customHeight="true" outlineLevel="0" collapsed="false">
      <c r="A29" s="171" t="n">
        <f aca="false">A28+1</f>
        <v>17</v>
      </c>
      <c r="B29" s="269" t="n">
        <v>6898.63</v>
      </c>
      <c r="C29" s="105" t="n">
        <v>278557</v>
      </c>
      <c r="D29" s="168" t="n">
        <f aca="false">C29-C28</f>
        <v>-73</v>
      </c>
      <c r="E29" s="105" t="n">
        <f aca="false">C29-152000</f>
        <v>126557</v>
      </c>
      <c r="F29" s="286" t="n">
        <f aca="false">D29/$D$2</f>
        <v>-36.8036299470633</v>
      </c>
      <c r="G29" s="173" t="n">
        <v>24</v>
      </c>
      <c r="H29" s="165" t="n">
        <v>0.16</v>
      </c>
      <c r="I29" s="173" t="n">
        <f aca="false">G29+H29</f>
        <v>24.16</v>
      </c>
      <c r="J29" s="166" t="n">
        <f aca="false">IF(L29&gt;0,L29,0)</f>
        <v>33.0363700529367</v>
      </c>
      <c r="K29" s="173" t="n">
        <f aca="false">I29+J29</f>
        <v>57.1963700529367</v>
      </c>
      <c r="L29" s="173" t="n">
        <f aca="false">F29-(I29-AK29)</f>
        <v>33.0363700529367</v>
      </c>
      <c r="M29" s="265" t="n">
        <v>4</v>
      </c>
      <c r="N29" s="173" t="n">
        <v>0</v>
      </c>
      <c r="O29" s="173" t="n">
        <v>0</v>
      </c>
      <c r="P29" s="167" t="n">
        <v>0</v>
      </c>
      <c r="Q29" s="255" t="n">
        <f aca="false">1.52*1.02</f>
        <v>1.5504</v>
      </c>
      <c r="R29" s="255" t="n">
        <v>2.51</v>
      </c>
      <c r="S29" s="287" t="n">
        <v>0</v>
      </c>
      <c r="T29" s="92" t="n">
        <f aca="false">M29-(Q29+R29+S29)</f>
        <v>-0.0603999999999996</v>
      </c>
      <c r="U29" s="173" t="n">
        <v>56</v>
      </c>
      <c r="V29" s="173" t="n">
        <v>0</v>
      </c>
      <c r="W29" s="132" t="n">
        <f aca="false">M29-N29-O29-P29-Q29-R29-S29-T29+U29+V29</f>
        <v>56</v>
      </c>
      <c r="X29" s="132" t="n">
        <f aca="false">W29-AO29</f>
        <v>56</v>
      </c>
      <c r="Y29" s="134" t="n">
        <f aca="false">Y28+(X29*1.9835)</f>
        <v>7363.2978592</v>
      </c>
      <c r="Z29" s="134" t="n">
        <f aca="false">Z28+X29*(26300/37500)*1.9835</f>
        <v>5164.12623191893</v>
      </c>
      <c r="AA29" s="105"/>
      <c r="AB29" s="105"/>
      <c r="AC29" s="105"/>
      <c r="AD29" s="105"/>
      <c r="AE29" s="173" t="n">
        <v>0</v>
      </c>
      <c r="AF29" s="231"/>
      <c r="AG29" s="232"/>
      <c r="AH29" s="173" t="n">
        <v>34</v>
      </c>
      <c r="AI29" s="105" t="n">
        <f aca="false">AI28-AH29</f>
        <v>3296</v>
      </c>
      <c r="AJ29" s="105"/>
      <c r="AK29" s="12" t="n">
        <f aca="false">N29+O29+P29+Q29+R29+S29+T29+W29+AE29+AH29</f>
        <v>94</v>
      </c>
      <c r="AL29" s="173" t="n">
        <f aca="false">IF(L29&lt;0,L29*-1,0)</f>
        <v>0</v>
      </c>
      <c r="AM29" s="173" t="n">
        <f aca="false">AK29+AL29</f>
        <v>94</v>
      </c>
      <c r="AN29" s="267" t="n">
        <f aca="false">AN28+(W29*1.9835)</f>
        <v>7477.656155</v>
      </c>
      <c r="AO29" s="171" t="n">
        <v>0</v>
      </c>
      <c r="AP29" s="173"/>
      <c r="AQ29" s="80"/>
      <c r="AR29" s="80"/>
      <c r="AU29" s="9"/>
      <c r="AV29" s="268" t="n">
        <v>0</v>
      </c>
      <c r="AW29" s="9" t="n">
        <v>43</v>
      </c>
      <c r="AX29" s="168" t="n">
        <v>10</v>
      </c>
      <c r="AY29" s="206"/>
      <c r="AZ29" s="233" t="n">
        <f aca="false">SUM(N29,P29:T29)</f>
        <v>4</v>
      </c>
    </row>
    <row r="30" customFormat="false" ht="12.95" hidden="false" customHeight="true" outlineLevel="0" collapsed="false">
      <c r="A30" s="171" t="n">
        <f aca="false">A29+1</f>
        <v>18</v>
      </c>
      <c r="B30" s="269" t="n">
        <v>6898.61</v>
      </c>
      <c r="C30" s="105" t="n">
        <v>278485</v>
      </c>
      <c r="D30" s="168" t="n">
        <f aca="false">C30-C29</f>
        <v>-72</v>
      </c>
      <c r="E30" s="105" t="n">
        <f aca="false">C30-152000</f>
        <v>126485</v>
      </c>
      <c r="F30" s="286" t="n">
        <f aca="false">D30/$D$2</f>
        <v>-36.2994706327199</v>
      </c>
      <c r="G30" s="173" t="n">
        <v>24</v>
      </c>
      <c r="H30" s="165" t="n">
        <v>0.17</v>
      </c>
      <c r="I30" s="173" t="n">
        <f aca="false">G30+H30</f>
        <v>24.17</v>
      </c>
      <c r="J30" s="166" t="n">
        <f aca="false">IF(L30&gt;0,L30,0)</f>
        <v>33.5305293672801</v>
      </c>
      <c r="K30" s="173" t="n">
        <f aca="false">I30+J30</f>
        <v>57.7005293672801</v>
      </c>
      <c r="L30" s="173" t="n">
        <f aca="false">F30-(I30-AK30)</f>
        <v>33.5305293672801</v>
      </c>
      <c r="M30" s="265" t="n">
        <v>4</v>
      </c>
      <c r="N30" s="173" t="n">
        <v>0</v>
      </c>
      <c r="O30" s="173" t="n">
        <v>0</v>
      </c>
      <c r="P30" s="167" t="n">
        <v>0</v>
      </c>
      <c r="Q30" s="255" t="n">
        <f aca="false">1.52*1.02</f>
        <v>1.5504</v>
      </c>
      <c r="R30" s="255" t="n">
        <v>2.58</v>
      </c>
      <c r="S30" s="287" t="n">
        <v>0</v>
      </c>
      <c r="T30" s="92" t="n">
        <f aca="false">M30-(Q30+R30+S30)</f>
        <v>-0.1304</v>
      </c>
      <c r="U30" s="173" t="n">
        <v>56</v>
      </c>
      <c r="V30" s="173" t="n">
        <v>0</v>
      </c>
      <c r="W30" s="132" t="n">
        <f aca="false">M30-N30-O30-P30-Q30-R30-S30-T30+U30+V30</f>
        <v>56</v>
      </c>
      <c r="X30" s="132" t="n">
        <f aca="false">W30-AO30</f>
        <v>56</v>
      </c>
      <c r="Y30" s="134" t="n">
        <f aca="false">Y29+(X30*1.9835)</f>
        <v>7474.3738592</v>
      </c>
      <c r="Z30" s="134" t="n">
        <f aca="false">Z29+X30*(26300/37500)*1.9835</f>
        <v>5242.02753325227</v>
      </c>
      <c r="AA30" s="105"/>
      <c r="AB30" s="105"/>
      <c r="AC30" s="105"/>
      <c r="AD30" s="105"/>
      <c r="AE30" s="173" t="n">
        <v>0</v>
      </c>
      <c r="AF30" s="231"/>
      <c r="AG30" s="232"/>
      <c r="AH30" s="173" t="n">
        <v>34</v>
      </c>
      <c r="AI30" s="105" t="n">
        <f aca="false">AI29-AH30</f>
        <v>3262</v>
      </c>
      <c r="AJ30" s="105"/>
      <c r="AK30" s="12" t="n">
        <f aca="false">N30+O30+P30+Q30+R30+S30+T30+W30+AE30+AH30</f>
        <v>94</v>
      </c>
      <c r="AL30" s="173" t="n">
        <f aca="false">IF(L30&lt;0,L30*-1,0)</f>
        <v>0</v>
      </c>
      <c r="AM30" s="173" t="n">
        <f aca="false">AK30+AL30</f>
        <v>94</v>
      </c>
      <c r="AN30" s="267" t="n">
        <f aca="false">AN29+(W30*1.9835)</f>
        <v>7588.732155</v>
      </c>
      <c r="AO30" s="171" t="n">
        <v>0</v>
      </c>
      <c r="AP30" s="173"/>
      <c r="AQ30" s="80"/>
      <c r="AR30" s="80"/>
      <c r="AU30" s="9"/>
      <c r="AV30" s="268" t="n">
        <v>0</v>
      </c>
      <c r="AW30" s="9" t="n">
        <v>45</v>
      </c>
      <c r="AX30" s="168" t="n">
        <v>11</v>
      </c>
      <c r="AY30" s="206"/>
      <c r="AZ30" s="233" t="n">
        <f aca="false">SUM(N30,P30:T30)</f>
        <v>4</v>
      </c>
    </row>
    <row r="31" customFormat="false" ht="12.95" hidden="false" customHeight="true" outlineLevel="0" collapsed="false">
      <c r="A31" s="171" t="n">
        <f aca="false">A30+1</f>
        <v>19</v>
      </c>
      <c r="B31" s="269" t="n">
        <v>6898.59</v>
      </c>
      <c r="C31" s="105" t="n">
        <v>278412</v>
      </c>
      <c r="D31" s="168" t="n">
        <f aca="false">C31-C30</f>
        <v>-73</v>
      </c>
      <c r="E31" s="105" t="n">
        <f aca="false">C31-152000</f>
        <v>126412</v>
      </c>
      <c r="F31" s="286" t="n">
        <f aca="false">D31/$D$2</f>
        <v>-36.8036299470633</v>
      </c>
      <c r="G31" s="173" t="n">
        <v>27</v>
      </c>
      <c r="H31" s="165" t="n">
        <v>0.17</v>
      </c>
      <c r="I31" s="173" t="n">
        <f aca="false">G31+H31</f>
        <v>27.17</v>
      </c>
      <c r="J31" s="166" t="n">
        <f aca="false">IF(L31&gt;0,L31,0)</f>
        <v>29.6263700529367</v>
      </c>
      <c r="K31" s="173" t="n">
        <f aca="false">I31+J31</f>
        <v>56.7963700529367</v>
      </c>
      <c r="L31" s="173" t="n">
        <f aca="false">F31-(I31-AK31)</f>
        <v>29.6263700529367</v>
      </c>
      <c r="M31" s="265" t="n">
        <v>3.6</v>
      </c>
      <c r="N31" s="173" t="n">
        <v>0</v>
      </c>
      <c r="O31" s="173" t="n">
        <v>0</v>
      </c>
      <c r="P31" s="167" t="n">
        <v>0</v>
      </c>
      <c r="Q31" s="255" t="n">
        <f aca="false">1.52*1.02</f>
        <v>1.5504</v>
      </c>
      <c r="R31" s="255" t="n">
        <v>2.23</v>
      </c>
      <c r="S31" s="287" t="n">
        <v>0</v>
      </c>
      <c r="T31" s="92" t="n">
        <f aca="false">M31-(Q31+R31+S31)</f>
        <v>-0.1804</v>
      </c>
      <c r="U31" s="173" t="n">
        <v>56</v>
      </c>
      <c r="V31" s="173" t="n">
        <v>0</v>
      </c>
      <c r="W31" s="132" t="n">
        <f aca="false">M31-N31-O31-P31-Q31-R31-S31-T31+U31+V31</f>
        <v>56</v>
      </c>
      <c r="X31" s="132" t="n">
        <f aca="false">W31-AO31</f>
        <v>56</v>
      </c>
      <c r="Y31" s="134" t="n">
        <f aca="false">Y30+(X31*1.9835)</f>
        <v>7585.4498592</v>
      </c>
      <c r="Z31" s="134" t="n">
        <f aca="false">Z30+X31*(26300/37500)*1.9835</f>
        <v>5319.9288345856</v>
      </c>
      <c r="AA31" s="105"/>
      <c r="AB31" s="105"/>
      <c r="AC31" s="105"/>
      <c r="AD31" s="105"/>
      <c r="AE31" s="173" t="n">
        <v>0</v>
      </c>
      <c r="AF31" s="231"/>
      <c r="AG31" s="232"/>
      <c r="AH31" s="173" t="n">
        <v>34</v>
      </c>
      <c r="AI31" s="105" t="n">
        <f aca="false">AI30-AH31</f>
        <v>3228</v>
      </c>
      <c r="AJ31" s="105"/>
      <c r="AK31" s="12" t="n">
        <f aca="false">N31+O31+P31+Q31+R31+S31+T31+W31+AE31+AH31</f>
        <v>93.6</v>
      </c>
      <c r="AL31" s="173" t="n">
        <f aca="false">IF(L31&lt;0,L31*-1,0)</f>
        <v>0</v>
      </c>
      <c r="AM31" s="173" t="n">
        <f aca="false">AK31+AL31</f>
        <v>93.6</v>
      </c>
      <c r="AN31" s="267" t="n">
        <f aca="false">AN30+(W31*1.9835)</f>
        <v>7699.808155</v>
      </c>
      <c r="AO31" s="171" t="n">
        <v>0</v>
      </c>
      <c r="AP31" s="173"/>
      <c r="AQ31" s="80"/>
      <c r="AR31" s="80"/>
      <c r="AU31" s="9"/>
      <c r="AV31" s="268" t="n">
        <v>0</v>
      </c>
      <c r="AW31" s="9" t="n">
        <v>48</v>
      </c>
      <c r="AX31" s="168" t="n">
        <v>13</v>
      </c>
      <c r="AY31" s="206"/>
      <c r="AZ31" s="233" t="n">
        <f aca="false">SUM(N31,P31:T31)</f>
        <v>3.6</v>
      </c>
    </row>
    <row r="32" customFormat="false" ht="12.95" hidden="false" customHeight="true" outlineLevel="0" collapsed="false">
      <c r="A32" s="171" t="n">
        <f aca="false">A31+1</f>
        <v>20</v>
      </c>
      <c r="B32" s="269" t="n">
        <v>6898.57</v>
      </c>
      <c r="C32" s="105" t="n">
        <v>278339</v>
      </c>
      <c r="D32" s="168" t="n">
        <f aca="false">C32-C31</f>
        <v>-73</v>
      </c>
      <c r="E32" s="105" t="n">
        <f aca="false">C32-152000</f>
        <v>126339</v>
      </c>
      <c r="F32" s="286" t="n">
        <f aca="false">D32/$D$2</f>
        <v>-36.8036299470633</v>
      </c>
      <c r="G32" s="173" t="n">
        <v>32</v>
      </c>
      <c r="H32" s="165" t="n">
        <v>0.17</v>
      </c>
      <c r="I32" s="173" t="n">
        <f aca="false">G32+H32</f>
        <v>32.17</v>
      </c>
      <c r="J32" s="166" t="n">
        <f aca="false">IF(L32&gt;0,L32,0)</f>
        <v>24.4263700529367</v>
      </c>
      <c r="K32" s="173" t="n">
        <f aca="false">I32+J32</f>
        <v>56.5963700529367</v>
      </c>
      <c r="L32" s="173" t="n">
        <f aca="false">F32-(I32-AK32)</f>
        <v>24.4263700529367</v>
      </c>
      <c r="M32" s="265" t="n">
        <v>3.4</v>
      </c>
      <c r="N32" s="173" t="n">
        <v>0</v>
      </c>
      <c r="O32" s="173" t="n">
        <v>0</v>
      </c>
      <c r="P32" s="167" t="n">
        <v>0</v>
      </c>
      <c r="Q32" s="255" t="n">
        <f aca="false">1.52*1.02</f>
        <v>1.5504</v>
      </c>
      <c r="R32" s="255" t="n">
        <v>3.76</v>
      </c>
      <c r="S32" s="287" t="n">
        <v>0</v>
      </c>
      <c r="T32" s="92" t="n">
        <f aca="false">M32-(Q32+R32+S32)</f>
        <v>-1.9104</v>
      </c>
      <c r="U32" s="173" t="n">
        <v>56</v>
      </c>
      <c r="V32" s="173" t="n">
        <v>0</v>
      </c>
      <c r="W32" s="132" t="n">
        <f aca="false">M32-N32-O32-P32-Q32-R32-S32-T32+U32+V32</f>
        <v>56</v>
      </c>
      <c r="X32" s="132" t="n">
        <f aca="false">W32-AO32</f>
        <v>56</v>
      </c>
      <c r="Y32" s="134" t="n">
        <f aca="false">Y31+(X32*1.9835)</f>
        <v>7696.5258592</v>
      </c>
      <c r="Z32" s="134" t="n">
        <f aca="false">Z31+X32*(26300/37500)*1.9835</f>
        <v>5397.83013591893</v>
      </c>
      <c r="AA32" s="105"/>
      <c r="AB32" s="105"/>
      <c r="AC32" s="105"/>
      <c r="AD32" s="105"/>
      <c r="AE32" s="173" t="n">
        <v>0</v>
      </c>
      <c r="AF32" s="231"/>
      <c r="AG32" s="232"/>
      <c r="AH32" s="173" t="n">
        <v>34</v>
      </c>
      <c r="AI32" s="105" t="n">
        <f aca="false">AI31-AH32</f>
        <v>3194</v>
      </c>
      <c r="AJ32" s="105"/>
      <c r="AK32" s="12" t="n">
        <f aca="false">N32+O32+P32+Q32+R32+S32+T32+W32+AE32+AH32</f>
        <v>93.4</v>
      </c>
      <c r="AL32" s="173" t="n">
        <f aca="false">IF(L32&lt;0,L32*-1,0)</f>
        <v>0</v>
      </c>
      <c r="AM32" s="173" t="n">
        <f aca="false">AK32+AL32</f>
        <v>93.4</v>
      </c>
      <c r="AN32" s="267" t="n">
        <f aca="false">AN31+(W32*1.9835)</f>
        <v>7810.884155</v>
      </c>
      <c r="AO32" s="171" t="n">
        <v>0</v>
      </c>
      <c r="AP32" s="173"/>
      <c r="AQ32" s="80"/>
      <c r="AR32" s="80"/>
      <c r="AU32" s="9"/>
      <c r="AV32" s="268" t="n">
        <v>0</v>
      </c>
      <c r="AW32" s="9" t="n">
        <v>56</v>
      </c>
      <c r="AX32" s="168" t="n">
        <v>18</v>
      </c>
      <c r="AY32" s="206"/>
      <c r="AZ32" s="233" t="n">
        <f aca="false">SUM(N32,P32:T32)</f>
        <v>3.4</v>
      </c>
    </row>
    <row r="33" customFormat="false" ht="12.95" hidden="false" customHeight="true" outlineLevel="0" collapsed="false">
      <c r="A33" s="171" t="n">
        <f aca="false">A32+1</f>
        <v>21</v>
      </c>
      <c r="B33" s="269" t="n">
        <v>6898.55</v>
      </c>
      <c r="C33" s="105" t="n">
        <v>278266</v>
      </c>
      <c r="D33" s="168" t="n">
        <f aca="false">C33-C32</f>
        <v>-73</v>
      </c>
      <c r="E33" s="105" t="n">
        <f aca="false">C33-152000</f>
        <v>126266</v>
      </c>
      <c r="F33" s="286" t="n">
        <f aca="false">D33/$D$2</f>
        <v>-36.8036299470633</v>
      </c>
      <c r="G33" s="173" t="n">
        <v>42</v>
      </c>
      <c r="H33" s="165" t="n">
        <v>0.17</v>
      </c>
      <c r="I33" s="173" t="n">
        <f aca="false">G33+H33</f>
        <v>42.17</v>
      </c>
      <c r="J33" s="166" t="n">
        <f aca="false">IF(L33&gt;0,L33,0)</f>
        <v>14.5263700529367</v>
      </c>
      <c r="K33" s="173" t="n">
        <f aca="false">I33+J33</f>
        <v>56.6963700529367</v>
      </c>
      <c r="L33" s="173" t="n">
        <f aca="false">F33-(I33-AK33)</f>
        <v>14.5263700529367</v>
      </c>
      <c r="M33" s="265" t="n">
        <v>3.5</v>
      </c>
      <c r="N33" s="173" t="n">
        <v>0</v>
      </c>
      <c r="O33" s="173" t="n">
        <v>0</v>
      </c>
      <c r="P33" s="167" t="n">
        <v>0</v>
      </c>
      <c r="Q33" s="255" t="n">
        <f aca="false">1.52*1.02</f>
        <v>1.5504</v>
      </c>
      <c r="R33" s="255" t="n">
        <v>3.36</v>
      </c>
      <c r="S33" s="287" t="n">
        <v>0</v>
      </c>
      <c r="T33" s="92" t="n">
        <f aca="false">M33-(Q33+R33+S33)</f>
        <v>-1.4104</v>
      </c>
      <c r="U33" s="173" t="n">
        <v>56</v>
      </c>
      <c r="V33" s="173" t="n">
        <v>0</v>
      </c>
      <c r="W33" s="132" t="n">
        <f aca="false">M33-N33-O33-P33-Q33-R33-S33-T33+U33+V33</f>
        <v>56</v>
      </c>
      <c r="X33" s="132" t="n">
        <f aca="false">W33-AO33</f>
        <v>56</v>
      </c>
      <c r="Y33" s="134" t="n">
        <f aca="false">Y32+(X33*1.9835)</f>
        <v>7807.6018592</v>
      </c>
      <c r="Z33" s="134" t="n">
        <f aca="false">Z32+X33*(26300/37500)*1.9835</f>
        <v>5475.73143725227</v>
      </c>
      <c r="AA33" s="105"/>
      <c r="AB33" s="105"/>
      <c r="AC33" s="105"/>
      <c r="AD33" s="105"/>
      <c r="AE33" s="173" t="n">
        <v>0</v>
      </c>
      <c r="AF33" s="231"/>
      <c r="AG33" s="232"/>
      <c r="AH33" s="173" t="n">
        <v>34</v>
      </c>
      <c r="AI33" s="105" t="n">
        <f aca="false">AI32-AH33</f>
        <v>3160</v>
      </c>
      <c r="AJ33" s="105"/>
      <c r="AK33" s="12" t="n">
        <f aca="false">N33+O33+P33+Q33+R33+S33+T33+W33+AE33+AH33</f>
        <v>93.5</v>
      </c>
      <c r="AL33" s="173" t="n">
        <f aca="false">IF(L33&lt;0,L33*-1,0)</f>
        <v>0</v>
      </c>
      <c r="AM33" s="173" t="n">
        <f aca="false">AK33+AL33</f>
        <v>93.5</v>
      </c>
      <c r="AN33" s="267" t="n">
        <f aca="false">AN32+(W33*1.9835)</f>
        <v>7921.960155</v>
      </c>
      <c r="AO33" s="171" t="n">
        <v>0</v>
      </c>
      <c r="AP33" s="173"/>
      <c r="AQ33" s="80"/>
      <c r="AR33" s="80"/>
      <c r="AU33" s="9"/>
      <c r="AV33" s="268" t="n">
        <v>0</v>
      </c>
      <c r="AW33" s="168" t="n">
        <v>53</v>
      </c>
      <c r="AX33" s="168" t="n">
        <v>19</v>
      </c>
      <c r="AY33" s="206"/>
      <c r="AZ33" s="233" t="n">
        <f aca="false">SUM(N33,P33:T33)</f>
        <v>3.5</v>
      </c>
    </row>
    <row r="34" customFormat="false" ht="12.95" hidden="false" customHeight="true" outlineLevel="0" collapsed="false">
      <c r="A34" s="171" t="n">
        <f aca="false">A33+1</f>
        <v>22</v>
      </c>
      <c r="B34" s="269" t="n">
        <v>6898.53</v>
      </c>
      <c r="C34" s="105" t="n">
        <v>278193</v>
      </c>
      <c r="D34" s="168" t="n">
        <f aca="false">C34-C33</f>
        <v>-73</v>
      </c>
      <c r="E34" s="105" t="n">
        <f aca="false">C34-152000</f>
        <v>126193</v>
      </c>
      <c r="F34" s="286" t="n">
        <f aca="false">D34/$D$2</f>
        <v>-36.8036299470633</v>
      </c>
      <c r="G34" s="173" t="n">
        <v>48</v>
      </c>
      <c r="H34" s="165" t="n">
        <v>0.22</v>
      </c>
      <c r="I34" s="173" t="n">
        <f aca="false">G34+H34</f>
        <v>48.22</v>
      </c>
      <c r="J34" s="166" t="n">
        <f aca="false">IF(L34&gt;0,L34,0)</f>
        <v>8.97637005293673</v>
      </c>
      <c r="K34" s="173" t="n">
        <f aca="false">I34+J34</f>
        <v>57.1963700529367</v>
      </c>
      <c r="L34" s="173" t="n">
        <f aca="false">F34-(I34-AK34)</f>
        <v>8.97637005293673</v>
      </c>
      <c r="M34" s="265" t="n">
        <v>4</v>
      </c>
      <c r="N34" s="173" t="n">
        <v>0</v>
      </c>
      <c r="O34" s="173" t="n">
        <v>0</v>
      </c>
      <c r="P34" s="167" t="n">
        <v>0</v>
      </c>
      <c r="Q34" s="255" t="n">
        <f aca="false">1.52*1.02</f>
        <v>1.5504</v>
      </c>
      <c r="R34" s="255" t="n">
        <v>2.95</v>
      </c>
      <c r="S34" s="287" t="n">
        <v>0</v>
      </c>
      <c r="T34" s="92" t="n">
        <f aca="false">M34-(Q34+R34+S34)</f>
        <v>-0.5004</v>
      </c>
      <c r="U34" s="173" t="n">
        <v>56</v>
      </c>
      <c r="V34" s="173" t="n">
        <v>0</v>
      </c>
      <c r="W34" s="132" t="n">
        <f aca="false">M34-N34-O34-P34-Q34-R34-S34-T34+U34+V34</f>
        <v>56</v>
      </c>
      <c r="X34" s="132" t="n">
        <f aca="false">W34-AO34</f>
        <v>56</v>
      </c>
      <c r="Y34" s="134" t="n">
        <f aca="false">Y33+(X34*1.9835)</f>
        <v>7918.6778592</v>
      </c>
      <c r="Z34" s="134" t="n">
        <f aca="false">Z33+X34*(26300/37500)*1.9835</f>
        <v>5553.6327385856</v>
      </c>
      <c r="AA34" s="105"/>
      <c r="AB34" s="105"/>
      <c r="AC34" s="105"/>
      <c r="AD34" s="105"/>
      <c r="AE34" s="173" t="n">
        <v>0</v>
      </c>
      <c r="AF34" s="231"/>
      <c r="AG34" s="232"/>
      <c r="AH34" s="173" t="n">
        <v>34</v>
      </c>
      <c r="AI34" s="105" t="n">
        <f aca="false">AI33-AH34</f>
        <v>3126</v>
      </c>
      <c r="AJ34" s="105"/>
      <c r="AK34" s="12" t="n">
        <f aca="false">N34+O34+P34+Q34+R34+S34+T34+W34+AE34+AH34</f>
        <v>94</v>
      </c>
      <c r="AL34" s="173" t="n">
        <f aca="false">IF(L34&lt;0,L34*-1,0)</f>
        <v>0</v>
      </c>
      <c r="AM34" s="173" t="n">
        <f aca="false">AK34+AL34</f>
        <v>94</v>
      </c>
      <c r="AN34" s="267" t="n">
        <f aca="false">AN33+(W34*1.9835)</f>
        <v>8033.036155</v>
      </c>
      <c r="AO34" s="171" t="n">
        <v>0</v>
      </c>
      <c r="AP34" s="173"/>
      <c r="AQ34" s="80"/>
      <c r="AR34" s="80"/>
      <c r="AU34" s="9"/>
      <c r="AV34" s="268" t="n">
        <v>0</v>
      </c>
      <c r="AW34" s="168" t="n">
        <v>52</v>
      </c>
      <c r="AX34" s="168" t="n">
        <v>24</v>
      </c>
      <c r="AY34" s="206"/>
      <c r="AZ34" s="233" t="n">
        <f aca="false">SUM(N34,P34:T34)</f>
        <v>4</v>
      </c>
    </row>
    <row r="35" customFormat="false" ht="12.95" hidden="false" customHeight="true" outlineLevel="0" collapsed="false">
      <c r="A35" s="171" t="n">
        <f aca="false">A34+1</f>
        <v>23</v>
      </c>
      <c r="B35" s="269" t="n">
        <v>6898.51</v>
      </c>
      <c r="C35" s="105" t="n">
        <v>278120</v>
      </c>
      <c r="D35" s="168" t="n">
        <f aca="false">C35-C34</f>
        <v>-73</v>
      </c>
      <c r="E35" s="105" t="n">
        <f aca="false">C35-152000</f>
        <v>126120</v>
      </c>
      <c r="F35" s="286" t="n">
        <f aca="false">D35/$D$2</f>
        <v>-36.8036299470633</v>
      </c>
      <c r="G35" s="173" t="n">
        <v>58</v>
      </c>
      <c r="H35" s="165" t="n">
        <v>0.51</v>
      </c>
      <c r="I35" s="173" t="n">
        <f aca="false">G35+H35</f>
        <v>58.51</v>
      </c>
      <c r="J35" s="166" t="n">
        <f aca="false">IF(L35&gt;0,L35,0)</f>
        <v>0</v>
      </c>
      <c r="K35" s="173" t="n">
        <f aca="false">I35+J35</f>
        <v>58.51</v>
      </c>
      <c r="L35" s="173" t="n">
        <f aca="false">F35-(I35-AK35)</f>
        <v>-0.613629947063266</v>
      </c>
      <c r="M35" s="265" t="n">
        <v>3.7</v>
      </c>
      <c r="N35" s="173" t="n">
        <v>0</v>
      </c>
      <c r="O35" s="173" t="n">
        <v>0</v>
      </c>
      <c r="P35" s="167" t="n">
        <v>0</v>
      </c>
      <c r="Q35" s="255" t="n">
        <f aca="false">1.52*1.02</f>
        <v>1.5504</v>
      </c>
      <c r="R35" s="255" t="n">
        <v>2.49</v>
      </c>
      <c r="S35" s="287" t="n">
        <v>0</v>
      </c>
      <c r="T35" s="92" t="n">
        <f aca="false">M35-(Q35+R35+S35)</f>
        <v>-0.3404</v>
      </c>
      <c r="U35" s="173" t="n">
        <v>56</v>
      </c>
      <c r="V35" s="173" t="n">
        <v>0</v>
      </c>
      <c r="W35" s="132" t="n">
        <f aca="false">M35-N35-O35-P35-Q35-R35-S35-T35+U35+V35</f>
        <v>56</v>
      </c>
      <c r="X35" s="132" t="n">
        <f aca="false">W35-AO35</f>
        <v>56</v>
      </c>
      <c r="Y35" s="134" t="n">
        <f aca="false">Y34+(X35*1.9835)</f>
        <v>8029.7538592</v>
      </c>
      <c r="Z35" s="134" t="n">
        <f aca="false">Z34+X35*(26300/37500)*1.9835</f>
        <v>5631.53403991893</v>
      </c>
      <c r="AA35" s="105"/>
      <c r="AB35" s="105"/>
      <c r="AC35" s="105"/>
      <c r="AD35" s="105"/>
      <c r="AE35" s="173" t="n">
        <v>0</v>
      </c>
      <c r="AF35" s="231"/>
      <c r="AG35" s="232"/>
      <c r="AH35" s="173" t="n">
        <v>35</v>
      </c>
      <c r="AI35" s="105" t="n">
        <f aca="false">AI34-AH35</f>
        <v>3091</v>
      </c>
      <c r="AJ35" s="105"/>
      <c r="AK35" s="12" t="n">
        <f aca="false">N35+O35+P35+Q35+R35+S35+T35+W35+AE35+AH35</f>
        <v>94.7</v>
      </c>
      <c r="AL35" s="173" t="n">
        <f aca="false">IF(L35&lt;0,L35*-1,0)</f>
        <v>0.613629947063266</v>
      </c>
      <c r="AM35" s="173" t="n">
        <f aca="false">AK35+AL35</f>
        <v>95.3136299470633</v>
      </c>
      <c r="AN35" s="267" t="n">
        <f aca="false">AN34+(W35*1.9835)</f>
        <v>8144.112155</v>
      </c>
      <c r="AO35" s="171" t="n">
        <v>0</v>
      </c>
      <c r="AP35" s="173"/>
      <c r="AQ35" s="80"/>
      <c r="AR35" s="80"/>
      <c r="AU35" s="9"/>
      <c r="AV35" s="268" t="n">
        <v>0.2</v>
      </c>
      <c r="AW35" s="168" t="n">
        <v>41</v>
      </c>
      <c r="AX35" s="9" t="n">
        <v>30</v>
      </c>
      <c r="AY35" s="234"/>
      <c r="AZ35" s="233" t="n">
        <f aca="false">SUM(N35,P35:T35)</f>
        <v>3.7</v>
      </c>
    </row>
    <row r="36" customFormat="false" ht="12.95" hidden="false" customHeight="true" outlineLevel="0" collapsed="false">
      <c r="A36" s="171" t="n">
        <f aca="false">A35+1</f>
        <v>24</v>
      </c>
      <c r="B36" s="269" t="n">
        <v>6898.53</v>
      </c>
      <c r="C36" s="105" t="n">
        <v>278193</v>
      </c>
      <c r="D36" s="168" t="n">
        <f aca="false">C36-C35</f>
        <v>73</v>
      </c>
      <c r="E36" s="105" t="n">
        <f aca="false">C36-152000</f>
        <v>126193</v>
      </c>
      <c r="F36" s="286" t="n">
        <f aca="false">D36/$D$2</f>
        <v>36.8036299470633</v>
      </c>
      <c r="G36" s="173" t="n">
        <v>79</v>
      </c>
      <c r="H36" s="165" t="n">
        <v>1.5</v>
      </c>
      <c r="I36" s="173" t="n">
        <f aca="false">G36+H36</f>
        <v>80.5</v>
      </c>
      <c r="J36" s="166" t="n">
        <f aca="false">IF(L36&gt;0,L36,0)</f>
        <v>50.7036299470633</v>
      </c>
      <c r="K36" s="173" t="n">
        <f aca="false">I36+J36</f>
        <v>131.203629947063</v>
      </c>
      <c r="L36" s="173" t="n">
        <f aca="false">F36-(I36-AK36)</f>
        <v>50.7036299470633</v>
      </c>
      <c r="M36" s="265" t="n">
        <v>3.4</v>
      </c>
      <c r="N36" s="173" t="n">
        <v>0</v>
      </c>
      <c r="O36" s="173" t="n">
        <v>0</v>
      </c>
      <c r="P36" s="167" t="n">
        <v>0</v>
      </c>
      <c r="Q36" s="255" t="n">
        <f aca="false">1.52*1.02</f>
        <v>1.5504</v>
      </c>
      <c r="R36" s="255" t="n">
        <v>2.23</v>
      </c>
      <c r="S36" s="287" t="n">
        <v>0</v>
      </c>
      <c r="T36" s="92" t="n">
        <f aca="false">M36-(Q36+R36+S36)</f>
        <v>-0.3804</v>
      </c>
      <c r="U36" s="173" t="n">
        <v>56</v>
      </c>
      <c r="V36" s="173" t="n">
        <v>0</v>
      </c>
      <c r="W36" s="132" t="n">
        <f aca="false">M36-N36-O36-P36-Q36-R36-S36-T36+U36+V36</f>
        <v>56</v>
      </c>
      <c r="X36" s="132" t="n">
        <f aca="false">W36-AO36</f>
        <v>56</v>
      </c>
      <c r="Y36" s="134" t="n">
        <f aca="false">Y35+(X36*1.9835)</f>
        <v>8140.8298592</v>
      </c>
      <c r="Z36" s="134" t="n">
        <f aca="false">Z35+X36*(26300/37500)*1.9835</f>
        <v>5709.43534125227</v>
      </c>
      <c r="AA36" s="105"/>
      <c r="AB36" s="105"/>
      <c r="AC36" s="105"/>
      <c r="AD36" s="105"/>
      <c r="AE36" s="173" t="n">
        <v>0</v>
      </c>
      <c r="AF36" s="231"/>
      <c r="AG36" s="232"/>
      <c r="AH36" s="173" t="n">
        <v>35</v>
      </c>
      <c r="AI36" s="105" t="n">
        <f aca="false">AI35-AH36</f>
        <v>3056</v>
      </c>
      <c r="AJ36" s="105"/>
      <c r="AK36" s="12" t="n">
        <f aca="false">N36+O36+P36+Q36+R36+S36+T36+W36+AE36+AH36</f>
        <v>94.4</v>
      </c>
      <c r="AL36" s="173" t="n">
        <f aca="false">IF(L36&lt;0,L36*-1,0)</f>
        <v>0</v>
      </c>
      <c r="AM36" s="173" t="n">
        <f aca="false">AK36+AL36</f>
        <v>94.4</v>
      </c>
      <c r="AN36" s="267" t="n">
        <f aca="false">AN35+(W36*1.9835)</f>
        <v>8255.188155</v>
      </c>
      <c r="AO36" s="171" t="n">
        <v>0</v>
      </c>
      <c r="AP36" s="173"/>
      <c r="AQ36" s="80"/>
      <c r="AR36" s="80"/>
      <c r="AU36" s="9"/>
      <c r="AV36" s="268" t="n">
        <v>0.31</v>
      </c>
      <c r="AW36" s="168" t="n">
        <v>44</v>
      </c>
      <c r="AX36" s="9" t="n">
        <v>30</v>
      </c>
      <c r="AY36" s="234"/>
      <c r="AZ36" s="233" t="n">
        <f aca="false">SUM(N36,P36:T36)</f>
        <v>3.4</v>
      </c>
    </row>
    <row r="37" customFormat="false" ht="12.95" hidden="false" customHeight="true" outlineLevel="0" collapsed="false">
      <c r="A37" s="171" t="n">
        <f aca="false">A36+1</f>
        <v>25</v>
      </c>
      <c r="B37" s="269" t="n">
        <v>6898.55</v>
      </c>
      <c r="C37" s="105" t="n">
        <v>278266</v>
      </c>
      <c r="D37" s="168" t="n">
        <f aca="false">C37-C36</f>
        <v>73</v>
      </c>
      <c r="E37" s="105" t="n">
        <f aca="false">C37-152000</f>
        <v>126266</v>
      </c>
      <c r="F37" s="286" t="n">
        <f aca="false">D37/$D$2</f>
        <v>36.8036299470633</v>
      </c>
      <c r="G37" s="173" t="n">
        <v>67</v>
      </c>
      <c r="H37" s="165" t="n">
        <v>1.5</v>
      </c>
      <c r="I37" s="173" t="n">
        <f aca="false">G37+H37</f>
        <v>68.5</v>
      </c>
      <c r="J37" s="166" t="n">
        <f aca="false">IF(L37&gt;0,L37,0)</f>
        <v>62.7036299470633</v>
      </c>
      <c r="K37" s="173" t="n">
        <f aca="false">I37+J37</f>
        <v>131.203629947063</v>
      </c>
      <c r="L37" s="173" t="n">
        <f aca="false">F37-(I37-AK37)</f>
        <v>62.7036299470633</v>
      </c>
      <c r="M37" s="265" t="n">
        <v>3.4</v>
      </c>
      <c r="N37" s="173" t="n">
        <v>0</v>
      </c>
      <c r="O37" s="173" t="n">
        <v>0</v>
      </c>
      <c r="P37" s="167" t="n">
        <v>0</v>
      </c>
      <c r="Q37" s="255" t="n">
        <f aca="false">1.52*1.02</f>
        <v>1.5504</v>
      </c>
      <c r="R37" s="255" t="n">
        <v>2.41</v>
      </c>
      <c r="S37" s="287" t="n">
        <v>0</v>
      </c>
      <c r="T37" s="92" t="n">
        <f aca="false">M37-(Q37+R37+S37)</f>
        <v>-0.5604</v>
      </c>
      <c r="U37" s="173" t="n">
        <v>56</v>
      </c>
      <c r="V37" s="173" t="n">
        <v>0</v>
      </c>
      <c r="W37" s="132" t="n">
        <f aca="false">M37-N37-O37-P37-Q37-R37-S37-T37+U37+V37</f>
        <v>56</v>
      </c>
      <c r="X37" s="132" t="n">
        <f aca="false">W37-AO37</f>
        <v>56</v>
      </c>
      <c r="Y37" s="134" t="n">
        <f aca="false">Y36+(X37*1.9835)</f>
        <v>8251.9058592</v>
      </c>
      <c r="Z37" s="134" t="n">
        <f aca="false">Z36+X37*(26300/37500)*1.9835</f>
        <v>5787.3366425856</v>
      </c>
      <c r="AA37" s="105"/>
      <c r="AB37" s="105"/>
      <c r="AC37" s="105"/>
      <c r="AD37" s="105"/>
      <c r="AE37" s="173" t="n">
        <v>0</v>
      </c>
      <c r="AF37" s="231"/>
      <c r="AG37" s="232"/>
      <c r="AH37" s="173" t="n">
        <v>35</v>
      </c>
      <c r="AI37" s="105" t="n">
        <f aca="false">AI36-AH37</f>
        <v>3021</v>
      </c>
      <c r="AJ37" s="105"/>
      <c r="AK37" s="12" t="n">
        <f aca="false">N37+O37+P37+Q37+R37+S37+T37+W37+AE37+AH37</f>
        <v>94.4</v>
      </c>
      <c r="AL37" s="173" t="n">
        <f aca="false">IF(L37&lt;0,L37*-1,0)</f>
        <v>0</v>
      </c>
      <c r="AM37" s="173" t="n">
        <f aca="false">AK37+AL37</f>
        <v>94.4</v>
      </c>
      <c r="AN37" s="267" t="n">
        <f aca="false">AN36+(W37*1.9835)</f>
        <v>8366.264155</v>
      </c>
      <c r="AO37" s="171" t="n">
        <v>0</v>
      </c>
      <c r="AP37" s="173"/>
      <c r="AQ37" s="80"/>
      <c r="AR37" s="80"/>
      <c r="AU37" s="9"/>
      <c r="AV37" s="268" t="n">
        <v>0.09</v>
      </c>
      <c r="AW37" s="168" t="n">
        <v>45</v>
      </c>
      <c r="AX37" s="9" t="n">
        <v>31</v>
      </c>
      <c r="AY37" s="234"/>
      <c r="AZ37" s="233" t="n">
        <f aca="false">SUM(N37,P37:T37)</f>
        <v>3.4</v>
      </c>
    </row>
    <row r="38" customFormat="false" ht="12.95" hidden="false" customHeight="true" outlineLevel="0" collapsed="false">
      <c r="A38" s="171" t="n">
        <f aca="false">A37+1</f>
        <v>26</v>
      </c>
      <c r="B38" s="269" t="n">
        <v>6898.53</v>
      </c>
      <c r="C38" s="105" t="n">
        <v>278193</v>
      </c>
      <c r="D38" s="168" t="n">
        <f aca="false">C38-C37</f>
        <v>-73</v>
      </c>
      <c r="E38" s="105" t="n">
        <f aca="false">C38-152000</f>
        <v>126193</v>
      </c>
      <c r="F38" s="286" t="n">
        <f aca="false">D38/$D$2</f>
        <v>-36.8036299470633</v>
      </c>
      <c r="G38" s="173" t="n">
        <v>64</v>
      </c>
      <c r="H38" s="165" t="n">
        <v>1.4</v>
      </c>
      <c r="I38" s="173" t="n">
        <f aca="false">G38+H38</f>
        <v>65.4</v>
      </c>
      <c r="J38" s="166" t="n">
        <f aca="false">IF(L38&gt;0,L38,0)</f>
        <v>0</v>
      </c>
      <c r="K38" s="173" t="n">
        <f aca="false">I38+J38</f>
        <v>65.4</v>
      </c>
      <c r="L38" s="173" t="n">
        <f aca="false">F38-(I38-AK38)</f>
        <v>-7.70362994706328</v>
      </c>
      <c r="M38" s="265" t="n">
        <v>3.5</v>
      </c>
      <c r="N38" s="173" t="n">
        <v>0</v>
      </c>
      <c r="O38" s="173" t="n">
        <v>0</v>
      </c>
      <c r="P38" s="167" t="n">
        <v>0</v>
      </c>
      <c r="Q38" s="255" t="n">
        <f aca="false">1.52*1.02</f>
        <v>1.5504</v>
      </c>
      <c r="R38" s="255" t="n">
        <v>2.3</v>
      </c>
      <c r="S38" s="287" t="n">
        <v>0</v>
      </c>
      <c r="T38" s="92" t="n">
        <f aca="false">M38-(Q38+R38+S38)</f>
        <v>-0.3504</v>
      </c>
      <c r="U38" s="173" t="n">
        <v>56</v>
      </c>
      <c r="V38" s="173" t="n">
        <v>0</v>
      </c>
      <c r="W38" s="132" t="n">
        <f aca="false">M38-N38-O38-P38-Q38-R38-S38-T38+U38+V38</f>
        <v>56</v>
      </c>
      <c r="X38" s="132" t="n">
        <f aca="false">W38-AO38</f>
        <v>56</v>
      </c>
      <c r="Y38" s="134" t="n">
        <f aca="false">Y37+(X38*1.9835)</f>
        <v>8362.9818592</v>
      </c>
      <c r="Z38" s="134" t="n">
        <f aca="false">Z37+X38*(26300/37500)*1.9835</f>
        <v>5865.23794391893</v>
      </c>
      <c r="AA38" s="105"/>
      <c r="AB38" s="105"/>
      <c r="AC38" s="105"/>
      <c r="AD38" s="105"/>
      <c r="AE38" s="173" t="n">
        <v>0</v>
      </c>
      <c r="AF38" s="231"/>
      <c r="AG38" s="232"/>
      <c r="AH38" s="173" t="n">
        <v>35</v>
      </c>
      <c r="AI38" s="105" t="n">
        <f aca="false">AI37-AH38</f>
        <v>2986</v>
      </c>
      <c r="AJ38" s="105"/>
      <c r="AK38" s="12" t="n">
        <f aca="false">N38+O38+P38+Q38+R38+S38+T38+W38+AE38+AH38</f>
        <v>94.5</v>
      </c>
      <c r="AL38" s="173" t="n">
        <f aca="false">IF(L38&lt;0,L38*-1,0)</f>
        <v>7.70362994706328</v>
      </c>
      <c r="AM38" s="173" t="n">
        <f aca="false">AK38+AL38</f>
        <v>102.203629947063</v>
      </c>
      <c r="AN38" s="267" t="n">
        <f aca="false">AN37+(W38*1.9835)</f>
        <v>8477.340155</v>
      </c>
      <c r="AO38" s="171" t="n">
        <v>0</v>
      </c>
      <c r="AP38" s="173"/>
      <c r="AQ38" s="80"/>
      <c r="AR38" s="80"/>
      <c r="AU38" s="9"/>
      <c r="AV38" s="268" t="n">
        <v>0.06</v>
      </c>
      <c r="AW38" s="168" t="n">
        <v>36</v>
      </c>
      <c r="AX38" s="168" t="n">
        <v>10</v>
      </c>
      <c r="AY38" s="206"/>
      <c r="AZ38" s="233" t="n">
        <f aca="false">SUM(N38,P38:T38)</f>
        <v>3.5</v>
      </c>
    </row>
    <row r="39" customFormat="false" ht="12.95" hidden="false" customHeight="true" outlineLevel="0" collapsed="false">
      <c r="A39" s="171" t="n">
        <f aca="false">A38+1</f>
        <v>27</v>
      </c>
      <c r="B39" s="269" t="n">
        <v>6898.51</v>
      </c>
      <c r="C39" s="105" t="n">
        <v>278120</v>
      </c>
      <c r="D39" s="168" t="n">
        <f aca="false">C39-C38</f>
        <v>-73</v>
      </c>
      <c r="E39" s="105" t="n">
        <f aca="false">C39-152000</f>
        <v>126120</v>
      </c>
      <c r="F39" s="286" t="n">
        <f aca="false">D39/$D$2</f>
        <v>-36.8036299470633</v>
      </c>
      <c r="G39" s="173" t="n">
        <v>61</v>
      </c>
      <c r="H39" s="165" t="n">
        <v>1.3</v>
      </c>
      <c r="I39" s="173" t="n">
        <f aca="false">G39+H39</f>
        <v>62.3</v>
      </c>
      <c r="J39" s="166" t="n">
        <f aca="false">IF(L39&gt;0,L39,0)</f>
        <v>0</v>
      </c>
      <c r="K39" s="173" t="n">
        <f aca="false">I39+J39</f>
        <v>62.3</v>
      </c>
      <c r="L39" s="173" t="n">
        <f aca="false">F39-(I39-AK39)</f>
        <v>-5.40362994706327</v>
      </c>
      <c r="M39" s="265" t="n">
        <v>3.7</v>
      </c>
      <c r="N39" s="173" t="n">
        <v>0</v>
      </c>
      <c r="O39" s="173" t="n">
        <v>0</v>
      </c>
      <c r="P39" s="167" t="n">
        <v>0</v>
      </c>
      <c r="Q39" s="255" t="n">
        <f aca="false">1.52*1.02</f>
        <v>1.5504</v>
      </c>
      <c r="R39" s="255" t="n">
        <v>2.56</v>
      </c>
      <c r="S39" s="287" t="n">
        <v>0</v>
      </c>
      <c r="T39" s="92" t="n">
        <f aca="false">M39-(Q39+R39+S39)</f>
        <v>-0.4104</v>
      </c>
      <c r="U39" s="173" t="n">
        <v>56</v>
      </c>
      <c r="V39" s="173" t="n">
        <v>0</v>
      </c>
      <c r="W39" s="132" t="n">
        <f aca="false">M39-N39-O39-P39-Q39-R39-S39-T39+U39+V39</f>
        <v>56</v>
      </c>
      <c r="X39" s="132" t="n">
        <f aca="false">W39-AO39</f>
        <v>56</v>
      </c>
      <c r="Y39" s="134" t="n">
        <f aca="false">Y38+(X39*1.9835)</f>
        <v>8474.0578592</v>
      </c>
      <c r="Z39" s="134" t="n">
        <f aca="false">Z38+X39*(26300/37500)*1.9835</f>
        <v>5943.13924525227</v>
      </c>
      <c r="AA39" s="105"/>
      <c r="AB39" s="105"/>
      <c r="AC39" s="105"/>
      <c r="AD39" s="105"/>
      <c r="AE39" s="173" t="n">
        <v>0</v>
      </c>
      <c r="AF39" s="231"/>
      <c r="AG39" s="232"/>
      <c r="AH39" s="173" t="n">
        <v>34</v>
      </c>
      <c r="AI39" s="105" t="n">
        <f aca="false">AI38-AH39</f>
        <v>2952</v>
      </c>
      <c r="AJ39" s="105"/>
      <c r="AK39" s="12" t="n">
        <f aca="false">N39+O39+P39+Q39+R39+S39+T39+W39+AE39+AH39</f>
        <v>93.7</v>
      </c>
      <c r="AL39" s="173" t="n">
        <f aca="false">IF(L39&lt;0,L39*-1,0)</f>
        <v>5.40362994706327</v>
      </c>
      <c r="AM39" s="173" t="n">
        <f aca="false">AK39+AL39</f>
        <v>99.1036299470633</v>
      </c>
      <c r="AN39" s="267" t="n">
        <f aca="false">AN38+(W39*1.9835)</f>
        <v>8588.416155</v>
      </c>
      <c r="AO39" s="171" t="n">
        <v>0</v>
      </c>
      <c r="AP39" s="173"/>
      <c r="AQ39" s="80"/>
      <c r="AR39" s="80"/>
      <c r="AU39" s="9"/>
      <c r="AV39" s="268" t="n">
        <v>0.22</v>
      </c>
      <c r="AW39" s="168" t="n">
        <v>26</v>
      </c>
      <c r="AX39" s="168" t="n">
        <v>5</v>
      </c>
      <c r="AY39" s="206"/>
      <c r="AZ39" s="233" t="n">
        <f aca="false">SUM(N39,P39:T39)</f>
        <v>3.7</v>
      </c>
    </row>
    <row r="40" customFormat="false" ht="12.95" hidden="false" customHeight="true" outlineLevel="0" collapsed="false">
      <c r="A40" s="171" t="n">
        <f aca="false">A39+1</f>
        <v>28</v>
      </c>
      <c r="B40" s="269" t="n">
        <v>6898.48</v>
      </c>
      <c r="C40" s="105" t="n">
        <v>278011</v>
      </c>
      <c r="D40" s="168" t="n">
        <f aca="false">C40-C39</f>
        <v>-109</v>
      </c>
      <c r="E40" s="105" t="n">
        <f aca="false">C40-152000</f>
        <v>126011</v>
      </c>
      <c r="F40" s="286" t="n">
        <f aca="false">D40/$D$2</f>
        <v>-54.9533652634232</v>
      </c>
      <c r="G40" s="173" t="n">
        <v>42</v>
      </c>
      <c r="H40" s="165" t="n">
        <v>1.1</v>
      </c>
      <c r="I40" s="173" t="n">
        <f aca="false">G40+H40</f>
        <v>43.1</v>
      </c>
      <c r="J40" s="166" t="n">
        <f aca="false">IF(L40&gt;0,L40,0)</f>
        <v>0</v>
      </c>
      <c r="K40" s="173" t="n">
        <f aca="false">I40+J40</f>
        <v>43.1</v>
      </c>
      <c r="L40" s="173" t="n">
        <f aca="false">F40-(I40-AK40)</f>
        <v>-4.35336526342324</v>
      </c>
      <c r="M40" s="265" t="n">
        <v>3.7</v>
      </c>
      <c r="N40" s="173" t="n">
        <v>0</v>
      </c>
      <c r="O40" s="173" t="n">
        <v>0</v>
      </c>
      <c r="P40" s="167" t="n">
        <v>0</v>
      </c>
      <c r="Q40" s="255" t="n">
        <f aca="false">1.52*1.02</f>
        <v>1.5504</v>
      </c>
      <c r="R40" s="255" t="n">
        <v>2.69</v>
      </c>
      <c r="S40" s="287" t="n">
        <v>0</v>
      </c>
      <c r="T40" s="92" t="n">
        <f aca="false">M40-(Q40+R40+S40)</f>
        <v>-0.5404</v>
      </c>
      <c r="U40" s="173" t="n">
        <v>56</v>
      </c>
      <c r="V40" s="173" t="n">
        <v>0</v>
      </c>
      <c r="W40" s="132" t="n">
        <f aca="false">M40-N40-O40-P40-Q40-R40-S40-T40+U40+V40</f>
        <v>56</v>
      </c>
      <c r="X40" s="132" t="n">
        <f aca="false">W40-AO40</f>
        <v>56</v>
      </c>
      <c r="Y40" s="134" t="n">
        <f aca="false">Y39+(X40*1.9835)</f>
        <v>8585.1338592</v>
      </c>
      <c r="Z40" s="134" t="n">
        <f aca="false">Z39+X40*(26300/37500)*1.9835</f>
        <v>6021.0405465856</v>
      </c>
      <c r="AA40" s="105"/>
      <c r="AB40" s="105"/>
      <c r="AC40" s="105"/>
      <c r="AD40" s="105"/>
      <c r="AE40" s="173" t="n">
        <v>0</v>
      </c>
      <c r="AF40" s="231"/>
      <c r="AG40" s="232"/>
      <c r="AH40" s="173" t="n">
        <v>34</v>
      </c>
      <c r="AI40" s="105" t="n">
        <f aca="false">AI39-AH40</f>
        <v>2918</v>
      </c>
      <c r="AJ40" s="105"/>
      <c r="AK40" s="12" t="n">
        <f aca="false">N40+O40+P40+Q40+R40+S40+T40+W40+AE40+AH40</f>
        <v>93.7</v>
      </c>
      <c r="AL40" s="173" t="n">
        <f aca="false">IF(L40&lt;0,L40*-1,0)</f>
        <v>4.35336526342324</v>
      </c>
      <c r="AM40" s="173" t="n">
        <f aca="false">AK40+AL40</f>
        <v>98.0533652634233</v>
      </c>
      <c r="AN40" s="267" t="n">
        <f aca="false">AN39+(W40*1.9835)</f>
        <v>8699.49215499999</v>
      </c>
      <c r="AO40" s="171" t="n">
        <v>0</v>
      </c>
      <c r="AP40" s="173"/>
      <c r="AQ40" s="80"/>
      <c r="AR40" s="80"/>
      <c r="AU40" s="9"/>
      <c r="AV40" s="268" t="n">
        <v>0</v>
      </c>
      <c r="AW40" s="168" t="n">
        <v>35</v>
      </c>
      <c r="AX40" s="168" t="n">
        <v>5</v>
      </c>
      <c r="AY40" s="206"/>
      <c r="AZ40" s="233" t="n">
        <f aca="false">SUM(N40,P40:T40)</f>
        <v>3.7</v>
      </c>
    </row>
    <row r="41" customFormat="false" ht="12.95" hidden="false" customHeight="true" outlineLevel="0" collapsed="false">
      <c r="A41" s="171" t="n">
        <f aca="false">A40+1</f>
        <v>29</v>
      </c>
      <c r="B41" s="269" t="n">
        <v>6898.46</v>
      </c>
      <c r="C41" s="105" t="n">
        <v>277938</v>
      </c>
      <c r="D41" s="168" t="n">
        <f aca="false">C41-C40</f>
        <v>-73</v>
      </c>
      <c r="E41" s="105" t="n">
        <f aca="false">C41-152000</f>
        <v>125938</v>
      </c>
      <c r="F41" s="286" t="n">
        <f aca="false">D41/$D$2</f>
        <v>-36.8036299470633</v>
      </c>
      <c r="G41" s="173" t="n">
        <v>43</v>
      </c>
      <c r="H41" s="165" t="n">
        <v>1.1</v>
      </c>
      <c r="I41" s="173" t="n">
        <f aca="false">G41+H41</f>
        <v>44.1</v>
      </c>
      <c r="J41" s="166" t="n">
        <f aca="false">IF(L41&gt;0,L41,0)</f>
        <v>12.7963700529367</v>
      </c>
      <c r="K41" s="173" t="n">
        <f aca="false">I41+J41</f>
        <v>56.8963700529367</v>
      </c>
      <c r="L41" s="173" t="n">
        <f aca="false">F41-(I41-AK41)</f>
        <v>12.7963700529367</v>
      </c>
      <c r="M41" s="265" t="n">
        <v>3.7</v>
      </c>
      <c r="N41" s="173" t="n">
        <v>0</v>
      </c>
      <c r="O41" s="173" t="n">
        <v>0</v>
      </c>
      <c r="P41" s="167" t="n">
        <v>0</v>
      </c>
      <c r="Q41" s="255" t="n">
        <f aca="false">1.52*1.02</f>
        <v>1.5504</v>
      </c>
      <c r="R41" s="255" t="n">
        <v>2.42</v>
      </c>
      <c r="S41" s="287" t="n">
        <v>0</v>
      </c>
      <c r="T41" s="92" t="n">
        <f aca="false">M41-(Q41+R41+S41)</f>
        <v>-0.2704</v>
      </c>
      <c r="U41" s="173" t="n">
        <v>56</v>
      </c>
      <c r="V41" s="173" t="n">
        <v>0</v>
      </c>
      <c r="W41" s="132" t="n">
        <f aca="false">M41-N41-O41-P41-Q41-R41-S41-T41+U41+V41</f>
        <v>56</v>
      </c>
      <c r="X41" s="132" t="n">
        <f aca="false">W41-AO41</f>
        <v>56</v>
      </c>
      <c r="Y41" s="134" t="n">
        <f aca="false">Y40+(X41*1.9835)</f>
        <v>8696.20985919999</v>
      </c>
      <c r="Z41" s="134" t="n">
        <f aca="false">Z40+X41*(26300/37500)*1.9835</f>
        <v>6098.94184791893</v>
      </c>
      <c r="AA41" s="105"/>
      <c r="AB41" s="105"/>
      <c r="AC41" s="105"/>
      <c r="AD41" s="105"/>
      <c r="AE41" s="173" t="n">
        <v>0</v>
      </c>
      <c r="AF41" s="231"/>
      <c r="AG41" s="232"/>
      <c r="AH41" s="173" t="n">
        <v>34</v>
      </c>
      <c r="AI41" s="105" t="n">
        <f aca="false">AI40-AH41</f>
        <v>2884</v>
      </c>
      <c r="AJ41" s="105"/>
      <c r="AK41" s="12" t="n">
        <f aca="false">N41+O41+P41+Q41+R41+S41+T41+W41+AE41+AH41</f>
        <v>93.7</v>
      </c>
      <c r="AL41" s="173" t="n">
        <f aca="false">IF(L41&lt;0,L41*-1,0)</f>
        <v>0</v>
      </c>
      <c r="AM41" s="173" t="n">
        <f aca="false">AK41+AL41</f>
        <v>93.7</v>
      </c>
      <c r="AN41" s="267" t="n">
        <f aca="false">AN40+(W41*1.9835)</f>
        <v>8810.56815499999</v>
      </c>
      <c r="AO41" s="171" t="n">
        <v>0</v>
      </c>
      <c r="AP41" s="173"/>
      <c r="AQ41" s="80"/>
      <c r="AR41" s="80"/>
      <c r="AU41" s="9"/>
      <c r="AV41" s="268" t="n">
        <v>0</v>
      </c>
      <c r="AW41" s="9" t="n">
        <v>35</v>
      </c>
      <c r="AX41" s="168" t="n">
        <v>8</v>
      </c>
      <c r="AY41" s="206"/>
      <c r="AZ41" s="233" t="n">
        <f aca="false">SUM(N41,P41:T41)</f>
        <v>3.7</v>
      </c>
    </row>
    <row r="42" customFormat="false" ht="12.95" hidden="false" customHeight="true" outlineLevel="0" collapsed="false">
      <c r="A42" s="171" t="n">
        <v>30</v>
      </c>
      <c r="B42" s="269" t="n">
        <v>6898.44</v>
      </c>
      <c r="C42" s="105" t="n">
        <v>277865</v>
      </c>
      <c r="D42" s="168" t="n">
        <f aca="false">C42-C41</f>
        <v>-73</v>
      </c>
      <c r="E42" s="105" t="n">
        <f aca="false">C42-152000</f>
        <v>125865</v>
      </c>
      <c r="F42" s="286" t="n">
        <f aca="false">D42/$D$2</f>
        <v>-36.8036299470633</v>
      </c>
      <c r="G42" s="173" t="n">
        <v>48</v>
      </c>
      <c r="H42" s="165" t="n">
        <v>0.98</v>
      </c>
      <c r="I42" s="173" t="n">
        <f aca="false">G42+H42</f>
        <v>48.98</v>
      </c>
      <c r="J42" s="166" t="n">
        <f aca="false">IF(L42&gt;0,L42,0)</f>
        <v>7.01637005293673</v>
      </c>
      <c r="K42" s="173" t="n">
        <f aca="false">I42+J42</f>
        <v>55.9963700529367</v>
      </c>
      <c r="L42" s="173" t="n">
        <f aca="false">F42-(I42-AK42)</f>
        <v>7.01637005293673</v>
      </c>
      <c r="M42" s="265" t="n">
        <v>3.8</v>
      </c>
      <c r="N42" s="173" t="n">
        <v>0</v>
      </c>
      <c r="O42" s="173" t="n">
        <v>0</v>
      </c>
      <c r="P42" s="167" t="n">
        <v>0</v>
      </c>
      <c r="Q42" s="255" t="n">
        <f aca="false">1.52*1.02</f>
        <v>1.5504</v>
      </c>
      <c r="R42" s="255" t="n">
        <v>2.43</v>
      </c>
      <c r="S42" s="287" t="n">
        <v>0</v>
      </c>
      <c r="T42" s="92" t="n">
        <f aca="false">M42-(Q42+R42+S42)</f>
        <v>-0.180400000000001</v>
      </c>
      <c r="U42" s="173" t="n">
        <v>55</v>
      </c>
      <c r="V42" s="173" t="n">
        <v>0</v>
      </c>
      <c r="W42" s="132" t="n">
        <f aca="false">M42-N42-O42-P42-Q42-R42-S42-T42+U42+V42</f>
        <v>55</v>
      </c>
      <c r="X42" s="132" t="n">
        <f aca="false">W42-AO42</f>
        <v>55</v>
      </c>
      <c r="Y42" s="134" t="n">
        <f aca="false">Y41+(X42*1.9835)</f>
        <v>8805.3023592</v>
      </c>
      <c r="Z42" s="134" t="n">
        <f aca="false">Z41+X42*(26300/37500)*1.9835</f>
        <v>6175.4520545856</v>
      </c>
      <c r="AA42" s="105"/>
      <c r="AB42" s="105"/>
      <c r="AC42" s="105"/>
      <c r="AD42" s="105"/>
      <c r="AE42" s="173" t="n">
        <v>0</v>
      </c>
      <c r="AF42" s="231"/>
      <c r="AG42" s="232"/>
      <c r="AH42" s="173" t="n">
        <v>34</v>
      </c>
      <c r="AI42" s="105" t="n">
        <f aca="false">AI41-AH42</f>
        <v>2850</v>
      </c>
      <c r="AJ42" s="105"/>
      <c r="AK42" s="12" t="n">
        <f aca="false">N42+O42+P42+Q42+R42+S42+T42+W42+AE42+AH42</f>
        <v>92.8</v>
      </c>
      <c r="AL42" s="173" t="n">
        <f aca="false">IF(L42&lt;0,L42*-1,0)</f>
        <v>0</v>
      </c>
      <c r="AM42" s="173" t="n">
        <f aca="false">AK42+AL42</f>
        <v>92.8</v>
      </c>
      <c r="AN42" s="267" t="n">
        <f aca="false">AN41+(W42*1.9835)</f>
        <v>8919.66065499999</v>
      </c>
      <c r="AO42" s="171" t="n">
        <v>0</v>
      </c>
      <c r="AP42" s="173"/>
      <c r="AQ42" s="80"/>
      <c r="AR42" s="80"/>
      <c r="AU42" s="9"/>
      <c r="AV42" s="268" t="n">
        <v>0</v>
      </c>
      <c r="AW42" s="9" t="n">
        <v>44</v>
      </c>
      <c r="AX42" s="168" t="n">
        <v>9</v>
      </c>
      <c r="AY42" s="206"/>
      <c r="AZ42" s="233" t="n">
        <f aca="false">SUM(N42,P42:T42)</f>
        <v>3.8</v>
      </c>
    </row>
    <row r="43" customFormat="false" ht="12.95" hidden="false" customHeight="true" outlineLevel="0" collapsed="false">
      <c r="A43" s="171" t="n">
        <v>31</v>
      </c>
      <c r="B43" s="269" t="n">
        <v>6898.42</v>
      </c>
      <c r="C43" s="105" t="n">
        <v>277792</v>
      </c>
      <c r="D43" s="168" t="n">
        <f aca="false">C43-C42</f>
        <v>-73</v>
      </c>
      <c r="E43" s="105" t="n">
        <f aca="false">C43-152000</f>
        <v>125792</v>
      </c>
      <c r="F43" s="286" t="n">
        <f aca="false">D43/$D$2</f>
        <v>-36.8036299470633</v>
      </c>
      <c r="G43" s="173" t="n">
        <v>55</v>
      </c>
      <c r="H43" s="165" t="n">
        <v>0.71</v>
      </c>
      <c r="I43" s="173" t="n">
        <f aca="false">G43+H43</f>
        <v>55.71</v>
      </c>
      <c r="J43" s="166" t="n">
        <f aca="false">IF(L43&gt;0,L43,0)</f>
        <v>1.48637005293673</v>
      </c>
      <c r="K43" s="173" t="n">
        <f aca="false">I43+J43</f>
        <v>57.1963700529367</v>
      </c>
      <c r="L43" s="173" t="n">
        <f aca="false">F43-(I43-AK43)</f>
        <v>1.48637005293673</v>
      </c>
      <c r="M43" s="265" t="n">
        <v>4</v>
      </c>
      <c r="N43" s="173" t="n">
        <v>0</v>
      </c>
      <c r="O43" s="173" t="n">
        <v>0</v>
      </c>
      <c r="P43" s="167" t="n">
        <v>0</v>
      </c>
      <c r="Q43" s="255" t="n">
        <f aca="false">1.52*1.02</f>
        <v>1.5504</v>
      </c>
      <c r="R43" s="255" t="n">
        <v>2.66</v>
      </c>
      <c r="S43" s="287" t="n">
        <v>0</v>
      </c>
      <c r="T43" s="92" t="n">
        <f aca="false">M43-(Q43+R43+S43)</f>
        <v>-0.2104</v>
      </c>
      <c r="U43" s="173" t="n">
        <v>55</v>
      </c>
      <c r="V43" s="173" t="n">
        <v>0</v>
      </c>
      <c r="W43" s="132" t="n">
        <f aca="false">M43-N43-O43-P43-Q43-R43-S43-T43+U43+V43</f>
        <v>55</v>
      </c>
      <c r="X43" s="132" t="n">
        <f aca="false">W43-AO43</f>
        <v>55</v>
      </c>
      <c r="Y43" s="134" t="n">
        <f aca="false">Y42+(X43*1.9835)</f>
        <v>8914.3948592</v>
      </c>
      <c r="Z43" s="134" t="n">
        <f aca="false">Z42+X43*(26300/37500)*1.9835</f>
        <v>6251.96226125227</v>
      </c>
      <c r="AA43" s="105"/>
      <c r="AB43" s="105"/>
      <c r="AC43" s="105"/>
      <c r="AD43" s="105"/>
      <c r="AE43" s="173" t="n">
        <v>0</v>
      </c>
      <c r="AF43" s="231"/>
      <c r="AG43" s="232"/>
      <c r="AH43" s="173" t="n">
        <v>35</v>
      </c>
      <c r="AI43" s="105" t="n">
        <f aca="false">AI42-AH43</f>
        <v>2815</v>
      </c>
      <c r="AJ43" s="105"/>
      <c r="AK43" s="12" t="n">
        <f aca="false">N43+O43+P43+Q43+R43+S43+T43+W43+AE43+AH43</f>
        <v>94</v>
      </c>
      <c r="AL43" s="173" t="n">
        <f aca="false">IF(L43&lt;0,L43*-1,0)</f>
        <v>0</v>
      </c>
      <c r="AM43" s="173" t="n">
        <f aca="false">AK43+AL43</f>
        <v>94</v>
      </c>
      <c r="AN43" s="267" t="n">
        <f aca="false">AN42+(W43*1.9835)</f>
        <v>9028.753155</v>
      </c>
      <c r="AO43" s="171" t="n">
        <v>0</v>
      </c>
      <c r="AP43" s="173"/>
      <c r="AQ43" s="274"/>
      <c r="AR43" s="274"/>
      <c r="AU43" s="9"/>
      <c r="AV43" s="268" t="n">
        <v>0</v>
      </c>
      <c r="AW43" s="9" t="n">
        <v>46</v>
      </c>
      <c r="AX43" s="168" t="n">
        <v>16</v>
      </c>
      <c r="AY43" s="206"/>
      <c r="AZ43" s="233" t="n">
        <f aca="false">SUM(N43,P43:T43)</f>
        <v>4</v>
      </c>
    </row>
    <row r="44" customFormat="false" ht="3" hidden="false" customHeight="true" outlineLevel="0" collapsed="false">
      <c r="A44" s="214"/>
      <c r="B44" s="276"/>
      <c r="C44" s="276"/>
      <c r="D44" s="214"/>
      <c r="E44" s="276"/>
      <c r="F44" s="277"/>
      <c r="G44" s="276"/>
      <c r="H44" s="278"/>
      <c r="I44" s="214"/>
      <c r="J44" s="214"/>
      <c r="K44" s="214"/>
      <c r="L44" s="214"/>
      <c r="M44" s="276"/>
      <c r="N44" s="276"/>
      <c r="O44" s="214"/>
      <c r="P44" s="280"/>
      <c r="Q44" s="214"/>
      <c r="R44" s="214"/>
      <c r="S44" s="214"/>
      <c r="T44" s="281"/>
      <c r="U44" s="214"/>
      <c r="V44" s="214"/>
      <c r="W44" s="214"/>
      <c r="X44" s="214"/>
      <c r="Y44" s="282"/>
      <c r="Z44" s="282"/>
      <c r="AA44" s="276"/>
      <c r="AB44" s="276"/>
      <c r="AC44" s="276"/>
      <c r="AD44" s="276"/>
      <c r="AE44" s="214"/>
      <c r="AF44" s="220"/>
      <c r="AG44" s="225"/>
      <c r="AH44" s="225"/>
      <c r="AI44" s="214"/>
      <c r="AJ44" s="214"/>
      <c r="AK44" s="214"/>
      <c r="AL44" s="214"/>
      <c r="AM44" s="214"/>
      <c r="AN44" s="283"/>
      <c r="AO44" s="284"/>
      <c r="AP44" s="284"/>
      <c r="AQ44" s="284"/>
      <c r="AR44" s="284"/>
      <c r="AS44" s="284"/>
      <c r="AT44" s="284"/>
      <c r="AU44" s="284"/>
      <c r="AV44" s="285"/>
      <c r="AW44" s="282"/>
      <c r="AX44" s="282"/>
      <c r="AY44" s="237"/>
      <c r="AZ44" s="238" t="s">
        <v>102</v>
      </c>
    </row>
    <row r="45" customFormat="false" ht="12.95" hidden="false" customHeight="true" outlineLevel="0" collapsed="false">
      <c r="A45" s="173" t="s">
        <v>91</v>
      </c>
      <c r="B45" s="263"/>
      <c r="D45" s="105"/>
      <c r="F45" s="264" t="n">
        <f aca="false">SUM(F13:F43)</f>
        <v>-606.503655155029</v>
      </c>
      <c r="G45" s="105" t="n">
        <f aca="false">SUM(G13:G43)</f>
        <v>1120</v>
      </c>
      <c r="H45" s="270" t="n">
        <f aca="false">SUM(H13:H43)</f>
        <v>26.96</v>
      </c>
      <c r="I45" s="105" t="n">
        <f aca="false">SUM(I13:I43)</f>
        <v>1146.96</v>
      </c>
      <c r="J45" s="105" t="n">
        <f aca="false">SUM(J13:J43)</f>
        <v>766.410599949584</v>
      </c>
      <c r="K45" s="105" t="n">
        <f aca="false">SUM(K13:K43)</f>
        <v>1913.37059994958</v>
      </c>
      <c r="L45" s="105" t="n">
        <f aca="false">SUM(L13:L43)</f>
        <v>748.336344844971</v>
      </c>
      <c r="M45" s="271" t="n">
        <f aca="false">SUM(M13:M43)</f>
        <v>107.8</v>
      </c>
      <c r="N45" s="105" t="n">
        <f aca="false">SUM(N13:N43)</f>
        <v>0</v>
      </c>
      <c r="O45" s="105" t="n">
        <f aca="false">SUM(O13:O43)</f>
        <v>0</v>
      </c>
      <c r="Q45" s="105" t="n">
        <f aca="false">SUM(Q13:Q43)</f>
        <v>48.0624</v>
      </c>
      <c r="R45" s="105" t="n">
        <f aca="false">SUM(R13:R43)</f>
        <v>78.66</v>
      </c>
      <c r="S45" s="105" t="n">
        <f aca="false">SUM(S13:S43)</f>
        <v>0</v>
      </c>
      <c r="T45" s="266" t="n">
        <f aca="false">SUM(T13:T43)</f>
        <v>-18.9224</v>
      </c>
      <c r="U45" s="105" t="n">
        <f aca="false">SUM(U13:U43)</f>
        <v>1326</v>
      </c>
      <c r="V45" s="105" t="n">
        <f aca="false">SUM(V13:V43)</f>
        <v>0</v>
      </c>
      <c r="W45" s="105" t="n">
        <f aca="false">SUM(W13:W43)</f>
        <v>1326</v>
      </c>
      <c r="X45" s="105" t="n">
        <f aca="false">SUM(X13:X43)</f>
        <v>1326</v>
      </c>
      <c r="AA45" s="105"/>
      <c r="AB45" s="105"/>
      <c r="AC45" s="105"/>
      <c r="AD45" s="105"/>
      <c r="AE45" s="105"/>
      <c r="AF45" s="198"/>
      <c r="AG45" s="201"/>
      <c r="AH45" s="105" t="n">
        <f aca="false">SUM(AH13:AH43)</f>
        <v>1068</v>
      </c>
      <c r="AI45" s="105"/>
      <c r="AJ45" s="105" t="n">
        <f aca="false">SUM(AJ13:AJ43)</f>
        <v>0</v>
      </c>
      <c r="AK45" s="105" t="n">
        <f aca="false">SUM(AK13:AK43)</f>
        <v>2501.8</v>
      </c>
      <c r="AL45" s="105" t="n">
        <f aca="false">SUM(AL13:AL43)</f>
        <v>18.0742551046131</v>
      </c>
      <c r="AM45" s="105" t="n">
        <f aca="false">SUM(AM13:AM43)</f>
        <v>2519.87425510461</v>
      </c>
      <c r="AN45" s="267"/>
      <c r="AO45" s="80" t="n">
        <f aca="false">SUM(AO13:AO43)</f>
        <v>0</v>
      </c>
      <c r="AP45" s="173"/>
      <c r="AQ45" s="274"/>
      <c r="AR45" s="274"/>
      <c r="AU45" s="9"/>
      <c r="AV45" s="268" t="n">
        <f aca="false">SUM(AV13:AV43)</f>
        <v>0.92</v>
      </c>
      <c r="AW45" s="168" t="n">
        <f aca="false">AVERAGE(AW13:AW43)</f>
        <v>39.6774193548387</v>
      </c>
      <c r="AX45" s="168" t="n">
        <f aca="false">AVERAGE(AX13:AX43)</f>
        <v>11.0322580645161</v>
      </c>
      <c r="AY45" s="206" t="s">
        <v>92</v>
      </c>
      <c r="AZ45" s="239" t="n">
        <f aca="false">SUM(AZ13:AZ43)</f>
        <v>107.8</v>
      </c>
    </row>
    <row r="46" customFormat="false" ht="12.95" hidden="false" customHeight="true" outlineLevel="0" collapsed="false">
      <c r="A46" s="173" t="s">
        <v>93</v>
      </c>
      <c r="B46" s="263"/>
      <c r="D46" s="105" t="n">
        <f aca="false">SUM(D13:D43)</f>
        <v>-1203</v>
      </c>
      <c r="F46" s="264" t="n">
        <f aca="false">F45*$D$2</f>
        <v>-1203</v>
      </c>
      <c r="G46" s="105" t="n">
        <f aca="false">G45*$D$2</f>
        <v>2221.52</v>
      </c>
      <c r="H46" s="270" t="n">
        <f aca="false">H45*$D$2</f>
        <v>53.47516</v>
      </c>
      <c r="I46" s="105" t="n">
        <f aca="false">I45*$D$2</f>
        <v>2274.99516</v>
      </c>
      <c r="J46" s="105" t="n">
        <f aca="false">J45*$D$2</f>
        <v>1520.175425</v>
      </c>
      <c r="K46" s="105" t="n">
        <f aca="false">K45*$D$2</f>
        <v>3795.170585</v>
      </c>
      <c r="L46" s="105" t="n">
        <f aca="false">L45*$D$2</f>
        <v>1484.32514</v>
      </c>
      <c r="M46" s="271" t="n">
        <f aca="false">M45*$D$2</f>
        <v>213.8213</v>
      </c>
      <c r="N46" s="105" t="n">
        <f aca="false">N45*$D$2</f>
        <v>0</v>
      </c>
      <c r="O46" s="105" t="n">
        <f aca="false">O45*$D$2</f>
        <v>0</v>
      </c>
      <c r="Q46" s="105" t="n">
        <f aca="false">Q45*$D$2</f>
        <v>95.3317704</v>
      </c>
      <c r="R46" s="105" t="n">
        <f aca="false">R45*$D$2</f>
        <v>156.02211</v>
      </c>
      <c r="S46" s="105" t="n">
        <f aca="false">S45*$D$2</f>
        <v>0</v>
      </c>
      <c r="T46" s="266" t="n">
        <f aca="false">T45*$D$2</f>
        <v>-37.5325804</v>
      </c>
      <c r="U46" s="105" t="n">
        <f aca="false">U45*$D$2</f>
        <v>2630.121</v>
      </c>
      <c r="V46" s="105" t="n">
        <f aca="false">V45*$D$2</f>
        <v>0</v>
      </c>
      <c r="W46" s="105" t="n">
        <f aca="false">W45*$D$2</f>
        <v>2630.121</v>
      </c>
      <c r="X46" s="105" t="n">
        <f aca="false">X45*$D$2</f>
        <v>2630.121</v>
      </c>
      <c r="AA46" s="105"/>
      <c r="AB46" s="105"/>
      <c r="AC46" s="105"/>
      <c r="AD46" s="105"/>
      <c r="AE46" s="105"/>
      <c r="AF46" s="198"/>
      <c r="AG46" s="201"/>
      <c r="AH46" s="105" t="n">
        <f aca="false">AH45*$D$2</f>
        <v>2118.378</v>
      </c>
      <c r="AI46" s="105"/>
      <c r="AJ46" s="105" t="n">
        <f aca="false">AJ45*$D$2</f>
        <v>0</v>
      </c>
      <c r="AK46" s="105" t="n">
        <f aca="false">AK45*$D$2</f>
        <v>4962.3203</v>
      </c>
      <c r="AL46" s="105" t="n">
        <f aca="false">AL45*$D$2</f>
        <v>35.850285</v>
      </c>
      <c r="AM46" s="105" t="n">
        <f aca="false">AM45*$D$2</f>
        <v>4998.170585</v>
      </c>
      <c r="AN46" s="267"/>
      <c r="AO46" s="80" t="n">
        <f aca="false">AO45*$D$2</f>
        <v>0</v>
      </c>
      <c r="AP46" s="173"/>
      <c r="AQ46" s="274"/>
      <c r="AR46" s="274"/>
      <c r="AU46" s="9"/>
      <c r="AV46" s="268"/>
      <c r="AW46" s="168" t="n">
        <f aca="false">MAX(AW13:AW43)</f>
        <v>56</v>
      </c>
      <c r="AX46" s="168" t="n">
        <f aca="false">MAX(AX13:AX43)</f>
        <v>31</v>
      </c>
      <c r="AY46" s="206" t="s">
        <v>94</v>
      </c>
      <c r="AZ46" s="239" t="n">
        <f aca="false">AZ45*$D$2</f>
        <v>213.8213</v>
      </c>
    </row>
    <row r="47" customFormat="false" ht="3" hidden="false" customHeight="true" outlineLevel="0" collapsed="false">
      <c r="A47" s="214"/>
      <c r="B47" s="288"/>
      <c r="C47" s="276"/>
      <c r="D47" s="276"/>
      <c r="E47" s="276"/>
      <c r="F47" s="289"/>
      <c r="G47" s="276"/>
      <c r="H47" s="290"/>
      <c r="I47" s="276"/>
      <c r="J47" s="276"/>
      <c r="K47" s="276"/>
      <c r="L47" s="276"/>
      <c r="M47" s="291"/>
      <c r="N47" s="276"/>
      <c r="O47" s="276"/>
      <c r="P47" s="280"/>
      <c r="Q47" s="276"/>
      <c r="R47" s="276"/>
      <c r="S47" s="276"/>
      <c r="T47" s="281"/>
      <c r="U47" s="276"/>
      <c r="V47" s="276"/>
      <c r="W47" s="276"/>
      <c r="X47" s="276"/>
      <c r="Y47" s="276"/>
      <c r="Z47" s="282"/>
      <c r="AA47" s="276"/>
      <c r="AB47" s="276"/>
      <c r="AC47" s="276"/>
      <c r="AD47" s="276"/>
      <c r="AE47" s="276"/>
      <c r="AF47" s="241"/>
      <c r="AG47" s="242"/>
      <c r="AH47" s="276"/>
      <c r="AI47" s="214"/>
      <c r="AJ47" s="276"/>
      <c r="AK47" s="276"/>
      <c r="AL47" s="276"/>
      <c r="AM47" s="276"/>
      <c r="AN47" s="292"/>
      <c r="AO47" s="293"/>
      <c r="AP47" s="276"/>
      <c r="AQ47" s="293"/>
      <c r="AR47" s="293"/>
      <c r="AS47" s="284"/>
      <c r="AT47" s="284"/>
      <c r="AU47" s="284"/>
      <c r="AV47" s="292"/>
      <c r="AW47" s="276"/>
      <c r="AX47" s="276"/>
      <c r="AY47" s="240"/>
      <c r="AZ47" s="245"/>
    </row>
    <row r="48" customFormat="false" ht="12.95" hidden="false" customHeight="true" outlineLevel="0" collapsed="false">
      <c r="A48" s="173" t="s">
        <v>95</v>
      </c>
      <c r="B48" s="263"/>
      <c r="D48" s="105"/>
      <c r="F48" s="264"/>
      <c r="G48" s="105"/>
      <c r="H48" s="270"/>
      <c r="I48" s="105"/>
      <c r="J48" s="105"/>
      <c r="K48" s="105"/>
      <c r="L48" s="105"/>
      <c r="M48" s="271"/>
      <c r="N48" s="105"/>
      <c r="O48" s="105"/>
      <c r="Q48" s="105"/>
      <c r="R48" s="105"/>
      <c r="S48" s="105"/>
      <c r="T48" s="266"/>
      <c r="U48" s="105"/>
      <c r="V48" s="105"/>
      <c r="AA48" s="105"/>
      <c r="AB48" s="105"/>
      <c r="AC48" s="105"/>
      <c r="AD48" s="105"/>
      <c r="AE48" s="105"/>
      <c r="AF48" s="198"/>
      <c r="AG48" s="201"/>
      <c r="AI48" s="105"/>
      <c r="AJ48" s="105"/>
      <c r="AK48" s="105"/>
      <c r="AL48" s="105"/>
      <c r="AM48" s="105"/>
      <c r="AN48" s="267"/>
      <c r="AO48" s="171"/>
      <c r="AP48" s="173"/>
      <c r="AQ48" s="274"/>
      <c r="AR48" s="274"/>
      <c r="AU48" s="9"/>
      <c r="AV48" s="268"/>
      <c r="AW48" s="168" t="n">
        <f aca="false">MIN(AW13:AW43)</f>
        <v>26</v>
      </c>
      <c r="AX48" s="168" t="n">
        <f aca="false">MIN(AX13:AX43)</f>
        <v>-4</v>
      </c>
      <c r="AY48" s="206" t="s">
        <v>96</v>
      </c>
      <c r="AZ48" s="239"/>
    </row>
    <row r="49" customFormat="false" ht="12.95" hidden="false" customHeight="true" outlineLevel="0" collapsed="false">
      <c r="A49" s="173" t="s">
        <v>97</v>
      </c>
      <c r="B49" s="263"/>
      <c r="D49" s="105"/>
      <c r="F49" s="264"/>
      <c r="G49" s="105"/>
      <c r="H49" s="270"/>
      <c r="I49" s="105"/>
      <c r="J49" s="105"/>
      <c r="K49" s="105"/>
      <c r="L49" s="105"/>
      <c r="M49" s="271"/>
      <c r="N49" s="105"/>
      <c r="O49" s="105"/>
      <c r="Q49" s="105"/>
      <c r="R49" s="105"/>
      <c r="S49" s="105"/>
      <c r="T49" s="266"/>
      <c r="U49" s="105"/>
      <c r="V49" s="105"/>
      <c r="AA49" s="105"/>
      <c r="AB49" s="105"/>
      <c r="AC49" s="105"/>
      <c r="AD49" s="105"/>
      <c r="AE49" s="105"/>
      <c r="AF49" s="198"/>
      <c r="AG49" s="201"/>
      <c r="AI49" s="105"/>
      <c r="AJ49" s="105"/>
      <c r="AK49" s="105"/>
      <c r="AL49" s="105"/>
      <c r="AM49" s="105"/>
      <c r="AN49" s="267"/>
      <c r="AO49" s="171"/>
      <c r="AP49" s="173"/>
      <c r="AQ49" s="274"/>
      <c r="AR49" s="274"/>
      <c r="AU49" s="9"/>
      <c r="AV49" s="268"/>
      <c r="AX49" s="168"/>
      <c r="AY49" s="206"/>
      <c r="AZ49" s="239"/>
    </row>
    <row r="50" customFormat="false" ht="3" hidden="false" customHeight="true" outlineLevel="0" collapsed="false">
      <c r="A50" s="214"/>
      <c r="B50" s="288"/>
      <c r="C50" s="276"/>
      <c r="D50" s="276"/>
      <c r="E50" s="276"/>
      <c r="F50" s="289"/>
      <c r="G50" s="276"/>
      <c r="H50" s="290"/>
      <c r="I50" s="276"/>
      <c r="J50" s="276"/>
      <c r="K50" s="276"/>
      <c r="L50" s="276"/>
      <c r="M50" s="291"/>
      <c r="N50" s="276"/>
      <c r="O50" s="276"/>
      <c r="P50" s="280"/>
      <c r="Q50" s="276"/>
      <c r="R50" s="276"/>
      <c r="S50" s="276"/>
      <c r="T50" s="281"/>
      <c r="U50" s="276"/>
      <c r="V50" s="276"/>
      <c r="W50" s="276"/>
      <c r="X50" s="276"/>
      <c r="Y50" s="276"/>
      <c r="Z50" s="282"/>
      <c r="AA50" s="276"/>
      <c r="AB50" s="276"/>
      <c r="AC50" s="276"/>
      <c r="AD50" s="276"/>
      <c r="AE50" s="276"/>
      <c r="AF50" s="241"/>
      <c r="AG50" s="242"/>
      <c r="AH50" s="276"/>
      <c r="AI50" s="276"/>
      <c r="AJ50" s="276"/>
      <c r="AK50" s="276"/>
      <c r="AL50" s="276"/>
      <c r="AM50" s="276"/>
      <c r="AN50" s="285"/>
      <c r="AO50" s="294"/>
      <c r="AP50" s="278"/>
      <c r="AQ50" s="294"/>
      <c r="AR50" s="294"/>
      <c r="AS50" s="284"/>
      <c r="AT50" s="284"/>
      <c r="AU50" s="284"/>
      <c r="AV50" s="285"/>
      <c r="AW50" s="278"/>
      <c r="AX50" s="278"/>
      <c r="AY50" s="248"/>
      <c r="AZ50" s="245"/>
    </row>
    <row r="51" customFormat="false" ht="12.95" hidden="false" customHeight="true" outlineLevel="0" collapsed="false">
      <c r="A51" s="173" t="s">
        <v>98</v>
      </c>
      <c r="B51" s="263"/>
      <c r="D51" s="105"/>
      <c r="F51" s="264" t="n">
        <f aca="false">F11+F45</f>
        <v>-3533.65263423242</v>
      </c>
      <c r="G51" s="105" t="n">
        <f aca="false">G11+G45</f>
        <v>3980</v>
      </c>
      <c r="H51" s="270" t="n">
        <f aca="false">H11+H45</f>
        <v>50.66</v>
      </c>
      <c r="I51" s="105" t="n">
        <f aca="false">I11+I45</f>
        <v>4030.66</v>
      </c>
      <c r="J51" s="105" t="n">
        <f aca="false">J11+J45</f>
        <v>1618.10268464835</v>
      </c>
      <c r="K51" s="105" t="n">
        <f aca="false">K11+K45</f>
        <v>5648.76268464834</v>
      </c>
      <c r="L51" s="105" t="n">
        <f aca="false">L11+L45</f>
        <v>967.987365767583</v>
      </c>
      <c r="M51" s="271" t="n">
        <f aca="false">M11+M45</f>
        <v>510</v>
      </c>
      <c r="N51" s="105" t="n">
        <f aca="false">N11+N45</f>
        <v>0</v>
      </c>
      <c r="O51" s="105" t="n">
        <f aca="false">O11+O45</f>
        <v>0</v>
      </c>
      <c r="Q51" s="105" t="n">
        <f aca="false">Q11+Q45</f>
        <v>144.789</v>
      </c>
      <c r="R51" s="105" t="n">
        <f aca="false">R11+R45</f>
        <v>221.88</v>
      </c>
      <c r="S51" s="105" t="n">
        <f aca="false">S11+S45</f>
        <v>0</v>
      </c>
      <c r="T51" s="266" t="n">
        <f aca="false">T11+T45</f>
        <v>-44.913</v>
      </c>
      <c r="U51" s="105" t="n">
        <f aca="false">U11+U45</f>
        <v>4683</v>
      </c>
      <c r="V51" s="105" t="n">
        <f aca="false">V11+V45</f>
        <v>76.3</v>
      </c>
      <c r="W51" s="105" t="n">
        <f aca="false">W11+W45</f>
        <v>4947.544</v>
      </c>
      <c r="X51" s="105" t="n">
        <f aca="false">X11+X45</f>
        <v>4494.2752</v>
      </c>
      <c r="AA51" s="105"/>
      <c r="AB51" s="105"/>
      <c r="AC51" s="105"/>
      <c r="AD51" s="105"/>
      <c r="AE51" s="105"/>
      <c r="AF51" s="198"/>
      <c r="AG51" s="201"/>
      <c r="AH51" s="105" t="n">
        <f aca="false">AH11+AH45</f>
        <v>3263</v>
      </c>
      <c r="AI51" s="105" t="n">
        <f aca="false">AI43</f>
        <v>2815</v>
      </c>
      <c r="AJ51" s="105" t="n">
        <f aca="false">AJ11+AJ45</f>
        <v>0</v>
      </c>
      <c r="AK51" s="105" t="n">
        <f aca="false">AK11+AK45</f>
        <v>8532.3</v>
      </c>
      <c r="AL51" s="105" t="n">
        <f aca="false">AL11+AL45</f>
        <v>650.115318880766</v>
      </c>
      <c r="AM51" s="105" t="n">
        <f aca="false">AM11+AM45</f>
        <v>9182.41531888076</v>
      </c>
      <c r="AN51" s="267"/>
      <c r="AO51" s="80" t="n">
        <f aca="false">AO11+AO45</f>
        <v>453.2688</v>
      </c>
      <c r="AP51" s="173"/>
      <c r="AQ51" s="274"/>
      <c r="AR51" s="274"/>
      <c r="AU51" s="9"/>
      <c r="AV51" s="268" t="n">
        <f aca="false">AV11+AV45</f>
        <v>3.27</v>
      </c>
      <c r="AX51" s="168"/>
      <c r="AY51" s="206"/>
      <c r="AZ51" s="239" t="n">
        <f aca="false">AZ11+AZ45</f>
        <v>321.756</v>
      </c>
    </row>
    <row r="52" customFormat="false" ht="12.95" hidden="false" customHeight="true" outlineLevel="0" collapsed="false">
      <c r="A52" s="173" t="s">
        <v>99</v>
      </c>
      <c r="B52" s="263"/>
      <c r="D52" s="105" t="n">
        <f aca="false">D11+D46</f>
        <v>-7009</v>
      </c>
      <c r="E52" s="105" t="n">
        <f aca="false">E43</f>
        <v>125792</v>
      </c>
      <c r="F52" s="264" t="n">
        <f aca="false">F51*$D$2</f>
        <v>-7009</v>
      </c>
      <c r="G52" s="105" t="n">
        <f aca="false">G51*$D$2</f>
        <v>7894.33</v>
      </c>
      <c r="H52" s="270" t="n">
        <f aca="false">H51*$D$2</f>
        <v>100.48411</v>
      </c>
      <c r="I52" s="105" t="n">
        <f aca="false">I51*$D$2</f>
        <v>7994.81411</v>
      </c>
      <c r="J52" s="105" t="n">
        <f aca="false">J51*$D$2</f>
        <v>3209.506675</v>
      </c>
      <c r="K52" s="105" t="n">
        <f aca="false">K51*$D$2</f>
        <v>11204.320785</v>
      </c>
      <c r="L52" s="105" t="n">
        <f aca="false">L51*$D$2</f>
        <v>1920.00294</v>
      </c>
      <c r="M52" s="271" t="n">
        <f aca="false">M51*$D$2</f>
        <v>1011.585</v>
      </c>
      <c r="N52" s="105" t="n">
        <f aca="false">N51*$D$2</f>
        <v>0</v>
      </c>
      <c r="O52" s="105" t="n">
        <f aca="false">O51*$D$2</f>
        <v>0</v>
      </c>
      <c r="Q52" s="105" t="n">
        <f aca="false">Q51*$D$2</f>
        <v>287.1889815</v>
      </c>
      <c r="R52" s="105" t="n">
        <f aca="false">R51*$D$2</f>
        <v>440.09898</v>
      </c>
      <c r="S52" s="105" t="n">
        <f aca="false">S51*$D$2</f>
        <v>0</v>
      </c>
      <c r="T52" s="266" t="n">
        <f aca="false">T51*$D$2</f>
        <v>-89.0849355</v>
      </c>
      <c r="U52" s="105" t="n">
        <f aca="false">U51*$D$2</f>
        <v>9288.7305</v>
      </c>
      <c r="V52" s="105" t="n">
        <f aca="false">V51*$D$2</f>
        <v>151.34105</v>
      </c>
      <c r="W52" s="105" t="n">
        <f aca="false">W51*$D$2</f>
        <v>9813.453524</v>
      </c>
      <c r="X52" s="105" t="n">
        <f aca="false">X51*$D$2</f>
        <v>8914.3948592</v>
      </c>
      <c r="AA52" s="105"/>
      <c r="AB52" s="105"/>
      <c r="AC52" s="105"/>
      <c r="AD52" s="105"/>
      <c r="AE52" s="105"/>
      <c r="AF52" s="249"/>
      <c r="AG52" s="250"/>
      <c r="AH52" s="105" t="n">
        <f aca="false">AH51*$D$2</f>
        <v>6472.1605</v>
      </c>
      <c r="AI52" s="105" t="n">
        <f aca="false">AI51*$D$2</f>
        <v>5583.5525</v>
      </c>
      <c r="AJ52" s="105" t="n">
        <f aca="false">AJ51*$D$2</f>
        <v>0</v>
      </c>
      <c r="AK52" s="105" t="n">
        <f aca="false">AK51*$D$2</f>
        <v>16923.81705</v>
      </c>
      <c r="AL52" s="105" t="n">
        <f aca="false">AL51*$D$2</f>
        <v>1289.503735</v>
      </c>
      <c r="AM52" s="105" t="n">
        <f aca="false">AM51*$D$2</f>
        <v>18213.320785</v>
      </c>
      <c r="AN52" s="267" t="n">
        <f aca="false">AN43</f>
        <v>9028.753155</v>
      </c>
      <c r="AO52" s="80" t="n">
        <f aca="false">AO51*$D$2</f>
        <v>899.0586648</v>
      </c>
      <c r="AP52" s="173"/>
      <c r="AQ52" s="274"/>
      <c r="AR52" s="274"/>
      <c r="AU52" s="9"/>
      <c r="AV52" s="268"/>
      <c r="AX52" s="168"/>
      <c r="AY52" s="206"/>
      <c r="AZ52" s="212" t="n">
        <f aca="false">AZ51*$D$2</f>
        <v>638.203026</v>
      </c>
    </row>
    <row r="53" customFormat="false" ht="3" hidden="false" customHeight="true" outlineLevel="0" collapsed="false">
      <c r="A53" s="214"/>
      <c r="B53" s="288"/>
      <c r="C53" s="276"/>
      <c r="D53" s="214"/>
      <c r="E53" s="276"/>
      <c r="F53" s="277"/>
      <c r="G53" s="214"/>
      <c r="H53" s="278"/>
      <c r="I53" s="214"/>
      <c r="J53" s="214"/>
      <c r="K53" s="214"/>
      <c r="L53" s="214"/>
      <c r="M53" s="279"/>
      <c r="N53" s="214"/>
      <c r="O53" s="214"/>
      <c r="P53" s="280"/>
      <c r="Q53" s="214"/>
      <c r="R53" s="214"/>
      <c r="S53" s="214"/>
      <c r="T53" s="281"/>
      <c r="U53" s="214"/>
      <c r="V53" s="214"/>
      <c r="W53" s="214"/>
      <c r="X53" s="214"/>
      <c r="Y53" s="214"/>
      <c r="Z53" s="282"/>
      <c r="AA53" s="276"/>
      <c r="AB53" s="276"/>
      <c r="AC53" s="276"/>
      <c r="AD53" s="276"/>
      <c r="AE53" s="214"/>
      <c r="AF53" s="220"/>
      <c r="AG53" s="225"/>
      <c r="AH53" s="214"/>
      <c r="AI53" s="276"/>
      <c r="AJ53" s="276"/>
      <c r="AK53" s="214"/>
      <c r="AL53" s="214"/>
      <c r="AM53" s="214"/>
      <c r="AN53" s="288"/>
      <c r="AO53" s="295"/>
      <c r="AP53" s="214"/>
      <c r="AQ53" s="295"/>
      <c r="AR53" s="295"/>
      <c r="AS53" s="284"/>
      <c r="AT53" s="284"/>
      <c r="AU53" s="284"/>
      <c r="AV53" s="288"/>
      <c r="AW53" s="214"/>
      <c r="AX53" s="214"/>
      <c r="AY53" s="217"/>
      <c r="AZ53" s="252"/>
    </row>
    <row r="54" customFormat="false" ht="11.1" hidden="false" customHeight="true" outlineLevel="0" collapsed="false">
      <c r="A54" s="173"/>
      <c r="B54" s="253"/>
      <c r="D54" s="173"/>
      <c r="F54" s="173"/>
      <c r="G54" s="173"/>
      <c r="I54" s="173"/>
      <c r="J54" s="173"/>
      <c r="K54" s="173"/>
      <c r="L54" s="173"/>
      <c r="N54" s="173"/>
      <c r="O54" s="173"/>
      <c r="Q54" s="173"/>
      <c r="R54" s="173"/>
      <c r="S54" s="173"/>
      <c r="U54" s="173"/>
      <c r="V54" s="173"/>
      <c r="W54" s="173"/>
      <c r="X54" s="173"/>
      <c r="Y54" s="173"/>
      <c r="AA54" s="105"/>
      <c r="AB54" s="105"/>
      <c r="AC54" s="105"/>
      <c r="AD54" s="105"/>
      <c r="AE54" s="173"/>
      <c r="AF54" s="173"/>
      <c r="AG54" s="173"/>
      <c r="AH54" s="173"/>
      <c r="AI54" s="105"/>
      <c r="AJ54" s="208"/>
      <c r="AK54" s="173"/>
      <c r="AL54" s="173"/>
      <c r="AM54" s="173"/>
      <c r="AN54" s="171"/>
      <c r="AO54" s="171"/>
      <c r="AP54" s="176"/>
      <c r="AQ54" s="259"/>
      <c r="AR54" s="259"/>
      <c r="AX54" s="168"/>
    </row>
    <row r="55" customFormat="false" ht="11.1" hidden="false" customHeight="true" outlineLevel="0" collapsed="false">
      <c r="A55" s="173"/>
      <c r="B55" s="255"/>
      <c r="F55" s="173"/>
      <c r="G55" s="173"/>
      <c r="I55" s="174"/>
      <c r="J55" s="173"/>
      <c r="K55" s="163"/>
      <c r="L55" s="173"/>
      <c r="N55" s="173"/>
      <c r="O55" s="173"/>
      <c r="Q55" s="173"/>
      <c r="R55" s="173"/>
      <c r="S55" s="173"/>
      <c r="U55" s="173"/>
      <c r="V55" s="173"/>
      <c r="W55" s="173"/>
      <c r="X55" s="173"/>
      <c r="Y55" s="173"/>
      <c r="AA55" s="105"/>
      <c r="AB55" s="105"/>
      <c r="AC55" s="105"/>
      <c r="AD55" s="105"/>
      <c r="AE55" s="173"/>
      <c r="AF55" s="173"/>
      <c r="AG55" s="173"/>
      <c r="AH55" s="173"/>
      <c r="AI55" s="105"/>
      <c r="AJ55" s="208"/>
      <c r="AK55" s="173"/>
      <c r="AL55" s="173"/>
      <c r="AM55" s="173"/>
      <c r="AN55" s="171"/>
      <c r="AO55" s="171"/>
      <c r="AP55" s="176"/>
      <c r="AQ55" s="259"/>
      <c r="AR55" s="259"/>
      <c r="AX55" s="168"/>
    </row>
    <row r="56" customFormat="false" ht="11.1" hidden="false" customHeight="true" outlineLevel="0" collapsed="false">
      <c r="D56" s="105"/>
      <c r="S56" s="166"/>
      <c r="W56" s="9"/>
      <c r="X56" s="9"/>
      <c r="Y56" s="9"/>
      <c r="AA56" s="105"/>
      <c r="AB56" s="105"/>
      <c r="AC56" s="105"/>
      <c r="AD56" s="105"/>
      <c r="AH56" s="9"/>
      <c r="AI56" s="105"/>
      <c r="AJ56" s="208"/>
      <c r="AM56" s="9"/>
      <c r="AN56" s="171"/>
      <c r="AO56" s="171"/>
      <c r="AP56" s="169"/>
      <c r="AQ56" s="68"/>
      <c r="AR56" s="68"/>
      <c r="AX56" s="168"/>
    </row>
    <row r="57" customFormat="false" ht="11.1" hidden="false" customHeight="true" outlineLevel="0" collapsed="false">
      <c r="B57" s="167"/>
      <c r="D57" s="105"/>
      <c r="AN57" s="169"/>
      <c r="AO57" s="68"/>
      <c r="AP57" s="169"/>
    </row>
    <row r="58" customFormat="false" ht="11.1" hidden="false" customHeight="true" outlineLevel="0" collapsed="false">
      <c r="G58" s="256"/>
      <c r="AN58" s="169"/>
      <c r="AO58" s="68"/>
      <c r="AP58" s="169"/>
    </row>
    <row r="59" customFormat="false" ht="11.1" hidden="false" customHeight="true" outlineLevel="0" collapsed="false">
      <c r="A59" s="1"/>
      <c r="B59" s="1"/>
      <c r="C59" s="2"/>
      <c r="D59" s="1"/>
      <c r="E59" s="2"/>
      <c r="F59" s="1"/>
      <c r="G59" s="1"/>
      <c r="H59" s="3"/>
      <c r="I59" s="1"/>
      <c r="J59" s="1"/>
      <c r="K59" s="1"/>
      <c r="L59" s="1"/>
      <c r="M59" s="4"/>
      <c r="N59" s="4"/>
      <c r="O59" s="4"/>
      <c r="P59" s="5"/>
      <c r="Q59" s="4"/>
      <c r="R59" s="4"/>
      <c r="S59" s="1"/>
      <c r="T59" s="5"/>
      <c r="U59" s="1"/>
      <c r="V59" s="1"/>
      <c r="W59" s="2"/>
      <c r="X59" s="2"/>
      <c r="Y59" s="2"/>
      <c r="Z59" s="7"/>
      <c r="AA59" s="1"/>
      <c r="AB59" s="1"/>
      <c r="AC59" s="1"/>
      <c r="AD59" s="1"/>
      <c r="AE59" s="1"/>
      <c r="AF59" s="1"/>
      <c r="AG59" s="1"/>
      <c r="AH59" s="2"/>
      <c r="AI59" s="1"/>
      <c r="AJ59" s="84"/>
      <c r="AK59" s="1"/>
      <c r="AL59" s="1"/>
      <c r="AM59" s="3"/>
      <c r="AN59" s="1"/>
      <c r="AO59" s="6"/>
      <c r="AP59" s="1"/>
      <c r="AQ59" s="8"/>
      <c r="AR59" s="8"/>
      <c r="AS59" s="1"/>
      <c r="AV59" s="3"/>
      <c r="AW59" s="7"/>
      <c r="AX59" s="10"/>
    </row>
    <row r="60" customFormat="false" ht="11.1" hidden="false" customHeight="true" outlineLevel="0" collapsed="false">
      <c r="A60" s="1"/>
      <c r="B60" s="1"/>
      <c r="C60" s="2"/>
      <c r="D60" s="1"/>
      <c r="E60" s="2"/>
      <c r="F60" s="1"/>
      <c r="G60" s="1"/>
      <c r="H60" s="3"/>
      <c r="I60" s="1"/>
      <c r="J60" s="1"/>
      <c r="K60" s="1"/>
      <c r="L60" s="1"/>
      <c r="M60" s="4"/>
      <c r="N60" s="4"/>
      <c r="O60" s="4"/>
      <c r="P60" s="5"/>
      <c r="Q60" s="4"/>
      <c r="R60" s="4"/>
      <c r="S60" s="1"/>
      <c r="T60" s="5"/>
      <c r="U60" s="1"/>
      <c r="V60" s="1"/>
      <c r="W60" s="2"/>
      <c r="X60" s="2"/>
      <c r="Y60" s="2"/>
      <c r="Z60" s="7"/>
      <c r="AA60" s="1"/>
      <c r="AB60" s="1"/>
      <c r="AC60" s="1"/>
      <c r="AD60" s="1"/>
      <c r="AE60" s="1"/>
      <c r="AF60" s="1"/>
      <c r="AG60" s="1"/>
      <c r="AH60" s="2"/>
      <c r="AI60" s="1"/>
      <c r="AJ60" s="84"/>
      <c r="AK60" s="1"/>
      <c r="AL60" s="1"/>
      <c r="AM60" s="3"/>
      <c r="AN60" s="1"/>
      <c r="AO60" s="6"/>
      <c r="AP60" s="1"/>
      <c r="AQ60" s="8"/>
      <c r="AR60" s="8"/>
      <c r="AS60" s="1"/>
      <c r="AV60" s="3"/>
      <c r="AW60" s="7"/>
      <c r="AX60" s="10"/>
    </row>
  </sheetData>
  <mergeCells count="2">
    <mergeCell ref="K2:AD2"/>
    <mergeCell ref="M5:T5"/>
  </mergeCells>
  <printOptions headings="true" gridLines="true" gridLinesSet="true" horizontalCentered="false" verticalCentered="true"/>
  <pageMargins left="0.25" right="0.25" top="0.25" bottom="0" header="0.511811023622047" footer="0.511811023622047"/>
  <pageSetup paperSize="3" scale="98"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6"/>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1" ySplit="12" topLeftCell="O27" activePane="bottomRight" state="frozen"/>
      <selection pane="topLeft" activeCell="A1" activeCellId="0" sqref="A1"/>
      <selection pane="topRight" activeCell="O1" activeCellId="0" sqref="O1"/>
      <selection pane="bottomLeft" activeCell="A27" activeCellId="0" sqref="A27"/>
      <selection pane="bottomRight" activeCell="Z5" activeCellId="1" sqref="E20:E43 Z5"/>
    </sheetView>
  </sheetViews>
  <sheetFormatPr defaultColWidth="9.3359375" defaultRowHeight="11.1" zeroHeight="false" outlineLevelRow="0" outlineLevelCol="0"/>
  <cols>
    <col collapsed="false" customWidth="true" hidden="false" outlineLevel="0" max="1" min="1" style="9" width="4.67"/>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257" width="5.67"/>
    <col collapsed="false" customWidth="true" hidden="false" outlineLevel="0" max="11" min="9" style="9" width="6.32"/>
    <col collapsed="false" customWidth="true" hidden="false" outlineLevel="0" max="12" min="12" style="9" width="7.16"/>
    <col collapsed="false" customWidth="true" hidden="false" outlineLevel="0" max="13" min="13" style="166" width="5.49"/>
    <col collapsed="false" customWidth="true" hidden="false" outlineLevel="0" max="14" min="14" style="166" width="4.49"/>
    <col collapsed="false" customWidth="true" hidden="false" outlineLevel="0" max="15" min="15" style="166" width="5.49"/>
    <col collapsed="false" customWidth="true" hidden="false" outlineLevel="0" max="16" min="16" style="167" width="4.82"/>
    <col collapsed="false" customWidth="true" hidden="false" outlineLevel="0" max="18" min="17" style="166" width="4.32"/>
    <col collapsed="false" customWidth="true" hidden="false" outlineLevel="0" max="19" min="19" style="167" width="4.32"/>
    <col collapsed="false" customWidth="true" hidden="false" outlineLevel="0" max="20" min="20" style="167" width="5.49"/>
    <col collapsed="false" customWidth="true" hidden="false" outlineLevel="0" max="22" min="21" style="9" width="5.49"/>
    <col collapsed="false" customWidth="true" hidden="false" outlineLevel="0" max="25" min="23" style="105" width="6.32"/>
    <col collapsed="false" customWidth="true" hidden="false" outlineLevel="0" max="26" min="26" style="168" width="6.32"/>
    <col collapsed="false" customWidth="true" hidden="false" outlineLevel="0" max="33" min="27" style="9" width="5.49"/>
    <col collapsed="false" customWidth="true" hidden="false" outlineLevel="0" max="34" min="34" style="105" width="6.32"/>
    <col collapsed="false" customWidth="true" hidden="false" outlineLevel="0" max="35" min="35" style="9" width="5.49"/>
    <col collapsed="false" customWidth="true" hidden="false" outlineLevel="0" max="36" min="36" style="169" width="6.32"/>
    <col collapsed="false" customWidth="true" hidden="false" outlineLevel="0" max="37" min="37" style="9" width="6.32"/>
    <col collapsed="false" customWidth="true" hidden="false" outlineLevel="0" max="38" min="38" style="9" width="6.99"/>
    <col collapsed="false" customWidth="true" hidden="false" outlineLevel="0" max="39" min="39" style="167" width="6.99"/>
    <col collapsed="false" customWidth="true" hidden="false" outlineLevel="0" max="41" min="40" style="168" width="5.49"/>
    <col collapsed="false" customWidth="true" hidden="false" outlineLevel="0" max="42" min="42" style="9" width="6.32"/>
    <col collapsed="false" customWidth="true" hidden="false" outlineLevel="0" max="44" min="43" style="258" width="6.32"/>
    <col collapsed="false" customWidth="true" hidden="false" outlineLevel="0" max="45" min="45" style="68" width="6.32"/>
    <col collapsed="false" customWidth="true" hidden="false" outlineLevel="0" max="46" min="46" style="169" width="5.82"/>
    <col collapsed="false" customWidth="true" hidden="false" outlineLevel="0" max="47" min="47" style="9" width="4.99"/>
    <col collapsed="false" customWidth="true" hidden="false" outlineLevel="0" max="48" min="48" style="165" width="5.32"/>
    <col collapsed="false" customWidth="true" hidden="false" outlineLevel="0" max="49" min="49" style="168" width="3.82"/>
    <col collapsed="false" customWidth="true" hidden="false" outlineLevel="0" max="50" min="50" style="171" width="3.82"/>
    <col collapsed="false" customWidth="true" hidden="false" outlineLevel="0" max="51" min="51" style="172" width="4.32"/>
    <col collapsed="false" customWidth="true" hidden="false" outlineLevel="0" max="52" min="52" style="296" width="6.49"/>
    <col collapsed="false" customWidth="false" hidden="false" outlineLevel="0" max="257" min="53" style="172" width="9.32"/>
  </cols>
  <sheetData>
    <row r="1" customFormat="false" ht="14.1" hidden="false" customHeight="true" outlineLevel="0" collapsed="false">
      <c r="A1" s="173" t="s">
        <v>102</v>
      </c>
      <c r="B1" s="173"/>
      <c r="D1" s="173"/>
      <c r="F1" s="173"/>
      <c r="G1" s="173"/>
      <c r="I1" s="173"/>
      <c r="J1" s="173"/>
      <c r="K1" s="175" t="s">
        <v>0</v>
      </c>
      <c r="L1" s="173"/>
      <c r="M1" s="173"/>
      <c r="N1" s="173"/>
      <c r="O1" s="173"/>
      <c r="Q1" s="173"/>
      <c r="R1" s="173"/>
      <c r="U1" s="173"/>
      <c r="V1" s="173"/>
      <c r="AA1" s="173"/>
      <c r="AB1" s="173"/>
      <c r="AC1" s="173"/>
      <c r="AD1" s="173"/>
      <c r="AE1" s="173"/>
      <c r="AF1" s="173"/>
      <c r="AG1" s="173"/>
      <c r="AI1" s="173"/>
      <c r="AJ1" s="176"/>
      <c r="AK1" s="173"/>
      <c r="AL1" s="173"/>
      <c r="AN1" s="297"/>
      <c r="AO1" s="297"/>
      <c r="AP1" s="176"/>
    </row>
    <row r="2" customFormat="false" ht="14.1" hidden="false" customHeight="true" outlineLevel="0" collapsed="false">
      <c r="A2" s="176" t="s">
        <v>1</v>
      </c>
      <c r="B2" s="173"/>
      <c r="D2" s="177" t="n">
        <v>1.9835</v>
      </c>
      <c r="F2" s="173"/>
      <c r="G2" s="173"/>
      <c r="I2" s="173"/>
      <c r="J2" s="173"/>
      <c r="K2" s="178" t="s">
        <v>105</v>
      </c>
      <c r="L2" s="178"/>
      <c r="M2" s="178"/>
      <c r="N2" s="178"/>
      <c r="O2" s="178"/>
      <c r="P2" s="178"/>
      <c r="Q2" s="178"/>
      <c r="R2" s="178"/>
      <c r="S2" s="178"/>
      <c r="T2" s="178"/>
      <c r="U2" s="178"/>
      <c r="V2" s="178"/>
      <c r="W2" s="178"/>
      <c r="X2" s="178"/>
      <c r="Y2" s="178"/>
      <c r="Z2" s="178"/>
      <c r="AA2" s="178"/>
      <c r="AB2" s="178"/>
      <c r="AC2" s="178"/>
      <c r="AD2" s="178"/>
      <c r="AE2" s="173"/>
      <c r="AF2" s="173"/>
      <c r="AG2" s="173"/>
      <c r="AI2" s="173"/>
      <c r="AJ2" s="176"/>
      <c r="AK2" s="173"/>
      <c r="AL2" s="173"/>
      <c r="AN2" s="297"/>
      <c r="AO2" s="297"/>
      <c r="AP2" s="176"/>
    </row>
    <row r="3" customFormat="false" ht="14.1" hidden="false" customHeight="true" outlineLevel="0" collapsed="false">
      <c r="A3" s="179"/>
      <c r="B3" s="179"/>
      <c r="C3" s="180"/>
      <c r="D3" s="181"/>
      <c r="E3" s="180"/>
      <c r="F3" s="179"/>
      <c r="G3" s="179"/>
      <c r="H3" s="260"/>
      <c r="I3" s="179"/>
      <c r="J3" s="179"/>
      <c r="K3" s="179"/>
      <c r="L3" s="179"/>
      <c r="M3" s="179"/>
      <c r="N3" s="179"/>
      <c r="O3" s="179"/>
      <c r="P3" s="183"/>
      <c r="Q3" s="179"/>
      <c r="R3" s="179"/>
      <c r="S3" s="183"/>
      <c r="T3" s="183"/>
      <c r="U3" s="179"/>
      <c r="V3" s="179"/>
      <c r="W3" s="180"/>
      <c r="X3" s="180"/>
      <c r="Y3" s="180"/>
      <c r="Z3" s="184"/>
      <c r="AA3" s="179"/>
      <c r="AB3" s="179"/>
      <c r="AC3" s="179"/>
      <c r="AD3" s="179"/>
      <c r="AE3" s="179"/>
      <c r="AF3" s="179"/>
      <c r="AG3" s="179"/>
      <c r="AH3" s="180"/>
      <c r="AI3" s="179"/>
      <c r="AJ3" s="186"/>
      <c r="AK3" s="179"/>
      <c r="AL3" s="179"/>
      <c r="AM3" s="183"/>
      <c r="AN3" s="298"/>
      <c r="AO3" s="298"/>
      <c r="AP3" s="186"/>
      <c r="AQ3" s="262"/>
      <c r="AV3" s="189"/>
      <c r="AW3" s="184"/>
      <c r="AX3" s="190"/>
    </row>
    <row r="4" s="1" customFormat="true" ht="14.1" hidden="false" customHeight="true" outlineLevel="0" collapsed="false">
      <c r="A4" s="32"/>
      <c r="B4" s="33"/>
      <c r="C4" s="34"/>
      <c r="D4" s="35" t="s">
        <v>3</v>
      </c>
      <c r="E4" s="34"/>
      <c r="F4" s="32"/>
      <c r="G4" s="36"/>
      <c r="H4" s="36"/>
      <c r="I4" s="36"/>
      <c r="J4" s="36"/>
      <c r="K4" s="36"/>
      <c r="L4" s="36"/>
      <c r="M4" s="36"/>
      <c r="N4" s="36"/>
      <c r="O4" s="36"/>
      <c r="P4" s="37"/>
      <c r="Q4" s="36"/>
      <c r="R4" s="36"/>
      <c r="S4" s="36"/>
      <c r="T4" s="37"/>
      <c r="U4" s="36"/>
      <c r="V4" s="36"/>
      <c r="W4" s="38" t="s">
        <v>4</v>
      </c>
      <c r="X4" s="38"/>
      <c r="Y4" s="38"/>
      <c r="Z4" s="38"/>
      <c r="AA4" s="39"/>
      <c r="AB4" s="39"/>
      <c r="AC4" s="39"/>
      <c r="AD4" s="40"/>
      <c r="AE4" s="36"/>
      <c r="AF4" s="36"/>
      <c r="AG4" s="36"/>
      <c r="AH4" s="34"/>
      <c r="AI4" s="36"/>
      <c r="AJ4" s="41"/>
      <c r="AK4" s="36"/>
      <c r="AL4" s="36"/>
      <c r="AM4" s="37"/>
      <c r="AN4" s="42"/>
      <c r="AO4" s="43"/>
      <c r="AP4" s="44" t="s">
        <v>5</v>
      </c>
      <c r="AQ4" s="45"/>
      <c r="AR4" s="46"/>
      <c r="AS4" s="47"/>
      <c r="AT4" s="48"/>
      <c r="AU4" s="48"/>
      <c r="AV4" s="49"/>
      <c r="AW4" s="50" t="s">
        <v>6</v>
      </c>
      <c r="AX4" s="51"/>
      <c r="AY4" s="299"/>
      <c r="AZ4" s="52"/>
    </row>
    <row r="5" customFormat="false" ht="12.95" hidden="false" customHeight="true" outlineLevel="0" collapsed="false">
      <c r="A5" s="53" t="s">
        <v>7</v>
      </c>
      <c r="B5" s="54" t="s">
        <v>8</v>
      </c>
      <c r="C5" s="55" t="s">
        <v>8</v>
      </c>
      <c r="D5" s="56" t="s">
        <v>9</v>
      </c>
      <c r="E5" s="55" t="s">
        <v>10</v>
      </c>
      <c r="F5" s="57" t="s">
        <v>11</v>
      </c>
      <c r="G5" s="53" t="s">
        <v>12</v>
      </c>
      <c r="H5" s="53" t="s">
        <v>13</v>
      </c>
      <c r="I5" s="53" t="s">
        <v>14</v>
      </c>
      <c r="J5" s="53" t="s">
        <v>15</v>
      </c>
      <c r="K5" s="53" t="s">
        <v>16</v>
      </c>
      <c r="L5" s="53" t="s">
        <v>15</v>
      </c>
      <c r="M5" s="58" t="s">
        <v>17</v>
      </c>
      <c r="N5" s="58"/>
      <c r="O5" s="58"/>
      <c r="P5" s="58"/>
      <c r="Q5" s="58"/>
      <c r="R5" s="58"/>
      <c r="S5" s="58"/>
      <c r="T5" s="58"/>
      <c r="U5" s="53" t="s">
        <v>18</v>
      </c>
      <c r="V5" s="53" t="s">
        <v>19</v>
      </c>
      <c r="W5" s="53" t="s">
        <v>16</v>
      </c>
      <c r="X5" s="53" t="s">
        <v>16</v>
      </c>
      <c r="Y5" s="53" t="s">
        <v>16</v>
      </c>
      <c r="Z5" s="59" t="s">
        <v>20</v>
      </c>
      <c r="AA5" s="60" t="s">
        <v>21</v>
      </c>
      <c r="AB5" s="60" t="s">
        <v>21</v>
      </c>
      <c r="AC5" s="60" t="s">
        <v>22</v>
      </c>
      <c r="AD5" s="61" t="s">
        <v>21</v>
      </c>
      <c r="AE5" s="53" t="s">
        <v>23</v>
      </c>
      <c r="AF5" s="62" t="s">
        <v>24</v>
      </c>
      <c r="AG5" s="63"/>
      <c r="AH5" s="53" t="s">
        <v>25</v>
      </c>
      <c r="AI5" s="64" t="s">
        <v>26</v>
      </c>
      <c r="AJ5" s="64" t="s">
        <v>27</v>
      </c>
      <c r="AK5" s="53" t="s">
        <v>14</v>
      </c>
      <c r="AL5" s="53" t="s">
        <v>15</v>
      </c>
      <c r="AM5" s="56" t="s">
        <v>16</v>
      </c>
      <c r="AN5" s="65" t="s">
        <v>28</v>
      </c>
      <c r="AO5" s="61" t="s">
        <v>21</v>
      </c>
      <c r="AP5" s="60" t="s">
        <v>29</v>
      </c>
      <c r="AQ5" s="66" t="s">
        <v>29</v>
      </c>
      <c r="AR5" s="61" t="s">
        <v>30</v>
      </c>
      <c r="AS5" s="67" t="s">
        <v>31</v>
      </c>
      <c r="AT5" s="67" t="s">
        <v>32</v>
      </c>
      <c r="AU5" s="68" t="s">
        <v>33</v>
      </c>
      <c r="AV5" s="69" t="s">
        <v>34</v>
      </c>
      <c r="AW5" s="70" t="s">
        <v>35</v>
      </c>
      <c r="AX5" s="70" t="s">
        <v>36</v>
      </c>
      <c r="AY5" s="300"/>
      <c r="AZ5" s="71" t="s">
        <v>16</v>
      </c>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2" t="s">
        <v>106</v>
      </c>
      <c r="B6" s="54" t="s">
        <v>38</v>
      </c>
      <c r="C6" s="55"/>
      <c r="D6" s="56" t="s">
        <v>39</v>
      </c>
      <c r="E6" s="55" t="s">
        <v>40</v>
      </c>
      <c r="F6" s="57" t="s">
        <v>41</v>
      </c>
      <c r="G6" s="53" t="s">
        <v>42</v>
      </c>
      <c r="H6" s="53" t="s">
        <v>43</v>
      </c>
      <c r="I6" s="53" t="s">
        <v>44</v>
      </c>
      <c r="J6" s="53" t="s">
        <v>44</v>
      </c>
      <c r="K6" s="53" t="s">
        <v>44</v>
      </c>
      <c r="L6" s="53" t="s">
        <v>45</v>
      </c>
      <c r="M6" s="73" t="s">
        <v>46</v>
      </c>
      <c r="N6" s="56" t="s">
        <v>47</v>
      </c>
      <c r="O6" s="56" t="s">
        <v>48</v>
      </c>
      <c r="P6" s="74" t="s">
        <v>49</v>
      </c>
      <c r="Q6" s="56" t="s">
        <v>50</v>
      </c>
      <c r="R6" s="56" t="s">
        <v>51</v>
      </c>
      <c r="S6" s="56" t="s">
        <v>52</v>
      </c>
      <c r="T6" s="75" t="s">
        <v>53</v>
      </c>
      <c r="U6" s="53" t="s">
        <v>54</v>
      </c>
      <c r="V6" s="53" t="s">
        <v>55</v>
      </c>
      <c r="W6" s="53" t="s">
        <v>21</v>
      </c>
      <c r="X6" s="53" t="s">
        <v>21</v>
      </c>
      <c r="Y6" s="53" t="s">
        <v>21</v>
      </c>
      <c r="Z6" s="53" t="s">
        <v>21</v>
      </c>
      <c r="AA6" s="60" t="s">
        <v>56</v>
      </c>
      <c r="AB6" s="60" t="s">
        <v>57</v>
      </c>
      <c r="AC6" s="60" t="s">
        <v>58</v>
      </c>
      <c r="AD6" s="61" t="s">
        <v>59</v>
      </c>
      <c r="AE6" s="53" t="s">
        <v>60</v>
      </c>
      <c r="AF6" s="73" t="s">
        <v>61</v>
      </c>
      <c r="AG6" s="76" t="s">
        <v>62</v>
      </c>
      <c r="AH6" s="53" t="s">
        <v>63</v>
      </c>
      <c r="AI6" s="64" t="s">
        <v>64</v>
      </c>
      <c r="AJ6" s="64"/>
      <c r="AK6" s="53" t="s">
        <v>65</v>
      </c>
      <c r="AL6" s="53" t="s">
        <v>65</v>
      </c>
      <c r="AM6" s="56" t="s">
        <v>65</v>
      </c>
      <c r="AN6" s="65" t="s">
        <v>56</v>
      </c>
      <c r="AO6" s="61" t="s">
        <v>66</v>
      </c>
      <c r="AP6" s="60" t="s">
        <v>67</v>
      </c>
      <c r="AQ6" s="66" t="s">
        <v>67</v>
      </c>
      <c r="AR6" s="61" t="s">
        <v>68</v>
      </c>
      <c r="AS6" s="67" t="s">
        <v>69</v>
      </c>
      <c r="AT6" s="67" t="s">
        <v>70</v>
      </c>
      <c r="AU6" s="68" t="s">
        <v>71</v>
      </c>
      <c r="AV6" s="77"/>
      <c r="AW6" s="70" t="s">
        <v>72</v>
      </c>
      <c r="AX6" s="70" t="s">
        <v>72</v>
      </c>
      <c r="AY6" s="300"/>
      <c r="AZ6" s="71" t="s">
        <v>73</v>
      </c>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3"/>
      <c r="B7" s="54"/>
      <c r="C7" s="55"/>
      <c r="D7" s="56"/>
      <c r="E7" s="55"/>
      <c r="F7" s="57"/>
      <c r="G7" s="53"/>
      <c r="H7" s="53"/>
      <c r="I7" s="53"/>
      <c r="J7" s="53"/>
      <c r="K7" s="53"/>
      <c r="L7" s="53"/>
      <c r="M7" s="73"/>
      <c r="N7" s="56" t="s">
        <v>74</v>
      </c>
      <c r="O7" s="56" t="s">
        <v>75</v>
      </c>
      <c r="P7" s="74"/>
      <c r="Q7" s="56"/>
      <c r="R7" s="56"/>
      <c r="S7" s="56" t="s">
        <v>48</v>
      </c>
      <c r="T7" s="75" t="s">
        <v>27</v>
      </c>
      <c r="U7" s="53"/>
      <c r="V7" s="53"/>
      <c r="W7" s="64" t="n">
        <v>153400</v>
      </c>
      <c r="X7" s="55" t="s">
        <v>76</v>
      </c>
      <c r="Y7" s="55" t="s">
        <v>76</v>
      </c>
      <c r="Z7" s="59" t="n">
        <v>105500</v>
      </c>
      <c r="AA7" s="60"/>
      <c r="AB7" s="60" t="s">
        <v>77</v>
      </c>
      <c r="AC7" s="60"/>
      <c r="AD7" s="61"/>
      <c r="AE7" s="76"/>
      <c r="AF7" s="78" t="n">
        <v>1.7</v>
      </c>
      <c r="AG7" s="78" t="n">
        <v>1.3</v>
      </c>
      <c r="AH7" s="73"/>
      <c r="AI7" s="79" t="n">
        <v>31798</v>
      </c>
      <c r="AJ7" s="64"/>
      <c r="AK7" s="53"/>
      <c r="AL7" s="53"/>
      <c r="AM7" s="56"/>
      <c r="AN7" s="65"/>
      <c r="AO7" s="61"/>
      <c r="AP7" s="60" t="s">
        <v>78</v>
      </c>
      <c r="AQ7" s="66" t="s">
        <v>79</v>
      </c>
      <c r="AR7" s="61" t="s">
        <v>80</v>
      </c>
      <c r="AS7" s="67" t="s">
        <v>81</v>
      </c>
      <c r="AT7" s="67" t="s">
        <v>82</v>
      </c>
      <c r="AU7" s="68" t="s">
        <v>61</v>
      </c>
      <c r="AV7" s="77"/>
      <c r="AW7" s="70"/>
      <c r="AX7" s="70"/>
      <c r="AY7" s="300"/>
      <c r="AZ7" s="71" t="s">
        <v>83</v>
      </c>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3"/>
      <c r="B8" s="54"/>
      <c r="C8" s="55" t="s">
        <v>84</v>
      </c>
      <c r="D8" s="56"/>
      <c r="E8" s="55" t="s">
        <v>85</v>
      </c>
      <c r="F8" s="57"/>
      <c r="G8" s="56" t="s">
        <v>41</v>
      </c>
      <c r="H8" s="56" t="s">
        <v>41</v>
      </c>
      <c r="I8" s="56" t="s">
        <v>41</v>
      </c>
      <c r="J8" s="56" t="s">
        <v>41</v>
      </c>
      <c r="K8" s="56" t="s">
        <v>41</v>
      </c>
      <c r="L8" s="76" t="s">
        <v>41</v>
      </c>
      <c r="M8" s="56" t="s">
        <v>41</v>
      </c>
      <c r="N8" s="56" t="s">
        <v>41</v>
      </c>
      <c r="O8" s="56" t="s">
        <v>41</v>
      </c>
      <c r="P8" s="56" t="s">
        <v>41</v>
      </c>
      <c r="Q8" s="56" t="s">
        <v>41</v>
      </c>
      <c r="R8" s="56" t="s">
        <v>41</v>
      </c>
      <c r="S8" s="56" t="s">
        <v>62</v>
      </c>
      <c r="T8" s="76" t="s">
        <v>41</v>
      </c>
      <c r="U8" s="56" t="s">
        <v>41</v>
      </c>
      <c r="V8" s="56" t="s">
        <v>41</v>
      </c>
      <c r="W8" s="56" t="s">
        <v>41</v>
      </c>
      <c r="X8" s="55" t="n">
        <v>150400</v>
      </c>
      <c r="Y8" s="55" t="n">
        <v>150400</v>
      </c>
      <c r="Z8" s="80" t="s">
        <v>86</v>
      </c>
      <c r="AA8" s="56" t="s">
        <v>41</v>
      </c>
      <c r="AB8" s="55" t="n">
        <v>72000</v>
      </c>
      <c r="AC8" s="56" t="s">
        <v>41</v>
      </c>
      <c r="AD8" s="56" t="s">
        <v>41</v>
      </c>
      <c r="AE8" s="76" t="s">
        <v>41</v>
      </c>
      <c r="AF8" s="56" t="s">
        <v>41</v>
      </c>
      <c r="AG8" s="56" t="s">
        <v>41</v>
      </c>
      <c r="AH8" s="73" t="s">
        <v>41</v>
      </c>
      <c r="AI8" s="56" t="s">
        <v>41</v>
      </c>
      <c r="AJ8" s="56" t="s">
        <v>41</v>
      </c>
      <c r="AK8" s="56" t="s">
        <v>41</v>
      </c>
      <c r="AL8" s="56" t="s">
        <v>41</v>
      </c>
      <c r="AM8" s="56" t="s">
        <v>41</v>
      </c>
      <c r="AN8" s="65" t="s">
        <v>85</v>
      </c>
      <c r="AO8" s="61" t="s">
        <v>41</v>
      </c>
      <c r="AP8" s="61" t="s">
        <v>41</v>
      </c>
      <c r="AQ8" s="66" t="s">
        <v>87</v>
      </c>
      <c r="AR8" s="61" t="s">
        <v>41</v>
      </c>
      <c r="AS8" s="61" t="s">
        <v>41</v>
      </c>
      <c r="AT8" s="61" t="s">
        <v>41</v>
      </c>
      <c r="AU8" s="61" t="s">
        <v>41</v>
      </c>
      <c r="AV8" s="77"/>
      <c r="AW8" s="70"/>
      <c r="AX8" s="70"/>
      <c r="AY8" s="300"/>
      <c r="AZ8" s="71" t="s">
        <v>88</v>
      </c>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3"/>
      <c r="B9" s="54"/>
      <c r="C9" s="55"/>
      <c r="D9" s="56"/>
      <c r="E9" s="55"/>
      <c r="F9" s="57"/>
      <c r="G9" s="53"/>
      <c r="H9" s="53"/>
      <c r="I9" s="53"/>
      <c r="J9" s="53"/>
      <c r="K9" s="53"/>
      <c r="L9" s="76"/>
      <c r="M9" s="56"/>
      <c r="N9" s="45" t="n">
        <v>1.03</v>
      </c>
      <c r="O9" s="45" t="n">
        <v>1.05</v>
      </c>
      <c r="P9" s="45" t="n">
        <v>1.02</v>
      </c>
      <c r="Q9" s="81" t="n">
        <v>1.02</v>
      </c>
      <c r="R9" s="45" t="n">
        <v>1.04</v>
      </c>
      <c r="S9" s="56" t="s">
        <v>41</v>
      </c>
      <c r="T9" s="75"/>
      <c r="U9" s="53"/>
      <c r="V9" s="53"/>
      <c r="W9" s="53"/>
      <c r="X9" s="56" t="s">
        <v>41</v>
      </c>
      <c r="Y9" s="80" t="s">
        <v>86</v>
      </c>
      <c r="Z9" s="80"/>
      <c r="AA9" s="60"/>
      <c r="AB9" s="80" t="s">
        <v>86</v>
      </c>
      <c r="AC9" s="60"/>
      <c r="AD9" s="60"/>
      <c r="AE9" s="82"/>
      <c r="AF9" s="78"/>
      <c r="AG9" s="78"/>
      <c r="AH9" s="73"/>
      <c r="AI9" s="79"/>
      <c r="AJ9" s="83"/>
      <c r="AK9" s="53"/>
      <c r="AL9" s="53"/>
      <c r="AM9" s="56"/>
      <c r="AN9" s="65"/>
      <c r="AO9" s="61"/>
      <c r="AP9" s="60"/>
      <c r="AQ9" s="66"/>
      <c r="AR9" s="66"/>
      <c r="AS9" s="84"/>
      <c r="AT9" s="84"/>
      <c r="AU9" s="84"/>
      <c r="AV9" s="77"/>
      <c r="AW9" s="70"/>
      <c r="AX9" s="70"/>
      <c r="AY9" s="300"/>
      <c r="AZ9" s="71" t="s">
        <v>41</v>
      </c>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176" t="s">
        <v>89</v>
      </c>
      <c r="B10" s="196"/>
      <c r="C10" s="104"/>
      <c r="D10" s="104"/>
      <c r="E10" s="104"/>
      <c r="F10" s="197"/>
      <c r="G10" s="104"/>
      <c r="H10" s="301"/>
      <c r="I10" s="104"/>
      <c r="J10" s="104"/>
      <c r="K10" s="104"/>
      <c r="L10" s="104"/>
      <c r="M10" s="198"/>
      <c r="N10" s="104"/>
      <c r="O10" s="104"/>
      <c r="P10" s="199"/>
      <c r="Q10" s="104"/>
      <c r="R10" s="104"/>
      <c r="S10" s="199"/>
      <c r="T10" s="200"/>
      <c r="U10" s="104"/>
      <c r="V10" s="104"/>
      <c r="W10" s="104"/>
      <c r="X10" s="104"/>
      <c r="Y10" s="104"/>
      <c r="Z10" s="134"/>
      <c r="AA10" s="104"/>
      <c r="AB10" s="104"/>
      <c r="AC10" s="104"/>
      <c r="AD10" s="104"/>
      <c r="AE10" s="104"/>
      <c r="AF10" s="198"/>
      <c r="AG10" s="201"/>
      <c r="AH10" s="104"/>
      <c r="AI10" s="104"/>
      <c r="AJ10" s="202"/>
      <c r="AK10" s="104"/>
      <c r="AL10" s="104"/>
      <c r="AM10" s="104"/>
      <c r="AN10" s="203"/>
      <c r="AO10" s="134"/>
      <c r="AP10" s="132"/>
      <c r="AQ10" s="204"/>
      <c r="AR10" s="204"/>
      <c r="AS10" s="302"/>
      <c r="AV10" s="205"/>
      <c r="AW10" s="134"/>
      <c r="AX10" s="134"/>
      <c r="AY10" s="303"/>
      <c r="AZ10" s="304"/>
    </row>
    <row r="11" s="213" customFormat="true" ht="12.95" hidden="false" customHeight="true" outlineLevel="0" collapsed="false">
      <c r="A11" s="105" t="s">
        <v>90</v>
      </c>
      <c r="B11" s="103" t="n">
        <f aca="false">JAN!B43</f>
        <v>6898.42</v>
      </c>
      <c r="C11" s="104" t="n">
        <f aca="false">JAN!C43</f>
        <v>277792</v>
      </c>
      <c r="D11" s="104" t="n">
        <f aca="false">JAN!D52</f>
        <v>-7009</v>
      </c>
      <c r="E11" s="104" t="n">
        <f aca="false">JAN!E52</f>
        <v>125792</v>
      </c>
      <c r="F11" s="197" t="n">
        <f aca="false">JAN!F51</f>
        <v>-3533.65263423242</v>
      </c>
      <c r="G11" s="104" t="n">
        <f aca="false">JAN!G51</f>
        <v>3980</v>
      </c>
      <c r="H11" s="305" t="n">
        <f aca="false">JAN!H51</f>
        <v>50.66</v>
      </c>
      <c r="I11" s="104" t="n">
        <f aca="false">JAN!I51</f>
        <v>4030.66</v>
      </c>
      <c r="J11" s="104" t="n">
        <f aca="false">JAN!J51</f>
        <v>1618.10268464835</v>
      </c>
      <c r="K11" s="104" t="n">
        <f aca="false">JAN!K51</f>
        <v>5648.76268464834</v>
      </c>
      <c r="L11" s="104" t="n">
        <f aca="false">JAN!L51</f>
        <v>967.987365767583</v>
      </c>
      <c r="M11" s="198" t="n">
        <f aca="false">JAN!M51</f>
        <v>510</v>
      </c>
      <c r="N11" s="104" t="n">
        <f aca="false">JAN!N51</f>
        <v>0</v>
      </c>
      <c r="O11" s="104" t="n">
        <f aca="false">JAN!O51</f>
        <v>0</v>
      </c>
      <c r="P11" s="199"/>
      <c r="Q11" s="104" t="n">
        <f aca="false">JAN!Q51</f>
        <v>144.789</v>
      </c>
      <c r="R11" s="104" t="n">
        <f aca="false">JAN!R51</f>
        <v>221.88</v>
      </c>
      <c r="S11" s="199" t="n">
        <f aca="false">JAN!S51</f>
        <v>0</v>
      </c>
      <c r="T11" s="200" t="n">
        <f aca="false">JAN!T51</f>
        <v>-44.913</v>
      </c>
      <c r="U11" s="104" t="n">
        <f aca="false">JAN!U51</f>
        <v>4683</v>
      </c>
      <c r="V11" s="104" t="n">
        <f aca="false">JAN!V51</f>
        <v>76.3</v>
      </c>
      <c r="W11" s="104" t="n">
        <f aca="false">JAN!W51</f>
        <v>4947.544</v>
      </c>
      <c r="X11" s="104" t="n">
        <f aca="false">JAN!X51</f>
        <v>4494.2752</v>
      </c>
      <c r="Y11" s="134" t="n">
        <f aca="false">JAN!Y43</f>
        <v>8914.3948592</v>
      </c>
      <c r="Z11" s="134" t="n">
        <f aca="false">JAN!Z43</f>
        <v>6251.96226125227</v>
      </c>
      <c r="AA11" s="104"/>
      <c r="AB11" s="104"/>
      <c r="AC11" s="104"/>
      <c r="AD11" s="104"/>
      <c r="AE11" s="104"/>
      <c r="AF11" s="198"/>
      <c r="AG11" s="201"/>
      <c r="AH11" s="104" t="n">
        <f aca="false">JAN!AH51</f>
        <v>3263</v>
      </c>
      <c r="AI11" s="104" t="n">
        <f aca="false">JAN!AI51</f>
        <v>2815</v>
      </c>
      <c r="AJ11" s="104" t="n">
        <f aca="false">JAN!AJ51</f>
        <v>0</v>
      </c>
      <c r="AK11" s="104" t="n">
        <f aca="false">JAN!AK51</f>
        <v>8532.3</v>
      </c>
      <c r="AL11" s="104" t="n">
        <f aca="false">JAN!AL51</f>
        <v>650.115318880766</v>
      </c>
      <c r="AM11" s="104" t="n">
        <f aca="false">JAN!AM51</f>
        <v>9182.41531888076</v>
      </c>
      <c r="AN11" s="203" t="n">
        <f aca="false">JAN!AN52</f>
        <v>9028.753155</v>
      </c>
      <c r="AO11" s="134" t="n">
        <f aca="false">JAN!AO51</f>
        <v>453.2688</v>
      </c>
      <c r="AP11" s="104"/>
      <c r="AQ11" s="132"/>
      <c r="AR11" s="132"/>
      <c r="AS11" s="104"/>
      <c r="AT11" s="105"/>
      <c r="AU11" s="105"/>
      <c r="AV11" s="205" t="n">
        <f aca="false">JAN!AV51</f>
        <v>3.27</v>
      </c>
      <c r="AW11" s="134"/>
      <c r="AX11" s="134"/>
      <c r="AY11" s="306"/>
      <c r="AZ11" s="133" t="n">
        <f aca="false">JAN!AZ51</f>
        <v>321.756</v>
      </c>
    </row>
    <row r="12" customFormat="false" ht="3" hidden="false" customHeight="true" outlineLevel="0" collapsed="false">
      <c r="A12" s="214"/>
      <c r="B12" s="215"/>
      <c r="C12" s="216"/>
      <c r="D12" s="217"/>
      <c r="E12" s="216"/>
      <c r="F12" s="218"/>
      <c r="G12" s="217"/>
      <c r="H12" s="307"/>
      <c r="I12" s="217"/>
      <c r="J12" s="217"/>
      <c r="K12" s="217"/>
      <c r="L12" s="217"/>
      <c r="M12" s="220"/>
      <c r="N12" s="217"/>
      <c r="O12" s="217"/>
      <c r="P12" s="221"/>
      <c r="Q12" s="217"/>
      <c r="R12" s="217"/>
      <c r="S12" s="221"/>
      <c r="T12" s="222"/>
      <c r="U12" s="217"/>
      <c r="V12" s="217"/>
      <c r="W12" s="217"/>
      <c r="X12" s="217"/>
      <c r="Y12" s="217"/>
      <c r="Z12" s="223"/>
      <c r="AA12" s="216"/>
      <c r="AB12" s="216"/>
      <c r="AC12" s="216"/>
      <c r="AD12" s="216"/>
      <c r="AE12" s="217"/>
      <c r="AF12" s="220"/>
      <c r="AG12" s="225"/>
      <c r="AH12" s="217"/>
      <c r="AI12" s="216"/>
      <c r="AJ12" s="308"/>
      <c r="AK12" s="217"/>
      <c r="AL12" s="217"/>
      <c r="AM12" s="217"/>
      <c r="AN12" s="226"/>
      <c r="AO12" s="223"/>
      <c r="AP12" s="223"/>
      <c r="AQ12" s="223"/>
      <c r="AR12" s="223"/>
      <c r="AS12" s="223"/>
      <c r="AT12" s="309"/>
      <c r="AU12" s="309"/>
      <c r="AV12" s="228"/>
      <c r="AW12" s="223"/>
      <c r="AX12" s="223"/>
      <c r="AY12" s="310"/>
      <c r="AZ12" s="311"/>
    </row>
    <row r="13" customFormat="false" ht="12.95" hidden="false" customHeight="true" outlineLevel="0" collapsed="false">
      <c r="A13" s="171" t="n">
        <v>1</v>
      </c>
      <c r="B13" s="103" t="n">
        <v>6898.4</v>
      </c>
      <c r="C13" s="104" t="n">
        <v>277719</v>
      </c>
      <c r="D13" s="134" t="n">
        <f aca="false">C13-C11</f>
        <v>-73</v>
      </c>
      <c r="E13" s="104" t="n">
        <f aca="false">C13-152000</f>
        <v>125719</v>
      </c>
      <c r="F13" s="229" t="n">
        <f aca="false">D13/$D$2</f>
        <v>-36.8036299470633</v>
      </c>
      <c r="G13" s="132" t="n">
        <v>39</v>
      </c>
      <c r="H13" s="301" t="n">
        <v>0.5</v>
      </c>
      <c r="I13" s="132" t="n">
        <f aca="false">G13+H13</f>
        <v>39.5</v>
      </c>
      <c r="J13" s="133" t="n">
        <f aca="false">IF(L13&gt;0,L13,0)</f>
        <v>16.6963700529367</v>
      </c>
      <c r="K13" s="132" t="n">
        <f aca="false">I13+J13</f>
        <v>56.1963700529367</v>
      </c>
      <c r="L13" s="132" t="n">
        <f aca="false">F13-(I13-AK13)</f>
        <v>16.6963700529367</v>
      </c>
      <c r="M13" s="231" t="n">
        <v>4</v>
      </c>
      <c r="N13" s="132" t="n">
        <v>0</v>
      </c>
      <c r="O13" s="132" t="n">
        <v>0</v>
      </c>
      <c r="P13" s="199" t="n">
        <v>0</v>
      </c>
      <c r="Q13" s="255" t="n">
        <f aca="false">1.49*1.02</f>
        <v>1.5198</v>
      </c>
      <c r="R13" s="199" t="n">
        <v>2.65</v>
      </c>
      <c r="S13" s="312" t="n">
        <v>0</v>
      </c>
      <c r="T13" s="92" t="n">
        <f aca="false">M13-(Q13+R13+S13)</f>
        <v>-0.1698</v>
      </c>
      <c r="U13" s="132" t="n">
        <v>55</v>
      </c>
      <c r="V13" s="132" t="n">
        <v>0</v>
      </c>
      <c r="W13" s="132" t="n">
        <f aca="false">M13-N13-O13-P13-Q13-R13-S13-T13+U13+V13</f>
        <v>55</v>
      </c>
      <c r="X13" s="132" t="n">
        <f aca="false">W13-AO13</f>
        <v>55</v>
      </c>
      <c r="Y13" s="134" t="n">
        <f aca="false">Y11+(X13*1.9835)</f>
        <v>9023.4873592</v>
      </c>
      <c r="Z13" s="134" t="n">
        <f aca="false">Z11+X13*(26300/37500)*1.9835</f>
        <v>6328.47246791893</v>
      </c>
      <c r="AA13" s="104"/>
      <c r="AB13" s="104"/>
      <c r="AC13" s="104"/>
      <c r="AD13" s="104"/>
      <c r="AE13" s="132" t="n">
        <v>0</v>
      </c>
      <c r="AF13" s="231"/>
      <c r="AG13" s="232"/>
      <c r="AH13" s="132" t="n">
        <v>34</v>
      </c>
      <c r="AI13" s="104" t="n">
        <f aca="false">AI11-AH13</f>
        <v>2781</v>
      </c>
      <c r="AJ13" s="202"/>
      <c r="AK13" s="131" t="n">
        <f aca="false">N13+O13+P13+Q13+R13+S13+T13+W13+AE13+AH13</f>
        <v>93</v>
      </c>
      <c r="AL13" s="132" t="n">
        <f aca="false">IF(L13&lt;0,L13*-1,0)</f>
        <v>0</v>
      </c>
      <c r="AM13" s="132" t="n">
        <f aca="false">AK13+AL13</f>
        <v>93</v>
      </c>
      <c r="AN13" s="203" t="n">
        <f aca="false">AN11+(W13*1.9835)</f>
        <v>9137.845655</v>
      </c>
      <c r="AO13" s="134" t="n">
        <v>0</v>
      </c>
      <c r="AP13" s="204"/>
      <c r="AQ13" s="104"/>
      <c r="AR13" s="104"/>
      <c r="AS13" s="302"/>
      <c r="AV13" s="205" t="n">
        <v>0</v>
      </c>
      <c r="AW13" s="134" t="n">
        <v>48</v>
      </c>
      <c r="AX13" s="134" t="n">
        <v>15</v>
      </c>
      <c r="AY13" s="303"/>
      <c r="AZ13" s="233" t="n">
        <f aca="false">SUM(N13,P13:T13)</f>
        <v>4</v>
      </c>
    </row>
    <row r="14" customFormat="false" ht="12.95" hidden="false" customHeight="true" outlineLevel="0" collapsed="false">
      <c r="A14" s="171" t="n">
        <f aca="false">A13+1</f>
        <v>2</v>
      </c>
      <c r="B14" s="103" t="n">
        <v>6898.39</v>
      </c>
      <c r="C14" s="104" t="n">
        <v>277683</v>
      </c>
      <c r="D14" s="134" t="n">
        <f aca="false">C14-C13</f>
        <v>-36</v>
      </c>
      <c r="E14" s="104" t="n">
        <f aca="false">C14-152000</f>
        <v>125683</v>
      </c>
      <c r="F14" s="229" t="n">
        <f aca="false">D14/$D$2</f>
        <v>-18.14973531636</v>
      </c>
      <c r="G14" s="132" t="n">
        <v>36</v>
      </c>
      <c r="H14" s="301" t="n">
        <v>0.37</v>
      </c>
      <c r="I14" s="132" t="n">
        <f aca="false">G14+H14</f>
        <v>36.37</v>
      </c>
      <c r="J14" s="133" t="n">
        <f aca="false">IF(L14&gt;0,L14,0)</f>
        <v>38.18026468364</v>
      </c>
      <c r="K14" s="132" t="n">
        <f aca="false">I14+J14</f>
        <v>74.55026468364</v>
      </c>
      <c r="L14" s="132" t="n">
        <f aca="false">F14-(I14-AK14)</f>
        <v>38.18026468364</v>
      </c>
      <c r="M14" s="231" t="n">
        <v>3.7</v>
      </c>
      <c r="N14" s="132" t="n">
        <v>0</v>
      </c>
      <c r="O14" s="132" t="n">
        <v>0</v>
      </c>
      <c r="P14" s="199" t="n">
        <v>0</v>
      </c>
      <c r="Q14" s="255" t="n">
        <f aca="false">1.49*1.02</f>
        <v>1.5198</v>
      </c>
      <c r="R14" s="199" t="n">
        <v>2.65</v>
      </c>
      <c r="S14" s="312" t="n">
        <v>0</v>
      </c>
      <c r="T14" s="92" t="n">
        <f aca="false">M14-(Q14+R14+S14)</f>
        <v>-0.4698</v>
      </c>
      <c r="U14" s="132" t="n">
        <v>55</v>
      </c>
      <c r="V14" s="132" t="n">
        <v>0</v>
      </c>
      <c r="W14" s="132" t="n">
        <f aca="false">M14-N14-O14-P14-Q14-R14-S14-T14+U14+V14</f>
        <v>55</v>
      </c>
      <c r="X14" s="132" t="n">
        <f aca="false">W14-AO14</f>
        <v>55</v>
      </c>
      <c r="Y14" s="134" t="n">
        <f aca="false">Y13+(X14*1.9835)</f>
        <v>9132.5798592</v>
      </c>
      <c r="Z14" s="134" t="n">
        <f aca="false">Z13+X14*(26300/37500)*1.9835</f>
        <v>6404.9826745856</v>
      </c>
      <c r="AA14" s="104"/>
      <c r="AB14" s="104"/>
      <c r="AC14" s="104"/>
      <c r="AD14" s="104"/>
      <c r="AE14" s="132" t="n">
        <v>0</v>
      </c>
      <c r="AF14" s="231"/>
      <c r="AG14" s="232"/>
      <c r="AH14" s="132" t="n">
        <v>34</v>
      </c>
      <c r="AI14" s="104" t="n">
        <f aca="false">AI13-AH14</f>
        <v>2747</v>
      </c>
      <c r="AJ14" s="202"/>
      <c r="AK14" s="131" t="n">
        <f aca="false">N14+O14+P14+Q14+R14+S14+T14+W14+AE14+AH14</f>
        <v>92.7</v>
      </c>
      <c r="AL14" s="132" t="n">
        <f aca="false">IF(L14&lt;0,L14*-1,0)</f>
        <v>0</v>
      </c>
      <c r="AM14" s="132" t="n">
        <f aca="false">AK14+AL14</f>
        <v>92.7</v>
      </c>
      <c r="AN14" s="203" t="n">
        <f aca="false">AN13+(W14*1.9835)</f>
        <v>9246.938155</v>
      </c>
      <c r="AO14" s="134" t="n">
        <v>0</v>
      </c>
      <c r="AP14" s="204"/>
      <c r="AQ14" s="104"/>
      <c r="AR14" s="104"/>
      <c r="AS14" s="302"/>
      <c r="AV14" s="205" t="n">
        <v>0</v>
      </c>
      <c r="AW14" s="134" t="n">
        <v>49</v>
      </c>
      <c r="AX14" s="134" t="n">
        <v>13</v>
      </c>
      <c r="AY14" s="303"/>
      <c r="AZ14" s="233" t="n">
        <f aca="false">SUM(N14,P14:T14)</f>
        <v>3.7</v>
      </c>
    </row>
    <row r="15" customFormat="false" ht="12.95" hidden="false" customHeight="true" outlineLevel="0" collapsed="false">
      <c r="A15" s="171" t="n">
        <f aca="false">A14+1</f>
        <v>3</v>
      </c>
      <c r="B15" s="103" t="n">
        <v>6898.37</v>
      </c>
      <c r="C15" s="104" t="n">
        <v>277610</v>
      </c>
      <c r="D15" s="134" t="n">
        <f aca="false">C15-C14</f>
        <v>-73</v>
      </c>
      <c r="E15" s="104" t="n">
        <f aca="false">C15-152000</f>
        <v>125610</v>
      </c>
      <c r="F15" s="229" t="n">
        <f aca="false">D15/$D$2</f>
        <v>-36.8036299470633</v>
      </c>
      <c r="G15" s="132" t="n">
        <v>48</v>
      </c>
      <c r="H15" s="301" t="n">
        <v>0.37</v>
      </c>
      <c r="I15" s="132" t="n">
        <f aca="false">G15+H15</f>
        <v>48.37</v>
      </c>
      <c r="J15" s="133" t="n">
        <f aca="false">IF(L15&gt;0,L15,0)</f>
        <v>7.52637005293673</v>
      </c>
      <c r="K15" s="132" t="n">
        <f aca="false">I15+J15</f>
        <v>55.8963700529367</v>
      </c>
      <c r="L15" s="132" t="n">
        <f aca="false">F15-(I15-AK15)</f>
        <v>7.52637005293673</v>
      </c>
      <c r="M15" s="231" t="n">
        <v>3.7</v>
      </c>
      <c r="N15" s="132" t="n">
        <v>0</v>
      </c>
      <c r="O15" s="132" t="n">
        <v>0</v>
      </c>
      <c r="P15" s="199" t="n">
        <v>0</v>
      </c>
      <c r="Q15" s="255" t="n">
        <f aca="false">1.49*1.02</f>
        <v>1.5198</v>
      </c>
      <c r="R15" s="199" t="n">
        <v>2.6</v>
      </c>
      <c r="S15" s="312" t="n">
        <v>0</v>
      </c>
      <c r="T15" s="92" t="n">
        <f aca="false">M15-(Q15+R15+S15)</f>
        <v>-0.4198</v>
      </c>
      <c r="U15" s="132" t="n">
        <v>55</v>
      </c>
      <c r="V15" s="132" t="n">
        <v>0</v>
      </c>
      <c r="W15" s="132" t="n">
        <f aca="false">M15-N15-O15-P15-Q15-R15-S15-T15+U15+V15</f>
        <v>55</v>
      </c>
      <c r="X15" s="132" t="n">
        <f aca="false">W15-AO15</f>
        <v>55</v>
      </c>
      <c r="Y15" s="134" t="n">
        <f aca="false">Y14+(X15*1.9835)</f>
        <v>9241.6723592</v>
      </c>
      <c r="Z15" s="134" t="n">
        <f aca="false">Z14+X15*(26300/37500)*1.9835</f>
        <v>6481.49288125227</v>
      </c>
      <c r="AA15" s="104"/>
      <c r="AB15" s="104"/>
      <c r="AC15" s="104"/>
      <c r="AD15" s="104"/>
      <c r="AE15" s="132" t="n">
        <v>0</v>
      </c>
      <c r="AF15" s="231"/>
      <c r="AG15" s="232"/>
      <c r="AH15" s="132" t="n">
        <v>34</v>
      </c>
      <c r="AI15" s="104" t="n">
        <f aca="false">AI14-AH15</f>
        <v>2713</v>
      </c>
      <c r="AJ15" s="202"/>
      <c r="AK15" s="131" t="n">
        <f aca="false">N15+O15+P15+Q15+R15+S15+T15+W15+AE15+AH15</f>
        <v>92.7</v>
      </c>
      <c r="AL15" s="132" t="n">
        <f aca="false">IF(L15&lt;0,L15*-1,0)</f>
        <v>0</v>
      </c>
      <c r="AM15" s="132" t="n">
        <f aca="false">AK15+AL15</f>
        <v>92.7</v>
      </c>
      <c r="AN15" s="203" t="n">
        <f aca="false">AN14+(W15*1.9835)</f>
        <v>9356.030655</v>
      </c>
      <c r="AO15" s="134" t="n">
        <v>0</v>
      </c>
      <c r="AP15" s="204"/>
      <c r="AQ15" s="104"/>
      <c r="AR15" s="104"/>
      <c r="AS15" s="302"/>
      <c r="AV15" s="205" t="n">
        <v>0</v>
      </c>
      <c r="AW15" s="134" t="n">
        <v>51</v>
      </c>
      <c r="AX15" s="134" t="n">
        <v>16</v>
      </c>
      <c r="AY15" s="303"/>
      <c r="AZ15" s="233" t="n">
        <f aca="false">SUM(N15,P15:T15)</f>
        <v>3.7</v>
      </c>
    </row>
    <row r="16" customFormat="false" ht="12.95" hidden="false" customHeight="true" outlineLevel="0" collapsed="false">
      <c r="A16" s="171" t="n">
        <f aca="false">A15+1</f>
        <v>4</v>
      </c>
      <c r="B16" s="103" t="n">
        <v>6898.35</v>
      </c>
      <c r="C16" s="104" t="n">
        <v>277537</v>
      </c>
      <c r="D16" s="134" t="n">
        <f aca="false">C16-C15</f>
        <v>-73</v>
      </c>
      <c r="E16" s="104" t="n">
        <f aca="false">C16-152000</f>
        <v>125537</v>
      </c>
      <c r="F16" s="229" t="n">
        <f aca="false">D16/$D$2</f>
        <v>-36.8036299470633</v>
      </c>
      <c r="G16" s="132" t="n">
        <v>59</v>
      </c>
      <c r="H16" s="301" t="n">
        <v>0.38</v>
      </c>
      <c r="I16" s="132" t="n">
        <f aca="false">G16+H16</f>
        <v>59.38</v>
      </c>
      <c r="J16" s="133" t="n">
        <f aca="false">IF(L16&gt;0,L16,0)</f>
        <v>0</v>
      </c>
      <c r="K16" s="132" t="n">
        <f aca="false">I16+J16</f>
        <v>59.38</v>
      </c>
      <c r="L16" s="132" t="n">
        <f aca="false">F16-(I16-AK16)</f>
        <v>-2.58362994706328</v>
      </c>
      <c r="M16" s="231" t="n">
        <v>3.6</v>
      </c>
      <c r="N16" s="132" t="n">
        <v>0</v>
      </c>
      <c r="O16" s="132" t="n">
        <v>0</v>
      </c>
      <c r="P16" s="199" t="n">
        <v>0</v>
      </c>
      <c r="Q16" s="255" t="n">
        <f aca="false">1.49*1.02</f>
        <v>1.5198</v>
      </c>
      <c r="R16" s="199" t="n">
        <v>2.55</v>
      </c>
      <c r="S16" s="312" t="n">
        <v>0</v>
      </c>
      <c r="T16" s="92" t="n">
        <f aca="false">M16-(Q16+R16+S16)</f>
        <v>-0.4698</v>
      </c>
      <c r="U16" s="132" t="n">
        <v>55</v>
      </c>
      <c r="V16" s="132" t="n">
        <v>0</v>
      </c>
      <c r="W16" s="132" t="n">
        <f aca="false">M16-N16-O16-P16-Q16-R16-S16-T16+U16+V16</f>
        <v>55</v>
      </c>
      <c r="X16" s="132" t="n">
        <f aca="false">W16-AO16</f>
        <v>55</v>
      </c>
      <c r="Y16" s="134" t="n">
        <f aca="false">Y15+(X16*1.9835)</f>
        <v>9350.7648592</v>
      </c>
      <c r="Z16" s="134" t="n">
        <f aca="false">Z15+X16*(26300/37500)*1.9835</f>
        <v>6558.00308791893</v>
      </c>
      <c r="AA16" s="104"/>
      <c r="AB16" s="104"/>
      <c r="AC16" s="104"/>
      <c r="AD16" s="104"/>
      <c r="AE16" s="132" t="n">
        <v>0</v>
      </c>
      <c r="AF16" s="231"/>
      <c r="AG16" s="232"/>
      <c r="AH16" s="132" t="n">
        <v>35</v>
      </c>
      <c r="AI16" s="104" t="n">
        <f aca="false">AI15-AH16</f>
        <v>2678</v>
      </c>
      <c r="AJ16" s="202"/>
      <c r="AK16" s="131" t="n">
        <f aca="false">N16+O16+P16+Q16+R16+S16+T16+W16+AE16+AH16</f>
        <v>93.6</v>
      </c>
      <c r="AL16" s="132" t="n">
        <f aca="false">IF(L16&lt;0,L16*-1,0)</f>
        <v>2.58362994706328</v>
      </c>
      <c r="AM16" s="132" t="n">
        <f aca="false">AK16+AL16</f>
        <v>96.1836299470633</v>
      </c>
      <c r="AN16" s="203" t="n">
        <f aca="false">AN15+(W16*1.9835)</f>
        <v>9465.123155</v>
      </c>
      <c r="AO16" s="134" t="n">
        <v>0</v>
      </c>
      <c r="AP16" s="204"/>
      <c r="AQ16" s="104"/>
      <c r="AR16" s="104"/>
      <c r="AS16" s="302"/>
      <c r="AV16" s="205" t="n">
        <v>0</v>
      </c>
      <c r="AW16" s="134" t="n">
        <v>54</v>
      </c>
      <c r="AX16" s="134" t="n">
        <v>20</v>
      </c>
      <c r="AY16" s="303"/>
      <c r="AZ16" s="233" t="n">
        <f aca="false">SUM(N16,P16:T16)</f>
        <v>3.6</v>
      </c>
    </row>
    <row r="17" customFormat="false" ht="12.95" hidden="false" customHeight="true" outlineLevel="0" collapsed="false">
      <c r="A17" s="171" t="n">
        <f aca="false">A16+1</f>
        <v>5</v>
      </c>
      <c r="B17" s="103" t="n">
        <v>6898.33</v>
      </c>
      <c r="C17" s="104" t="n">
        <v>277464</v>
      </c>
      <c r="D17" s="134" t="n">
        <f aca="false">C17-C16</f>
        <v>-73</v>
      </c>
      <c r="E17" s="104" t="n">
        <f aca="false">C17-152000</f>
        <v>125464</v>
      </c>
      <c r="F17" s="229" t="n">
        <f aca="false">D17/$D$2</f>
        <v>-36.8036299470633</v>
      </c>
      <c r="G17" s="132" t="n">
        <v>61</v>
      </c>
      <c r="H17" s="301" t="n">
        <v>0.38</v>
      </c>
      <c r="I17" s="132" t="n">
        <f aca="false">G17+H17</f>
        <v>61.38</v>
      </c>
      <c r="J17" s="133" t="n">
        <f aca="false">IF(L17&gt;0,L17,0)</f>
        <v>0</v>
      </c>
      <c r="K17" s="132" t="n">
        <f aca="false">I17+J17</f>
        <v>61.38</v>
      </c>
      <c r="L17" s="132" t="n">
        <f aca="false">F17-(I17-AK17)</f>
        <v>-4.48362994706327</v>
      </c>
      <c r="M17" s="231" t="n">
        <v>3.7</v>
      </c>
      <c r="N17" s="132" t="n">
        <v>0</v>
      </c>
      <c r="O17" s="132" t="n">
        <v>0</v>
      </c>
      <c r="P17" s="199" t="n">
        <v>0</v>
      </c>
      <c r="Q17" s="255" t="n">
        <f aca="false">1.49*1.02</f>
        <v>1.5198</v>
      </c>
      <c r="R17" s="199" t="n">
        <v>1.94</v>
      </c>
      <c r="S17" s="312" t="n">
        <v>0</v>
      </c>
      <c r="T17" s="92" t="n">
        <f aca="false">M17-(Q17+R17+S17)</f>
        <v>0.2402</v>
      </c>
      <c r="U17" s="132" t="n">
        <v>55</v>
      </c>
      <c r="V17" s="132" t="n">
        <v>0</v>
      </c>
      <c r="W17" s="132" t="n">
        <f aca="false">M17-N17-O17-P17-Q17-R17-S17-T17+U17+V17</f>
        <v>55</v>
      </c>
      <c r="X17" s="132" t="n">
        <f aca="false">W17-AO17</f>
        <v>55</v>
      </c>
      <c r="Y17" s="134" t="n">
        <f aca="false">Y16+(X17*1.9835)</f>
        <v>9459.8573592</v>
      </c>
      <c r="Z17" s="134" t="n">
        <f aca="false">Z16+X17*(26300/37500)*1.9835</f>
        <v>6634.5132945856</v>
      </c>
      <c r="AA17" s="104"/>
      <c r="AB17" s="104"/>
      <c r="AC17" s="104"/>
      <c r="AD17" s="104"/>
      <c r="AE17" s="132" t="n">
        <v>0</v>
      </c>
      <c r="AF17" s="231"/>
      <c r="AG17" s="232"/>
      <c r="AH17" s="132" t="n">
        <v>35</v>
      </c>
      <c r="AI17" s="104" t="n">
        <f aca="false">AI16-AH17</f>
        <v>2643</v>
      </c>
      <c r="AJ17" s="202"/>
      <c r="AK17" s="131" t="n">
        <f aca="false">N17+O17+P17+Q17+R17+S17+T17+W17+AE17+AH17</f>
        <v>93.7</v>
      </c>
      <c r="AL17" s="132" t="n">
        <f aca="false">IF(L17&lt;0,L17*-1,0)</f>
        <v>4.48362994706327</v>
      </c>
      <c r="AM17" s="132" t="n">
        <f aca="false">AK17+AL17</f>
        <v>98.1836299470633</v>
      </c>
      <c r="AN17" s="203" t="n">
        <f aca="false">AN16+(W17*1.9835)</f>
        <v>9574.215655</v>
      </c>
      <c r="AO17" s="134" t="n">
        <v>0</v>
      </c>
      <c r="AP17" s="204"/>
      <c r="AQ17" s="104"/>
      <c r="AR17" s="104"/>
      <c r="AS17" s="302"/>
      <c r="AV17" s="205" t="n">
        <v>0</v>
      </c>
      <c r="AW17" s="134" t="n">
        <v>53</v>
      </c>
      <c r="AX17" s="134" t="n">
        <v>23</v>
      </c>
      <c r="AY17" s="303"/>
      <c r="AZ17" s="233" t="n">
        <f aca="false">SUM(N17,P17:T17)</f>
        <v>3.7</v>
      </c>
    </row>
    <row r="18" customFormat="false" ht="12.95" hidden="false" customHeight="true" outlineLevel="0" collapsed="false">
      <c r="A18" s="171" t="n">
        <f aca="false">A17+1</f>
        <v>6</v>
      </c>
      <c r="B18" s="103" t="n">
        <v>6898.31</v>
      </c>
      <c r="C18" s="104" t="n">
        <v>277391</v>
      </c>
      <c r="D18" s="134" t="n">
        <f aca="false">C18-C17</f>
        <v>-73</v>
      </c>
      <c r="E18" s="104" t="n">
        <f aca="false">C18-152000</f>
        <v>125391</v>
      </c>
      <c r="F18" s="229" t="n">
        <f aca="false">D18/$D$2</f>
        <v>-36.8036299470633</v>
      </c>
      <c r="G18" s="132" t="n">
        <v>64</v>
      </c>
      <c r="H18" s="301" t="n">
        <v>0.46</v>
      </c>
      <c r="I18" s="132" t="n">
        <f aca="false">G18+H18</f>
        <v>64.46</v>
      </c>
      <c r="J18" s="133" t="n">
        <f aca="false">IF(L18&gt;0,L18,0)</f>
        <v>0</v>
      </c>
      <c r="K18" s="132" t="n">
        <f aca="false">I18+J18</f>
        <v>64.46</v>
      </c>
      <c r="L18" s="132" t="n">
        <f aca="false">F18-(I18-AK18)</f>
        <v>-7.56362994706326</v>
      </c>
      <c r="M18" s="231" t="n">
        <v>3.7</v>
      </c>
      <c r="N18" s="132" t="n">
        <v>0</v>
      </c>
      <c r="O18" s="132" t="n">
        <v>0</v>
      </c>
      <c r="P18" s="199" t="n">
        <v>0</v>
      </c>
      <c r="Q18" s="255" t="n">
        <f aca="false">1.49*1.02</f>
        <v>1.5198</v>
      </c>
      <c r="R18" s="199" t="n">
        <v>2.77</v>
      </c>
      <c r="S18" s="312" t="n">
        <v>0</v>
      </c>
      <c r="T18" s="92" t="n">
        <f aca="false">M18-(Q18+R18+S18)</f>
        <v>-0.589799999999999</v>
      </c>
      <c r="U18" s="132" t="n">
        <v>55</v>
      </c>
      <c r="V18" s="132" t="n">
        <v>0</v>
      </c>
      <c r="W18" s="132" t="n">
        <f aca="false">M18-N18-O18-P18-Q18-R18-S18-T18+U18+V18</f>
        <v>55</v>
      </c>
      <c r="X18" s="132" t="n">
        <f aca="false">W18-AO18</f>
        <v>55</v>
      </c>
      <c r="Y18" s="134" t="n">
        <f aca="false">Y17+(X18*1.9835)</f>
        <v>9568.9498592</v>
      </c>
      <c r="Z18" s="134" t="n">
        <f aca="false">Z17+X18*(26300/37500)*1.9835</f>
        <v>6711.02350125227</v>
      </c>
      <c r="AA18" s="104"/>
      <c r="AB18" s="104"/>
      <c r="AC18" s="104"/>
      <c r="AD18" s="104"/>
      <c r="AE18" s="132" t="n">
        <v>0</v>
      </c>
      <c r="AF18" s="231"/>
      <c r="AG18" s="232"/>
      <c r="AH18" s="132" t="n">
        <v>35</v>
      </c>
      <c r="AI18" s="104" t="n">
        <f aca="false">AI17-AH18</f>
        <v>2608</v>
      </c>
      <c r="AJ18" s="202"/>
      <c r="AK18" s="131" t="n">
        <f aca="false">N18+O18+P18+Q18+R18+S18+T18+W18+AE18+AH18</f>
        <v>93.7</v>
      </c>
      <c r="AL18" s="132" t="n">
        <f aca="false">IF(L18&lt;0,L18*-1,0)</f>
        <v>7.56362994706326</v>
      </c>
      <c r="AM18" s="132" t="n">
        <f aca="false">AK18+AL18</f>
        <v>101.263629947063</v>
      </c>
      <c r="AN18" s="203" t="n">
        <f aca="false">AN17+(W18*1.9835)</f>
        <v>9683.308155</v>
      </c>
      <c r="AO18" s="134" t="n">
        <v>0</v>
      </c>
      <c r="AP18" s="132"/>
      <c r="AQ18" s="104"/>
      <c r="AR18" s="104"/>
      <c r="AS18" s="302"/>
      <c r="AV18" s="205" t="n">
        <v>0</v>
      </c>
      <c r="AW18" s="134" t="n">
        <v>48</v>
      </c>
      <c r="AX18" s="134" t="n">
        <v>26</v>
      </c>
      <c r="AY18" s="303"/>
      <c r="AZ18" s="233" t="n">
        <f aca="false">SUM(N18,P18:T18)</f>
        <v>3.7</v>
      </c>
    </row>
    <row r="19" customFormat="false" ht="12.95" hidden="false" customHeight="true" outlineLevel="0" collapsed="false">
      <c r="A19" s="171" t="n">
        <f aca="false">A18+1</f>
        <v>7</v>
      </c>
      <c r="B19" s="103" t="n">
        <v>6898.3</v>
      </c>
      <c r="C19" s="104" t="n">
        <v>277354</v>
      </c>
      <c r="D19" s="134" t="n">
        <f aca="false">C19-C18</f>
        <v>-37</v>
      </c>
      <c r="E19" s="104" t="n">
        <f aca="false">C19-152000</f>
        <v>125354</v>
      </c>
      <c r="F19" s="229" t="n">
        <f aca="false">D19/$D$2</f>
        <v>-18.6538946307033</v>
      </c>
      <c r="G19" s="132" t="n">
        <v>65</v>
      </c>
      <c r="H19" s="301" t="n">
        <v>0.33</v>
      </c>
      <c r="I19" s="132" t="n">
        <f aca="false">G19+H19</f>
        <v>65.33</v>
      </c>
      <c r="J19" s="133" t="n">
        <f aca="false">IF(L19&gt;0,L19,0)</f>
        <v>9.7161053692967</v>
      </c>
      <c r="K19" s="132" t="n">
        <f aca="false">I19+J19</f>
        <v>75.0461053692967</v>
      </c>
      <c r="L19" s="132" t="n">
        <f aca="false">F19-(I19-AK19)</f>
        <v>9.7161053692967</v>
      </c>
      <c r="M19" s="231" t="n">
        <v>3.7</v>
      </c>
      <c r="N19" s="132" t="n">
        <v>0</v>
      </c>
      <c r="O19" s="132" t="n">
        <v>0</v>
      </c>
      <c r="P19" s="199" t="n">
        <v>0</v>
      </c>
      <c r="Q19" s="255" t="n">
        <f aca="false">1.49*1.02</f>
        <v>1.5198</v>
      </c>
      <c r="R19" s="199" t="n">
        <v>2.68</v>
      </c>
      <c r="S19" s="312" t="n">
        <v>0</v>
      </c>
      <c r="T19" s="92" t="n">
        <f aca="false">M19-(Q19+R19+S19)</f>
        <v>-0.4998</v>
      </c>
      <c r="U19" s="132" t="n">
        <v>55</v>
      </c>
      <c r="V19" s="132" t="n">
        <v>0</v>
      </c>
      <c r="W19" s="132" t="n">
        <f aca="false">M19-N19-O19-P19-Q19-R19-S19-T19+U19+V19</f>
        <v>55</v>
      </c>
      <c r="X19" s="132" t="n">
        <f aca="false">W19-AO19</f>
        <v>55</v>
      </c>
      <c r="Y19" s="134" t="n">
        <f aca="false">Y18+(X19*1.9835)</f>
        <v>9678.0423592</v>
      </c>
      <c r="Z19" s="134" t="n">
        <f aca="false">Z18+X19*(26300/37500)*1.9835</f>
        <v>6787.53370791893</v>
      </c>
      <c r="AA19" s="104"/>
      <c r="AB19" s="104"/>
      <c r="AC19" s="104"/>
      <c r="AD19" s="104"/>
      <c r="AE19" s="132" t="n">
        <v>0</v>
      </c>
      <c r="AF19" s="231"/>
      <c r="AG19" s="232"/>
      <c r="AH19" s="132" t="n">
        <v>35</v>
      </c>
      <c r="AI19" s="104" t="n">
        <f aca="false">AI18-AH19</f>
        <v>2573</v>
      </c>
      <c r="AJ19" s="202"/>
      <c r="AK19" s="131" t="n">
        <f aca="false">N19+O19+P19+Q19+R19+S19+T19+W19+AE19+AH19</f>
        <v>93.7</v>
      </c>
      <c r="AL19" s="132" t="n">
        <f aca="false">IF(L19&lt;0,L19*-1,0)</f>
        <v>0</v>
      </c>
      <c r="AM19" s="132" t="n">
        <f aca="false">AK19+AL19</f>
        <v>93.7</v>
      </c>
      <c r="AN19" s="203" t="n">
        <f aca="false">AN18+(W19*1.9835)</f>
        <v>9792.400655</v>
      </c>
      <c r="AO19" s="134" t="n">
        <v>0</v>
      </c>
      <c r="AP19" s="132"/>
      <c r="AQ19" s="104"/>
      <c r="AR19" s="104"/>
      <c r="AS19" s="302"/>
      <c r="AV19" s="205" t="n">
        <v>0</v>
      </c>
      <c r="AW19" s="134" t="n">
        <v>49</v>
      </c>
      <c r="AX19" s="134" t="n">
        <v>24</v>
      </c>
      <c r="AY19" s="303"/>
      <c r="AZ19" s="233" t="n">
        <f aca="false">SUM(N19,P19:T19)</f>
        <v>3.7</v>
      </c>
    </row>
    <row r="20" customFormat="false" ht="12.95" hidden="false" customHeight="true" outlineLevel="0" collapsed="false">
      <c r="A20" s="171" t="n">
        <f aca="false">A19+1</f>
        <v>8</v>
      </c>
      <c r="B20" s="103" t="n">
        <v>6898.29</v>
      </c>
      <c r="C20" s="104" t="n">
        <v>277318</v>
      </c>
      <c r="D20" s="134" t="n">
        <f aca="false">C20-C19</f>
        <v>-36</v>
      </c>
      <c r="E20" s="104" t="n">
        <f aca="false">C20-152000</f>
        <v>125318</v>
      </c>
      <c r="F20" s="229" t="n">
        <f aca="false">D20/$D$2</f>
        <v>-18.14973531636</v>
      </c>
      <c r="G20" s="132" t="n">
        <v>50</v>
      </c>
      <c r="H20" s="301" t="n">
        <v>0.29</v>
      </c>
      <c r="I20" s="132" t="n">
        <f aca="false">G20+H20</f>
        <v>50.29</v>
      </c>
      <c r="J20" s="133" t="n">
        <f aca="false">IF(L20&gt;0,L20,0)</f>
        <v>25.26026468364</v>
      </c>
      <c r="K20" s="132" t="n">
        <f aca="false">I20+J20</f>
        <v>75.55026468364</v>
      </c>
      <c r="L20" s="132" t="n">
        <f aca="false">F20-(I20-AK20)</f>
        <v>25.26026468364</v>
      </c>
      <c r="M20" s="231" t="n">
        <v>3.7</v>
      </c>
      <c r="N20" s="132" t="n">
        <v>0</v>
      </c>
      <c r="O20" s="132" t="n">
        <v>0</v>
      </c>
      <c r="P20" s="199" t="n">
        <v>0</v>
      </c>
      <c r="Q20" s="255" t="n">
        <f aca="false">1.49*1.02</f>
        <v>1.5198</v>
      </c>
      <c r="R20" s="199" t="n">
        <v>2.81</v>
      </c>
      <c r="S20" s="312" t="n">
        <v>0</v>
      </c>
      <c r="T20" s="92" t="n">
        <f aca="false">M20-(Q20+R20+S20)</f>
        <v>-0.6298</v>
      </c>
      <c r="U20" s="132" t="n">
        <v>55</v>
      </c>
      <c r="V20" s="132" t="n">
        <v>0</v>
      </c>
      <c r="W20" s="132" t="n">
        <f aca="false">M20-N20-O20-P20-Q20-R20-S20-T20+U20+V20</f>
        <v>55</v>
      </c>
      <c r="X20" s="132" t="n">
        <f aca="false">W20-AO20</f>
        <v>55</v>
      </c>
      <c r="Y20" s="134" t="n">
        <f aca="false">Y19+(X20*1.9835)</f>
        <v>9787.1348592</v>
      </c>
      <c r="Z20" s="134" t="n">
        <f aca="false">Z19+X20*(26300/37500)*1.9835</f>
        <v>6864.0439145856</v>
      </c>
      <c r="AA20" s="104"/>
      <c r="AB20" s="104"/>
      <c r="AC20" s="104"/>
      <c r="AD20" s="104"/>
      <c r="AE20" s="132" t="n">
        <v>0</v>
      </c>
      <c r="AF20" s="231"/>
      <c r="AG20" s="232"/>
      <c r="AH20" s="132" t="n">
        <v>35</v>
      </c>
      <c r="AI20" s="104" t="n">
        <f aca="false">AI19-AH20</f>
        <v>2538</v>
      </c>
      <c r="AJ20" s="202"/>
      <c r="AK20" s="131" t="n">
        <f aca="false">N20+O20+P20+Q20+R20+S20+T20+W20+AE20+AH20</f>
        <v>93.7</v>
      </c>
      <c r="AL20" s="132" t="n">
        <f aca="false">IF(L20&lt;0,L20*-1,0)</f>
        <v>0</v>
      </c>
      <c r="AM20" s="132" t="n">
        <f aca="false">AK20+AL20</f>
        <v>93.7</v>
      </c>
      <c r="AN20" s="203" t="n">
        <f aca="false">AN19+(W20*1.9835)</f>
        <v>9901.493155</v>
      </c>
      <c r="AO20" s="134" t="n">
        <v>0</v>
      </c>
      <c r="AP20" s="132"/>
      <c r="AQ20" s="104"/>
      <c r="AR20" s="104"/>
      <c r="AS20" s="302"/>
      <c r="AV20" s="205" t="n">
        <v>0</v>
      </c>
      <c r="AW20" s="134" t="n">
        <v>45</v>
      </c>
      <c r="AX20" s="134" t="n">
        <v>22</v>
      </c>
      <c r="AY20" s="303"/>
      <c r="AZ20" s="233" t="n">
        <f aca="false">SUM(N20,P20:T20)</f>
        <v>3.7</v>
      </c>
    </row>
    <row r="21" customFormat="false" ht="12.95" hidden="false" customHeight="true" outlineLevel="0" collapsed="false">
      <c r="A21" s="171" t="n">
        <f aca="false">A20+1</f>
        <v>9</v>
      </c>
      <c r="B21" s="103" t="n">
        <v>6898.28</v>
      </c>
      <c r="C21" s="104" t="n">
        <v>277281</v>
      </c>
      <c r="D21" s="134" t="n">
        <f aca="false">C21-C20</f>
        <v>-37</v>
      </c>
      <c r="E21" s="104" t="n">
        <f aca="false">C21-152000</f>
        <v>125281</v>
      </c>
      <c r="F21" s="229" t="n">
        <f aca="false">D21/$D$2</f>
        <v>-18.6538946307033</v>
      </c>
      <c r="G21" s="132" t="n">
        <v>56</v>
      </c>
      <c r="H21" s="301" t="n">
        <v>0.59</v>
      </c>
      <c r="I21" s="132" t="n">
        <f aca="false">G21+H21</f>
        <v>56.59</v>
      </c>
      <c r="J21" s="133" t="n">
        <f aca="false">IF(L21&gt;0,L21,0)</f>
        <v>18.4561053692967</v>
      </c>
      <c r="K21" s="132" t="n">
        <f aca="false">I21+J21</f>
        <v>75.0461053692967</v>
      </c>
      <c r="L21" s="132" t="n">
        <f aca="false">F21-(I21-AK21)</f>
        <v>18.4561053692967</v>
      </c>
      <c r="M21" s="231" t="n">
        <v>3.7</v>
      </c>
      <c r="N21" s="132" t="n">
        <v>0</v>
      </c>
      <c r="O21" s="132" t="n">
        <v>0</v>
      </c>
      <c r="P21" s="199" t="n">
        <v>0</v>
      </c>
      <c r="Q21" s="255" t="n">
        <f aca="false">1.49*1.02</f>
        <v>1.5198</v>
      </c>
      <c r="R21" s="199" t="n">
        <v>2.66</v>
      </c>
      <c r="S21" s="312" t="n">
        <v>0</v>
      </c>
      <c r="T21" s="92" t="n">
        <f aca="false">M21-(Q21+R21+S21)</f>
        <v>-0.4798</v>
      </c>
      <c r="U21" s="132" t="n">
        <v>55</v>
      </c>
      <c r="V21" s="132" t="n">
        <v>0</v>
      </c>
      <c r="W21" s="132" t="n">
        <f aca="false">M21-N21-O21-P21-Q21-R21-S21-T21+U21+V21</f>
        <v>55</v>
      </c>
      <c r="X21" s="132" t="n">
        <f aca="false">W21-AO21</f>
        <v>55</v>
      </c>
      <c r="Y21" s="134" t="n">
        <f aca="false">Y20+(X21*1.9835)</f>
        <v>9896.2273592</v>
      </c>
      <c r="Z21" s="134" t="n">
        <f aca="false">Z20+X21*(26300/37500)*1.9835</f>
        <v>6940.55412125227</v>
      </c>
      <c r="AA21" s="104"/>
      <c r="AB21" s="104"/>
      <c r="AC21" s="104"/>
      <c r="AD21" s="104"/>
      <c r="AE21" s="132" t="n">
        <v>0</v>
      </c>
      <c r="AF21" s="231"/>
      <c r="AG21" s="232"/>
      <c r="AH21" s="132" t="n">
        <v>35</v>
      </c>
      <c r="AI21" s="104" t="n">
        <f aca="false">AI20-AH21</f>
        <v>2503</v>
      </c>
      <c r="AJ21" s="202"/>
      <c r="AK21" s="131" t="n">
        <f aca="false">N21+O21+P21+Q21+R21+S21+T21+W21+AE21+AH21</f>
        <v>93.7</v>
      </c>
      <c r="AL21" s="132" t="n">
        <f aca="false">IF(L21&lt;0,L21*-1,0)</f>
        <v>0</v>
      </c>
      <c r="AM21" s="132" t="n">
        <f aca="false">AK21+AL21</f>
        <v>93.7</v>
      </c>
      <c r="AN21" s="203" t="n">
        <f aca="false">AN20+(W21*1.9835)</f>
        <v>10010.585655</v>
      </c>
      <c r="AO21" s="134" t="n">
        <v>0</v>
      </c>
      <c r="AP21" s="132"/>
      <c r="AQ21" s="104"/>
      <c r="AR21" s="104"/>
      <c r="AS21" s="302"/>
      <c r="AV21" s="205" t="n">
        <v>0.18</v>
      </c>
      <c r="AW21" s="204" t="n">
        <v>35</v>
      </c>
      <c r="AX21" s="134" t="n">
        <v>28</v>
      </c>
      <c r="AY21" s="303"/>
      <c r="AZ21" s="233" t="n">
        <f aca="false">SUM(N21,P21:T21)</f>
        <v>3.7</v>
      </c>
    </row>
    <row r="22" customFormat="false" ht="12.95" hidden="false" customHeight="true" outlineLevel="0" collapsed="false">
      <c r="A22" s="171" t="n">
        <f aca="false">A21+1</f>
        <v>10</v>
      </c>
      <c r="B22" s="103" t="n">
        <v>6898.27</v>
      </c>
      <c r="C22" s="104" t="n">
        <v>277245</v>
      </c>
      <c r="D22" s="134" t="n">
        <f aca="false">C22-C21</f>
        <v>-36</v>
      </c>
      <c r="E22" s="104" t="n">
        <f aca="false">C22-152000</f>
        <v>125245</v>
      </c>
      <c r="F22" s="229" t="n">
        <f aca="false">D22/$D$2</f>
        <v>-18.14973531636</v>
      </c>
      <c r="G22" s="132" t="n">
        <v>65</v>
      </c>
      <c r="H22" s="301" t="n">
        <v>1.3</v>
      </c>
      <c r="I22" s="132" t="n">
        <f aca="false">G22+H22</f>
        <v>66.3</v>
      </c>
      <c r="J22" s="133" t="n">
        <f aca="false">IF(L22&gt;0,L22,0)</f>
        <v>9.05026468364003</v>
      </c>
      <c r="K22" s="132" t="n">
        <f aca="false">I22+J22</f>
        <v>75.35026468364</v>
      </c>
      <c r="L22" s="132" t="n">
        <f aca="false">F22-(I22-AK22)</f>
        <v>9.05026468364003</v>
      </c>
      <c r="M22" s="231" t="n">
        <v>3.5</v>
      </c>
      <c r="N22" s="132" t="n">
        <v>0</v>
      </c>
      <c r="O22" s="132" t="n">
        <v>0</v>
      </c>
      <c r="P22" s="199" t="n">
        <v>0</v>
      </c>
      <c r="Q22" s="255" t="n">
        <f aca="false">1.49*1.02</f>
        <v>1.5198</v>
      </c>
      <c r="R22" s="199" t="n">
        <v>2.37</v>
      </c>
      <c r="S22" s="312" t="n">
        <v>0</v>
      </c>
      <c r="T22" s="92" t="n">
        <f aca="false">M22-(Q22+R22+S22)</f>
        <v>-0.3898</v>
      </c>
      <c r="U22" s="132" t="n">
        <v>55</v>
      </c>
      <c r="V22" s="132" t="n">
        <v>0</v>
      </c>
      <c r="W22" s="132" t="n">
        <f aca="false">M22-N22-O22-P22-Q22-R22-S22-T22+U22+V22</f>
        <v>55</v>
      </c>
      <c r="X22" s="132" t="n">
        <f aca="false">W22-AO22</f>
        <v>55</v>
      </c>
      <c r="Y22" s="134" t="n">
        <f aca="false">Y21+(X22*1.9835)</f>
        <v>10005.3198592</v>
      </c>
      <c r="Z22" s="134" t="n">
        <f aca="false">Z21+X22*(26300/37500)*1.9835</f>
        <v>7017.06432791893</v>
      </c>
      <c r="AA22" s="104"/>
      <c r="AB22" s="104"/>
      <c r="AC22" s="104"/>
      <c r="AD22" s="104"/>
      <c r="AE22" s="132" t="n">
        <v>0</v>
      </c>
      <c r="AF22" s="231"/>
      <c r="AG22" s="232"/>
      <c r="AH22" s="132" t="n">
        <v>35</v>
      </c>
      <c r="AI22" s="104" t="n">
        <f aca="false">AI21-AH22</f>
        <v>2468</v>
      </c>
      <c r="AJ22" s="202"/>
      <c r="AK22" s="131" t="n">
        <f aca="false">N22+O22+P22+Q22+R22+S22+T22+W22+AE22+AH22</f>
        <v>93.5</v>
      </c>
      <c r="AL22" s="132" t="n">
        <f aca="false">IF(L22&lt;0,L22*-1,0)</f>
        <v>0</v>
      </c>
      <c r="AM22" s="132" t="n">
        <f aca="false">AK22+AL22</f>
        <v>93.5</v>
      </c>
      <c r="AN22" s="203" t="n">
        <f aca="false">AN21+(W22*1.9835)</f>
        <v>10119.678155</v>
      </c>
      <c r="AO22" s="134" t="n">
        <v>0</v>
      </c>
      <c r="AP22" s="132"/>
      <c r="AQ22" s="104"/>
      <c r="AR22" s="104"/>
      <c r="AS22" s="302"/>
      <c r="AV22" s="205" t="n">
        <v>0.31</v>
      </c>
      <c r="AW22" s="134" t="n">
        <v>32</v>
      </c>
      <c r="AX22" s="134" t="n">
        <v>13</v>
      </c>
      <c r="AY22" s="303"/>
      <c r="AZ22" s="233" t="n">
        <f aca="false">SUM(N22,P22:T22)</f>
        <v>3.5</v>
      </c>
    </row>
    <row r="23" customFormat="false" ht="12.95" hidden="false" customHeight="true" outlineLevel="0" collapsed="false">
      <c r="A23" s="171" t="n">
        <f aca="false">A22+1</f>
        <v>11</v>
      </c>
      <c r="B23" s="103" t="n">
        <v>6898.26</v>
      </c>
      <c r="C23" s="104" t="n">
        <v>277209</v>
      </c>
      <c r="D23" s="134" t="n">
        <f aca="false">C23-C22</f>
        <v>-36</v>
      </c>
      <c r="E23" s="104" t="n">
        <f aca="false">C23-152000</f>
        <v>125209</v>
      </c>
      <c r="F23" s="229" t="n">
        <f aca="false">D23/$D$2</f>
        <v>-18.14973531636</v>
      </c>
      <c r="G23" s="132" t="n">
        <v>60</v>
      </c>
      <c r="H23" s="301" t="n">
        <v>1.2</v>
      </c>
      <c r="I23" s="132" t="n">
        <f aca="false">G23+H23</f>
        <v>61.2</v>
      </c>
      <c r="J23" s="133" t="n">
        <f aca="false">IF(L23&gt;0,L23,0)</f>
        <v>14.15026468364</v>
      </c>
      <c r="K23" s="132" t="n">
        <f aca="false">I23+J23</f>
        <v>75.35026468364</v>
      </c>
      <c r="L23" s="132" t="n">
        <f aca="false">F23-(I23-AK23)</f>
        <v>14.15026468364</v>
      </c>
      <c r="M23" s="231" t="n">
        <v>3.5</v>
      </c>
      <c r="N23" s="132" t="n">
        <v>0</v>
      </c>
      <c r="O23" s="132" t="n">
        <v>0</v>
      </c>
      <c r="P23" s="199" t="n">
        <v>0</v>
      </c>
      <c r="Q23" s="255" t="n">
        <f aca="false">1.49*1.02</f>
        <v>1.5198</v>
      </c>
      <c r="R23" s="199" t="n">
        <v>2.16</v>
      </c>
      <c r="S23" s="312" t="n">
        <v>0</v>
      </c>
      <c r="T23" s="92" t="n">
        <f aca="false">M23-(Q23+R23+S23)</f>
        <v>-0.1798</v>
      </c>
      <c r="U23" s="132" t="n">
        <v>55</v>
      </c>
      <c r="V23" s="132" t="n">
        <v>0</v>
      </c>
      <c r="W23" s="132" t="n">
        <f aca="false">M23-N23-O23-P23-Q23-R23-S23-T23+U23+V23</f>
        <v>55</v>
      </c>
      <c r="X23" s="132" t="n">
        <f aca="false">W23-AO23</f>
        <v>55</v>
      </c>
      <c r="Y23" s="134" t="n">
        <f aca="false">Y22+(X23*1.9835)</f>
        <v>10114.4123592</v>
      </c>
      <c r="Z23" s="134" t="n">
        <f aca="false">Z22+X23*(26300/37500)*1.9835</f>
        <v>7093.5745345856</v>
      </c>
      <c r="AA23" s="104"/>
      <c r="AB23" s="104"/>
      <c r="AC23" s="104"/>
      <c r="AD23" s="104"/>
      <c r="AE23" s="132" t="n">
        <v>0</v>
      </c>
      <c r="AF23" s="231"/>
      <c r="AG23" s="232"/>
      <c r="AH23" s="132" t="n">
        <v>35</v>
      </c>
      <c r="AI23" s="104" t="n">
        <f aca="false">AI22-AH23</f>
        <v>2433</v>
      </c>
      <c r="AJ23" s="202"/>
      <c r="AK23" s="131" t="n">
        <f aca="false">N23+O23+P23+Q23+R23+S23+T23+W23+AE23+AH23</f>
        <v>93.5</v>
      </c>
      <c r="AL23" s="132" t="n">
        <f aca="false">IF(L23&lt;0,L23*-1,0)</f>
        <v>0</v>
      </c>
      <c r="AM23" s="132" t="n">
        <f aca="false">AK23+AL23</f>
        <v>93.5</v>
      </c>
      <c r="AN23" s="203" t="n">
        <f aca="false">AN22+(W23*1.9835)</f>
        <v>10228.770655</v>
      </c>
      <c r="AO23" s="134" t="n">
        <v>0</v>
      </c>
      <c r="AP23" s="132"/>
      <c r="AQ23" s="104"/>
      <c r="AR23" s="104"/>
      <c r="AS23" s="302"/>
      <c r="AV23" s="205" t="n">
        <v>0</v>
      </c>
      <c r="AW23" s="134" t="n">
        <v>34</v>
      </c>
      <c r="AX23" s="134" t="n">
        <v>7</v>
      </c>
      <c r="AY23" s="303"/>
      <c r="AZ23" s="233" t="n">
        <f aca="false">SUM(N23,P23:T23)</f>
        <v>3.5</v>
      </c>
    </row>
    <row r="24" customFormat="false" ht="12.95" hidden="false" customHeight="true" outlineLevel="0" collapsed="false">
      <c r="A24" s="171" t="n">
        <f aca="false">A23+1</f>
        <v>12</v>
      </c>
      <c r="B24" s="103" t="n">
        <v>6898.25</v>
      </c>
      <c r="C24" s="104" t="n">
        <v>277172</v>
      </c>
      <c r="D24" s="134" t="n">
        <f aca="false">C24-C23</f>
        <v>-37</v>
      </c>
      <c r="E24" s="104" t="n">
        <f aca="false">C24-152000</f>
        <v>125172</v>
      </c>
      <c r="F24" s="229" t="n">
        <f aca="false">D24/$D$2</f>
        <v>-18.6538946307033</v>
      </c>
      <c r="G24" s="132" t="n">
        <v>45</v>
      </c>
      <c r="H24" s="301" t="n">
        <v>1.1</v>
      </c>
      <c r="I24" s="132" t="n">
        <f aca="false">G24+H24</f>
        <v>46.1</v>
      </c>
      <c r="J24" s="133" t="n">
        <f aca="false">IF(L24&gt;0,L24,0)</f>
        <v>28.7461053692967</v>
      </c>
      <c r="K24" s="132" t="n">
        <f aca="false">I24+J24</f>
        <v>74.8461053692967</v>
      </c>
      <c r="L24" s="132" t="n">
        <f aca="false">F24-(I24-AK24)</f>
        <v>28.7461053692967</v>
      </c>
      <c r="M24" s="231" t="n">
        <v>3.5</v>
      </c>
      <c r="N24" s="132" t="n">
        <v>0</v>
      </c>
      <c r="O24" s="132" t="n">
        <v>0</v>
      </c>
      <c r="P24" s="199" t="n">
        <v>0</v>
      </c>
      <c r="Q24" s="255" t="n">
        <f aca="false">1.49*1.02</f>
        <v>1.5198</v>
      </c>
      <c r="R24" s="199" t="n">
        <v>2.23</v>
      </c>
      <c r="S24" s="312" t="n">
        <v>0</v>
      </c>
      <c r="T24" s="92" t="n">
        <f aca="false">M24-(Q24+R24+S24)</f>
        <v>-0.2498</v>
      </c>
      <c r="U24" s="132" t="n">
        <v>55</v>
      </c>
      <c r="V24" s="132" t="n">
        <v>0</v>
      </c>
      <c r="W24" s="132" t="n">
        <f aca="false">M24-N24-O24-P24-Q24-R24-S24-T24+U24+V24</f>
        <v>55</v>
      </c>
      <c r="X24" s="132" t="n">
        <f aca="false">W24-AO24</f>
        <v>55</v>
      </c>
      <c r="Y24" s="134" t="n">
        <f aca="false">Y23+(X24*1.9835)</f>
        <v>10223.5048592</v>
      </c>
      <c r="Z24" s="134" t="n">
        <f aca="false">Z23+X24*(26300/37500)*1.9835</f>
        <v>7170.08474125227</v>
      </c>
      <c r="AA24" s="104"/>
      <c r="AB24" s="104"/>
      <c r="AC24" s="104"/>
      <c r="AD24" s="104"/>
      <c r="AE24" s="132" t="n">
        <v>0</v>
      </c>
      <c r="AF24" s="231"/>
      <c r="AG24" s="232"/>
      <c r="AH24" s="132" t="n">
        <v>35</v>
      </c>
      <c r="AI24" s="104" t="n">
        <f aca="false">AI23-AH24</f>
        <v>2398</v>
      </c>
      <c r="AJ24" s="202"/>
      <c r="AK24" s="131" t="n">
        <f aca="false">N24+O24+P24+Q24+R24+S24+T24+W24+AE24+AH24</f>
        <v>93.5</v>
      </c>
      <c r="AL24" s="132" t="n">
        <f aca="false">IF(L24&lt;0,L24*-1,0)</f>
        <v>0</v>
      </c>
      <c r="AM24" s="132" t="n">
        <f aca="false">AK24+AL24</f>
        <v>93.5</v>
      </c>
      <c r="AN24" s="203" t="n">
        <f aca="false">AN23+(W24*1.9835)</f>
        <v>10337.863155</v>
      </c>
      <c r="AO24" s="134" t="n">
        <v>0</v>
      </c>
      <c r="AP24" s="132"/>
      <c r="AQ24" s="104"/>
      <c r="AR24" s="104"/>
      <c r="AS24" s="302"/>
      <c r="AV24" s="205" t="n">
        <v>0</v>
      </c>
      <c r="AW24" s="134" t="n">
        <v>41</v>
      </c>
      <c r="AX24" s="134" t="n">
        <v>9</v>
      </c>
      <c r="AY24" s="303"/>
      <c r="AZ24" s="233" t="n">
        <f aca="false">SUM(N24,P24:T24)</f>
        <v>3.5</v>
      </c>
    </row>
    <row r="25" customFormat="false" ht="12.95" hidden="false" customHeight="true" outlineLevel="0" collapsed="false">
      <c r="A25" s="171" t="n">
        <f aca="false">A24+1</f>
        <v>13</v>
      </c>
      <c r="B25" s="103" t="n">
        <v>6898.24</v>
      </c>
      <c r="C25" s="104" t="n">
        <v>277136</v>
      </c>
      <c r="D25" s="134" t="n">
        <f aca="false">C25-C24</f>
        <v>-36</v>
      </c>
      <c r="E25" s="104" t="n">
        <f aca="false">C25-152000</f>
        <v>125136</v>
      </c>
      <c r="F25" s="229" t="n">
        <f aca="false">D25/$D$2</f>
        <v>-18.14973531636</v>
      </c>
      <c r="G25" s="132" t="n">
        <v>55</v>
      </c>
      <c r="H25" s="301" t="n">
        <v>0.81</v>
      </c>
      <c r="I25" s="132" t="n">
        <f aca="false">G25+H25</f>
        <v>55.81</v>
      </c>
      <c r="J25" s="133" t="n">
        <f aca="false">IF(L25&gt;0,L25,0)</f>
        <v>19.44026468364</v>
      </c>
      <c r="K25" s="132" t="n">
        <f aca="false">I25+J25</f>
        <v>75.25026468364</v>
      </c>
      <c r="L25" s="132" t="n">
        <f aca="false">F25-(I25-AK25)</f>
        <v>19.44026468364</v>
      </c>
      <c r="M25" s="231" t="n">
        <v>3.4</v>
      </c>
      <c r="N25" s="132" t="n">
        <v>0</v>
      </c>
      <c r="O25" s="132" t="n">
        <v>0</v>
      </c>
      <c r="P25" s="199" t="n">
        <v>0</v>
      </c>
      <c r="Q25" s="255" t="n">
        <f aca="false">1.49*1.02</f>
        <v>1.5198</v>
      </c>
      <c r="R25" s="199" t="n">
        <v>2.57</v>
      </c>
      <c r="S25" s="312" t="n">
        <v>0</v>
      </c>
      <c r="T25" s="92" t="n">
        <f aca="false">M25-(Q25+R25+S25)</f>
        <v>-0.6898</v>
      </c>
      <c r="U25" s="132" t="n">
        <v>55</v>
      </c>
      <c r="V25" s="132" t="n">
        <v>0</v>
      </c>
      <c r="W25" s="132" t="n">
        <f aca="false">M25-N25-O25-P25-Q25-R25-S25-T25+U25+V25</f>
        <v>55</v>
      </c>
      <c r="X25" s="132" t="n">
        <f aca="false">W25-AO25</f>
        <v>55</v>
      </c>
      <c r="Y25" s="134" t="n">
        <f aca="false">Y24+(X25*1.9835)</f>
        <v>10332.5973592</v>
      </c>
      <c r="Z25" s="134" t="n">
        <f aca="false">Z24+X25*(26300/37500)*1.9835</f>
        <v>7246.59494791893</v>
      </c>
      <c r="AA25" s="104"/>
      <c r="AB25" s="104"/>
      <c r="AC25" s="104"/>
      <c r="AD25" s="104"/>
      <c r="AE25" s="132" t="n">
        <v>0</v>
      </c>
      <c r="AF25" s="231"/>
      <c r="AG25" s="232"/>
      <c r="AH25" s="132" t="n">
        <v>35</v>
      </c>
      <c r="AI25" s="104" t="n">
        <f aca="false">AI24-AH25</f>
        <v>2363</v>
      </c>
      <c r="AJ25" s="202"/>
      <c r="AK25" s="131" t="n">
        <f aca="false">N25+O25+P25+Q25+R25+S25+T25+W25+AE25+AH25</f>
        <v>93.4</v>
      </c>
      <c r="AL25" s="132" t="n">
        <f aca="false">IF(L25&lt;0,L25*-1,0)</f>
        <v>0</v>
      </c>
      <c r="AM25" s="132" t="n">
        <f aca="false">AK25+AL25</f>
        <v>93.4</v>
      </c>
      <c r="AN25" s="203" t="n">
        <f aca="false">AN24+(W25*1.9835)</f>
        <v>10446.955655</v>
      </c>
      <c r="AO25" s="134" t="n">
        <v>0</v>
      </c>
      <c r="AP25" s="132"/>
      <c r="AQ25" s="104"/>
      <c r="AR25" s="104"/>
      <c r="AS25" s="302"/>
      <c r="AV25" s="205" t="n">
        <v>0</v>
      </c>
      <c r="AW25" s="134" t="n">
        <v>36</v>
      </c>
      <c r="AX25" s="134" t="n">
        <v>18</v>
      </c>
      <c r="AY25" s="303"/>
      <c r="AZ25" s="233" t="n">
        <f aca="false">SUM(N25,P25:T25)</f>
        <v>3.4</v>
      </c>
    </row>
    <row r="26" customFormat="false" ht="12.95" hidden="false" customHeight="true" outlineLevel="0" collapsed="false">
      <c r="A26" s="171" t="n">
        <f aca="false">A25+1</f>
        <v>14</v>
      </c>
      <c r="B26" s="103" t="n">
        <v>6898.23</v>
      </c>
      <c r="C26" s="104" t="n">
        <v>277099</v>
      </c>
      <c r="D26" s="134" t="n">
        <f aca="false">C26-C25</f>
        <v>-37</v>
      </c>
      <c r="E26" s="104" t="n">
        <f aca="false">C26-152000</f>
        <v>125099</v>
      </c>
      <c r="F26" s="229" t="n">
        <f aca="false">D26/$D$2</f>
        <v>-18.6538946307033</v>
      </c>
      <c r="G26" s="132" t="n">
        <v>53</v>
      </c>
      <c r="H26" s="301" t="n">
        <v>0.66</v>
      </c>
      <c r="I26" s="132" t="n">
        <f aca="false">G26+H26</f>
        <v>53.66</v>
      </c>
      <c r="J26" s="133" t="n">
        <f aca="false">IF(L26&gt;0,L26,0)</f>
        <v>21.0861053692967</v>
      </c>
      <c r="K26" s="132" t="n">
        <f aca="false">I26+J26</f>
        <v>74.7461053692967</v>
      </c>
      <c r="L26" s="132" t="n">
        <f aca="false">F26-(I26-AK26)</f>
        <v>21.0861053692967</v>
      </c>
      <c r="M26" s="231" t="n">
        <v>3.4</v>
      </c>
      <c r="N26" s="132" t="n">
        <v>0</v>
      </c>
      <c r="O26" s="132" t="n">
        <v>0</v>
      </c>
      <c r="P26" s="199" t="n">
        <v>0</v>
      </c>
      <c r="Q26" s="255" t="n">
        <f aca="false">1.49*1.02</f>
        <v>1.5198</v>
      </c>
      <c r="R26" s="199" t="n">
        <v>2.65</v>
      </c>
      <c r="S26" s="312" t="n">
        <v>0</v>
      </c>
      <c r="T26" s="92" t="n">
        <f aca="false">M26-(Q26+R26+S26)</f>
        <v>-0.769800000000001</v>
      </c>
      <c r="U26" s="132" t="n">
        <v>55</v>
      </c>
      <c r="V26" s="132" t="n">
        <v>0</v>
      </c>
      <c r="W26" s="132" t="n">
        <f aca="false">M26-N26-O26-P26-Q26-R26-S26-T26+U26+V26</f>
        <v>55</v>
      </c>
      <c r="X26" s="132" t="n">
        <f aca="false">W26-AO26</f>
        <v>55</v>
      </c>
      <c r="Y26" s="134" t="n">
        <f aca="false">Y25+(X26*1.9835)</f>
        <v>10441.6898592</v>
      </c>
      <c r="Z26" s="134" t="n">
        <f aca="false">Z25+X26*(26300/37500)*1.9835</f>
        <v>7323.1051545856</v>
      </c>
      <c r="AA26" s="104"/>
      <c r="AB26" s="104"/>
      <c r="AC26" s="104"/>
      <c r="AD26" s="104"/>
      <c r="AE26" s="132" t="n">
        <v>0</v>
      </c>
      <c r="AF26" s="231"/>
      <c r="AG26" s="232"/>
      <c r="AH26" s="132" t="n">
        <v>35</v>
      </c>
      <c r="AI26" s="104" t="n">
        <f aca="false">AI25-AH26</f>
        <v>2328</v>
      </c>
      <c r="AJ26" s="202"/>
      <c r="AK26" s="131" t="n">
        <f aca="false">N26+O26+P26+Q26+R26+S26+T26+W26+AE26+AH26</f>
        <v>93.4</v>
      </c>
      <c r="AL26" s="132" t="n">
        <f aca="false">IF(L26&lt;0,L26*-1,0)</f>
        <v>0</v>
      </c>
      <c r="AM26" s="132" t="n">
        <f aca="false">AK26+AL26</f>
        <v>93.4</v>
      </c>
      <c r="AN26" s="203" t="n">
        <f aca="false">AN25+(W26*1.9835)</f>
        <v>10556.048155</v>
      </c>
      <c r="AO26" s="134" t="n">
        <v>0</v>
      </c>
      <c r="AP26" s="132"/>
      <c r="AQ26" s="104"/>
      <c r="AR26" s="104"/>
      <c r="AS26" s="302"/>
      <c r="AV26" s="205" t="n">
        <v>0</v>
      </c>
      <c r="AW26" s="204" t="n">
        <v>35</v>
      </c>
      <c r="AX26" s="134" t="n">
        <v>16</v>
      </c>
      <c r="AY26" s="303"/>
      <c r="AZ26" s="233" t="n">
        <f aca="false">SUM(N26,P26:T26)</f>
        <v>3.4</v>
      </c>
    </row>
    <row r="27" customFormat="false" ht="12.95" hidden="false" customHeight="true" outlineLevel="0" collapsed="false">
      <c r="A27" s="171" t="n">
        <f aca="false">A26+1</f>
        <v>15</v>
      </c>
      <c r="B27" s="103" t="n">
        <v>6898.22</v>
      </c>
      <c r="C27" s="104" t="n">
        <v>277063</v>
      </c>
      <c r="D27" s="134" t="n">
        <f aca="false">C27-C26</f>
        <v>-36</v>
      </c>
      <c r="E27" s="104" t="n">
        <f aca="false">C27-152000</f>
        <v>125063</v>
      </c>
      <c r="F27" s="229" t="n">
        <f aca="false">D27/$D$2</f>
        <v>-18.14973531636</v>
      </c>
      <c r="G27" s="132" t="n">
        <v>43</v>
      </c>
      <c r="H27" s="301" t="n">
        <v>0.62</v>
      </c>
      <c r="I27" s="132" t="n">
        <f aca="false">G27+H27</f>
        <v>43.62</v>
      </c>
      <c r="J27" s="133" t="n">
        <f aca="false">IF(L27&gt;0,L27,0)</f>
        <v>31.63026468364</v>
      </c>
      <c r="K27" s="132" t="n">
        <f aca="false">I27+J27</f>
        <v>75.25026468364</v>
      </c>
      <c r="L27" s="132" t="n">
        <f aca="false">F27-(I27-AK27)</f>
        <v>31.63026468364</v>
      </c>
      <c r="M27" s="231" t="n">
        <v>3.4</v>
      </c>
      <c r="N27" s="132" t="n">
        <v>0</v>
      </c>
      <c r="O27" s="132" t="n">
        <v>0</v>
      </c>
      <c r="P27" s="199" t="n">
        <v>0</v>
      </c>
      <c r="Q27" s="255" t="n">
        <f aca="false">1.49*1.02</f>
        <v>1.5198</v>
      </c>
      <c r="R27" s="199" t="n">
        <v>2.56</v>
      </c>
      <c r="S27" s="312" t="n">
        <v>0</v>
      </c>
      <c r="T27" s="92" t="n">
        <f aca="false">M27-(Q27+R27+S27)</f>
        <v>-0.679800000000001</v>
      </c>
      <c r="U27" s="132" t="n">
        <v>55</v>
      </c>
      <c r="V27" s="132" t="n">
        <v>0</v>
      </c>
      <c r="W27" s="132" t="n">
        <f aca="false">M27-N27-O27-P27-Q27-R27-S27-T27+U27+V27</f>
        <v>55</v>
      </c>
      <c r="X27" s="132" t="n">
        <f aca="false">W27-AO27</f>
        <v>55</v>
      </c>
      <c r="Y27" s="134" t="n">
        <f aca="false">Y26+(X27*1.9835)</f>
        <v>10550.7823592</v>
      </c>
      <c r="Z27" s="134" t="n">
        <f aca="false">Z26+X27*(26300/37500)*1.9835</f>
        <v>7399.61536125227</v>
      </c>
      <c r="AA27" s="104"/>
      <c r="AB27" s="104"/>
      <c r="AC27" s="104"/>
      <c r="AD27" s="104"/>
      <c r="AE27" s="132" t="n">
        <v>0</v>
      </c>
      <c r="AF27" s="231"/>
      <c r="AG27" s="232"/>
      <c r="AH27" s="132" t="n">
        <v>35</v>
      </c>
      <c r="AI27" s="104" t="n">
        <f aca="false">AI26-AH27</f>
        <v>2293</v>
      </c>
      <c r="AJ27" s="202"/>
      <c r="AK27" s="131" t="n">
        <f aca="false">N27+O27+P27+Q27+R27+S27+T27+W27+AE27+AH27</f>
        <v>93.4</v>
      </c>
      <c r="AL27" s="132" t="n">
        <f aca="false">IF(L27&lt;0,L27*-1,0)</f>
        <v>0</v>
      </c>
      <c r="AM27" s="132" t="n">
        <f aca="false">AK27+AL27</f>
        <v>93.4</v>
      </c>
      <c r="AN27" s="203" t="n">
        <f aca="false">AN26+(W27*1.9835)</f>
        <v>10665.140655</v>
      </c>
      <c r="AO27" s="134" t="n">
        <v>0</v>
      </c>
      <c r="AP27" s="132"/>
      <c r="AQ27" s="104"/>
      <c r="AR27" s="104"/>
      <c r="AS27" s="302"/>
      <c r="AV27" s="205" t="n">
        <v>0</v>
      </c>
      <c r="AW27" s="204" t="n">
        <v>41</v>
      </c>
      <c r="AX27" s="134" t="n">
        <v>7</v>
      </c>
      <c r="AY27" s="303"/>
      <c r="AZ27" s="233" t="n">
        <f aca="false">SUM(N27,P27:T27)</f>
        <v>3.4</v>
      </c>
    </row>
    <row r="28" customFormat="false" ht="12.95" hidden="false" customHeight="true" outlineLevel="0" collapsed="false">
      <c r="A28" s="171" t="n">
        <f aca="false">A27+1</f>
        <v>16</v>
      </c>
      <c r="B28" s="103" t="n">
        <v>6898.19</v>
      </c>
      <c r="C28" s="104" t="n">
        <v>276953</v>
      </c>
      <c r="D28" s="134" t="n">
        <f aca="false">C28-C27</f>
        <v>-110</v>
      </c>
      <c r="E28" s="104" t="n">
        <f aca="false">C28-152000</f>
        <v>124953</v>
      </c>
      <c r="F28" s="229" t="n">
        <f aca="false">D28/$D$2</f>
        <v>-55.4575245777666</v>
      </c>
      <c r="G28" s="132" t="n">
        <v>42</v>
      </c>
      <c r="H28" s="301" t="n">
        <v>0.58</v>
      </c>
      <c r="I28" s="132" t="n">
        <f aca="false">G28+H28</f>
        <v>42.58</v>
      </c>
      <c r="J28" s="133" t="n">
        <f aca="false">IF(L28&gt;0,L28,0)</f>
        <v>1.36247542223344</v>
      </c>
      <c r="K28" s="132" t="n">
        <f aca="false">I28+J28</f>
        <v>43.9424754222334</v>
      </c>
      <c r="L28" s="132" t="n">
        <f aca="false">F28-(I28-AK28)</f>
        <v>1.36247542223344</v>
      </c>
      <c r="M28" s="231" t="n">
        <v>3.4</v>
      </c>
      <c r="N28" s="132" t="n">
        <v>0</v>
      </c>
      <c r="O28" s="132" t="n">
        <v>0</v>
      </c>
      <c r="P28" s="199" t="n">
        <v>0</v>
      </c>
      <c r="Q28" s="255" t="n">
        <f aca="false">1.49*1.02</f>
        <v>1.5198</v>
      </c>
      <c r="R28" s="199" t="n">
        <v>2.68</v>
      </c>
      <c r="S28" s="312" t="n">
        <v>0</v>
      </c>
      <c r="T28" s="92" t="n">
        <f aca="false">M28-(Q28+R28+S28)</f>
        <v>-0.7998</v>
      </c>
      <c r="U28" s="132" t="n">
        <v>61</v>
      </c>
      <c r="V28" s="132" t="n">
        <v>0</v>
      </c>
      <c r="W28" s="132" t="n">
        <f aca="false">M28-N28-O28-P28-Q28-R28-S28-T28+U28+V28</f>
        <v>61</v>
      </c>
      <c r="X28" s="132" t="n">
        <f aca="false">W28-AO28</f>
        <v>61</v>
      </c>
      <c r="Y28" s="134" t="n">
        <f aca="false">Y27+(X28*1.9835)</f>
        <v>10671.7758592</v>
      </c>
      <c r="Z28" s="134" t="n">
        <f aca="false">Z27+X28*(26300/37500)*1.9835</f>
        <v>7484.47213591894</v>
      </c>
      <c r="AA28" s="104"/>
      <c r="AB28" s="104"/>
      <c r="AC28" s="104"/>
      <c r="AD28" s="104"/>
      <c r="AE28" s="132" t="n">
        <v>0</v>
      </c>
      <c r="AF28" s="231"/>
      <c r="AG28" s="232"/>
      <c r="AH28" s="132" t="n">
        <v>35</v>
      </c>
      <c r="AI28" s="104" t="n">
        <f aca="false">AI27-AH28</f>
        <v>2258</v>
      </c>
      <c r="AJ28" s="202"/>
      <c r="AK28" s="131" t="n">
        <f aca="false">N28+O28+P28+Q28+R28+S28+T28+W28+AE28+AH28</f>
        <v>99.4</v>
      </c>
      <c r="AL28" s="132" t="n">
        <f aca="false">IF(L28&lt;0,L28*-1,0)</f>
        <v>0</v>
      </c>
      <c r="AM28" s="132" t="n">
        <f aca="false">AK28+AL28</f>
        <v>99.4</v>
      </c>
      <c r="AN28" s="203" t="n">
        <f aca="false">AN27+(W28*1.9835)</f>
        <v>10786.134155</v>
      </c>
      <c r="AO28" s="134" t="n">
        <v>0</v>
      </c>
      <c r="AP28" s="132"/>
      <c r="AQ28" s="104"/>
      <c r="AR28" s="104"/>
      <c r="AS28" s="302"/>
      <c r="AV28" s="205" t="n">
        <v>0</v>
      </c>
      <c r="AW28" s="204" t="n">
        <v>45</v>
      </c>
      <c r="AX28" s="134" t="n">
        <v>20</v>
      </c>
      <c r="AY28" s="303"/>
      <c r="AZ28" s="233" t="n">
        <f aca="false">SUM(N28,P28:T28)</f>
        <v>3.4</v>
      </c>
    </row>
    <row r="29" customFormat="false" ht="12.95" hidden="false" customHeight="true" outlineLevel="0" collapsed="false">
      <c r="A29" s="171" t="n">
        <f aca="false">A28+1</f>
        <v>17</v>
      </c>
      <c r="B29" s="103" t="n">
        <v>6898.16</v>
      </c>
      <c r="C29" s="104" t="n">
        <v>276844</v>
      </c>
      <c r="D29" s="134" t="n">
        <f aca="false">C29-C28</f>
        <v>-109</v>
      </c>
      <c r="E29" s="104" t="n">
        <f aca="false">C29-152000</f>
        <v>124844</v>
      </c>
      <c r="F29" s="229" t="n">
        <f aca="false">D29/$D$2</f>
        <v>-54.9533652634232</v>
      </c>
      <c r="G29" s="132" t="n">
        <v>55</v>
      </c>
      <c r="H29" s="301" t="n">
        <v>0.49</v>
      </c>
      <c r="I29" s="132" t="n">
        <f aca="false">G29+H29</f>
        <v>55.49</v>
      </c>
      <c r="J29" s="133" t="n">
        <f aca="false">IF(L29&gt;0,L29,0)</f>
        <v>0</v>
      </c>
      <c r="K29" s="132" t="n">
        <f aca="false">I29+J29</f>
        <v>55.49</v>
      </c>
      <c r="L29" s="132" t="n">
        <f aca="false">F29-(I29-AK29)</f>
        <v>-6.74336526342324</v>
      </c>
      <c r="M29" s="231" t="n">
        <v>3.7</v>
      </c>
      <c r="N29" s="132" t="n">
        <v>0</v>
      </c>
      <c r="O29" s="132" t="n">
        <v>0</v>
      </c>
      <c r="P29" s="199" t="n">
        <v>0</v>
      </c>
      <c r="Q29" s="255" t="n">
        <f aca="false">1.49*1.02</f>
        <v>1.5198</v>
      </c>
      <c r="R29" s="199" t="n">
        <v>2.51</v>
      </c>
      <c r="S29" s="312" t="n">
        <v>0</v>
      </c>
      <c r="T29" s="92" t="n">
        <f aca="false">M29-(Q29+R29+S29)</f>
        <v>-0.3298</v>
      </c>
      <c r="U29" s="132" t="n">
        <v>65</v>
      </c>
      <c r="V29" s="132" t="n">
        <v>0</v>
      </c>
      <c r="W29" s="132" t="n">
        <f aca="false">M29-N29-O29-P29-Q29-R29-S29-T29+U29+V29</f>
        <v>65</v>
      </c>
      <c r="X29" s="132" t="n">
        <f aca="false">W29-AO29</f>
        <v>65</v>
      </c>
      <c r="Y29" s="134" t="n">
        <f aca="false">Y28+(X29*1.9835)</f>
        <v>10800.7033592</v>
      </c>
      <c r="Z29" s="134" t="n">
        <f aca="false">Z28+X29*(26300/37500)*1.9835</f>
        <v>7574.89328925227</v>
      </c>
      <c r="AA29" s="104"/>
      <c r="AB29" s="104"/>
      <c r="AC29" s="104"/>
      <c r="AD29" s="104"/>
      <c r="AE29" s="132" t="n">
        <v>0</v>
      </c>
      <c r="AF29" s="231"/>
      <c r="AG29" s="232"/>
      <c r="AH29" s="132" t="n">
        <v>35</v>
      </c>
      <c r="AI29" s="104" t="n">
        <f aca="false">AI28-AH29</f>
        <v>2223</v>
      </c>
      <c r="AJ29" s="202"/>
      <c r="AK29" s="131" t="n">
        <f aca="false">N29+O29+P29+Q29+R29+S29+T29+W29+AE29+AH29</f>
        <v>103.7</v>
      </c>
      <c r="AL29" s="132" t="n">
        <f aca="false">IF(L29&lt;0,L29*-1,0)</f>
        <v>6.74336526342324</v>
      </c>
      <c r="AM29" s="132" t="n">
        <f aca="false">AK29+AL29</f>
        <v>110.443365263423</v>
      </c>
      <c r="AN29" s="203" t="n">
        <f aca="false">AN28+(W29*1.9835)</f>
        <v>10915.061655</v>
      </c>
      <c r="AO29" s="134" t="n">
        <v>0</v>
      </c>
      <c r="AP29" s="132"/>
      <c r="AQ29" s="104"/>
      <c r="AR29" s="104"/>
      <c r="AS29" s="302"/>
      <c r="AV29" s="205" t="n">
        <v>0</v>
      </c>
      <c r="AW29" s="204" t="n">
        <v>40</v>
      </c>
      <c r="AX29" s="134" t="n">
        <v>15</v>
      </c>
      <c r="AY29" s="303"/>
      <c r="AZ29" s="233" t="n">
        <f aca="false">SUM(N29,P29:T29)</f>
        <v>3.7</v>
      </c>
    </row>
    <row r="30" customFormat="false" ht="12.95" hidden="false" customHeight="true" outlineLevel="0" collapsed="false">
      <c r="A30" s="171" t="n">
        <f aca="false">A29+1</f>
        <v>18</v>
      </c>
      <c r="B30" s="103" t="n">
        <v>6898.12</v>
      </c>
      <c r="C30" s="313" t="n">
        <v>276698</v>
      </c>
      <c r="D30" s="134" t="n">
        <f aca="false">C30-C29</f>
        <v>-146</v>
      </c>
      <c r="E30" s="104" t="n">
        <f aca="false">C30-152000</f>
        <v>124698</v>
      </c>
      <c r="F30" s="229" t="n">
        <f aca="false">D30/$D$2</f>
        <v>-73.6072598941265</v>
      </c>
      <c r="G30" s="132" t="n">
        <v>53</v>
      </c>
      <c r="H30" s="301" t="n">
        <v>0.43</v>
      </c>
      <c r="I30" s="132" t="n">
        <f aca="false">G30+H30</f>
        <v>53.43</v>
      </c>
      <c r="J30" s="133" t="n">
        <f aca="false">IF(L30&gt;0,L30,0)</f>
        <v>0</v>
      </c>
      <c r="K30" s="132" t="n">
        <f aca="false">I30+J30</f>
        <v>53.43</v>
      </c>
      <c r="L30" s="132" t="n">
        <f aca="false">F30-(I30-AK30)</f>
        <v>-23.4372598941265</v>
      </c>
      <c r="M30" s="231" t="n">
        <v>3.6</v>
      </c>
      <c r="N30" s="132" t="n">
        <v>0</v>
      </c>
      <c r="O30" s="132" t="n">
        <v>0</v>
      </c>
      <c r="P30" s="199" t="n">
        <v>0</v>
      </c>
      <c r="Q30" s="255" t="n">
        <f aca="false">1.49*1.02</f>
        <v>1.5198</v>
      </c>
      <c r="R30" s="199" t="n">
        <v>4.08</v>
      </c>
      <c r="S30" s="312" t="n">
        <v>0</v>
      </c>
      <c r="T30" s="92" t="n">
        <f aca="false">M30-(Q30+R30+S30)</f>
        <v>-1.9998</v>
      </c>
      <c r="U30" s="132" t="n">
        <v>65</v>
      </c>
      <c r="V30" s="132" t="n">
        <v>0</v>
      </c>
      <c r="W30" s="132" t="n">
        <f aca="false">M30-N30-O30-P30-Q30-R30-S30-T30+U30+V30</f>
        <v>65</v>
      </c>
      <c r="X30" s="132" t="n">
        <f aca="false">W30-AO30</f>
        <v>65</v>
      </c>
      <c r="Y30" s="134" t="n">
        <f aca="false">Y29+(X30*1.9835)</f>
        <v>10929.6308592</v>
      </c>
      <c r="Z30" s="134" t="n">
        <f aca="false">Z29+X30*(26300/37500)*1.9835</f>
        <v>7665.3144425856</v>
      </c>
      <c r="AA30" s="104"/>
      <c r="AB30" s="104"/>
      <c r="AC30" s="104"/>
      <c r="AD30" s="104"/>
      <c r="AE30" s="132" t="n">
        <v>0</v>
      </c>
      <c r="AF30" s="231"/>
      <c r="AG30" s="232"/>
      <c r="AH30" s="132" t="n">
        <v>35</v>
      </c>
      <c r="AI30" s="104" t="n">
        <f aca="false">AI29-AH30</f>
        <v>2188</v>
      </c>
      <c r="AJ30" s="202"/>
      <c r="AK30" s="131" t="n">
        <f aca="false">N30+O30+P30+Q30+R30+S30+T30+W30+AE30+AH30</f>
        <v>103.6</v>
      </c>
      <c r="AL30" s="132" t="n">
        <f aca="false">IF(L30&lt;0,L30*-1,0)</f>
        <v>23.4372598941265</v>
      </c>
      <c r="AM30" s="132" t="n">
        <f aca="false">AK30+AL30</f>
        <v>127.037259894127</v>
      </c>
      <c r="AN30" s="203" t="n">
        <f aca="false">AN29+(W30*1.9835)</f>
        <v>11043.989155</v>
      </c>
      <c r="AO30" s="134" t="n">
        <v>0</v>
      </c>
      <c r="AP30" s="132"/>
      <c r="AQ30" s="104"/>
      <c r="AR30" s="104"/>
      <c r="AS30" s="302"/>
      <c r="AV30" s="205" t="n">
        <v>0</v>
      </c>
      <c r="AW30" s="204" t="n">
        <v>37</v>
      </c>
      <c r="AX30" s="134" t="n">
        <v>9</v>
      </c>
      <c r="AY30" s="303"/>
      <c r="AZ30" s="233" t="n">
        <f aca="false">SUM(N30,P30:T30)</f>
        <v>3.6</v>
      </c>
    </row>
    <row r="31" customFormat="false" ht="12.95" hidden="false" customHeight="true" outlineLevel="0" collapsed="false">
      <c r="A31" s="171" t="n">
        <f aca="false">A30+1</f>
        <v>19</v>
      </c>
      <c r="B31" s="103" t="n">
        <v>6898.08</v>
      </c>
      <c r="C31" s="313" t="n">
        <v>276552</v>
      </c>
      <c r="D31" s="134" t="n">
        <f aca="false">C31-C30</f>
        <v>-146</v>
      </c>
      <c r="E31" s="104" t="n">
        <f aca="false">C31-152000</f>
        <v>124552</v>
      </c>
      <c r="F31" s="229" t="n">
        <f aca="false">D31/$D$2</f>
        <v>-73.6072598941265</v>
      </c>
      <c r="G31" s="132" t="n">
        <v>51</v>
      </c>
      <c r="H31" s="301" t="n">
        <v>0.41</v>
      </c>
      <c r="I31" s="132" t="n">
        <f aca="false">G31+H31</f>
        <v>51.41</v>
      </c>
      <c r="J31" s="133" t="n">
        <f aca="false">IF(L31&gt;0,L31,0)</f>
        <v>0</v>
      </c>
      <c r="K31" s="132" t="n">
        <f aca="false">I31+J31</f>
        <v>51.41</v>
      </c>
      <c r="L31" s="132" t="n">
        <f aca="false">F31-(I31-AK31)</f>
        <v>-21.7172598941265</v>
      </c>
      <c r="M31" s="231" t="n">
        <v>3.3</v>
      </c>
      <c r="N31" s="132" t="n">
        <v>0</v>
      </c>
      <c r="O31" s="132" t="n">
        <v>0</v>
      </c>
      <c r="P31" s="199" t="n">
        <v>0</v>
      </c>
      <c r="Q31" s="255" t="n">
        <f aca="false">1.49*1.02</f>
        <v>1.5198</v>
      </c>
      <c r="R31" s="199" t="n">
        <v>2.98</v>
      </c>
      <c r="S31" s="312" t="n">
        <v>0</v>
      </c>
      <c r="T31" s="92" t="n">
        <f aca="false">M31-(Q31+R31+S31)</f>
        <v>-1.1998</v>
      </c>
      <c r="U31" s="132" t="n">
        <v>65</v>
      </c>
      <c r="V31" s="132" t="n">
        <v>0</v>
      </c>
      <c r="W31" s="132" t="n">
        <f aca="false">M31-N31-O31-P31-Q31-R31-S31-T31+U31+V31</f>
        <v>65</v>
      </c>
      <c r="X31" s="132" t="n">
        <f aca="false">W31-AO31</f>
        <v>65</v>
      </c>
      <c r="Y31" s="134" t="n">
        <f aca="false">Y30+(X31*1.9835)</f>
        <v>11058.5583592</v>
      </c>
      <c r="Z31" s="134" t="n">
        <f aca="false">Z30+X31*(26300/37500)*1.9835</f>
        <v>7755.73559591894</v>
      </c>
      <c r="AA31" s="104"/>
      <c r="AB31" s="104"/>
      <c r="AC31" s="104"/>
      <c r="AD31" s="104"/>
      <c r="AE31" s="132" t="n">
        <v>0</v>
      </c>
      <c r="AF31" s="231"/>
      <c r="AG31" s="232"/>
      <c r="AH31" s="132" t="n">
        <v>35</v>
      </c>
      <c r="AI31" s="104" t="n">
        <f aca="false">AI30-AH31</f>
        <v>2153</v>
      </c>
      <c r="AJ31" s="202"/>
      <c r="AK31" s="131" t="n">
        <f aca="false">N31+O31+P31+Q31+R31+S31+T31+W31+AE31+AH31</f>
        <v>103.3</v>
      </c>
      <c r="AL31" s="132" t="n">
        <f aca="false">IF(L31&lt;0,L31*-1,0)</f>
        <v>21.7172598941265</v>
      </c>
      <c r="AM31" s="132" t="n">
        <f aca="false">AK31+AL31</f>
        <v>125.017259894127</v>
      </c>
      <c r="AN31" s="203" t="n">
        <f aca="false">AN30+(W31*1.9835)</f>
        <v>11172.916655</v>
      </c>
      <c r="AO31" s="134" t="n">
        <v>0</v>
      </c>
      <c r="AP31" s="132"/>
      <c r="AQ31" s="104"/>
      <c r="AR31" s="104"/>
      <c r="AS31" s="302"/>
      <c r="AV31" s="205" t="n">
        <v>0</v>
      </c>
      <c r="AW31" s="204" t="n">
        <v>38</v>
      </c>
      <c r="AX31" s="134" t="n">
        <v>11</v>
      </c>
      <c r="AY31" s="303"/>
      <c r="AZ31" s="233" t="n">
        <f aca="false">SUM(N31,P31:T31)</f>
        <v>3.3</v>
      </c>
    </row>
    <row r="32" customFormat="false" ht="12.95" hidden="false" customHeight="true" outlineLevel="0" collapsed="false">
      <c r="A32" s="171" t="n">
        <f aca="false">A31+1</f>
        <v>20</v>
      </c>
      <c r="B32" s="103" t="n">
        <v>6898.05</v>
      </c>
      <c r="C32" s="104" t="n">
        <v>276443</v>
      </c>
      <c r="D32" s="134" t="n">
        <f aca="false">C32-C31</f>
        <v>-109</v>
      </c>
      <c r="E32" s="104" t="n">
        <f aca="false">C32-152000</f>
        <v>124443</v>
      </c>
      <c r="F32" s="229" t="n">
        <f aca="false">D32/$D$2</f>
        <v>-54.9533652634232</v>
      </c>
      <c r="G32" s="132" t="n">
        <v>49</v>
      </c>
      <c r="H32" s="301" t="n">
        <v>0.34</v>
      </c>
      <c r="I32" s="132" t="n">
        <f aca="false">G32+H32</f>
        <v>49.34</v>
      </c>
      <c r="J32" s="133" t="n">
        <f aca="false">IF(L32&gt;0,L32,0)</f>
        <v>0</v>
      </c>
      <c r="K32" s="132" t="n">
        <f aca="false">I32+J32</f>
        <v>49.34</v>
      </c>
      <c r="L32" s="132" t="n">
        <f aca="false">F32-(I32-AK32)</f>
        <v>-1.09336526342324</v>
      </c>
      <c r="M32" s="231" t="n">
        <v>3.2</v>
      </c>
      <c r="N32" s="132" t="n">
        <v>0</v>
      </c>
      <c r="O32" s="132" t="n">
        <v>0</v>
      </c>
      <c r="P32" s="199" t="n">
        <v>0</v>
      </c>
      <c r="Q32" s="255" t="n">
        <f aca="false">1.49*1.02</f>
        <v>1.5198</v>
      </c>
      <c r="R32" s="199" t="n">
        <v>2.5</v>
      </c>
      <c r="S32" s="312" t="n">
        <v>0</v>
      </c>
      <c r="T32" s="92" t="n">
        <f aca="false">M32-(Q32+R32+S32)</f>
        <v>-0.8198</v>
      </c>
      <c r="U32" s="132" t="n">
        <v>65</v>
      </c>
      <c r="V32" s="132" t="n">
        <v>0</v>
      </c>
      <c r="W32" s="132" t="n">
        <f aca="false">M32-N32-O32-P32-Q32-R32-S32-T32+U32+V32</f>
        <v>65</v>
      </c>
      <c r="X32" s="132" t="n">
        <f aca="false">W32-AO32</f>
        <v>65</v>
      </c>
      <c r="Y32" s="134" t="n">
        <f aca="false">Y31+(X32*1.9835)</f>
        <v>11187.4858592</v>
      </c>
      <c r="Z32" s="134" t="n">
        <f aca="false">Z31+X32*(26300/37500)*1.9835</f>
        <v>7846.15674925227</v>
      </c>
      <c r="AA32" s="104"/>
      <c r="AB32" s="104"/>
      <c r="AC32" s="104"/>
      <c r="AD32" s="104"/>
      <c r="AE32" s="132" t="n">
        <v>0</v>
      </c>
      <c r="AF32" s="231"/>
      <c r="AG32" s="232"/>
      <c r="AH32" s="132" t="n">
        <v>35</v>
      </c>
      <c r="AI32" s="104" t="n">
        <f aca="false">AI31-AH32</f>
        <v>2118</v>
      </c>
      <c r="AJ32" s="202"/>
      <c r="AK32" s="131" t="n">
        <f aca="false">N32+O32+P32+Q32+R32+S32+T32+W32+AE32+AH32</f>
        <v>103.2</v>
      </c>
      <c r="AL32" s="132" t="n">
        <f aca="false">IF(L32&lt;0,L32*-1,0)</f>
        <v>1.09336526342324</v>
      </c>
      <c r="AM32" s="132" t="n">
        <f aca="false">AK32+AL32</f>
        <v>104.293365263423</v>
      </c>
      <c r="AN32" s="203" t="n">
        <f aca="false">AN31+(W32*1.9835)</f>
        <v>11301.844155</v>
      </c>
      <c r="AO32" s="134" t="n">
        <v>0</v>
      </c>
      <c r="AP32" s="132"/>
      <c r="AQ32" s="104"/>
      <c r="AR32" s="104"/>
      <c r="AS32" s="302"/>
      <c r="AV32" s="205" t="n">
        <v>0</v>
      </c>
      <c r="AW32" s="204" t="n">
        <v>43</v>
      </c>
      <c r="AX32" s="134" t="n">
        <v>10</v>
      </c>
      <c r="AY32" s="303"/>
      <c r="AZ32" s="233" t="n">
        <f aca="false">SUM(N32,P32:T32)</f>
        <v>3.2</v>
      </c>
    </row>
    <row r="33" customFormat="false" ht="12.95" hidden="false" customHeight="true" outlineLevel="0" collapsed="false">
      <c r="A33" s="171" t="n">
        <f aca="false">A32+1</f>
        <v>21</v>
      </c>
      <c r="B33" s="103" t="n">
        <v>6898.02</v>
      </c>
      <c r="C33" s="104" t="n">
        <v>276334</v>
      </c>
      <c r="D33" s="134" t="n">
        <f aca="false">C33-C32</f>
        <v>-109</v>
      </c>
      <c r="E33" s="104" t="n">
        <f aca="false">C33-152000</f>
        <v>124334</v>
      </c>
      <c r="F33" s="229" t="n">
        <f aca="false">D33/$D$2</f>
        <v>-54.9533652634232</v>
      </c>
      <c r="G33" s="132" t="n">
        <v>62</v>
      </c>
      <c r="H33" s="301" t="n">
        <v>0.33</v>
      </c>
      <c r="I33" s="132" t="n">
        <f aca="false">G33+H33</f>
        <v>62.33</v>
      </c>
      <c r="J33" s="133" t="n">
        <f aca="false">IF(L33&gt;0,L33,0)</f>
        <v>0</v>
      </c>
      <c r="K33" s="132" t="n">
        <f aca="false">I33+J33</f>
        <v>62.33</v>
      </c>
      <c r="L33" s="132" t="n">
        <f aca="false">F33-(I33-AK33)</f>
        <v>-14.1833652634232</v>
      </c>
      <c r="M33" s="231" t="n">
        <v>3.1</v>
      </c>
      <c r="N33" s="132" t="n">
        <v>0</v>
      </c>
      <c r="O33" s="132" t="n">
        <v>0</v>
      </c>
      <c r="P33" s="199" t="n">
        <v>0</v>
      </c>
      <c r="Q33" s="255" t="n">
        <f aca="false">1.49*1.02</f>
        <v>1.5198</v>
      </c>
      <c r="R33" s="199" t="n">
        <v>3.25</v>
      </c>
      <c r="S33" s="312" t="n">
        <v>0</v>
      </c>
      <c r="T33" s="92" t="n">
        <f aca="false">M33-(Q33+R33+S33)</f>
        <v>-1.6698</v>
      </c>
      <c r="U33" s="132" t="n">
        <v>65</v>
      </c>
      <c r="V33" s="132" t="n">
        <v>0</v>
      </c>
      <c r="W33" s="132" t="n">
        <f aca="false">M33-N33-O33-P33-Q33-R33-S33-T33+U33+V33</f>
        <v>65</v>
      </c>
      <c r="X33" s="132" t="n">
        <f aca="false">W33-AO33</f>
        <v>65</v>
      </c>
      <c r="Y33" s="134" t="n">
        <f aca="false">Y32+(X33*1.9835)</f>
        <v>11316.4133592</v>
      </c>
      <c r="Z33" s="134" t="n">
        <f aca="false">Z32+X33*(26300/37500)*1.9835</f>
        <v>7936.5779025856</v>
      </c>
      <c r="AA33" s="104"/>
      <c r="AB33" s="104"/>
      <c r="AC33" s="104"/>
      <c r="AD33" s="104"/>
      <c r="AE33" s="132" t="n">
        <v>0</v>
      </c>
      <c r="AF33" s="231"/>
      <c r="AG33" s="232"/>
      <c r="AH33" s="132" t="n">
        <v>35</v>
      </c>
      <c r="AI33" s="104" t="n">
        <f aca="false">AI32-AH33</f>
        <v>2083</v>
      </c>
      <c r="AJ33" s="202"/>
      <c r="AK33" s="131" t="n">
        <f aca="false">N33+O33+P33+Q33+R33+S33+T33+W33+AE33+AH33</f>
        <v>103.1</v>
      </c>
      <c r="AL33" s="132" t="n">
        <f aca="false">IF(L33&lt;0,L33*-1,0)</f>
        <v>14.1833652634232</v>
      </c>
      <c r="AM33" s="132" t="n">
        <f aca="false">AK33+AL33</f>
        <v>117.283365263423</v>
      </c>
      <c r="AN33" s="203" t="n">
        <f aca="false">AN32+(W33*1.9835)</f>
        <v>11430.771655</v>
      </c>
      <c r="AO33" s="134" t="n">
        <v>0</v>
      </c>
      <c r="AP33" s="132"/>
      <c r="AQ33" s="104"/>
      <c r="AR33" s="104"/>
      <c r="AS33" s="302"/>
      <c r="AV33" s="205" t="n">
        <v>0</v>
      </c>
      <c r="AW33" s="134" t="n">
        <v>50</v>
      </c>
      <c r="AX33" s="134" t="n">
        <v>15</v>
      </c>
      <c r="AY33" s="303"/>
      <c r="AZ33" s="233" t="n">
        <f aca="false">SUM(N33,P33:T33)</f>
        <v>3.1</v>
      </c>
    </row>
    <row r="34" customFormat="false" ht="12.95" hidden="false" customHeight="true" outlineLevel="0" collapsed="false">
      <c r="A34" s="171" t="n">
        <f aca="false">A33+1</f>
        <v>22</v>
      </c>
      <c r="B34" s="103" t="n">
        <v>6897.99</v>
      </c>
      <c r="C34" s="104" t="n">
        <v>276225</v>
      </c>
      <c r="D34" s="134" t="n">
        <f aca="false">C34-C33</f>
        <v>-109</v>
      </c>
      <c r="E34" s="104" t="n">
        <f aca="false">C34-152000</f>
        <v>124225</v>
      </c>
      <c r="F34" s="229" t="n">
        <f aca="false">D34/$D$2</f>
        <v>-54.9533652634232</v>
      </c>
      <c r="G34" s="132" t="n">
        <v>65</v>
      </c>
      <c r="H34" s="301" t="n">
        <v>0.46</v>
      </c>
      <c r="I34" s="132" t="n">
        <f aca="false">G34+H34</f>
        <v>65.46</v>
      </c>
      <c r="J34" s="133" t="n">
        <f aca="false">IF(L34&gt;0,L34,0)</f>
        <v>0</v>
      </c>
      <c r="K34" s="132" t="n">
        <f aca="false">I34+J34</f>
        <v>65.46</v>
      </c>
      <c r="L34" s="132" t="n">
        <f aca="false">F34-(I34-AK34)</f>
        <v>-17.2133652634232</v>
      </c>
      <c r="M34" s="231" t="n">
        <v>3.2</v>
      </c>
      <c r="N34" s="132" t="n">
        <v>0</v>
      </c>
      <c r="O34" s="132" t="n">
        <v>0</v>
      </c>
      <c r="P34" s="199" t="n">
        <v>0</v>
      </c>
      <c r="Q34" s="255" t="n">
        <f aca="false">1.49*1.02</f>
        <v>1.5198</v>
      </c>
      <c r="R34" s="199" t="n">
        <v>2.76</v>
      </c>
      <c r="S34" s="312" t="n">
        <v>0</v>
      </c>
      <c r="T34" s="92" t="n">
        <f aca="false">M34-(Q34+R34+S34)</f>
        <v>-1.0798</v>
      </c>
      <c r="U34" s="132" t="n">
        <v>65</v>
      </c>
      <c r="V34" s="132" t="n">
        <v>0</v>
      </c>
      <c r="W34" s="132" t="n">
        <f aca="false">M34-N34-O34-P34-Q34-R34-S34-T34+U34+V34</f>
        <v>65</v>
      </c>
      <c r="X34" s="132" t="n">
        <f aca="false">W34-AO34</f>
        <v>65</v>
      </c>
      <c r="Y34" s="134" t="n">
        <f aca="false">Y33+(X34*1.9835)</f>
        <v>11445.3408592</v>
      </c>
      <c r="Z34" s="134" t="n">
        <f aca="false">Z33+X34*(26300/37500)*1.9835</f>
        <v>8026.99905591894</v>
      </c>
      <c r="AA34" s="104"/>
      <c r="AB34" s="104"/>
      <c r="AC34" s="104"/>
      <c r="AD34" s="104"/>
      <c r="AE34" s="132" t="n">
        <v>0</v>
      </c>
      <c r="AF34" s="231"/>
      <c r="AG34" s="232"/>
      <c r="AH34" s="132" t="n">
        <v>35</v>
      </c>
      <c r="AI34" s="104" t="n">
        <f aca="false">AI33-AH34</f>
        <v>2048</v>
      </c>
      <c r="AJ34" s="202"/>
      <c r="AK34" s="131" t="n">
        <f aca="false">N34+O34+P34+Q34+R34+S34+T34+W34+AE34+AH34</f>
        <v>103.2</v>
      </c>
      <c r="AL34" s="132" t="n">
        <f aca="false">IF(L34&lt;0,L34*-1,0)</f>
        <v>17.2133652634232</v>
      </c>
      <c r="AM34" s="132" t="n">
        <f aca="false">AK34+AL34</f>
        <v>120.413365263423</v>
      </c>
      <c r="AN34" s="203" t="n">
        <f aca="false">AN33+(W34*1.9835)</f>
        <v>11559.699155</v>
      </c>
      <c r="AO34" s="134" t="n">
        <v>0</v>
      </c>
      <c r="AP34" s="132"/>
      <c r="AQ34" s="104"/>
      <c r="AR34" s="104"/>
      <c r="AS34" s="302"/>
      <c r="AV34" s="205" t="n">
        <v>0</v>
      </c>
      <c r="AW34" s="134" t="n">
        <v>53</v>
      </c>
      <c r="AX34" s="134" t="n">
        <v>24</v>
      </c>
      <c r="AY34" s="303"/>
      <c r="AZ34" s="233" t="n">
        <f aca="false">SUM(N34,P34:T34)</f>
        <v>3.2</v>
      </c>
    </row>
    <row r="35" customFormat="false" ht="12.95" hidden="false" customHeight="true" outlineLevel="0" collapsed="false">
      <c r="A35" s="171" t="n">
        <f aca="false">A34+1</f>
        <v>23</v>
      </c>
      <c r="B35" s="103" t="n">
        <v>6897.98</v>
      </c>
      <c r="C35" s="104" t="n">
        <v>276188</v>
      </c>
      <c r="D35" s="134" t="n">
        <f aca="false">C35-C34</f>
        <v>-37</v>
      </c>
      <c r="E35" s="104" t="n">
        <f aca="false">C35-152000</f>
        <v>124188</v>
      </c>
      <c r="F35" s="229" t="n">
        <f aca="false">D35/$D$2</f>
        <v>-18.6538946307033</v>
      </c>
      <c r="G35" s="132" t="n">
        <v>68</v>
      </c>
      <c r="H35" s="301" t="n">
        <v>0.77</v>
      </c>
      <c r="I35" s="132" t="n">
        <f aca="false">G35+H35</f>
        <v>68.77</v>
      </c>
      <c r="J35" s="133" t="n">
        <f aca="false">IF(L35&gt;0,L35,0)</f>
        <v>10.9761053692967</v>
      </c>
      <c r="K35" s="132" t="n">
        <f aca="false">I35+J35</f>
        <v>79.7461053692967</v>
      </c>
      <c r="L35" s="132" t="n">
        <f aca="false">F35-(I35-AK35)</f>
        <v>10.9761053692967</v>
      </c>
      <c r="M35" s="231" t="n">
        <v>3.4</v>
      </c>
      <c r="N35" s="132" t="n">
        <v>0</v>
      </c>
      <c r="O35" s="132" t="n">
        <v>0</v>
      </c>
      <c r="P35" s="199" t="n">
        <v>0</v>
      </c>
      <c r="Q35" s="255" t="n">
        <f aca="false">1.49*1.02</f>
        <v>1.5198</v>
      </c>
      <c r="R35" s="199" t="n">
        <v>2.17</v>
      </c>
      <c r="S35" s="312" t="n">
        <v>0</v>
      </c>
      <c r="T35" s="92" t="n">
        <f aca="false">M35-(Q35+R35+S35)</f>
        <v>-0.2898</v>
      </c>
      <c r="U35" s="132" t="n">
        <v>60</v>
      </c>
      <c r="V35" s="132" t="n">
        <v>0</v>
      </c>
      <c r="W35" s="132" t="n">
        <f aca="false">M35-N35-O35-P35-Q35-R35-S35-T35+U35+V35</f>
        <v>60</v>
      </c>
      <c r="X35" s="132" t="n">
        <f aca="false">W35-AO35</f>
        <v>60</v>
      </c>
      <c r="Y35" s="134" t="n">
        <f aca="false">Y34+(X35*1.9835)</f>
        <v>11564.3508592</v>
      </c>
      <c r="Z35" s="134" t="n">
        <f aca="false">Z34+X35*(26300/37500)*1.9835</f>
        <v>8110.46473591894</v>
      </c>
      <c r="AA35" s="104"/>
      <c r="AB35" s="104"/>
      <c r="AC35" s="104"/>
      <c r="AD35" s="104"/>
      <c r="AE35" s="132" t="n">
        <v>0</v>
      </c>
      <c r="AF35" s="231"/>
      <c r="AG35" s="232"/>
      <c r="AH35" s="132" t="n">
        <v>35</v>
      </c>
      <c r="AI35" s="104" t="n">
        <f aca="false">AI34-AH35</f>
        <v>2013</v>
      </c>
      <c r="AJ35" s="202"/>
      <c r="AK35" s="131" t="n">
        <f aca="false">N35+O35+P35+Q35+R35+S35+T35+W35+AE35+AH35</f>
        <v>98.4</v>
      </c>
      <c r="AL35" s="132" t="n">
        <f aca="false">IF(L35&lt;0,L35*-1,0)</f>
        <v>0</v>
      </c>
      <c r="AM35" s="132" t="n">
        <f aca="false">AK35+AL35</f>
        <v>98.4</v>
      </c>
      <c r="AN35" s="203" t="n">
        <f aca="false">AN34+(W35*1.9835)</f>
        <v>11678.709155</v>
      </c>
      <c r="AO35" s="134" t="n">
        <v>0</v>
      </c>
      <c r="AP35" s="132"/>
      <c r="AQ35" s="104"/>
      <c r="AR35" s="104"/>
      <c r="AS35" s="302"/>
      <c r="AV35" s="205" t="n">
        <v>0</v>
      </c>
      <c r="AW35" s="134" t="n">
        <v>50</v>
      </c>
      <c r="AX35" s="204" t="n">
        <v>32</v>
      </c>
      <c r="AY35" s="303"/>
      <c r="AZ35" s="233" t="n">
        <f aca="false">SUM(N35,P35:T35)</f>
        <v>3.4</v>
      </c>
    </row>
    <row r="36" customFormat="false" ht="12.95" hidden="false" customHeight="true" outlineLevel="0" collapsed="false">
      <c r="A36" s="171" t="n">
        <f aca="false">A35+1</f>
        <v>24</v>
      </c>
      <c r="B36" s="103" t="n">
        <v>6897.99</v>
      </c>
      <c r="C36" s="104" t="n">
        <v>276225</v>
      </c>
      <c r="D36" s="134" t="n">
        <f aca="false">C36-C35</f>
        <v>37</v>
      </c>
      <c r="E36" s="104" t="n">
        <f aca="false">C36-152000</f>
        <v>124225</v>
      </c>
      <c r="F36" s="229" t="n">
        <f aca="false">D36/$D$2</f>
        <v>18.6538946307033</v>
      </c>
      <c r="G36" s="132" t="n">
        <v>72</v>
      </c>
      <c r="H36" s="301" t="n">
        <v>1.4</v>
      </c>
      <c r="I36" s="132" t="n">
        <f aca="false">G36+H36</f>
        <v>73.4</v>
      </c>
      <c r="J36" s="133" t="n">
        <f aca="false">IF(L36&gt;0,L36,0)</f>
        <v>37.6538946307033</v>
      </c>
      <c r="K36" s="132" t="n">
        <f aca="false">I36+J36</f>
        <v>111.053894630703</v>
      </c>
      <c r="L36" s="132" t="n">
        <f aca="false">F36-(I36-AK36)</f>
        <v>37.6538946307033</v>
      </c>
      <c r="M36" s="231" t="n">
        <v>3.4</v>
      </c>
      <c r="N36" s="132" t="n">
        <v>0</v>
      </c>
      <c r="O36" s="132" t="n">
        <v>0</v>
      </c>
      <c r="P36" s="199" t="n">
        <v>0</v>
      </c>
      <c r="Q36" s="255" t="n">
        <f aca="false">1.49*1.02</f>
        <v>1.5198</v>
      </c>
      <c r="R36" s="199" t="n">
        <v>2.89</v>
      </c>
      <c r="S36" s="312" t="n">
        <v>0</v>
      </c>
      <c r="T36" s="92" t="n">
        <f aca="false">M36-(Q36+R36+S36)</f>
        <v>-1.0098</v>
      </c>
      <c r="U36" s="132" t="n">
        <v>54</v>
      </c>
      <c r="V36" s="132" t="n">
        <v>0</v>
      </c>
      <c r="W36" s="132" t="n">
        <f aca="false">M36-N36-O36-P36-Q36-R36-S36-T36+U36+V36</f>
        <v>54</v>
      </c>
      <c r="X36" s="132" t="n">
        <f aca="false">W36-AO36</f>
        <v>54</v>
      </c>
      <c r="Y36" s="134" t="n">
        <f aca="false">Y35+(X36*1.9835)</f>
        <v>11671.4598592</v>
      </c>
      <c r="Z36" s="134" t="n">
        <f aca="false">Z35+X36*(26300/37500)*1.9835</f>
        <v>8185.58384791894</v>
      </c>
      <c r="AA36" s="104"/>
      <c r="AB36" s="104"/>
      <c r="AC36" s="104"/>
      <c r="AD36" s="104"/>
      <c r="AE36" s="132" t="n">
        <v>0</v>
      </c>
      <c r="AF36" s="231"/>
      <c r="AG36" s="232"/>
      <c r="AH36" s="132" t="n">
        <v>35</v>
      </c>
      <c r="AI36" s="104" t="n">
        <f aca="false">AI35-AH36</f>
        <v>1978</v>
      </c>
      <c r="AJ36" s="202"/>
      <c r="AK36" s="131" t="n">
        <f aca="false">N36+O36+P36+Q36+R36+S36+T36+W36+AE36+AH36</f>
        <v>92.4</v>
      </c>
      <c r="AL36" s="132" t="n">
        <f aca="false">IF(L36&lt;0,L36*-1,0)</f>
        <v>0</v>
      </c>
      <c r="AM36" s="132" t="n">
        <f aca="false">AK36+AL36</f>
        <v>92.4</v>
      </c>
      <c r="AN36" s="203" t="n">
        <f aca="false">AN35+(W36*1.9835)</f>
        <v>11785.818155</v>
      </c>
      <c r="AO36" s="134" t="n">
        <v>0</v>
      </c>
      <c r="AP36" s="132"/>
      <c r="AQ36" s="104"/>
      <c r="AR36" s="104"/>
      <c r="AS36" s="302"/>
      <c r="AV36" s="205" t="n">
        <v>0</v>
      </c>
      <c r="AW36" s="134" t="n">
        <v>54</v>
      </c>
      <c r="AX36" s="204" t="n">
        <v>33</v>
      </c>
      <c r="AY36" s="303"/>
      <c r="AZ36" s="233" t="n">
        <f aca="false">SUM(N36,P36:T36)</f>
        <v>3.4</v>
      </c>
    </row>
    <row r="37" customFormat="false" ht="12.95" hidden="false" customHeight="true" outlineLevel="0" collapsed="false">
      <c r="A37" s="171" t="n">
        <f aca="false">A36+1</f>
        <v>25</v>
      </c>
      <c r="B37" s="103" t="n">
        <v>6897.99</v>
      </c>
      <c r="C37" s="104" t="n">
        <v>276225</v>
      </c>
      <c r="D37" s="134" t="n">
        <f aca="false">C37-C36</f>
        <v>0</v>
      </c>
      <c r="E37" s="104" t="n">
        <f aca="false">C37-152000</f>
        <v>124225</v>
      </c>
      <c r="F37" s="229" t="n">
        <f aca="false">D37/$D$2</f>
        <v>0</v>
      </c>
      <c r="G37" s="132" t="n">
        <v>98</v>
      </c>
      <c r="H37" s="301" t="n">
        <v>1.7</v>
      </c>
      <c r="I37" s="132" t="n">
        <f aca="false">G37+H37</f>
        <v>99.7</v>
      </c>
      <c r="J37" s="133" t="n">
        <f aca="false">IF(L37&gt;0,L37,0)</f>
        <v>0</v>
      </c>
      <c r="K37" s="132" t="n">
        <f aca="false">I37+J37</f>
        <v>99.7</v>
      </c>
      <c r="L37" s="132" t="n">
        <f aca="false">F37-(I37-AK37)</f>
        <v>-7.40000000000001</v>
      </c>
      <c r="M37" s="231" t="n">
        <v>3.3</v>
      </c>
      <c r="N37" s="132" t="n">
        <v>0</v>
      </c>
      <c r="O37" s="132" t="n">
        <v>0</v>
      </c>
      <c r="P37" s="199" t="n">
        <v>0</v>
      </c>
      <c r="Q37" s="255" t="n">
        <f aca="false">1.49*1.02</f>
        <v>1.5198</v>
      </c>
      <c r="R37" s="199" t="n">
        <v>3.49</v>
      </c>
      <c r="S37" s="312" t="n">
        <v>0</v>
      </c>
      <c r="T37" s="92" t="n">
        <f aca="false">M37-(Q37+R37+S37)</f>
        <v>-1.7098</v>
      </c>
      <c r="U37" s="132" t="n">
        <v>54</v>
      </c>
      <c r="V37" s="132" t="n">
        <v>0</v>
      </c>
      <c r="W37" s="132" t="n">
        <f aca="false">M37-N37-O37-P37-Q37-R37-S37-T37+U37+V37</f>
        <v>54</v>
      </c>
      <c r="X37" s="132" t="n">
        <f aca="false">W37-AO37</f>
        <v>54</v>
      </c>
      <c r="Y37" s="134" t="n">
        <f aca="false">Y36+(X37*1.9835)</f>
        <v>11778.5688592</v>
      </c>
      <c r="Z37" s="134" t="n">
        <f aca="false">Z36+X37*(26300/37500)*1.9835</f>
        <v>8260.70295991894</v>
      </c>
      <c r="AA37" s="104"/>
      <c r="AB37" s="104"/>
      <c r="AC37" s="104"/>
      <c r="AD37" s="104"/>
      <c r="AE37" s="132" t="n">
        <v>0</v>
      </c>
      <c r="AF37" s="231"/>
      <c r="AG37" s="232"/>
      <c r="AH37" s="132" t="n">
        <v>35</v>
      </c>
      <c r="AI37" s="104" t="n">
        <f aca="false">AI36-AH37</f>
        <v>1943</v>
      </c>
      <c r="AJ37" s="202"/>
      <c r="AK37" s="131" t="n">
        <f aca="false">N37+O37+P37+Q37+R37+S37+T37+W37+AE37+AH37</f>
        <v>92.3</v>
      </c>
      <c r="AL37" s="132" t="n">
        <f aca="false">IF(L37&lt;0,L37*-1,0)</f>
        <v>7.40000000000001</v>
      </c>
      <c r="AM37" s="132" t="n">
        <f aca="false">AK37+AL37</f>
        <v>99.7</v>
      </c>
      <c r="AN37" s="203" t="n">
        <f aca="false">AN36+(W37*1.9835)</f>
        <v>11892.927155</v>
      </c>
      <c r="AO37" s="134" t="n">
        <v>0</v>
      </c>
      <c r="AP37" s="132"/>
      <c r="AQ37" s="104"/>
      <c r="AR37" s="104"/>
      <c r="AS37" s="302"/>
      <c r="AV37" s="205" t="n">
        <v>0</v>
      </c>
      <c r="AW37" s="134" t="n">
        <v>57</v>
      </c>
      <c r="AX37" s="204" t="n">
        <v>31</v>
      </c>
      <c r="AY37" s="303"/>
      <c r="AZ37" s="233" t="n">
        <f aca="false">SUM(N37,P37:T37)</f>
        <v>3.3</v>
      </c>
    </row>
    <row r="38" customFormat="false" ht="12.95" hidden="false" customHeight="true" outlineLevel="0" collapsed="false">
      <c r="A38" s="171" t="n">
        <f aca="false">A37+1</f>
        <v>26</v>
      </c>
      <c r="B38" s="103" t="n">
        <v>6898</v>
      </c>
      <c r="C38" s="104" t="n">
        <v>276261</v>
      </c>
      <c r="D38" s="134" t="n">
        <f aca="false">C38-C37</f>
        <v>36</v>
      </c>
      <c r="E38" s="104" t="n">
        <f aca="false">C38-152000</f>
        <v>124261</v>
      </c>
      <c r="F38" s="229" t="n">
        <f aca="false">D38/$D$2</f>
        <v>18.14973531636</v>
      </c>
      <c r="G38" s="132" t="n">
        <v>105</v>
      </c>
      <c r="H38" s="301" t="n">
        <v>2</v>
      </c>
      <c r="I38" s="132" t="n">
        <f aca="false">G38+H38</f>
        <v>107</v>
      </c>
      <c r="J38" s="133" t="n">
        <f aca="false">IF(L38&gt;0,L38,0)</f>
        <v>3.44973531635997</v>
      </c>
      <c r="K38" s="132" t="n">
        <f aca="false">I38+J38</f>
        <v>110.44973531636</v>
      </c>
      <c r="L38" s="132" t="n">
        <f aca="false">F38-(I38-AK38)</f>
        <v>3.44973531635997</v>
      </c>
      <c r="M38" s="231" t="n">
        <v>3.3</v>
      </c>
      <c r="N38" s="132" t="n">
        <v>0</v>
      </c>
      <c r="O38" s="132" t="n">
        <v>0</v>
      </c>
      <c r="P38" s="199" t="n">
        <v>0</v>
      </c>
      <c r="Q38" s="255" t="n">
        <f aca="false">1.49*1.02</f>
        <v>1.5198</v>
      </c>
      <c r="R38" s="199" t="n">
        <v>3.17</v>
      </c>
      <c r="S38" s="312" t="n">
        <v>0</v>
      </c>
      <c r="T38" s="92" t="n">
        <f aca="false">M38-(Q38+R38+S38)</f>
        <v>-1.3898</v>
      </c>
      <c r="U38" s="132" t="n">
        <v>54</v>
      </c>
      <c r="V38" s="132" t="n">
        <v>0</v>
      </c>
      <c r="W38" s="132" t="n">
        <f aca="false">M38-N38-O38-P38-Q38-R38-S38-T38+U38+V38</f>
        <v>54</v>
      </c>
      <c r="X38" s="132" t="n">
        <f aca="false">W38-AO38</f>
        <v>54</v>
      </c>
      <c r="Y38" s="134" t="n">
        <f aca="false">Y37+(X38*1.9835)</f>
        <v>11885.6778592</v>
      </c>
      <c r="Z38" s="134" t="n">
        <f aca="false">Z37+X38*(26300/37500)*1.9835</f>
        <v>8335.82207191894</v>
      </c>
      <c r="AA38" s="104"/>
      <c r="AB38" s="104"/>
      <c r="AC38" s="104"/>
      <c r="AD38" s="104"/>
      <c r="AE38" s="132" t="n">
        <v>0</v>
      </c>
      <c r="AF38" s="231"/>
      <c r="AG38" s="232"/>
      <c r="AH38" s="132" t="n">
        <v>35</v>
      </c>
      <c r="AI38" s="104" t="n">
        <f aca="false">AI37-AH38</f>
        <v>1908</v>
      </c>
      <c r="AJ38" s="202"/>
      <c r="AK38" s="131" t="n">
        <f aca="false">N38+O38+P38+Q38+R38+S38+T38+W38+AE38+AH38</f>
        <v>92.3</v>
      </c>
      <c r="AL38" s="132" t="n">
        <f aca="false">IF(L38&lt;0,L38*-1,0)</f>
        <v>0</v>
      </c>
      <c r="AM38" s="132" t="n">
        <f aca="false">AK38+AL38</f>
        <v>92.3</v>
      </c>
      <c r="AN38" s="203" t="n">
        <f aca="false">AN37+(W38*1.9835)</f>
        <v>12000.036155</v>
      </c>
      <c r="AO38" s="134" t="n">
        <v>0</v>
      </c>
      <c r="AP38" s="132"/>
      <c r="AQ38" s="104"/>
      <c r="AR38" s="104"/>
      <c r="AS38" s="302"/>
      <c r="AV38" s="205" t="n">
        <v>0</v>
      </c>
      <c r="AW38" s="134" t="n">
        <v>52</v>
      </c>
      <c r="AX38" s="134" t="n">
        <v>24</v>
      </c>
      <c r="AY38" s="303"/>
      <c r="AZ38" s="233" t="n">
        <f aca="false">SUM(N38,P38:T38)</f>
        <v>3.3</v>
      </c>
    </row>
    <row r="39" customFormat="false" ht="12.95" hidden="false" customHeight="true" outlineLevel="0" collapsed="false">
      <c r="A39" s="171" t="n">
        <f aca="false">A38+1</f>
        <v>27</v>
      </c>
      <c r="B39" s="103" t="n">
        <v>6898</v>
      </c>
      <c r="C39" s="104" t="n">
        <v>276261</v>
      </c>
      <c r="D39" s="134" t="n">
        <f aca="false">C39-C38</f>
        <v>0</v>
      </c>
      <c r="E39" s="104" t="n">
        <f aca="false">C39-152000</f>
        <v>124261</v>
      </c>
      <c r="F39" s="229" t="n">
        <f aca="false">D39/$D$2</f>
        <v>0</v>
      </c>
      <c r="G39" s="132" t="n">
        <v>106</v>
      </c>
      <c r="H39" s="301" t="n">
        <v>2</v>
      </c>
      <c r="I39" s="132" t="n">
        <f aca="false">G39+H39</f>
        <v>108</v>
      </c>
      <c r="J39" s="133" t="n">
        <f aca="false">IF(L39&gt;0,L39,0)</f>
        <v>0</v>
      </c>
      <c r="K39" s="132" t="n">
        <f aca="false">I39+J39</f>
        <v>108</v>
      </c>
      <c r="L39" s="132" t="n">
        <f aca="false">F39-(I39-AK39)</f>
        <v>-13.6</v>
      </c>
      <c r="M39" s="231" t="n">
        <v>3.4</v>
      </c>
      <c r="N39" s="132" t="n">
        <v>0</v>
      </c>
      <c r="O39" s="132" t="n">
        <v>0</v>
      </c>
      <c r="P39" s="199" t="n">
        <v>0</v>
      </c>
      <c r="Q39" s="255" t="n">
        <f aca="false">1.49*1.02</f>
        <v>1.5198</v>
      </c>
      <c r="R39" s="199" t="n">
        <v>3.06</v>
      </c>
      <c r="S39" s="312" t="n">
        <v>0</v>
      </c>
      <c r="T39" s="92" t="n">
        <f aca="false">M39-(Q39+R39+S39)</f>
        <v>-1.1798</v>
      </c>
      <c r="U39" s="132" t="n">
        <v>56</v>
      </c>
      <c r="V39" s="132" t="n">
        <v>0</v>
      </c>
      <c r="W39" s="132" t="n">
        <f aca="false">M39-N39-O39-P39-Q39-R39-S39-T39+U39+V39</f>
        <v>56</v>
      </c>
      <c r="X39" s="132" t="n">
        <f aca="false">W39-AO39</f>
        <v>56</v>
      </c>
      <c r="Y39" s="134" t="n">
        <f aca="false">Y38+(X39*1.9835)</f>
        <v>11996.7538592</v>
      </c>
      <c r="Z39" s="134" t="n">
        <f aca="false">Z38+X39*(26300/37500)*1.9835</f>
        <v>8413.72337325227</v>
      </c>
      <c r="AA39" s="104"/>
      <c r="AB39" s="104"/>
      <c r="AC39" s="104"/>
      <c r="AD39" s="104"/>
      <c r="AE39" s="132" t="n">
        <v>0</v>
      </c>
      <c r="AF39" s="231"/>
      <c r="AG39" s="232"/>
      <c r="AH39" s="132" t="n">
        <v>35</v>
      </c>
      <c r="AI39" s="104" t="n">
        <f aca="false">AI38-AH39</f>
        <v>1873</v>
      </c>
      <c r="AJ39" s="202"/>
      <c r="AK39" s="131" t="n">
        <f aca="false">N39+O39+P39+Q39+R39+S39+T39+W39+AE39+AH39</f>
        <v>94.4</v>
      </c>
      <c r="AL39" s="132" t="n">
        <f aca="false">IF(L39&lt;0,L39*-1,0)</f>
        <v>13.6</v>
      </c>
      <c r="AM39" s="132" t="n">
        <f aca="false">AK39+AL39</f>
        <v>108</v>
      </c>
      <c r="AN39" s="203" t="n">
        <f aca="false">AN38+(W39*1.9835)</f>
        <v>12111.112155</v>
      </c>
      <c r="AO39" s="134" t="n">
        <v>0</v>
      </c>
      <c r="AP39" s="132"/>
      <c r="AQ39" s="104"/>
      <c r="AR39" s="104"/>
      <c r="AS39" s="302"/>
      <c r="AV39" s="205" t="n">
        <v>0</v>
      </c>
      <c r="AW39" s="134" t="n">
        <v>45</v>
      </c>
      <c r="AX39" s="134" t="n">
        <v>27</v>
      </c>
      <c r="AY39" s="303"/>
      <c r="AZ39" s="233" t="n">
        <f aca="false">SUM(N39,P39:T39)</f>
        <v>3.4</v>
      </c>
    </row>
    <row r="40" customFormat="false" ht="12.95" hidden="false" customHeight="true" outlineLevel="0" collapsed="false">
      <c r="A40" s="171" t="n">
        <v>28</v>
      </c>
      <c r="B40" s="103" t="n">
        <v>6898</v>
      </c>
      <c r="C40" s="104" t="n">
        <v>276261</v>
      </c>
      <c r="D40" s="134" t="n">
        <f aca="false">C40-C39</f>
        <v>0</v>
      </c>
      <c r="E40" s="104" t="n">
        <f aca="false">C40-152000</f>
        <v>124261</v>
      </c>
      <c r="F40" s="229" t="n">
        <f aca="false">D40/$D$2</f>
        <v>0</v>
      </c>
      <c r="G40" s="132" t="n">
        <v>106</v>
      </c>
      <c r="H40" s="301" t="n">
        <v>2.2</v>
      </c>
      <c r="I40" s="132" t="n">
        <f aca="false">G40+H40</f>
        <v>108.2</v>
      </c>
      <c r="J40" s="133" t="n">
        <f aca="false">IF(L40&gt;0,L40,0)</f>
        <v>0</v>
      </c>
      <c r="K40" s="132" t="n">
        <f aca="false">I40+J40</f>
        <v>108.2</v>
      </c>
      <c r="L40" s="132" t="n">
        <f aca="false">F40-(I40-AK40)</f>
        <v>-12.8</v>
      </c>
      <c r="M40" s="231" t="n">
        <v>3.4</v>
      </c>
      <c r="N40" s="132" t="n">
        <v>0</v>
      </c>
      <c r="O40" s="132" t="n">
        <v>0</v>
      </c>
      <c r="P40" s="199" t="n">
        <v>0</v>
      </c>
      <c r="Q40" s="255" t="n">
        <f aca="false">1.49*1.02</f>
        <v>1.5198</v>
      </c>
      <c r="R40" s="199" t="n">
        <v>2.51</v>
      </c>
      <c r="S40" s="312" t="n">
        <v>0</v>
      </c>
      <c r="T40" s="92" t="n">
        <f aca="false">M40-(Q40+R40+S40)</f>
        <v>-0.6298</v>
      </c>
      <c r="U40" s="132" t="n">
        <v>56</v>
      </c>
      <c r="V40" s="132" t="n">
        <v>0</v>
      </c>
      <c r="W40" s="132" t="n">
        <f aca="false">M40-N40-O40-P40-Q40-R40-S40-T40+U40+V40</f>
        <v>56</v>
      </c>
      <c r="X40" s="132" t="n">
        <f aca="false">W40-AO40</f>
        <v>56</v>
      </c>
      <c r="Y40" s="134" t="n">
        <f aca="false">Y39+(X40*1.9835)</f>
        <v>12107.8298592</v>
      </c>
      <c r="Z40" s="134" t="n">
        <f aca="false">Z39+X40*(26300/37500)*1.9835</f>
        <v>8491.62467458561</v>
      </c>
      <c r="AA40" s="104"/>
      <c r="AB40" s="104"/>
      <c r="AC40" s="104"/>
      <c r="AD40" s="104"/>
      <c r="AE40" s="132" t="n">
        <v>0</v>
      </c>
      <c r="AF40" s="231"/>
      <c r="AG40" s="232"/>
      <c r="AH40" s="132" t="n">
        <v>36</v>
      </c>
      <c r="AI40" s="104" t="n">
        <f aca="false">AI39-AH40</f>
        <v>1837</v>
      </c>
      <c r="AJ40" s="202"/>
      <c r="AK40" s="131" t="n">
        <f aca="false">N40+O40+P40+Q40+R40+S40+T40+W40+AE40+AH40</f>
        <v>95.4</v>
      </c>
      <c r="AL40" s="132" t="n">
        <f aca="false">IF(L40&lt;0,L40*-1,0)</f>
        <v>12.8</v>
      </c>
      <c r="AM40" s="132" t="n">
        <f aca="false">AK40+AL40</f>
        <v>108.2</v>
      </c>
      <c r="AN40" s="203" t="n">
        <f aca="false">AN39+(W40*1.9835)</f>
        <v>12222.188155</v>
      </c>
      <c r="AO40" s="134" t="n">
        <v>0</v>
      </c>
      <c r="AP40" s="132"/>
      <c r="AQ40" s="104"/>
      <c r="AR40" s="104"/>
      <c r="AS40" s="302"/>
      <c r="AV40" s="205" t="n">
        <v>0</v>
      </c>
      <c r="AW40" s="134" t="n">
        <v>51</v>
      </c>
      <c r="AX40" s="134" t="n">
        <v>24</v>
      </c>
      <c r="AY40" s="303"/>
      <c r="AZ40" s="233" t="n">
        <f aca="false">SUM(N40,P40:T40)</f>
        <v>3.4</v>
      </c>
    </row>
    <row r="41" customFormat="false" ht="3" hidden="false" customHeight="true" outlineLevel="0" collapsed="false">
      <c r="A41" s="314"/>
      <c r="B41" s="235"/>
      <c r="C41" s="216"/>
      <c r="D41" s="216"/>
      <c r="E41" s="216"/>
      <c r="F41" s="240"/>
      <c r="G41" s="216"/>
      <c r="H41" s="223"/>
      <c r="I41" s="216"/>
      <c r="J41" s="216"/>
      <c r="K41" s="216"/>
      <c r="L41" s="216"/>
      <c r="M41" s="241"/>
      <c r="N41" s="216"/>
      <c r="O41" s="216"/>
      <c r="P41" s="221"/>
      <c r="Q41" s="216"/>
      <c r="R41" s="216"/>
      <c r="S41" s="223"/>
      <c r="T41" s="222"/>
      <c r="U41" s="216"/>
      <c r="V41" s="216"/>
      <c r="W41" s="216"/>
      <c r="X41" s="216"/>
      <c r="Y41" s="216"/>
      <c r="Z41" s="223"/>
      <c r="AA41" s="216"/>
      <c r="AB41" s="216"/>
      <c r="AC41" s="216"/>
      <c r="AD41" s="216"/>
      <c r="AE41" s="216"/>
      <c r="AF41" s="241"/>
      <c r="AG41" s="242"/>
      <c r="AH41" s="216"/>
      <c r="AI41" s="217"/>
      <c r="AJ41" s="252"/>
      <c r="AK41" s="216"/>
      <c r="AL41" s="216"/>
      <c r="AM41" s="216"/>
      <c r="AN41" s="226"/>
      <c r="AO41" s="223"/>
      <c r="AP41" s="216"/>
      <c r="AQ41" s="216"/>
      <c r="AR41" s="216"/>
      <c r="AS41" s="223"/>
      <c r="AT41" s="309"/>
      <c r="AU41" s="309"/>
      <c r="AV41" s="243"/>
      <c r="AW41" s="216"/>
      <c r="AX41" s="216"/>
      <c r="AY41" s="310"/>
      <c r="AZ41" s="311"/>
    </row>
    <row r="42" customFormat="false" ht="12.95" hidden="false" customHeight="true" outlineLevel="0" collapsed="false">
      <c r="A42" s="176" t="s">
        <v>91</v>
      </c>
      <c r="B42" s="203"/>
      <c r="C42" s="134"/>
      <c r="D42" s="134"/>
      <c r="E42" s="134"/>
      <c r="F42" s="206" t="n">
        <f aca="false">SUM(F13:F40)</f>
        <v>-771.867910259642</v>
      </c>
      <c r="G42" s="134" t="n">
        <f aca="false">SUM(G13:G40)</f>
        <v>1731</v>
      </c>
      <c r="H42" s="134" t="n">
        <f aca="false">SUM(H13:H40)</f>
        <v>22.47</v>
      </c>
      <c r="I42" s="134" t="n">
        <f aca="false">SUM(I13:I40)</f>
        <v>1753.47</v>
      </c>
      <c r="J42" s="134" t="n">
        <f aca="false">SUM(J13:J40)</f>
        <v>293.380960423494</v>
      </c>
      <c r="K42" s="134" t="n">
        <f aca="false">SUM(K13:K40)</f>
        <v>2046.85096042349</v>
      </c>
      <c r="L42" s="134" t="n">
        <f aca="false">SUM(L13:L40)</f>
        <v>160.562089740358</v>
      </c>
      <c r="M42" s="315" t="n">
        <f aca="false">SUM(M13:M40)</f>
        <v>97.9</v>
      </c>
      <c r="N42" s="134" t="n">
        <f aca="false">SUM(N13:N40)</f>
        <v>0</v>
      </c>
      <c r="O42" s="134" t="n">
        <f aca="false">SUM(O13:O40)</f>
        <v>0</v>
      </c>
      <c r="P42" s="134" t="n">
        <f aca="false">SUM(P13:P40)</f>
        <v>0</v>
      </c>
      <c r="Q42" s="134" t="n">
        <f aca="false">SUM(Q13:Q40)</f>
        <v>42.5544</v>
      </c>
      <c r="R42" s="134" t="n">
        <f aca="false">SUM(R13:R40)</f>
        <v>75.9</v>
      </c>
      <c r="S42" s="134" t="n">
        <f aca="false">SUM(S13:S40)</f>
        <v>0</v>
      </c>
      <c r="T42" s="316" t="n">
        <f aca="false">SUM(T13:T40)</f>
        <v>-20.5544</v>
      </c>
      <c r="U42" s="134" t="n">
        <f aca="false">SUM(U13:U40)</f>
        <v>1610</v>
      </c>
      <c r="V42" s="134" t="n">
        <f aca="false">SUM(V13:V40)</f>
        <v>0</v>
      </c>
      <c r="W42" s="134" t="n">
        <f aca="false">SUM(W13:W40)</f>
        <v>1610</v>
      </c>
      <c r="X42" s="134" t="n">
        <f aca="false">SUM(X13:X40)</f>
        <v>1610</v>
      </c>
      <c r="Y42" s="134"/>
      <c r="Z42" s="134"/>
      <c r="AA42" s="134"/>
      <c r="AB42" s="134"/>
      <c r="AC42" s="134"/>
      <c r="AD42" s="134"/>
      <c r="AE42" s="134"/>
      <c r="AF42" s="231"/>
      <c r="AG42" s="232"/>
      <c r="AH42" s="134" t="n">
        <f aca="false">SUM(AH13:AH40)</f>
        <v>978</v>
      </c>
      <c r="AI42" s="134"/>
      <c r="AJ42" s="134" t="n">
        <f aca="false">SUM(AJ13:AJ40)</f>
        <v>0</v>
      </c>
      <c r="AK42" s="134" t="n">
        <f aca="false">SUM(AK13:AK40)</f>
        <v>2685.9</v>
      </c>
      <c r="AL42" s="134" t="n">
        <f aca="false">SUM(AL13:AL40)</f>
        <v>132.818870683136</v>
      </c>
      <c r="AM42" s="134" t="n">
        <f aca="false">SUM(AM13:AM40)</f>
        <v>2818.71887068314</v>
      </c>
      <c r="AN42" s="317"/>
      <c r="AO42" s="134" t="n">
        <f aca="false">SUM(AO13:AO40)</f>
        <v>0</v>
      </c>
      <c r="AP42" s="132"/>
      <c r="AQ42" s="132"/>
      <c r="AR42" s="132"/>
      <c r="AS42" s="302"/>
      <c r="AV42" s="205" t="n">
        <f aca="false">SUM(AV13:AV40)</f>
        <v>0.49</v>
      </c>
      <c r="AW42" s="134" t="n">
        <f aca="false">AVERAGE(AW13:AW40)</f>
        <v>45.2142857142857</v>
      </c>
      <c r="AX42" s="134" t="n">
        <f aca="false">AVERAGE(AX13:AX40)</f>
        <v>19</v>
      </c>
      <c r="AY42" s="318" t="s">
        <v>107</v>
      </c>
      <c r="AZ42" s="319" t="n">
        <f aca="false">SUM(AZ13:AZ40)</f>
        <v>97.9</v>
      </c>
    </row>
    <row r="43" customFormat="false" ht="12.95" hidden="false" customHeight="true" outlineLevel="0" collapsed="false">
      <c r="A43" s="176" t="s">
        <v>93</v>
      </c>
      <c r="B43" s="203"/>
      <c r="C43" s="134"/>
      <c r="D43" s="134" t="n">
        <f aca="false">SUM(D13:D40)</f>
        <v>-1531</v>
      </c>
      <c r="E43" s="134"/>
      <c r="F43" s="206" t="n">
        <f aca="false">F42*$D$2</f>
        <v>-1531</v>
      </c>
      <c r="G43" s="134" t="n">
        <f aca="false">G42*$D$2</f>
        <v>3433.4385</v>
      </c>
      <c r="H43" s="134" t="n">
        <f aca="false">H42*$D$2</f>
        <v>44.569245</v>
      </c>
      <c r="I43" s="134" t="n">
        <f aca="false">I42*$D$2</f>
        <v>3478.007745</v>
      </c>
      <c r="J43" s="134" t="n">
        <f aca="false">J42*$D$2</f>
        <v>581.921135</v>
      </c>
      <c r="K43" s="134" t="n">
        <f aca="false">K42*$D$2</f>
        <v>4059.92888</v>
      </c>
      <c r="L43" s="134" t="n">
        <f aca="false">L42*$D$2</f>
        <v>318.474905</v>
      </c>
      <c r="M43" s="320" t="n">
        <f aca="false">M42*$D$2</f>
        <v>194.18465</v>
      </c>
      <c r="N43" s="134" t="n">
        <f aca="false">N42*$D$2</f>
        <v>0</v>
      </c>
      <c r="O43" s="134" t="n">
        <f aca="false">O42*$D$2</f>
        <v>0</v>
      </c>
      <c r="P43" s="199"/>
      <c r="Q43" s="134" t="n">
        <f aca="false">Q42*$D$2</f>
        <v>84.4066524</v>
      </c>
      <c r="R43" s="134" t="n">
        <f aca="false">R42*$D$2</f>
        <v>150.54765</v>
      </c>
      <c r="S43" s="134" t="n">
        <f aca="false">S42*$D$2</f>
        <v>0</v>
      </c>
      <c r="T43" s="321" t="n">
        <f aca="false">T42*$D$2</f>
        <v>-40.7696524</v>
      </c>
      <c r="U43" s="134" t="n">
        <f aca="false">U42*$D$2</f>
        <v>3193.435</v>
      </c>
      <c r="V43" s="134" t="n">
        <f aca="false">V42*$D$2</f>
        <v>0</v>
      </c>
      <c r="W43" s="134" t="n">
        <f aca="false">W42*$D$2</f>
        <v>3193.435</v>
      </c>
      <c r="X43" s="134" t="n">
        <f aca="false">X42*$D$2</f>
        <v>3193.435</v>
      </c>
      <c r="Y43" s="134"/>
      <c r="Z43" s="134"/>
      <c r="AA43" s="134"/>
      <c r="AB43" s="134"/>
      <c r="AC43" s="134"/>
      <c r="AD43" s="134"/>
      <c r="AE43" s="134"/>
      <c r="AF43" s="231"/>
      <c r="AG43" s="232"/>
      <c r="AH43" s="134" t="n">
        <f aca="false">AH42*$D$2</f>
        <v>1939.863</v>
      </c>
      <c r="AI43" s="134"/>
      <c r="AJ43" s="134" t="n">
        <f aca="false">AJ42*$D$2</f>
        <v>0</v>
      </c>
      <c r="AK43" s="134" t="n">
        <f aca="false">AK42*$D$2</f>
        <v>5327.48265</v>
      </c>
      <c r="AL43" s="134" t="n">
        <f aca="false">AL42*$D$2</f>
        <v>263.44623</v>
      </c>
      <c r="AM43" s="134" t="n">
        <f aca="false">AM42*$D$2</f>
        <v>5590.92888</v>
      </c>
      <c r="AN43" s="322"/>
      <c r="AO43" s="134" t="n">
        <f aca="false">AO42*$D$2</f>
        <v>0</v>
      </c>
      <c r="AP43" s="132"/>
      <c r="AQ43" s="132"/>
      <c r="AR43" s="132"/>
      <c r="AS43" s="302"/>
      <c r="AV43" s="205"/>
      <c r="AW43" s="134" t="n">
        <f aca="false">MAX(AW13:AW40)</f>
        <v>57</v>
      </c>
      <c r="AX43" s="134" t="n">
        <f aca="false">MAX(AX13:AX40)</f>
        <v>33</v>
      </c>
      <c r="AY43" s="206" t="s">
        <v>94</v>
      </c>
      <c r="AZ43" s="319" t="n">
        <f aca="false">AZ42*$D$2</f>
        <v>194.18465</v>
      </c>
    </row>
    <row r="44" customFormat="false" ht="3" hidden="false" customHeight="true" outlineLevel="0" collapsed="false">
      <c r="A44" s="314"/>
      <c r="B44" s="235"/>
      <c r="C44" s="216"/>
      <c r="D44" s="216"/>
      <c r="E44" s="216"/>
      <c r="F44" s="240"/>
      <c r="G44" s="216"/>
      <c r="H44" s="223"/>
      <c r="I44" s="216"/>
      <c r="J44" s="216"/>
      <c r="K44" s="216"/>
      <c r="L44" s="216"/>
      <c r="M44" s="241"/>
      <c r="N44" s="216"/>
      <c r="O44" s="216"/>
      <c r="P44" s="221"/>
      <c r="Q44" s="216"/>
      <c r="R44" s="216"/>
      <c r="S44" s="223"/>
      <c r="T44" s="222"/>
      <c r="U44" s="216"/>
      <c r="V44" s="216"/>
      <c r="W44" s="216"/>
      <c r="X44" s="216"/>
      <c r="Y44" s="216"/>
      <c r="Z44" s="223"/>
      <c r="AA44" s="216"/>
      <c r="AB44" s="216"/>
      <c r="AC44" s="216"/>
      <c r="AD44" s="216"/>
      <c r="AE44" s="216"/>
      <c r="AF44" s="241"/>
      <c r="AG44" s="242"/>
      <c r="AH44" s="216"/>
      <c r="AI44" s="217"/>
      <c r="AJ44" s="216"/>
      <c r="AK44" s="216"/>
      <c r="AL44" s="216"/>
      <c r="AM44" s="216"/>
      <c r="AN44" s="243"/>
      <c r="AO44" s="223"/>
      <c r="AP44" s="216"/>
      <c r="AQ44" s="216"/>
      <c r="AR44" s="216"/>
      <c r="AS44" s="223"/>
      <c r="AT44" s="309"/>
      <c r="AU44" s="309"/>
      <c r="AV44" s="243"/>
      <c r="AW44" s="216"/>
      <c r="AX44" s="216"/>
      <c r="AY44" s="237"/>
      <c r="AZ44" s="323"/>
    </row>
    <row r="45" customFormat="false" ht="12.95" hidden="false" customHeight="true" outlineLevel="0" collapsed="false">
      <c r="A45" s="176" t="s">
        <v>95</v>
      </c>
      <c r="B45" s="203"/>
      <c r="C45" s="134"/>
      <c r="D45" s="134"/>
      <c r="E45" s="134"/>
      <c r="F45" s="206"/>
      <c r="G45" s="134"/>
      <c r="H45" s="134"/>
      <c r="I45" s="134"/>
      <c r="J45" s="134"/>
      <c r="K45" s="134"/>
      <c r="L45" s="134"/>
      <c r="M45" s="320"/>
      <c r="N45" s="134"/>
      <c r="O45" s="134"/>
      <c r="P45" s="199"/>
      <c r="Q45" s="134"/>
      <c r="R45" s="134"/>
      <c r="S45" s="134"/>
      <c r="T45" s="200"/>
      <c r="U45" s="134"/>
      <c r="V45" s="134"/>
      <c r="W45" s="134"/>
      <c r="X45" s="134"/>
      <c r="Y45" s="134"/>
      <c r="Z45" s="134"/>
      <c r="AA45" s="134"/>
      <c r="AB45" s="134"/>
      <c r="AC45" s="134"/>
      <c r="AD45" s="134"/>
      <c r="AE45" s="134"/>
      <c r="AF45" s="231"/>
      <c r="AG45" s="232"/>
      <c r="AH45" s="134"/>
      <c r="AI45" s="134"/>
      <c r="AJ45" s="134"/>
      <c r="AK45" s="134"/>
      <c r="AL45" s="134"/>
      <c r="AM45" s="134"/>
      <c r="AN45" s="322"/>
      <c r="AO45" s="134"/>
      <c r="AP45" s="134"/>
      <c r="AQ45" s="134"/>
      <c r="AR45" s="134"/>
      <c r="AS45" s="324"/>
      <c r="AV45" s="203"/>
      <c r="AW45" s="134" t="n">
        <f aca="false">MIN(AW13:AW40)</f>
        <v>32</v>
      </c>
      <c r="AX45" s="134" t="n">
        <f aca="false">MIN(AX13:AX40)</f>
        <v>7</v>
      </c>
      <c r="AY45" s="206" t="s">
        <v>96</v>
      </c>
      <c r="AZ45" s="319"/>
    </row>
    <row r="46" customFormat="false" ht="12.95" hidden="false" customHeight="true" outlineLevel="0" collapsed="false">
      <c r="A46" s="176" t="s">
        <v>97</v>
      </c>
      <c r="B46" s="203"/>
      <c r="C46" s="134"/>
      <c r="D46" s="134"/>
      <c r="E46" s="134"/>
      <c r="F46" s="206"/>
      <c r="G46" s="134"/>
      <c r="H46" s="134"/>
      <c r="I46" s="134"/>
      <c r="J46" s="134"/>
      <c r="K46" s="134"/>
      <c r="L46" s="134"/>
      <c r="M46" s="320"/>
      <c r="N46" s="134"/>
      <c r="O46" s="134"/>
      <c r="P46" s="199"/>
      <c r="Q46" s="134"/>
      <c r="R46" s="134"/>
      <c r="S46" s="134"/>
      <c r="T46" s="200"/>
      <c r="U46" s="134"/>
      <c r="V46" s="134"/>
      <c r="W46" s="134"/>
      <c r="X46" s="134"/>
      <c r="Y46" s="134"/>
      <c r="Z46" s="134"/>
      <c r="AA46" s="134"/>
      <c r="AB46" s="134"/>
      <c r="AC46" s="134"/>
      <c r="AD46" s="134"/>
      <c r="AE46" s="134"/>
      <c r="AF46" s="231"/>
      <c r="AG46" s="232"/>
      <c r="AH46" s="134"/>
      <c r="AI46" s="134"/>
      <c r="AJ46" s="134"/>
      <c r="AK46" s="134"/>
      <c r="AL46" s="134"/>
      <c r="AM46" s="134"/>
      <c r="AN46" s="203"/>
      <c r="AO46" s="134"/>
      <c r="AP46" s="134"/>
      <c r="AQ46" s="134"/>
      <c r="AR46" s="134"/>
      <c r="AS46" s="324"/>
      <c r="AV46" s="203"/>
      <c r="AW46" s="134"/>
      <c r="AX46" s="134"/>
      <c r="AY46" s="303"/>
      <c r="AZ46" s="319"/>
    </row>
    <row r="47" customFormat="false" ht="3" hidden="false" customHeight="true" outlineLevel="0" collapsed="false">
      <c r="A47" s="314"/>
      <c r="B47" s="226"/>
      <c r="C47" s="223"/>
      <c r="D47" s="223"/>
      <c r="E47" s="223"/>
      <c r="F47" s="237"/>
      <c r="G47" s="223"/>
      <c r="H47" s="223"/>
      <c r="I47" s="223"/>
      <c r="J47" s="223"/>
      <c r="K47" s="223"/>
      <c r="L47" s="223"/>
      <c r="M47" s="325"/>
      <c r="N47" s="223"/>
      <c r="O47" s="223"/>
      <c r="P47" s="221"/>
      <c r="Q47" s="223"/>
      <c r="R47" s="223"/>
      <c r="S47" s="223"/>
      <c r="T47" s="222"/>
      <c r="U47" s="223"/>
      <c r="V47" s="223"/>
      <c r="W47" s="223"/>
      <c r="X47" s="223"/>
      <c r="Y47" s="223"/>
      <c r="Z47" s="223"/>
      <c r="AA47" s="223"/>
      <c r="AB47" s="223"/>
      <c r="AC47" s="223"/>
      <c r="AD47" s="223"/>
      <c r="AE47" s="223"/>
      <c r="AF47" s="325"/>
      <c r="AG47" s="326"/>
      <c r="AH47" s="223"/>
      <c r="AI47" s="223"/>
      <c r="AJ47" s="223"/>
      <c r="AK47" s="223"/>
      <c r="AL47" s="223"/>
      <c r="AM47" s="223"/>
      <c r="AN47" s="226"/>
      <c r="AO47" s="223"/>
      <c r="AP47" s="223"/>
      <c r="AQ47" s="223"/>
      <c r="AR47" s="223"/>
      <c r="AS47" s="223"/>
      <c r="AT47" s="309"/>
      <c r="AU47" s="309"/>
      <c r="AV47" s="226"/>
      <c r="AW47" s="223"/>
      <c r="AX47" s="223"/>
      <c r="AY47" s="310"/>
      <c r="AZ47" s="238"/>
    </row>
    <row r="48" customFormat="false" ht="12.95" hidden="false" customHeight="true" outlineLevel="0" collapsed="false">
      <c r="A48" s="176" t="s">
        <v>98</v>
      </c>
      <c r="B48" s="203"/>
      <c r="C48" s="134"/>
      <c r="D48" s="134"/>
      <c r="E48" s="134"/>
      <c r="F48" s="206" t="n">
        <f aca="false">F11+F42</f>
        <v>-4305.52054449206</v>
      </c>
      <c r="G48" s="134" t="n">
        <f aca="false">G11+G42</f>
        <v>5711</v>
      </c>
      <c r="H48" s="134" t="n">
        <f aca="false">H11+H42</f>
        <v>73.13</v>
      </c>
      <c r="I48" s="134" t="n">
        <f aca="false">I11+I42</f>
        <v>5784.13</v>
      </c>
      <c r="J48" s="134" t="n">
        <f aca="false">J11+J42</f>
        <v>1911.48364507184</v>
      </c>
      <c r="K48" s="134" t="n">
        <f aca="false">K11+K42</f>
        <v>7695.61364507183</v>
      </c>
      <c r="L48" s="134" t="n">
        <f aca="false">L11+L42</f>
        <v>1128.54945550794</v>
      </c>
      <c r="M48" s="320" t="n">
        <f aca="false">M11+M42</f>
        <v>607.9</v>
      </c>
      <c r="N48" s="134" t="n">
        <f aca="false">N11+N42</f>
        <v>0</v>
      </c>
      <c r="O48" s="134" t="n">
        <f aca="false">O11+O42</f>
        <v>0</v>
      </c>
      <c r="P48" s="199"/>
      <c r="Q48" s="134" t="n">
        <f aca="false">Q11+Q42</f>
        <v>187.3434</v>
      </c>
      <c r="R48" s="134" t="n">
        <f aca="false">R11+R42</f>
        <v>297.78</v>
      </c>
      <c r="S48" s="134" t="n">
        <f aca="false">S11+S42</f>
        <v>0</v>
      </c>
      <c r="T48" s="321" t="n">
        <f aca="false">T11+T42</f>
        <v>-65.4674</v>
      </c>
      <c r="U48" s="134" t="n">
        <f aca="false">U11+U42</f>
        <v>6293</v>
      </c>
      <c r="V48" s="134" t="n">
        <f aca="false">V11+V42</f>
        <v>76.3</v>
      </c>
      <c r="W48" s="134" t="n">
        <f aca="false">W11+W42</f>
        <v>6557.544</v>
      </c>
      <c r="X48" s="134" t="n">
        <f aca="false">X11+X42</f>
        <v>6104.2752</v>
      </c>
      <c r="Y48" s="134"/>
      <c r="Z48" s="134"/>
      <c r="AA48" s="134"/>
      <c r="AB48" s="134"/>
      <c r="AC48" s="134"/>
      <c r="AD48" s="134"/>
      <c r="AE48" s="134"/>
      <c r="AF48" s="231"/>
      <c r="AG48" s="232"/>
      <c r="AH48" s="134" t="n">
        <f aca="false">AH11+AH42</f>
        <v>4241</v>
      </c>
      <c r="AI48" s="134" t="n">
        <f aca="false">AI40</f>
        <v>1837</v>
      </c>
      <c r="AJ48" s="134" t="n">
        <f aca="false">AJ11+AJ42</f>
        <v>0</v>
      </c>
      <c r="AK48" s="134" t="n">
        <f aca="false">AK11+AK42</f>
        <v>11218.2</v>
      </c>
      <c r="AL48" s="134" t="n">
        <f aca="false">AL11+AL42</f>
        <v>782.934189563902</v>
      </c>
      <c r="AM48" s="134" t="n">
        <f aca="false">AM11+AM42</f>
        <v>12001.1341895639</v>
      </c>
      <c r="AN48" s="203"/>
      <c r="AO48" s="134" t="n">
        <f aca="false">AO11+AO42</f>
        <v>453.2688</v>
      </c>
      <c r="AP48" s="134"/>
      <c r="AQ48" s="134"/>
      <c r="AR48" s="134"/>
      <c r="AS48" s="324"/>
      <c r="AV48" s="327" t="n">
        <f aca="false">AV11+AV42</f>
        <v>3.76</v>
      </c>
      <c r="AW48" s="134"/>
      <c r="AX48" s="134"/>
      <c r="AY48" s="303"/>
      <c r="AZ48" s="319" t="n">
        <f aca="false">AZ11+AZ42</f>
        <v>419.656</v>
      </c>
    </row>
    <row r="49" customFormat="false" ht="12.95" hidden="false" customHeight="true" outlineLevel="0" collapsed="false">
      <c r="A49" s="176" t="s">
        <v>99</v>
      </c>
      <c r="B49" s="203"/>
      <c r="C49" s="134"/>
      <c r="D49" s="134" t="n">
        <f aca="false">D11+D43</f>
        <v>-8540</v>
      </c>
      <c r="E49" s="104" t="n">
        <f aca="false">E40</f>
        <v>124261</v>
      </c>
      <c r="F49" s="206" t="n">
        <f aca="false">F48*$D$2</f>
        <v>-8540</v>
      </c>
      <c r="G49" s="134" t="n">
        <f aca="false">G48*$D$2</f>
        <v>11327.7685</v>
      </c>
      <c r="H49" s="134" t="n">
        <f aca="false">H48*$D$2</f>
        <v>145.053355</v>
      </c>
      <c r="I49" s="134" t="n">
        <f aca="false">I48*$D$2</f>
        <v>11472.821855</v>
      </c>
      <c r="J49" s="134" t="n">
        <f aca="false">J48*$D$2</f>
        <v>3791.42781</v>
      </c>
      <c r="K49" s="134" t="n">
        <f aca="false">K48*$D$2</f>
        <v>15264.249665</v>
      </c>
      <c r="L49" s="134" t="n">
        <f aca="false">L48*$D$2</f>
        <v>2238.477845</v>
      </c>
      <c r="M49" s="320" t="n">
        <f aca="false">M48*$D$2</f>
        <v>1205.76965</v>
      </c>
      <c r="N49" s="134" t="n">
        <f aca="false">N48*$D$2</f>
        <v>0</v>
      </c>
      <c r="O49" s="134" t="n">
        <f aca="false">O48*$D$2</f>
        <v>0</v>
      </c>
      <c r="P49" s="199"/>
      <c r="Q49" s="134" t="n">
        <f aca="false">Q48*$D$2</f>
        <v>371.5956339</v>
      </c>
      <c r="R49" s="134" t="n">
        <f aca="false">R48*$D$2</f>
        <v>590.64663</v>
      </c>
      <c r="S49" s="134" t="n">
        <f aca="false">S48*$D$2</f>
        <v>0</v>
      </c>
      <c r="T49" s="321" t="n">
        <f aca="false">T48*$D$2</f>
        <v>-129.8545879</v>
      </c>
      <c r="U49" s="134" t="n">
        <f aca="false">U48*$D$2</f>
        <v>12482.1655</v>
      </c>
      <c r="V49" s="134" t="n">
        <f aca="false">V48*$D$2</f>
        <v>151.34105</v>
      </c>
      <c r="W49" s="134" t="n">
        <f aca="false">W48*$D$2</f>
        <v>13006.888524</v>
      </c>
      <c r="X49" s="134" t="n">
        <f aca="false">X48*$D$2</f>
        <v>12107.8298592</v>
      </c>
      <c r="Y49" s="134"/>
      <c r="Z49" s="134"/>
      <c r="AA49" s="134"/>
      <c r="AB49" s="134"/>
      <c r="AC49" s="134"/>
      <c r="AD49" s="134"/>
      <c r="AE49" s="134"/>
      <c r="AF49" s="231"/>
      <c r="AG49" s="232"/>
      <c r="AH49" s="134" t="n">
        <f aca="false">AH48*$D$2</f>
        <v>8412.0235</v>
      </c>
      <c r="AI49" s="134" t="n">
        <f aca="false">AI48*$D$2</f>
        <v>3643.6895</v>
      </c>
      <c r="AJ49" s="134" t="n">
        <f aca="false">AJ48*$D$2</f>
        <v>0</v>
      </c>
      <c r="AK49" s="134" t="n">
        <f aca="false">AK48*$D$2</f>
        <v>22251.2997</v>
      </c>
      <c r="AL49" s="134" t="n">
        <f aca="false">AL48*$D$2</f>
        <v>1552.949965</v>
      </c>
      <c r="AM49" s="134" t="n">
        <f aca="false">AM48*$D$2</f>
        <v>23804.249665</v>
      </c>
      <c r="AN49" s="203" t="n">
        <f aca="false">AN40</f>
        <v>12222.188155</v>
      </c>
      <c r="AO49" s="134" t="n">
        <f aca="false">AO48*$D$2</f>
        <v>899.0586648</v>
      </c>
      <c r="AP49" s="134"/>
      <c r="AQ49" s="134"/>
      <c r="AR49" s="134"/>
      <c r="AS49" s="324"/>
      <c r="AV49" s="203"/>
      <c r="AW49" s="134"/>
      <c r="AX49" s="134"/>
      <c r="AY49" s="303"/>
      <c r="AZ49" s="319" t="n">
        <f aca="false">AZ48*$D$2</f>
        <v>832.387676</v>
      </c>
    </row>
    <row r="50" customFormat="false" ht="3" hidden="false" customHeight="true" outlineLevel="0" collapsed="false">
      <c r="A50" s="214"/>
      <c r="B50" s="235"/>
      <c r="C50" s="216"/>
      <c r="D50" s="217"/>
      <c r="E50" s="216"/>
      <c r="F50" s="218"/>
      <c r="G50" s="217"/>
      <c r="H50" s="307"/>
      <c r="I50" s="217"/>
      <c r="J50" s="217"/>
      <c r="K50" s="217"/>
      <c r="L50" s="217"/>
      <c r="M50" s="220"/>
      <c r="N50" s="217"/>
      <c r="O50" s="217"/>
      <c r="P50" s="221"/>
      <c r="Q50" s="217"/>
      <c r="R50" s="217"/>
      <c r="S50" s="221"/>
      <c r="T50" s="222"/>
      <c r="U50" s="217"/>
      <c r="V50" s="217"/>
      <c r="W50" s="217"/>
      <c r="X50" s="217"/>
      <c r="Y50" s="217"/>
      <c r="Z50" s="223"/>
      <c r="AA50" s="216"/>
      <c r="AB50" s="216"/>
      <c r="AC50" s="216"/>
      <c r="AD50" s="216"/>
      <c r="AE50" s="217"/>
      <c r="AF50" s="220"/>
      <c r="AG50" s="225"/>
      <c r="AH50" s="217"/>
      <c r="AI50" s="216"/>
      <c r="AJ50" s="308"/>
      <c r="AK50" s="217"/>
      <c r="AL50" s="217"/>
      <c r="AM50" s="217"/>
      <c r="AN50" s="226"/>
      <c r="AO50" s="223"/>
      <c r="AP50" s="217"/>
      <c r="AQ50" s="217"/>
      <c r="AR50" s="217"/>
      <c r="AS50" s="223"/>
      <c r="AT50" s="309"/>
      <c r="AU50" s="309"/>
      <c r="AV50" s="235"/>
      <c r="AW50" s="217"/>
      <c r="AX50" s="217"/>
      <c r="AY50" s="310"/>
      <c r="AZ50" s="311"/>
    </row>
    <row r="51" customFormat="false" ht="11.1" hidden="false" customHeight="true" outlineLevel="0" collapsed="false">
      <c r="A51" s="173"/>
      <c r="B51" s="253"/>
      <c r="D51" s="173"/>
      <c r="F51" s="173"/>
      <c r="G51" s="173"/>
      <c r="I51" s="173"/>
      <c r="J51" s="173"/>
      <c r="K51" s="173"/>
      <c r="L51" s="173"/>
      <c r="M51" s="173"/>
      <c r="N51" s="173"/>
      <c r="O51" s="173"/>
      <c r="Q51" s="173"/>
      <c r="R51" s="173"/>
      <c r="U51" s="173"/>
      <c r="V51" s="173"/>
      <c r="W51" s="173"/>
      <c r="X51" s="173"/>
      <c r="Y51" s="173"/>
      <c r="AA51" s="105"/>
      <c r="AB51" s="105"/>
      <c r="AC51" s="105"/>
      <c r="AD51" s="105"/>
      <c r="AE51" s="173"/>
      <c r="AF51" s="173"/>
      <c r="AG51" s="173"/>
      <c r="AH51" s="173"/>
      <c r="AI51" s="105"/>
      <c r="AJ51" s="208"/>
      <c r="AK51" s="173"/>
      <c r="AL51" s="173"/>
      <c r="AM51" s="173"/>
      <c r="AP51" s="176"/>
      <c r="AQ51" s="259"/>
      <c r="AR51" s="259"/>
    </row>
    <row r="52" customFormat="false" ht="11.1" hidden="false" customHeight="true" outlineLevel="0" collapsed="false">
      <c r="A52" s="173"/>
      <c r="B52" s="255"/>
      <c r="F52" s="173"/>
      <c r="G52" s="173"/>
      <c r="H52" s="328"/>
      <c r="I52" s="105"/>
      <c r="J52" s="173"/>
      <c r="K52" s="163"/>
      <c r="L52" s="173"/>
      <c r="M52" s="173"/>
      <c r="N52" s="173"/>
      <c r="O52" s="173"/>
      <c r="Q52" s="173"/>
      <c r="R52" s="173"/>
      <c r="U52" s="173"/>
      <c r="V52" s="173"/>
      <c r="W52" s="173"/>
      <c r="X52" s="173"/>
      <c r="Y52" s="173"/>
      <c r="AA52" s="105"/>
      <c r="AB52" s="105"/>
      <c r="AC52" s="105"/>
      <c r="AD52" s="105"/>
      <c r="AE52" s="173"/>
      <c r="AF52" s="173"/>
      <c r="AG52" s="173"/>
      <c r="AH52" s="173"/>
      <c r="AI52" s="105"/>
      <c r="AJ52" s="208"/>
      <c r="AK52" s="173"/>
      <c r="AL52" s="173"/>
      <c r="AM52" s="173"/>
      <c r="AN52" s="171"/>
      <c r="AO52" s="171"/>
      <c r="AP52" s="176"/>
      <c r="AQ52" s="259"/>
      <c r="AR52" s="259"/>
      <c r="AX52" s="168"/>
    </row>
    <row r="53" customFormat="false" ht="11.1" hidden="false" customHeight="true" outlineLevel="0" collapsed="false">
      <c r="D53" s="105"/>
      <c r="I53" s="105"/>
      <c r="W53" s="9"/>
      <c r="X53" s="9"/>
      <c r="Y53" s="9"/>
      <c r="AA53" s="105"/>
      <c r="AB53" s="105"/>
      <c r="AC53" s="105"/>
      <c r="AD53" s="105"/>
      <c r="AH53" s="9"/>
      <c r="AI53" s="105"/>
      <c r="AJ53" s="208"/>
      <c r="AM53" s="9"/>
      <c r="AN53" s="171"/>
      <c r="AO53" s="171"/>
      <c r="AP53" s="169"/>
      <c r="AQ53" s="68"/>
      <c r="AR53" s="68"/>
      <c r="AX53" s="168"/>
    </row>
    <row r="54" customFormat="false" ht="11.1" hidden="false" customHeight="true" outlineLevel="0" collapsed="false">
      <c r="B54" s="167"/>
      <c r="D54" s="105"/>
      <c r="I54" s="105"/>
      <c r="W54" s="9"/>
      <c r="X54" s="9"/>
      <c r="Y54" s="9"/>
      <c r="AA54" s="105"/>
      <c r="AB54" s="105"/>
      <c r="AC54" s="105"/>
      <c r="AD54" s="105"/>
      <c r="AH54" s="9"/>
      <c r="AI54" s="105"/>
      <c r="AJ54" s="208"/>
      <c r="AM54" s="9"/>
      <c r="AN54" s="171"/>
      <c r="AO54" s="171"/>
      <c r="AP54" s="169"/>
      <c r="AQ54" s="68"/>
      <c r="AR54" s="68"/>
      <c r="AX54" s="168"/>
    </row>
    <row r="55" customFormat="false" ht="11.1" hidden="false" customHeight="true" outlineLevel="0" collapsed="false">
      <c r="G55" s="256"/>
      <c r="W55" s="9"/>
      <c r="X55" s="9"/>
      <c r="Y55" s="9"/>
      <c r="AA55" s="105"/>
      <c r="AB55" s="105"/>
      <c r="AC55" s="105"/>
      <c r="AD55" s="105"/>
      <c r="AH55" s="9"/>
      <c r="AI55" s="105"/>
      <c r="AJ55" s="208"/>
      <c r="AM55" s="9"/>
      <c r="AN55" s="171"/>
      <c r="AO55" s="171"/>
      <c r="AP55" s="169"/>
      <c r="AQ55" s="68"/>
      <c r="AR55" s="68"/>
      <c r="AX55" s="168"/>
    </row>
    <row r="56" customFormat="false" ht="11.1" hidden="false" customHeight="true" outlineLevel="0" collapsed="false">
      <c r="W56" s="9"/>
      <c r="X56" s="9"/>
      <c r="Y56" s="9"/>
      <c r="AA56" s="105"/>
      <c r="AB56" s="105"/>
      <c r="AC56" s="105"/>
      <c r="AD56" s="105"/>
      <c r="AH56" s="9"/>
      <c r="AI56" s="105"/>
      <c r="AJ56" s="208"/>
      <c r="AM56" s="9"/>
      <c r="AN56" s="171"/>
      <c r="AO56" s="171"/>
      <c r="AX56" s="168"/>
    </row>
  </sheetData>
  <mergeCells count="2">
    <mergeCell ref="K2:AD2"/>
    <mergeCell ref="M5:T5"/>
  </mergeCells>
  <printOptions headings="true" gridLines="true" gridLinesSet="true" horizontalCentered="false" verticalCentered="true"/>
  <pageMargins left="0.25" right="0.25" top="0.25" bottom="0" header="0.511811023622047" footer="0.511811023622047"/>
  <pageSetup paperSize="3" scale="98"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8"/>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1" ySplit="12" topLeftCell="B26" activePane="bottomRight" state="frozen"/>
      <selection pane="topLeft" activeCell="A1" activeCellId="0" sqref="A1"/>
      <selection pane="topRight" activeCell="B1" activeCellId="0" sqref="B1"/>
      <selection pane="bottomLeft" activeCell="A26" activeCellId="0" sqref="A26"/>
      <selection pane="bottomRight" activeCell="B31" activeCellId="1" sqref="E20:E43 B31"/>
    </sheetView>
  </sheetViews>
  <sheetFormatPr defaultColWidth="9.3359375" defaultRowHeight="11.1" zeroHeight="false" outlineLevelRow="0" outlineLevelCol="0"/>
  <cols>
    <col collapsed="false" customWidth="true" hidden="false" outlineLevel="0" max="1" min="1" style="9" width="4.67"/>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165" width="5.67"/>
    <col collapsed="false" customWidth="true" hidden="false" outlineLevel="0" max="11" min="9" style="9" width="6.32"/>
    <col collapsed="false" customWidth="true" hidden="false" outlineLevel="0" max="12" min="12" style="9" width="7.16"/>
    <col collapsed="false" customWidth="true" hidden="false" outlineLevel="0" max="13" min="13" style="166" width="5.49"/>
    <col collapsed="false" customWidth="true" hidden="false" outlineLevel="0" max="14" min="14" style="166" width="4.49"/>
    <col collapsed="false" customWidth="true" hidden="false" outlineLevel="0" max="15" min="15" style="166" width="5.49"/>
    <col collapsed="false" customWidth="true" hidden="false" outlineLevel="0" max="16" min="16" style="167" width="4.82"/>
    <col collapsed="false" customWidth="true" hidden="false" outlineLevel="0" max="18" min="17" style="166" width="4.32"/>
    <col collapsed="false" customWidth="true" hidden="false" outlineLevel="0" max="19" min="19" style="9" width="4.32"/>
    <col collapsed="false" customWidth="true" hidden="false" outlineLevel="0" max="20" min="20" style="329" width="5.49"/>
    <col collapsed="false" customWidth="true" hidden="false" outlineLevel="0" max="22" min="21" style="9" width="5.49"/>
    <col collapsed="false" customWidth="true" hidden="false" outlineLevel="0" max="26" min="23" style="105" width="6.32"/>
    <col collapsed="false" customWidth="true" hidden="false" outlineLevel="0" max="28" min="27" style="9" width="5.49"/>
    <col collapsed="false" customWidth="true" hidden="false" outlineLevel="0" max="29" min="29" style="9" width="5.67"/>
    <col collapsed="false" customWidth="true" hidden="false" outlineLevel="0" max="33" min="30" style="9" width="5.49"/>
    <col collapsed="false" customWidth="true" hidden="false" outlineLevel="0" max="34" min="34" style="105" width="6.49"/>
    <col collapsed="false" customWidth="true" hidden="false" outlineLevel="0" max="35" min="35" style="9" width="5.49"/>
    <col collapsed="false" customWidth="true" hidden="false" outlineLevel="0" max="36" min="36" style="330" width="6.32"/>
    <col collapsed="false" customWidth="true" hidden="false" outlineLevel="0" max="37" min="37" style="9" width="6.32"/>
    <col collapsed="false" customWidth="true" hidden="false" outlineLevel="0" max="38" min="38" style="9" width="6.99"/>
    <col collapsed="false" customWidth="true" hidden="false" outlineLevel="0" max="39" min="39" style="167" width="6.99"/>
    <col collapsed="false" customWidth="true" hidden="false" outlineLevel="0" max="40" min="40" style="168" width="5.49"/>
    <col collapsed="false" customWidth="true" hidden="false" outlineLevel="0" max="41" min="41" style="166" width="5.49"/>
    <col collapsed="false" customWidth="true" hidden="false" outlineLevel="0" max="45" min="42" style="9" width="6.32"/>
    <col collapsed="false" customWidth="true" hidden="false" outlineLevel="0" max="46" min="46" style="258" width="5.82"/>
    <col collapsed="false" customWidth="true" hidden="false" outlineLevel="0" max="47" min="47" style="169" width="4.99"/>
    <col collapsed="false" customWidth="true" hidden="false" outlineLevel="0" max="48" min="48" style="165" width="5.32"/>
    <col collapsed="false" customWidth="true" hidden="false" outlineLevel="0" max="49" min="49" style="168" width="3.82"/>
    <col collapsed="false" customWidth="true" hidden="false" outlineLevel="0" max="50" min="50" style="171" width="3.82"/>
    <col collapsed="false" customWidth="true" hidden="false" outlineLevel="0" max="51" min="51" style="172" width="4.32"/>
    <col collapsed="false" customWidth="true" hidden="false" outlineLevel="0" max="52" min="52" style="172" width="6.49"/>
    <col collapsed="false" customWidth="false" hidden="false" outlineLevel="0" max="257" min="53" style="172" width="9.32"/>
  </cols>
  <sheetData>
    <row r="1" customFormat="false" ht="14.1" hidden="false" customHeight="true" outlineLevel="0" collapsed="false">
      <c r="A1" s="173"/>
      <c r="B1" s="173"/>
      <c r="D1" s="173"/>
      <c r="F1" s="173"/>
      <c r="G1" s="173"/>
      <c r="I1" s="173"/>
      <c r="J1" s="173"/>
      <c r="K1" s="175" t="s">
        <v>0</v>
      </c>
      <c r="L1" s="173"/>
      <c r="M1" s="173"/>
      <c r="N1" s="173"/>
      <c r="O1" s="173"/>
      <c r="Q1" s="173"/>
      <c r="R1" s="173"/>
      <c r="S1" s="173"/>
      <c r="U1" s="173"/>
      <c r="V1" s="173"/>
      <c r="AA1" s="173"/>
      <c r="AB1" s="173"/>
      <c r="AC1" s="173"/>
      <c r="AD1" s="173"/>
      <c r="AE1" s="173"/>
      <c r="AF1" s="173"/>
      <c r="AG1" s="173"/>
      <c r="AI1" s="173"/>
      <c r="AK1" s="173"/>
      <c r="AL1" s="173"/>
      <c r="AN1" s="297"/>
      <c r="AO1" s="330"/>
      <c r="AP1" s="176"/>
    </row>
    <row r="2" customFormat="false" ht="14.1" hidden="false" customHeight="true" outlineLevel="0" collapsed="false">
      <c r="A2" s="176" t="s">
        <v>1</v>
      </c>
      <c r="B2" s="173"/>
      <c r="D2" s="177" t="n">
        <v>1.9835</v>
      </c>
      <c r="F2" s="173"/>
      <c r="G2" s="173"/>
      <c r="I2" s="173"/>
      <c r="J2" s="173"/>
      <c r="K2" s="178" t="s">
        <v>108</v>
      </c>
      <c r="L2" s="178"/>
      <c r="M2" s="178"/>
      <c r="N2" s="178"/>
      <c r="O2" s="178"/>
      <c r="P2" s="178"/>
      <c r="Q2" s="178"/>
      <c r="R2" s="178"/>
      <c r="S2" s="178"/>
      <c r="U2" s="274"/>
      <c r="V2" s="274"/>
      <c r="W2" s="80"/>
      <c r="X2" s="80"/>
      <c r="Y2" s="80"/>
      <c r="Z2" s="80"/>
      <c r="AA2" s="274"/>
      <c r="AB2" s="274"/>
      <c r="AC2" s="274"/>
      <c r="AD2" s="274"/>
      <c r="AE2" s="173"/>
      <c r="AF2" s="173"/>
      <c r="AG2" s="173"/>
      <c r="AI2" s="173"/>
      <c r="AK2" s="173"/>
      <c r="AL2" s="173"/>
      <c r="AN2" s="297"/>
      <c r="AO2" s="330"/>
      <c r="AP2" s="176"/>
    </row>
    <row r="3" customFormat="false" ht="14.1" hidden="false" customHeight="true" outlineLevel="0" collapsed="false">
      <c r="A3" s="179"/>
      <c r="B3" s="179"/>
      <c r="C3" s="180"/>
      <c r="D3" s="181"/>
      <c r="E3" s="180"/>
      <c r="F3" s="179"/>
      <c r="G3" s="179"/>
      <c r="H3" s="189"/>
      <c r="I3" s="179"/>
      <c r="J3" s="179"/>
      <c r="K3" s="179"/>
      <c r="L3" s="179"/>
      <c r="M3" s="179"/>
      <c r="N3" s="179"/>
      <c r="O3" s="179"/>
      <c r="P3" s="183"/>
      <c r="Q3" s="179"/>
      <c r="R3" s="179"/>
      <c r="S3" s="179"/>
      <c r="T3" s="331"/>
      <c r="U3" s="179"/>
      <c r="V3" s="179"/>
      <c r="W3" s="180"/>
      <c r="X3" s="180"/>
      <c r="Y3" s="180"/>
      <c r="Z3" s="180"/>
      <c r="AA3" s="179"/>
      <c r="AB3" s="179"/>
      <c r="AC3" s="179"/>
      <c r="AD3" s="179"/>
      <c r="AE3" s="179"/>
      <c r="AF3" s="179"/>
      <c r="AG3" s="179"/>
      <c r="AH3" s="180"/>
      <c r="AI3" s="179"/>
      <c r="AJ3" s="332"/>
      <c r="AK3" s="179"/>
      <c r="AL3" s="179"/>
      <c r="AM3" s="183"/>
      <c r="AN3" s="298"/>
      <c r="AO3" s="332"/>
      <c r="AP3" s="186"/>
      <c r="AQ3" s="187"/>
      <c r="AV3" s="189"/>
      <c r="AW3" s="184"/>
      <c r="AX3" s="190"/>
    </row>
    <row r="4" s="1" customFormat="true" ht="14.1" hidden="false" customHeight="true" outlineLevel="0" collapsed="false">
      <c r="A4" s="32"/>
      <c r="B4" s="33"/>
      <c r="C4" s="34"/>
      <c r="D4" s="35" t="s">
        <v>3</v>
      </c>
      <c r="E4" s="34"/>
      <c r="F4" s="32"/>
      <c r="G4" s="36"/>
      <c r="H4" s="36"/>
      <c r="I4" s="36"/>
      <c r="J4" s="36"/>
      <c r="K4" s="36"/>
      <c r="L4" s="36"/>
      <c r="M4" s="36"/>
      <c r="N4" s="36"/>
      <c r="O4" s="36"/>
      <c r="P4" s="37"/>
      <c r="Q4" s="36"/>
      <c r="R4" s="36"/>
      <c r="S4" s="36"/>
      <c r="T4" s="37"/>
      <c r="U4" s="36"/>
      <c r="V4" s="36"/>
      <c r="W4" s="38" t="s">
        <v>4</v>
      </c>
      <c r="X4" s="38"/>
      <c r="Y4" s="38"/>
      <c r="Z4" s="38"/>
      <c r="AA4" s="39"/>
      <c r="AB4" s="39"/>
      <c r="AC4" s="39"/>
      <c r="AD4" s="40"/>
      <c r="AE4" s="36"/>
      <c r="AF4" s="36"/>
      <c r="AG4" s="36"/>
      <c r="AH4" s="34"/>
      <c r="AI4" s="36"/>
      <c r="AJ4" s="41"/>
      <c r="AK4" s="36"/>
      <c r="AL4" s="36"/>
      <c r="AM4" s="37"/>
      <c r="AN4" s="42"/>
      <c r="AO4" s="43"/>
      <c r="AP4" s="44" t="s">
        <v>5</v>
      </c>
      <c r="AQ4" s="45"/>
      <c r="AR4" s="46"/>
      <c r="AS4" s="47"/>
      <c r="AT4" s="48"/>
      <c r="AU4" s="48"/>
      <c r="AV4" s="49"/>
      <c r="AW4" s="50" t="s">
        <v>6</v>
      </c>
      <c r="AX4" s="51"/>
      <c r="AY4" s="299"/>
      <c r="AZ4" s="333"/>
    </row>
    <row r="5" customFormat="false" ht="12.95" hidden="false" customHeight="true" outlineLevel="0" collapsed="false">
      <c r="A5" s="53" t="s">
        <v>7</v>
      </c>
      <c r="B5" s="54" t="s">
        <v>8</v>
      </c>
      <c r="C5" s="55" t="s">
        <v>8</v>
      </c>
      <c r="D5" s="56" t="s">
        <v>9</v>
      </c>
      <c r="E5" s="55" t="s">
        <v>10</v>
      </c>
      <c r="F5" s="57" t="s">
        <v>11</v>
      </c>
      <c r="G5" s="53" t="s">
        <v>12</v>
      </c>
      <c r="H5" s="53" t="s">
        <v>13</v>
      </c>
      <c r="I5" s="53" t="s">
        <v>14</v>
      </c>
      <c r="J5" s="53" t="s">
        <v>15</v>
      </c>
      <c r="K5" s="53" t="s">
        <v>16</v>
      </c>
      <c r="L5" s="53" t="s">
        <v>15</v>
      </c>
      <c r="M5" s="58" t="s">
        <v>17</v>
      </c>
      <c r="N5" s="58"/>
      <c r="O5" s="58"/>
      <c r="P5" s="58"/>
      <c r="Q5" s="58"/>
      <c r="R5" s="58"/>
      <c r="S5" s="58"/>
      <c r="T5" s="58"/>
      <c r="U5" s="53" t="s">
        <v>18</v>
      </c>
      <c r="V5" s="53" t="s">
        <v>19</v>
      </c>
      <c r="W5" s="53" t="s">
        <v>16</v>
      </c>
      <c r="X5" s="53" t="s">
        <v>16</v>
      </c>
      <c r="Y5" s="53" t="s">
        <v>16</v>
      </c>
      <c r="Z5" s="59" t="s">
        <v>20</v>
      </c>
      <c r="AA5" s="60" t="s">
        <v>21</v>
      </c>
      <c r="AB5" s="60" t="s">
        <v>21</v>
      </c>
      <c r="AC5" s="60" t="s">
        <v>22</v>
      </c>
      <c r="AD5" s="61" t="s">
        <v>21</v>
      </c>
      <c r="AE5" s="53" t="s">
        <v>23</v>
      </c>
      <c r="AF5" s="62" t="s">
        <v>24</v>
      </c>
      <c r="AG5" s="63"/>
      <c r="AH5" s="53" t="s">
        <v>25</v>
      </c>
      <c r="AI5" s="64" t="s">
        <v>26</v>
      </c>
      <c r="AJ5" s="64" t="s">
        <v>27</v>
      </c>
      <c r="AK5" s="53" t="s">
        <v>14</v>
      </c>
      <c r="AL5" s="53" t="s">
        <v>15</v>
      </c>
      <c r="AM5" s="56" t="s">
        <v>16</v>
      </c>
      <c r="AN5" s="65" t="s">
        <v>28</v>
      </c>
      <c r="AO5" s="61" t="s">
        <v>21</v>
      </c>
      <c r="AP5" s="60" t="s">
        <v>29</v>
      </c>
      <c r="AQ5" s="66" t="s">
        <v>29</v>
      </c>
      <c r="AR5" s="61" t="s">
        <v>30</v>
      </c>
      <c r="AS5" s="67" t="s">
        <v>31</v>
      </c>
      <c r="AT5" s="67" t="s">
        <v>32</v>
      </c>
      <c r="AU5" s="68" t="s">
        <v>33</v>
      </c>
      <c r="AV5" s="69" t="s">
        <v>34</v>
      </c>
      <c r="AW5" s="70" t="s">
        <v>35</v>
      </c>
      <c r="AX5" s="70" t="s">
        <v>36</v>
      </c>
      <c r="AY5" s="300"/>
      <c r="AZ5" s="71" t="s">
        <v>16</v>
      </c>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2" t="s">
        <v>109</v>
      </c>
      <c r="B6" s="54" t="s">
        <v>38</v>
      </c>
      <c r="C6" s="55"/>
      <c r="D6" s="56" t="s">
        <v>39</v>
      </c>
      <c r="E6" s="55" t="s">
        <v>40</v>
      </c>
      <c r="F6" s="57" t="s">
        <v>41</v>
      </c>
      <c r="G6" s="53" t="s">
        <v>42</v>
      </c>
      <c r="H6" s="53" t="s">
        <v>43</v>
      </c>
      <c r="I6" s="53" t="s">
        <v>44</v>
      </c>
      <c r="J6" s="53" t="s">
        <v>44</v>
      </c>
      <c r="K6" s="53" t="s">
        <v>44</v>
      </c>
      <c r="L6" s="53" t="s">
        <v>45</v>
      </c>
      <c r="M6" s="73" t="s">
        <v>46</v>
      </c>
      <c r="N6" s="56" t="s">
        <v>47</v>
      </c>
      <c r="O6" s="56" t="s">
        <v>48</v>
      </c>
      <c r="P6" s="74" t="s">
        <v>49</v>
      </c>
      <c r="Q6" s="56" t="s">
        <v>50</v>
      </c>
      <c r="R6" s="56" t="s">
        <v>51</v>
      </c>
      <c r="S6" s="56" t="s">
        <v>52</v>
      </c>
      <c r="T6" s="75" t="s">
        <v>53</v>
      </c>
      <c r="U6" s="53" t="s">
        <v>54</v>
      </c>
      <c r="V6" s="53" t="s">
        <v>55</v>
      </c>
      <c r="W6" s="53" t="s">
        <v>21</v>
      </c>
      <c r="X6" s="53" t="s">
        <v>21</v>
      </c>
      <c r="Y6" s="53" t="s">
        <v>21</v>
      </c>
      <c r="Z6" s="53" t="s">
        <v>21</v>
      </c>
      <c r="AA6" s="60" t="s">
        <v>56</v>
      </c>
      <c r="AB6" s="60" t="s">
        <v>57</v>
      </c>
      <c r="AC6" s="60" t="s">
        <v>58</v>
      </c>
      <c r="AD6" s="61" t="s">
        <v>59</v>
      </c>
      <c r="AE6" s="53" t="s">
        <v>60</v>
      </c>
      <c r="AF6" s="73" t="s">
        <v>61</v>
      </c>
      <c r="AG6" s="76" t="s">
        <v>62</v>
      </c>
      <c r="AH6" s="53" t="s">
        <v>63</v>
      </c>
      <c r="AI6" s="64" t="s">
        <v>64</v>
      </c>
      <c r="AJ6" s="64"/>
      <c r="AK6" s="53" t="s">
        <v>65</v>
      </c>
      <c r="AL6" s="53" t="s">
        <v>65</v>
      </c>
      <c r="AM6" s="56" t="s">
        <v>65</v>
      </c>
      <c r="AN6" s="65" t="s">
        <v>56</v>
      </c>
      <c r="AO6" s="61" t="s">
        <v>66</v>
      </c>
      <c r="AP6" s="60" t="s">
        <v>67</v>
      </c>
      <c r="AQ6" s="66" t="s">
        <v>67</v>
      </c>
      <c r="AR6" s="61" t="s">
        <v>68</v>
      </c>
      <c r="AS6" s="67" t="s">
        <v>69</v>
      </c>
      <c r="AT6" s="67" t="s">
        <v>70</v>
      </c>
      <c r="AU6" s="68" t="s">
        <v>71</v>
      </c>
      <c r="AV6" s="77"/>
      <c r="AW6" s="70" t="s">
        <v>72</v>
      </c>
      <c r="AX6" s="70" t="s">
        <v>72</v>
      </c>
      <c r="AY6" s="300"/>
      <c r="AZ6" s="71" t="s">
        <v>73</v>
      </c>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3"/>
      <c r="B7" s="54"/>
      <c r="C7" s="55"/>
      <c r="D7" s="56"/>
      <c r="E7" s="55"/>
      <c r="F7" s="57"/>
      <c r="G7" s="53"/>
      <c r="H7" s="53"/>
      <c r="I7" s="53"/>
      <c r="J7" s="53"/>
      <c r="K7" s="53"/>
      <c r="L7" s="53"/>
      <c r="M7" s="73"/>
      <c r="N7" s="56" t="s">
        <v>74</v>
      </c>
      <c r="O7" s="56" t="s">
        <v>75</v>
      </c>
      <c r="P7" s="74"/>
      <c r="Q7" s="56"/>
      <c r="R7" s="56"/>
      <c r="S7" s="56" t="s">
        <v>48</v>
      </c>
      <c r="T7" s="75" t="s">
        <v>27</v>
      </c>
      <c r="U7" s="53"/>
      <c r="V7" s="53"/>
      <c r="W7" s="64" t="n">
        <v>153400</v>
      </c>
      <c r="X7" s="55" t="s">
        <v>76</v>
      </c>
      <c r="Y7" s="55" t="s">
        <v>76</v>
      </c>
      <c r="Z7" s="59" t="n">
        <v>105500</v>
      </c>
      <c r="AA7" s="60"/>
      <c r="AB7" s="60" t="s">
        <v>77</v>
      </c>
      <c r="AC7" s="60"/>
      <c r="AD7" s="61"/>
      <c r="AE7" s="76"/>
      <c r="AF7" s="78" t="n">
        <v>1.7</v>
      </c>
      <c r="AG7" s="78" t="n">
        <v>1.3</v>
      </c>
      <c r="AH7" s="73"/>
      <c r="AI7" s="79" t="n">
        <v>31798</v>
      </c>
      <c r="AJ7" s="64"/>
      <c r="AK7" s="53"/>
      <c r="AL7" s="53"/>
      <c r="AM7" s="56"/>
      <c r="AN7" s="65"/>
      <c r="AO7" s="61"/>
      <c r="AP7" s="60" t="s">
        <v>78</v>
      </c>
      <c r="AQ7" s="66" t="s">
        <v>79</v>
      </c>
      <c r="AR7" s="61" t="s">
        <v>80</v>
      </c>
      <c r="AS7" s="67" t="s">
        <v>81</v>
      </c>
      <c r="AT7" s="67" t="s">
        <v>82</v>
      </c>
      <c r="AU7" s="68" t="s">
        <v>61</v>
      </c>
      <c r="AV7" s="77"/>
      <c r="AW7" s="70"/>
      <c r="AX7" s="70"/>
      <c r="AY7" s="300"/>
      <c r="AZ7" s="71" t="s">
        <v>83</v>
      </c>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3"/>
      <c r="B8" s="54"/>
      <c r="C8" s="55" t="s">
        <v>84</v>
      </c>
      <c r="D8" s="56"/>
      <c r="E8" s="55" t="s">
        <v>85</v>
      </c>
      <c r="F8" s="57"/>
      <c r="G8" s="56" t="s">
        <v>41</v>
      </c>
      <c r="H8" s="56" t="s">
        <v>41</v>
      </c>
      <c r="I8" s="56" t="s">
        <v>41</v>
      </c>
      <c r="J8" s="56" t="s">
        <v>41</v>
      </c>
      <c r="K8" s="56" t="s">
        <v>41</v>
      </c>
      <c r="L8" s="76" t="s">
        <v>41</v>
      </c>
      <c r="M8" s="56" t="s">
        <v>41</v>
      </c>
      <c r="N8" s="56" t="s">
        <v>41</v>
      </c>
      <c r="O8" s="56" t="s">
        <v>41</v>
      </c>
      <c r="P8" s="56" t="s">
        <v>41</v>
      </c>
      <c r="Q8" s="56" t="s">
        <v>41</v>
      </c>
      <c r="R8" s="56" t="s">
        <v>41</v>
      </c>
      <c r="S8" s="56" t="s">
        <v>62</v>
      </c>
      <c r="T8" s="76" t="s">
        <v>41</v>
      </c>
      <c r="U8" s="56" t="s">
        <v>41</v>
      </c>
      <c r="V8" s="56" t="s">
        <v>41</v>
      </c>
      <c r="W8" s="56" t="s">
        <v>41</v>
      </c>
      <c r="X8" s="55" t="n">
        <v>150400</v>
      </c>
      <c r="Y8" s="55" t="n">
        <v>150400</v>
      </c>
      <c r="Z8" s="80" t="s">
        <v>86</v>
      </c>
      <c r="AA8" s="56" t="s">
        <v>41</v>
      </c>
      <c r="AB8" s="55" t="n">
        <v>72000</v>
      </c>
      <c r="AC8" s="56" t="s">
        <v>41</v>
      </c>
      <c r="AD8" s="56" t="s">
        <v>41</v>
      </c>
      <c r="AE8" s="76" t="s">
        <v>41</v>
      </c>
      <c r="AF8" s="56" t="s">
        <v>41</v>
      </c>
      <c r="AG8" s="56" t="s">
        <v>41</v>
      </c>
      <c r="AH8" s="73" t="s">
        <v>41</v>
      </c>
      <c r="AI8" s="56" t="s">
        <v>41</v>
      </c>
      <c r="AJ8" s="56" t="s">
        <v>41</v>
      </c>
      <c r="AK8" s="56" t="s">
        <v>41</v>
      </c>
      <c r="AL8" s="56" t="s">
        <v>41</v>
      </c>
      <c r="AM8" s="56" t="s">
        <v>41</v>
      </c>
      <c r="AN8" s="65" t="s">
        <v>85</v>
      </c>
      <c r="AO8" s="61" t="s">
        <v>41</v>
      </c>
      <c r="AP8" s="61" t="s">
        <v>41</v>
      </c>
      <c r="AQ8" s="66" t="s">
        <v>87</v>
      </c>
      <c r="AR8" s="61" t="s">
        <v>41</v>
      </c>
      <c r="AS8" s="61" t="s">
        <v>41</v>
      </c>
      <c r="AT8" s="61" t="s">
        <v>41</v>
      </c>
      <c r="AU8" s="61" t="s">
        <v>41</v>
      </c>
      <c r="AV8" s="77"/>
      <c r="AW8" s="70"/>
      <c r="AX8" s="70"/>
      <c r="AY8" s="300"/>
      <c r="AZ8" s="71" t="s">
        <v>88</v>
      </c>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3"/>
      <c r="B9" s="54"/>
      <c r="C9" s="55"/>
      <c r="D9" s="56"/>
      <c r="E9" s="55"/>
      <c r="F9" s="57"/>
      <c r="G9" s="53"/>
      <c r="H9" s="53"/>
      <c r="I9" s="53"/>
      <c r="J9" s="53"/>
      <c r="K9" s="53"/>
      <c r="L9" s="76"/>
      <c r="M9" s="56"/>
      <c r="N9" s="45" t="n">
        <v>1.03</v>
      </c>
      <c r="O9" s="45" t="n">
        <v>1.05</v>
      </c>
      <c r="P9" s="45" t="n">
        <v>1.02</v>
      </c>
      <c r="Q9" s="81" t="n">
        <v>1.02</v>
      </c>
      <c r="R9" s="45" t="n">
        <v>1.04</v>
      </c>
      <c r="S9" s="56" t="s">
        <v>41</v>
      </c>
      <c r="T9" s="75"/>
      <c r="U9" s="53"/>
      <c r="V9" s="53"/>
      <c r="W9" s="53"/>
      <c r="X9" s="56" t="s">
        <v>41</v>
      </c>
      <c r="Y9" s="80" t="s">
        <v>86</v>
      </c>
      <c r="Z9" s="80"/>
      <c r="AA9" s="60"/>
      <c r="AB9" s="80" t="s">
        <v>86</v>
      </c>
      <c r="AC9" s="60"/>
      <c r="AD9" s="60"/>
      <c r="AE9" s="82"/>
      <c r="AF9" s="78"/>
      <c r="AG9" s="78"/>
      <c r="AH9" s="73"/>
      <c r="AI9" s="79"/>
      <c r="AJ9" s="83"/>
      <c r="AK9" s="53"/>
      <c r="AL9" s="53"/>
      <c r="AM9" s="56"/>
      <c r="AN9" s="65"/>
      <c r="AO9" s="61"/>
      <c r="AP9" s="60"/>
      <c r="AQ9" s="66"/>
      <c r="AR9" s="66"/>
      <c r="AS9" s="84"/>
      <c r="AT9" s="84"/>
      <c r="AU9" s="84"/>
      <c r="AV9" s="77"/>
      <c r="AW9" s="70"/>
      <c r="AX9" s="70"/>
      <c r="AY9" s="300"/>
      <c r="AZ9" s="71" t="s">
        <v>41</v>
      </c>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176" t="s">
        <v>89</v>
      </c>
      <c r="B10" s="196"/>
      <c r="C10" s="104"/>
      <c r="D10" s="104"/>
      <c r="E10" s="104"/>
      <c r="F10" s="197"/>
      <c r="G10" s="104"/>
      <c r="H10" s="334"/>
      <c r="I10" s="104"/>
      <c r="J10" s="104"/>
      <c r="K10" s="104"/>
      <c r="L10" s="104"/>
      <c r="M10" s="198"/>
      <c r="N10" s="104"/>
      <c r="O10" s="104"/>
      <c r="P10" s="199"/>
      <c r="Q10" s="104"/>
      <c r="R10" s="104"/>
      <c r="S10" s="104"/>
      <c r="T10" s="335"/>
      <c r="U10" s="104"/>
      <c r="V10" s="104"/>
      <c r="W10" s="104"/>
      <c r="X10" s="104"/>
      <c r="Y10" s="104"/>
      <c r="Z10" s="104"/>
      <c r="AA10" s="104"/>
      <c r="AB10" s="104"/>
      <c r="AC10" s="104"/>
      <c r="AD10" s="104"/>
      <c r="AE10" s="104"/>
      <c r="AF10" s="198"/>
      <c r="AG10" s="201"/>
      <c r="AH10" s="104"/>
      <c r="AI10" s="104"/>
      <c r="AJ10" s="336"/>
      <c r="AK10" s="104"/>
      <c r="AL10" s="104"/>
      <c r="AM10" s="104"/>
      <c r="AN10" s="203"/>
      <c r="AO10" s="133"/>
      <c r="AP10" s="132"/>
      <c r="AQ10" s="204"/>
      <c r="AR10" s="204"/>
      <c r="AS10" s="204"/>
      <c r="AV10" s="205"/>
      <c r="AW10" s="134"/>
      <c r="AX10" s="134"/>
      <c r="AY10" s="303"/>
      <c r="AZ10" s="337"/>
    </row>
    <row r="11" s="213" customFormat="true" ht="12.95" hidden="false" customHeight="true" outlineLevel="0" collapsed="false">
      <c r="A11" s="208" t="s">
        <v>90</v>
      </c>
      <c r="B11" s="338" t="n">
        <f aca="false">FEB!B40</f>
        <v>6898</v>
      </c>
      <c r="C11" s="104" t="n">
        <f aca="false">FEB!C40</f>
        <v>276261</v>
      </c>
      <c r="D11" s="104" t="n">
        <f aca="false">FEB!D49</f>
        <v>-8540</v>
      </c>
      <c r="E11" s="104" t="n">
        <f aca="false">FEB!E49</f>
        <v>124261</v>
      </c>
      <c r="F11" s="197" t="n">
        <f aca="false">FEB!F48</f>
        <v>-4305.52054449206</v>
      </c>
      <c r="G11" s="104" t="n">
        <f aca="false">FEB!G48</f>
        <v>5711</v>
      </c>
      <c r="H11" s="305" t="n">
        <f aca="false">FEB!H48</f>
        <v>73.13</v>
      </c>
      <c r="I11" s="104" t="n">
        <f aca="false">FEB!I48</f>
        <v>5784.13</v>
      </c>
      <c r="J11" s="104" t="n">
        <f aca="false">FEB!J48</f>
        <v>1911.48364507184</v>
      </c>
      <c r="K11" s="104" t="n">
        <f aca="false">FEB!K48</f>
        <v>7695.61364507183</v>
      </c>
      <c r="L11" s="104" t="n">
        <f aca="false">FEB!L48</f>
        <v>1128.54945550794</v>
      </c>
      <c r="M11" s="198" t="n">
        <f aca="false">FEB!M48</f>
        <v>607.9</v>
      </c>
      <c r="N11" s="104" t="n">
        <f aca="false">FEB!N48</f>
        <v>0</v>
      </c>
      <c r="O11" s="104" t="n">
        <f aca="false">FEB!O48</f>
        <v>0</v>
      </c>
      <c r="P11" s="199"/>
      <c r="Q11" s="104" t="n">
        <f aca="false">FEB!Q48</f>
        <v>187.3434</v>
      </c>
      <c r="R11" s="104" t="n">
        <f aca="false">FEB!R48</f>
        <v>297.78</v>
      </c>
      <c r="S11" s="104" t="n">
        <f aca="false">FEB!S48</f>
        <v>0</v>
      </c>
      <c r="T11" s="200" t="n">
        <f aca="false">FEB!T48</f>
        <v>-65.4674</v>
      </c>
      <c r="U11" s="104" t="n">
        <f aca="false">FEB!U48</f>
        <v>6293</v>
      </c>
      <c r="V11" s="104" t="n">
        <f aca="false">FEB!V48</f>
        <v>76.3</v>
      </c>
      <c r="W11" s="104" t="n">
        <f aca="false">FEB!W48</f>
        <v>6557.544</v>
      </c>
      <c r="X11" s="104" t="n">
        <f aca="false">FEB!X48</f>
        <v>6104.2752</v>
      </c>
      <c r="Y11" s="104" t="n">
        <f aca="false">FEB!Y40</f>
        <v>12107.8298592</v>
      </c>
      <c r="Z11" s="104" t="n">
        <f aca="false">FEB!Z40</f>
        <v>8491.62467458561</v>
      </c>
      <c r="AA11" s="104"/>
      <c r="AB11" s="104"/>
      <c r="AC11" s="104"/>
      <c r="AD11" s="104"/>
      <c r="AE11" s="104"/>
      <c r="AF11" s="198"/>
      <c r="AG11" s="201"/>
      <c r="AH11" s="249" t="n">
        <f aca="false">FEB!AH48</f>
        <v>4241</v>
      </c>
      <c r="AI11" s="104" t="n">
        <f aca="false">FEB!AI40</f>
        <v>1837</v>
      </c>
      <c r="AJ11" s="133" t="n">
        <f aca="false">FEB!AJ48</f>
        <v>0</v>
      </c>
      <c r="AK11" s="104" t="n">
        <f aca="false">FEB!AK48</f>
        <v>11218.2</v>
      </c>
      <c r="AL11" s="104" t="n">
        <f aca="false">FEB!AL48</f>
        <v>782.934189563902</v>
      </c>
      <c r="AM11" s="104" t="n">
        <f aca="false">FEB!AM48</f>
        <v>12001.1341895639</v>
      </c>
      <c r="AN11" s="203" t="n">
        <f aca="false">FEB!AN49</f>
        <v>12222.188155</v>
      </c>
      <c r="AO11" s="133" t="n">
        <f aca="false">FEB!AO48</f>
        <v>453.2688</v>
      </c>
      <c r="AP11" s="104"/>
      <c r="AQ11" s="132"/>
      <c r="AR11" s="132"/>
      <c r="AS11" s="104"/>
      <c r="AT11" s="80"/>
      <c r="AU11" s="105"/>
      <c r="AV11" s="205" t="n">
        <f aca="false">FEB!AV48</f>
        <v>3.76</v>
      </c>
      <c r="AW11" s="134"/>
      <c r="AX11" s="134"/>
      <c r="AY11" s="306"/>
      <c r="AZ11" s="212" t="n">
        <f aca="false">FEB!AZ48</f>
        <v>419.656</v>
      </c>
    </row>
    <row r="12" customFormat="false" ht="3" hidden="false" customHeight="true" outlineLevel="0" collapsed="false">
      <c r="A12" s="214"/>
      <c r="B12" s="215"/>
      <c r="C12" s="216"/>
      <c r="D12" s="217"/>
      <c r="E12" s="216"/>
      <c r="F12" s="218"/>
      <c r="G12" s="217"/>
      <c r="H12" s="246"/>
      <c r="I12" s="217"/>
      <c r="J12" s="217"/>
      <c r="K12" s="217"/>
      <c r="L12" s="217"/>
      <c r="M12" s="220"/>
      <c r="N12" s="217"/>
      <c r="O12" s="217"/>
      <c r="P12" s="221"/>
      <c r="Q12" s="217"/>
      <c r="R12" s="217"/>
      <c r="S12" s="217"/>
      <c r="T12" s="339"/>
      <c r="U12" s="217"/>
      <c r="V12" s="217"/>
      <c r="W12" s="217"/>
      <c r="X12" s="217"/>
      <c r="Y12" s="217"/>
      <c r="Z12" s="216"/>
      <c r="AA12" s="216"/>
      <c r="AB12" s="216"/>
      <c r="AC12" s="216"/>
      <c r="AD12" s="216"/>
      <c r="AE12" s="217"/>
      <c r="AF12" s="220"/>
      <c r="AG12" s="225"/>
      <c r="AH12" s="217"/>
      <c r="AI12" s="216"/>
      <c r="AJ12" s="224"/>
      <c r="AK12" s="217"/>
      <c r="AL12" s="217"/>
      <c r="AM12" s="217"/>
      <c r="AN12" s="226"/>
      <c r="AO12" s="224"/>
      <c r="AP12" s="223"/>
      <c r="AQ12" s="223"/>
      <c r="AR12" s="223"/>
      <c r="AS12" s="223"/>
      <c r="AT12" s="284"/>
      <c r="AU12" s="284"/>
      <c r="AV12" s="228"/>
      <c r="AW12" s="223"/>
      <c r="AX12" s="223"/>
      <c r="AY12" s="237"/>
      <c r="AZ12" s="237"/>
    </row>
    <row r="13" customFormat="false" ht="12.95" hidden="false" customHeight="true" outlineLevel="0" collapsed="false">
      <c r="A13" s="171" t="n">
        <v>1</v>
      </c>
      <c r="B13" s="103" t="n">
        <v>6898</v>
      </c>
      <c r="C13" s="104" t="n">
        <v>276261</v>
      </c>
      <c r="D13" s="134" t="n">
        <f aca="false">C13-C11</f>
        <v>0</v>
      </c>
      <c r="E13" s="104" t="n">
        <f aca="false">C13-152000</f>
        <v>124261</v>
      </c>
      <c r="F13" s="229" t="n">
        <f aca="false">D13/$D$2</f>
        <v>0</v>
      </c>
      <c r="G13" s="132" t="n">
        <v>108</v>
      </c>
      <c r="H13" s="334" t="n">
        <v>2.8</v>
      </c>
      <c r="I13" s="132" t="n">
        <f aca="false">G13+H13</f>
        <v>110.8</v>
      </c>
      <c r="J13" s="133" t="n">
        <f aca="false">IF(L13&gt;0,L13,0)</f>
        <v>0</v>
      </c>
      <c r="K13" s="132" t="n">
        <f aca="false">I13+J13</f>
        <v>110.8</v>
      </c>
      <c r="L13" s="132" t="n">
        <f aca="false">F13-(I13-AK13)</f>
        <v>-1.39999999999999</v>
      </c>
      <c r="M13" s="231" t="n">
        <v>3.4</v>
      </c>
      <c r="N13" s="132" t="n">
        <v>0</v>
      </c>
      <c r="O13" s="132" t="n">
        <v>0</v>
      </c>
      <c r="P13" s="199" t="n">
        <v>0</v>
      </c>
      <c r="Q13" s="340" t="n">
        <f aca="false">1.596*1.02</f>
        <v>1.62792</v>
      </c>
      <c r="R13" s="340" t="n">
        <v>2.03</v>
      </c>
      <c r="S13" s="129" t="n">
        <v>0</v>
      </c>
      <c r="T13" s="92" t="n">
        <f aca="false">M13-(Q13+R13+S13)</f>
        <v>-0.25792</v>
      </c>
      <c r="U13" s="132" t="n">
        <v>56</v>
      </c>
      <c r="V13" s="132" t="n">
        <v>0</v>
      </c>
      <c r="W13" s="132" t="n">
        <f aca="false">M13-N13-O13-P13-Q13-R13-S13-T13+U13+V13</f>
        <v>56</v>
      </c>
      <c r="X13" s="132" t="n">
        <f aca="false">W13-AO13</f>
        <v>56</v>
      </c>
      <c r="Y13" s="134" t="n">
        <f aca="false">Y11+(X13*1.9835)</f>
        <v>12218.9058592</v>
      </c>
      <c r="Z13" s="104" t="n">
        <f aca="false">Z11+X13*(26300/37500)*1.9835</f>
        <v>8569.52597591894</v>
      </c>
      <c r="AA13" s="104"/>
      <c r="AB13" s="104"/>
      <c r="AC13" s="104"/>
      <c r="AD13" s="104"/>
      <c r="AE13" s="132" t="n">
        <v>0</v>
      </c>
      <c r="AF13" s="231"/>
      <c r="AG13" s="232"/>
      <c r="AH13" s="132" t="n">
        <v>50</v>
      </c>
      <c r="AI13" s="104" t="n">
        <f aca="false">AI11-AH13</f>
        <v>1787</v>
      </c>
      <c r="AJ13" s="133"/>
      <c r="AK13" s="131" t="n">
        <f aca="false">N13+O13+P13+Q13+R13+S13+T13+W13+AE13+AH13</f>
        <v>109.4</v>
      </c>
      <c r="AL13" s="132" t="n">
        <f aca="false">IF(L13&lt;0,L13*-1,0)</f>
        <v>1.39999999999999</v>
      </c>
      <c r="AM13" s="132" t="n">
        <f aca="false">AK13+AL13</f>
        <v>110.8</v>
      </c>
      <c r="AN13" s="203" t="n">
        <f aca="false">AN11+(W13*1.9835)</f>
        <v>12333.264155</v>
      </c>
      <c r="AO13" s="133"/>
      <c r="AP13" s="204"/>
      <c r="AQ13" s="104"/>
      <c r="AR13" s="104"/>
      <c r="AS13" s="204"/>
      <c r="AU13" s="9"/>
      <c r="AV13" s="205" t="n">
        <v>0</v>
      </c>
      <c r="AW13" s="134" t="n">
        <v>60</v>
      </c>
      <c r="AX13" s="134" t="n">
        <v>25</v>
      </c>
      <c r="AY13" s="303"/>
      <c r="AZ13" s="233" t="n">
        <f aca="false">SUM(N13,P13:T13)</f>
        <v>3.4</v>
      </c>
    </row>
    <row r="14" customFormat="false" ht="12.95" hidden="false" customHeight="true" outlineLevel="0" collapsed="false">
      <c r="A14" s="171" t="n">
        <f aca="false">A13+1</f>
        <v>2</v>
      </c>
      <c r="B14" s="103" t="n">
        <v>6897.99</v>
      </c>
      <c r="C14" s="104" t="n">
        <v>276225</v>
      </c>
      <c r="D14" s="134" t="n">
        <f aca="false">C14-C13</f>
        <v>-36</v>
      </c>
      <c r="E14" s="104" t="n">
        <f aca="false">C14-152000</f>
        <v>124225</v>
      </c>
      <c r="F14" s="229" t="n">
        <f aca="false">D14/$D$2</f>
        <v>-18.14973531636</v>
      </c>
      <c r="G14" s="132" t="n">
        <v>117</v>
      </c>
      <c r="H14" s="334" t="n">
        <v>3.3</v>
      </c>
      <c r="I14" s="132" t="n">
        <f aca="false">G14+H14</f>
        <v>120.3</v>
      </c>
      <c r="J14" s="133" t="n">
        <f aca="false">IF(L14&gt;0,L14,0)</f>
        <v>0</v>
      </c>
      <c r="K14" s="132" t="n">
        <f aca="false">I14+J14</f>
        <v>120.3</v>
      </c>
      <c r="L14" s="132" t="n">
        <f aca="false">F14-(I14-AK14)</f>
        <v>-26.94973531636</v>
      </c>
      <c r="M14" s="231" t="n">
        <v>3.5</v>
      </c>
      <c r="N14" s="132" t="n">
        <v>0</v>
      </c>
      <c r="O14" s="132" t="n">
        <v>0</v>
      </c>
      <c r="P14" s="199" t="n">
        <v>0</v>
      </c>
      <c r="Q14" s="340" t="n">
        <f aca="false">1.596*1.02</f>
        <v>1.62792</v>
      </c>
      <c r="R14" s="340" t="n">
        <v>2.07</v>
      </c>
      <c r="S14" s="129" t="n">
        <v>0</v>
      </c>
      <c r="T14" s="92" t="n">
        <f aca="false">M14-(Q14+R14+S14)</f>
        <v>-0.19792</v>
      </c>
      <c r="U14" s="132" t="n">
        <v>56</v>
      </c>
      <c r="V14" s="132" t="n">
        <v>0</v>
      </c>
      <c r="W14" s="132" t="n">
        <f aca="false">M14-N14-O14-P14-Q14-R14-S14-T14+U14+V14</f>
        <v>56</v>
      </c>
      <c r="X14" s="132" t="n">
        <f aca="false">W14-AO14</f>
        <v>56</v>
      </c>
      <c r="Y14" s="134" t="n">
        <f aca="false">Y13+(X14*1.9835)</f>
        <v>12329.9818592</v>
      </c>
      <c r="Z14" s="104" t="n">
        <f aca="false">Z13+X14*(26300/37500)*1.9835</f>
        <v>8647.42727725227</v>
      </c>
      <c r="AA14" s="104"/>
      <c r="AB14" s="104"/>
      <c r="AC14" s="104"/>
      <c r="AD14" s="104"/>
      <c r="AE14" s="132" t="n">
        <v>0</v>
      </c>
      <c r="AF14" s="231"/>
      <c r="AG14" s="232"/>
      <c r="AH14" s="132" t="n">
        <v>52</v>
      </c>
      <c r="AI14" s="104" t="n">
        <f aca="false">AI13-AH14</f>
        <v>1735</v>
      </c>
      <c r="AJ14" s="133"/>
      <c r="AK14" s="131" t="n">
        <f aca="false">N14+O14+P14+Q14+R14+S14+T14+W14+AE14+AH14</f>
        <v>111.5</v>
      </c>
      <c r="AL14" s="132" t="n">
        <f aca="false">IF(L14&lt;0,L14*-1,0)</f>
        <v>26.94973531636</v>
      </c>
      <c r="AM14" s="132" t="n">
        <f aca="false">AK14+AL14</f>
        <v>138.44973531636</v>
      </c>
      <c r="AN14" s="203" t="n">
        <f aca="false">AN13+(W14*1.9835)</f>
        <v>12444.340155</v>
      </c>
      <c r="AO14" s="133"/>
      <c r="AP14" s="204"/>
      <c r="AQ14" s="104"/>
      <c r="AR14" s="104"/>
      <c r="AS14" s="204"/>
      <c r="AU14" s="9"/>
      <c r="AV14" s="205" t="n">
        <v>0</v>
      </c>
      <c r="AW14" s="134" t="n">
        <v>65</v>
      </c>
      <c r="AX14" s="134" t="n">
        <v>32</v>
      </c>
      <c r="AY14" s="303"/>
      <c r="AZ14" s="233" t="n">
        <f aca="false">SUM(N14,P14:T14)</f>
        <v>3.5</v>
      </c>
    </row>
    <row r="15" customFormat="false" ht="12.95" hidden="false" customHeight="true" outlineLevel="0" collapsed="false">
      <c r="A15" s="171" t="n">
        <f aca="false">A14+1</f>
        <v>3</v>
      </c>
      <c r="B15" s="103" t="n">
        <v>6897.98</v>
      </c>
      <c r="C15" s="104" t="n">
        <v>276188</v>
      </c>
      <c r="D15" s="134" t="n">
        <f aca="false">C15-C14</f>
        <v>-37</v>
      </c>
      <c r="E15" s="104" t="n">
        <f aca="false">C15-152000</f>
        <v>124188</v>
      </c>
      <c r="F15" s="229" t="n">
        <f aca="false">D15/$D$2</f>
        <v>-18.6538946307033</v>
      </c>
      <c r="G15" s="132" t="n">
        <v>108</v>
      </c>
      <c r="H15" s="334" t="n">
        <v>3.7</v>
      </c>
      <c r="I15" s="132" t="n">
        <f aca="false">G15+H15</f>
        <v>111.7</v>
      </c>
      <c r="J15" s="133" t="n">
        <f aca="false">IF(L15&gt;0,L15,0)</f>
        <v>0</v>
      </c>
      <c r="K15" s="132" t="n">
        <f aca="false">I15+J15</f>
        <v>111.7</v>
      </c>
      <c r="L15" s="132" t="n">
        <f aca="false">F15-(I15-AK15)</f>
        <v>-19.6538946307033</v>
      </c>
      <c r="M15" s="231" t="n">
        <v>3.7</v>
      </c>
      <c r="N15" s="132" t="n">
        <v>0</v>
      </c>
      <c r="O15" s="132" t="n">
        <v>0</v>
      </c>
      <c r="P15" s="199" t="n">
        <v>0</v>
      </c>
      <c r="Q15" s="340" t="n">
        <f aca="false">1.596*1.02</f>
        <v>1.62792</v>
      </c>
      <c r="R15" s="340" t="n">
        <v>2.18</v>
      </c>
      <c r="S15" s="129" t="n">
        <v>0</v>
      </c>
      <c r="T15" s="92" t="n">
        <f aca="false">M15-(Q15+R15+S15)</f>
        <v>-0.10792</v>
      </c>
      <c r="U15" s="132" t="n">
        <v>56</v>
      </c>
      <c r="V15" s="132" t="n">
        <v>0</v>
      </c>
      <c r="W15" s="132" t="n">
        <f aca="false">M15-N15-O15-P15-Q15-R15-S15-T15+U15+V15</f>
        <v>56</v>
      </c>
      <c r="X15" s="132" t="n">
        <f aca="false">W15-AO15</f>
        <v>56</v>
      </c>
      <c r="Y15" s="134" t="n">
        <f aca="false">Y14+(X15*1.9835)</f>
        <v>12441.0578592</v>
      </c>
      <c r="Z15" s="104" t="n">
        <f aca="false">Z14+X15*(26300/37500)*1.9835</f>
        <v>8725.3285785856</v>
      </c>
      <c r="AA15" s="104"/>
      <c r="AB15" s="104"/>
      <c r="AC15" s="104"/>
      <c r="AD15" s="104"/>
      <c r="AE15" s="132" t="n">
        <v>0</v>
      </c>
      <c r="AF15" s="231"/>
      <c r="AG15" s="232"/>
      <c r="AH15" s="132" t="n">
        <v>51</v>
      </c>
      <c r="AI15" s="104" t="n">
        <f aca="false">AI14-AH15</f>
        <v>1684</v>
      </c>
      <c r="AJ15" s="133"/>
      <c r="AK15" s="131" t="n">
        <f aca="false">N15+O15+P15+Q15+R15+S15+T15+W15+AE15+AH15</f>
        <v>110.7</v>
      </c>
      <c r="AL15" s="132" t="n">
        <f aca="false">IF(L15&lt;0,L15*-1,0)</f>
        <v>19.6538946307033</v>
      </c>
      <c r="AM15" s="132" t="n">
        <f aca="false">AK15+AL15</f>
        <v>130.353894630703</v>
      </c>
      <c r="AN15" s="203" t="n">
        <f aca="false">AN14+(W15*1.9835)</f>
        <v>12555.416155</v>
      </c>
      <c r="AO15" s="133"/>
      <c r="AP15" s="204"/>
      <c r="AQ15" s="104"/>
      <c r="AR15" s="104"/>
      <c r="AS15" s="204"/>
      <c r="AU15" s="9"/>
      <c r="AV15" s="205" t="n">
        <v>0</v>
      </c>
      <c r="AW15" s="134" t="n">
        <v>59</v>
      </c>
      <c r="AX15" s="134" t="n">
        <v>38</v>
      </c>
      <c r="AY15" s="303"/>
      <c r="AZ15" s="233" t="n">
        <f aca="false">SUM(N15,P15:T15)</f>
        <v>3.7</v>
      </c>
    </row>
    <row r="16" customFormat="false" ht="12.95" hidden="false" customHeight="true" outlineLevel="0" collapsed="false">
      <c r="A16" s="171" t="n">
        <f aca="false">A15+1</f>
        <v>4</v>
      </c>
      <c r="B16" s="103" t="n">
        <v>6897.99</v>
      </c>
      <c r="C16" s="104" t="n">
        <v>276225</v>
      </c>
      <c r="D16" s="134" t="n">
        <f aca="false">C16-C15</f>
        <v>37</v>
      </c>
      <c r="E16" s="104" t="n">
        <f aca="false">C16-152000</f>
        <v>124225</v>
      </c>
      <c r="F16" s="229" t="n">
        <f aca="false">D16/$D$2</f>
        <v>18.6538946307033</v>
      </c>
      <c r="G16" s="132" t="n">
        <v>117</v>
      </c>
      <c r="H16" s="334" t="n">
        <v>4.3</v>
      </c>
      <c r="I16" s="132" t="n">
        <f aca="false">G16+H16</f>
        <v>121.3</v>
      </c>
      <c r="J16" s="133" t="n">
        <f aca="false">IF(L16&gt;0,L16,0)</f>
        <v>8.05389463070331</v>
      </c>
      <c r="K16" s="132" t="n">
        <f aca="false">I16+J16</f>
        <v>129.353894630703</v>
      </c>
      <c r="L16" s="132" t="n">
        <f aca="false">F16-(I16-AK16)</f>
        <v>8.05389463070331</v>
      </c>
      <c r="M16" s="231" t="n">
        <v>3.7</v>
      </c>
      <c r="N16" s="132" t="n">
        <v>0</v>
      </c>
      <c r="O16" s="132" t="n">
        <v>0</v>
      </c>
      <c r="P16" s="199" t="n">
        <v>0</v>
      </c>
      <c r="Q16" s="340" t="n">
        <f aca="false">1.596*1.02</f>
        <v>1.62792</v>
      </c>
      <c r="R16" s="340" t="n">
        <v>2.16</v>
      </c>
      <c r="S16" s="129" t="n">
        <v>0</v>
      </c>
      <c r="T16" s="92" t="n">
        <f aca="false">M16-(Q16+R16+S16)</f>
        <v>-0.08792</v>
      </c>
      <c r="U16" s="132" t="n">
        <v>56</v>
      </c>
      <c r="V16" s="132" t="n">
        <v>0</v>
      </c>
      <c r="W16" s="132" t="n">
        <f aca="false">M16-N16-O16-P16-Q16-R16-S16-T16+U16+V16</f>
        <v>56</v>
      </c>
      <c r="X16" s="132" t="n">
        <f aca="false">W16-AO16</f>
        <v>56</v>
      </c>
      <c r="Y16" s="134" t="n">
        <f aca="false">Y15+(X16*1.9835)</f>
        <v>12552.1338592</v>
      </c>
      <c r="Z16" s="104" t="n">
        <f aca="false">Z15+X16*(26300/37500)*1.9835</f>
        <v>8803.22987991894</v>
      </c>
      <c r="AA16" s="104"/>
      <c r="AB16" s="104"/>
      <c r="AC16" s="104"/>
      <c r="AD16" s="104"/>
      <c r="AE16" s="132" t="n">
        <v>0</v>
      </c>
      <c r="AF16" s="231"/>
      <c r="AG16" s="232"/>
      <c r="AH16" s="132" t="n">
        <v>51</v>
      </c>
      <c r="AI16" s="104" t="n">
        <f aca="false">AI15-AH16</f>
        <v>1633</v>
      </c>
      <c r="AJ16" s="133"/>
      <c r="AK16" s="131" t="n">
        <f aca="false">N16+O16+P16+Q16+R16+S16+T16+W16+AE16+AH16</f>
        <v>110.7</v>
      </c>
      <c r="AL16" s="132" t="n">
        <f aca="false">IF(L16&lt;0,L16*-1,0)</f>
        <v>0</v>
      </c>
      <c r="AM16" s="132" t="n">
        <f aca="false">AK16+AL16</f>
        <v>110.7</v>
      </c>
      <c r="AN16" s="203" t="n">
        <f aca="false">AN15+(W16*1.9835)</f>
        <v>12666.492155</v>
      </c>
      <c r="AO16" s="133"/>
      <c r="AP16" s="204"/>
      <c r="AQ16" s="104"/>
      <c r="AR16" s="104"/>
      <c r="AS16" s="204"/>
      <c r="AU16" s="9"/>
      <c r="AV16" s="205" t="n">
        <v>0</v>
      </c>
      <c r="AW16" s="134" t="n">
        <v>61</v>
      </c>
      <c r="AX16" s="134" t="n">
        <v>38</v>
      </c>
      <c r="AY16" s="303"/>
      <c r="AZ16" s="233" t="n">
        <f aca="false">SUM(N16,P16:T16)</f>
        <v>3.7</v>
      </c>
    </row>
    <row r="17" customFormat="false" ht="12.95" hidden="false" customHeight="true" outlineLevel="0" collapsed="false">
      <c r="A17" s="171" t="n">
        <f aca="false">A16+1</f>
        <v>5</v>
      </c>
      <c r="B17" s="103" t="n">
        <v>6898</v>
      </c>
      <c r="C17" s="104" t="n">
        <v>276261</v>
      </c>
      <c r="D17" s="134" t="n">
        <f aca="false">C17-C16</f>
        <v>36</v>
      </c>
      <c r="E17" s="104" t="n">
        <f aca="false">C17-152000</f>
        <v>124261</v>
      </c>
      <c r="F17" s="229" t="n">
        <f aca="false">D17/$D$2</f>
        <v>18.14973531636</v>
      </c>
      <c r="G17" s="132" t="n">
        <v>118</v>
      </c>
      <c r="H17" s="334" t="n">
        <v>4.8</v>
      </c>
      <c r="I17" s="132" t="n">
        <f aca="false">G17+H17</f>
        <v>122.8</v>
      </c>
      <c r="J17" s="133" t="n">
        <f aca="false">IF(L17&gt;0,L17,0)</f>
        <v>5.84973531635997</v>
      </c>
      <c r="K17" s="132" t="n">
        <f aca="false">I17+J17</f>
        <v>128.64973531636</v>
      </c>
      <c r="L17" s="132" t="n">
        <f aca="false">F17-(I17-AK17)</f>
        <v>5.84973531635997</v>
      </c>
      <c r="M17" s="231" t="n">
        <v>3.5</v>
      </c>
      <c r="N17" s="132" t="n">
        <v>0</v>
      </c>
      <c r="O17" s="132" t="n">
        <v>0</v>
      </c>
      <c r="P17" s="199" t="n">
        <v>0</v>
      </c>
      <c r="Q17" s="340" t="n">
        <f aca="false">1.596*1.02</f>
        <v>1.62792</v>
      </c>
      <c r="R17" s="340" t="n">
        <v>2.24</v>
      </c>
      <c r="S17" s="129" t="n">
        <v>0</v>
      </c>
      <c r="T17" s="92" t="n">
        <f aca="false">M17-(Q17+R17+S17)</f>
        <v>-0.36792</v>
      </c>
      <c r="U17" s="132" t="n">
        <v>56</v>
      </c>
      <c r="V17" s="132" t="n">
        <v>0</v>
      </c>
      <c r="W17" s="132" t="n">
        <f aca="false">M17-N17-O17-P17-Q17-R17-S17-T17+U17+V17</f>
        <v>56</v>
      </c>
      <c r="X17" s="132" t="n">
        <f aca="false">W17-AO17</f>
        <v>56</v>
      </c>
      <c r="Y17" s="134" t="n">
        <f aca="false">Y16+(X17*1.9835)</f>
        <v>12663.2098592</v>
      </c>
      <c r="Z17" s="104" t="n">
        <f aca="false">Z16+X17*(26300/37500)*1.9835</f>
        <v>8881.13118125227</v>
      </c>
      <c r="AA17" s="104"/>
      <c r="AB17" s="104"/>
      <c r="AC17" s="104"/>
      <c r="AD17" s="104"/>
      <c r="AE17" s="132" t="n">
        <v>0</v>
      </c>
      <c r="AF17" s="231"/>
      <c r="AG17" s="232"/>
      <c r="AH17" s="132" t="n">
        <v>51</v>
      </c>
      <c r="AI17" s="104" t="n">
        <f aca="false">AI16-AH17</f>
        <v>1582</v>
      </c>
      <c r="AJ17" s="133"/>
      <c r="AK17" s="131" t="n">
        <f aca="false">N17+O17+P17+Q17+R17+S17+T17+W17+AE17+AH17</f>
        <v>110.5</v>
      </c>
      <c r="AL17" s="132" t="n">
        <f aca="false">IF(L17&lt;0,L17*-1,0)</f>
        <v>0</v>
      </c>
      <c r="AM17" s="132" t="n">
        <f aca="false">AK17+AL17</f>
        <v>110.5</v>
      </c>
      <c r="AN17" s="203" t="n">
        <f aca="false">AN16+(W17*1.9835)</f>
        <v>12777.568155</v>
      </c>
      <c r="AO17" s="133"/>
      <c r="AP17" s="204"/>
      <c r="AQ17" s="104"/>
      <c r="AR17" s="104"/>
      <c r="AS17" s="204"/>
      <c r="AU17" s="9"/>
      <c r="AV17" s="205" t="n">
        <v>0</v>
      </c>
      <c r="AW17" s="134" t="n">
        <v>53</v>
      </c>
      <c r="AX17" s="134" t="n">
        <v>34</v>
      </c>
      <c r="AY17" s="303"/>
      <c r="AZ17" s="233" t="n">
        <f aca="false">SUM(N17,P17:T17)</f>
        <v>3.5</v>
      </c>
    </row>
    <row r="18" customFormat="false" ht="12.95" hidden="false" customHeight="true" outlineLevel="0" collapsed="false">
      <c r="A18" s="171" t="n">
        <f aca="false">A17+1</f>
        <v>6</v>
      </c>
      <c r="B18" s="103" t="n">
        <v>6898.01</v>
      </c>
      <c r="C18" s="104" t="n">
        <v>276297</v>
      </c>
      <c r="D18" s="134" t="n">
        <f aca="false">C18-C17</f>
        <v>36</v>
      </c>
      <c r="E18" s="104" t="n">
        <f aca="false">C18-152000</f>
        <v>124297</v>
      </c>
      <c r="F18" s="229" t="n">
        <f aca="false">D18/$D$2</f>
        <v>18.14973531636</v>
      </c>
      <c r="G18" s="132" t="n">
        <v>118</v>
      </c>
      <c r="H18" s="334" t="n">
        <v>6.2</v>
      </c>
      <c r="I18" s="132" t="n">
        <f aca="false">G18+H18</f>
        <v>124.2</v>
      </c>
      <c r="J18" s="133" t="n">
        <f aca="false">IF(L18&gt;0,L18,0)</f>
        <v>4.34973531635997</v>
      </c>
      <c r="K18" s="132" t="n">
        <f aca="false">I18+J18</f>
        <v>128.54973531636</v>
      </c>
      <c r="L18" s="132" t="n">
        <f aca="false">F18-(I18-AK18)</f>
        <v>4.34973531635997</v>
      </c>
      <c r="M18" s="231" t="n">
        <v>3.4</v>
      </c>
      <c r="N18" s="132" t="n">
        <v>0</v>
      </c>
      <c r="O18" s="132" t="n">
        <v>0</v>
      </c>
      <c r="P18" s="199" t="n">
        <v>0</v>
      </c>
      <c r="Q18" s="340" t="n">
        <f aca="false">1.596*1.02</f>
        <v>1.62792</v>
      </c>
      <c r="R18" s="340" t="n">
        <v>2.26</v>
      </c>
      <c r="S18" s="129" t="n">
        <v>0</v>
      </c>
      <c r="T18" s="92" t="n">
        <f aca="false">M18-(Q18+R18+S18)</f>
        <v>-0.48792</v>
      </c>
      <c r="U18" s="132" t="n">
        <v>56</v>
      </c>
      <c r="V18" s="132" t="n">
        <v>0</v>
      </c>
      <c r="W18" s="132" t="n">
        <f aca="false">M18-N18-O18-P18-Q18-R18-S18-T18+U18+V18</f>
        <v>56</v>
      </c>
      <c r="X18" s="132" t="n">
        <f aca="false">W18-AO18</f>
        <v>56</v>
      </c>
      <c r="Y18" s="134" t="n">
        <f aca="false">Y17+(X18*1.9835)</f>
        <v>12774.2858592</v>
      </c>
      <c r="Z18" s="104" t="n">
        <f aca="false">Z17+X18*(26300/37500)*1.9835</f>
        <v>8959.0324825856</v>
      </c>
      <c r="AA18" s="104"/>
      <c r="AB18" s="104"/>
      <c r="AC18" s="104"/>
      <c r="AD18" s="104"/>
      <c r="AE18" s="132" t="n">
        <v>0</v>
      </c>
      <c r="AF18" s="231"/>
      <c r="AG18" s="232"/>
      <c r="AH18" s="132" t="n">
        <v>51</v>
      </c>
      <c r="AI18" s="104" t="n">
        <f aca="false">AI17-AH18</f>
        <v>1531</v>
      </c>
      <c r="AJ18" s="133"/>
      <c r="AK18" s="131" t="n">
        <f aca="false">N18+O18+P18+Q18+R18+S18+T18+W18+AE18+AH18</f>
        <v>110.4</v>
      </c>
      <c r="AL18" s="132" t="n">
        <f aca="false">IF(L18&lt;0,L18*-1,0)</f>
        <v>0</v>
      </c>
      <c r="AM18" s="132" t="n">
        <f aca="false">AK18+AL18</f>
        <v>110.4</v>
      </c>
      <c r="AN18" s="203" t="n">
        <f aca="false">AN17+(W18*1.9835)</f>
        <v>12888.644155</v>
      </c>
      <c r="AO18" s="133"/>
      <c r="AP18" s="132"/>
      <c r="AQ18" s="104"/>
      <c r="AR18" s="104"/>
      <c r="AS18" s="204"/>
      <c r="AU18" s="9"/>
      <c r="AV18" s="205" t="n">
        <v>0</v>
      </c>
      <c r="AW18" s="134" t="n">
        <v>48</v>
      </c>
      <c r="AX18" s="134" t="n">
        <v>34</v>
      </c>
      <c r="AY18" s="303"/>
      <c r="AZ18" s="233" t="n">
        <f aca="false">SUM(N18,P18:T18)</f>
        <v>3.4</v>
      </c>
    </row>
    <row r="19" customFormat="false" ht="12.95" hidden="false" customHeight="true" outlineLevel="0" collapsed="false">
      <c r="A19" s="171" t="n">
        <f aca="false">A18+1</f>
        <v>7</v>
      </c>
      <c r="B19" s="103" t="n">
        <v>6898.01</v>
      </c>
      <c r="C19" s="104" t="n">
        <v>276297</v>
      </c>
      <c r="D19" s="134" t="n">
        <f aca="false">C19-C18</f>
        <v>0</v>
      </c>
      <c r="E19" s="104" t="n">
        <f aca="false">C19-152000</f>
        <v>124297</v>
      </c>
      <c r="F19" s="229" t="n">
        <f aca="false">D19/$D$2</f>
        <v>0</v>
      </c>
      <c r="G19" s="132" t="n">
        <v>115</v>
      </c>
      <c r="H19" s="334" t="n">
        <v>5.8</v>
      </c>
      <c r="I19" s="132" t="n">
        <f aca="false">G19+H19</f>
        <v>120.8</v>
      </c>
      <c r="J19" s="133" t="n">
        <f aca="false">IF(L19&gt;0,L19,0)</f>
        <v>0</v>
      </c>
      <c r="K19" s="132" t="n">
        <f aca="false">I19+J19</f>
        <v>120.8</v>
      </c>
      <c r="L19" s="132" t="n">
        <f aca="false">F19-(I19-AK19)</f>
        <v>-10.3</v>
      </c>
      <c r="M19" s="231" t="n">
        <v>3.5</v>
      </c>
      <c r="N19" s="132" t="n">
        <v>0</v>
      </c>
      <c r="O19" s="132" t="n">
        <v>0</v>
      </c>
      <c r="P19" s="199" t="n">
        <v>0</v>
      </c>
      <c r="Q19" s="340" t="n">
        <f aca="false">1.596*1.02</f>
        <v>1.62792</v>
      </c>
      <c r="R19" s="340" t="n">
        <v>2.23</v>
      </c>
      <c r="S19" s="129" t="n">
        <v>0</v>
      </c>
      <c r="T19" s="92" t="n">
        <f aca="false">M19-(Q19+R19+S19)</f>
        <v>-0.35792</v>
      </c>
      <c r="U19" s="132" t="n">
        <v>56</v>
      </c>
      <c r="V19" s="132" t="n">
        <v>0</v>
      </c>
      <c r="W19" s="132" t="n">
        <f aca="false">M19-N19-O19-P19-Q19-R19-S19-T19+U19+V19</f>
        <v>56</v>
      </c>
      <c r="X19" s="132" t="n">
        <f aca="false">W19-AO19</f>
        <v>56</v>
      </c>
      <c r="Y19" s="134" t="n">
        <f aca="false">Y18+(X19*1.9835)</f>
        <v>12885.3618592</v>
      </c>
      <c r="Z19" s="104" t="n">
        <f aca="false">Z18+X19*(26300/37500)*1.9835</f>
        <v>9036.93378391894</v>
      </c>
      <c r="AA19" s="104"/>
      <c r="AB19" s="104"/>
      <c r="AC19" s="104"/>
      <c r="AD19" s="104"/>
      <c r="AE19" s="132" t="n">
        <v>0</v>
      </c>
      <c r="AF19" s="231"/>
      <c r="AG19" s="232"/>
      <c r="AH19" s="132" t="n">
        <v>51</v>
      </c>
      <c r="AI19" s="104" t="n">
        <f aca="false">AI18-AH19</f>
        <v>1480</v>
      </c>
      <c r="AJ19" s="133"/>
      <c r="AK19" s="131" t="n">
        <f aca="false">N19+O19+P19+Q19+R19+S19+T19+W19+AE19+AH19</f>
        <v>110.5</v>
      </c>
      <c r="AL19" s="132" t="n">
        <f aca="false">IF(L19&lt;0,L19*-1,0)</f>
        <v>10.3</v>
      </c>
      <c r="AM19" s="132" t="n">
        <f aca="false">AK19+AL19</f>
        <v>120.8</v>
      </c>
      <c r="AN19" s="203" t="n">
        <f aca="false">AN18+(W19*1.9835)</f>
        <v>12999.720155</v>
      </c>
      <c r="AO19" s="133"/>
      <c r="AP19" s="132"/>
      <c r="AQ19" s="104"/>
      <c r="AR19" s="104"/>
      <c r="AS19" s="204"/>
      <c r="AU19" s="9"/>
      <c r="AV19" s="205" t="n">
        <v>0</v>
      </c>
      <c r="AW19" s="134" t="n">
        <v>37</v>
      </c>
      <c r="AX19" s="134" t="n">
        <v>21</v>
      </c>
      <c r="AY19" s="303"/>
      <c r="AZ19" s="233" t="n">
        <f aca="false">SUM(N19,P19:T19)</f>
        <v>3.5</v>
      </c>
    </row>
    <row r="20" customFormat="false" ht="12.95" hidden="false" customHeight="true" outlineLevel="0" collapsed="false">
      <c r="A20" s="171" t="n">
        <f aca="false">A19+1</f>
        <v>8</v>
      </c>
      <c r="B20" s="103" t="n">
        <v>6898.02</v>
      </c>
      <c r="C20" s="104" t="n">
        <v>276334</v>
      </c>
      <c r="D20" s="134" t="n">
        <f aca="false">C20-C19</f>
        <v>37</v>
      </c>
      <c r="E20" s="104" t="n">
        <f aca="false">C20-152000</f>
        <v>124334</v>
      </c>
      <c r="F20" s="229" t="n">
        <f aca="false">D20/$D$2</f>
        <v>18.6538946307033</v>
      </c>
      <c r="G20" s="132" t="n">
        <v>91</v>
      </c>
      <c r="H20" s="334" t="n">
        <v>5.6</v>
      </c>
      <c r="I20" s="132" t="n">
        <f aca="false">G20+H20</f>
        <v>96.6</v>
      </c>
      <c r="J20" s="133" t="n">
        <f aca="false">IF(L20&gt;0,L20,0)</f>
        <v>33.0538946307033</v>
      </c>
      <c r="K20" s="132" t="n">
        <f aca="false">I20+J20</f>
        <v>129.653894630703</v>
      </c>
      <c r="L20" s="132" t="n">
        <f aca="false">F20-(I20-AK20)</f>
        <v>33.0538946307033</v>
      </c>
      <c r="M20" s="231" t="n">
        <v>4</v>
      </c>
      <c r="N20" s="132" t="n">
        <v>0</v>
      </c>
      <c r="O20" s="132" t="n">
        <v>0</v>
      </c>
      <c r="P20" s="199" t="n">
        <v>0</v>
      </c>
      <c r="Q20" s="340" t="n">
        <f aca="false">1.596*1.02</f>
        <v>1.62792</v>
      </c>
      <c r="R20" s="340" t="n">
        <v>2.41</v>
      </c>
      <c r="S20" s="129" t="n">
        <v>0</v>
      </c>
      <c r="T20" s="92" t="n">
        <f aca="false">M20-(Q20+R20+S20)</f>
        <v>-0.0379199999999997</v>
      </c>
      <c r="U20" s="132" t="n">
        <v>56</v>
      </c>
      <c r="V20" s="132" t="n">
        <v>0</v>
      </c>
      <c r="W20" s="132" t="n">
        <f aca="false">M20-N20-O20-P20-Q20-R20-S20-T20+U20+V20</f>
        <v>56</v>
      </c>
      <c r="X20" s="132" t="n">
        <f aca="false">W20-AO20</f>
        <v>56</v>
      </c>
      <c r="Y20" s="134" t="n">
        <f aca="false">Y19+(X20*1.9835)</f>
        <v>12996.4378592</v>
      </c>
      <c r="Z20" s="104" t="n">
        <f aca="false">Z19+X20*(26300/37500)*1.9835</f>
        <v>9114.83508525227</v>
      </c>
      <c r="AA20" s="104"/>
      <c r="AB20" s="104"/>
      <c r="AC20" s="104"/>
      <c r="AD20" s="104"/>
      <c r="AE20" s="132" t="n">
        <v>0</v>
      </c>
      <c r="AF20" s="231"/>
      <c r="AG20" s="232"/>
      <c r="AH20" s="132" t="n">
        <v>51</v>
      </c>
      <c r="AI20" s="104" t="n">
        <f aca="false">AI19-AH20</f>
        <v>1429</v>
      </c>
      <c r="AJ20" s="133"/>
      <c r="AK20" s="131" t="n">
        <f aca="false">N20+O20+P20+Q20+R20+S20+T20+W20+AE20+AH20</f>
        <v>111</v>
      </c>
      <c r="AL20" s="132" t="n">
        <f aca="false">IF(L20&lt;0,L20*-1,0)</f>
        <v>0</v>
      </c>
      <c r="AM20" s="132" t="n">
        <f aca="false">AK20+AL20</f>
        <v>111</v>
      </c>
      <c r="AN20" s="203" t="n">
        <f aca="false">AN19+(W20*1.9835)</f>
        <v>13110.796155</v>
      </c>
      <c r="AO20" s="133"/>
      <c r="AP20" s="132"/>
      <c r="AQ20" s="104"/>
      <c r="AR20" s="104"/>
      <c r="AS20" s="204"/>
      <c r="AU20" s="9"/>
      <c r="AV20" s="205" t="n">
        <v>0</v>
      </c>
      <c r="AW20" s="134" t="n">
        <v>49</v>
      </c>
      <c r="AX20" s="134" t="n">
        <v>17</v>
      </c>
      <c r="AY20" s="303"/>
      <c r="AZ20" s="233" t="n">
        <f aca="false">SUM(N20,P20:T20)</f>
        <v>4</v>
      </c>
    </row>
    <row r="21" customFormat="false" ht="12.95" hidden="false" customHeight="true" outlineLevel="0" collapsed="false">
      <c r="A21" s="171" t="n">
        <f aca="false">A20+1</f>
        <v>9</v>
      </c>
      <c r="B21" s="103" t="n">
        <v>6898.02</v>
      </c>
      <c r="C21" s="104" t="n">
        <v>276334</v>
      </c>
      <c r="D21" s="134" t="n">
        <f aca="false">C21-C20</f>
        <v>0</v>
      </c>
      <c r="E21" s="104" t="n">
        <f aca="false">C21-152000</f>
        <v>124334</v>
      </c>
      <c r="F21" s="229" t="n">
        <f aca="false">D21/$D$2</f>
        <v>0</v>
      </c>
      <c r="G21" s="132" t="n">
        <v>99</v>
      </c>
      <c r="H21" s="334" t="n">
        <v>4</v>
      </c>
      <c r="I21" s="132" t="n">
        <f aca="false">G21+H21</f>
        <v>103</v>
      </c>
      <c r="J21" s="133" t="n">
        <f aca="false">IF(L21&gt;0,L21,0)</f>
        <v>7.59999999999999</v>
      </c>
      <c r="K21" s="132" t="n">
        <f aca="false">I21+J21</f>
        <v>110.6</v>
      </c>
      <c r="L21" s="132" t="n">
        <f aca="false">F21-(I21-AK21)</f>
        <v>7.59999999999999</v>
      </c>
      <c r="M21" s="231" t="n">
        <v>3.6</v>
      </c>
      <c r="N21" s="132" t="n">
        <v>0</v>
      </c>
      <c r="O21" s="132" t="n">
        <v>0</v>
      </c>
      <c r="P21" s="199" t="n">
        <v>0</v>
      </c>
      <c r="Q21" s="340" t="n">
        <f aca="false">1.596*1.02</f>
        <v>1.62792</v>
      </c>
      <c r="R21" s="340" t="n">
        <v>2.73</v>
      </c>
      <c r="S21" s="129" t="n">
        <v>0</v>
      </c>
      <c r="T21" s="92" t="n">
        <f aca="false">M21-(Q21+R21+S21)</f>
        <v>-0.75792</v>
      </c>
      <c r="U21" s="132" t="n">
        <v>56</v>
      </c>
      <c r="V21" s="132" t="n">
        <v>0</v>
      </c>
      <c r="W21" s="132" t="n">
        <f aca="false">M21-N21-O21-P21-Q21-R21-S21-T21+U21+V21</f>
        <v>56</v>
      </c>
      <c r="X21" s="132" t="n">
        <f aca="false">W21-AO21</f>
        <v>56</v>
      </c>
      <c r="Y21" s="134" t="n">
        <f aca="false">Y20+(X21*1.9835)</f>
        <v>13107.5138592</v>
      </c>
      <c r="Z21" s="104" t="n">
        <f aca="false">Z20+X21*(26300/37500)*1.9835</f>
        <v>9192.7363865856</v>
      </c>
      <c r="AA21" s="104"/>
      <c r="AB21" s="104"/>
      <c r="AC21" s="104"/>
      <c r="AD21" s="104"/>
      <c r="AE21" s="132" t="n">
        <v>0</v>
      </c>
      <c r="AF21" s="231"/>
      <c r="AG21" s="232"/>
      <c r="AH21" s="132" t="n">
        <v>51</v>
      </c>
      <c r="AI21" s="104" t="n">
        <f aca="false">AI20-AH21</f>
        <v>1378</v>
      </c>
      <c r="AJ21" s="133"/>
      <c r="AK21" s="131" t="n">
        <f aca="false">N21+O21+P21+Q21+R21+S21+T21+W21+AE21+AH21</f>
        <v>110.6</v>
      </c>
      <c r="AL21" s="132" t="n">
        <f aca="false">IF(L21&lt;0,L21*-1,0)</f>
        <v>0</v>
      </c>
      <c r="AM21" s="132" t="n">
        <f aca="false">AK21+AL21</f>
        <v>110.6</v>
      </c>
      <c r="AN21" s="203" t="n">
        <f aca="false">AN20+(W21*1.9835)</f>
        <v>13221.872155</v>
      </c>
      <c r="AO21" s="133"/>
      <c r="AP21" s="132"/>
      <c r="AQ21" s="104"/>
      <c r="AR21" s="104"/>
      <c r="AS21" s="204"/>
      <c r="AU21" s="9"/>
      <c r="AV21" s="205" t="n">
        <v>0</v>
      </c>
      <c r="AW21" s="204" t="n">
        <v>50</v>
      </c>
      <c r="AX21" s="134" t="n">
        <v>31</v>
      </c>
      <c r="AY21" s="303"/>
      <c r="AZ21" s="233" t="n">
        <f aca="false">SUM(N21,P21:T21)</f>
        <v>3.6</v>
      </c>
    </row>
    <row r="22" customFormat="false" ht="12.95" hidden="false" customHeight="true" outlineLevel="0" collapsed="false">
      <c r="A22" s="171" t="n">
        <f aca="false">A21+1</f>
        <v>10</v>
      </c>
      <c r="B22" s="103" t="n">
        <v>6898.02</v>
      </c>
      <c r="C22" s="104" t="n">
        <v>276334</v>
      </c>
      <c r="D22" s="134" t="n">
        <f aca="false">C22-C21</f>
        <v>0</v>
      </c>
      <c r="E22" s="104" t="n">
        <f aca="false">C22-152000</f>
        <v>124334</v>
      </c>
      <c r="F22" s="229" t="n">
        <f aca="false">D22/$D$2</f>
        <v>0</v>
      </c>
      <c r="G22" s="132" t="n">
        <v>96</v>
      </c>
      <c r="H22" s="334" t="n">
        <v>3.5</v>
      </c>
      <c r="I22" s="132" t="n">
        <f aca="false">G22+H22</f>
        <v>99.5</v>
      </c>
      <c r="J22" s="133" t="n">
        <f aca="false">IF(L22&gt;0,L22,0)</f>
        <v>11.9</v>
      </c>
      <c r="K22" s="132" t="n">
        <f aca="false">I22+J22</f>
        <v>111.4</v>
      </c>
      <c r="L22" s="132" t="n">
        <f aca="false">F22-(I22-AK22)</f>
        <v>11.9</v>
      </c>
      <c r="M22" s="231" t="n">
        <v>3.4</v>
      </c>
      <c r="N22" s="132" t="n">
        <v>0</v>
      </c>
      <c r="O22" s="132" t="n">
        <v>0</v>
      </c>
      <c r="P22" s="199" t="n">
        <v>0</v>
      </c>
      <c r="Q22" s="340" t="n">
        <f aca="false">1.596*1.02</f>
        <v>1.62792</v>
      </c>
      <c r="R22" s="340" t="n">
        <v>2.09</v>
      </c>
      <c r="S22" s="129" t="n">
        <v>0</v>
      </c>
      <c r="T22" s="92" t="n">
        <f aca="false">M22-(Q22+R22+S22)</f>
        <v>-0.31792</v>
      </c>
      <c r="U22" s="132" t="n">
        <v>56</v>
      </c>
      <c r="V22" s="132" t="n">
        <v>0</v>
      </c>
      <c r="W22" s="132" t="n">
        <f aca="false">M22-N22-O22-P22-Q22-R22-S22-T22+U22+V22</f>
        <v>56</v>
      </c>
      <c r="X22" s="132" t="n">
        <f aca="false">W22-AO22</f>
        <v>56</v>
      </c>
      <c r="Y22" s="134" t="n">
        <f aca="false">Y21+(X22*1.9835)</f>
        <v>13218.5898592</v>
      </c>
      <c r="Z22" s="104" t="n">
        <f aca="false">Z21+X22*(26300/37500)*1.9835</f>
        <v>9270.63768791894</v>
      </c>
      <c r="AA22" s="104"/>
      <c r="AB22" s="104"/>
      <c r="AC22" s="104"/>
      <c r="AD22" s="104"/>
      <c r="AE22" s="132" t="n">
        <v>0</v>
      </c>
      <c r="AF22" s="231"/>
      <c r="AG22" s="232"/>
      <c r="AH22" s="132" t="n">
        <v>52</v>
      </c>
      <c r="AI22" s="104" t="n">
        <f aca="false">AI21-AH22</f>
        <v>1326</v>
      </c>
      <c r="AJ22" s="133"/>
      <c r="AK22" s="131" t="n">
        <f aca="false">N22+O22+P22+Q22+R22+S22+T22+W22+AE22+AH22</f>
        <v>111.4</v>
      </c>
      <c r="AL22" s="132" t="n">
        <f aca="false">IF(L22&lt;0,L22*-1,0)</f>
        <v>0</v>
      </c>
      <c r="AM22" s="132" t="n">
        <f aca="false">AK22+AL22</f>
        <v>111.4</v>
      </c>
      <c r="AN22" s="203" t="n">
        <f aca="false">AN21+(W22*1.9835)</f>
        <v>13332.948155</v>
      </c>
      <c r="AO22" s="133"/>
      <c r="AP22" s="132"/>
      <c r="AQ22" s="104"/>
      <c r="AR22" s="104"/>
      <c r="AS22" s="204"/>
      <c r="AU22" s="9"/>
      <c r="AV22" s="205" t="n">
        <v>0</v>
      </c>
      <c r="AW22" s="134" t="n">
        <v>41</v>
      </c>
      <c r="AX22" s="134" t="n">
        <v>22</v>
      </c>
      <c r="AY22" s="303"/>
      <c r="AZ22" s="233" t="n">
        <f aca="false">SUM(N22,P22:T22)</f>
        <v>3.4</v>
      </c>
    </row>
    <row r="23" customFormat="false" ht="12.95" hidden="false" customHeight="true" outlineLevel="0" collapsed="false">
      <c r="A23" s="171" t="n">
        <f aca="false">A22+1</f>
        <v>11</v>
      </c>
      <c r="B23" s="103" t="n">
        <v>6898.02</v>
      </c>
      <c r="C23" s="104" t="n">
        <v>276334</v>
      </c>
      <c r="D23" s="134" t="n">
        <f aca="false">C23-C22</f>
        <v>0</v>
      </c>
      <c r="E23" s="104" t="n">
        <f aca="false">C23-152000</f>
        <v>124334</v>
      </c>
      <c r="F23" s="229" t="n">
        <f aca="false">D23/$D$2</f>
        <v>0</v>
      </c>
      <c r="G23" s="132" t="n">
        <v>77</v>
      </c>
      <c r="H23" s="334" t="n">
        <v>2.8</v>
      </c>
      <c r="I23" s="132" t="n">
        <f aca="false">G23+H23</f>
        <v>79.8</v>
      </c>
      <c r="J23" s="133" t="n">
        <f aca="false">IF(L23&gt;0,L23,0)</f>
        <v>30.4</v>
      </c>
      <c r="K23" s="132" t="n">
        <f aca="false">I23+J23</f>
        <v>110.2</v>
      </c>
      <c r="L23" s="132" t="n">
        <f aca="false">F23-(I23-AK23)</f>
        <v>30.4</v>
      </c>
      <c r="M23" s="231" t="n">
        <v>3.2</v>
      </c>
      <c r="N23" s="132" t="n">
        <v>0</v>
      </c>
      <c r="O23" s="132" t="n">
        <v>0</v>
      </c>
      <c r="P23" s="199" t="n">
        <v>0</v>
      </c>
      <c r="Q23" s="340" t="n">
        <f aca="false">1.596*1.02</f>
        <v>1.62792</v>
      </c>
      <c r="R23" s="340" t="n">
        <v>2.15</v>
      </c>
      <c r="S23" s="129" t="n">
        <v>0</v>
      </c>
      <c r="T23" s="92" t="n">
        <f aca="false">M23-(Q23+R23+S23)</f>
        <v>-0.57792</v>
      </c>
      <c r="U23" s="132" t="n">
        <v>55</v>
      </c>
      <c r="V23" s="132" t="n">
        <v>0</v>
      </c>
      <c r="W23" s="132" t="n">
        <f aca="false">M23-N23-O23-P23-Q23-R23-S23-T23+U23+V23</f>
        <v>55</v>
      </c>
      <c r="X23" s="132" t="n">
        <f aca="false">W23-AO23</f>
        <v>55</v>
      </c>
      <c r="Y23" s="134" t="n">
        <f aca="false">Y22+(X23*1.9835)</f>
        <v>13327.6823592</v>
      </c>
      <c r="Z23" s="104" t="n">
        <f aca="false">Z22+X23*(26300/37500)*1.9835</f>
        <v>9347.1478945856</v>
      </c>
      <c r="AA23" s="104"/>
      <c r="AB23" s="104"/>
      <c r="AC23" s="104"/>
      <c r="AD23" s="104"/>
      <c r="AE23" s="132" t="n">
        <v>0</v>
      </c>
      <c r="AF23" s="231"/>
      <c r="AG23" s="232"/>
      <c r="AH23" s="132" t="n">
        <v>52</v>
      </c>
      <c r="AI23" s="104" t="n">
        <f aca="false">AI22-AH23</f>
        <v>1274</v>
      </c>
      <c r="AJ23" s="133"/>
      <c r="AK23" s="131" t="n">
        <f aca="false">N23+O23+P23+Q23+R23+S23+T23+W23+AE23+AH23</f>
        <v>110.2</v>
      </c>
      <c r="AL23" s="132" t="n">
        <f aca="false">IF(L23&lt;0,L23*-1,0)</f>
        <v>0</v>
      </c>
      <c r="AM23" s="132" t="n">
        <f aca="false">AK23+AL23</f>
        <v>110.2</v>
      </c>
      <c r="AN23" s="203" t="n">
        <f aca="false">AN22+(W23*1.9835)</f>
        <v>13442.040655</v>
      </c>
      <c r="AO23" s="133"/>
      <c r="AP23" s="132"/>
      <c r="AQ23" s="104"/>
      <c r="AR23" s="104"/>
      <c r="AS23" s="204"/>
      <c r="AU23" s="9"/>
      <c r="AV23" s="205" t="n">
        <v>0</v>
      </c>
      <c r="AW23" s="134" t="n">
        <v>56</v>
      </c>
      <c r="AX23" s="134" t="n">
        <v>15</v>
      </c>
      <c r="AY23" s="303"/>
      <c r="AZ23" s="233" t="n">
        <f aca="false">SUM(N23,P23:T23)</f>
        <v>3.2</v>
      </c>
    </row>
    <row r="24" customFormat="false" ht="12.95" hidden="false" customHeight="true" outlineLevel="0" collapsed="false">
      <c r="A24" s="171" t="n">
        <f aca="false">A23+1</f>
        <v>12</v>
      </c>
      <c r="B24" s="103" t="n">
        <v>6898.04</v>
      </c>
      <c r="C24" s="104" t="n">
        <v>276407</v>
      </c>
      <c r="D24" s="134" t="n">
        <f aca="false">C24-C23</f>
        <v>73</v>
      </c>
      <c r="E24" s="104" t="n">
        <f aca="false">C24-152000</f>
        <v>124407</v>
      </c>
      <c r="F24" s="229" t="n">
        <f aca="false">D24/$D$2</f>
        <v>36.8036299470633</v>
      </c>
      <c r="G24" s="132" t="n">
        <v>92</v>
      </c>
      <c r="H24" s="334" t="n">
        <v>2.5</v>
      </c>
      <c r="I24" s="132" t="n">
        <f aca="false">G24+H24</f>
        <v>94.5</v>
      </c>
      <c r="J24" s="133" t="n">
        <f aca="false">IF(L24&gt;0,L24,0)</f>
        <v>30.5036299470633</v>
      </c>
      <c r="K24" s="132" t="n">
        <f aca="false">I24+J24</f>
        <v>125.003629947063</v>
      </c>
      <c r="L24" s="132" t="n">
        <f aca="false">F24-(I24-AK24)</f>
        <v>30.5036299470633</v>
      </c>
      <c r="M24" s="231" t="n">
        <v>3.2</v>
      </c>
      <c r="N24" s="132" t="n">
        <v>0</v>
      </c>
      <c r="O24" s="132" t="n">
        <v>0</v>
      </c>
      <c r="P24" s="199" t="n">
        <v>0</v>
      </c>
      <c r="Q24" s="340" t="n">
        <f aca="false">1.596*1.02</f>
        <v>1.62792</v>
      </c>
      <c r="R24" s="340" t="n">
        <v>2.45</v>
      </c>
      <c r="S24" s="129" t="n">
        <v>0</v>
      </c>
      <c r="T24" s="92" t="n">
        <f aca="false">M24-(Q24+R24+S24)</f>
        <v>-0.877920000000001</v>
      </c>
      <c r="U24" s="132" t="n">
        <v>32</v>
      </c>
      <c r="V24" s="132" t="n">
        <v>0</v>
      </c>
      <c r="W24" s="132" t="n">
        <f aca="false">M24-N24-O24-P24-Q24-R24-S24-T24+U24+V24</f>
        <v>32</v>
      </c>
      <c r="X24" s="132" t="n">
        <f aca="false">W24-AO24</f>
        <v>32</v>
      </c>
      <c r="Y24" s="134" t="n">
        <f aca="false">Y23+(X24*1.9835)</f>
        <v>13391.1543592</v>
      </c>
      <c r="Z24" s="104" t="n">
        <f aca="false">Z23+X24*(26300/37500)*1.9835</f>
        <v>9391.66292391894</v>
      </c>
      <c r="AA24" s="104"/>
      <c r="AB24" s="104"/>
      <c r="AC24" s="104"/>
      <c r="AD24" s="104"/>
      <c r="AE24" s="132" t="n">
        <v>0</v>
      </c>
      <c r="AF24" s="231"/>
      <c r="AG24" s="232"/>
      <c r="AH24" s="132" t="n">
        <v>53</v>
      </c>
      <c r="AI24" s="104" t="n">
        <f aca="false">AI23-AH24</f>
        <v>1221</v>
      </c>
      <c r="AJ24" s="133"/>
      <c r="AK24" s="131" t="n">
        <f aca="false">N24+O24+P24+Q24+R24+S24+T24+W24+AE24+AH24</f>
        <v>88.2</v>
      </c>
      <c r="AL24" s="132" t="n">
        <f aca="false">IF(L24&lt;0,L24*-1,0)</f>
        <v>0</v>
      </c>
      <c r="AM24" s="132" t="n">
        <f aca="false">AK24+AL24</f>
        <v>88.2</v>
      </c>
      <c r="AN24" s="203" t="n">
        <f aca="false">AN23+(W24*1.9835)</f>
        <v>13505.512655</v>
      </c>
      <c r="AO24" s="133"/>
      <c r="AP24" s="132"/>
      <c r="AQ24" s="104"/>
      <c r="AR24" s="104"/>
      <c r="AS24" s="204"/>
      <c r="AU24" s="9"/>
      <c r="AV24" s="205" t="n">
        <v>0</v>
      </c>
      <c r="AW24" s="134" t="n">
        <v>52</v>
      </c>
      <c r="AX24" s="134" t="n">
        <v>25</v>
      </c>
      <c r="AY24" s="303"/>
      <c r="AZ24" s="233" t="n">
        <f aca="false">SUM(N24,P24:T24)</f>
        <v>3.2</v>
      </c>
    </row>
    <row r="25" customFormat="false" ht="12.95" hidden="false" customHeight="true" outlineLevel="0" collapsed="false">
      <c r="A25" s="171" t="n">
        <f aca="false">A24+1</f>
        <v>13</v>
      </c>
      <c r="B25" s="103" t="n">
        <v>6898.08</v>
      </c>
      <c r="C25" s="104" t="n">
        <v>276552</v>
      </c>
      <c r="D25" s="134" t="n">
        <f aca="false">C25-C24</f>
        <v>145</v>
      </c>
      <c r="E25" s="104" t="n">
        <f aca="false">C25-152000</f>
        <v>124552</v>
      </c>
      <c r="F25" s="229" t="n">
        <f aca="false">D25/$D$2</f>
        <v>73.1031005797832</v>
      </c>
      <c r="G25" s="132" t="n">
        <v>99</v>
      </c>
      <c r="H25" s="334" t="n">
        <v>2.9</v>
      </c>
      <c r="I25" s="132" t="n">
        <f aca="false">G25+H25</f>
        <v>101.9</v>
      </c>
      <c r="J25" s="133" t="n">
        <f aca="false">IF(L25&gt;0,L25,0)</f>
        <v>26.6031005797832</v>
      </c>
      <c r="K25" s="132" t="n">
        <f aca="false">I25+J25</f>
        <v>128.503100579783</v>
      </c>
      <c r="L25" s="132" t="n">
        <f aca="false">F25-(I25-AK25)</f>
        <v>26.6031005797832</v>
      </c>
      <c r="M25" s="231" t="n">
        <v>3.4</v>
      </c>
      <c r="N25" s="132" t="n">
        <v>0</v>
      </c>
      <c r="O25" s="132" t="n">
        <v>0</v>
      </c>
      <c r="P25" s="199" t="n">
        <v>0</v>
      </c>
      <c r="Q25" s="340" t="n">
        <f aca="false">1.596*1.02</f>
        <v>1.62792</v>
      </c>
      <c r="R25" s="340" t="n">
        <v>2.55</v>
      </c>
      <c r="S25" s="129" t="n">
        <v>0</v>
      </c>
      <c r="T25" s="92" t="n">
        <f aca="false">M25-(Q25+R25+S25)</f>
        <v>-0.77792</v>
      </c>
      <c r="U25" s="132" t="n">
        <v>0</v>
      </c>
      <c r="V25" s="132" t="n">
        <v>0</v>
      </c>
      <c r="W25" s="132" t="n">
        <f aca="false">M25-N25-O25-P25-Q25-R25-S25-T25+U25+V25</f>
        <v>0</v>
      </c>
      <c r="X25" s="132" t="n">
        <f aca="false">W25-AO25</f>
        <v>0</v>
      </c>
      <c r="Y25" s="134" t="n">
        <f aca="false">Y24+(X25*1.9835)</f>
        <v>13391.1543592</v>
      </c>
      <c r="Z25" s="104" t="n">
        <f aca="false">Z24+X25*(26300/37500)*1.9835</f>
        <v>9391.66292391894</v>
      </c>
      <c r="AA25" s="104"/>
      <c r="AB25" s="104"/>
      <c r="AC25" s="104"/>
      <c r="AD25" s="104"/>
      <c r="AE25" s="132" t="n">
        <v>0</v>
      </c>
      <c r="AF25" s="231"/>
      <c r="AG25" s="232"/>
      <c r="AH25" s="132" t="n">
        <v>52</v>
      </c>
      <c r="AI25" s="104" t="n">
        <f aca="false">AI24-AH25</f>
        <v>1169</v>
      </c>
      <c r="AJ25" s="133"/>
      <c r="AK25" s="131" t="n">
        <f aca="false">N25+O25+P25+Q25+R25+S25+T25+W25+AE25+AH25</f>
        <v>55.4</v>
      </c>
      <c r="AL25" s="132" t="n">
        <f aca="false">IF(L25&lt;0,L25*-1,0)</f>
        <v>0</v>
      </c>
      <c r="AM25" s="132" t="n">
        <f aca="false">AK25+AL25</f>
        <v>55.4</v>
      </c>
      <c r="AN25" s="203" t="n">
        <f aca="false">AN24+(W25*1.9835)</f>
        <v>13505.512655</v>
      </c>
      <c r="AO25" s="133"/>
      <c r="AP25" s="132"/>
      <c r="AQ25" s="104"/>
      <c r="AR25" s="104"/>
      <c r="AS25" s="204"/>
      <c r="AU25" s="9"/>
      <c r="AV25" s="205" t="n">
        <v>0</v>
      </c>
      <c r="AW25" s="134" t="n">
        <v>51</v>
      </c>
      <c r="AX25" s="134" t="n">
        <v>30</v>
      </c>
      <c r="AY25" s="303"/>
      <c r="AZ25" s="233" t="n">
        <f aca="false">SUM(N25,P25:T25)</f>
        <v>3.4</v>
      </c>
    </row>
    <row r="26" customFormat="false" ht="12.95" hidden="false" customHeight="true" outlineLevel="0" collapsed="false">
      <c r="A26" s="171" t="n">
        <f aca="false">A25+1</f>
        <v>14</v>
      </c>
      <c r="B26" s="103" t="n">
        <v>6898.12</v>
      </c>
      <c r="C26" s="104" t="n">
        <v>276698</v>
      </c>
      <c r="D26" s="134" t="n">
        <f aca="false">C26-C25</f>
        <v>146</v>
      </c>
      <c r="E26" s="104" t="n">
        <f aca="false">C26-152000</f>
        <v>124698</v>
      </c>
      <c r="F26" s="229" t="n">
        <f aca="false">D26/$D$2</f>
        <v>73.6072598941265</v>
      </c>
      <c r="G26" s="132" t="n">
        <v>103</v>
      </c>
      <c r="H26" s="334" t="n">
        <v>3</v>
      </c>
      <c r="I26" s="132" t="n">
        <f aca="false">G26+H26</f>
        <v>106</v>
      </c>
      <c r="J26" s="133" t="n">
        <f aca="false">IF(L26&gt;0,L26,0)</f>
        <v>23.0072598941265</v>
      </c>
      <c r="K26" s="132" t="n">
        <f aca="false">I26+J26</f>
        <v>129.007259894127</v>
      </c>
      <c r="L26" s="132" t="n">
        <f aca="false">F26-(I26-AK26)</f>
        <v>23.0072598941265</v>
      </c>
      <c r="M26" s="231" t="n">
        <v>3.4</v>
      </c>
      <c r="N26" s="132" t="n">
        <v>0</v>
      </c>
      <c r="O26" s="132" t="n">
        <v>0</v>
      </c>
      <c r="P26" s="199" t="n">
        <v>0</v>
      </c>
      <c r="Q26" s="340" t="n">
        <f aca="false">1.596*1.02</f>
        <v>1.62792</v>
      </c>
      <c r="R26" s="340" t="n">
        <v>2.41</v>
      </c>
      <c r="S26" s="129" t="n">
        <v>0</v>
      </c>
      <c r="T26" s="92" t="n">
        <f aca="false">M26-(Q26+R26+S26)</f>
        <v>-0.63792</v>
      </c>
      <c r="U26" s="132" t="n">
        <v>0</v>
      </c>
      <c r="V26" s="132" t="n">
        <v>0</v>
      </c>
      <c r="W26" s="132" t="n">
        <f aca="false">M26-N26-O26-P26-Q26-R26-S26-T26+U26+V26</f>
        <v>0</v>
      </c>
      <c r="X26" s="132" t="n">
        <f aca="false">W26-AO26</f>
        <v>0</v>
      </c>
      <c r="Y26" s="134" t="n">
        <f aca="false">Y25+(X26*1.9835)</f>
        <v>13391.1543592</v>
      </c>
      <c r="Z26" s="104" t="n">
        <f aca="false">Z25+X26*(26300/37500)*1.9835</f>
        <v>9391.66292391894</v>
      </c>
      <c r="AA26" s="104"/>
      <c r="AB26" s="104"/>
      <c r="AC26" s="104"/>
      <c r="AD26" s="104"/>
      <c r="AE26" s="132" t="n">
        <v>0</v>
      </c>
      <c r="AF26" s="231"/>
      <c r="AG26" s="232"/>
      <c r="AH26" s="132" t="n">
        <v>52</v>
      </c>
      <c r="AI26" s="104" t="n">
        <f aca="false">AI25-AH26</f>
        <v>1117</v>
      </c>
      <c r="AJ26" s="133"/>
      <c r="AK26" s="131" t="n">
        <f aca="false">N26+O26+P26+Q26+R26+S26+T26+W26+AE26+AH26</f>
        <v>55.4</v>
      </c>
      <c r="AL26" s="132" t="n">
        <f aca="false">IF(L26&lt;0,L26*-1,0)</f>
        <v>0</v>
      </c>
      <c r="AM26" s="132" t="n">
        <f aca="false">AK26+AL26</f>
        <v>55.4</v>
      </c>
      <c r="AN26" s="203" t="n">
        <f aca="false">AN25+(W26*1.9835)</f>
        <v>13505.512655</v>
      </c>
      <c r="AO26" s="133"/>
      <c r="AP26" s="132"/>
      <c r="AQ26" s="104"/>
      <c r="AR26" s="104"/>
      <c r="AS26" s="204"/>
      <c r="AU26" s="9"/>
      <c r="AV26" s="205" t="n">
        <v>0</v>
      </c>
      <c r="AW26" s="204" t="n">
        <v>49</v>
      </c>
      <c r="AX26" s="134" t="n">
        <v>26</v>
      </c>
      <c r="AY26" s="303"/>
      <c r="AZ26" s="233" t="n">
        <f aca="false">SUM(N26,P26:T26)</f>
        <v>3.4</v>
      </c>
    </row>
    <row r="27" customFormat="false" ht="12.95" hidden="false" customHeight="true" outlineLevel="0" collapsed="false">
      <c r="A27" s="171" t="n">
        <f aca="false">A26+1</f>
        <v>15</v>
      </c>
      <c r="B27" s="103" t="n">
        <v>6898.17</v>
      </c>
      <c r="C27" s="104" t="n">
        <v>276880</v>
      </c>
      <c r="D27" s="134" t="n">
        <f aca="false">C27-C26</f>
        <v>182</v>
      </c>
      <c r="E27" s="104" t="n">
        <f aca="false">C27-152000</f>
        <v>124880</v>
      </c>
      <c r="F27" s="229" t="n">
        <f aca="false">D27/$D$2</f>
        <v>91.7569952104865</v>
      </c>
      <c r="G27" s="132" t="n">
        <v>101</v>
      </c>
      <c r="H27" s="334" t="n">
        <v>2.4</v>
      </c>
      <c r="I27" s="132" t="n">
        <f aca="false">G27+H27</f>
        <v>103.4</v>
      </c>
      <c r="J27" s="133" t="n">
        <f aca="false">IF(L27&gt;0,L27,0)</f>
        <v>43.7569952104865</v>
      </c>
      <c r="K27" s="132" t="n">
        <f aca="false">I27+J27</f>
        <v>147.156995210487</v>
      </c>
      <c r="L27" s="132" t="n">
        <f aca="false">F27-(I27-AK27)</f>
        <v>43.7569952104865</v>
      </c>
      <c r="M27" s="231" t="n">
        <v>3.4</v>
      </c>
      <c r="N27" s="132" t="n">
        <v>0</v>
      </c>
      <c r="O27" s="132" t="n">
        <v>0</v>
      </c>
      <c r="P27" s="199" t="n">
        <v>0</v>
      </c>
      <c r="Q27" s="340" t="n">
        <f aca="false">1.596*1.02</f>
        <v>1.62792</v>
      </c>
      <c r="R27" s="340" t="n">
        <v>2.43</v>
      </c>
      <c r="S27" s="129" t="n">
        <v>0</v>
      </c>
      <c r="T27" s="92" t="n">
        <f aca="false">M27-(Q27+R27+S27)</f>
        <v>-0.65792</v>
      </c>
      <c r="U27" s="132" t="n">
        <v>0</v>
      </c>
      <c r="V27" s="132" t="n">
        <v>0</v>
      </c>
      <c r="W27" s="132" t="n">
        <f aca="false">M27-N27-O27-P27-Q27-R27-S27-T27+U27+V27</f>
        <v>0</v>
      </c>
      <c r="X27" s="132" t="n">
        <f aca="false">W27-AO27</f>
        <v>0</v>
      </c>
      <c r="Y27" s="134" t="n">
        <f aca="false">Y26+(X27*1.9835)</f>
        <v>13391.1543592</v>
      </c>
      <c r="Z27" s="104" t="n">
        <f aca="false">Z26+X27*(26300/37500)*1.9835</f>
        <v>9391.66292391894</v>
      </c>
      <c r="AA27" s="104"/>
      <c r="AB27" s="104"/>
      <c r="AC27" s="104"/>
      <c r="AD27" s="104"/>
      <c r="AE27" s="132" t="n">
        <v>0</v>
      </c>
      <c r="AF27" s="231"/>
      <c r="AG27" s="232"/>
      <c r="AH27" s="132" t="n">
        <v>52</v>
      </c>
      <c r="AI27" s="104" t="n">
        <f aca="false">AI26-AH27</f>
        <v>1065</v>
      </c>
      <c r="AJ27" s="133"/>
      <c r="AK27" s="131" t="n">
        <f aca="false">N27+O27+P27+Q27+R27+S27+T27+W27+AE27+AH27</f>
        <v>55.4</v>
      </c>
      <c r="AL27" s="132" t="n">
        <f aca="false">IF(L27&lt;0,L27*-1,0)</f>
        <v>0</v>
      </c>
      <c r="AM27" s="132" t="n">
        <f aca="false">AK27+AL27</f>
        <v>55.4</v>
      </c>
      <c r="AN27" s="203" t="n">
        <f aca="false">AN26+(U27*1.9835)</f>
        <v>13505.512655</v>
      </c>
      <c r="AO27" s="133"/>
      <c r="AP27" s="132"/>
      <c r="AQ27" s="104"/>
      <c r="AR27" s="104"/>
      <c r="AS27" s="204"/>
      <c r="AU27" s="9"/>
      <c r="AV27" s="205" t="n">
        <v>0</v>
      </c>
      <c r="AW27" s="204" t="n">
        <v>52</v>
      </c>
      <c r="AX27" s="134" t="n">
        <v>24</v>
      </c>
      <c r="AY27" s="303"/>
      <c r="AZ27" s="233" t="n">
        <f aca="false">SUM(N27,P27:T27)</f>
        <v>3.4</v>
      </c>
    </row>
    <row r="28" customFormat="false" ht="12.95" hidden="false" customHeight="true" outlineLevel="0" collapsed="false">
      <c r="A28" s="171" t="n">
        <f aca="false">A27+1</f>
        <v>16</v>
      </c>
      <c r="B28" s="103" t="n">
        <v>6898.22</v>
      </c>
      <c r="C28" s="104" t="n">
        <v>277063</v>
      </c>
      <c r="D28" s="134" t="n">
        <f aca="false">C28-C27</f>
        <v>183</v>
      </c>
      <c r="E28" s="104" t="n">
        <f aca="false">C28-152000</f>
        <v>125063</v>
      </c>
      <c r="F28" s="229" t="n">
        <f aca="false">D28/$D$2</f>
        <v>92.2611545248298</v>
      </c>
      <c r="G28" s="132" t="n">
        <v>107</v>
      </c>
      <c r="H28" s="334" t="n">
        <v>2.7</v>
      </c>
      <c r="I28" s="132" t="n">
        <f aca="false">G28+H28</f>
        <v>109.7</v>
      </c>
      <c r="J28" s="133" t="n">
        <f aca="false">IF(L28&gt;0,L28,0)</f>
        <v>36.9611545248298</v>
      </c>
      <c r="K28" s="132" t="n">
        <f aca="false">I28+J28</f>
        <v>146.66115452483</v>
      </c>
      <c r="L28" s="132" t="n">
        <f aca="false">F28-(I28-AK28)</f>
        <v>36.9611545248298</v>
      </c>
      <c r="M28" s="231" t="n">
        <v>3.4</v>
      </c>
      <c r="N28" s="132" t="n">
        <v>0</v>
      </c>
      <c r="O28" s="132" t="n">
        <v>0</v>
      </c>
      <c r="P28" s="199" t="n">
        <v>0</v>
      </c>
      <c r="Q28" s="340" t="n">
        <f aca="false">1.596*1.02</f>
        <v>1.62792</v>
      </c>
      <c r="R28" s="340" t="n">
        <v>2.62</v>
      </c>
      <c r="S28" s="129" t="n">
        <v>0</v>
      </c>
      <c r="T28" s="92" t="n">
        <f aca="false">M28-(Q28+R28+S28)</f>
        <v>-0.847920000000001</v>
      </c>
      <c r="U28" s="132" t="n">
        <v>0</v>
      </c>
      <c r="V28" s="132" t="n">
        <v>0</v>
      </c>
      <c r="W28" s="132" t="n">
        <f aca="false">M28-N28-O28-P28-Q28-R28-S28-T28+U28+V28</f>
        <v>0</v>
      </c>
      <c r="X28" s="132" t="n">
        <f aca="false">W28-AO28</f>
        <v>0</v>
      </c>
      <c r="Y28" s="134" t="n">
        <f aca="false">Y27+(X28*1.9835)</f>
        <v>13391.1543592</v>
      </c>
      <c r="Z28" s="104" t="n">
        <f aca="false">Z27+X28*(26300/37500)*1.9835</f>
        <v>9391.66292391894</v>
      </c>
      <c r="AA28" s="104"/>
      <c r="AB28" s="104"/>
      <c r="AC28" s="104"/>
      <c r="AD28" s="104"/>
      <c r="AE28" s="132" t="n">
        <v>0</v>
      </c>
      <c r="AF28" s="231"/>
      <c r="AG28" s="232"/>
      <c r="AH28" s="132" t="n">
        <v>51</v>
      </c>
      <c r="AI28" s="104" t="n">
        <f aca="false">AI27-AH28</f>
        <v>1014</v>
      </c>
      <c r="AJ28" s="133"/>
      <c r="AK28" s="131" t="n">
        <f aca="false">N28+O28+P28+Q28+R28+S28+T28+W28+AE28+AH28</f>
        <v>54.4</v>
      </c>
      <c r="AL28" s="132" t="n">
        <f aca="false">IF(L28&lt;0,L28*-1,0)</f>
        <v>0</v>
      </c>
      <c r="AM28" s="132" t="n">
        <f aca="false">AK28+AL28</f>
        <v>54.4</v>
      </c>
      <c r="AN28" s="203" t="n">
        <f aca="false">AN27+(U28*1.9835)</f>
        <v>13505.512655</v>
      </c>
      <c r="AO28" s="133"/>
      <c r="AP28" s="132"/>
      <c r="AQ28" s="98"/>
      <c r="AR28" s="98"/>
      <c r="AS28" s="204"/>
      <c r="AU28" s="9"/>
      <c r="AV28" s="205" t="n">
        <v>0</v>
      </c>
      <c r="AW28" s="204" t="n">
        <v>57</v>
      </c>
      <c r="AX28" s="134" t="n">
        <v>24</v>
      </c>
      <c r="AY28" s="303"/>
      <c r="AZ28" s="233" t="n">
        <f aca="false">SUM(N28,P28:T28)</f>
        <v>3.4</v>
      </c>
    </row>
    <row r="29" customFormat="false" ht="12.95" hidden="false" customHeight="true" outlineLevel="0" collapsed="false">
      <c r="A29" s="171" t="n">
        <v>17</v>
      </c>
      <c r="B29" s="103" t="n">
        <v>6898.31</v>
      </c>
      <c r="C29" s="104" t="n">
        <v>277391</v>
      </c>
      <c r="D29" s="134" t="n">
        <f aca="false">C29-C28</f>
        <v>328</v>
      </c>
      <c r="E29" s="104" t="n">
        <f aca="false">C29-152000</f>
        <v>125391</v>
      </c>
      <c r="F29" s="229" t="n">
        <f aca="false">D29/$D$2</f>
        <v>165.364255104613</v>
      </c>
      <c r="G29" s="132" t="n">
        <v>130</v>
      </c>
      <c r="H29" s="301" t="n">
        <v>4.1</v>
      </c>
      <c r="I29" s="132" t="n">
        <f aca="false">G29+H29</f>
        <v>134.1</v>
      </c>
      <c r="J29" s="133" t="n">
        <f aca="false">IF(L29&gt;0,L29,0)</f>
        <v>93.6642551046131</v>
      </c>
      <c r="K29" s="132" t="n">
        <f aca="false">I29+J29</f>
        <v>227.764255104613</v>
      </c>
      <c r="L29" s="132" t="n">
        <f aca="false">F29-(I29-AK29)</f>
        <v>93.6642551046131</v>
      </c>
      <c r="M29" s="231" t="n">
        <v>3.4</v>
      </c>
      <c r="N29" s="132" t="n">
        <v>0</v>
      </c>
      <c r="O29" s="132" t="n">
        <v>0</v>
      </c>
      <c r="P29" s="199" t="n">
        <v>0</v>
      </c>
      <c r="Q29" s="340" t="n">
        <f aca="false">1.596*1.02</f>
        <v>1.62792</v>
      </c>
      <c r="R29" s="340" t="n">
        <v>3.33</v>
      </c>
      <c r="S29" s="129" t="n">
        <v>0</v>
      </c>
      <c r="T29" s="92" t="n">
        <f aca="false">M29-(Q29+R29+S29)</f>
        <v>-1.55792</v>
      </c>
      <c r="U29" s="132" t="n">
        <v>0</v>
      </c>
      <c r="V29" s="132" t="n">
        <v>0</v>
      </c>
      <c r="W29" s="132" t="n">
        <f aca="false">M29-N29-O29-P29-Q29-R29-S29-T29+U29+V29</f>
        <v>0</v>
      </c>
      <c r="X29" s="132" t="n">
        <f aca="false">W29-AO29</f>
        <v>0</v>
      </c>
      <c r="Y29" s="134" t="n">
        <f aca="false">Y28+(X29*1.9835)</f>
        <v>13391.1543592</v>
      </c>
      <c r="Z29" s="104" t="n">
        <f aca="false">Z28+X29*(26300/37500)*1.9835</f>
        <v>9391.66292391894</v>
      </c>
      <c r="AA29" s="104"/>
      <c r="AB29" s="104"/>
      <c r="AC29" s="104"/>
      <c r="AD29" s="104"/>
      <c r="AE29" s="132" t="n">
        <v>0</v>
      </c>
      <c r="AF29" s="231"/>
      <c r="AG29" s="232"/>
      <c r="AH29" s="132" t="n">
        <v>59</v>
      </c>
      <c r="AI29" s="104" t="n">
        <f aca="false">AI28-AH29</f>
        <v>955</v>
      </c>
      <c r="AJ29" s="133"/>
      <c r="AK29" s="131" t="n">
        <f aca="false">N29+O29+P29+Q29+R29+S29+T29+W29+AE29+AH29</f>
        <v>62.4</v>
      </c>
      <c r="AL29" s="132" t="n">
        <f aca="false">IF(L29&lt;0,L29*-1,0)</f>
        <v>0</v>
      </c>
      <c r="AM29" s="132" t="n">
        <f aca="false">AK29+AL29</f>
        <v>62.4</v>
      </c>
      <c r="AN29" s="203" t="n">
        <f aca="false">AN28+(U29*1.9835)</f>
        <v>13505.512655</v>
      </c>
      <c r="AO29" s="133"/>
      <c r="AP29" s="132"/>
      <c r="AQ29" s="104"/>
      <c r="AR29" s="104"/>
      <c r="AS29" s="204"/>
      <c r="AU29" s="9"/>
      <c r="AV29" s="205" t="n">
        <v>0</v>
      </c>
      <c r="AW29" s="204" t="n">
        <v>62</v>
      </c>
      <c r="AX29" s="134" t="n">
        <v>26</v>
      </c>
      <c r="AY29" s="303"/>
      <c r="AZ29" s="233" t="n">
        <f aca="false">SUM(N29,P29:T29)</f>
        <v>3.4</v>
      </c>
    </row>
    <row r="30" customFormat="false" ht="12.95" hidden="false" customHeight="true" outlineLevel="0" collapsed="false">
      <c r="A30" s="171" t="n">
        <f aca="false">A29+1</f>
        <v>18</v>
      </c>
      <c r="B30" s="103" t="n">
        <v>6898.42</v>
      </c>
      <c r="C30" s="104" t="n">
        <v>277792</v>
      </c>
      <c r="D30" s="134" t="n">
        <f aca="false">C30-C29</f>
        <v>401</v>
      </c>
      <c r="E30" s="104" t="n">
        <f aca="false">C30-152000</f>
        <v>125792</v>
      </c>
      <c r="F30" s="229" t="n">
        <f aca="false">D30/$D$2</f>
        <v>202.167885051676</v>
      </c>
      <c r="G30" s="132" t="n">
        <v>169</v>
      </c>
      <c r="H30" s="301" t="n">
        <v>8.6</v>
      </c>
      <c r="I30" s="132" t="n">
        <f aca="false">G30+H30</f>
        <v>177.6</v>
      </c>
      <c r="J30" s="133" t="n">
        <f aca="false">IF(L30&gt;0,L30,0)</f>
        <v>103.967885051676</v>
      </c>
      <c r="K30" s="132" t="n">
        <f aca="false">I30+J30</f>
        <v>281.567885051676</v>
      </c>
      <c r="L30" s="132" t="n">
        <f aca="false">F30-(I30-AK30)</f>
        <v>103.967885051676</v>
      </c>
      <c r="M30" s="231" t="n">
        <v>3.4</v>
      </c>
      <c r="N30" s="132" t="n">
        <v>0</v>
      </c>
      <c r="O30" s="132" t="n">
        <v>0</v>
      </c>
      <c r="P30" s="199" t="n">
        <v>0</v>
      </c>
      <c r="Q30" s="340" t="n">
        <f aca="false">1.596*1.02</f>
        <v>1.62792</v>
      </c>
      <c r="R30" s="340" t="n">
        <v>3.5</v>
      </c>
      <c r="S30" s="129" t="n">
        <v>0</v>
      </c>
      <c r="T30" s="92" t="n">
        <f aca="false">M30-(Q30+R30+S30)</f>
        <v>-1.72792</v>
      </c>
      <c r="U30" s="132" t="n">
        <v>0</v>
      </c>
      <c r="V30" s="132" t="n">
        <v>0</v>
      </c>
      <c r="W30" s="132" t="n">
        <f aca="false">M30-N30-O30-P30-Q30-R30-S30-T30+U30+V30</f>
        <v>0</v>
      </c>
      <c r="X30" s="132" t="n">
        <f aca="false">W30-AO30</f>
        <v>0</v>
      </c>
      <c r="Y30" s="134" t="n">
        <f aca="false">Y29+(X30*1.9835)</f>
        <v>13391.1543592</v>
      </c>
      <c r="Z30" s="104" t="n">
        <f aca="false">Z29+X30*(26300/37500)*1.9835</f>
        <v>9391.66292391894</v>
      </c>
      <c r="AA30" s="104"/>
      <c r="AB30" s="104"/>
      <c r="AC30" s="104"/>
      <c r="AD30" s="104"/>
      <c r="AE30" s="132" t="n">
        <v>0</v>
      </c>
      <c r="AF30" s="231"/>
      <c r="AG30" s="232"/>
      <c r="AH30" s="132" t="n">
        <v>76</v>
      </c>
      <c r="AI30" s="104" t="n">
        <f aca="false">AI29-AH30</f>
        <v>879</v>
      </c>
      <c r="AJ30" s="133"/>
      <c r="AK30" s="131" t="n">
        <f aca="false">N30+O30+P30+Q30+R30+S30+T30+W30+AE30+AH30</f>
        <v>79.4</v>
      </c>
      <c r="AL30" s="132" t="n">
        <f aca="false">IF(L30&lt;0,L30*-1,0)</f>
        <v>0</v>
      </c>
      <c r="AM30" s="132" t="n">
        <f aca="false">AK30+AL30</f>
        <v>79.4</v>
      </c>
      <c r="AN30" s="203" t="n">
        <f aca="false">AN29+(U30*1.9835)</f>
        <v>13505.512655</v>
      </c>
      <c r="AO30" s="133"/>
      <c r="AP30" s="132"/>
      <c r="AQ30" s="104"/>
      <c r="AR30" s="104"/>
      <c r="AS30" s="204"/>
      <c r="AU30" s="9"/>
      <c r="AV30" s="205" t="n">
        <v>0</v>
      </c>
      <c r="AW30" s="204" t="n">
        <v>65</v>
      </c>
      <c r="AX30" s="134" t="n">
        <v>39</v>
      </c>
      <c r="AY30" s="303"/>
      <c r="AZ30" s="233" t="n">
        <f aca="false">SUM(N30,P30:T30)</f>
        <v>3.4</v>
      </c>
    </row>
    <row r="31" customFormat="false" ht="12.95" hidden="false" customHeight="true" outlineLevel="0" collapsed="false">
      <c r="A31" s="171" t="n">
        <f aca="false">A30+1</f>
        <v>19</v>
      </c>
      <c r="B31" s="103" t="n">
        <v>6898.55</v>
      </c>
      <c r="C31" s="313" t="n">
        <v>278266</v>
      </c>
      <c r="D31" s="134" t="n">
        <f aca="false">C31-C30</f>
        <v>474</v>
      </c>
      <c r="E31" s="104" t="n">
        <f aca="false">C31-152000</f>
        <v>126266</v>
      </c>
      <c r="F31" s="229" t="n">
        <f aca="false">D31/$D$2</f>
        <v>238.97151499874</v>
      </c>
      <c r="G31" s="132" t="n">
        <v>208</v>
      </c>
      <c r="H31" s="301" t="n">
        <v>18</v>
      </c>
      <c r="I31" s="132" t="n">
        <f aca="false">G31+H31</f>
        <v>226</v>
      </c>
      <c r="J31" s="133" t="n">
        <f aca="false">IF(L31&gt;0,L31,0)</f>
        <v>97.4715149987396</v>
      </c>
      <c r="K31" s="132" t="n">
        <f aca="false">I31+J31</f>
        <v>323.47151499874</v>
      </c>
      <c r="L31" s="132" t="n">
        <f aca="false">F31-(I31-AK31)</f>
        <v>97.4715149987396</v>
      </c>
      <c r="M31" s="231" t="n">
        <v>4.5</v>
      </c>
      <c r="N31" s="132" t="n">
        <v>0</v>
      </c>
      <c r="O31" s="132" t="n">
        <v>0</v>
      </c>
      <c r="P31" s="199" t="n">
        <v>0</v>
      </c>
      <c r="Q31" s="340" t="n">
        <f aca="false">1.596*1.02</f>
        <v>1.62792</v>
      </c>
      <c r="R31" s="340" t="n">
        <v>3.15</v>
      </c>
      <c r="S31" s="129" t="n">
        <v>0</v>
      </c>
      <c r="T31" s="92" t="n">
        <f aca="false">M31-(Q31+R31+S31)</f>
        <v>-0.27792</v>
      </c>
      <c r="U31" s="132" t="n">
        <v>0</v>
      </c>
      <c r="V31" s="132" t="n">
        <v>0</v>
      </c>
      <c r="W31" s="132" t="n">
        <f aca="false">M31-N31-O31-P31-Q31-R31-S31-T31+U31+V31</f>
        <v>0</v>
      </c>
      <c r="X31" s="132" t="n">
        <f aca="false">W31-AO31</f>
        <v>0</v>
      </c>
      <c r="Y31" s="134" t="n">
        <f aca="false">Y30+(X31*1.9835)</f>
        <v>13391.1543592</v>
      </c>
      <c r="Z31" s="104" t="n">
        <f aca="false">Z30+X31*(26300/37500)*1.9835</f>
        <v>9391.66292391894</v>
      </c>
      <c r="AA31" s="104"/>
      <c r="AB31" s="104"/>
      <c r="AC31" s="104"/>
      <c r="AD31" s="104"/>
      <c r="AE31" s="132" t="n">
        <v>0</v>
      </c>
      <c r="AF31" s="231"/>
      <c r="AG31" s="232"/>
      <c r="AH31" s="132" t="n">
        <v>80</v>
      </c>
      <c r="AI31" s="104" t="n">
        <f aca="false">AI30-AH31</f>
        <v>799</v>
      </c>
      <c r="AJ31" s="133"/>
      <c r="AK31" s="131" t="n">
        <f aca="false">N31+O31+P31+Q31+R31+S31+T31+W31+AE31+AH31</f>
        <v>84.5</v>
      </c>
      <c r="AL31" s="132" t="n">
        <f aca="false">IF(L31&lt;0,L31*-1,0)</f>
        <v>0</v>
      </c>
      <c r="AM31" s="132" t="n">
        <f aca="false">AK31+AL31</f>
        <v>84.5</v>
      </c>
      <c r="AN31" s="203" t="n">
        <f aca="false">AN30+(U31*1.9835)</f>
        <v>13505.512655</v>
      </c>
      <c r="AO31" s="133"/>
      <c r="AP31" s="132"/>
      <c r="AQ31" s="104"/>
      <c r="AR31" s="104"/>
      <c r="AS31" s="204"/>
      <c r="AU31" s="9"/>
      <c r="AV31" s="205" t="n">
        <v>0</v>
      </c>
      <c r="AW31" s="204" t="n">
        <v>66</v>
      </c>
      <c r="AX31" s="134" t="n">
        <v>33</v>
      </c>
      <c r="AY31" s="303"/>
      <c r="AZ31" s="233" t="n">
        <f aca="false">SUM(N31,P31:T31)</f>
        <v>4.5</v>
      </c>
    </row>
    <row r="32" customFormat="false" ht="12.95" hidden="false" customHeight="true" outlineLevel="0" collapsed="false">
      <c r="A32" s="171" t="n">
        <f aca="false">A31+1</f>
        <v>20</v>
      </c>
      <c r="B32" s="103" t="n">
        <v>6898.76</v>
      </c>
      <c r="C32" s="104" t="n">
        <v>279031</v>
      </c>
      <c r="D32" s="134" t="n">
        <f aca="false">C32-C31</f>
        <v>765</v>
      </c>
      <c r="E32" s="104" t="n">
        <f aca="false">C32-152000</f>
        <v>127031</v>
      </c>
      <c r="F32" s="229" t="n">
        <f aca="false">D32/$D$2</f>
        <v>385.681875472649</v>
      </c>
      <c r="G32" s="132" t="n">
        <v>254</v>
      </c>
      <c r="H32" s="301" t="n">
        <v>29</v>
      </c>
      <c r="I32" s="132" t="n">
        <f aca="false">G32+H32</f>
        <v>283</v>
      </c>
      <c r="J32" s="133" t="n">
        <f aca="false">IF(L32&gt;0,L32,0)</f>
        <v>189.281875472649</v>
      </c>
      <c r="K32" s="132" t="n">
        <f aca="false">I32+J32</f>
        <v>472.281875472649</v>
      </c>
      <c r="L32" s="132" t="n">
        <f aca="false">F32-(I32-AK32)</f>
        <v>189.281875472649</v>
      </c>
      <c r="M32" s="231" t="n">
        <v>5.6</v>
      </c>
      <c r="N32" s="132" t="n">
        <v>0</v>
      </c>
      <c r="O32" s="132" t="n">
        <v>0</v>
      </c>
      <c r="P32" s="199" t="n">
        <v>0</v>
      </c>
      <c r="Q32" s="340" t="n">
        <f aca="false">1.596*1.02</f>
        <v>1.62792</v>
      </c>
      <c r="R32" s="340" t="n">
        <v>2.51</v>
      </c>
      <c r="S32" s="129" t="n">
        <v>0</v>
      </c>
      <c r="T32" s="92" t="n">
        <f aca="false">M32-(Q32+R32+S32)</f>
        <v>1.46208</v>
      </c>
      <c r="U32" s="132" t="n">
        <v>0</v>
      </c>
      <c r="V32" s="132" t="n">
        <v>0</v>
      </c>
      <c r="W32" s="132" t="n">
        <f aca="false">M32-N32-O32-P32-Q32-R32-S32-T32+U32+V32</f>
        <v>0</v>
      </c>
      <c r="X32" s="132" t="n">
        <f aca="false">W32-AO32</f>
        <v>0</v>
      </c>
      <c r="Y32" s="134" t="n">
        <f aca="false">Y31+(X32*1.9835)</f>
        <v>13391.1543592</v>
      </c>
      <c r="Z32" s="104" t="n">
        <f aca="false">Z31+X32*(26300/37500)*1.9835</f>
        <v>9391.66292391894</v>
      </c>
      <c r="AA32" s="104"/>
      <c r="AB32" s="104"/>
      <c r="AC32" s="104"/>
      <c r="AD32" s="104"/>
      <c r="AE32" s="132" t="n">
        <v>0</v>
      </c>
      <c r="AF32" s="231"/>
      <c r="AG32" s="232"/>
      <c r="AH32" s="132" t="n">
        <v>81</v>
      </c>
      <c r="AI32" s="104" t="n">
        <f aca="false">AI31-AH32</f>
        <v>718</v>
      </c>
      <c r="AJ32" s="133"/>
      <c r="AK32" s="131" t="n">
        <f aca="false">N32+O32+P32+Q32+R32+S32+T32+W32+AE32+AH32</f>
        <v>86.6</v>
      </c>
      <c r="AL32" s="132" t="n">
        <f aca="false">IF(L32&lt;0,L32*-1,0)</f>
        <v>0</v>
      </c>
      <c r="AM32" s="132" t="n">
        <f aca="false">AK32+AL32</f>
        <v>86.6</v>
      </c>
      <c r="AN32" s="203" t="n">
        <f aca="false">AN31+(U32*1.9835)</f>
        <v>13505.512655</v>
      </c>
      <c r="AO32" s="133"/>
      <c r="AP32" s="132"/>
      <c r="AQ32" s="104"/>
      <c r="AR32" s="104"/>
      <c r="AS32" s="204"/>
      <c r="AU32" s="9"/>
      <c r="AV32" s="205" t="n">
        <v>0</v>
      </c>
      <c r="AW32" s="204" t="n">
        <v>66</v>
      </c>
      <c r="AX32" s="134" t="n">
        <v>34</v>
      </c>
      <c r="AY32" s="303"/>
      <c r="AZ32" s="233" t="n">
        <f aca="false">SUM(N32,P32:T32)</f>
        <v>5.6</v>
      </c>
    </row>
    <row r="33" customFormat="false" ht="12.95" hidden="false" customHeight="true" outlineLevel="0" collapsed="false">
      <c r="A33" s="171" t="n">
        <f aca="false">A32+1</f>
        <v>21</v>
      </c>
      <c r="B33" s="103" t="n">
        <v>6898.97</v>
      </c>
      <c r="C33" s="104" t="n">
        <v>279797</v>
      </c>
      <c r="D33" s="134" t="n">
        <f aca="false">C33-C32</f>
        <v>766</v>
      </c>
      <c r="E33" s="104" t="n">
        <f aca="false">C33-152000</f>
        <v>127797</v>
      </c>
      <c r="F33" s="229" t="n">
        <f aca="false">D33/$D$2</f>
        <v>386.186034786993</v>
      </c>
      <c r="G33" s="132" t="n">
        <v>297</v>
      </c>
      <c r="H33" s="301" t="n">
        <v>37</v>
      </c>
      <c r="I33" s="132" t="n">
        <f aca="false">G33+H33</f>
        <v>334</v>
      </c>
      <c r="J33" s="133" t="n">
        <f aca="false">IF(L33&gt;0,L33,0)</f>
        <v>138.386034786993</v>
      </c>
      <c r="K33" s="132" t="n">
        <f aca="false">I33+J33</f>
        <v>472.386034786993</v>
      </c>
      <c r="L33" s="132" t="n">
        <f aca="false">F33-(I33-AK33)</f>
        <v>138.386034786993</v>
      </c>
      <c r="M33" s="231" t="n">
        <v>5.2</v>
      </c>
      <c r="N33" s="132" t="n">
        <v>0</v>
      </c>
      <c r="O33" s="132" t="n">
        <v>0</v>
      </c>
      <c r="P33" s="199" t="n">
        <v>0</v>
      </c>
      <c r="Q33" s="340" t="n">
        <f aca="false">1.596*1.02</f>
        <v>1.62792</v>
      </c>
      <c r="R33" s="340" t="n">
        <v>2.45</v>
      </c>
      <c r="S33" s="129" t="n">
        <v>0</v>
      </c>
      <c r="T33" s="92" t="n">
        <f aca="false">M33-(Q33+R33+S33)</f>
        <v>1.12208</v>
      </c>
      <c r="U33" s="132" t="n">
        <v>0</v>
      </c>
      <c r="V33" s="132" t="n">
        <v>0</v>
      </c>
      <c r="W33" s="132" t="n">
        <f aca="false">M33-N33-O33-P33-Q33-R33-S33-T33+U33+V33</f>
        <v>0</v>
      </c>
      <c r="X33" s="132" t="n">
        <f aca="false">W33-AO33</f>
        <v>0</v>
      </c>
      <c r="Y33" s="134" t="n">
        <f aca="false">Y32+(X33*1.9835)</f>
        <v>13391.1543592</v>
      </c>
      <c r="Z33" s="104" t="n">
        <f aca="false">Z32+X33*(26300/37500)*1.9835</f>
        <v>9391.66292391894</v>
      </c>
      <c r="AA33" s="104"/>
      <c r="AB33" s="104"/>
      <c r="AC33" s="104"/>
      <c r="AD33" s="104"/>
      <c r="AE33" s="132" t="n">
        <v>0</v>
      </c>
      <c r="AF33" s="231"/>
      <c r="AG33" s="232"/>
      <c r="AH33" s="132" t="n">
        <v>81</v>
      </c>
      <c r="AI33" s="104" t="n">
        <f aca="false">AI32-AH33</f>
        <v>637</v>
      </c>
      <c r="AJ33" s="133"/>
      <c r="AK33" s="131" t="n">
        <f aca="false">N33+O33+P33+Q33+R33+S33+T33+W33+AE33+AH33</f>
        <v>86.2</v>
      </c>
      <c r="AL33" s="132" t="n">
        <f aca="false">IF(L33&lt;0,L33*-1,0)</f>
        <v>0</v>
      </c>
      <c r="AM33" s="132" t="n">
        <f aca="false">AK33+AL33</f>
        <v>86.2</v>
      </c>
      <c r="AN33" s="203" t="n">
        <f aca="false">AN32+(U33*1.9835)</f>
        <v>13505.512655</v>
      </c>
      <c r="AO33" s="133"/>
      <c r="AP33" s="132"/>
      <c r="AQ33" s="104"/>
      <c r="AR33" s="104"/>
      <c r="AS33" s="204"/>
      <c r="AU33" s="9"/>
      <c r="AV33" s="205" t="n">
        <v>0</v>
      </c>
      <c r="AW33" s="134" t="n">
        <v>66</v>
      </c>
      <c r="AX33" s="134" t="n">
        <v>31</v>
      </c>
      <c r="AY33" s="303"/>
      <c r="AZ33" s="233" t="n">
        <f aca="false">SUM(N33,P33:T33)</f>
        <v>5.2</v>
      </c>
    </row>
    <row r="34" customFormat="false" ht="12.95" hidden="false" customHeight="true" outlineLevel="0" collapsed="false">
      <c r="A34" s="171" t="n">
        <f aca="false">A33+1</f>
        <v>22</v>
      </c>
      <c r="B34" s="103" t="n">
        <v>6899.19</v>
      </c>
      <c r="C34" s="104" t="n">
        <v>280604</v>
      </c>
      <c r="D34" s="134" t="n">
        <f aca="false">C34-C33</f>
        <v>807</v>
      </c>
      <c r="E34" s="104" t="n">
        <f aca="false">C34-152000</f>
        <v>128604</v>
      </c>
      <c r="F34" s="229" t="n">
        <f aca="false">D34/$D$2</f>
        <v>406.856566675069</v>
      </c>
      <c r="G34" s="132" t="n">
        <v>345</v>
      </c>
      <c r="H34" s="301" t="n">
        <v>46</v>
      </c>
      <c r="I34" s="132" t="n">
        <f aca="false">G34+H34</f>
        <v>391</v>
      </c>
      <c r="J34" s="133" t="n">
        <f aca="false">IF(L34&gt;0,L34,0)</f>
        <v>102.056566675069</v>
      </c>
      <c r="K34" s="132" t="n">
        <f aca="false">I34+J34</f>
        <v>493.056566675069</v>
      </c>
      <c r="L34" s="132" t="n">
        <f aca="false">F34-(I34-AK34)</f>
        <v>102.056566675069</v>
      </c>
      <c r="M34" s="231" t="n">
        <v>5.2</v>
      </c>
      <c r="N34" s="132" t="n">
        <v>0</v>
      </c>
      <c r="O34" s="132" t="n">
        <v>0</v>
      </c>
      <c r="P34" s="199" t="n">
        <v>0</v>
      </c>
      <c r="Q34" s="340" t="n">
        <f aca="false">1.596*1.02</f>
        <v>1.62792</v>
      </c>
      <c r="R34" s="340" t="n">
        <v>2.8</v>
      </c>
      <c r="S34" s="129" t="n">
        <v>0</v>
      </c>
      <c r="T34" s="92" t="n">
        <f aca="false">M34-(Q34+R34+S34)</f>
        <v>0.77208</v>
      </c>
      <c r="U34" s="132" t="n">
        <v>0</v>
      </c>
      <c r="V34" s="132" t="n">
        <v>0</v>
      </c>
      <c r="W34" s="132" t="n">
        <f aca="false">M34-N34-O34-P34-Q34-R34-S34-T34+U34+V34</f>
        <v>0</v>
      </c>
      <c r="X34" s="132" t="n">
        <f aca="false">W34-AO34</f>
        <v>0</v>
      </c>
      <c r="Y34" s="134" t="n">
        <f aca="false">Y33+(X34*1.9835)</f>
        <v>13391.1543592</v>
      </c>
      <c r="Z34" s="104" t="n">
        <f aca="false">Z33+X34*(26300/37500)*1.9835</f>
        <v>9391.66292391894</v>
      </c>
      <c r="AA34" s="104"/>
      <c r="AB34" s="104"/>
      <c r="AC34" s="104"/>
      <c r="AD34" s="104"/>
      <c r="AE34" s="132" t="n">
        <v>0</v>
      </c>
      <c r="AF34" s="231"/>
      <c r="AG34" s="232"/>
      <c r="AH34" s="132" t="n">
        <v>81</v>
      </c>
      <c r="AI34" s="104" t="n">
        <f aca="false">AI33-AH34</f>
        <v>556</v>
      </c>
      <c r="AJ34" s="133"/>
      <c r="AK34" s="131" t="n">
        <f aca="false">N34+O34+P34+Q34+R34+S34+T34+W34+AE34+AH34</f>
        <v>86.2</v>
      </c>
      <c r="AL34" s="132" t="n">
        <f aca="false">IF(L34&lt;0,L34*-1,0)</f>
        <v>0</v>
      </c>
      <c r="AM34" s="132" t="n">
        <f aca="false">AK34+AL34</f>
        <v>86.2</v>
      </c>
      <c r="AN34" s="203" t="n">
        <f aca="false">AN33+(U34*1.9835)</f>
        <v>13505.512655</v>
      </c>
      <c r="AO34" s="133"/>
      <c r="AP34" s="132"/>
      <c r="AQ34" s="104"/>
      <c r="AR34" s="104"/>
      <c r="AS34" s="204"/>
      <c r="AU34" s="9"/>
      <c r="AV34" s="205" t="n">
        <v>0.03</v>
      </c>
      <c r="AW34" s="134" t="n">
        <v>63</v>
      </c>
      <c r="AX34" s="134" t="n">
        <v>26</v>
      </c>
      <c r="AY34" s="303"/>
      <c r="AZ34" s="233" t="n">
        <f aca="false">SUM(N34,P34:T34)</f>
        <v>5.2</v>
      </c>
    </row>
    <row r="35" customFormat="false" ht="12.95" hidden="false" customHeight="true" outlineLevel="0" collapsed="false">
      <c r="A35" s="171" t="n">
        <f aca="false">A34+1</f>
        <v>23</v>
      </c>
      <c r="B35" s="103" t="n">
        <v>6899.42</v>
      </c>
      <c r="C35" s="104" t="n">
        <v>281449</v>
      </c>
      <c r="D35" s="134" t="n">
        <f aca="false">C35-C34</f>
        <v>845</v>
      </c>
      <c r="E35" s="104" t="n">
        <f aca="false">C35-152000</f>
        <v>129449</v>
      </c>
      <c r="F35" s="229" t="n">
        <f aca="false">D35/$D$2</f>
        <v>426.014620620116</v>
      </c>
      <c r="G35" s="132" t="n">
        <v>385</v>
      </c>
      <c r="H35" s="301" t="n">
        <v>50</v>
      </c>
      <c r="I35" s="132" t="n">
        <f aca="false">G35+H35</f>
        <v>435</v>
      </c>
      <c r="J35" s="133" t="n">
        <f aca="false">IF(L35&gt;0,L35,0)</f>
        <v>92.0146206201159</v>
      </c>
      <c r="K35" s="132" t="n">
        <f aca="false">I35+J35</f>
        <v>527.014620620116</v>
      </c>
      <c r="L35" s="132" t="n">
        <f aca="false">F35-(I35-AK35)</f>
        <v>92.0146206201159</v>
      </c>
      <c r="M35" s="231" t="n">
        <v>20</v>
      </c>
      <c r="N35" s="132" t="n">
        <v>0</v>
      </c>
      <c r="O35" s="132" t="n">
        <v>0</v>
      </c>
      <c r="P35" s="199" t="n">
        <v>0</v>
      </c>
      <c r="Q35" s="340" t="n">
        <f aca="false">1.596*1.02</f>
        <v>1.62792</v>
      </c>
      <c r="R35" s="340" t="n">
        <v>2.83</v>
      </c>
      <c r="S35" s="129" t="n">
        <v>0</v>
      </c>
      <c r="T35" s="92" t="n">
        <v>0</v>
      </c>
      <c r="U35" s="132" t="n">
        <v>0</v>
      </c>
      <c r="V35" s="132" t="n">
        <v>0</v>
      </c>
      <c r="W35" s="132" t="n">
        <f aca="false">M35-N35-O35-P35-Q35-R35-S35-T35+U35+V35</f>
        <v>15.54208</v>
      </c>
      <c r="X35" s="132" t="n">
        <f aca="false">W35-AO35</f>
        <v>15.54208</v>
      </c>
      <c r="Y35" s="134" t="n">
        <f aca="false">Y34+(X35*1.9835)</f>
        <v>13421.98207488</v>
      </c>
      <c r="Z35" s="104" t="n">
        <f aca="false">Z34+X35*(26300/37500)*1.9835</f>
        <v>9413.28342851585</v>
      </c>
      <c r="AA35" s="104"/>
      <c r="AB35" s="104"/>
      <c r="AC35" s="104"/>
      <c r="AD35" s="104"/>
      <c r="AE35" s="132" t="n">
        <v>0</v>
      </c>
      <c r="AF35" s="231"/>
      <c r="AG35" s="232"/>
      <c r="AH35" s="132" t="n">
        <v>81</v>
      </c>
      <c r="AI35" s="104" t="n">
        <f aca="false">AI34-AH35</f>
        <v>475</v>
      </c>
      <c r="AJ35" s="133"/>
      <c r="AK35" s="131" t="n">
        <f aca="false">N35+O35+P35+Q35+R35+S35+T35+W35+AE35+AH35</f>
        <v>101</v>
      </c>
      <c r="AL35" s="132" t="n">
        <f aca="false">IF(L35&lt;0,L35*-1,0)</f>
        <v>0</v>
      </c>
      <c r="AM35" s="132" t="n">
        <f aca="false">AK35+AL35</f>
        <v>101</v>
      </c>
      <c r="AN35" s="203" t="n">
        <f aca="false">AN34+(U35*1.9835)</f>
        <v>13505.512655</v>
      </c>
      <c r="AO35" s="133"/>
      <c r="AP35" s="132"/>
      <c r="AQ35" s="104"/>
      <c r="AR35" s="104"/>
      <c r="AS35" s="204"/>
      <c r="AU35" s="9"/>
      <c r="AV35" s="205" t="n">
        <v>0</v>
      </c>
      <c r="AW35" s="134" t="n">
        <v>43</v>
      </c>
      <c r="AX35" s="204" t="n">
        <v>25</v>
      </c>
      <c r="AY35" s="303"/>
      <c r="AZ35" s="233" t="n">
        <f aca="false">SUM(N35,P35:T35)</f>
        <v>4.45792</v>
      </c>
    </row>
    <row r="36" customFormat="false" ht="12.95" hidden="false" customHeight="true" outlineLevel="0" collapsed="false">
      <c r="A36" s="171" t="n">
        <f aca="false">A35+1</f>
        <v>24</v>
      </c>
      <c r="B36" s="103" t="n">
        <v>6899.57</v>
      </c>
      <c r="C36" s="104" t="n">
        <v>282000</v>
      </c>
      <c r="D36" s="134" t="n">
        <f aca="false">C36-C35</f>
        <v>551</v>
      </c>
      <c r="E36" s="104" t="n">
        <f aca="false">C36-152000</f>
        <v>130000</v>
      </c>
      <c r="F36" s="229" t="n">
        <f aca="false">D36/$D$2</f>
        <v>277.791782203176</v>
      </c>
      <c r="G36" s="132" t="n">
        <v>307</v>
      </c>
      <c r="H36" s="301" t="n">
        <v>37</v>
      </c>
      <c r="I36" s="132" t="n">
        <f aca="false">G36+H36</f>
        <v>344</v>
      </c>
      <c r="J36" s="133" t="n">
        <f aca="false">IF(L36&gt;0,L36,0)</f>
        <v>81.7917822031762</v>
      </c>
      <c r="K36" s="132" t="n">
        <f aca="false">I36+J36</f>
        <v>425.791782203176</v>
      </c>
      <c r="L36" s="132" t="n">
        <f aca="false">F36-(I36-AK36)</f>
        <v>81.7917822031762</v>
      </c>
      <c r="M36" s="231" t="n">
        <v>28</v>
      </c>
      <c r="N36" s="132" t="n">
        <v>0</v>
      </c>
      <c r="O36" s="132" t="n">
        <f aca="false">(0.326+0.348)*1.05</f>
        <v>0.7077</v>
      </c>
      <c r="P36" s="199" t="n">
        <v>0</v>
      </c>
      <c r="Q36" s="340" t="n">
        <f aca="false">1.596*1.02</f>
        <v>1.62792</v>
      </c>
      <c r="R36" s="340" t="n">
        <v>2.66</v>
      </c>
      <c r="S36" s="129" t="n">
        <v>0</v>
      </c>
      <c r="T36" s="92" t="n">
        <v>0</v>
      </c>
      <c r="U36" s="132" t="n">
        <v>39</v>
      </c>
      <c r="V36" s="132" t="n">
        <v>0</v>
      </c>
      <c r="W36" s="132" t="n">
        <f aca="false">M36-N36-O36-P36-Q36-R36-S36-T36+U36+V36</f>
        <v>62.00438</v>
      </c>
      <c r="X36" s="132" t="n">
        <f aca="false">W36-AO36</f>
        <v>62.00438</v>
      </c>
      <c r="Y36" s="134" t="n">
        <f aca="false">Y35+(X36*1.9835)</f>
        <v>13544.96776261</v>
      </c>
      <c r="Z36" s="104" t="n">
        <f aca="false">Z35+X36*(26300/37500)*1.9835</f>
        <v>9499.53739084382</v>
      </c>
      <c r="AA36" s="104"/>
      <c r="AB36" s="104"/>
      <c r="AC36" s="104"/>
      <c r="AD36" s="104"/>
      <c r="AE36" s="132" t="n">
        <v>0</v>
      </c>
      <c r="AF36" s="231"/>
      <c r="AG36" s="232"/>
      <c r="AH36" s="132" t="n">
        <v>81</v>
      </c>
      <c r="AI36" s="104" t="n">
        <f aca="false">AI35-AH36</f>
        <v>394</v>
      </c>
      <c r="AJ36" s="133"/>
      <c r="AK36" s="131" t="n">
        <f aca="false">N36+O36+P36+Q36+R36+S36+T36+W36+AE36+AH36</f>
        <v>148</v>
      </c>
      <c r="AL36" s="132" t="n">
        <f aca="false">IF(L36&lt;0,L36*-1,0)</f>
        <v>0</v>
      </c>
      <c r="AM36" s="132" t="n">
        <f aca="false">AK36+AL36</f>
        <v>148</v>
      </c>
      <c r="AN36" s="203" t="n">
        <f aca="false">AN35+(U36*1.9835)</f>
        <v>13582.869155</v>
      </c>
      <c r="AO36" s="133"/>
      <c r="AP36" s="132"/>
      <c r="AQ36" s="104"/>
      <c r="AR36" s="104"/>
      <c r="AS36" s="204"/>
      <c r="AU36" s="9"/>
      <c r="AV36" s="205" t="n">
        <v>0.02</v>
      </c>
      <c r="AW36" s="134" t="n">
        <v>51</v>
      </c>
      <c r="AX36" s="204" t="n">
        <v>20</v>
      </c>
      <c r="AY36" s="303"/>
      <c r="AZ36" s="233" t="n">
        <f aca="false">SUM(N36,P36:T36)</f>
        <v>4.28792</v>
      </c>
    </row>
    <row r="37" customFormat="false" ht="12.95" hidden="false" customHeight="true" outlineLevel="0" collapsed="false">
      <c r="A37" s="171" t="n">
        <f aca="false">A36+1</f>
        <v>25</v>
      </c>
      <c r="B37" s="103" t="n">
        <v>6899.68</v>
      </c>
      <c r="C37" s="104" t="n">
        <v>282404</v>
      </c>
      <c r="D37" s="134" t="n">
        <f aca="false">C37-C36</f>
        <v>404</v>
      </c>
      <c r="E37" s="104" t="n">
        <f aca="false">C37-152000</f>
        <v>130404</v>
      </c>
      <c r="F37" s="229" t="n">
        <f aca="false">D37/$D$2</f>
        <v>203.680362994706</v>
      </c>
      <c r="G37" s="132" t="n">
        <v>274</v>
      </c>
      <c r="H37" s="301" t="n">
        <v>38</v>
      </c>
      <c r="I37" s="132" t="n">
        <f aca="false">G37+H37</f>
        <v>312</v>
      </c>
      <c r="J37" s="133" t="n">
        <f aca="false">IF(L37&gt;0,L37,0)</f>
        <v>71.6803629947063</v>
      </c>
      <c r="K37" s="132" t="n">
        <f aca="false">I37+J37</f>
        <v>383.680362994706</v>
      </c>
      <c r="L37" s="132" t="n">
        <f aca="false">F37-(I37-AK37)</f>
        <v>71.6803629947063</v>
      </c>
      <c r="M37" s="231" t="n">
        <v>27</v>
      </c>
      <c r="N37" s="132" t="n">
        <v>0</v>
      </c>
      <c r="O37" s="132" t="n">
        <f aca="false">(7.5+8.3)*1.05</f>
        <v>16.59</v>
      </c>
      <c r="P37" s="199" t="n">
        <v>0</v>
      </c>
      <c r="Q37" s="340" t="n">
        <f aca="false">1.596*1.02</f>
        <v>1.62792</v>
      </c>
      <c r="R37" s="340" t="n">
        <v>2.7</v>
      </c>
      <c r="S37" s="129" t="n">
        <v>0</v>
      </c>
      <c r="T37" s="92" t="n">
        <v>0</v>
      </c>
      <c r="U37" s="132" t="n">
        <v>72</v>
      </c>
      <c r="V37" s="132" t="n">
        <v>0</v>
      </c>
      <c r="W37" s="132" t="n">
        <f aca="false">M37-N37-O37-P37-Q37-R37-S37-T37+U37+V37</f>
        <v>78.08208</v>
      </c>
      <c r="X37" s="132" t="n">
        <f aca="false">W37-AO37</f>
        <v>78.08208</v>
      </c>
      <c r="Y37" s="134" t="n">
        <f aca="false">Y36+(X37*1.9835)</f>
        <v>13699.84356829</v>
      </c>
      <c r="Z37" s="104" t="n">
        <f aca="false">Z36+X37*(26300/37500)*1.9835</f>
        <v>9608.15695589406</v>
      </c>
      <c r="AA37" s="104"/>
      <c r="AB37" s="104"/>
      <c r="AC37" s="104"/>
      <c r="AD37" s="104"/>
      <c r="AE37" s="132" t="n">
        <v>0</v>
      </c>
      <c r="AF37" s="231"/>
      <c r="AG37" s="232"/>
      <c r="AH37" s="132" t="n">
        <v>81</v>
      </c>
      <c r="AI37" s="104" t="n">
        <f aca="false">AI36-AH37</f>
        <v>313</v>
      </c>
      <c r="AJ37" s="133"/>
      <c r="AK37" s="131" t="n">
        <f aca="false">N37+O37+P37+Q37+R37+S37+T37+W37+AE37+AH37</f>
        <v>180</v>
      </c>
      <c r="AL37" s="132" t="n">
        <f aca="false">IF(L37&lt;0,L37*-1,0)</f>
        <v>0</v>
      </c>
      <c r="AM37" s="132" t="n">
        <f aca="false">AK37+AL37</f>
        <v>180</v>
      </c>
      <c r="AN37" s="203" t="n">
        <f aca="false">AN36+(U37*1.9835)</f>
        <v>13725.681155</v>
      </c>
      <c r="AO37" s="133"/>
      <c r="AP37" s="132"/>
      <c r="AQ37" s="104"/>
      <c r="AR37" s="104"/>
      <c r="AS37" s="204"/>
      <c r="AU37" s="9"/>
      <c r="AV37" s="205" t="n">
        <v>0</v>
      </c>
      <c r="AW37" s="134" t="n">
        <v>47</v>
      </c>
      <c r="AX37" s="204" t="n">
        <v>23</v>
      </c>
      <c r="AY37" s="303"/>
      <c r="AZ37" s="233" t="n">
        <f aca="false">SUM(N37,P37:T37)</f>
        <v>4.32792</v>
      </c>
    </row>
    <row r="38" customFormat="false" ht="12.95" hidden="false" customHeight="true" outlineLevel="0" collapsed="false">
      <c r="A38" s="171" t="n">
        <f aca="false">A37+1</f>
        <v>26</v>
      </c>
      <c r="B38" s="103" t="n">
        <v>6899.78</v>
      </c>
      <c r="C38" s="104" t="n">
        <v>282772</v>
      </c>
      <c r="D38" s="134" t="n">
        <f aca="false">C38-C37</f>
        <v>368</v>
      </c>
      <c r="E38" s="104" t="n">
        <f aca="false">C38-152000</f>
        <v>130772</v>
      </c>
      <c r="F38" s="229" t="n">
        <f aca="false">D38/$D$2</f>
        <v>185.530627678346</v>
      </c>
      <c r="G38" s="132" t="n">
        <v>249</v>
      </c>
      <c r="H38" s="301" t="n">
        <v>33</v>
      </c>
      <c r="I38" s="132" t="n">
        <f aca="false">G38+H38</f>
        <v>282</v>
      </c>
      <c r="J38" s="133" t="n">
        <f aca="false">IF(L38&gt;0,L38,0)</f>
        <v>66.5306276783464</v>
      </c>
      <c r="K38" s="132" t="n">
        <f aca="false">I38+J38</f>
        <v>348.530627678346</v>
      </c>
      <c r="L38" s="132" t="n">
        <f aca="false">F38-(I38-AK38)</f>
        <v>66.5306276783464</v>
      </c>
      <c r="M38" s="231" t="n">
        <v>25</v>
      </c>
      <c r="N38" s="132" t="n">
        <v>0</v>
      </c>
      <c r="O38" s="132" t="n">
        <f aca="false">(9+8.9)*1.05</f>
        <v>18.795</v>
      </c>
      <c r="P38" s="199" t="n">
        <v>0</v>
      </c>
      <c r="Q38" s="340" t="n">
        <f aca="false">1.596*1.02</f>
        <v>1.62792</v>
      </c>
      <c r="R38" s="340" t="n">
        <v>3.76</v>
      </c>
      <c r="S38" s="129" t="n">
        <v>0</v>
      </c>
      <c r="T38" s="92" t="n">
        <v>0</v>
      </c>
      <c r="U38" s="132" t="n">
        <v>57</v>
      </c>
      <c r="V38" s="132" t="n">
        <v>0</v>
      </c>
      <c r="W38" s="132" t="n">
        <f aca="false">M38-N38-O38-P38-Q38-R38-S38-T38+U38+V38</f>
        <v>57.81708</v>
      </c>
      <c r="X38" s="132" t="n">
        <f aca="false">W38-AO38</f>
        <v>57.81708</v>
      </c>
      <c r="Y38" s="134" t="n">
        <f aca="false">Y37+(X38*1.9835)</f>
        <v>13814.52374647</v>
      </c>
      <c r="Z38" s="104" t="n">
        <f aca="false">Z37+X38*(26300/37500)*1.9835</f>
        <v>9688.5859875243</v>
      </c>
      <c r="AA38" s="104"/>
      <c r="AB38" s="104"/>
      <c r="AC38" s="104"/>
      <c r="AD38" s="104"/>
      <c r="AE38" s="132" t="n">
        <v>0</v>
      </c>
      <c r="AF38" s="231"/>
      <c r="AG38" s="232"/>
      <c r="AH38" s="132" t="n">
        <v>81</v>
      </c>
      <c r="AI38" s="104" t="n">
        <f aca="false">AI37-AH38</f>
        <v>232</v>
      </c>
      <c r="AJ38" s="133"/>
      <c r="AK38" s="131" t="n">
        <f aca="false">N38+O38+P38+Q38+R38+S38+T38+W38+AE38+AH38</f>
        <v>163</v>
      </c>
      <c r="AL38" s="132" t="n">
        <f aca="false">IF(L38&lt;0,L38*-1,0)</f>
        <v>0</v>
      </c>
      <c r="AM38" s="132" t="n">
        <f aca="false">AK38+AL38</f>
        <v>163</v>
      </c>
      <c r="AN38" s="203" t="n">
        <f aca="false">AN37+(U38*1.9835)</f>
        <v>13838.740655</v>
      </c>
      <c r="AO38" s="133"/>
      <c r="AP38" s="132"/>
      <c r="AQ38" s="104"/>
      <c r="AR38" s="104"/>
      <c r="AS38" s="204"/>
      <c r="AU38" s="9"/>
      <c r="AV38" s="205" t="n">
        <v>0.03</v>
      </c>
      <c r="AW38" s="134" t="n">
        <v>40</v>
      </c>
      <c r="AX38" s="134" t="n">
        <v>24</v>
      </c>
      <c r="AY38" s="303"/>
      <c r="AZ38" s="233" t="n">
        <f aca="false">SUM(N38,P38:T38)</f>
        <v>5.38792</v>
      </c>
    </row>
    <row r="39" customFormat="false" ht="12.95" hidden="false" customHeight="true" outlineLevel="0" collapsed="false">
      <c r="A39" s="171" t="n">
        <f aca="false">A38+1</f>
        <v>27</v>
      </c>
      <c r="B39" s="103" t="n">
        <v>6899.81</v>
      </c>
      <c r="C39" s="104" t="n">
        <v>282882</v>
      </c>
      <c r="D39" s="134" t="n">
        <f aca="false">C39-C38</f>
        <v>110</v>
      </c>
      <c r="E39" s="104" t="n">
        <f aca="false">C39-152000</f>
        <v>130882</v>
      </c>
      <c r="F39" s="229" t="n">
        <f aca="false">D39/$D$2</f>
        <v>55.4575245777666</v>
      </c>
      <c r="G39" s="132" t="n">
        <v>201</v>
      </c>
      <c r="H39" s="301" t="n">
        <v>23</v>
      </c>
      <c r="I39" s="132" t="n">
        <f aca="false">G39+H39</f>
        <v>224</v>
      </c>
      <c r="J39" s="133" t="n">
        <f aca="false">IF(L39&gt;0,L39,0)</f>
        <v>0</v>
      </c>
      <c r="K39" s="132" t="n">
        <f aca="false">I39+J39</f>
        <v>224</v>
      </c>
      <c r="L39" s="132" t="n">
        <f aca="false">F39-(I39-AK39)</f>
        <v>-33.3424754222334</v>
      </c>
      <c r="M39" s="231" t="n">
        <v>5.2</v>
      </c>
      <c r="N39" s="132" t="n">
        <v>0</v>
      </c>
      <c r="O39" s="132" t="n">
        <v>0</v>
      </c>
      <c r="P39" s="199" t="n">
        <v>0</v>
      </c>
      <c r="Q39" s="340" t="n">
        <f aca="false">1.596*1.02</f>
        <v>1.62792</v>
      </c>
      <c r="R39" s="340" t="n">
        <v>3.75</v>
      </c>
      <c r="S39" s="129" t="n">
        <v>0</v>
      </c>
      <c r="T39" s="92" t="n">
        <f aca="false">M39-(Q39+R39+S39)</f>
        <v>-0.177919999999999</v>
      </c>
      <c r="U39" s="132" t="n">
        <v>49</v>
      </c>
      <c r="V39" s="132" t="n">
        <v>0</v>
      </c>
      <c r="W39" s="132" t="n">
        <f aca="false">M39-N39-O39-P39-Q39-R39-S39-T39+U39+V39</f>
        <v>49</v>
      </c>
      <c r="X39" s="132" t="n">
        <f aca="false">W39-AO39</f>
        <v>49</v>
      </c>
      <c r="Y39" s="134" t="n">
        <f aca="false">Y38+(X39*1.9835)</f>
        <v>13911.71524647</v>
      </c>
      <c r="Z39" s="104" t="n">
        <f aca="false">Z38+X39*(26300/37500)*1.9835</f>
        <v>9756.74962619096</v>
      </c>
      <c r="AA39" s="104"/>
      <c r="AB39" s="104"/>
      <c r="AC39" s="104"/>
      <c r="AD39" s="104"/>
      <c r="AE39" s="132" t="n">
        <v>0</v>
      </c>
      <c r="AF39" s="231"/>
      <c r="AG39" s="232"/>
      <c r="AH39" s="132" t="n">
        <v>81</v>
      </c>
      <c r="AI39" s="104" t="n">
        <f aca="false">AI38-AH39</f>
        <v>151</v>
      </c>
      <c r="AJ39" s="133"/>
      <c r="AK39" s="131" t="n">
        <f aca="false">N39+O39+P39+Q39+R39+S39+T39+W39+AE39+AH39</f>
        <v>135.2</v>
      </c>
      <c r="AL39" s="132" t="n">
        <f aca="false">IF(L39&lt;0,L39*-1,0)</f>
        <v>33.3424754222334</v>
      </c>
      <c r="AM39" s="132" t="n">
        <f aca="false">AK39+AL39</f>
        <v>168.542475422233</v>
      </c>
      <c r="AN39" s="203" t="n">
        <f aca="false">AN38+(U39*1.9835)</f>
        <v>13935.932155</v>
      </c>
      <c r="AO39" s="133"/>
      <c r="AP39" s="132"/>
      <c r="AQ39" s="104"/>
      <c r="AR39" s="104"/>
      <c r="AS39" s="204"/>
      <c r="AU39" s="9"/>
      <c r="AV39" s="205" t="n">
        <v>0</v>
      </c>
      <c r="AW39" s="134" t="n">
        <v>41</v>
      </c>
      <c r="AX39" s="134" t="n">
        <v>20</v>
      </c>
      <c r="AY39" s="303"/>
      <c r="AZ39" s="233" t="n">
        <f aca="false">SUM(N39,P39:T39)</f>
        <v>5.2</v>
      </c>
    </row>
    <row r="40" customFormat="false" ht="12.95" hidden="false" customHeight="true" outlineLevel="0" collapsed="false">
      <c r="A40" s="171" t="n">
        <f aca="false">A39+1</f>
        <v>28</v>
      </c>
      <c r="B40" s="103" t="n">
        <v>6899.84</v>
      </c>
      <c r="C40" s="104" t="n">
        <v>282992</v>
      </c>
      <c r="D40" s="134" t="n">
        <f aca="false">C40-C39</f>
        <v>110</v>
      </c>
      <c r="E40" s="104" t="n">
        <f aca="false">C40-152000</f>
        <v>130992</v>
      </c>
      <c r="F40" s="229" t="n">
        <f aca="false">D40/$D$2</f>
        <v>55.4575245777666</v>
      </c>
      <c r="G40" s="132" t="n">
        <v>192</v>
      </c>
      <c r="H40" s="301" t="n">
        <v>18</v>
      </c>
      <c r="I40" s="132" t="n">
        <f aca="false">G40+H40</f>
        <v>210</v>
      </c>
      <c r="J40" s="133" t="n">
        <f aca="false">IF(L40&gt;0,L40,0)</f>
        <v>0</v>
      </c>
      <c r="K40" s="132" t="n">
        <f aca="false">I40+J40</f>
        <v>210</v>
      </c>
      <c r="L40" s="132" t="n">
        <f aca="false">F40-(I40-AK40)</f>
        <v>-19.2424754222334</v>
      </c>
      <c r="M40" s="231" t="n">
        <v>5.3</v>
      </c>
      <c r="N40" s="132" t="n">
        <v>0</v>
      </c>
      <c r="O40" s="132" t="n">
        <v>0</v>
      </c>
      <c r="P40" s="199" t="n">
        <v>0</v>
      </c>
      <c r="Q40" s="340" t="n">
        <f aca="false">1.596*1.02</f>
        <v>1.62792</v>
      </c>
      <c r="R40" s="340" t="n">
        <v>2.83</v>
      </c>
      <c r="S40" s="129" t="n">
        <v>0</v>
      </c>
      <c r="T40" s="92" t="n">
        <f aca="false">M40-(Q40+R40+S40)</f>
        <v>0.84208</v>
      </c>
      <c r="U40" s="132" t="n">
        <v>49</v>
      </c>
      <c r="V40" s="132" t="n">
        <v>0</v>
      </c>
      <c r="W40" s="132" t="n">
        <f aca="false">M40-N40-O40-P40-Q40-R40-S40-T40+U40+V40</f>
        <v>49</v>
      </c>
      <c r="X40" s="132" t="n">
        <f aca="false">W40-AO40</f>
        <v>49</v>
      </c>
      <c r="Y40" s="134" t="n">
        <f aca="false">Y39+(X40*1.9835)</f>
        <v>14008.90674647</v>
      </c>
      <c r="Z40" s="104" t="n">
        <f aca="false">Z39+X40*(26300/37500)*1.9835</f>
        <v>9824.91326485763</v>
      </c>
      <c r="AA40" s="104"/>
      <c r="AB40" s="104"/>
      <c r="AC40" s="104"/>
      <c r="AD40" s="104"/>
      <c r="AE40" s="132" t="n">
        <v>0</v>
      </c>
      <c r="AF40" s="231"/>
      <c r="AG40" s="232"/>
      <c r="AH40" s="132" t="n">
        <v>81</v>
      </c>
      <c r="AI40" s="104" t="n">
        <f aca="false">AI39-AH40</f>
        <v>70</v>
      </c>
      <c r="AJ40" s="133"/>
      <c r="AK40" s="131" t="n">
        <f aca="false">N40+O40+P40+Q40+R40+S40+T40+W40+AE40+AH40</f>
        <v>135.3</v>
      </c>
      <c r="AL40" s="132" t="n">
        <f aca="false">IF(L40&lt;0,L40*-1,0)</f>
        <v>19.2424754222334</v>
      </c>
      <c r="AM40" s="132" t="n">
        <f aca="false">AK40+AL40</f>
        <v>154.542475422233</v>
      </c>
      <c r="AN40" s="203" t="n">
        <f aca="false">AN39+(U40*1.9835)</f>
        <v>14033.123655</v>
      </c>
      <c r="AO40" s="133"/>
      <c r="AP40" s="132"/>
      <c r="AQ40" s="104"/>
      <c r="AR40" s="104"/>
      <c r="AS40" s="204"/>
      <c r="AU40" s="9"/>
      <c r="AV40" s="205" t="n">
        <v>0</v>
      </c>
      <c r="AW40" s="134" t="n">
        <v>53</v>
      </c>
      <c r="AX40" s="134" t="n">
        <v>21</v>
      </c>
      <c r="AY40" s="303"/>
      <c r="AZ40" s="233" t="n">
        <f aca="false">SUM(N40,P40:T40)</f>
        <v>5.3</v>
      </c>
    </row>
    <row r="41" customFormat="false" ht="12.95" hidden="false" customHeight="true" outlineLevel="0" collapsed="false">
      <c r="A41" s="171" t="n">
        <f aca="false">A40+1</f>
        <v>29</v>
      </c>
      <c r="B41" s="103" t="n">
        <v>6899.87</v>
      </c>
      <c r="C41" s="104" t="n">
        <v>283102</v>
      </c>
      <c r="D41" s="134" t="n">
        <f aca="false">C41-C40</f>
        <v>110</v>
      </c>
      <c r="E41" s="104" t="n">
        <f aca="false">C41-152000</f>
        <v>131102</v>
      </c>
      <c r="F41" s="229" t="n">
        <f aca="false">D41/$D$2</f>
        <v>55.4575245777666</v>
      </c>
      <c r="G41" s="132" t="n">
        <v>210</v>
      </c>
      <c r="H41" s="301" t="n">
        <v>21</v>
      </c>
      <c r="I41" s="132" t="n">
        <f aca="false">G41+H41</f>
        <v>231</v>
      </c>
      <c r="J41" s="133" t="n">
        <f aca="false">IF(L41&gt;0,L41,0)</f>
        <v>0</v>
      </c>
      <c r="K41" s="132" t="n">
        <f aca="false">I41+J41</f>
        <v>231</v>
      </c>
      <c r="L41" s="132" t="n">
        <f aca="false">F41-(I41-AK41)</f>
        <v>-40.3424754222334</v>
      </c>
      <c r="M41" s="231" t="n">
        <v>5.2</v>
      </c>
      <c r="N41" s="132" t="n">
        <v>0</v>
      </c>
      <c r="O41" s="132" t="n">
        <v>0</v>
      </c>
      <c r="P41" s="199" t="n">
        <v>0</v>
      </c>
      <c r="Q41" s="340" t="n">
        <f aca="false">1.596*1.02</f>
        <v>1.62792</v>
      </c>
      <c r="R41" s="340" t="n">
        <v>2.72</v>
      </c>
      <c r="S41" s="129" t="n">
        <v>0</v>
      </c>
      <c r="T41" s="92" t="n">
        <f aca="false">M41-(Q41+R41+S41)</f>
        <v>0.85208</v>
      </c>
      <c r="U41" s="132" t="n">
        <v>49</v>
      </c>
      <c r="V41" s="132" t="n">
        <v>0</v>
      </c>
      <c r="W41" s="132" t="n">
        <f aca="false">M41-N41-O41-P41-Q41-R41-S41-T41+U41+V41</f>
        <v>49</v>
      </c>
      <c r="X41" s="132" t="n">
        <f aca="false">W41-AO41</f>
        <v>49</v>
      </c>
      <c r="Y41" s="134" t="n">
        <f aca="false">Y40+(X41*1.9835)</f>
        <v>14106.09824647</v>
      </c>
      <c r="Z41" s="104" t="n">
        <f aca="false">Z40+X41*(26300/37500)*1.9835</f>
        <v>9893.0769035243</v>
      </c>
      <c r="AA41" s="104"/>
      <c r="AB41" s="104"/>
      <c r="AC41" s="104"/>
      <c r="AD41" s="104"/>
      <c r="AE41" s="132" t="n">
        <v>0</v>
      </c>
      <c r="AF41" s="231"/>
      <c r="AG41" s="232"/>
      <c r="AH41" s="132" t="n">
        <v>81</v>
      </c>
      <c r="AI41" s="104" t="n">
        <f aca="false">AI40-AH41</f>
        <v>-11</v>
      </c>
      <c r="AJ41" s="133"/>
      <c r="AK41" s="131" t="n">
        <f aca="false">N41+O41+P41+Q41+R41+S41+T41+W41+AE41+AH41</f>
        <v>135.2</v>
      </c>
      <c r="AL41" s="132" t="n">
        <f aca="false">IF(L41&lt;0,L41*-1,0)</f>
        <v>40.3424754222334</v>
      </c>
      <c r="AM41" s="132" t="n">
        <f aca="false">AK41+AL41</f>
        <v>175.542475422233</v>
      </c>
      <c r="AN41" s="203" t="n">
        <f aca="false">AN40+(U41*1.9835)</f>
        <v>14130.315155</v>
      </c>
      <c r="AO41" s="133"/>
      <c r="AP41" s="132"/>
      <c r="AQ41" s="104"/>
      <c r="AR41" s="104"/>
      <c r="AS41" s="204"/>
      <c r="AU41" s="9"/>
      <c r="AV41" s="205" t="n">
        <v>0</v>
      </c>
      <c r="AW41" s="204" t="n">
        <v>56</v>
      </c>
      <c r="AX41" s="134" t="n">
        <v>23</v>
      </c>
      <c r="AY41" s="303"/>
      <c r="AZ41" s="233" t="n">
        <f aca="false">SUM(N41,P41:T41)</f>
        <v>5.2</v>
      </c>
    </row>
    <row r="42" customFormat="false" ht="12.95" hidden="false" customHeight="true" outlineLevel="0" collapsed="false">
      <c r="A42" s="171" t="n">
        <v>30</v>
      </c>
      <c r="B42" s="103" t="n">
        <v>6899.91</v>
      </c>
      <c r="C42" s="104" t="n">
        <v>283249</v>
      </c>
      <c r="D42" s="134" t="n">
        <f aca="false">C42-C41</f>
        <v>147</v>
      </c>
      <c r="E42" s="104" t="n">
        <f aca="false">C42-152000</f>
        <v>131249</v>
      </c>
      <c r="F42" s="229" t="n">
        <f aca="false">D42/$D$2</f>
        <v>74.1114192084699</v>
      </c>
      <c r="G42" s="132" t="n">
        <v>222</v>
      </c>
      <c r="H42" s="301" t="n">
        <v>24</v>
      </c>
      <c r="I42" s="132" t="n">
        <f aca="false">G42+H42</f>
        <v>246</v>
      </c>
      <c r="J42" s="133" t="n">
        <f aca="false">IF(L42&gt;0,L42,0)</f>
        <v>42.1114192084699</v>
      </c>
      <c r="K42" s="132" t="n">
        <f aca="false">I42+J42</f>
        <v>288.11141920847</v>
      </c>
      <c r="L42" s="132" t="n">
        <f aca="false">F42-(I42-AK42)</f>
        <v>42.1114192084699</v>
      </c>
      <c r="M42" s="231" t="n">
        <v>57</v>
      </c>
      <c r="N42" s="132" t="n">
        <v>0</v>
      </c>
      <c r="O42" s="132" t="n">
        <f aca="false">(5+4.2)*1.05</f>
        <v>9.66</v>
      </c>
      <c r="P42" s="199" t="n">
        <v>0</v>
      </c>
      <c r="Q42" s="340" t="n">
        <f aca="false">1.596*1.02</f>
        <v>1.62792</v>
      </c>
      <c r="R42" s="340" t="n">
        <v>2.57</v>
      </c>
      <c r="S42" s="129" t="n">
        <v>0</v>
      </c>
      <c r="T42" s="92" t="n">
        <v>0</v>
      </c>
      <c r="U42" s="132" t="n">
        <v>76</v>
      </c>
      <c r="V42" s="132" t="n">
        <v>0</v>
      </c>
      <c r="W42" s="132" t="n">
        <f aca="false">M42-N42-O42-P42-Q42-R42-S42-T42+U42+V42</f>
        <v>119.14208</v>
      </c>
      <c r="X42" s="132" t="n">
        <f aca="false">W42-AO42</f>
        <v>119.14208</v>
      </c>
      <c r="Y42" s="134" t="n">
        <f aca="false">Y41+(X42*1.9835)</f>
        <v>14342.41656215</v>
      </c>
      <c r="Z42" s="104" t="n">
        <f aca="false">Z41+X42*(26300/37500)*1.9835</f>
        <v>10058.8148155879</v>
      </c>
      <c r="AA42" s="104"/>
      <c r="AB42" s="104"/>
      <c r="AC42" s="104"/>
      <c r="AD42" s="104"/>
      <c r="AE42" s="132" t="n">
        <v>0</v>
      </c>
      <c r="AF42" s="231"/>
      <c r="AG42" s="232"/>
      <c r="AH42" s="132" t="n">
        <v>81</v>
      </c>
      <c r="AI42" s="104" t="n">
        <f aca="false">AI41-AH42</f>
        <v>-92</v>
      </c>
      <c r="AJ42" s="133"/>
      <c r="AK42" s="131" t="n">
        <f aca="false">N42+O42+P42+Q42+R42+S42+T42+W42+AE42+AH42</f>
        <v>214</v>
      </c>
      <c r="AL42" s="132" t="n">
        <f aca="false">IF(L42&lt;0,L42*-1,0)</f>
        <v>0</v>
      </c>
      <c r="AM42" s="132" t="n">
        <f aca="false">AK42+AL42</f>
        <v>214</v>
      </c>
      <c r="AN42" s="203" t="n">
        <f aca="false">AN41+(U42*1.9835)</f>
        <v>14281.061155</v>
      </c>
      <c r="AO42" s="133"/>
      <c r="AP42" s="132"/>
      <c r="AQ42" s="104"/>
      <c r="AR42" s="104"/>
      <c r="AS42" s="204"/>
      <c r="AU42" s="9"/>
      <c r="AV42" s="205" t="n">
        <v>0.02</v>
      </c>
      <c r="AW42" s="204" t="n">
        <v>35</v>
      </c>
      <c r="AX42" s="134" t="n">
        <v>12</v>
      </c>
      <c r="AY42" s="303"/>
      <c r="AZ42" s="233" t="n">
        <f aca="false">SUM(N42,P42:T42)</f>
        <v>4.19792</v>
      </c>
    </row>
    <row r="43" customFormat="false" ht="12.95" hidden="false" customHeight="true" outlineLevel="0" collapsed="false">
      <c r="A43" s="171" t="n">
        <v>31</v>
      </c>
      <c r="B43" s="103" t="n">
        <v>6899.92</v>
      </c>
      <c r="C43" s="104" t="n">
        <v>283286</v>
      </c>
      <c r="D43" s="134" t="n">
        <f aca="false">C43-C42</f>
        <v>37</v>
      </c>
      <c r="E43" s="104" t="n">
        <f aca="false">C43-152000</f>
        <v>131286</v>
      </c>
      <c r="F43" s="229" t="n">
        <f aca="false">D43/$D$2</f>
        <v>18.6538946307033</v>
      </c>
      <c r="G43" s="132" t="n">
        <v>180</v>
      </c>
      <c r="H43" s="301" t="n">
        <v>20</v>
      </c>
      <c r="I43" s="132" t="n">
        <f aca="false">G43+H43</f>
        <v>200</v>
      </c>
      <c r="J43" s="133" t="n">
        <f aca="false">IF(L43&gt;0,L43,0)</f>
        <v>53.6538946307033</v>
      </c>
      <c r="K43" s="132" t="n">
        <f aca="false">I43+J43</f>
        <v>253.653894630703</v>
      </c>
      <c r="L43" s="132" t="n">
        <f aca="false">F43-(I43-AK43)</f>
        <v>53.6538946307033</v>
      </c>
      <c r="M43" s="231" t="n">
        <v>55</v>
      </c>
      <c r="N43" s="132" t="n">
        <v>0</v>
      </c>
      <c r="O43" s="132" t="n">
        <f aca="false">(1.5+1.5)*1.05</f>
        <v>3.15</v>
      </c>
      <c r="P43" s="199" t="n">
        <v>0</v>
      </c>
      <c r="Q43" s="340" t="n">
        <f aca="false">1.596*1.02</f>
        <v>1.62792</v>
      </c>
      <c r="R43" s="340" t="n">
        <v>2.6</v>
      </c>
      <c r="S43" s="129" t="n">
        <v>0</v>
      </c>
      <c r="T43" s="92" t="n">
        <v>0</v>
      </c>
      <c r="U43" s="132" t="n">
        <v>99</v>
      </c>
      <c r="V43" s="132" t="n">
        <v>0</v>
      </c>
      <c r="W43" s="132" t="n">
        <f aca="false">M43-N43-O43-P43-Q43-R43-S43-T43+U43+V43</f>
        <v>146.62208</v>
      </c>
      <c r="X43" s="132" t="n">
        <f aca="false">W43-AO43</f>
        <v>146.62208</v>
      </c>
      <c r="Y43" s="134" t="n">
        <f aca="false">Y42+(X43*1.9835)</f>
        <v>14633.24145783</v>
      </c>
      <c r="Z43" s="104" t="n">
        <f aca="false">Z42+X43*(26300/37500)*1.9835</f>
        <v>10262.7800090914</v>
      </c>
      <c r="AA43" s="104"/>
      <c r="AB43" s="104"/>
      <c r="AC43" s="104"/>
      <c r="AD43" s="104"/>
      <c r="AE43" s="132" t="n">
        <v>0</v>
      </c>
      <c r="AF43" s="231"/>
      <c r="AG43" s="232"/>
      <c r="AH43" s="132" t="n">
        <v>81</v>
      </c>
      <c r="AI43" s="104" t="n">
        <f aca="false">AI42-AH43</f>
        <v>-173</v>
      </c>
      <c r="AJ43" s="133"/>
      <c r="AK43" s="131" t="n">
        <f aca="false">N43+O43+P43+Q43+R43+S43+T43+W43+AE43+AH43</f>
        <v>235</v>
      </c>
      <c r="AL43" s="132" t="n">
        <f aca="false">IF(L43&lt;0,L43*-1,0)</f>
        <v>0</v>
      </c>
      <c r="AM43" s="132" t="n">
        <f aca="false">AK43+AL43</f>
        <v>235</v>
      </c>
      <c r="AN43" s="203" t="n">
        <f aca="false">AN42+(U43*1.9835)</f>
        <v>14477.427655</v>
      </c>
      <c r="AO43" s="133"/>
      <c r="AP43" s="132"/>
      <c r="AQ43" s="132"/>
      <c r="AR43" s="132"/>
      <c r="AS43" s="204"/>
      <c r="AU43" s="9"/>
      <c r="AV43" s="205" t="n">
        <v>0</v>
      </c>
      <c r="AW43" s="204" t="n">
        <v>42</v>
      </c>
      <c r="AX43" s="134" t="n">
        <v>16</v>
      </c>
      <c r="AY43" s="303"/>
      <c r="AZ43" s="233" t="n">
        <f aca="false">SUM(N43,P43:T43)</f>
        <v>4.22792</v>
      </c>
    </row>
    <row r="44" customFormat="false" ht="3" hidden="false" customHeight="true" outlineLevel="0" collapsed="false">
      <c r="A44" s="214"/>
      <c r="B44" s="235"/>
      <c r="C44" s="216"/>
      <c r="D44" s="217"/>
      <c r="E44" s="216"/>
      <c r="F44" s="218"/>
      <c r="G44" s="217"/>
      <c r="H44" s="246"/>
      <c r="I44" s="217"/>
      <c r="J44" s="217"/>
      <c r="K44" s="217"/>
      <c r="L44" s="217"/>
      <c r="M44" s="220"/>
      <c r="N44" s="217"/>
      <c r="O44" s="217"/>
      <c r="P44" s="221"/>
      <c r="Q44" s="217"/>
      <c r="R44" s="217"/>
      <c r="S44" s="217"/>
      <c r="T44" s="339"/>
      <c r="U44" s="217"/>
      <c r="V44" s="217"/>
      <c r="W44" s="217"/>
      <c r="X44" s="217"/>
      <c r="Y44" s="217"/>
      <c r="Z44" s="216"/>
      <c r="AA44" s="216"/>
      <c r="AB44" s="216"/>
      <c r="AC44" s="216"/>
      <c r="AD44" s="216"/>
      <c r="AE44" s="217"/>
      <c r="AF44" s="220"/>
      <c r="AG44" s="225"/>
      <c r="AH44" s="217"/>
      <c r="AI44" s="217"/>
      <c r="AJ44" s="224"/>
      <c r="AK44" s="217"/>
      <c r="AL44" s="217"/>
      <c r="AM44" s="217"/>
      <c r="AN44" s="226"/>
      <c r="AO44" s="224"/>
      <c r="AP44" s="223"/>
      <c r="AQ44" s="223"/>
      <c r="AR44" s="223"/>
      <c r="AS44" s="223"/>
      <c r="AT44" s="284"/>
      <c r="AU44" s="284"/>
      <c r="AV44" s="228"/>
      <c r="AW44" s="223"/>
      <c r="AX44" s="223"/>
      <c r="AY44" s="237"/>
      <c r="AZ44" s="238"/>
    </row>
    <row r="45" customFormat="false" ht="12.95" hidden="false" customHeight="true" outlineLevel="0" collapsed="false">
      <c r="A45" s="173" t="s">
        <v>91</v>
      </c>
      <c r="B45" s="196"/>
      <c r="C45" s="104"/>
      <c r="D45" s="104"/>
      <c r="E45" s="104"/>
      <c r="F45" s="197" t="n">
        <f aca="false">SUM(F13:F43)</f>
        <v>3541.71918326191</v>
      </c>
      <c r="G45" s="104" t="n">
        <f aca="false">SUM(G13:G43)</f>
        <v>5289</v>
      </c>
      <c r="H45" s="305" t="n">
        <f aca="false">SUM(H13:H43)</f>
        <v>467</v>
      </c>
      <c r="I45" s="104" t="n">
        <f aca="false">SUM(I13:I43)</f>
        <v>5756</v>
      </c>
      <c r="J45" s="104" t="n">
        <f aca="false">SUM(J13:J43)</f>
        <v>1394.65023947567</v>
      </c>
      <c r="K45" s="104" t="n">
        <f aca="false">SUM(K13:K43)</f>
        <v>7150.65023947567</v>
      </c>
      <c r="L45" s="104" t="n">
        <f aca="false">SUM(L13:L43)</f>
        <v>1243.41918326191</v>
      </c>
      <c r="M45" s="198" t="n">
        <f aca="false">SUM(M13:M43)</f>
        <v>310.7</v>
      </c>
      <c r="N45" s="104" t="n">
        <f aca="false">SUM(N13:N43)</f>
        <v>0</v>
      </c>
      <c r="O45" s="104" t="n">
        <f aca="false">SUM(O13:O43)</f>
        <v>48.9027</v>
      </c>
      <c r="P45" s="199"/>
      <c r="Q45" s="104" t="n">
        <f aca="false">SUM(Q13:Q43)</f>
        <v>50.46552</v>
      </c>
      <c r="R45" s="104" t="n">
        <f aca="false">SUM(R13:R43)</f>
        <v>81.17</v>
      </c>
      <c r="S45" s="104" t="n">
        <f aca="false">SUM(S13:S43)</f>
        <v>0</v>
      </c>
      <c r="T45" s="200" t="n">
        <f aca="false">SUM(T13:T43)</f>
        <v>-6.048</v>
      </c>
      <c r="U45" s="104" t="n">
        <f aca="false">SUM(U13:U43)</f>
        <v>1137</v>
      </c>
      <c r="V45" s="104" t="n">
        <f aca="false">SUM(V13:V43)</f>
        <v>0</v>
      </c>
      <c r="W45" s="104" t="n">
        <f aca="false">SUM(W13:W43)</f>
        <v>1273.20978</v>
      </c>
      <c r="X45" s="104" t="n">
        <f aca="false">SUM(X13:X43)</f>
        <v>1273.20978</v>
      </c>
      <c r="Y45" s="104"/>
      <c r="Z45" s="104"/>
      <c r="AA45" s="104"/>
      <c r="AB45" s="104"/>
      <c r="AC45" s="104"/>
      <c r="AD45" s="104"/>
      <c r="AE45" s="104"/>
      <c r="AF45" s="198"/>
      <c r="AG45" s="201"/>
      <c r="AH45" s="104" t="n">
        <f aca="false">SUM(AH13:AH43)</f>
        <v>2010</v>
      </c>
      <c r="AI45" s="104"/>
      <c r="AJ45" s="133" t="n">
        <f aca="false">SUM(AJ13:AJ43)</f>
        <v>0</v>
      </c>
      <c r="AK45" s="104" t="n">
        <f aca="false">SUM(AK13:AK43)</f>
        <v>3457.7</v>
      </c>
      <c r="AL45" s="104" t="n">
        <f aca="false">SUM(AL13:AL43)</f>
        <v>151.231056213764</v>
      </c>
      <c r="AM45" s="104" t="n">
        <f aca="false">SUM(AM13:AM43)</f>
        <v>3608.93105621376</v>
      </c>
      <c r="AN45" s="203"/>
      <c r="AO45" s="133" t="n">
        <f aca="false">SUM(AO13:AO43)</f>
        <v>0</v>
      </c>
      <c r="AP45" s="132"/>
      <c r="AQ45" s="132"/>
      <c r="AR45" s="132"/>
      <c r="AS45" s="204"/>
      <c r="AT45" s="80" t="s">
        <v>102</v>
      </c>
      <c r="AU45" s="9"/>
      <c r="AV45" s="205" t="n">
        <f aca="false">SUM(AV13:AV43)</f>
        <v>0.1</v>
      </c>
      <c r="AW45" s="134" t="n">
        <f aca="false">AVERAGE(AW13:AW43)</f>
        <v>52.7741935483871</v>
      </c>
      <c r="AX45" s="134" t="n">
        <f aca="false">AVERAGE(AX13:AX43)</f>
        <v>26.0967741935484</v>
      </c>
      <c r="AY45" s="206" t="s">
        <v>107</v>
      </c>
      <c r="AZ45" s="341" t="n">
        <f aca="false">SUM(AZ13:AZ43)</f>
        <v>125.58752</v>
      </c>
    </row>
    <row r="46" customFormat="false" ht="12.95" hidden="false" customHeight="true" outlineLevel="0" collapsed="false">
      <c r="A46" s="173" t="s">
        <v>93</v>
      </c>
      <c r="B46" s="196"/>
      <c r="C46" s="104"/>
      <c r="D46" s="104" t="n">
        <f aca="false">SUM(D13:D43)</f>
        <v>7025</v>
      </c>
      <c r="E46" s="104"/>
      <c r="F46" s="197" t="n">
        <f aca="false">F45*$D$2</f>
        <v>7025</v>
      </c>
      <c r="G46" s="104" t="n">
        <f aca="false">G45*$D$2</f>
        <v>10490.7315</v>
      </c>
      <c r="H46" s="305" t="n">
        <f aca="false">H45*$D$2</f>
        <v>926.2945</v>
      </c>
      <c r="I46" s="104" t="n">
        <f aca="false">I45*$D$2</f>
        <v>11417.026</v>
      </c>
      <c r="J46" s="104" t="n">
        <f aca="false">J45*$D$2</f>
        <v>2766.28875</v>
      </c>
      <c r="K46" s="104" t="n">
        <f aca="false">K45*$D$2</f>
        <v>14183.31475</v>
      </c>
      <c r="L46" s="104" t="n">
        <f aca="false">L45*$D$2</f>
        <v>2466.32195</v>
      </c>
      <c r="M46" s="198" t="n">
        <f aca="false">M45*$D$2</f>
        <v>616.27345</v>
      </c>
      <c r="N46" s="104" t="n">
        <f aca="false">N45*$D$2</f>
        <v>0</v>
      </c>
      <c r="O46" s="104" t="n">
        <f aca="false">O45*$D$2</f>
        <v>96.99850545</v>
      </c>
      <c r="P46" s="199"/>
      <c r="Q46" s="104" t="n">
        <f aca="false">Q45*$D$2</f>
        <v>100.09835892</v>
      </c>
      <c r="R46" s="104" t="n">
        <f aca="false">R45*$D$2</f>
        <v>161.000695</v>
      </c>
      <c r="S46" s="104" t="n">
        <f aca="false">S45*$D$2</f>
        <v>0</v>
      </c>
      <c r="T46" s="200" t="n">
        <f aca="false">T45*$D$2</f>
        <v>-11.996208</v>
      </c>
      <c r="U46" s="104" t="n">
        <f aca="false">U45*$D$2</f>
        <v>2255.2395</v>
      </c>
      <c r="V46" s="104" t="n">
        <f aca="false">V45*$D$2</f>
        <v>0</v>
      </c>
      <c r="W46" s="104" t="n">
        <f aca="false">W45*$D$2</f>
        <v>2525.41159863</v>
      </c>
      <c r="X46" s="104" t="n">
        <f aca="false">X45*$D$2</f>
        <v>2525.41159863</v>
      </c>
      <c r="Y46" s="104"/>
      <c r="Z46" s="104"/>
      <c r="AA46" s="104"/>
      <c r="AB46" s="104"/>
      <c r="AC46" s="104"/>
      <c r="AD46" s="104"/>
      <c r="AE46" s="104"/>
      <c r="AF46" s="198"/>
      <c r="AG46" s="201"/>
      <c r="AH46" s="104" t="n">
        <f aca="false">AH45*$D$2</f>
        <v>3986.835</v>
      </c>
      <c r="AI46" s="104"/>
      <c r="AJ46" s="133" t="n">
        <f aca="false">AJ45*$D$2</f>
        <v>0</v>
      </c>
      <c r="AK46" s="104" t="n">
        <f aca="false">AK45*$D$2</f>
        <v>6858.34795</v>
      </c>
      <c r="AL46" s="104" t="n">
        <f aca="false">AL45*$D$2</f>
        <v>299.9668</v>
      </c>
      <c r="AM46" s="104" t="n">
        <f aca="false">AM45*$D$2</f>
        <v>7158.31475</v>
      </c>
      <c r="AN46" s="203"/>
      <c r="AO46" s="133" t="n">
        <f aca="false">AO45*$D$2</f>
        <v>0</v>
      </c>
      <c r="AP46" s="132"/>
      <c r="AQ46" s="132"/>
      <c r="AR46" s="132"/>
      <c r="AS46" s="204"/>
      <c r="AT46" s="80"/>
      <c r="AU46" s="9"/>
      <c r="AV46" s="205"/>
      <c r="AW46" s="134" t="n">
        <f aca="false">MAX(AW13:AW43)</f>
        <v>66</v>
      </c>
      <c r="AX46" s="134" t="n">
        <f aca="false">MAX(AX13:AX43)</f>
        <v>39</v>
      </c>
      <c r="AY46" s="206" t="s">
        <v>94</v>
      </c>
      <c r="AZ46" s="341" t="n">
        <f aca="false">AZ45*$D$2</f>
        <v>249.10284592</v>
      </c>
    </row>
    <row r="47" customFormat="false" ht="3" hidden="false" customHeight="true" outlineLevel="0" collapsed="false">
      <c r="A47" s="214"/>
      <c r="B47" s="235"/>
      <c r="C47" s="216"/>
      <c r="D47" s="216"/>
      <c r="E47" s="216"/>
      <c r="F47" s="240"/>
      <c r="G47" s="216"/>
      <c r="H47" s="342"/>
      <c r="I47" s="216"/>
      <c r="J47" s="216"/>
      <c r="K47" s="216"/>
      <c r="L47" s="216"/>
      <c r="M47" s="241"/>
      <c r="N47" s="216"/>
      <c r="O47" s="216"/>
      <c r="P47" s="221"/>
      <c r="Q47" s="216"/>
      <c r="R47" s="216"/>
      <c r="S47" s="216"/>
      <c r="T47" s="339"/>
      <c r="U47" s="216"/>
      <c r="V47" s="216"/>
      <c r="W47" s="216"/>
      <c r="X47" s="216"/>
      <c r="Y47" s="216"/>
      <c r="Z47" s="216"/>
      <c r="AA47" s="216"/>
      <c r="AB47" s="216"/>
      <c r="AC47" s="216"/>
      <c r="AD47" s="216"/>
      <c r="AE47" s="216"/>
      <c r="AF47" s="241"/>
      <c r="AG47" s="242"/>
      <c r="AH47" s="216"/>
      <c r="AI47" s="217"/>
      <c r="AJ47" s="224"/>
      <c r="AK47" s="216"/>
      <c r="AL47" s="216"/>
      <c r="AM47" s="216"/>
      <c r="AN47" s="226"/>
      <c r="AO47" s="224"/>
      <c r="AP47" s="216"/>
      <c r="AQ47" s="216"/>
      <c r="AR47" s="216"/>
      <c r="AS47" s="216"/>
      <c r="AT47" s="293"/>
      <c r="AU47" s="284"/>
      <c r="AV47" s="243"/>
      <c r="AW47" s="216"/>
      <c r="AX47" s="216"/>
      <c r="AY47" s="237"/>
      <c r="AZ47" s="323"/>
    </row>
    <row r="48" customFormat="false" ht="12.95" hidden="false" customHeight="true" outlineLevel="0" collapsed="false">
      <c r="A48" s="173" t="s">
        <v>95</v>
      </c>
      <c r="B48" s="196"/>
      <c r="C48" s="104"/>
      <c r="D48" s="104"/>
      <c r="E48" s="104"/>
      <c r="F48" s="197"/>
      <c r="G48" s="104"/>
      <c r="H48" s="305"/>
      <c r="I48" s="104"/>
      <c r="J48" s="104"/>
      <c r="K48" s="104"/>
      <c r="L48" s="104"/>
      <c r="M48" s="198"/>
      <c r="N48" s="104"/>
      <c r="O48" s="104" t="n">
        <f aca="false">O45</f>
        <v>48.9027</v>
      </c>
      <c r="P48" s="199"/>
      <c r="Q48" s="104"/>
      <c r="R48" s="104"/>
      <c r="S48" s="104"/>
      <c r="T48" s="335"/>
      <c r="U48" s="104"/>
      <c r="V48" s="104"/>
      <c r="W48" s="104"/>
      <c r="X48" s="104"/>
      <c r="Y48" s="104"/>
      <c r="Z48" s="104"/>
      <c r="AA48" s="104"/>
      <c r="AB48" s="104"/>
      <c r="AC48" s="104"/>
      <c r="AD48" s="104"/>
      <c r="AE48" s="104"/>
      <c r="AF48" s="198"/>
      <c r="AG48" s="201"/>
      <c r="AH48" s="104"/>
      <c r="AI48" s="104"/>
      <c r="AJ48" s="133"/>
      <c r="AK48" s="104"/>
      <c r="AL48" s="104"/>
      <c r="AM48" s="104"/>
      <c r="AN48" s="203"/>
      <c r="AO48" s="133"/>
      <c r="AP48" s="132"/>
      <c r="AQ48" s="132"/>
      <c r="AR48" s="132"/>
      <c r="AS48" s="204"/>
      <c r="AT48" s="80"/>
      <c r="AU48" s="9"/>
      <c r="AV48" s="205"/>
      <c r="AW48" s="134" t="n">
        <f aca="false">MIN(AW13:AW43)</f>
        <v>35</v>
      </c>
      <c r="AX48" s="134" t="n">
        <f aca="false">MIN(AX13:AX43)</f>
        <v>12</v>
      </c>
      <c r="AY48" s="206" t="s">
        <v>96</v>
      </c>
      <c r="AZ48" s="341"/>
    </row>
    <row r="49" customFormat="false" ht="12.95" hidden="false" customHeight="true" outlineLevel="0" collapsed="false">
      <c r="A49" s="173" t="s">
        <v>97</v>
      </c>
      <c r="B49" s="196"/>
      <c r="C49" s="104"/>
      <c r="D49" s="104"/>
      <c r="E49" s="104"/>
      <c r="F49" s="197"/>
      <c r="G49" s="104"/>
      <c r="H49" s="305"/>
      <c r="I49" s="104"/>
      <c r="J49" s="104"/>
      <c r="K49" s="104"/>
      <c r="L49" s="104"/>
      <c r="M49" s="198"/>
      <c r="N49" s="104"/>
      <c r="O49" s="104" t="n">
        <f aca="false">O48*D2</f>
        <v>96.99850545</v>
      </c>
      <c r="P49" s="199"/>
      <c r="Q49" s="104"/>
      <c r="R49" s="104"/>
      <c r="S49" s="104"/>
      <c r="T49" s="335"/>
      <c r="U49" s="104"/>
      <c r="V49" s="104"/>
      <c r="W49" s="104"/>
      <c r="X49" s="104"/>
      <c r="Y49" s="104"/>
      <c r="Z49" s="104"/>
      <c r="AA49" s="104"/>
      <c r="AB49" s="104"/>
      <c r="AC49" s="104"/>
      <c r="AD49" s="104"/>
      <c r="AE49" s="104"/>
      <c r="AF49" s="198"/>
      <c r="AG49" s="201"/>
      <c r="AH49" s="104"/>
      <c r="AI49" s="104"/>
      <c r="AJ49" s="133"/>
      <c r="AK49" s="104"/>
      <c r="AL49" s="104"/>
      <c r="AM49" s="104"/>
      <c r="AN49" s="203"/>
      <c r="AO49" s="133"/>
      <c r="AP49" s="132"/>
      <c r="AQ49" s="132"/>
      <c r="AR49" s="132"/>
      <c r="AS49" s="204"/>
      <c r="AT49" s="80"/>
      <c r="AU49" s="9"/>
      <c r="AV49" s="205"/>
      <c r="AW49" s="134"/>
      <c r="AX49" s="134"/>
      <c r="AY49" s="303"/>
      <c r="AZ49" s="341"/>
    </row>
    <row r="50" customFormat="false" ht="3" hidden="false" customHeight="true" outlineLevel="0" collapsed="false">
      <c r="A50" s="214"/>
      <c r="B50" s="235"/>
      <c r="C50" s="216"/>
      <c r="D50" s="216"/>
      <c r="E50" s="216"/>
      <c r="F50" s="240"/>
      <c r="G50" s="216"/>
      <c r="H50" s="342"/>
      <c r="I50" s="216"/>
      <c r="J50" s="216"/>
      <c r="K50" s="216"/>
      <c r="L50" s="216"/>
      <c r="M50" s="241"/>
      <c r="N50" s="216"/>
      <c r="O50" s="216"/>
      <c r="P50" s="221"/>
      <c r="Q50" s="216"/>
      <c r="R50" s="216"/>
      <c r="S50" s="216"/>
      <c r="T50" s="339"/>
      <c r="U50" s="216"/>
      <c r="V50" s="216"/>
      <c r="W50" s="216"/>
      <c r="X50" s="216"/>
      <c r="Y50" s="216"/>
      <c r="Z50" s="216"/>
      <c r="AA50" s="216"/>
      <c r="AB50" s="216"/>
      <c r="AC50" s="216"/>
      <c r="AD50" s="216"/>
      <c r="AE50" s="216"/>
      <c r="AF50" s="241"/>
      <c r="AG50" s="242"/>
      <c r="AH50" s="216"/>
      <c r="AI50" s="216"/>
      <c r="AJ50" s="224"/>
      <c r="AK50" s="216"/>
      <c r="AL50" s="216"/>
      <c r="AM50" s="216"/>
      <c r="AN50" s="226"/>
      <c r="AO50" s="224"/>
      <c r="AP50" s="246"/>
      <c r="AQ50" s="246"/>
      <c r="AR50" s="246"/>
      <c r="AS50" s="246"/>
      <c r="AT50" s="293"/>
      <c r="AU50" s="284"/>
      <c r="AV50" s="228"/>
      <c r="AW50" s="246"/>
      <c r="AX50" s="246"/>
      <c r="AY50" s="237"/>
      <c r="AZ50" s="323"/>
    </row>
    <row r="51" customFormat="false" ht="12.95" hidden="false" customHeight="true" outlineLevel="0" collapsed="false">
      <c r="A51" s="173" t="s">
        <v>98</v>
      </c>
      <c r="B51" s="196"/>
      <c r="C51" s="104"/>
      <c r="D51" s="104"/>
      <c r="E51" s="104"/>
      <c r="F51" s="197" t="n">
        <f aca="false">F11+F45</f>
        <v>-763.801361230151</v>
      </c>
      <c r="G51" s="104" t="n">
        <f aca="false">G11+G45</f>
        <v>11000</v>
      </c>
      <c r="H51" s="305" t="n">
        <f aca="false">H11+H45</f>
        <v>540.13</v>
      </c>
      <c r="I51" s="104" t="n">
        <f aca="false">I11+I45</f>
        <v>11540.13</v>
      </c>
      <c r="J51" s="104" t="n">
        <f aca="false">J11+J45</f>
        <v>3306.13388454751</v>
      </c>
      <c r="K51" s="104" t="n">
        <f aca="false">K11+K45</f>
        <v>14846.2638845475</v>
      </c>
      <c r="L51" s="104" t="n">
        <f aca="false">L11+L45</f>
        <v>2371.96863876985</v>
      </c>
      <c r="M51" s="198" t="n">
        <f aca="false">M11+M45</f>
        <v>918.6</v>
      </c>
      <c r="N51" s="104" t="n">
        <f aca="false">N11+N45</f>
        <v>0</v>
      </c>
      <c r="O51" s="104" t="n">
        <f aca="false">O11+O45</f>
        <v>48.9027</v>
      </c>
      <c r="P51" s="199"/>
      <c r="Q51" s="104" t="n">
        <f aca="false">Q11+Q45</f>
        <v>237.80892</v>
      </c>
      <c r="R51" s="104" t="n">
        <f aca="false">R11+R45</f>
        <v>378.95</v>
      </c>
      <c r="S51" s="104" t="n">
        <f aca="false">S11+S45</f>
        <v>0</v>
      </c>
      <c r="T51" s="200" t="n">
        <f aca="false">T11+T45</f>
        <v>-71.5154</v>
      </c>
      <c r="U51" s="104" t="n">
        <f aca="false">U11+U45</f>
        <v>7430</v>
      </c>
      <c r="V51" s="104" t="n">
        <f aca="false">V11+V45</f>
        <v>76.3</v>
      </c>
      <c r="W51" s="104" t="n">
        <f aca="false">W11+W45</f>
        <v>7830.75378</v>
      </c>
      <c r="X51" s="104" t="n">
        <f aca="false">X11+X45</f>
        <v>7377.48498</v>
      </c>
      <c r="Y51" s="104"/>
      <c r="Z51" s="104"/>
      <c r="AA51" s="104"/>
      <c r="AB51" s="104"/>
      <c r="AC51" s="104"/>
      <c r="AD51" s="104"/>
      <c r="AE51" s="104"/>
      <c r="AF51" s="198"/>
      <c r="AG51" s="201"/>
      <c r="AH51" s="104" t="n">
        <f aca="false">AH11+AH45</f>
        <v>6251</v>
      </c>
      <c r="AI51" s="104" t="n">
        <f aca="false">AI43</f>
        <v>-173</v>
      </c>
      <c r="AJ51" s="133" t="n">
        <f aca="false">AJ11+AJ45</f>
        <v>0</v>
      </c>
      <c r="AK51" s="104" t="n">
        <f aca="false">AK11+AK45</f>
        <v>14675.9</v>
      </c>
      <c r="AL51" s="104" t="n">
        <f aca="false">AL11+AL45</f>
        <v>934.165245777666</v>
      </c>
      <c r="AM51" s="104" t="n">
        <f aca="false">AM11+AM45</f>
        <v>15610.0652457777</v>
      </c>
      <c r="AN51" s="203"/>
      <c r="AO51" s="133" t="n">
        <f aca="false">AO11+AO45</f>
        <v>453.2688</v>
      </c>
      <c r="AP51" s="132"/>
      <c r="AQ51" s="132"/>
      <c r="AR51" s="132"/>
      <c r="AS51" s="204"/>
      <c r="AT51" s="80"/>
      <c r="AU51" s="9"/>
      <c r="AV51" s="205" t="n">
        <f aca="false">AV11+AV45</f>
        <v>3.86</v>
      </c>
      <c r="AW51" s="134"/>
      <c r="AX51" s="134"/>
      <c r="AY51" s="303"/>
      <c r="AZ51" s="341" t="n">
        <f aca="false">AZ11+AZ45</f>
        <v>545.24352</v>
      </c>
    </row>
    <row r="52" customFormat="false" ht="12.95" hidden="false" customHeight="true" outlineLevel="0" collapsed="false">
      <c r="A52" s="173" t="s">
        <v>99</v>
      </c>
      <c r="B52" s="196"/>
      <c r="C52" s="104"/>
      <c r="D52" s="104" t="n">
        <f aca="false">D11+D46</f>
        <v>-1515</v>
      </c>
      <c r="E52" s="104" t="n">
        <f aca="false">E43</f>
        <v>131286</v>
      </c>
      <c r="F52" s="197" t="n">
        <f aca="false">F51*$D$2</f>
        <v>-1515</v>
      </c>
      <c r="G52" s="104" t="n">
        <f aca="false">G51*$D$2</f>
        <v>21818.5</v>
      </c>
      <c r="H52" s="305" t="n">
        <f aca="false">H51*$D$2</f>
        <v>1071.347855</v>
      </c>
      <c r="I52" s="104" t="n">
        <f aca="false">I51*$D$2</f>
        <v>22889.847855</v>
      </c>
      <c r="J52" s="104" t="n">
        <f aca="false">J51*$D$2</f>
        <v>6557.71655999999</v>
      </c>
      <c r="K52" s="104" t="n">
        <f aca="false">K51*$D$2</f>
        <v>29447.564415</v>
      </c>
      <c r="L52" s="104" t="n">
        <f aca="false">L51*$D$2</f>
        <v>4704.799795</v>
      </c>
      <c r="M52" s="198" t="n">
        <f aca="false">M51*$D$2</f>
        <v>1822.0431</v>
      </c>
      <c r="N52" s="104" t="n">
        <f aca="false">N51*$D$2</f>
        <v>0</v>
      </c>
      <c r="O52" s="104" t="n">
        <f aca="false">O51*$D$2</f>
        <v>96.99850545</v>
      </c>
      <c r="P52" s="199"/>
      <c r="Q52" s="104" t="n">
        <f aca="false">Q51*$D$2</f>
        <v>471.69399282</v>
      </c>
      <c r="R52" s="104" t="n">
        <f aca="false">R51*$D$2</f>
        <v>751.647325</v>
      </c>
      <c r="S52" s="104" t="n">
        <f aca="false">S51*$D$2</f>
        <v>0</v>
      </c>
      <c r="T52" s="200" t="n">
        <f aca="false">T51*$D$2</f>
        <v>-141.8507959</v>
      </c>
      <c r="U52" s="104" t="n">
        <f aca="false">U51*$D$2</f>
        <v>14737.405</v>
      </c>
      <c r="V52" s="104" t="n">
        <f aca="false">V51*$D$2</f>
        <v>151.34105</v>
      </c>
      <c r="W52" s="104" t="n">
        <f aca="false">W51*$D$2</f>
        <v>15532.30012263</v>
      </c>
      <c r="X52" s="104" t="n">
        <f aca="false">X51*$D$2</f>
        <v>14633.24145783</v>
      </c>
      <c r="Y52" s="104"/>
      <c r="Z52" s="104"/>
      <c r="AA52" s="104"/>
      <c r="AB52" s="104"/>
      <c r="AC52" s="104"/>
      <c r="AD52" s="104"/>
      <c r="AE52" s="104"/>
      <c r="AF52" s="249"/>
      <c r="AG52" s="250"/>
      <c r="AH52" s="104" t="n">
        <f aca="false">AH51*$D$2</f>
        <v>12398.8585</v>
      </c>
      <c r="AI52" s="104" t="n">
        <f aca="false">AI51*$D$2</f>
        <v>-343.1455</v>
      </c>
      <c r="AJ52" s="133" t="n">
        <f aca="false">AJ51*$D$2</f>
        <v>0</v>
      </c>
      <c r="AK52" s="104" t="n">
        <f aca="false">AK51*$D$2</f>
        <v>29109.64765</v>
      </c>
      <c r="AL52" s="104" t="n">
        <f aca="false">AL51*$D$2</f>
        <v>1852.916765</v>
      </c>
      <c r="AM52" s="104" t="n">
        <f aca="false">AM51*$D$2</f>
        <v>30962.564415</v>
      </c>
      <c r="AN52" s="203" t="n">
        <f aca="false">AN43</f>
        <v>14477.427655</v>
      </c>
      <c r="AO52" s="133" t="n">
        <f aca="false">AO51*$D$2</f>
        <v>899.0586648</v>
      </c>
      <c r="AP52" s="132"/>
      <c r="AQ52" s="132"/>
      <c r="AR52" s="132"/>
      <c r="AS52" s="204"/>
      <c r="AT52" s="80"/>
      <c r="AU52" s="9"/>
      <c r="AV52" s="205"/>
      <c r="AW52" s="134"/>
      <c r="AX52" s="134"/>
      <c r="AY52" s="303"/>
      <c r="AZ52" s="341" t="n">
        <f aca="false">AZ51*$D$2</f>
        <v>1081.49052192</v>
      </c>
    </row>
    <row r="53" customFormat="false" ht="3" hidden="false" customHeight="true" outlineLevel="0" collapsed="false">
      <c r="A53" s="214"/>
      <c r="B53" s="235"/>
      <c r="C53" s="216"/>
      <c r="D53" s="217"/>
      <c r="E53" s="216"/>
      <c r="F53" s="218"/>
      <c r="G53" s="217"/>
      <c r="H53" s="246"/>
      <c r="I53" s="217"/>
      <c r="J53" s="217"/>
      <c r="K53" s="217"/>
      <c r="L53" s="217"/>
      <c r="M53" s="220"/>
      <c r="N53" s="217"/>
      <c r="O53" s="217"/>
      <c r="P53" s="221"/>
      <c r="Q53" s="217"/>
      <c r="R53" s="217"/>
      <c r="S53" s="217"/>
      <c r="T53" s="339"/>
      <c r="U53" s="217"/>
      <c r="V53" s="217"/>
      <c r="W53" s="217"/>
      <c r="X53" s="217"/>
      <c r="Y53" s="217"/>
      <c r="Z53" s="216"/>
      <c r="AA53" s="216"/>
      <c r="AB53" s="216"/>
      <c r="AC53" s="216"/>
      <c r="AD53" s="216"/>
      <c r="AE53" s="217"/>
      <c r="AF53" s="220"/>
      <c r="AG53" s="225"/>
      <c r="AH53" s="217"/>
      <c r="AI53" s="216"/>
      <c r="AJ53" s="224"/>
      <c r="AK53" s="217"/>
      <c r="AL53" s="217"/>
      <c r="AM53" s="217"/>
      <c r="AN53" s="226"/>
      <c r="AO53" s="224"/>
      <c r="AP53" s="217"/>
      <c r="AQ53" s="217"/>
      <c r="AR53" s="217"/>
      <c r="AS53" s="217"/>
      <c r="AT53" s="295"/>
      <c r="AU53" s="284"/>
      <c r="AV53" s="235"/>
      <c r="AW53" s="217"/>
      <c r="AX53" s="217"/>
      <c r="AY53" s="237"/>
      <c r="AZ53" s="238"/>
    </row>
    <row r="54" customFormat="false" ht="11.1" hidden="false" customHeight="true" outlineLevel="0" collapsed="false">
      <c r="A54" s="173"/>
      <c r="B54" s="253"/>
      <c r="D54" s="173"/>
      <c r="F54" s="173"/>
      <c r="G54" s="173"/>
      <c r="I54" s="173"/>
      <c r="J54" s="173"/>
      <c r="K54" s="173"/>
      <c r="L54" s="173"/>
      <c r="M54" s="173"/>
      <c r="N54" s="173"/>
      <c r="O54" s="173"/>
      <c r="Q54" s="173"/>
      <c r="R54" s="173"/>
      <c r="S54" s="173"/>
      <c r="U54" s="173"/>
      <c r="V54" s="173"/>
      <c r="W54" s="173"/>
      <c r="X54" s="173"/>
      <c r="Y54" s="173"/>
      <c r="AA54" s="105"/>
      <c r="AB54" s="105"/>
      <c r="AC54" s="105"/>
      <c r="AD54" s="105"/>
      <c r="AE54" s="173"/>
      <c r="AF54" s="173"/>
      <c r="AG54" s="173"/>
      <c r="AH54" s="173"/>
      <c r="AI54" s="105"/>
      <c r="AK54" s="173"/>
      <c r="AL54" s="173"/>
      <c r="AM54" s="173"/>
      <c r="AN54" s="171"/>
      <c r="AO54" s="254"/>
      <c r="AP54" s="176"/>
      <c r="AQ54" s="176"/>
      <c r="AR54" s="176"/>
      <c r="AX54" s="168"/>
    </row>
    <row r="55" customFormat="false" ht="11.1" hidden="false" customHeight="true" outlineLevel="0" collapsed="false">
      <c r="A55" s="173"/>
      <c r="B55" s="255"/>
      <c r="F55" s="173"/>
      <c r="G55" s="173"/>
      <c r="I55" s="174"/>
      <c r="J55" s="173"/>
      <c r="K55" s="163"/>
      <c r="L55" s="173"/>
      <c r="M55" s="173"/>
      <c r="N55" s="173"/>
      <c r="O55" s="173"/>
      <c r="Q55" s="173"/>
      <c r="R55" s="173"/>
      <c r="S55" s="173"/>
      <c r="U55" s="173"/>
      <c r="V55" s="173"/>
      <c r="W55" s="173"/>
      <c r="X55" s="173"/>
      <c r="Y55" s="173"/>
      <c r="AA55" s="105"/>
      <c r="AB55" s="105"/>
      <c r="AC55" s="105"/>
      <c r="AD55" s="105"/>
      <c r="AE55" s="173"/>
      <c r="AF55" s="173"/>
      <c r="AG55" s="173"/>
      <c r="AH55" s="173"/>
      <c r="AI55" s="105"/>
      <c r="AK55" s="173"/>
      <c r="AL55" s="173"/>
      <c r="AM55" s="173"/>
      <c r="AN55" s="171"/>
      <c r="AO55" s="254"/>
      <c r="AP55" s="176"/>
      <c r="AQ55" s="176"/>
      <c r="AR55" s="176"/>
      <c r="AX55" s="168"/>
    </row>
    <row r="56" customFormat="false" ht="11.1" hidden="false" customHeight="true" outlineLevel="0" collapsed="false">
      <c r="D56" s="105"/>
      <c r="S56" s="166"/>
      <c r="W56" s="9"/>
      <c r="X56" s="9"/>
      <c r="Y56" s="9"/>
      <c r="AA56" s="105"/>
      <c r="AB56" s="105"/>
      <c r="AC56" s="105"/>
      <c r="AD56" s="105"/>
      <c r="AH56" s="9"/>
      <c r="AI56" s="105"/>
      <c r="AM56" s="9"/>
      <c r="AN56" s="171"/>
      <c r="AO56" s="254"/>
      <c r="AP56" s="169"/>
      <c r="AQ56" s="169"/>
      <c r="AR56" s="169"/>
      <c r="AX56" s="168"/>
    </row>
    <row r="57" customFormat="false" ht="11.1" hidden="false" customHeight="true" outlineLevel="0" collapsed="false">
      <c r="B57" s="167"/>
      <c r="D57" s="105"/>
      <c r="AN57" s="297"/>
      <c r="AO57" s="330"/>
      <c r="AP57" s="169"/>
    </row>
    <row r="58" customFormat="false" ht="11.1" hidden="false" customHeight="true" outlineLevel="0" collapsed="false">
      <c r="G58" s="256"/>
      <c r="AN58" s="297"/>
      <c r="AO58" s="330"/>
      <c r="AP58" s="169"/>
    </row>
  </sheetData>
  <mergeCells count="2">
    <mergeCell ref="K2:S2"/>
    <mergeCell ref="M5:T5"/>
  </mergeCells>
  <printOptions headings="true" gridLines="true" gridLinesSet="true" horizontalCentered="false" verticalCentered="true"/>
  <pageMargins left="0.25" right="0.25" top="0.25" bottom="0" header="0.511811023622047" footer="0.511811023622047"/>
  <pageSetup paperSize="3" scale="97"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57"/>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1" ySplit="12" topLeftCell="V13" activePane="bottomRight" state="frozen"/>
      <selection pane="topLeft" activeCell="A1" activeCellId="0" sqref="A1"/>
      <selection pane="topRight" activeCell="V1" activeCellId="0" sqref="V1"/>
      <selection pane="bottomLeft" activeCell="A13" activeCellId="0" sqref="A13"/>
      <selection pane="bottomRight" activeCell="S4" activeCellId="1" sqref="E20:E43 S4"/>
    </sheetView>
  </sheetViews>
  <sheetFormatPr defaultColWidth="9.296875" defaultRowHeight="11.1" zeroHeight="false" outlineLevelRow="0" outlineLevelCol="0"/>
  <cols>
    <col collapsed="false" customWidth="true" hidden="false" outlineLevel="0" max="1" min="1" style="1" width="4.67"/>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12" width="5.67"/>
    <col collapsed="false" customWidth="true" hidden="false" outlineLevel="0" max="11" min="9" style="1" width="6.32"/>
    <col collapsed="false" customWidth="true" hidden="false" outlineLevel="0" max="12" min="12" style="1" width="7.16"/>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19" min="19" style="1" width="4.32"/>
    <col collapsed="false" customWidth="true" hidden="false" outlineLevel="0" max="20" min="20" style="5" width="5.49"/>
    <col collapsed="false" customWidth="true" hidden="false" outlineLevel="0" max="22" min="21" style="1" width="5.49"/>
    <col collapsed="false" customWidth="true" hidden="false" outlineLevel="0" max="25" min="23" style="2" width="6.49"/>
    <col collapsed="false" customWidth="true" hidden="false" outlineLevel="0" max="26" min="26" style="2" width="7.32"/>
    <col collapsed="false" customWidth="true" hidden="false" outlineLevel="0" max="29" min="27" style="7" width="5.49"/>
    <col collapsed="false" customWidth="true" hidden="false" outlineLevel="0" max="30" min="30" style="4" width="5.49"/>
    <col collapsed="false" customWidth="true" hidden="false" outlineLevel="0" max="31" min="31" style="1" width="6.49"/>
    <col collapsed="false" customWidth="true" hidden="false" outlineLevel="0" max="33" min="32" style="1" width="5.49"/>
    <col collapsed="false" customWidth="true" hidden="false" outlineLevel="0" max="34" min="34" style="2" width="6.16"/>
    <col collapsed="false" customWidth="true" hidden="false" outlineLevel="0" max="35" min="35" style="1" width="5.49"/>
    <col collapsed="false" customWidth="true" hidden="false" outlineLevel="0" max="36" min="36" style="84" width="6.16"/>
    <col collapsed="false" customWidth="true" hidden="false" outlineLevel="0" max="37" min="37" style="1" width="6.32"/>
    <col collapsed="false" customWidth="true" hidden="false" outlineLevel="0" max="38" min="38" style="1" width="6.99"/>
    <col collapsed="false" customWidth="true" hidden="false" outlineLevel="0" max="39" min="39" style="90" width="6.99"/>
    <col collapsed="false" customWidth="true" hidden="false" outlineLevel="0" max="40" min="40" style="343" width="5.49"/>
    <col collapsed="false" customWidth="true" hidden="false" outlineLevel="0" max="41" min="41" style="161" width="5.49"/>
    <col collapsed="false" customWidth="true" hidden="false" outlineLevel="0" max="42" min="42" style="7" width="6.32"/>
    <col collapsed="false" customWidth="true" hidden="false" outlineLevel="0" max="44" min="43" style="6" width="6.32"/>
    <col collapsed="false" customWidth="true" hidden="false" outlineLevel="0" max="45" min="45" style="1" width="6.32"/>
    <col collapsed="false" customWidth="true" hidden="false" outlineLevel="0" max="46" min="46" style="84" width="6.32"/>
    <col collapsed="false" customWidth="true" hidden="false" outlineLevel="0" max="47" min="47" style="84" width="4.99"/>
    <col collapsed="false" customWidth="true" hidden="false" outlineLevel="0" max="48" min="48" style="344" width="5.32"/>
    <col collapsed="false" customWidth="true" hidden="false" outlineLevel="0" max="49" min="49" style="125" width="3.82"/>
    <col collapsed="false" customWidth="true" hidden="false" outlineLevel="0" max="50" min="50" style="31" width="3.82"/>
    <col collapsed="false" customWidth="true" hidden="false" outlineLevel="0" max="51" min="51" style="0" width="4.32"/>
    <col collapsed="false" customWidth="true" hidden="false" outlineLevel="0" max="52" min="52" style="0" width="6.49"/>
  </cols>
  <sheetData>
    <row r="1" customFormat="false" ht="14.1" hidden="false" customHeight="true" outlineLevel="0" collapsed="false">
      <c r="A1" s="12"/>
      <c r="B1" s="12"/>
      <c r="D1" s="12"/>
      <c r="F1" s="128"/>
      <c r="G1" s="12"/>
      <c r="I1" s="12"/>
      <c r="J1" s="12"/>
      <c r="K1" s="14" t="s">
        <v>110</v>
      </c>
      <c r="L1" s="12"/>
      <c r="M1" s="12"/>
      <c r="N1" s="12"/>
      <c r="O1" s="12"/>
      <c r="Q1" s="12"/>
      <c r="R1" s="12"/>
      <c r="S1" s="12"/>
      <c r="U1" s="12"/>
      <c r="V1" s="12"/>
      <c r="AE1" s="12"/>
      <c r="AF1" s="12"/>
      <c r="AG1" s="12"/>
      <c r="AI1" s="12"/>
      <c r="AJ1" s="15"/>
      <c r="AK1" s="12"/>
      <c r="AL1" s="12"/>
      <c r="AP1" s="345"/>
    </row>
    <row r="2" customFormat="false" ht="14.1" hidden="false" customHeight="true" outlineLevel="0" collapsed="false">
      <c r="A2" s="15" t="s">
        <v>1</v>
      </c>
      <c r="B2" s="12"/>
      <c r="D2" s="16" t="n">
        <v>1.9835</v>
      </c>
      <c r="F2" s="128"/>
      <c r="G2" s="12"/>
      <c r="I2" s="12"/>
      <c r="J2" s="12"/>
      <c r="K2" s="346" t="s">
        <v>111</v>
      </c>
      <c r="L2" s="347"/>
      <c r="M2" s="348"/>
      <c r="N2" s="348"/>
      <c r="O2" s="348"/>
      <c r="P2" s="6"/>
      <c r="Q2" s="348"/>
      <c r="R2" s="348"/>
      <c r="S2" s="348"/>
      <c r="T2" s="6"/>
      <c r="U2" s="348"/>
      <c r="V2" s="348"/>
      <c r="W2" s="343"/>
      <c r="X2" s="343"/>
      <c r="Y2" s="343"/>
      <c r="Z2" s="343"/>
      <c r="AA2" s="10"/>
      <c r="AB2" s="10"/>
      <c r="AC2" s="10"/>
      <c r="AD2" s="161"/>
      <c r="AE2" s="348"/>
      <c r="AF2" s="348"/>
      <c r="AG2" s="348"/>
      <c r="AH2" s="343"/>
      <c r="AI2" s="12"/>
      <c r="AJ2" s="15"/>
      <c r="AK2" s="12"/>
      <c r="AL2" s="12"/>
      <c r="AP2" s="345"/>
    </row>
    <row r="3" customFormat="false" ht="14.1" hidden="false" customHeight="true" outlineLevel="0" collapsed="false">
      <c r="A3" s="12"/>
      <c r="B3" s="12"/>
      <c r="D3" s="16"/>
      <c r="F3" s="128"/>
      <c r="G3" s="12"/>
      <c r="H3" s="349"/>
      <c r="I3" s="12"/>
      <c r="J3" s="12"/>
      <c r="K3" s="350"/>
      <c r="L3" s="347"/>
      <c r="M3" s="348"/>
      <c r="N3" s="348"/>
      <c r="O3" s="348"/>
      <c r="P3" s="6"/>
      <c r="Q3" s="348"/>
      <c r="R3" s="348"/>
      <c r="S3" s="348"/>
      <c r="T3" s="6"/>
      <c r="U3" s="348"/>
      <c r="V3" s="348"/>
      <c r="W3" s="351"/>
      <c r="X3" s="351"/>
      <c r="Y3" s="351"/>
      <c r="Z3" s="351"/>
      <c r="AA3" s="10"/>
      <c r="AB3" s="10"/>
      <c r="AC3" s="10"/>
      <c r="AD3" s="161"/>
      <c r="AE3" s="348"/>
      <c r="AF3" s="348"/>
      <c r="AG3" s="348"/>
      <c r="AH3" s="343"/>
      <c r="AI3" s="12"/>
      <c r="AJ3" s="15"/>
      <c r="AK3" s="12"/>
      <c r="AL3" s="12"/>
      <c r="AO3" s="352"/>
      <c r="AP3" s="353"/>
      <c r="AQ3" s="22"/>
      <c r="AR3" s="45"/>
    </row>
    <row r="4" s="1" customFormat="true" ht="14.1" hidden="false" customHeight="true" outlineLevel="0" collapsed="false">
      <c r="A4" s="32"/>
      <c r="B4" s="33"/>
      <c r="C4" s="34"/>
      <c r="D4" s="35" t="s">
        <v>3</v>
      </c>
      <c r="E4" s="34"/>
      <c r="F4" s="32"/>
      <c r="G4" s="36"/>
      <c r="H4" s="36"/>
      <c r="I4" s="36"/>
      <c r="J4" s="36"/>
      <c r="K4" s="36"/>
      <c r="L4" s="36"/>
      <c r="M4" s="36"/>
      <c r="N4" s="36"/>
      <c r="O4" s="36"/>
      <c r="P4" s="37"/>
      <c r="Q4" s="36"/>
      <c r="R4" s="36"/>
      <c r="S4" s="36"/>
      <c r="T4" s="37"/>
      <c r="U4" s="36"/>
      <c r="V4" s="36"/>
      <c r="W4" s="38" t="s">
        <v>4</v>
      </c>
      <c r="X4" s="38"/>
      <c r="Y4" s="38"/>
      <c r="Z4" s="38"/>
      <c r="AA4" s="39"/>
      <c r="AB4" s="39"/>
      <c r="AC4" s="39"/>
      <c r="AD4" s="40"/>
      <c r="AE4" s="36"/>
      <c r="AF4" s="36"/>
      <c r="AG4" s="36"/>
      <c r="AH4" s="34"/>
      <c r="AI4" s="36"/>
      <c r="AJ4" s="41"/>
      <c r="AK4" s="36"/>
      <c r="AL4" s="36"/>
      <c r="AM4" s="37"/>
      <c r="AN4" s="42"/>
      <c r="AO4" s="43"/>
      <c r="AP4" s="44" t="s">
        <v>5</v>
      </c>
      <c r="AQ4" s="45"/>
      <c r="AR4" s="46"/>
      <c r="AS4" s="47"/>
      <c r="AT4" s="48"/>
      <c r="AU4" s="48"/>
      <c r="AV4" s="49"/>
      <c r="AW4" s="50" t="s">
        <v>6</v>
      </c>
      <c r="AX4" s="51"/>
      <c r="AY4" s="299"/>
      <c r="AZ4" s="333"/>
    </row>
    <row r="5" customFormat="false" ht="12.95" hidden="false" customHeight="true" outlineLevel="0" collapsed="false">
      <c r="A5" s="53" t="s">
        <v>7</v>
      </c>
      <c r="B5" s="54" t="s">
        <v>8</v>
      </c>
      <c r="C5" s="55" t="s">
        <v>8</v>
      </c>
      <c r="D5" s="56" t="s">
        <v>9</v>
      </c>
      <c r="E5" s="55" t="s">
        <v>10</v>
      </c>
      <c r="F5" s="57" t="s">
        <v>11</v>
      </c>
      <c r="G5" s="53" t="s">
        <v>12</v>
      </c>
      <c r="H5" s="53" t="s">
        <v>13</v>
      </c>
      <c r="I5" s="53" t="s">
        <v>14</v>
      </c>
      <c r="J5" s="53" t="s">
        <v>15</v>
      </c>
      <c r="K5" s="53" t="s">
        <v>16</v>
      </c>
      <c r="L5" s="53" t="s">
        <v>15</v>
      </c>
      <c r="M5" s="58" t="s">
        <v>17</v>
      </c>
      <c r="N5" s="58"/>
      <c r="O5" s="58"/>
      <c r="P5" s="58"/>
      <c r="Q5" s="58"/>
      <c r="R5" s="58"/>
      <c r="S5" s="58"/>
      <c r="T5" s="58"/>
      <c r="U5" s="53" t="s">
        <v>18</v>
      </c>
      <c r="V5" s="53" t="s">
        <v>19</v>
      </c>
      <c r="W5" s="53" t="s">
        <v>16</v>
      </c>
      <c r="X5" s="53" t="s">
        <v>16</v>
      </c>
      <c r="Y5" s="53" t="s">
        <v>16</v>
      </c>
      <c r="Z5" s="59" t="s">
        <v>20</v>
      </c>
      <c r="AA5" s="60" t="s">
        <v>21</v>
      </c>
      <c r="AB5" s="60" t="s">
        <v>21</v>
      </c>
      <c r="AC5" s="60" t="s">
        <v>22</v>
      </c>
      <c r="AD5" s="61" t="s">
        <v>21</v>
      </c>
      <c r="AE5" s="53" t="s">
        <v>23</v>
      </c>
      <c r="AF5" s="62" t="s">
        <v>24</v>
      </c>
      <c r="AG5" s="63"/>
      <c r="AH5" s="53" t="s">
        <v>25</v>
      </c>
      <c r="AI5" s="64" t="s">
        <v>26</v>
      </c>
      <c r="AJ5" s="64" t="s">
        <v>27</v>
      </c>
      <c r="AK5" s="53" t="s">
        <v>14</v>
      </c>
      <c r="AL5" s="53" t="s">
        <v>15</v>
      </c>
      <c r="AM5" s="56" t="s">
        <v>16</v>
      </c>
      <c r="AN5" s="65" t="s">
        <v>28</v>
      </c>
      <c r="AO5" s="61" t="s">
        <v>21</v>
      </c>
      <c r="AP5" s="60" t="s">
        <v>29</v>
      </c>
      <c r="AQ5" s="66" t="s">
        <v>29</v>
      </c>
      <c r="AR5" s="61" t="s">
        <v>30</v>
      </c>
      <c r="AS5" s="67" t="s">
        <v>31</v>
      </c>
      <c r="AT5" s="67" t="s">
        <v>32</v>
      </c>
      <c r="AU5" s="68" t="s">
        <v>33</v>
      </c>
      <c r="AV5" s="69" t="s">
        <v>34</v>
      </c>
      <c r="AW5" s="70" t="s">
        <v>35</v>
      </c>
      <c r="AX5" s="70" t="s">
        <v>36</v>
      </c>
      <c r="AY5" s="300"/>
      <c r="AZ5" s="71" t="s">
        <v>16</v>
      </c>
    </row>
    <row r="6" customFormat="false" ht="12.95" hidden="false" customHeight="true" outlineLevel="0" collapsed="false">
      <c r="A6" s="72" t="s">
        <v>112</v>
      </c>
      <c r="B6" s="54" t="s">
        <v>38</v>
      </c>
      <c r="C6" s="55"/>
      <c r="D6" s="56" t="s">
        <v>39</v>
      </c>
      <c r="E6" s="55" t="s">
        <v>40</v>
      </c>
      <c r="F6" s="57" t="s">
        <v>41</v>
      </c>
      <c r="G6" s="53" t="s">
        <v>42</v>
      </c>
      <c r="H6" s="53" t="s">
        <v>43</v>
      </c>
      <c r="I6" s="53" t="s">
        <v>44</v>
      </c>
      <c r="J6" s="53" t="s">
        <v>44</v>
      </c>
      <c r="K6" s="53" t="s">
        <v>44</v>
      </c>
      <c r="L6" s="53" t="s">
        <v>45</v>
      </c>
      <c r="M6" s="73" t="s">
        <v>46</v>
      </c>
      <c r="N6" s="56" t="s">
        <v>47</v>
      </c>
      <c r="O6" s="56" t="s">
        <v>48</v>
      </c>
      <c r="P6" s="74" t="s">
        <v>49</v>
      </c>
      <c r="Q6" s="56" t="s">
        <v>50</v>
      </c>
      <c r="R6" s="56" t="s">
        <v>51</v>
      </c>
      <c r="S6" s="56" t="s">
        <v>52</v>
      </c>
      <c r="T6" s="75" t="s">
        <v>53</v>
      </c>
      <c r="U6" s="53" t="s">
        <v>54</v>
      </c>
      <c r="V6" s="53" t="s">
        <v>55</v>
      </c>
      <c r="W6" s="53" t="s">
        <v>21</v>
      </c>
      <c r="X6" s="53" t="s">
        <v>21</v>
      </c>
      <c r="Y6" s="53" t="s">
        <v>21</v>
      </c>
      <c r="Z6" s="53" t="s">
        <v>21</v>
      </c>
      <c r="AA6" s="60" t="s">
        <v>56</v>
      </c>
      <c r="AB6" s="60" t="s">
        <v>57</v>
      </c>
      <c r="AC6" s="60" t="s">
        <v>58</v>
      </c>
      <c r="AD6" s="61" t="s">
        <v>59</v>
      </c>
      <c r="AE6" s="53" t="s">
        <v>60</v>
      </c>
      <c r="AF6" s="73" t="s">
        <v>61</v>
      </c>
      <c r="AG6" s="76" t="s">
        <v>62</v>
      </c>
      <c r="AH6" s="53" t="s">
        <v>63</v>
      </c>
      <c r="AI6" s="64" t="s">
        <v>64</v>
      </c>
      <c r="AJ6" s="64"/>
      <c r="AK6" s="53" t="s">
        <v>65</v>
      </c>
      <c r="AL6" s="53" t="s">
        <v>65</v>
      </c>
      <c r="AM6" s="56" t="s">
        <v>65</v>
      </c>
      <c r="AN6" s="65" t="s">
        <v>56</v>
      </c>
      <c r="AO6" s="61" t="s">
        <v>66</v>
      </c>
      <c r="AP6" s="60" t="s">
        <v>67</v>
      </c>
      <c r="AQ6" s="66" t="s">
        <v>67</v>
      </c>
      <c r="AR6" s="61" t="s">
        <v>68</v>
      </c>
      <c r="AS6" s="67" t="s">
        <v>69</v>
      </c>
      <c r="AT6" s="67" t="s">
        <v>70</v>
      </c>
      <c r="AU6" s="68" t="s">
        <v>71</v>
      </c>
      <c r="AV6" s="77"/>
      <c r="AW6" s="70" t="s">
        <v>72</v>
      </c>
      <c r="AX6" s="70" t="s">
        <v>72</v>
      </c>
      <c r="AY6" s="300"/>
      <c r="AZ6" s="71" t="s">
        <v>73</v>
      </c>
    </row>
    <row r="7" customFormat="false" ht="12.95" hidden="false" customHeight="true" outlineLevel="0" collapsed="false">
      <c r="A7" s="53"/>
      <c r="B7" s="54"/>
      <c r="C7" s="55"/>
      <c r="D7" s="56"/>
      <c r="E7" s="55"/>
      <c r="F7" s="57"/>
      <c r="G7" s="53"/>
      <c r="H7" s="53"/>
      <c r="I7" s="53"/>
      <c r="J7" s="53"/>
      <c r="K7" s="53"/>
      <c r="L7" s="53"/>
      <c r="M7" s="73"/>
      <c r="N7" s="56" t="s">
        <v>74</v>
      </c>
      <c r="O7" s="56" t="s">
        <v>75</v>
      </c>
      <c r="P7" s="74"/>
      <c r="Q7" s="56"/>
      <c r="R7" s="56"/>
      <c r="S7" s="56" t="s">
        <v>48</v>
      </c>
      <c r="T7" s="75" t="s">
        <v>27</v>
      </c>
      <c r="U7" s="53"/>
      <c r="V7" s="53"/>
      <c r="W7" s="64" t="n">
        <v>153400</v>
      </c>
      <c r="X7" s="55" t="s">
        <v>76</v>
      </c>
      <c r="Y7" s="55" t="s">
        <v>76</v>
      </c>
      <c r="Z7" s="59" t="n">
        <v>105500</v>
      </c>
      <c r="AA7" s="60"/>
      <c r="AB7" s="60" t="s">
        <v>77</v>
      </c>
      <c r="AC7" s="60"/>
      <c r="AD7" s="61"/>
      <c r="AE7" s="76"/>
      <c r="AF7" s="78" t="n">
        <v>1.7</v>
      </c>
      <c r="AG7" s="78" t="n">
        <v>1.3</v>
      </c>
      <c r="AH7" s="73"/>
      <c r="AI7" s="79" t="n">
        <v>31798</v>
      </c>
      <c r="AJ7" s="64"/>
      <c r="AK7" s="53"/>
      <c r="AL7" s="53"/>
      <c r="AM7" s="56"/>
      <c r="AN7" s="65"/>
      <c r="AO7" s="61"/>
      <c r="AP7" s="60" t="s">
        <v>78</v>
      </c>
      <c r="AQ7" s="66" t="s">
        <v>79</v>
      </c>
      <c r="AR7" s="61" t="s">
        <v>80</v>
      </c>
      <c r="AS7" s="67" t="s">
        <v>81</v>
      </c>
      <c r="AT7" s="67" t="s">
        <v>82</v>
      </c>
      <c r="AU7" s="68" t="s">
        <v>61</v>
      </c>
      <c r="AV7" s="77"/>
      <c r="AW7" s="70"/>
      <c r="AX7" s="70"/>
      <c r="AY7" s="300"/>
      <c r="AZ7" s="71" t="s">
        <v>83</v>
      </c>
    </row>
    <row r="8" customFormat="false" ht="12.95" hidden="false" customHeight="true" outlineLevel="0" collapsed="false">
      <c r="A8" s="53"/>
      <c r="B8" s="54"/>
      <c r="C8" s="55" t="s">
        <v>84</v>
      </c>
      <c r="D8" s="56"/>
      <c r="E8" s="55" t="s">
        <v>85</v>
      </c>
      <c r="F8" s="57"/>
      <c r="G8" s="56" t="s">
        <v>41</v>
      </c>
      <c r="H8" s="56" t="s">
        <v>41</v>
      </c>
      <c r="I8" s="56" t="s">
        <v>41</v>
      </c>
      <c r="J8" s="56" t="s">
        <v>41</v>
      </c>
      <c r="K8" s="56" t="s">
        <v>41</v>
      </c>
      <c r="L8" s="76" t="s">
        <v>41</v>
      </c>
      <c r="M8" s="56" t="s">
        <v>41</v>
      </c>
      <c r="N8" s="56" t="s">
        <v>41</v>
      </c>
      <c r="O8" s="56" t="s">
        <v>41</v>
      </c>
      <c r="P8" s="56" t="s">
        <v>41</v>
      </c>
      <c r="Q8" s="56" t="s">
        <v>41</v>
      </c>
      <c r="R8" s="56" t="s">
        <v>41</v>
      </c>
      <c r="S8" s="56" t="s">
        <v>62</v>
      </c>
      <c r="T8" s="76" t="s">
        <v>41</v>
      </c>
      <c r="U8" s="56" t="s">
        <v>41</v>
      </c>
      <c r="V8" s="56" t="s">
        <v>41</v>
      </c>
      <c r="W8" s="56" t="s">
        <v>41</v>
      </c>
      <c r="X8" s="55" t="n">
        <v>150400</v>
      </c>
      <c r="Y8" s="55" t="n">
        <v>150400</v>
      </c>
      <c r="Z8" s="80" t="s">
        <v>86</v>
      </c>
      <c r="AA8" s="56" t="s">
        <v>41</v>
      </c>
      <c r="AB8" s="55" t="n">
        <v>72000</v>
      </c>
      <c r="AC8" s="56" t="s">
        <v>41</v>
      </c>
      <c r="AD8" s="56" t="s">
        <v>41</v>
      </c>
      <c r="AE8" s="76" t="s">
        <v>41</v>
      </c>
      <c r="AF8" s="56" t="s">
        <v>41</v>
      </c>
      <c r="AG8" s="56" t="s">
        <v>41</v>
      </c>
      <c r="AH8" s="73" t="s">
        <v>41</v>
      </c>
      <c r="AI8" s="56" t="s">
        <v>41</v>
      </c>
      <c r="AJ8" s="56" t="s">
        <v>41</v>
      </c>
      <c r="AK8" s="56" t="s">
        <v>41</v>
      </c>
      <c r="AL8" s="56" t="s">
        <v>41</v>
      </c>
      <c r="AM8" s="56" t="s">
        <v>41</v>
      </c>
      <c r="AN8" s="65" t="s">
        <v>85</v>
      </c>
      <c r="AO8" s="61" t="s">
        <v>41</v>
      </c>
      <c r="AP8" s="61" t="s">
        <v>41</v>
      </c>
      <c r="AQ8" s="66" t="s">
        <v>87</v>
      </c>
      <c r="AR8" s="61" t="s">
        <v>41</v>
      </c>
      <c r="AS8" s="61" t="s">
        <v>41</v>
      </c>
      <c r="AT8" s="61" t="s">
        <v>41</v>
      </c>
      <c r="AU8" s="61" t="s">
        <v>41</v>
      </c>
      <c r="AV8" s="77"/>
      <c r="AW8" s="70"/>
      <c r="AX8" s="70"/>
      <c r="AY8" s="300"/>
      <c r="AZ8" s="71" t="s">
        <v>88</v>
      </c>
    </row>
    <row r="9" customFormat="false" ht="12.95" hidden="false" customHeight="true" outlineLevel="0" collapsed="false">
      <c r="A9" s="53"/>
      <c r="B9" s="54"/>
      <c r="C9" s="55"/>
      <c r="D9" s="56"/>
      <c r="E9" s="55"/>
      <c r="F9" s="57"/>
      <c r="G9" s="53"/>
      <c r="H9" s="53"/>
      <c r="I9" s="53"/>
      <c r="J9" s="53"/>
      <c r="K9" s="53"/>
      <c r="L9" s="76"/>
      <c r="M9" s="56"/>
      <c r="N9" s="45" t="n">
        <v>1.03</v>
      </c>
      <c r="O9" s="45" t="n">
        <v>1.05</v>
      </c>
      <c r="P9" s="45" t="n">
        <v>1.02</v>
      </c>
      <c r="Q9" s="81" t="n">
        <v>1.02</v>
      </c>
      <c r="R9" s="45" t="n">
        <v>1.04</v>
      </c>
      <c r="S9" s="56" t="s">
        <v>41</v>
      </c>
      <c r="T9" s="75"/>
      <c r="U9" s="53"/>
      <c r="V9" s="53"/>
      <c r="W9" s="53"/>
      <c r="X9" s="56" t="s">
        <v>41</v>
      </c>
      <c r="Y9" s="80" t="s">
        <v>86</v>
      </c>
      <c r="Z9" s="80"/>
      <c r="AA9" s="60"/>
      <c r="AB9" s="80" t="s">
        <v>86</v>
      </c>
      <c r="AC9" s="60"/>
      <c r="AD9" s="60"/>
      <c r="AE9" s="82"/>
      <c r="AF9" s="78"/>
      <c r="AG9" s="78"/>
      <c r="AH9" s="73"/>
      <c r="AI9" s="79"/>
      <c r="AJ9" s="83"/>
      <c r="AK9" s="53"/>
      <c r="AL9" s="53"/>
      <c r="AM9" s="56"/>
      <c r="AN9" s="65"/>
      <c r="AO9" s="61"/>
      <c r="AP9" s="60"/>
      <c r="AQ9" s="66"/>
      <c r="AR9" s="66"/>
      <c r="AS9" s="84"/>
      <c r="AV9" s="77"/>
      <c r="AW9" s="70"/>
      <c r="AX9" s="70"/>
      <c r="AY9" s="300"/>
      <c r="AZ9" s="71" t="s">
        <v>41</v>
      </c>
    </row>
    <row r="10" customFormat="false" ht="12.95" hidden="false" customHeight="true" outlineLevel="0" collapsed="false">
      <c r="A10" s="15" t="s">
        <v>89</v>
      </c>
      <c r="B10" s="354"/>
      <c r="C10" s="91"/>
      <c r="D10" s="91"/>
      <c r="E10" s="91"/>
      <c r="F10" s="355"/>
      <c r="G10" s="79"/>
      <c r="H10" s="131"/>
      <c r="I10" s="79"/>
      <c r="J10" s="79"/>
      <c r="K10" s="79"/>
      <c r="L10" s="79"/>
      <c r="M10" s="95"/>
      <c r="N10" s="91"/>
      <c r="O10" s="91" t="n">
        <f aca="false">MAR!O48</f>
        <v>48.9027</v>
      </c>
      <c r="P10" s="312"/>
      <c r="Q10" s="91"/>
      <c r="R10" s="91"/>
      <c r="S10" s="91"/>
      <c r="T10" s="356"/>
      <c r="U10" s="79"/>
      <c r="V10" s="79"/>
      <c r="W10" s="79"/>
      <c r="X10" s="79"/>
      <c r="Y10" s="79"/>
      <c r="Z10" s="104"/>
      <c r="AA10" s="94"/>
      <c r="AB10" s="94"/>
      <c r="AC10" s="94"/>
      <c r="AD10" s="93"/>
      <c r="AE10" s="96"/>
      <c r="AF10" s="91"/>
      <c r="AG10" s="91"/>
      <c r="AH10" s="95"/>
      <c r="AI10" s="79"/>
      <c r="AJ10" s="83"/>
      <c r="AK10" s="79"/>
      <c r="AL10" s="79"/>
      <c r="AM10" s="91"/>
      <c r="AN10" s="357"/>
      <c r="AO10" s="93"/>
      <c r="AP10" s="94"/>
      <c r="AQ10" s="358"/>
      <c r="AR10" s="358"/>
      <c r="AS10" s="98"/>
      <c r="AV10" s="99"/>
      <c r="AW10" s="100"/>
      <c r="AX10" s="100"/>
      <c r="AY10" s="300"/>
      <c r="AZ10" s="359"/>
    </row>
    <row r="11" s="106" customFormat="true" ht="12.95" hidden="false" customHeight="true" outlineLevel="0" collapsed="false">
      <c r="A11" s="102" t="s">
        <v>90</v>
      </c>
      <c r="B11" s="360" t="n">
        <f aca="false">MAR!B43</f>
        <v>6899.92</v>
      </c>
      <c r="C11" s="91" t="n">
        <f aca="false">MAR!C43</f>
        <v>283286</v>
      </c>
      <c r="D11" s="91" t="n">
        <f aca="false">MAR!D52</f>
        <v>-1515</v>
      </c>
      <c r="E11" s="91" t="n">
        <f aca="false">MAR!E52</f>
        <v>131286</v>
      </c>
      <c r="F11" s="355" t="n">
        <f aca="false">MAR!F51</f>
        <v>-763.801361230151</v>
      </c>
      <c r="G11" s="79" t="n">
        <f aca="false">MAR!G51</f>
        <v>11000</v>
      </c>
      <c r="H11" s="79" t="n">
        <f aca="false">MAR!H51</f>
        <v>540.13</v>
      </c>
      <c r="I11" s="79" t="n">
        <f aca="false">MAR!I51</f>
        <v>11540.13</v>
      </c>
      <c r="J11" s="79" t="n">
        <f aca="false">MAR!J51</f>
        <v>3306.13388454751</v>
      </c>
      <c r="K11" s="79" t="n">
        <f aca="false">MAR!K51</f>
        <v>14846.2638845475</v>
      </c>
      <c r="L11" s="79" t="n">
        <f aca="false">MAR!L51</f>
        <v>2371.96863876985</v>
      </c>
      <c r="M11" s="95" t="n">
        <f aca="false">MAR!M51</f>
        <v>918.6</v>
      </c>
      <c r="N11" s="91" t="n">
        <f aca="false">MAR!N51</f>
        <v>0</v>
      </c>
      <c r="O11" s="91" t="n">
        <f aca="false">MAR!O51</f>
        <v>48.9027</v>
      </c>
      <c r="P11" s="312"/>
      <c r="Q11" s="91" t="n">
        <f aca="false">MAR!Q51</f>
        <v>237.80892</v>
      </c>
      <c r="R11" s="91" t="n">
        <f aca="false">MAR!R51</f>
        <v>378.95</v>
      </c>
      <c r="S11" s="91" t="n">
        <f aca="false">MAR!S51</f>
        <v>0</v>
      </c>
      <c r="T11" s="356" t="n">
        <f aca="false">MAR!T51</f>
        <v>-71.5154</v>
      </c>
      <c r="U11" s="79" t="n">
        <f aca="false">MAR!U51</f>
        <v>7430</v>
      </c>
      <c r="V11" s="79" t="n">
        <f aca="false">MAR!V51</f>
        <v>76.3</v>
      </c>
      <c r="W11" s="79" t="n">
        <f aca="false">MAR!W51</f>
        <v>7830.75378</v>
      </c>
      <c r="X11" s="79" t="n">
        <f aca="false">MAR!X51</f>
        <v>7377.48498</v>
      </c>
      <c r="Y11" s="104" t="n">
        <f aca="false">MAR!Y43</f>
        <v>14633.24145783</v>
      </c>
      <c r="Z11" s="104" t="n">
        <f aca="false">MAR!Z43</f>
        <v>10262.7800090914</v>
      </c>
      <c r="AA11" s="94" t="n">
        <v>-4037</v>
      </c>
      <c r="AB11" s="94"/>
      <c r="AC11" s="94"/>
      <c r="AD11" s="93"/>
      <c r="AE11" s="361" t="n">
        <f aca="false">MAR!AE51</f>
        <v>0</v>
      </c>
      <c r="AF11" s="79" t="n">
        <f aca="false">MAR!AF51</f>
        <v>0</v>
      </c>
      <c r="AG11" s="79" t="n">
        <f aca="false">MAR!AG51</f>
        <v>0</v>
      </c>
      <c r="AH11" s="362" t="n">
        <f aca="false">MAR!AH51</f>
        <v>6251</v>
      </c>
      <c r="AI11" s="79" t="n">
        <f aca="false">AI7/D2</f>
        <v>16031.2578774893</v>
      </c>
      <c r="AJ11" s="79" t="n">
        <f aca="false">MAR!AJ51</f>
        <v>0</v>
      </c>
      <c r="AK11" s="79" t="n">
        <f aca="false">MAR!AK51</f>
        <v>14675.9</v>
      </c>
      <c r="AL11" s="79" t="n">
        <f aca="false">MAR!AL51</f>
        <v>934.165245777666</v>
      </c>
      <c r="AM11" s="91" t="n">
        <f aca="false">MAR!AM51</f>
        <v>15610.0652457777</v>
      </c>
      <c r="AN11" s="357" t="n">
        <f aca="false">MAR!AN52</f>
        <v>14477.427655</v>
      </c>
      <c r="AO11" s="93" t="n">
        <f aca="false">MAR!AO51</f>
        <v>453.2688</v>
      </c>
      <c r="AP11" s="94"/>
      <c r="AQ11" s="358"/>
      <c r="AR11" s="358"/>
      <c r="AS11" s="79"/>
      <c r="AT11" s="2"/>
      <c r="AU11" s="2"/>
      <c r="AV11" s="99" t="n">
        <f aca="false">MAR!AV51</f>
        <v>3.86</v>
      </c>
      <c r="AW11" s="100"/>
      <c r="AX11" s="100"/>
      <c r="AY11" s="363"/>
      <c r="AZ11" s="142" t="n">
        <f aca="false">MAR!AZ51</f>
        <v>545.24352</v>
      </c>
    </row>
    <row r="12" customFormat="false" ht="3" hidden="false" customHeight="true" outlineLevel="0" collapsed="false">
      <c r="A12" s="107"/>
      <c r="B12" s="364"/>
      <c r="C12" s="118"/>
      <c r="D12" s="114"/>
      <c r="E12" s="118"/>
      <c r="F12" s="365"/>
      <c r="G12" s="114"/>
      <c r="H12" s="114"/>
      <c r="I12" s="114"/>
      <c r="J12" s="114"/>
      <c r="K12" s="114"/>
      <c r="L12" s="114"/>
      <c r="M12" s="119"/>
      <c r="N12" s="114"/>
      <c r="O12" s="114"/>
      <c r="P12" s="366"/>
      <c r="Q12" s="114"/>
      <c r="R12" s="114"/>
      <c r="S12" s="114"/>
      <c r="T12" s="367"/>
      <c r="U12" s="114"/>
      <c r="V12" s="114"/>
      <c r="W12" s="114"/>
      <c r="X12" s="114"/>
      <c r="Y12" s="114"/>
      <c r="Z12" s="216"/>
      <c r="AA12" s="117"/>
      <c r="AB12" s="117"/>
      <c r="AC12" s="117"/>
      <c r="AD12" s="116"/>
      <c r="AE12" s="114"/>
      <c r="AF12" s="119"/>
      <c r="AG12" s="120"/>
      <c r="AH12" s="114"/>
      <c r="AI12" s="118"/>
      <c r="AJ12" s="118"/>
      <c r="AK12" s="114"/>
      <c r="AL12" s="114"/>
      <c r="AM12" s="114"/>
      <c r="AN12" s="148"/>
      <c r="AO12" s="116"/>
      <c r="AP12" s="117"/>
      <c r="AQ12" s="366"/>
      <c r="AR12" s="366"/>
      <c r="AS12" s="366"/>
      <c r="AT12" s="366"/>
      <c r="AU12" s="366"/>
      <c r="AV12" s="123"/>
      <c r="AW12" s="117"/>
      <c r="AX12" s="117"/>
      <c r="AY12" s="368"/>
      <c r="AZ12" s="369"/>
    </row>
    <row r="13" customFormat="false" ht="12.95" hidden="false" customHeight="true" outlineLevel="0" collapsed="false">
      <c r="A13" s="10" t="n">
        <v>1</v>
      </c>
      <c r="B13" s="360" t="n">
        <v>6900.02</v>
      </c>
      <c r="C13" s="91" t="n">
        <v>283654</v>
      </c>
      <c r="D13" s="100" t="n">
        <f aca="false">C13-C11</f>
        <v>368</v>
      </c>
      <c r="E13" s="91" t="n">
        <f aca="false">C13-152000</f>
        <v>131654</v>
      </c>
      <c r="F13" s="370" t="n">
        <f aca="false">D13/$D$2</f>
        <v>185.530627678346</v>
      </c>
      <c r="G13" s="131" t="n">
        <v>209</v>
      </c>
      <c r="H13" s="131" t="n">
        <v>20</v>
      </c>
      <c r="I13" s="131" t="n">
        <f aca="false">G13+H13</f>
        <v>229</v>
      </c>
      <c r="J13" s="371" t="n">
        <f aca="false">IF(L13&gt;0,L13,0)</f>
        <v>54.5306276783464</v>
      </c>
      <c r="K13" s="131" t="n">
        <f aca="false">I13+J13</f>
        <v>283.530627678346</v>
      </c>
      <c r="L13" s="131" t="n">
        <f aca="false">F13-(I13-AK13)</f>
        <v>54.5306276783464</v>
      </c>
      <c r="M13" s="135" t="n">
        <v>34</v>
      </c>
      <c r="N13" s="199" t="n">
        <f aca="false">1.8299*1.03</f>
        <v>1.884797</v>
      </c>
      <c r="O13" s="372" t="n">
        <f aca="false">(7.4+6.8)*1.05</f>
        <v>14.91</v>
      </c>
      <c r="P13" s="312" t="n">
        <v>0</v>
      </c>
      <c r="Q13" s="340" t="n">
        <f aca="false">1.599*1.02</f>
        <v>1.63098</v>
      </c>
      <c r="R13" s="340" t="n">
        <v>2.2</v>
      </c>
      <c r="S13" s="129" t="n">
        <v>0</v>
      </c>
      <c r="T13" s="356" t="n">
        <v>0</v>
      </c>
      <c r="U13" s="131" t="n">
        <v>0</v>
      </c>
      <c r="V13" s="131" t="n">
        <v>0</v>
      </c>
      <c r="W13" s="132" t="n">
        <f aca="false">M13-N13-O13-P13-Q13-R13-S13-T13+U13+V13</f>
        <v>13.374223</v>
      </c>
      <c r="X13" s="132" t="n">
        <f aca="false">W13-AO13</f>
        <v>13.374223</v>
      </c>
      <c r="Y13" s="134" t="n">
        <f aca="false">Y11+(X13*1.9835)</f>
        <v>14659.7692291505</v>
      </c>
      <c r="Z13" s="104" t="n">
        <f aca="false">Z11+X13*(26300/37500)*1.9835</f>
        <v>10281.3848193776</v>
      </c>
      <c r="AA13" s="104" t="n">
        <f aca="false">AA11</f>
        <v>-4037</v>
      </c>
      <c r="AB13" s="104" t="n">
        <f aca="false">+X13*1.9835</f>
        <v>26.5277713205</v>
      </c>
      <c r="AC13" s="104" t="n">
        <f aca="false">AP13</f>
        <v>210.094797</v>
      </c>
      <c r="AD13" s="93"/>
      <c r="AE13" s="131"/>
      <c r="AF13" s="135" t="n">
        <v>1.7</v>
      </c>
      <c r="AG13" s="136" t="n">
        <v>1.3</v>
      </c>
      <c r="AH13" s="131" t="n">
        <v>64</v>
      </c>
      <c r="AI13" s="79" t="n">
        <f aca="false">AI11-AH13</f>
        <v>15967.2578774893</v>
      </c>
      <c r="AJ13" s="0"/>
      <c r="AK13" s="131" t="n">
        <f aca="false">N13+O13+P13+Q13+R13+S13+T13+W13+AE13+AH13</f>
        <v>98</v>
      </c>
      <c r="AL13" s="131" t="n">
        <f aca="false">IF(L13&lt;0,L13*-1,0)</f>
        <v>0</v>
      </c>
      <c r="AM13" s="372" t="n">
        <f aca="false">AK13+AL13</f>
        <v>98</v>
      </c>
      <c r="AN13" s="373" t="n">
        <f aca="false">AN11+(U13*1.9835)</f>
        <v>14477.427655</v>
      </c>
      <c r="AO13" s="93"/>
      <c r="AP13" s="94" t="n">
        <f aca="false">I13-Q13-R13-W13-AF13</f>
        <v>210.094797</v>
      </c>
      <c r="AQ13" s="358" t="n">
        <f aca="false">29.8*(AC13*1.9835)/E13</f>
        <v>0.0943256284618401</v>
      </c>
      <c r="AR13" s="358"/>
      <c r="AS13" s="98"/>
      <c r="AT13" s="12"/>
      <c r="AU13" s="1"/>
      <c r="AV13" s="99" t="n">
        <v>0.02</v>
      </c>
      <c r="AW13" s="100" t="n">
        <v>39</v>
      </c>
      <c r="AX13" s="100" t="n">
        <v>24</v>
      </c>
      <c r="AY13" s="300"/>
      <c r="AZ13" s="233" t="n">
        <f aca="false">SUM(N13,P13:T13)</f>
        <v>5.715777</v>
      </c>
    </row>
    <row r="14" customFormat="false" ht="12.95" hidden="false" customHeight="true" outlineLevel="0" collapsed="false">
      <c r="A14" s="10" t="n">
        <f aca="false">A13+1</f>
        <v>2</v>
      </c>
      <c r="B14" s="360" t="n">
        <v>6900.07</v>
      </c>
      <c r="C14" s="91" t="n">
        <v>283839</v>
      </c>
      <c r="D14" s="100" t="n">
        <f aca="false">C14-C13</f>
        <v>185</v>
      </c>
      <c r="E14" s="91" t="n">
        <f aca="false">C14-152000</f>
        <v>131839</v>
      </c>
      <c r="F14" s="370" t="n">
        <f aca="false">D14/$D$2</f>
        <v>93.2694731535165</v>
      </c>
      <c r="G14" s="131" t="n">
        <v>148</v>
      </c>
      <c r="H14" s="131" t="n">
        <v>15</v>
      </c>
      <c r="I14" s="131" t="n">
        <f aca="false">G14+H14</f>
        <v>163</v>
      </c>
      <c r="J14" s="371" t="n">
        <f aca="false">IF(L14&gt;0,L14,0)</f>
        <v>21.2694731535165</v>
      </c>
      <c r="K14" s="131" t="n">
        <f aca="false">I14+J14</f>
        <v>184.269473153517</v>
      </c>
      <c r="L14" s="131" t="n">
        <f aca="false">F14-(I14-AK14)</f>
        <v>21.2694731535165</v>
      </c>
      <c r="M14" s="135" t="n">
        <v>41</v>
      </c>
      <c r="N14" s="199" t="n">
        <f aca="false">1.8299*1.03</f>
        <v>1.884797</v>
      </c>
      <c r="O14" s="372" t="n">
        <f aca="false">(16+15)*1.05</f>
        <v>32.55</v>
      </c>
      <c r="P14" s="312" t="n">
        <v>0</v>
      </c>
      <c r="Q14" s="340" t="n">
        <f aca="false">1.599*1.02</f>
        <v>1.63098</v>
      </c>
      <c r="R14" s="340" t="n">
        <v>2.33</v>
      </c>
      <c r="S14" s="129" t="n">
        <v>0</v>
      </c>
      <c r="T14" s="356" t="n">
        <v>0</v>
      </c>
      <c r="U14" s="131" t="n">
        <v>0</v>
      </c>
      <c r="V14" s="131" t="n">
        <v>0</v>
      </c>
      <c r="W14" s="132" t="n">
        <f aca="false">M14-N14-O14-P14-Q14-R14-S14-T14+U14+V14</f>
        <v>2.604223</v>
      </c>
      <c r="X14" s="132" t="n">
        <f aca="false">W14-AO14</f>
        <v>2.604223</v>
      </c>
      <c r="Y14" s="134" t="n">
        <f aca="false">Y13+(X14*1.9835)</f>
        <v>14664.934705471</v>
      </c>
      <c r="Z14" s="104" t="n">
        <f aca="false">Z13+X14*(26300/37500)*1.9835</f>
        <v>10285.0075401037</v>
      </c>
      <c r="AA14" s="104" t="n">
        <f aca="false">AA13</f>
        <v>-4037</v>
      </c>
      <c r="AB14" s="104" t="n">
        <f aca="false">AB13+(X14)*1.9835</f>
        <v>31.693247641</v>
      </c>
      <c r="AC14" s="94" t="n">
        <f aca="false">AC13+AP14-(AQ13/1.9835)</f>
        <v>364.78203885583</v>
      </c>
      <c r="AD14" s="93"/>
      <c r="AE14" s="131"/>
      <c r="AF14" s="135" t="n">
        <v>1.7</v>
      </c>
      <c r="AG14" s="136" t="n">
        <v>1.3</v>
      </c>
      <c r="AH14" s="131" t="n">
        <v>50</v>
      </c>
      <c r="AI14" s="79" t="n">
        <f aca="false">AI13-AH14</f>
        <v>15917.2578774893</v>
      </c>
      <c r="AJ14" s="79"/>
      <c r="AK14" s="131" t="n">
        <f aca="false">N14+O14+P14+Q14+R14+S14+T14+W14+AE14+AH14</f>
        <v>91</v>
      </c>
      <c r="AL14" s="131" t="n">
        <f aca="false">IF(L14&lt;0,L14*-1,0)</f>
        <v>0</v>
      </c>
      <c r="AM14" s="372" t="n">
        <f aca="false">AK14+AL14</f>
        <v>91</v>
      </c>
      <c r="AN14" s="373" t="n">
        <f aca="false">AN13+(U14*1.9835)</f>
        <v>14477.427655</v>
      </c>
      <c r="AO14" s="93"/>
      <c r="AP14" s="94" t="n">
        <f aca="false">I14-Q14-R14-W14-AF14</f>
        <v>154.734797</v>
      </c>
      <c r="AQ14" s="358" t="n">
        <f aca="false">29.8*(AC14*1.9835)/E14</f>
        <v>0.163545280131843</v>
      </c>
      <c r="AR14" s="358"/>
      <c r="AS14" s="98"/>
      <c r="AT14" s="12"/>
      <c r="AU14" s="1"/>
      <c r="AV14" s="99" t="n">
        <v>0</v>
      </c>
      <c r="AW14" s="100" t="n">
        <v>50</v>
      </c>
      <c r="AX14" s="100" t="n">
        <v>19</v>
      </c>
      <c r="AY14" s="300"/>
      <c r="AZ14" s="233" t="n">
        <f aca="false">SUM(N14,P14:T14)</f>
        <v>5.845777</v>
      </c>
    </row>
    <row r="15" customFormat="false" ht="12.95" hidden="false" customHeight="true" outlineLevel="0" collapsed="false">
      <c r="A15" s="10" t="n">
        <f aca="false">A14+1</f>
        <v>3</v>
      </c>
      <c r="B15" s="360" t="n">
        <v>6900.13</v>
      </c>
      <c r="C15" s="91" t="n">
        <v>284061</v>
      </c>
      <c r="D15" s="100" t="n">
        <f aca="false">C15-C14</f>
        <v>222</v>
      </c>
      <c r="E15" s="91" t="n">
        <f aca="false">C15-152000</f>
        <v>132061</v>
      </c>
      <c r="F15" s="370" t="n">
        <f aca="false">D15/$D$2</f>
        <v>111.92336778422</v>
      </c>
      <c r="G15" s="131" t="n">
        <v>201</v>
      </c>
      <c r="H15" s="131" t="n">
        <v>22</v>
      </c>
      <c r="I15" s="131" t="n">
        <f aca="false">G15+H15</f>
        <v>223</v>
      </c>
      <c r="J15" s="371" t="n">
        <f aca="false">IF(L15&gt;0,L15,0)</f>
        <v>19.1233677842198</v>
      </c>
      <c r="K15" s="131" t="n">
        <f aca="false">I15+J15</f>
        <v>242.12336778422</v>
      </c>
      <c r="L15" s="131" t="n">
        <f aca="false">F15-(I15-AK15)</f>
        <v>19.1233677842198</v>
      </c>
      <c r="M15" s="135" t="n">
        <v>72</v>
      </c>
      <c r="N15" s="199" t="n">
        <f aca="false">1.8299*1.03</f>
        <v>1.884797</v>
      </c>
      <c r="O15" s="372" t="n">
        <f aca="false">(23+22)*1.05</f>
        <v>47.25</v>
      </c>
      <c r="P15" s="312" t="n">
        <v>0</v>
      </c>
      <c r="Q15" s="340" t="n">
        <f aca="false">1.599*1.02</f>
        <v>1.63098</v>
      </c>
      <c r="R15" s="340" t="n">
        <v>2.46</v>
      </c>
      <c r="S15" s="129" t="n">
        <v>0</v>
      </c>
      <c r="T15" s="356" t="n">
        <v>0</v>
      </c>
      <c r="U15" s="131" t="n">
        <v>9.2</v>
      </c>
      <c r="V15" s="131" t="n">
        <v>0</v>
      </c>
      <c r="W15" s="132" t="n">
        <f aca="false">M15-N15-O15-P15-Q15-R15-S15-T15+U15+V15</f>
        <v>27.974223</v>
      </c>
      <c r="X15" s="132" t="n">
        <f aca="false">W15-AO15</f>
        <v>27.974223</v>
      </c>
      <c r="Y15" s="134" t="n">
        <f aca="false">Y14+(X15*1.9835)</f>
        <v>14720.4215767915</v>
      </c>
      <c r="Z15" s="104" t="n">
        <f aca="false">Z14+X15*(26300/37500)*1.9835</f>
        <v>10323.9223325231</v>
      </c>
      <c r="AA15" s="104" t="n">
        <f aca="false">AA14</f>
        <v>-4037</v>
      </c>
      <c r="AB15" s="104" t="n">
        <f aca="false">AB14+(X15)*1.9835</f>
        <v>87.1801189615</v>
      </c>
      <c r="AC15" s="94" t="n">
        <f aca="false">AC14+AP15-(AQ14/1.9835)</f>
        <v>553.934382979534</v>
      </c>
      <c r="AD15" s="93"/>
      <c r="AE15" s="131"/>
      <c r="AF15" s="135" t="n">
        <v>1.7</v>
      </c>
      <c r="AG15" s="136" t="n">
        <v>1.3</v>
      </c>
      <c r="AH15" s="131" t="n">
        <v>49</v>
      </c>
      <c r="AI15" s="79" t="n">
        <f aca="false">AI14-AH15</f>
        <v>15868.2578774893</v>
      </c>
      <c r="AJ15" s="79"/>
      <c r="AK15" s="131" t="n">
        <f aca="false">N15+O15+P15+Q15+R15+S15+T15+W15+AE15+AH15</f>
        <v>130.2</v>
      </c>
      <c r="AL15" s="131" t="n">
        <f aca="false">IF(L15&lt;0,L15*-1,0)</f>
        <v>0</v>
      </c>
      <c r="AM15" s="372" t="n">
        <f aca="false">AK15+AL15</f>
        <v>130.2</v>
      </c>
      <c r="AN15" s="373" t="n">
        <f aca="false">AN14</f>
        <v>14477.427655</v>
      </c>
      <c r="AO15" s="93"/>
      <c r="AP15" s="94" t="n">
        <f aca="false">I15-Q15-R15-W15-AF15</f>
        <v>189.234797</v>
      </c>
      <c r="AQ15" s="358" t="n">
        <f aca="false">29.8*(AC15*1.9835)/E15</f>
        <v>0.247931786746043</v>
      </c>
      <c r="AR15" s="358"/>
      <c r="AS15" s="98"/>
      <c r="AT15" s="12"/>
      <c r="AU15" s="1"/>
      <c r="AV15" s="99" t="n">
        <v>0.09</v>
      </c>
      <c r="AW15" s="100" t="n">
        <v>56</v>
      </c>
      <c r="AX15" s="100" t="n">
        <v>30</v>
      </c>
      <c r="AY15" s="300"/>
      <c r="AZ15" s="233" t="n">
        <f aca="false">SUM(N15,P15:T15)</f>
        <v>5.975777</v>
      </c>
    </row>
    <row r="16" customFormat="false" ht="12.95" hidden="false" customHeight="true" outlineLevel="0" collapsed="false">
      <c r="A16" s="10" t="n">
        <f aca="false">A15+1</f>
        <v>4</v>
      </c>
      <c r="B16" s="360" t="n">
        <v>6900.25</v>
      </c>
      <c r="C16" s="91" t="n">
        <v>284505</v>
      </c>
      <c r="D16" s="100" t="n">
        <f aca="false">C16-C15</f>
        <v>444</v>
      </c>
      <c r="E16" s="91" t="n">
        <f aca="false">C16-152000</f>
        <v>132505</v>
      </c>
      <c r="F16" s="370" t="n">
        <f aca="false">D16/$D$2</f>
        <v>223.84673556844</v>
      </c>
      <c r="G16" s="131" t="n">
        <v>204</v>
      </c>
      <c r="H16" s="131" t="n">
        <v>26</v>
      </c>
      <c r="I16" s="131" t="n">
        <f aca="false">G16+H16</f>
        <v>230</v>
      </c>
      <c r="J16" s="371" t="n">
        <f aca="false">IF(L16&gt;0,L16,0)</f>
        <v>66.5467355684396</v>
      </c>
      <c r="K16" s="131" t="n">
        <f aca="false">I16+J16</f>
        <v>296.54673556844</v>
      </c>
      <c r="L16" s="131" t="n">
        <f aca="false">F16-(I16-AK16)</f>
        <v>66.5467355684396</v>
      </c>
      <c r="M16" s="135" t="n">
        <v>18</v>
      </c>
      <c r="N16" s="199" t="n">
        <f aca="false">1.8299*1.03</f>
        <v>1.884797</v>
      </c>
      <c r="O16" s="372" t="n">
        <f aca="false">(11+11)*1.05</f>
        <v>23.1</v>
      </c>
      <c r="P16" s="312" t="n">
        <v>0</v>
      </c>
      <c r="Q16" s="340" t="n">
        <f aca="false">1.599*1.02</f>
        <v>1.63098</v>
      </c>
      <c r="R16" s="340" t="n">
        <v>2.39</v>
      </c>
      <c r="S16" s="129" t="n">
        <v>0</v>
      </c>
      <c r="T16" s="356" t="n">
        <v>0</v>
      </c>
      <c r="U16" s="131" t="n">
        <v>5.7</v>
      </c>
      <c r="V16" s="131" t="n">
        <v>0</v>
      </c>
      <c r="W16" s="132" t="n">
        <f aca="false">M16-N16-O16-P16-Q16-R16-S16-T16+U16+V16</f>
        <v>-5.305777</v>
      </c>
      <c r="X16" s="132" t="n">
        <f aca="false">W16-AO16</f>
        <v>-5.305777</v>
      </c>
      <c r="Y16" s="134" t="n">
        <f aca="false">Y15+(X16*1.9835)</f>
        <v>14709.897568112</v>
      </c>
      <c r="Z16" s="104" t="n">
        <f aca="false">Z15+X16*(26300/37500)*1.9835</f>
        <v>10316.5414944359</v>
      </c>
      <c r="AA16" s="104" t="n">
        <f aca="false">AA15</f>
        <v>-4037</v>
      </c>
      <c r="AB16" s="104" t="n">
        <f aca="false">AB15+(X16)*1.9835</f>
        <v>76.656110282</v>
      </c>
      <c r="AC16" s="94" t="n">
        <f aca="false">AC15+AP16-(AQ15/1.9835)</f>
        <v>783.394182859925</v>
      </c>
      <c r="AD16" s="93"/>
      <c r="AE16" s="131"/>
      <c r="AF16" s="135" t="n">
        <v>1.7</v>
      </c>
      <c r="AG16" s="136" t="n">
        <v>1.3</v>
      </c>
      <c r="AH16" s="131" t="n">
        <v>49</v>
      </c>
      <c r="AI16" s="79" t="n">
        <f aca="false">AI15-AH16</f>
        <v>15819.2578774893</v>
      </c>
      <c r="AJ16" s="79"/>
      <c r="AK16" s="131" t="n">
        <f aca="false">N16+O16+P16+Q16+R16+S16+T16+W16+AE16+AH16</f>
        <v>72.7</v>
      </c>
      <c r="AL16" s="131" t="n">
        <f aca="false">IF(L16&lt;0,L16*-1,0)</f>
        <v>0</v>
      </c>
      <c r="AM16" s="372" t="n">
        <f aca="false">AK16+AL16</f>
        <v>72.7</v>
      </c>
      <c r="AN16" s="373" t="n">
        <f aca="false">AN15</f>
        <v>14477.427655</v>
      </c>
      <c r="AO16" s="93"/>
      <c r="AP16" s="94" t="n">
        <f aca="false">I16-Q16-R16-W16-AF16</f>
        <v>229.584797</v>
      </c>
      <c r="AQ16" s="358" t="n">
        <f aca="false">29.8*(AC16*1.9835)/E16</f>
        <v>0.349459253452619</v>
      </c>
      <c r="AR16" s="358"/>
      <c r="AS16" s="98"/>
      <c r="AT16" s="12"/>
      <c r="AU16" s="1"/>
      <c r="AV16" s="99" t="n">
        <v>0.25</v>
      </c>
      <c r="AW16" s="100" t="n">
        <v>35</v>
      </c>
      <c r="AX16" s="100" t="n">
        <v>23</v>
      </c>
      <c r="AY16" s="300"/>
      <c r="AZ16" s="233" t="n">
        <f aca="false">SUM(N16,P16:T16)</f>
        <v>5.905777</v>
      </c>
    </row>
    <row r="17" customFormat="false" ht="12.95" hidden="false" customHeight="true" outlineLevel="0" collapsed="false">
      <c r="A17" s="10" t="n">
        <f aca="false">A16+1</f>
        <v>5</v>
      </c>
      <c r="B17" s="360" t="n">
        <v>6900.34</v>
      </c>
      <c r="C17" s="91" t="n">
        <v>284839</v>
      </c>
      <c r="D17" s="100" t="n">
        <f aca="false">C17-C16</f>
        <v>334</v>
      </c>
      <c r="E17" s="91" t="n">
        <f aca="false">C17-152000</f>
        <v>132839</v>
      </c>
      <c r="F17" s="370" t="n">
        <f aca="false">D17/$D$2</f>
        <v>168.389210990673</v>
      </c>
      <c r="G17" s="131" t="n">
        <v>169</v>
      </c>
      <c r="H17" s="131" t="n">
        <v>25</v>
      </c>
      <c r="I17" s="131" t="n">
        <f aca="false">G17+H17</f>
        <v>194</v>
      </c>
      <c r="J17" s="371" t="n">
        <f aca="false">IF(L17&gt;0,L17,0)</f>
        <v>27.889210990673</v>
      </c>
      <c r="K17" s="131" t="n">
        <f aca="false">I17+J17</f>
        <v>221.889210990673</v>
      </c>
      <c r="L17" s="131" t="n">
        <f aca="false">F17-(I17-AK17)</f>
        <v>27.889210990673</v>
      </c>
      <c r="M17" s="135" t="n">
        <v>4.5</v>
      </c>
      <c r="N17" s="199" t="n">
        <f aca="false">1.8299*1.03</f>
        <v>1.884797</v>
      </c>
      <c r="O17" s="372" t="n">
        <f aca="false">0.14*1.05</f>
        <v>0.147</v>
      </c>
      <c r="P17" s="312" t="n">
        <v>0</v>
      </c>
      <c r="Q17" s="340" t="n">
        <f aca="false">1.599*1.02</f>
        <v>1.63098</v>
      </c>
      <c r="R17" s="340" t="n">
        <v>2.46</v>
      </c>
      <c r="S17" s="129" t="n">
        <v>0</v>
      </c>
      <c r="T17" s="356" t="n">
        <v>0</v>
      </c>
      <c r="U17" s="131" t="n">
        <v>0</v>
      </c>
      <c r="V17" s="131" t="n">
        <v>0</v>
      </c>
      <c r="W17" s="132" t="n">
        <f aca="false">M17-N17-O17-P17-Q17-R17-S17-T17+U17+V17</f>
        <v>-1.622777</v>
      </c>
      <c r="X17" s="132" t="n">
        <f aca="false">W17-AO17</f>
        <v>-1.622777</v>
      </c>
      <c r="Y17" s="134" t="n">
        <f aca="false">Y16+(X17*1.9835)</f>
        <v>14706.6787899325</v>
      </c>
      <c r="Z17" s="104" t="n">
        <f aca="false">Z16+X17*(26300/37500)*1.9835</f>
        <v>10314.284058006</v>
      </c>
      <c r="AA17" s="104" t="n">
        <f aca="false">AA16</f>
        <v>-4037</v>
      </c>
      <c r="AB17" s="104" t="n">
        <f aca="false">AB16+(X17)*1.9835</f>
        <v>73.4373321025</v>
      </c>
      <c r="AC17" s="94" t="n">
        <f aca="false">AC16+AP17-(AQ16/1.9835)</f>
        <v>973.049796722313</v>
      </c>
      <c r="AD17" s="93"/>
      <c r="AE17" s="131"/>
      <c r="AF17" s="135" t="n">
        <v>1.7</v>
      </c>
      <c r="AG17" s="136" t="n">
        <v>1.3</v>
      </c>
      <c r="AH17" s="131" t="n">
        <v>49</v>
      </c>
      <c r="AI17" s="79" t="n">
        <f aca="false">AI16-AH17</f>
        <v>15770.2578774893</v>
      </c>
      <c r="AJ17" s="79"/>
      <c r="AK17" s="131" t="n">
        <f aca="false">N17+O17+P17+Q17+R17+S17+T17+W17+AE17+AH17</f>
        <v>53.5</v>
      </c>
      <c r="AL17" s="131" t="n">
        <f aca="false">IF(L17&lt;0,L17*-1,0)</f>
        <v>0</v>
      </c>
      <c r="AM17" s="372" t="n">
        <f aca="false">AK17+AL17</f>
        <v>53.5</v>
      </c>
      <c r="AN17" s="373" t="n">
        <f aca="false">AN16</f>
        <v>14477.427655</v>
      </c>
      <c r="AO17" s="93"/>
      <c r="AP17" s="94" t="n">
        <f aca="false">I17-Q17-R17-W17-AF17</f>
        <v>189.831797</v>
      </c>
      <c r="AQ17" s="358" t="n">
        <f aca="false">29.8*(AC17*1.9835)/E17</f>
        <v>0.432970131509583</v>
      </c>
      <c r="AR17" s="358"/>
      <c r="AS17" s="98"/>
      <c r="AT17" s="12"/>
      <c r="AU17" s="1"/>
      <c r="AV17" s="99" t="n">
        <v>0</v>
      </c>
      <c r="AW17" s="100" t="n">
        <v>42</v>
      </c>
      <c r="AX17" s="100" t="n">
        <v>18</v>
      </c>
      <c r="AY17" s="300"/>
      <c r="AZ17" s="233" t="n">
        <f aca="false">SUM(N17,P17:T17)</f>
        <v>5.975777</v>
      </c>
    </row>
    <row r="18" customFormat="false" ht="12.95" hidden="false" customHeight="true" outlineLevel="0" collapsed="false">
      <c r="A18" s="10" t="n">
        <f aca="false">A17+1</f>
        <v>6</v>
      </c>
      <c r="B18" s="360" t="n">
        <v>6900.41</v>
      </c>
      <c r="C18" s="91" t="n">
        <v>285098</v>
      </c>
      <c r="D18" s="100" t="n">
        <f aca="false">C18-C17</f>
        <v>259</v>
      </c>
      <c r="E18" s="91" t="n">
        <f aca="false">C18-152000</f>
        <v>133098</v>
      </c>
      <c r="F18" s="370" t="n">
        <f aca="false">D18/$D$2</f>
        <v>130.577262414923</v>
      </c>
      <c r="G18" s="131" t="n">
        <v>182</v>
      </c>
      <c r="H18" s="131" t="n">
        <v>26</v>
      </c>
      <c r="I18" s="131" t="n">
        <f aca="false">G18+H18</f>
        <v>208</v>
      </c>
      <c r="J18" s="371" t="n">
        <f aca="false">IF(L18&gt;0,L18,0)</f>
        <v>45.7772624149231</v>
      </c>
      <c r="K18" s="131" t="n">
        <f aca="false">I18+J18</f>
        <v>253.777262414923</v>
      </c>
      <c r="L18" s="131" t="n">
        <f aca="false">F18-(I18-AK18)</f>
        <v>45.7772624149231</v>
      </c>
      <c r="M18" s="135" t="n">
        <v>63</v>
      </c>
      <c r="N18" s="199" t="n">
        <f aca="false">1.8299*1.03</f>
        <v>1.884797</v>
      </c>
      <c r="O18" s="372" t="n">
        <f aca="false">(16+17)*1.05</f>
        <v>34.65</v>
      </c>
      <c r="P18" s="312" t="n">
        <v>0</v>
      </c>
      <c r="Q18" s="340" t="n">
        <f aca="false">1.599*1.02</f>
        <v>1.63098</v>
      </c>
      <c r="R18" s="340" t="n">
        <v>2.48</v>
      </c>
      <c r="S18" s="129" t="n">
        <v>0</v>
      </c>
      <c r="T18" s="356" t="n">
        <v>0</v>
      </c>
      <c r="U18" s="131" t="n">
        <v>7.4</v>
      </c>
      <c r="V18" s="131" t="n">
        <v>3.8</v>
      </c>
      <c r="W18" s="132" t="n">
        <f aca="false">M18-N18-O18-P18-Q18-R18-S18-T18+U18+V18</f>
        <v>33.554223</v>
      </c>
      <c r="X18" s="132" t="n">
        <f aca="false">W18-AO18</f>
        <v>0</v>
      </c>
      <c r="Y18" s="134" t="n">
        <f aca="false">Y17+(X18*1.9835)</f>
        <v>14706.6787899325</v>
      </c>
      <c r="Z18" s="104" t="n">
        <f aca="false">Z17+X18*(26300/37500)*1.9835</f>
        <v>10314.284058006</v>
      </c>
      <c r="AA18" s="104" t="n">
        <f aca="false">AA17</f>
        <v>-4037</v>
      </c>
      <c r="AB18" s="104" t="n">
        <f aca="false">AB17+(X18)*1.9835</f>
        <v>73.4373321025</v>
      </c>
      <c r="AC18" s="94" t="n">
        <f aca="false">AC17+AP18-(AQ17/1.9835)</f>
        <v>1141.46630779768</v>
      </c>
      <c r="AD18" s="93"/>
      <c r="AE18" s="131"/>
      <c r="AF18" s="135" t="n">
        <v>1.7</v>
      </c>
      <c r="AG18" s="136" t="n">
        <v>1.3</v>
      </c>
      <c r="AH18" s="131" t="n">
        <v>49</v>
      </c>
      <c r="AI18" s="79" t="n">
        <f aca="false">AI17-AH18</f>
        <v>15721.2578774893</v>
      </c>
      <c r="AJ18" s="79"/>
      <c r="AK18" s="131" t="n">
        <f aca="false">N18+O18+P18+Q18+R18+S18+T18+W18+AE18+AH18</f>
        <v>123.2</v>
      </c>
      <c r="AL18" s="131" t="n">
        <f aca="false">IF(L18&lt;0,L18*-1,0)</f>
        <v>0</v>
      </c>
      <c r="AM18" s="372" t="n">
        <f aca="false">AK18+AL18</f>
        <v>123.2</v>
      </c>
      <c r="AN18" s="373" t="n">
        <f aca="false">AN17</f>
        <v>14477.427655</v>
      </c>
      <c r="AO18" s="93" t="n">
        <f aca="false">W18</f>
        <v>33.554223</v>
      </c>
      <c r="AP18" s="94" t="n">
        <f aca="false">I18-Q18-R18-W18-AF18</f>
        <v>168.634797</v>
      </c>
      <c r="AQ18" s="358" t="n">
        <f aca="false">29.8*(AC18*1.9835)/E18</f>
        <v>0.506920712266132</v>
      </c>
      <c r="AR18" s="358"/>
      <c r="AS18" s="98"/>
      <c r="AT18" s="12"/>
      <c r="AU18" s="1"/>
      <c r="AV18" s="99" t="n">
        <v>0</v>
      </c>
      <c r="AW18" s="100" t="n">
        <v>56</v>
      </c>
      <c r="AX18" s="100" t="n">
        <v>21</v>
      </c>
      <c r="AY18" s="300"/>
      <c r="AZ18" s="233" t="n">
        <f aca="false">SUM(N18,P18:T18)</f>
        <v>5.995777</v>
      </c>
    </row>
    <row r="19" customFormat="false" ht="12.95" hidden="false" customHeight="true" outlineLevel="0" collapsed="false">
      <c r="A19" s="10" t="n">
        <f aca="false">A18+1</f>
        <v>7</v>
      </c>
      <c r="B19" s="360" t="n">
        <v>6900.46</v>
      </c>
      <c r="C19" s="91" t="n">
        <v>285283</v>
      </c>
      <c r="D19" s="100" t="n">
        <f aca="false">C19-C18</f>
        <v>185</v>
      </c>
      <c r="E19" s="91" t="n">
        <f aca="false">C19-152000</f>
        <v>133283</v>
      </c>
      <c r="F19" s="370" t="n">
        <f aca="false">D19/$D$2</f>
        <v>93.2694731535165</v>
      </c>
      <c r="G19" s="131" t="n">
        <v>241</v>
      </c>
      <c r="H19" s="131" t="n">
        <v>35</v>
      </c>
      <c r="I19" s="131" t="n">
        <f aca="false">G19+H19</f>
        <v>276</v>
      </c>
      <c r="J19" s="371" t="n">
        <f aca="false">IF(L19&gt;0,L19,0)</f>
        <v>34.4694731535165</v>
      </c>
      <c r="K19" s="131" t="n">
        <f aca="false">I19+J19</f>
        <v>310.469473153517</v>
      </c>
      <c r="L19" s="131" t="n">
        <f aca="false">F19-(I19-AK19)</f>
        <v>34.4694731535165</v>
      </c>
      <c r="M19" s="135" t="n">
        <v>136</v>
      </c>
      <c r="N19" s="199" t="n">
        <f aca="false">1.8299*1.03</f>
        <v>1.884797</v>
      </c>
      <c r="O19" s="372" t="n">
        <f aca="false">(41+40)*1.05</f>
        <v>85.05</v>
      </c>
      <c r="P19" s="312" t="n">
        <v>0</v>
      </c>
      <c r="Q19" s="340" t="n">
        <f aca="false">1.599*1.02</f>
        <v>1.63098</v>
      </c>
      <c r="R19" s="340" t="n">
        <v>2.7</v>
      </c>
      <c r="S19" s="129" t="n">
        <v>0</v>
      </c>
      <c r="T19" s="356" t="n">
        <v>0</v>
      </c>
      <c r="U19" s="131" t="n">
        <v>24</v>
      </c>
      <c r="V19" s="131" t="n">
        <v>9.2</v>
      </c>
      <c r="W19" s="132" t="n">
        <f aca="false">M19-N19-O19-P19-Q19-R19-S19-T19+U19+V19</f>
        <v>77.934223</v>
      </c>
      <c r="X19" s="132" t="n">
        <f aca="false">W19-AO19</f>
        <v>0</v>
      </c>
      <c r="Y19" s="134" t="n">
        <f aca="false">Y18+(X19*1.9835)</f>
        <v>14706.6787899325</v>
      </c>
      <c r="Z19" s="104" t="n">
        <f aca="false">Z18+X19*(26300/37500)*1.9835</f>
        <v>10314.284058006</v>
      </c>
      <c r="AA19" s="104" t="n">
        <f aca="false">AA18</f>
        <v>-4037</v>
      </c>
      <c r="AB19" s="104" t="n">
        <f aca="false">AB18+(X19)*1.9835</f>
        <v>73.4373321025</v>
      </c>
      <c r="AC19" s="94" t="n">
        <f aca="false">AC18+AP19-(AQ18/1.9835)</f>
        <v>1333.24553599896</v>
      </c>
      <c r="AD19" s="93"/>
      <c r="AE19" s="131"/>
      <c r="AF19" s="135" t="n">
        <v>1.7</v>
      </c>
      <c r="AG19" s="136" t="n">
        <v>1.3</v>
      </c>
      <c r="AH19" s="131" t="n">
        <v>48</v>
      </c>
      <c r="AI19" s="79" t="n">
        <f aca="false">AI18-AH19</f>
        <v>15673.2578774893</v>
      </c>
      <c r="AJ19" s="79"/>
      <c r="AK19" s="131" t="n">
        <f aca="false">N19+O19+P19+Q19+R19+S19+T19+W19+AE19+AH19</f>
        <v>217.2</v>
      </c>
      <c r="AL19" s="131" t="n">
        <f aca="false">IF(L19&lt;0,L19*-1,0)</f>
        <v>0</v>
      </c>
      <c r="AM19" s="372" t="n">
        <f aca="false">AK19+AL19</f>
        <v>217.2</v>
      </c>
      <c r="AN19" s="373" t="n">
        <f aca="false">AN18+(U19*1.9835)</f>
        <v>14525.031655</v>
      </c>
      <c r="AO19" s="93" t="n">
        <f aca="false">W19</f>
        <v>77.934223</v>
      </c>
      <c r="AP19" s="94" t="n">
        <f aca="false">I19-Q19-R19-W19-AF19</f>
        <v>192.034797</v>
      </c>
      <c r="AQ19" s="358" t="n">
        <f aca="false">29.8*(AC19*1.9835)/E19</f>
        <v>0.59126728176502</v>
      </c>
      <c r="AR19" s="358"/>
      <c r="AS19" s="98"/>
      <c r="AT19" s="12"/>
      <c r="AU19" s="1"/>
      <c r="AV19" s="99" t="n">
        <v>0</v>
      </c>
      <c r="AW19" s="100" t="n">
        <v>61</v>
      </c>
      <c r="AX19" s="100" t="n">
        <v>28</v>
      </c>
      <c r="AY19" s="300"/>
      <c r="AZ19" s="233" t="n">
        <f aca="false">SUM(N19,P19:T19)</f>
        <v>6.215777</v>
      </c>
    </row>
    <row r="20" customFormat="false" ht="12.95" hidden="false" customHeight="true" outlineLevel="0" collapsed="false">
      <c r="A20" s="10" t="n">
        <f aca="false">A19+1</f>
        <v>8</v>
      </c>
      <c r="B20" s="360" t="n">
        <v>6900.61</v>
      </c>
      <c r="C20" s="91" t="n">
        <v>285838</v>
      </c>
      <c r="D20" s="100" t="n">
        <f aca="false">C20-C19</f>
        <v>555</v>
      </c>
      <c r="E20" s="91" t="n">
        <f aca="false">C20-152000</f>
        <v>133838</v>
      </c>
      <c r="F20" s="370" t="n">
        <f aca="false">D20/$D$2</f>
        <v>279.80841946055</v>
      </c>
      <c r="G20" s="131" t="n">
        <v>384</v>
      </c>
      <c r="H20" s="131" t="n">
        <v>61</v>
      </c>
      <c r="I20" s="131" t="n">
        <f aca="false">G20+H20</f>
        <v>445</v>
      </c>
      <c r="J20" s="371" t="n">
        <f aca="false">IF(L20&gt;0,L20,0)</f>
        <v>35.8084194605495</v>
      </c>
      <c r="K20" s="131" t="n">
        <f aca="false">I20+J20</f>
        <v>480.80841946055</v>
      </c>
      <c r="L20" s="131" t="n">
        <f aca="false">F20-(I20-AK20)</f>
        <v>35.8084194605495</v>
      </c>
      <c r="M20" s="135" t="n">
        <v>119</v>
      </c>
      <c r="N20" s="199" t="n">
        <f aca="false">1.8299*1.03</f>
        <v>1.884797</v>
      </c>
      <c r="O20" s="372" t="n">
        <f aca="false">(44+42)*1.05</f>
        <v>90.3</v>
      </c>
      <c r="P20" s="312" t="n">
        <v>0</v>
      </c>
      <c r="Q20" s="340" t="n">
        <f aca="false">1.599*1.02</f>
        <v>1.63098</v>
      </c>
      <c r="R20" s="340" t="n">
        <v>3.72</v>
      </c>
      <c r="S20" s="129" t="n">
        <v>0</v>
      </c>
      <c r="T20" s="356" t="n">
        <v>0</v>
      </c>
      <c r="U20" s="131" t="n">
        <v>23</v>
      </c>
      <c r="V20" s="131" t="n">
        <v>11</v>
      </c>
      <c r="W20" s="132" t="n">
        <f aca="false">M20-N20-O20-P20-Q20-R20-S20-T20+U20+V20</f>
        <v>55.464223</v>
      </c>
      <c r="X20" s="132" t="n">
        <f aca="false">W20-AO20</f>
        <v>0</v>
      </c>
      <c r="Y20" s="134" t="n">
        <f aca="false">Y19+(X20*1.9835)</f>
        <v>14706.6787899325</v>
      </c>
      <c r="Z20" s="104" t="n">
        <f aca="false">Z19+X20*(26300/37500)*1.9835</f>
        <v>10314.284058006</v>
      </c>
      <c r="AA20" s="104" t="n">
        <f aca="false">AA19+1.95</f>
        <v>-4035.05</v>
      </c>
      <c r="AB20" s="104" t="n">
        <f aca="false">AB19+(X20)*1.9835</f>
        <v>73.4373321025</v>
      </c>
      <c r="AC20" s="94" t="n">
        <f aca="false">AC19+380.89-(AQ19/1.9835)</f>
        <v>1713.83744309159</v>
      </c>
      <c r="AD20" s="93"/>
      <c r="AE20" s="131"/>
      <c r="AF20" s="135" t="n">
        <v>1.7</v>
      </c>
      <c r="AG20" s="136" t="n">
        <v>1.3</v>
      </c>
      <c r="AH20" s="131" t="n">
        <v>48</v>
      </c>
      <c r="AI20" s="79" t="n">
        <f aca="false">AI19-AH20</f>
        <v>15625.2578774893</v>
      </c>
      <c r="AJ20" s="79"/>
      <c r="AK20" s="131" t="n">
        <f aca="false">N20+O20+P20+Q20+R20+S20+T20+W20+AE20+AH20</f>
        <v>201</v>
      </c>
      <c r="AL20" s="131" t="n">
        <f aca="false">IF(L20&lt;0,L20*-1,0)</f>
        <v>0</v>
      </c>
      <c r="AM20" s="372" t="n">
        <f aca="false">AK20+AL20</f>
        <v>201</v>
      </c>
      <c r="AN20" s="373" t="n">
        <f aca="false">AN19+(U20*1.9835)</f>
        <v>14570.652155</v>
      </c>
      <c r="AO20" s="93" t="n">
        <f aca="false">W20</f>
        <v>55.464223</v>
      </c>
      <c r="AP20" s="94" t="n">
        <f aca="false">I20-Q20-R20-W20-AF20</f>
        <v>382.484797</v>
      </c>
      <c r="AQ20" s="358" t="n">
        <f aca="false">29.8*(AC20*1.9835)/E20</f>
        <v>0.756900265526163</v>
      </c>
      <c r="AR20" s="358"/>
      <c r="AS20" s="98"/>
      <c r="AT20" s="12"/>
      <c r="AU20" s="1"/>
      <c r="AV20" s="99" t="n">
        <v>0</v>
      </c>
      <c r="AW20" s="100" t="n">
        <v>62</v>
      </c>
      <c r="AX20" s="100" t="n">
        <v>33</v>
      </c>
      <c r="AY20" s="300"/>
      <c r="AZ20" s="233" t="n">
        <f aca="false">SUM(N20,P20:T20)</f>
        <v>7.235777</v>
      </c>
    </row>
    <row r="21" customFormat="false" ht="12.95" hidden="false" customHeight="true" outlineLevel="0" collapsed="false">
      <c r="A21" s="10" t="n">
        <f aca="false">A20+1</f>
        <v>9</v>
      </c>
      <c r="B21" s="360" t="n">
        <v>6900.88</v>
      </c>
      <c r="C21" s="91" t="n">
        <v>286838</v>
      </c>
      <c r="D21" s="100" t="n">
        <f aca="false">C21-C20</f>
        <v>1000</v>
      </c>
      <c r="E21" s="91" t="n">
        <f aca="false">C21-152000</f>
        <v>134838</v>
      </c>
      <c r="F21" s="370" t="n">
        <f aca="false">D21/$D$2</f>
        <v>504.159314343332</v>
      </c>
      <c r="G21" s="131" t="n">
        <v>535</v>
      </c>
      <c r="H21" s="131" t="n">
        <v>105</v>
      </c>
      <c r="I21" s="131" t="n">
        <f aca="false">G21+H21</f>
        <v>640</v>
      </c>
      <c r="J21" s="371" t="n">
        <f aca="false">IF(L21&gt;0,L21,0)</f>
        <v>57.1593143433325</v>
      </c>
      <c r="K21" s="131" t="n">
        <f aca="false">I21+J21</f>
        <v>697.159314343332</v>
      </c>
      <c r="L21" s="131" t="n">
        <f aca="false">F21-(I21-AK21)</f>
        <v>57.1593143433325</v>
      </c>
      <c r="M21" s="135" t="n">
        <v>114</v>
      </c>
      <c r="N21" s="199" t="n">
        <f aca="false">1.8299*1.03</f>
        <v>1.884797</v>
      </c>
      <c r="O21" s="372" t="n">
        <f aca="false">(43+42)*1.05</f>
        <v>89.25</v>
      </c>
      <c r="P21" s="312" t="n">
        <v>0</v>
      </c>
      <c r="Q21" s="340" t="n">
        <f aca="false">1.599*1.02</f>
        <v>1.63098</v>
      </c>
      <c r="R21" s="340" t="n">
        <v>3.57</v>
      </c>
      <c r="S21" s="129" t="n">
        <v>0</v>
      </c>
      <c r="T21" s="356" t="n">
        <v>0</v>
      </c>
      <c r="U21" s="131" t="n">
        <v>21</v>
      </c>
      <c r="V21" s="131" t="n">
        <v>10</v>
      </c>
      <c r="W21" s="132" t="n">
        <f aca="false">M21-N21-O21-P21-Q21-R21-S21-T21+U21+V21</f>
        <v>48.664223</v>
      </c>
      <c r="X21" s="132" t="n">
        <f aca="false">W21-AO21</f>
        <v>0</v>
      </c>
      <c r="Y21" s="134" t="n">
        <f aca="false">Y20+(X21*1.9835)</f>
        <v>14706.6787899325</v>
      </c>
      <c r="Z21" s="104" t="n">
        <f aca="false">Z20+X21*(26300/37500)*1.9835</f>
        <v>10314.284058006</v>
      </c>
      <c r="AA21" s="104" t="n">
        <f aca="false">AA20+AP21</f>
        <v>-3450.615203</v>
      </c>
      <c r="AB21" s="104" t="n">
        <f aca="false">AB20+(X211)*1.9835</f>
        <v>73.4373321025</v>
      </c>
      <c r="AC21" s="94" t="n">
        <f aca="false">AC20-(AQ20/1.9835)</f>
        <v>1713.4558447727</v>
      </c>
      <c r="AD21" s="93"/>
      <c r="AE21" s="131"/>
      <c r="AF21" s="135" t="n">
        <v>1.7</v>
      </c>
      <c r="AG21" s="136" t="n">
        <v>1.3</v>
      </c>
      <c r="AH21" s="131" t="n">
        <v>48</v>
      </c>
      <c r="AI21" s="79" t="n">
        <f aca="false">AI20-AH21</f>
        <v>15577.2578774893</v>
      </c>
      <c r="AJ21" s="79"/>
      <c r="AK21" s="131" t="n">
        <f aca="false">N21+O21+P21+Q21+R21+S21+T21+W21+AE21+AH21</f>
        <v>193</v>
      </c>
      <c r="AL21" s="131" t="n">
        <f aca="false">IF(L21&lt;0,L21*-1,0)</f>
        <v>0</v>
      </c>
      <c r="AM21" s="372" t="n">
        <f aca="false">AK21+AL21</f>
        <v>193</v>
      </c>
      <c r="AN21" s="373" t="n">
        <f aca="false">AN20</f>
        <v>14570.652155</v>
      </c>
      <c r="AO21" s="93" t="n">
        <f aca="false">W21</f>
        <v>48.664223</v>
      </c>
      <c r="AP21" s="94" t="n">
        <f aca="false">I21-Q21-R21-W21-AF21</f>
        <v>584.434797</v>
      </c>
      <c r="AQ21" s="358" t="n">
        <f aca="false">29.8*(AC21*1.9835)/E21</f>
        <v>0.751119581346341</v>
      </c>
      <c r="AR21" s="358"/>
      <c r="AS21" s="98"/>
      <c r="AT21" s="12"/>
      <c r="AU21" s="1"/>
      <c r="AV21" s="99" t="n">
        <v>0</v>
      </c>
      <c r="AW21" s="139" t="n">
        <v>54</v>
      </c>
      <c r="AX21" s="100" t="n">
        <v>28</v>
      </c>
      <c r="AY21" s="300"/>
      <c r="AZ21" s="233" t="n">
        <f aca="false">SUM(N21,P21:T21)</f>
        <v>7.085777</v>
      </c>
    </row>
    <row r="22" customFormat="false" ht="12.95" hidden="false" customHeight="true" outlineLevel="0" collapsed="false">
      <c r="A22" s="10" t="n">
        <f aca="false">A21+1</f>
        <v>10</v>
      </c>
      <c r="B22" s="360" t="n">
        <v>6901.12</v>
      </c>
      <c r="C22" s="91" t="n">
        <v>287730</v>
      </c>
      <c r="D22" s="100" t="n">
        <f aca="false">C22-C21</f>
        <v>892</v>
      </c>
      <c r="E22" s="91" t="n">
        <f aca="false">C22-152000</f>
        <v>135730</v>
      </c>
      <c r="F22" s="370" t="n">
        <f aca="false">D22/$D$2</f>
        <v>449.710108394253</v>
      </c>
      <c r="G22" s="131" t="n">
        <v>462</v>
      </c>
      <c r="H22" s="131" t="n">
        <v>70</v>
      </c>
      <c r="I22" s="131" t="n">
        <f aca="false">G22+H22</f>
        <v>532</v>
      </c>
      <c r="J22" s="371" t="n">
        <f aca="false">IF(L22&gt;0,L22,0)</f>
        <v>135.710108394253</v>
      </c>
      <c r="K22" s="131" t="n">
        <f aca="false">I22+J22</f>
        <v>667.710108394253</v>
      </c>
      <c r="L22" s="131" t="n">
        <f aca="false">F22-(I22-AK22)</f>
        <v>135.710108394253</v>
      </c>
      <c r="M22" s="135" t="n">
        <v>139</v>
      </c>
      <c r="N22" s="199" t="n">
        <f aca="false">1.8299*1.03</f>
        <v>1.884797</v>
      </c>
      <c r="O22" s="372" t="n">
        <f aca="false">(51+42)*1.05</f>
        <v>97.65</v>
      </c>
      <c r="P22" s="312" t="n">
        <v>0</v>
      </c>
      <c r="Q22" s="340" t="n">
        <f aca="false">1.599*1.02</f>
        <v>1.63098</v>
      </c>
      <c r="R22" s="340" t="n">
        <v>2.63</v>
      </c>
      <c r="S22" s="129" t="n">
        <v>0</v>
      </c>
      <c r="T22" s="356" t="n">
        <v>0</v>
      </c>
      <c r="U22" s="131" t="n">
        <v>21</v>
      </c>
      <c r="V22" s="131" t="n">
        <v>10</v>
      </c>
      <c r="W22" s="132" t="n">
        <f aca="false">M22-N22-O22-P22-Q22-R22-S22-T22+U22+V22</f>
        <v>66.204223</v>
      </c>
      <c r="X22" s="132" t="n">
        <f aca="false">W22-AO22</f>
        <v>0</v>
      </c>
      <c r="Y22" s="134" t="n">
        <f aca="false">Y21+(X22*1.9835)</f>
        <v>14706.6787899325</v>
      </c>
      <c r="Z22" s="104" t="n">
        <f aca="false">Z21+X22*(26300/37500)*1.9835</f>
        <v>10314.284058006</v>
      </c>
      <c r="AA22" s="104" t="n">
        <f aca="false">AA21+AP22</f>
        <v>-2990.780406</v>
      </c>
      <c r="AB22" s="104" t="n">
        <f aca="false">AB21+(X212)*1.9835</f>
        <v>73.4373321025</v>
      </c>
      <c r="AC22" s="94" t="n">
        <f aca="false">AC21-(AQ21/1.9835)</f>
        <v>1713.07716083957</v>
      </c>
      <c r="AD22" s="93"/>
      <c r="AE22" s="131"/>
      <c r="AF22" s="135" t="n">
        <v>1.7</v>
      </c>
      <c r="AG22" s="136" t="n">
        <v>1.3</v>
      </c>
      <c r="AH22" s="131" t="n">
        <v>48</v>
      </c>
      <c r="AI22" s="79" t="n">
        <f aca="false">AI21-AH22</f>
        <v>15529.2578774893</v>
      </c>
      <c r="AJ22" s="79"/>
      <c r="AK22" s="131" t="n">
        <f aca="false">N22+O22+P22+Q22+R22+S22+T22+W22+AE22+AH22</f>
        <v>218</v>
      </c>
      <c r="AL22" s="131" t="n">
        <f aca="false">IF(L22&lt;0,L22*-1,0)</f>
        <v>0</v>
      </c>
      <c r="AM22" s="372" t="n">
        <f aca="false">AK22+AL22</f>
        <v>218</v>
      </c>
      <c r="AN22" s="373" t="n">
        <f aca="false">AN21</f>
        <v>14570.652155</v>
      </c>
      <c r="AO22" s="93" t="n">
        <f aca="false">W22</f>
        <v>66.204223</v>
      </c>
      <c r="AP22" s="94" t="n">
        <f aca="false">I22-Q22-R22-W22-AF22</f>
        <v>459.834797</v>
      </c>
      <c r="AQ22" s="358" t="n">
        <f aca="false">29.8*(AC22*1.9835)/E22</f>
        <v>0.746018409681381</v>
      </c>
      <c r="AR22" s="358"/>
      <c r="AS22" s="98"/>
      <c r="AT22" s="12"/>
      <c r="AU22" s="1"/>
      <c r="AV22" s="99" t="n">
        <v>0</v>
      </c>
      <c r="AW22" s="100" t="n">
        <v>59</v>
      </c>
      <c r="AX22" s="100" t="n">
        <v>33</v>
      </c>
      <c r="AY22" s="300"/>
      <c r="AZ22" s="233" t="n">
        <f aca="false">SUM(N22,P22:T22)</f>
        <v>6.145777</v>
      </c>
    </row>
    <row r="23" customFormat="false" ht="12.95" hidden="false" customHeight="true" outlineLevel="0" collapsed="false">
      <c r="A23" s="10" t="n">
        <f aca="false">A22+1</f>
        <v>11</v>
      </c>
      <c r="B23" s="360" t="n">
        <v>6901.49</v>
      </c>
      <c r="C23" s="91" t="n">
        <v>289111</v>
      </c>
      <c r="D23" s="100" t="n">
        <f aca="false">C23-C22</f>
        <v>1381</v>
      </c>
      <c r="E23" s="91" t="n">
        <f aca="false">C23-152000</f>
        <v>137111</v>
      </c>
      <c r="F23" s="370" t="n">
        <f aca="false">D23/$D$2</f>
        <v>696.244013108142</v>
      </c>
      <c r="G23" s="131" t="n">
        <v>586</v>
      </c>
      <c r="H23" s="131" t="n">
        <v>96</v>
      </c>
      <c r="I23" s="131" t="n">
        <f aca="false">G23+H23</f>
        <v>682</v>
      </c>
      <c r="J23" s="371" t="n">
        <f aca="false">IF(L23&gt;0,L23,0)</f>
        <v>205.244013108142</v>
      </c>
      <c r="K23" s="131" t="n">
        <f aca="false">I23+J23</f>
        <v>887.244013108142</v>
      </c>
      <c r="L23" s="131" t="n">
        <f aca="false">F23-(I23-AK23)</f>
        <v>205.244013108142</v>
      </c>
      <c r="M23" s="135" t="n">
        <v>111</v>
      </c>
      <c r="N23" s="199" t="n">
        <f aca="false">1.8299*1.03</f>
        <v>1.884797</v>
      </c>
      <c r="O23" s="372" t="n">
        <f aca="false">(47+43)*1.05</f>
        <v>94.5</v>
      </c>
      <c r="P23" s="312" t="n">
        <v>0</v>
      </c>
      <c r="Q23" s="340" t="n">
        <f aca="false">1.599*1.02</f>
        <v>1.63098</v>
      </c>
      <c r="R23" s="340" t="n">
        <v>2.4</v>
      </c>
      <c r="S23" s="129" t="n">
        <v>0</v>
      </c>
      <c r="T23" s="356" t="n">
        <v>0</v>
      </c>
      <c r="U23" s="131" t="n">
        <v>21</v>
      </c>
      <c r="V23" s="131" t="n">
        <v>10</v>
      </c>
      <c r="W23" s="132" t="n">
        <f aca="false">M23-N23-O23-P23-Q23-R23-S23-T23+U23+V23</f>
        <v>41.584223</v>
      </c>
      <c r="X23" s="132" t="n">
        <f aca="false">W23-AO23</f>
        <v>0</v>
      </c>
      <c r="Y23" s="134" t="n">
        <f aca="false">Y22+(X23*1.9835)</f>
        <v>14706.6787899325</v>
      </c>
      <c r="Z23" s="104" t="n">
        <f aca="false">Z22+X23*(26300/37500)*1.9835</f>
        <v>10314.284058006</v>
      </c>
      <c r="AA23" s="104" t="n">
        <f aca="false">AA22+AP23</f>
        <v>-2356.095609</v>
      </c>
      <c r="AB23" s="104" t="n">
        <f aca="false">AB22+(X213)*1.9835</f>
        <v>73.4373321025</v>
      </c>
      <c r="AC23" s="94" t="n">
        <f aca="false">AC22-(AQ22/1.9835)</f>
        <v>1712.70104870966</v>
      </c>
      <c r="AD23" s="93"/>
      <c r="AE23" s="131"/>
      <c r="AF23" s="135" t="n">
        <v>1.7</v>
      </c>
      <c r="AG23" s="136" t="n">
        <v>1.3</v>
      </c>
      <c r="AH23" s="131" t="n">
        <v>49</v>
      </c>
      <c r="AI23" s="79" t="n">
        <f aca="false">AI22-AH23</f>
        <v>15480.2578774893</v>
      </c>
      <c r="AJ23" s="79"/>
      <c r="AK23" s="131" t="n">
        <f aca="false">N23+O23+P23+Q23+R23+S23+T23+W23+AE23+AH23</f>
        <v>191</v>
      </c>
      <c r="AL23" s="131" t="n">
        <f aca="false">IF(L23&lt;0,L23*-1,0)</f>
        <v>0</v>
      </c>
      <c r="AM23" s="372" t="n">
        <f aca="false">AK23+AL23</f>
        <v>191</v>
      </c>
      <c r="AN23" s="373" t="n">
        <f aca="false">AN22</f>
        <v>14570.652155</v>
      </c>
      <c r="AO23" s="93" t="n">
        <f aca="false">W23</f>
        <v>41.584223</v>
      </c>
      <c r="AP23" s="94" t="n">
        <f aca="false">I23-Q23-R23-W23-AF23</f>
        <v>634.684797</v>
      </c>
      <c r="AQ23" s="358" t="n">
        <f aca="false">29.8*(AC23*1.9835)/E23</f>
        <v>0.738342273030211</v>
      </c>
      <c r="AR23" s="358"/>
      <c r="AS23" s="98"/>
      <c r="AT23" s="12"/>
      <c r="AU23" s="1"/>
      <c r="AV23" s="99" t="n">
        <v>0.54</v>
      </c>
      <c r="AW23" s="100" t="n">
        <v>51</v>
      </c>
      <c r="AX23" s="100" t="n">
        <v>32</v>
      </c>
      <c r="AY23" s="300"/>
      <c r="AZ23" s="233" t="n">
        <f aca="false">SUM(N23,P23:T23)</f>
        <v>5.915777</v>
      </c>
    </row>
    <row r="24" customFormat="false" ht="12.95" hidden="false" customHeight="true" outlineLevel="0" collapsed="false">
      <c r="A24" s="10" t="n">
        <f aca="false">A23+1</f>
        <v>12</v>
      </c>
      <c r="B24" s="360" t="n">
        <v>6901.76</v>
      </c>
      <c r="C24" s="91" t="n">
        <v>290119</v>
      </c>
      <c r="D24" s="100" t="n">
        <f aca="false">C24-C23</f>
        <v>1008</v>
      </c>
      <c r="E24" s="91" t="n">
        <f aca="false">C24-152000</f>
        <v>138119</v>
      </c>
      <c r="F24" s="370" t="n">
        <f aca="false">D24/$D$2</f>
        <v>508.192588858079</v>
      </c>
      <c r="G24" s="131" t="n">
        <v>485</v>
      </c>
      <c r="H24" s="131" t="n">
        <v>78</v>
      </c>
      <c r="I24" s="131" t="n">
        <f aca="false">G24+H24</f>
        <v>563</v>
      </c>
      <c r="J24" s="371" t="n">
        <f aca="false">IF(L24&gt;0,L24,0)</f>
        <v>130.192588858079</v>
      </c>
      <c r="K24" s="131" t="n">
        <f aca="false">I24+J24</f>
        <v>693.192588858079</v>
      </c>
      <c r="L24" s="131" t="n">
        <f aca="false">F24-(I24-AK24)</f>
        <v>130.192588858079</v>
      </c>
      <c r="M24" s="135" t="n">
        <v>106</v>
      </c>
      <c r="N24" s="199" t="n">
        <f aca="false">1.8299*1.03</f>
        <v>1.884797</v>
      </c>
      <c r="O24" s="372" t="n">
        <f aca="false">(42+42)*1.05</f>
        <v>88.2</v>
      </c>
      <c r="P24" s="312" t="n">
        <v>0</v>
      </c>
      <c r="Q24" s="340" t="n">
        <f aca="false">1.599*1.02</f>
        <v>1.63098</v>
      </c>
      <c r="R24" s="340" t="n">
        <v>2.55</v>
      </c>
      <c r="S24" s="129" t="n">
        <v>0</v>
      </c>
      <c r="T24" s="356" t="n">
        <v>0</v>
      </c>
      <c r="U24" s="131" t="n">
        <v>21</v>
      </c>
      <c r="V24" s="131" t="n">
        <v>10</v>
      </c>
      <c r="W24" s="132" t="n">
        <f aca="false">M24-N24-O24-P24-Q24-R24-S24-T24+U24+V24</f>
        <v>42.734223</v>
      </c>
      <c r="X24" s="132" t="n">
        <f aca="false">W24-AO24</f>
        <v>0</v>
      </c>
      <c r="Y24" s="134" t="n">
        <f aca="false">Y23+(X24*1.9835)</f>
        <v>14706.6787899325</v>
      </c>
      <c r="Z24" s="104" t="n">
        <f aca="false">Z23+X24*(26300/37500)*1.9835</f>
        <v>10314.284058006</v>
      </c>
      <c r="AA24" s="104" t="n">
        <f aca="false">AA23+AP24</f>
        <v>-1841.710812</v>
      </c>
      <c r="AB24" s="104" t="n">
        <f aca="false">AB23+(X214)*1.9835</f>
        <v>73.4373321025</v>
      </c>
      <c r="AC24" s="94" t="n">
        <f aca="false">AC23-(AQ23/1.9835)</f>
        <v>1712.32880657554</v>
      </c>
      <c r="AD24" s="93"/>
      <c r="AE24" s="131"/>
      <c r="AF24" s="135" t="n">
        <v>1.7</v>
      </c>
      <c r="AG24" s="136" t="n">
        <v>1.3</v>
      </c>
      <c r="AH24" s="131" t="n">
        <v>48</v>
      </c>
      <c r="AI24" s="79" t="n">
        <f aca="false">AI23-AH24</f>
        <v>15432.2578774893</v>
      </c>
      <c r="AJ24" s="79"/>
      <c r="AK24" s="131" t="n">
        <f aca="false">N24+O24+P24+Q24+R24+S24+T24+W24+AE24+AH24</f>
        <v>185</v>
      </c>
      <c r="AL24" s="131" t="n">
        <f aca="false">IF(L24&lt;0,L24*-1,0)</f>
        <v>0</v>
      </c>
      <c r="AM24" s="372" t="n">
        <f aca="false">AK24+AL24</f>
        <v>185</v>
      </c>
      <c r="AN24" s="373" t="n">
        <f aca="false">AN23</f>
        <v>14570.652155</v>
      </c>
      <c r="AO24" s="93" t="n">
        <f aca="false">W24</f>
        <v>42.734223</v>
      </c>
      <c r="AP24" s="94" t="n">
        <f aca="false">I24-Q24-R24-W24-AF24</f>
        <v>514.384797</v>
      </c>
      <c r="AQ24" s="358" t="n">
        <f aca="false">29.8*(AC24*1.9835)/E24</f>
        <v>0.73279450906616</v>
      </c>
      <c r="AR24" s="358"/>
      <c r="AS24" s="98"/>
      <c r="AT24" s="12"/>
      <c r="AU24" s="1"/>
      <c r="AV24" s="99" t="n">
        <v>0</v>
      </c>
      <c r="AW24" s="100" t="n">
        <v>52</v>
      </c>
      <c r="AX24" s="100" t="n">
        <v>32</v>
      </c>
      <c r="AY24" s="300"/>
      <c r="AZ24" s="233" t="n">
        <f aca="false">SUM(N24,P24:T24)</f>
        <v>6.065777</v>
      </c>
    </row>
    <row r="25" customFormat="false" ht="12.95" hidden="false" customHeight="true" outlineLevel="0" collapsed="false">
      <c r="A25" s="10" t="n">
        <f aca="false">A24+1</f>
        <v>13</v>
      </c>
      <c r="B25" s="360" t="n">
        <v>6902.07</v>
      </c>
      <c r="C25" s="91" t="n">
        <v>291278</v>
      </c>
      <c r="D25" s="100" t="n">
        <f aca="false">C25-C24</f>
        <v>1159</v>
      </c>
      <c r="E25" s="91" t="n">
        <f aca="false">C25-152000</f>
        <v>139278</v>
      </c>
      <c r="F25" s="370" t="n">
        <f aca="false">D25/$D$2</f>
        <v>584.320645323922</v>
      </c>
      <c r="G25" s="131" t="n">
        <v>469</v>
      </c>
      <c r="H25" s="131" t="n">
        <v>113</v>
      </c>
      <c r="I25" s="131" t="n">
        <f aca="false">G25+H25</f>
        <v>582</v>
      </c>
      <c r="J25" s="371" t="n">
        <f aca="false">IF(L25&gt;0,L25,0)</f>
        <v>178.320645323922</v>
      </c>
      <c r="K25" s="131" t="n">
        <f aca="false">I25+J25</f>
        <v>760.320645323922</v>
      </c>
      <c r="L25" s="131" t="n">
        <f aca="false">F25-(I25-AK25)</f>
        <v>178.320645323922</v>
      </c>
      <c r="M25" s="135" t="n">
        <v>96</v>
      </c>
      <c r="N25" s="199" t="n">
        <f aca="false">1.8299*1.03</f>
        <v>1.884797</v>
      </c>
      <c r="O25" s="372" t="n">
        <f aca="false">(36+36)*1.05</f>
        <v>75.6</v>
      </c>
      <c r="P25" s="312" t="n">
        <v>0</v>
      </c>
      <c r="Q25" s="340" t="n">
        <f aca="false">1.599*1.02</f>
        <v>1.63098</v>
      </c>
      <c r="R25" s="340" t="n">
        <v>2.73</v>
      </c>
      <c r="S25" s="129" t="n">
        <v>0</v>
      </c>
      <c r="T25" s="356" t="n">
        <v>0</v>
      </c>
      <c r="U25" s="131" t="n">
        <v>21</v>
      </c>
      <c r="V25" s="131" t="n">
        <v>11</v>
      </c>
      <c r="W25" s="132" t="n">
        <f aca="false">M25-N25-O25-P25-Q25-R25-S25-T25+U25+V25</f>
        <v>46.154223</v>
      </c>
      <c r="X25" s="132" t="n">
        <f aca="false">W25-AO25</f>
        <v>0</v>
      </c>
      <c r="Y25" s="134" t="n">
        <f aca="false">Y24+(X25*1.9835)</f>
        <v>14706.6787899325</v>
      </c>
      <c r="Z25" s="104" t="n">
        <f aca="false">Z24+X25*(26300/37500)*1.9835</f>
        <v>10314.284058006</v>
      </c>
      <c r="AA25" s="104" t="n">
        <f aca="false">AA24+AP25</f>
        <v>-1311.926015</v>
      </c>
      <c r="AB25" s="104" t="n">
        <f aca="false">AB24+(X215)*1.9835</f>
        <v>73.4373321025</v>
      </c>
      <c r="AC25" s="94" t="n">
        <f aca="false">AC24-(AQ24/1.9835)</f>
        <v>1711.95936139829</v>
      </c>
      <c r="AD25" s="93"/>
      <c r="AE25" s="131"/>
      <c r="AF25" s="135" t="n">
        <v>1.7</v>
      </c>
      <c r="AG25" s="136" t="n">
        <v>1.3</v>
      </c>
      <c r="AH25" s="131" t="n">
        <v>48</v>
      </c>
      <c r="AI25" s="79" t="n">
        <f aca="false">AI24-AH25</f>
        <v>15384.2578774893</v>
      </c>
      <c r="AJ25" s="79"/>
      <c r="AK25" s="131" t="n">
        <f aca="false">N25+O25+P25+Q25+R25+S25+T25+W25+AE25+AH25</f>
        <v>176</v>
      </c>
      <c r="AL25" s="131" t="n">
        <f aca="false">IF(L25&lt;0,L25*-1,0)</f>
        <v>0</v>
      </c>
      <c r="AM25" s="372" t="n">
        <f aca="false">AK25+AL25</f>
        <v>176</v>
      </c>
      <c r="AN25" s="373" t="n">
        <f aca="false">AN24</f>
        <v>14570.652155</v>
      </c>
      <c r="AO25" s="93" t="n">
        <f aca="false">W25</f>
        <v>46.154223</v>
      </c>
      <c r="AP25" s="94" t="n">
        <f aca="false">I25-Q25-R25-W25-AF25</f>
        <v>529.784797</v>
      </c>
      <c r="AQ25" s="358" t="n">
        <f aca="false">29.8*(AC25*1.9835)/E25</f>
        <v>0.726539780305137</v>
      </c>
      <c r="AR25" s="358"/>
      <c r="AS25" s="98"/>
      <c r="AT25" s="12"/>
      <c r="AU25" s="1"/>
      <c r="AV25" s="99" t="n">
        <v>0</v>
      </c>
      <c r="AW25" s="100" t="n">
        <v>60</v>
      </c>
      <c r="AX25" s="100" t="n">
        <v>31</v>
      </c>
      <c r="AY25" s="300"/>
      <c r="AZ25" s="233" t="n">
        <f aca="false">SUM(N25,P25:T25)</f>
        <v>6.245777</v>
      </c>
    </row>
    <row r="26" customFormat="false" ht="12.95" hidden="false" customHeight="true" outlineLevel="0" collapsed="false">
      <c r="A26" s="10" t="n">
        <f aca="false">A25+1</f>
        <v>14</v>
      </c>
      <c r="B26" s="360" t="n">
        <v>6902.44</v>
      </c>
      <c r="C26" s="91" t="n">
        <v>292670</v>
      </c>
      <c r="D26" s="100" t="n">
        <f aca="false">C26-C25</f>
        <v>1392</v>
      </c>
      <c r="E26" s="91" t="n">
        <f aca="false">C26-152000</f>
        <v>140670</v>
      </c>
      <c r="F26" s="370" t="n">
        <f aca="false">D26/$D$2</f>
        <v>701.789765565919</v>
      </c>
      <c r="G26" s="131" t="n">
        <v>530</v>
      </c>
      <c r="H26" s="131" t="n">
        <v>131</v>
      </c>
      <c r="I26" s="131" t="n">
        <f aca="false">G26+H26</f>
        <v>661</v>
      </c>
      <c r="J26" s="371" t="n">
        <f aca="false">IF(L26&gt;0,L26,0)</f>
        <v>241.789765565919</v>
      </c>
      <c r="K26" s="131" t="n">
        <f aca="false">I26+J26</f>
        <v>902.789765565919</v>
      </c>
      <c r="L26" s="131" t="n">
        <f aca="false">F26-(I26-AK26)</f>
        <v>241.789765565919</v>
      </c>
      <c r="M26" s="135" t="n">
        <v>122</v>
      </c>
      <c r="N26" s="199" t="n">
        <f aca="false">1.8299*1.03</f>
        <v>1.884797</v>
      </c>
      <c r="O26" s="372" t="n">
        <f aca="false">(47+45)*1.05</f>
        <v>96.6</v>
      </c>
      <c r="P26" s="312" t="n">
        <v>0</v>
      </c>
      <c r="Q26" s="340" t="n">
        <f aca="false">1.599*1.02</f>
        <v>1.63098</v>
      </c>
      <c r="R26" s="340" t="n">
        <v>2.64</v>
      </c>
      <c r="S26" s="129" t="n">
        <v>0</v>
      </c>
      <c r="T26" s="356" t="n">
        <v>0</v>
      </c>
      <c r="U26" s="131" t="n">
        <v>21</v>
      </c>
      <c r="V26" s="131" t="n">
        <v>10</v>
      </c>
      <c r="W26" s="132" t="n">
        <f aca="false">M26-N26-O26-P26-Q26-R26-S26-T26+U26+V26</f>
        <v>50.244223</v>
      </c>
      <c r="X26" s="132" t="n">
        <f aca="false">W26-AO26</f>
        <v>0</v>
      </c>
      <c r="Y26" s="134" t="n">
        <f aca="false">Y25+(X26*1.9835)</f>
        <v>14706.6787899325</v>
      </c>
      <c r="Z26" s="104" t="n">
        <f aca="false">Z25+X26*(26300/37500)*1.9835</f>
        <v>10314.284058006</v>
      </c>
      <c r="AA26" s="104" t="n">
        <f aca="false">AA25+AP26</f>
        <v>-707.141218000001</v>
      </c>
      <c r="AB26" s="104" t="n">
        <f aca="false">AB25+(X216)*1.9835</f>
        <v>73.4373321025</v>
      </c>
      <c r="AC26" s="94" t="n">
        <f aca="false">AC25-(AQ25/1.9835)</f>
        <v>1711.59306960081</v>
      </c>
      <c r="AD26" s="93"/>
      <c r="AE26" s="131"/>
      <c r="AF26" s="135" t="n">
        <v>1.7</v>
      </c>
      <c r="AG26" s="136" t="n">
        <v>1.3</v>
      </c>
      <c r="AH26" s="131" t="n">
        <v>48</v>
      </c>
      <c r="AI26" s="79" t="n">
        <f aca="false">AI25-AH26</f>
        <v>15336.2578774893</v>
      </c>
      <c r="AJ26" s="79"/>
      <c r="AK26" s="131" t="n">
        <f aca="false">N26+O26+P26+Q26+R26+S26+T26+W26+AE26+AH26</f>
        <v>201</v>
      </c>
      <c r="AL26" s="131" t="n">
        <f aca="false">IF(L26&lt;0,L26*-1,0)</f>
        <v>0</v>
      </c>
      <c r="AM26" s="372" t="n">
        <f aca="false">AK26+AL26</f>
        <v>201</v>
      </c>
      <c r="AN26" s="373" t="n">
        <f aca="false">AN25</f>
        <v>14570.652155</v>
      </c>
      <c r="AO26" s="93" t="n">
        <f aca="false">W26</f>
        <v>50.244223</v>
      </c>
      <c r="AP26" s="94" t="n">
        <f aca="false">I26-Q26-R26-W26-AF26</f>
        <v>604.784797</v>
      </c>
      <c r="AQ26" s="358" t="n">
        <f aca="false">29.8*(AC26*1.9835)/E26</f>
        <v>0.719196393231576</v>
      </c>
      <c r="AR26" s="358"/>
      <c r="AS26" s="98"/>
      <c r="AT26" s="12"/>
      <c r="AU26" s="1"/>
      <c r="AV26" s="99" t="n">
        <v>0</v>
      </c>
      <c r="AW26" s="139" t="n">
        <v>61</v>
      </c>
      <c r="AX26" s="100" t="n">
        <v>37</v>
      </c>
      <c r="AY26" s="300"/>
      <c r="AZ26" s="233" t="n">
        <f aca="false">SUM(N26,P26:T26)</f>
        <v>6.155777</v>
      </c>
    </row>
    <row r="27" customFormat="false" ht="12.95" hidden="false" customHeight="true" outlineLevel="0" collapsed="false">
      <c r="A27" s="10" t="n">
        <f aca="false">A26+1</f>
        <v>15</v>
      </c>
      <c r="B27" s="360" t="n">
        <v>6902.75</v>
      </c>
      <c r="C27" s="91" t="n">
        <v>293837</v>
      </c>
      <c r="D27" s="100" t="n">
        <f aca="false">C27-C26</f>
        <v>1167</v>
      </c>
      <c r="E27" s="91" t="n">
        <f aca="false">C27-152000</f>
        <v>141837</v>
      </c>
      <c r="F27" s="370" t="n">
        <f aca="false">D27/$D$2</f>
        <v>588.353919838669</v>
      </c>
      <c r="G27" s="131" t="n">
        <v>519</v>
      </c>
      <c r="H27" s="131" t="n">
        <v>103</v>
      </c>
      <c r="I27" s="131" t="n">
        <f aca="false">G27+H27</f>
        <v>622</v>
      </c>
      <c r="J27" s="371" t="n">
        <f aca="false">IF(L27&gt;0,L27,0)</f>
        <v>149.353919838669</v>
      </c>
      <c r="K27" s="131" t="n">
        <f aca="false">I27+J27</f>
        <v>771.353919838669</v>
      </c>
      <c r="L27" s="131" t="n">
        <f aca="false">F27-(I27-AK27)</f>
        <v>149.353919838669</v>
      </c>
      <c r="M27" s="135" t="n">
        <v>103</v>
      </c>
      <c r="N27" s="199" t="n">
        <f aca="false">1.8299*1.03</f>
        <v>1.884797</v>
      </c>
      <c r="O27" s="372" t="n">
        <f aca="false">(38+37)*1.05</f>
        <v>78.75</v>
      </c>
      <c r="P27" s="312" t="n">
        <v>0</v>
      </c>
      <c r="Q27" s="340" t="n">
        <f aca="false">1.599*1.02</f>
        <v>1.63098</v>
      </c>
      <c r="R27" s="340" t="n">
        <v>2.52</v>
      </c>
      <c r="S27" s="129" t="n">
        <v>0</v>
      </c>
      <c r="T27" s="356" t="n">
        <v>0</v>
      </c>
      <c r="U27" s="131" t="n">
        <v>21</v>
      </c>
      <c r="V27" s="131" t="n">
        <v>11</v>
      </c>
      <c r="W27" s="132" t="n">
        <f aca="false">M27-N27-O27-P27-Q27-R27-S27-T27+U27+V27</f>
        <v>50.214223</v>
      </c>
      <c r="X27" s="132" t="n">
        <f aca="false">W27-AO27</f>
        <v>0</v>
      </c>
      <c r="Y27" s="134" t="n">
        <f aca="false">Y26+(X27*1.9835)</f>
        <v>14706.6787899325</v>
      </c>
      <c r="Z27" s="104" t="n">
        <f aca="false">Z26+X27*(26300/37500)*1.9835</f>
        <v>10314.284058006</v>
      </c>
      <c r="AA27" s="104" t="n">
        <f aca="false">AA26+AP27</f>
        <v>-141.206421000001</v>
      </c>
      <c r="AB27" s="104" t="n">
        <f aca="false">AB26+(X217)*1.9835</f>
        <v>73.4373321025</v>
      </c>
      <c r="AC27" s="94" t="n">
        <f aca="false">AC26-(AQ26/1.9835)</f>
        <v>1711.23048004032</v>
      </c>
      <c r="AD27" s="93"/>
      <c r="AE27" s="131"/>
      <c r="AF27" s="135" t="n">
        <v>1.7</v>
      </c>
      <c r="AG27" s="136" t="n">
        <v>1.3</v>
      </c>
      <c r="AH27" s="131" t="n">
        <v>48</v>
      </c>
      <c r="AI27" s="79" t="n">
        <f aca="false">AI26-AH27</f>
        <v>15288.2578774893</v>
      </c>
      <c r="AJ27" s="79"/>
      <c r="AK27" s="131" t="n">
        <f aca="false">N27+O27+P27+Q27+R27+S27+T27+W27+AE27+AH27</f>
        <v>183</v>
      </c>
      <c r="AL27" s="131" t="n">
        <f aca="false">IF(L27&lt;0,L27*-1,0)</f>
        <v>0</v>
      </c>
      <c r="AM27" s="372" t="n">
        <f aca="false">AK27+AL27</f>
        <v>183</v>
      </c>
      <c r="AN27" s="373" t="n">
        <f aca="false">AN26</f>
        <v>14570.652155</v>
      </c>
      <c r="AO27" s="93" t="n">
        <f aca="false">W27</f>
        <v>50.214223</v>
      </c>
      <c r="AP27" s="94" t="n">
        <f aca="false">I27-Q27-R27-W27-AF27</f>
        <v>565.934797</v>
      </c>
      <c r="AQ27" s="358" t="n">
        <f aca="false">29.8*(AC27*1.9835)/E27</f>
        <v>0.713127918549937</v>
      </c>
      <c r="AR27" s="358"/>
      <c r="AS27" s="98"/>
      <c r="AT27" s="12"/>
      <c r="AU27" s="1"/>
      <c r="AV27" s="99" t="n">
        <v>0</v>
      </c>
      <c r="AW27" s="139" t="n">
        <v>57</v>
      </c>
      <c r="AX27" s="100" t="n">
        <v>27</v>
      </c>
      <c r="AY27" s="300"/>
      <c r="AZ27" s="233" t="n">
        <f aca="false">SUM(N27,P27:T27)</f>
        <v>6.035777</v>
      </c>
    </row>
    <row r="28" customFormat="false" ht="12.95" hidden="false" customHeight="true" outlineLevel="0" collapsed="false">
      <c r="A28" s="10" t="n">
        <f aca="false">A27+1</f>
        <v>16</v>
      </c>
      <c r="B28" s="360" t="n">
        <v>6903.03</v>
      </c>
      <c r="C28" s="91" t="n">
        <v>294891</v>
      </c>
      <c r="D28" s="100" t="n">
        <f aca="false">C28-C27</f>
        <v>1054</v>
      </c>
      <c r="E28" s="91" t="n">
        <f aca="false">C28-152000</f>
        <v>142891</v>
      </c>
      <c r="F28" s="370" t="n">
        <f aca="false">D28/$D$2</f>
        <v>531.383917317872</v>
      </c>
      <c r="G28" s="131" t="n">
        <v>498</v>
      </c>
      <c r="H28" s="131" t="n">
        <v>94</v>
      </c>
      <c r="I28" s="131" t="n">
        <f aca="false">G28+H28</f>
        <v>592</v>
      </c>
      <c r="J28" s="371" t="n">
        <f aca="false">IF(L28&gt;0,L28,0)</f>
        <v>94.3839173178725</v>
      </c>
      <c r="K28" s="131" t="n">
        <f aca="false">I28+J28</f>
        <v>686.383917317873</v>
      </c>
      <c r="L28" s="131" t="n">
        <f aca="false">F28-(I28-AK28)</f>
        <v>94.3839173178725</v>
      </c>
      <c r="M28" s="135" t="n">
        <v>75</v>
      </c>
      <c r="N28" s="199" t="n">
        <f aca="false">1.8299*1.03</f>
        <v>1.884797</v>
      </c>
      <c r="O28" s="372" t="n">
        <f aca="false">(26+25)*1.05</f>
        <v>53.55</v>
      </c>
      <c r="P28" s="312" t="n">
        <v>0</v>
      </c>
      <c r="Q28" s="340" t="n">
        <f aca="false">1.599*1.02</f>
        <v>1.63098</v>
      </c>
      <c r="R28" s="340" t="n">
        <v>2.45</v>
      </c>
      <c r="S28" s="129" t="n">
        <v>0</v>
      </c>
      <c r="T28" s="356" t="n">
        <v>0</v>
      </c>
      <c r="U28" s="131" t="n">
        <v>21</v>
      </c>
      <c r="V28" s="131" t="n">
        <v>11</v>
      </c>
      <c r="W28" s="132" t="n">
        <f aca="false">M28-N28-O28-P28-Q28-R28-S28-T28+U28+V28</f>
        <v>47.484223</v>
      </c>
      <c r="X28" s="132" t="n">
        <f aca="false">W28-AO28</f>
        <v>0</v>
      </c>
      <c r="Y28" s="134" t="n">
        <f aca="false">Y27+(X28*1.9835)</f>
        <v>14706.6787899325</v>
      </c>
      <c r="Z28" s="104" t="n">
        <f aca="false">Z27+X28*(26300/37500)*1.9835</f>
        <v>10314.284058006</v>
      </c>
      <c r="AA28" s="104" t="n">
        <f aca="false">AA27+AP28</f>
        <v>397.528375999999</v>
      </c>
      <c r="AB28" s="104" t="n">
        <f aca="false">AB27+(X28+546)*1.9835</f>
        <v>1156.4283321025</v>
      </c>
      <c r="AC28" s="94" t="n">
        <f aca="false">AC27-(AQ27/1.9835)</f>
        <v>1710.87094995787</v>
      </c>
      <c r="AD28" s="93"/>
      <c r="AE28" s="131"/>
      <c r="AF28" s="135" t="n">
        <v>1.7</v>
      </c>
      <c r="AG28" s="136" t="n">
        <v>1.3</v>
      </c>
      <c r="AH28" s="131" t="n">
        <v>48</v>
      </c>
      <c r="AI28" s="79" t="n">
        <f aca="false">AI27-AH28</f>
        <v>15240.2578774893</v>
      </c>
      <c r="AJ28" s="79"/>
      <c r="AK28" s="131" t="n">
        <f aca="false">N28+O28+P28+Q28+R28+S28+T28+W28+AE28+AH28</f>
        <v>155</v>
      </c>
      <c r="AL28" s="131" t="n">
        <f aca="false">IF(L28&lt;0,L28*-1,0)</f>
        <v>0</v>
      </c>
      <c r="AM28" s="372" t="n">
        <f aca="false">AK28+AL28</f>
        <v>155</v>
      </c>
      <c r="AN28" s="373" t="n">
        <f aca="false">AN27</f>
        <v>14570.652155</v>
      </c>
      <c r="AO28" s="93" t="n">
        <f aca="false">W28</f>
        <v>47.484223</v>
      </c>
      <c r="AP28" s="94" t="n">
        <f aca="false">I28-Q28-R28-W28-AF28</f>
        <v>538.734797</v>
      </c>
      <c r="AQ28" s="358" t="n">
        <f aca="false">29.8*(AA28*1.9835+AC28*1.9835)/E28</f>
        <v>0.872160597088098</v>
      </c>
      <c r="AR28" s="358"/>
      <c r="AS28" s="98"/>
      <c r="AT28" s="12"/>
      <c r="AU28" s="1"/>
      <c r="AV28" s="99" t="n">
        <v>0</v>
      </c>
      <c r="AW28" s="139" t="n">
        <v>41</v>
      </c>
      <c r="AX28" s="100" t="n">
        <v>20</v>
      </c>
      <c r="AY28" s="300"/>
      <c r="AZ28" s="233" t="n">
        <f aca="false">SUM(N28,P28:T28)</f>
        <v>5.965777</v>
      </c>
    </row>
    <row r="29" customFormat="false" ht="12.95" hidden="false" customHeight="true" outlineLevel="0" collapsed="false">
      <c r="A29" s="10" t="n">
        <f aca="false">A28+1</f>
        <v>17</v>
      </c>
      <c r="B29" s="360" t="n">
        <v>6903.25</v>
      </c>
      <c r="C29" s="91" t="n">
        <v>295726</v>
      </c>
      <c r="D29" s="100" t="n">
        <f aca="false">C29-C28</f>
        <v>835</v>
      </c>
      <c r="E29" s="91" t="n">
        <f aca="false">C29-152000</f>
        <v>143726</v>
      </c>
      <c r="F29" s="370" t="n">
        <f aca="false">D29/$D$2</f>
        <v>420.973027476683</v>
      </c>
      <c r="G29" s="131" t="n">
        <v>422</v>
      </c>
      <c r="H29" s="131" t="n">
        <v>67</v>
      </c>
      <c r="I29" s="131" t="n">
        <f aca="false">G29+H29</f>
        <v>489</v>
      </c>
      <c r="J29" s="371" t="n">
        <f aca="false">IF(L29&gt;0,L29,0)</f>
        <v>91.9730274766826</v>
      </c>
      <c r="K29" s="131" t="n">
        <f aca="false">I29+J29</f>
        <v>580.973027476683</v>
      </c>
      <c r="L29" s="131" t="n">
        <f aca="false">F29-(I29-AK29)</f>
        <v>91.9730274766826</v>
      </c>
      <c r="M29" s="135" t="n">
        <v>80</v>
      </c>
      <c r="N29" s="199" t="n">
        <f aca="false">1.8299*1.03</f>
        <v>1.884797</v>
      </c>
      <c r="O29" s="372" t="n">
        <f aca="false">(26+26)*1.05</f>
        <v>54.6</v>
      </c>
      <c r="P29" s="312" t="n">
        <v>0</v>
      </c>
      <c r="Q29" s="340" t="n">
        <f aca="false">1.599*1.02</f>
        <v>1.63098</v>
      </c>
      <c r="R29" s="340" t="n">
        <v>2.55</v>
      </c>
      <c r="S29" s="129" t="n">
        <v>0</v>
      </c>
      <c r="T29" s="356" t="n">
        <v>0</v>
      </c>
      <c r="U29" s="131" t="n">
        <v>21</v>
      </c>
      <c r="V29" s="131" t="n">
        <v>11</v>
      </c>
      <c r="W29" s="132" t="n">
        <f aca="false">M29-N29-O29-P29-Q29-R29-S29-T29+U29+V29</f>
        <v>51.334223</v>
      </c>
      <c r="X29" s="132" t="n">
        <f aca="false">W29-AO29</f>
        <v>0</v>
      </c>
      <c r="Y29" s="134" t="n">
        <f aca="false">Y28+(X29*1.9835)</f>
        <v>14706.6787899325</v>
      </c>
      <c r="Z29" s="104" t="n">
        <f aca="false">Z28+X29*(26300/37500)*1.9835</f>
        <v>10314.284058006</v>
      </c>
      <c r="AA29" s="104" t="n">
        <f aca="false">AA28+AP29</f>
        <v>829.313172999999</v>
      </c>
      <c r="AB29" s="104" t="n">
        <f aca="false">AB28+(X29+AP29)*1.9835</f>
        <v>2012.873476952</v>
      </c>
      <c r="AC29" s="94" t="n">
        <f aca="false">AC28-(AQ28/1.9835)</f>
        <v>1710.43124206924</v>
      </c>
      <c r="AD29" s="93"/>
      <c r="AE29" s="131"/>
      <c r="AF29" s="135" t="n">
        <v>1.7</v>
      </c>
      <c r="AG29" s="136" t="n">
        <v>1.3</v>
      </c>
      <c r="AH29" s="131" t="n">
        <v>48</v>
      </c>
      <c r="AI29" s="79" t="n">
        <f aca="false">AI28-AH29</f>
        <v>15192.2578774893</v>
      </c>
      <c r="AJ29" s="79"/>
      <c r="AK29" s="131" t="n">
        <f aca="false">N29+O29+P29+Q29+R29+S29+T29+W29+AE29+AH29</f>
        <v>160</v>
      </c>
      <c r="AL29" s="131" t="n">
        <f aca="false">IF(L29&lt;0,L29*-1,0)</f>
        <v>0</v>
      </c>
      <c r="AM29" s="372" t="n">
        <f aca="false">AK29+AL29</f>
        <v>160</v>
      </c>
      <c r="AN29" s="373" t="n">
        <f aca="false">AN28</f>
        <v>14570.652155</v>
      </c>
      <c r="AO29" s="93" t="n">
        <f aca="false">W29</f>
        <v>51.334223</v>
      </c>
      <c r="AP29" s="94" t="n">
        <f aca="false">I29-Q29-R29-W29-AF29</f>
        <v>431.784797</v>
      </c>
      <c r="AQ29" s="358" t="n">
        <f aca="false">29.8*(AA29*1.9835+AC29*1.9835)/E29</f>
        <v>1.0444872521968</v>
      </c>
      <c r="AR29" s="358"/>
      <c r="AS29" s="98"/>
      <c r="AT29" s="12"/>
      <c r="AU29" s="1"/>
      <c r="AV29" s="99" t="n">
        <v>0</v>
      </c>
      <c r="AW29" s="139" t="n">
        <v>50</v>
      </c>
      <c r="AX29" s="100" t="n">
        <v>29</v>
      </c>
      <c r="AY29" s="300"/>
      <c r="AZ29" s="233" t="n">
        <f aca="false">SUM(N29,P29:T29)</f>
        <v>6.065777</v>
      </c>
    </row>
    <row r="30" customFormat="false" ht="12.95" hidden="false" customHeight="true" outlineLevel="0" collapsed="false">
      <c r="A30" s="10" t="n">
        <f aca="false">A29+1</f>
        <v>18</v>
      </c>
      <c r="B30" s="360" t="n">
        <v>6903.44</v>
      </c>
      <c r="C30" s="91" t="n">
        <v>296447</v>
      </c>
      <c r="D30" s="100" t="n">
        <f aca="false">C30-C29</f>
        <v>721</v>
      </c>
      <c r="E30" s="91" t="n">
        <f aca="false">C30-152000</f>
        <v>144447</v>
      </c>
      <c r="F30" s="370" t="n">
        <f aca="false">D30/$D$2</f>
        <v>363.498865641543</v>
      </c>
      <c r="G30" s="131" t="n">
        <v>410</v>
      </c>
      <c r="H30" s="131" t="n">
        <v>69</v>
      </c>
      <c r="I30" s="131" t="n">
        <f aca="false">G30+H30</f>
        <v>479</v>
      </c>
      <c r="J30" s="371" t="n">
        <f aca="false">IF(L30&gt;0,L30,0)</f>
        <v>40.4988656415427</v>
      </c>
      <c r="K30" s="131" t="n">
        <f aca="false">I30+J30</f>
        <v>519.498865641543</v>
      </c>
      <c r="L30" s="131" t="n">
        <f aca="false">F30-(I30-AK30)</f>
        <v>40.4988656415427</v>
      </c>
      <c r="M30" s="135" t="n">
        <v>76</v>
      </c>
      <c r="N30" s="199" t="n">
        <f aca="false">1.8299*1.03</f>
        <v>1.884797</v>
      </c>
      <c r="O30" s="372" t="n">
        <f aca="false">(27+27)*1.05</f>
        <v>56.7</v>
      </c>
      <c r="P30" s="312" t="n">
        <v>0</v>
      </c>
      <c r="Q30" s="340" t="n">
        <f aca="false">1.599*1.02</f>
        <v>1.63098</v>
      </c>
      <c r="R30" s="340" t="n">
        <v>2.64</v>
      </c>
      <c r="S30" s="129" t="n">
        <v>0</v>
      </c>
      <c r="T30" s="356" t="n">
        <v>0</v>
      </c>
      <c r="U30" s="131" t="n">
        <v>21</v>
      </c>
      <c r="V30" s="131" t="n">
        <v>11</v>
      </c>
      <c r="W30" s="132" t="n">
        <f aca="false">M30-N30-O30-P30-Q30-R30-S30-T30+U30+V30</f>
        <v>45.144223</v>
      </c>
      <c r="X30" s="132" t="n">
        <f aca="false">W30-AO30</f>
        <v>0</v>
      </c>
      <c r="Y30" s="134" t="n">
        <f aca="false">Y29+(X30*1.9835)</f>
        <v>14706.6787899325</v>
      </c>
      <c r="Z30" s="104" t="n">
        <f aca="false">Z29+X30*(26300/37500)*1.9835</f>
        <v>10314.284058006</v>
      </c>
      <c r="AA30" s="104" t="n">
        <f aca="false">AA29+AP30</f>
        <v>1257.19797</v>
      </c>
      <c r="AB30" s="104" t="n">
        <f aca="false">AB29+(X30+AP30)*1.9835</f>
        <v>2861.5829718015</v>
      </c>
      <c r="AC30" s="94" t="n">
        <f aca="false">AC29-(AQ29/1.9835)</f>
        <v>1709.90465409233</v>
      </c>
      <c r="AD30" s="93"/>
      <c r="AE30" s="131"/>
      <c r="AF30" s="135" t="n">
        <v>1.7</v>
      </c>
      <c r="AG30" s="136" t="n">
        <v>1.3</v>
      </c>
      <c r="AH30" s="131" t="n">
        <v>48</v>
      </c>
      <c r="AI30" s="79" t="n">
        <f aca="false">AI29-AH30</f>
        <v>15144.2578774893</v>
      </c>
      <c r="AJ30" s="79"/>
      <c r="AK30" s="131" t="n">
        <f aca="false">N30+O30+P30+Q30+R30+S30+T30+W30+AE30+AH30</f>
        <v>156</v>
      </c>
      <c r="AL30" s="131" t="n">
        <f aca="false">IF(L30&lt;0,L30*-1,0)</f>
        <v>0</v>
      </c>
      <c r="AM30" s="372" t="n">
        <f aca="false">AK30+AL30</f>
        <v>156</v>
      </c>
      <c r="AN30" s="373" t="n">
        <f aca="false">AN29</f>
        <v>14570.652155</v>
      </c>
      <c r="AO30" s="93" t="n">
        <f aca="false">W30</f>
        <v>45.144223</v>
      </c>
      <c r="AP30" s="94" t="n">
        <f aca="false">I30-Q30-R30-W30-AF30</f>
        <v>427.884797</v>
      </c>
      <c r="AQ30" s="358" t="n">
        <f aca="false">29.8*(AA30*1.9835+AC30*1.9835)/E30</f>
        <v>1.21415046373851</v>
      </c>
      <c r="AR30" s="358"/>
      <c r="AS30" s="98"/>
      <c r="AT30" s="12"/>
      <c r="AU30" s="1"/>
      <c r="AV30" s="99" t="n">
        <v>0</v>
      </c>
      <c r="AW30" s="139" t="n">
        <v>57</v>
      </c>
      <c r="AX30" s="100" t="n">
        <v>31</v>
      </c>
      <c r="AY30" s="300"/>
      <c r="AZ30" s="233" t="n">
        <f aca="false">SUM(N30,P30:T30)</f>
        <v>6.155777</v>
      </c>
    </row>
    <row r="31" customFormat="false" ht="12.95" hidden="false" customHeight="true" outlineLevel="0" collapsed="false">
      <c r="A31" s="10" t="n">
        <f aca="false">A30+1</f>
        <v>19</v>
      </c>
      <c r="B31" s="360" t="n">
        <v>6903.72</v>
      </c>
      <c r="C31" s="91" t="n">
        <v>297509</v>
      </c>
      <c r="D31" s="100" t="n">
        <f aca="false">C31-C30</f>
        <v>1062</v>
      </c>
      <c r="E31" s="91" t="n">
        <f aca="false">C31-152000</f>
        <v>145509</v>
      </c>
      <c r="F31" s="370" t="n">
        <f aca="false">D31/$D$2</f>
        <v>535.417191832619</v>
      </c>
      <c r="G31" s="131" t="n">
        <v>515</v>
      </c>
      <c r="H31" s="131" t="n">
        <v>101</v>
      </c>
      <c r="I31" s="131" t="n">
        <f aca="false">G31+H31</f>
        <v>616</v>
      </c>
      <c r="J31" s="371" t="n">
        <f aca="false">IF(L31&gt;0,L31,0)</f>
        <v>93.4171918326191</v>
      </c>
      <c r="K31" s="131" t="n">
        <f aca="false">I31+J31</f>
        <v>709.417191832619</v>
      </c>
      <c r="L31" s="131" t="n">
        <f aca="false">F31-(I31-AK31)</f>
        <v>93.4171918326191</v>
      </c>
      <c r="M31" s="135" t="n">
        <v>93</v>
      </c>
      <c r="N31" s="199" t="n">
        <f aca="false">1.8299*1.03</f>
        <v>1.884797</v>
      </c>
      <c r="O31" s="372" t="n">
        <f aca="false">(27+28)*1.05</f>
        <v>57.75</v>
      </c>
      <c r="P31" s="312" t="n">
        <v>0</v>
      </c>
      <c r="Q31" s="340" t="n">
        <f aca="false">1.599*1.02</f>
        <v>1.63098</v>
      </c>
      <c r="R31" s="340" t="n">
        <v>2.54</v>
      </c>
      <c r="S31" s="129" t="n">
        <v>0</v>
      </c>
      <c r="T31" s="356" t="n">
        <v>0</v>
      </c>
      <c r="U31" s="131" t="n">
        <v>21</v>
      </c>
      <c r="V31" s="131" t="n">
        <v>11</v>
      </c>
      <c r="W31" s="132" t="n">
        <f aca="false">M31-N31-O31-P31-Q31-R31-S31-T31+U31+V31</f>
        <v>61.194223</v>
      </c>
      <c r="X31" s="132" t="n">
        <f aca="false">W31-AO31</f>
        <v>0</v>
      </c>
      <c r="Y31" s="134" t="n">
        <f aca="false">Y30+(X31*1.9835)</f>
        <v>14706.6787899325</v>
      </c>
      <c r="Z31" s="104" t="n">
        <f aca="false">Z30+X31*(26300/37500)*1.9835</f>
        <v>10314.284058006</v>
      </c>
      <c r="AA31" s="104" t="n">
        <f aca="false">AA30+AP31</f>
        <v>1806.132767</v>
      </c>
      <c r="AB31" s="104" t="n">
        <f aca="false">AB30+(X31+AP31)*1.98351</f>
        <v>3950.40063099897</v>
      </c>
      <c r="AC31" s="94" t="n">
        <f aca="false">AC30-(AQ30/1.9835)</f>
        <v>1709.29252882703</v>
      </c>
      <c r="AD31" s="93"/>
      <c r="AE31" s="131"/>
      <c r="AF31" s="135" t="n">
        <v>1.7</v>
      </c>
      <c r="AG31" s="136" t="n">
        <v>1.3</v>
      </c>
      <c r="AH31" s="131" t="n">
        <v>49</v>
      </c>
      <c r="AI31" s="79" t="n">
        <f aca="false">AI30-AH31</f>
        <v>15095.2578774893</v>
      </c>
      <c r="AJ31" s="79"/>
      <c r="AK31" s="131" t="n">
        <f aca="false">N31+O31+P31+Q31+R31+S31+T31+W31+AE31+AH31</f>
        <v>174</v>
      </c>
      <c r="AL31" s="131" t="n">
        <f aca="false">IF(L31&lt;0,L31*-1,0)</f>
        <v>0</v>
      </c>
      <c r="AM31" s="372" t="n">
        <f aca="false">AK31+AL31</f>
        <v>174</v>
      </c>
      <c r="AN31" s="373" t="n">
        <f aca="false">AN30</f>
        <v>14570.652155</v>
      </c>
      <c r="AO31" s="93" t="n">
        <f aca="false">W31</f>
        <v>61.194223</v>
      </c>
      <c r="AP31" s="94" t="n">
        <f aca="false">I31-Q31-R31-W31-AF31</f>
        <v>548.934797</v>
      </c>
      <c r="AQ31" s="358" t="n">
        <f aca="false">29.8*(AA31*1.9835+AC31*1.9835)/E31</f>
        <v>1.42802722177551</v>
      </c>
      <c r="AR31" s="358"/>
      <c r="AS31" s="98"/>
      <c r="AT31" s="12"/>
      <c r="AU31" s="1"/>
      <c r="AV31" s="99" t="n">
        <v>0</v>
      </c>
      <c r="AW31" s="139" t="n">
        <v>65</v>
      </c>
      <c r="AX31" s="100" t="n">
        <v>35</v>
      </c>
      <c r="AY31" s="300"/>
      <c r="AZ31" s="233" t="n">
        <f aca="false">SUM(N31,P31:T31)</f>
        <v>6.055777</v>
      </c>
    </row>
    <row r="32" customFormat="false" ht="12.95" hidden="false" customHeight="true" outlineLevel="0" collapsed="false">
      <c r="A32" s="10" t="n">
        <f aca="false">A31+1</f>
        <v>20</v>
      </c>
      <c r="B32" s="360" t="n">
        <v>6904.16</v>
      </c>
      <c r="C32" s="91" t="n">
        <v>299183</v>
      </c>
      <c r="D32" s="100" t="n">
        <f aca="false">C32-C31</f>
        <v>1674</v>
      </c>
      <c r="E32" s="91" t="n">
        <f aca="false">C32-152000</f>
        <v>147183</v>
      </c>
      <c r="F32" s="370" t="n">
        <f aca="false">D32/$D$2</f>
        <v>843.962692210739</v>
      </c>
      <c r="G32" s="131" t="n">
        <v>809</v>
      </c>
      <c r="H32" s="131" t="n">
        <v>180</v>
      </c>
      <c r="I32" s="131" t="n">
        <f aca="false">G32+H32</f>
        <v>989</v>
      </c>
      <c r="J32" s="371" t="n">
        <f aca="false">IF(L32&gt;0,L32,0)</f>
        <v>70.9626922107386</v>
      </c>
      <c r="K32" s="131" t="n">
        <f aca="false">I32+J32</f>
        <v>1059.96269221074</v>
      </c>
      <c r="L32" s="131" t="n">
        <f aca="false">F32-(I32-AK32)</f>
        <v>70.9626922107386</v>
      </c>
      <c r="M32" s="135" t="n">
        <v>114</v>
      </c>
      <c r="N32" s="199" t="n">
        <f aca="false">1.8299*1.03</f>
        <v>1.884797</v>
      </c>
      <c r="O32" s="372" t="n">
        <f aca="false">(30+30)*1.05</f>
        <v>63</v>
      </c>
      <c r="P32" s="312" t="n">
        <v>0</v>
      </c>
      <c r="Q32" s="340" t="n">
        <f aca="false">1.599*1.02</f>
        <v>1.63098</v>
      </c>
      <c r="R32" s="340" t="n">
        <v>2.76</v>
      </c>
      <c r="S32" s="129" t="n">
        <v>0</v>
      </c>
      <c r="T32" s="356" t="n">
        <v>0</v>
      </c>
      <c r="U32" s="131" t="n">
        <v>22</v>
      </c>
      <c r="V32" s="131" t="n">
        <v>16</v>
      </c>
      <c r="W32" s="132" t="n">
        <f aca="false">M32-N32-O32-P32-Q32-R32-S32-T32+U32+V32</f>
        <v>82.724223</v>
      </c>
      <c r="X32" s="132" t="n">
        <f aca="false">W32-AO32</f>
        <v>0</v>
      </c>
      <c r="Y32" s="134" t="n">
        <f aca="false">Y31+(X32*1.9835)</f>
        <v>14706.6787899325</v>
      </c>
      <c r="Z32" s="104" t="n">
        <f aca="false">Z31+X32*(26300/37500)*1.9835</f>
        <v>10314.284058006</v>
      </c>
      <c r="AA32" s="104" t="n">
        <f aca="false">AA31+AP32</f>
        <v>2518.408544</v>
      </c>
      <c r="AB32" s="104" t="n">
        <f aca="false">AB31+(X32+AP32)*1.9835</f>
        <v>5363.19963467847</v>
      </c>
      <c r="AC32" s="94" t="n">
        <f aca="false">AC31-(AQ31/1.9835)</f>
        <v>1708.57257560203</v>
      </c>
      <c r="AD32" s="93"/>
      <c r="AE32" s="131" t="n">
        <v>15</v>
      </c>
      <c r="AF32" s="135" t="n">
        <v>1.7</v>
      </c>
      <c r="AG32" s="136" t="n">
        <v>1.3</v>
      </c>
      <c r="AH32" s="131" t="n">
        <v>49</v>
      </c>
      <c r="AI32" s="79" t="n">
        <f aca="false">AI31-AH32</f>
        <v>15046.2578774893</v>
      </c>
      <c r="AJ32" s="79"/>
      <c r="AK32" s="131" t="n">
        <f aca="false">N32+O32+P32+Q32+R32+S32+T32+W32+AE32+AH32</f>
        <v>216</v>
      </c>
      <c r="AL32" s="131" t="n">
        <f aca="false">IF(L32&lt;0,L32*-1,0)</f>
        <v>0</v>
      </c>
      <c r="AM32" s="372" t="n">
        <f aca="false">AK32+AL32</f>
        <v>216</v>
      </c>
      <c r="AN32" s="373" t="n">
        <f aca="false">AN31</f>
        <v>14570.652155</v>
      </c>
      <c r="AO32" s="93" t="n">
        <f aca="false">W32</f>
        <v>82.724223</v>
      </c>
      <c r="AP32" s="94" t="n">
        <f aca="false">795-W32</f>
        <v>712.275777</v>
      </c>
      <c r="AQ32" s="358" t="n">
        <f aca="false">29.8*(AA32*1.9835+AC32*1.9835)/E32</f>
        <v>1.69754433672213</v>
      </c>
      <c r="AR32" s="358"/>
      <c r="AS32" s="98"/>
      <c r="AT32" s="12"/>
      <c r="AU32" s="1"/>
      <c r="AV32" s="99" t="n">
        <v>0</v>
      </c>
      <c r="AW32" s="139" t="n">
        <v>68</v>
      </c>
      <c r="AX32" s="100" t="n">
        <v>36</v>
      </c>
      <c r="AY32" s="300"/>
      <c r="AZ32" s="233" t="n">
        <f aca="false">SUM(N32,P32:T32)</f>
        <v>6.275777</v>
      </c>
    </row>
    <row r="33" customFormat="false" ht="12.95" hidden="false" customHeight="true" outlineLevel="0" collapsed="false">
      <c r="A33" s="10" t="n">
        <f aca="false">A32+1</f>
        <v>21</v>
      </c>
      <c r="B33" s="360" t="n">
        <v>6904.86</v>
      </c>
      <c r="C33" s="91" t="n">
        <v>301860</v>
      </c>
      <c r="D33" s="100" t="n">
        <f aca="false">C33-C32</f>
        <v>2677</v>
      </c>
      <c r="E33" s="91" t="n">
        <f aca="false">C33-152000</f>
        <v>149860</v>
      </c>
      <c r="F33" s="370" t="n">
        <f aca="false">D33/$D$2</f>
        <v>1349.6344844971</v>
      </c>
      <c r="G33" s="131" t="n">
        <v>1230</v>
      </c>
      <c r="H33" s="131" t="n">
        <v>242</v>
      </c>
      <c r="I33" s="131" t="n">
        <f aca="false">G33+H33</f>
        <v>1472</v>
      </c>
      <c r="J33" s="371" t="n">
        <f aca="false">IF(L33&gt;0,L33,0)</f>
        <v>87.6344844971011</v>
      </c>
      <c r="K33" s="131" t="n">
        <f aca="false">I33+J33</f>
        <v>1559.6344844971</v>
      </c>
      <c r="L33" s="131" t="n">
        <f aca="false">F33-(I33-AK33)</f>
        <v>87.6344844971011</v>
      </c>
      <c r="M33" s="135" t="n">
        <v>99</v>
      </c>
      <c r="N33" s="199" t="n">
        <f aca="false">1.8299*1.03</f>
        <v>1.884797</v>
      </c>
      <c r="O33" s="372" t="n">
        <f aca="false">(28+27)*1.05</f>
        <v>57.75</v>
      </c>
      <c r="P33" s="312" t="n">
        <v>0</v>
      </c>
      <c r="Q33" s="340" t="n">
        <f aca="false">1.599*1.02</f>
        <v>1.63098</v>
      </c>
      <c r="R33" s="340" t="n">
        <v>3.74</v>
      </c>
      <c r="S33" s="129" t="n">
        <v>0</v>
      </c>
      <c r="T33" s="356" t="n">
        <v>0</v>
      </c>
      <c r="U33" s="131" t="n">
        <v>20</v>
      </c>
      <c r="V33" s="131" t="n">
        <v>19</v>
      </c>
      <c r="W33" s="132" t="n">
        <f aca="false">M33-N33-O33-P33-Q33-R33-S33-T33+U33+V33</f>
        <v>72.994223</v>
      </c>
      <c r="X33" s="132" t="n">
        <f aca="false">W33-AO33</f>
        <v>66.494223</v>
      </c>
      <c r="Y33" s="134" t="n">
        <f aca="false">Y32+(X33*1.9835)</f>
        <v>14838.570081253</v>
      </c>
      <c r="Z33" s="104" t="n">
        <f aca="false">Z32+X33*(26300/37500)*1.9835</f>
        <v>10406.7838169854</v>
      </c>
      <c r="AA33" s="104" t="n">
        <f aca="false">AA32+AP33</f>
        <v>3240.414321</v>
      </c>
      <c r="AB33" s="104" t="n">
        <f aca="false">AB32+(AP33+X33)*1.9835</f>
        <v>6927.18938467847</v>
      </c>
      <c r="AC33" s="94" t="n">
        <f aca="false">AC32-(AQ32/1.9835)</f>
        <v>1707.71674281316</v>
      </c>
      <c r="AD33" s="93"/>
      <c r="AE33" s="131" t="n">
        <v>23</v>
      </c>
      <c r="AF33" s="135" t="n">
        <v>1.7</v>
      </c>
      <c r="AG33" s="136" t="n">
        <v>1.3</v>
      </c>
      <c r="AH33" s="131" t="n">
        <v>49</v>
      </c>
      <c r="AI33" s="79" t="n">
        <f aca="false">AI32-AH33</f>
        <v>14997.2578774893</v>
      </c>
      <c r="AJ33" s="79"/>
      <c r="AK33" s="131" t="n">
        <f aca="false">N33+O33+P33+Q33+R33+S33+T33+W33+AE33+AH33</f>
        <v>210</v>
      </c>
      <c r="AL33" s="131" t="n">
        <f aca="false">IF(L33&lt;0,L33*-1,0)</f>
        <v>0</v>
      </c>
      <c r="AM33" s="372" t="n">
        <f aca="false">AK33+AL33</f>
        <v>210</v>
      </c>
      <c r="AN33" s="373" t="n">
        <f aca="false">AN32</f>
        <v>14570.652155</v>
      </c>
      <c r="AO33" s="93" t="n">
        <v>6.5</v>
      </c>
      <c r="AP33" s="94" t="n">
        <f aca="false">795-W33</f>
        <v>722.005777</v>
      </c>
      <c r="AQ33" s="358" t="n">
        <f aca="false">29.8*(AA33*1.9835+AC33*1.9835)/E33</f>
        <v>1.95165898411309</v>
      </c>
      <c r="AR33" s="358"/>
      <c r="AS33" s="98"/>
      <c r="AT33" s="12"/>
      <c r="AU33" s="1"/>
      <c r="AV33" s="99" t="n">
        <v>0</v>
      </c>
      <c r="AW33" s="100" t="n">
        <v>71</v>
      </c>
      <c r="AX33" s="100" t="n">
        <v>35</v>
      </c>
      <c r="AY33" s="300"/>
      <c r="AZ33" s="233" t="n">
        <f aca="false">SUM(N33,P33:T33)</f>
        <v>7.255777</v>
      </c>
    </row>
    <row r="34" customFormat="false" ht="12.95" hidden="false" customHeight="true" outlineLevel="0" collapsed="false">
      <c r="A34" s="10" t="n">
        <f aca="false">A33+1</f>
        <v>22</v>
      </c>
      <c r="B34" s="360" t="n">
        <v>6905.74</v>
      </c>
      <c r="C34" s="91" t="n">
        <v>305249</v>
      </c>
      <c r="D34" s="100" t="n">
        <f aca="false">C34-C33</f>
        <v>3389</v>
      </c>
      <c r="E34" s="91" t="n">
        <f aca="false">C34-152000</f>
        <v>153249</v>
      </c>
      <c r="F34" s="370" t="n">
        <f aca="false">D34/$D$2</f>
        <v>1708.59591630955</v>
      </c>
      <c r="G34" s="131" t="n">
        <v>1540</v>
      </c>
      <c r="H34" s="131" t="n">
        <v>254</v>
      </c>
      <c r="I34" s="131" t="n">
        <f aca="false">G34+H34</f>
        <v>1794</v>
      </c>
      <c r="J34" s="371" t="n">
        <f aca="false">IF(L34&gt;0,L34,0)</f>
        <v>136.595916309554</v>
      </c>
      <c r="K34" s="131" t="n">
        <f aca="false">I34+J34</f>
        <v>1930.59591630955</v>
      </c>
      <c r="L34" s="131" t="n">
        <f aca="false">F34-(I34-AK34)</f>
        <v>136.595916309554</v>
      </c>
      <c r="M34" s="135" t="n">
        <v>100</v>
      </c>
      <c r="N34" s="199" t="n">
        <f aca="false">1.8299*1.03</f>
        <v>1.884797</v>
      </c>
      <c r="O34" s="372" t="n">
        <f aca="false">(23+23)*1.05</f>
        <v>48.3</v>
      </c>
      <c r="P34" s="312" t="n">
        <v>0</v>
      </c>
      <c r="Q34" s="340" t="n">
        <f aca="false">1.599*1.02</f>
        <v>1.63098</v>
      </c>
      <c r="R34" s="340" t="n">
        <v>3.64</v>
      </c>
      <c r="S34" s="129" t="n">
        <v>0</v>
      </c>
      <c r="T34" s="356" t="n">
        <v>0</v>
      </c>
      <c r="U34" s="131" t="n">
        <v>21</v>
      </c>
      <c r="V34" s="131" t="n">
        <v>23</v>
      </c>
      <c r="W34" s="132" t="n">
        <f aca="false">M34-N34-O34-P34-Q34-R34-S34-T34+U34+V34</f>
        <v>88.544223</v>
      </c>
      <c r="X34" s="132" t="n">
        <f aca="false">W34-AO34</f>
        <v>88.544223</v>
      </c>
      <c r="Y34" s="134" t="n">
        <f aca="false">Y33+(X34*1.9835)</f>
        <v>15014.1975475735</v>
      </c>
      <c r="Z34" s="104" t="n">
        <f aca="false">Z33+X34*(26300/37500)*1.9835</f>
        <v>10529.9572133649</v>
      </c>
      <c r="AA34" s="104" t="n">
        <f aca="false">AA33+AP34</f>
        <v>3946.870098</v>
      </c>
      <c r="AB34" s="104" t="n">
        <f aca="false">AB33+(AP34+X34)*1.9835</f>
        <v>8504.07188467847</v>
      </c>
      <c r="AC34" s="94" t="n">
        <f aca="false">AC33-(AQ33/1.9835)</f>
        <v>1706.7327957579</v>
      </c>
      <c r="AD34" s="93"/>
      <c r="AE34" s="131" t="n">
        <v>29</v>
      </c>
      <c r="AF34" s="135" t="n">
        <v>1.7</v>
      </c>
      <c r="AG34" s="136" t="n">
        <v>1.3</v>
      </c>
      <c r="AH34" s="131" t="n">
        <v>49</v>
      </c>
      <c r="AI34" s="79" t="n">
        <f aca="false">AI33-AH34</f>
        <v>14948.2578774893</v>
      </c>
      <c r="AJ34" s="79"/>
      <c r="AK34" s="131" t="n">
        <f aca="false">N34+O34+P34+Q34+R34+S34+T34+W34+AE34+AH34</f>
        <v>222</v>
      </c>
      <c r="AL34" s="131" t="n">
        <f aca="false">IF(L34&lt;0,L34*-1,0)</f>
        <v>0</v>
      </c>
      <c r="AM34" s="372" t="n">
        <f aca="false">AK34+AL34</f>
        <v>222</v>
      </c>
      <c r="AN34" s="373" t="n">
        <f aca="false">AN33</f>
        <v>14570.652155</v>
      </c>
      <c r="AO34" s="93"/>
      <c r="AP34" s="94" t="n">
        <f aca="false">795-W34</f>
        <v>706.455777</v>
      </c>
      <c r="AQ34" s="358" t="n">
        <f aca="false">29.8*(AA34*1.9835+AC34*1.9835)/E34</f>
        <v>2.18060056460473</v>
      </c>
      <c r="AR34" s="358"/>
      <c r="AS34" s="98"/>
      <c r="AT34" s="12"/>
      <c r="AU34" s="1"/>
      <c r="AV34" s="99" t="n">
        <v>0</v>
      </c>
      <c r="AW34" s="100" t="n">
        <v>72</v>
      </c>
      <c r="AX34" s="100" t="n">
        <v>38</v>
      </c>
      <c r="AY34" s="300"/>
      <c r="AZ34" s="233" t="n">
        <f aca="false">SUM(N34,P34:T34)</f>
        <v>7.155777</v>
      </c>
    </row>
    <row r="35" customFormat="false" ht="12.95" hidden="false" customHeight="true" outlineLevel="0" collapsed="false">
      <c r="A35" s="10" t="n">
        <f aca="false">A34+1</f>
        <v>23</v>
      </c>
      <c r="B35" s="360" t="n">
        <v>6906.57</v>
      </c>
      <c r="C35" s="91" t="n">
        <v>308467</v>
      </c>
      <c r="D35" s="100" t="n">
        <f aca="false">C35-C34</f>
        <v>3218</v>
      </c>
      <c r="E35" s="91" t="n">
        <f aca="false">C35-152000</f>
        <v>156467</v>
      </c>
      <c r="F35" s="370" t="n">
        <f aca="false">D35/$D$2</f>
        <v>1622.38467355684</v>
      </c>
      <c r="G35" s="131" t="n">
        <v>1540</v>
      </c>
      <c r="H35" s="131" t="n">
        <v>181</v>
      </c>
      <c r="I35" s="131" t="n">
        <f aca="false">G35+H35</f>
        <v>1721</v>
      </c>
      <c r="J35" s="371" t="n">
        <f aca="false">IF(L35&gt;0,L35,0)</f>
        <v>145.384673556844</v>
      </c>
      <c r="K35" s="131" t="n">
        <f aca="false">I35+J35</f>
        <v>1866.38467355684</v>
      </c>
      <c r="L35" s="131" t="n">
        <f aca="false">F35-(I35-AK35)</f>
        <v>145.384673556844</v>
      </c>
      <c r="M35" s="135" t="n">
        <v>111</v>
      </c>
      <c r="N35" s="199" t="n">
        <f aca="false">1.8299*1.03</f>
        <v>1.884797</v>
      </c>
      <c r="O35" s="372" t="n">
        <f aca="false">(23+23)*1.05</f>
        <v>48.3</v>
      </c>
      <c r="P35" s="312" t="n">
        <v>0</v>
      </c>
      <c r="Q35" s="340" t="n">
        <f aca="false">1.599*1.02</f>
        <v>1.63098</v>
      </c>
      <c r="R35" s="340" t="n">
        <v>4.2</v>
      </c>
      <c r="S35" s="129" t="n">
        <v>0.6</v>
      </c>
      <c r="T35" s="356" t="n">
        <v>0</v>
      </c>
      <c r="U35" s="131" t="n">
        <v>21</v>
      </c>
      <c r="V35" s="131" t="n">
        <v>33</v>
      </c>
      <c r="W35" s="132" t="n">
        <f aca="false">M35-N35-O35-P35-Q35-R35-S35-T35+U35+V35</f>
        <v>108.384223</v>
      </c>
      <c r="X35" s="132" t="n">
        <f aca="false">W35-AO35</f>
        <v>108.384223</v>
      </c>
      <c r="Y35" s="134" t="n">
        <f aca="false">Y34+(X35*1.9835)</f>
        <v>15229.177653894</v>
      </c>
      <c r="Z35" s="104" t="n">
        <f aca="false">Z34+W35*(26300/37500)*1.9835</f>
        <v>10680.729927931</v>
      </c>
      <c r="AA35" s="104" t="n">
        <f aca="false">AA34+AP35</f>
        <v>4633.485875</v>
      </c>
      <c r="AB35" s="104" t="n">
        <f aca="false">AB34+(AP35+X35)*1.9835</f>
        <v>10080.9543846785</v>
      </c>
      <c r="AC35" s="94" t="n">
        <f aca="false">AC34-(AQ34/1.9835)</f>
        <v>1705.63342567239</v>
      </c>
      <c r="AD35" s="93"/>
      <c r="AE35" s="131" t="n">
        <v>30</v>
      </c>
      <c r="AF35" s="135" t="n">
        <v>1.7</v>
      </c>
      <c r="AG35" s="136" t="n">
        <v>1.3</v>
      </c>
      <c r="AH35" s="131" t="n">
        <v>49</v>
      </c>
      <c r="AI35" s="79" t="n">
        <f aca="false">AI34-AH35</f>
        <v>14899.2578774893</v>
      </c>
      <c r="AJ35" s="79"/>
      <c r="AK35" s="131" t="n">
        <f aca="false">N35+O35+P35+Q35+R35+S35+T35+W35+AE35+AH35</f>
        <v>244</v>
      </c>
      <c r="AL35" s="131" t="n">
        <f aca="false">IF(L35&lt;0,L35*-1,0)</f>
        <v>0</v>
      </c>
      <c r="AM35" s="372" t="n">
        <f aca="false">AK35+AL35</f>
        <v>244</v>
      </c>
      <c r="AN35" s="373" t="n">
        <f aca="false">AN34</f>
        <v>14570.652155</v>
      </c>
      <c r="AO35" s="93"/>
      <c r="AP35" s="94" t="n">
        <f aca="false">795-W35</f>
        <v>686.615777</v>
      </c>
      <c r="AQ35" s="358" t="n">
        <f aca="false">29.8*(AA35*1.9835+AC35*1.9835)/E35</f>
        <v>2.39471943195648</v>
      </c>
      <c r="AR35" s="358"/>
      <c r="AS35" s="98"/>
      <c r="AT35" s="12"/>
      <c r="AU35" s="1"/>
      <c r="AV35" s="99" t="n">
        <v>0</v>
      </c>
      <c r="AW35" s="100" t="n">
        <v>71</v>
      </c>
      <c r="AX35" s="139" t="n">
        <v>40</v>
      </c>
      <c r="AY35" s="300"/>
      <c r="AZ35" s="233" t="n">
        <f aca="false">SUM(N35,P35:T35)</f>
        <v>8.315777</v>
      </c>
    </row>
    <row r="36" customFormat="false" ht="12.95" hidden="false" customHeight="true" outlineLevel="0" collapsed="false">
      <c r="A36" s="10" t="n">
        <f aca="false">A35+1</f>
        <v>24</v>
      </c>
      <c r="B36" s="360" t="n">
        <v>6907.47</v>
      </c>
      <c r="C36" s="91" t="n">
        <v>311979</v>
      </c>
      <c r="D36" s="100" t="n">
        <f aca="false">C36-C35</f>
        <v>3512</v>
      </c>
      <c r="E36" s="91" t="n">
        <f aca="false">C36-152000</f>
        <v>159979</v>
      </c>
      <c r="F36" s="370" t="n">
        <f aca="false">D36/$D$2</f>
        <v>1770.60751197378</v>
      </c>
      <c r="G36" s="131" t="n">
        <v>1720</v>
      </c>
      <c r="H36" s="131" t="n">
        <v>176</v>
      </c>
      <c r="I36" s="131" t="n">
        <f aca="false">G36+H36</f>
        <v>1896</v>
      </c>
      <c r="J36" s="371" t="n">
        <f aca="false">IF(L36&gt;0,L36,0)</f>
        <v>140.607511973784</v>
      </c>
      <c r="K36" s="131" t="n">
        <f aca="false">I36+J36</f>
        <v>2036.60751197378</v>
      </c>
      <c r="L36" s="131" t="n">
        <f aca="false">F36-(I36-AK36)</f>
        <v>140.607511973784</v>
      </c>
      <c r="M36" s="135" t="n">
        <v>159</v>
      </c>
      <c r="N36" s="199" t="n">
        <f aca="false">1.8299*1.03</f>
        <v>1.884797</v>
      </c>
      <c r="O36" s="372" t="n">
        <f aca="false">(33+35)*1.05</f>
        <v>71.4</v>
      </c>
      <c r="P36" s="312" t="n">
        <v>0</v>
      </c>
      <c r="Q36" s="340" t="n">
        <f aca="false">1.599*1.02</f>
        <v>1.63098</v>
      </c>
      <c r="R36" s="340" t="n">
        <v>4.2</v>
      </c>
      <c r="S36" s="129" t="n">
        <v>1.21</v>
      </c>
      <c r="T36" s="356" t="n">
        <v>0</v>
      </c>
      <c r="U36" s="131" t="n">
        <v>21</v>
      </c>
      <c r="V36" s="131" t="n">
        <v>37</v>
      </c>
      <c r="W36" s="132" t="n">
        <f aca="false">M36-N36-O36-P36-Q36-R36-S36-T36+U36+V36</f>
        <v>136.674223</v>
      </c>
      <c r="X36" s="132" t="n">
        <f aca="false">W36-AO36</f>
        <v>136.674223</v>
      </c>
      <c r="Y36" s="134" t="n">
        <f aca="false">Y35+(X36*1.9835)</f>
        <v>15500.2709752145</v>
      </c>
      <c r="Z36" s="104" t="n">
        <f aca="false">Z35+W36*(26300/37500)*1.9835</f>
        <v>10870.8567106171</v>
      </c>
      <c r="AA36" s="104" t="n">
        <f aca="false">AA35+AP36</f>
        <v>5291.811652</v>
      </c>
      <c r="AB36" s="104" t="n">
        <f aca="false">AB35+(AP36+X36)*1.9835</f>
        <v>11657.8368846785</v>
      </c>
      <c r="AC36" s="94" t="n">
        <f aca="false">AC35-(AQ35/1.9835)</f>
        <v>1704.42610556553</v>
      </c>
      <c r="AD36" s="93"/>
      <c r="AE36" s="131" t="n">
        <v>0</v>
      </c>
      <c r="AF36" s="135" t="n">
        <v>1.7</v>
      </c>
      <c r="AG36" s="136" t="n">
        <v>1.3</v>
      </c>
      <c r="AH36" s="131" t="n">
        <v>49</v>
      </c>
      <c r="AI36" s="79" t="n">
        <f aca="false">AI35-AH36</f>
        <v>14850.2578774893</v>
      </c>
      <c r="AJ36" s="79"/>
      <c r="AK36" s="131" t="n">
        <f aca="false">N36+O36+P36+Q36+R36+S36+T36+W36+AE36+AH36</f>
        <v>266</v>
      </c>
      <c r="AL36" s="131" t="n">
        <f aca="false">IF(L36&lt;0,L36*-1,0)</f>
        <v>0</v>
      </c>
      <c r="AM36" s="372" t="n">
        <f aca="false">AK36+AL36</f>
        <v>266</v>
      </c>
      <c r="AN36" s="373" t="n">
        <f aca="false">AN35</f>
        <v>14570.652155</v>
      </c>
      <c r="AO36" s="93"/>
      <c r="AP36" s="94" t="n">
        <f aca="false">795-W36</f>
        <v>658.325777</v>
      </c>
      <c r="AQ36" s="358" t="n">
        <f aca="false">29.8*(AA36*1.9835+AC36*1.9835)/E36</f>
        <v>2.58493752458454</v>
      </c>
      <c r="AR36" s="358"/>
      <c r="AS36" s="98"/>
      <c r="AT36" s="12"/>
      <c r="AU36" s="1"/>
      <c r="AV36" s="99" t="n">
        <v>0</v>
      </c>
      <c r="AW36" s="100" t="n">
        <v>69</v>
      </c>
      <c r="AX36" s="139" t="n">
        <v>40</v>
      </c>
      <c r="AY36" s="300"/>
      <c r="AZ36" s="233" t="n">
        <f aca="false">SUM(N36,P36:T36)</f>
        <v>8.925777</v>
      </c>
    </row>
    <row r="37" customFormat="false" ht="12.95" hidden="false" customHeight="true" outlineLevel="0" collapsed="false">
      <c r="A37" s="10" t="n">
        <f aca="false">A36+1</f>
        <v>25</v>
      </c>
      <c r="B37" s="360" t="n">
        <v>6908.37</v>
      </c>
      <c r="C37" s="91" t="n">
        <v>315517</v>
      </c>
      <c r="D37" s="100" t="n">
        <f aca="false">C37-C36</f>
        <v>3538</v>
      </c>
      <c r="E37" s="91" t="n">
        <f aca="false">C37-152000</f>
        <v>163517</v>
      </c>
      <c r="F37" s="370" t="n">
        <f aca="false">D37/$D$2</f>
        <v>1783.71565414671</v>
      </c>
      <c r="G37" s="131" t="n">
        <v>1810</v>
      </c>
      <c r="H37" s="131" t="n">
        <v>192</v>
      </c>
      <c r="I37" s="131" t="n">
        <f aca="false">G37+H37</f>
        <v>2002</v>
      </c>
      <c r="J37" s="371" t="n">
        <f aca="false">IF(L37&gt;0,L37,0)</f>
        <v>55.7156541467102</v>
      </c>
      <c r="K37" s="131" t="n">
        <f aca="false">I37+J37</f>
        <v>2057.71565414671</v>
      </c>
      <c r="L37" s="131" t="n">
        <f aca="false">F37-(I37-AK37)</f>
        <v>55.7156541467102</v>
      </c>
      <c r="M37" s="135" t="n">
        <v>166</v>
      </c>
      <c r="N37" s="199" t="n">
        <f aca="false">1.8299*1.03</f>
        <v>1.884797</v>
      </c>
      <c r="O37" s="372" t="n">
        <f aca="false">(35+33)*1.05</f>
        <v>71.4</v>
      </c>
      <c r="P37" s="312" t="n">
        <v>0</v>
      </c>
      <c r="Q37" s="340" t="n">
        <f aca="false">1.599*1.02</f>
        <v>1.63098</v>
      </c>
      <c r="R37" s="340" t="n">
        <v>4.2</v>
      </c>
      <c r="S37" s="129" t="n">
        <v>0.43</v>
      </c>
      <c r="T37" s="356" t="n">
        <v>0</v>
      </c>
      <c r="U37" s="131" t="n">
        <v>21</v>
      </c>
      <c r="V37" s="131" t="n">
        <v>38</v>
      </c>
      <c r="W37" s="132" t="n">
        <f aca="false">M37-N37-O37-P37-Q37-R37-S37-T37+U37+V37</f>
        <v>145.454223</v>
      </c>
      <c r="X37" s="132" t="n">
        <f aca="false">W37-AO37</f>
        <v>145.454223</v>
      </c>
      <c r="Y37" s="134" t="n">
        <f aca="false">Y36+(X37*1.9835)</f>
        <v>15788.779426535</v>
      </c>
      <c r="Z37" s="104" t="n">
        <f aca="false">Z36+W37*(26300/37500)*1.9835</f>
        <v>11073.1973044766</v>
      </c>
      <c r="AA37" s="104" t="n">
        <f aca="false">AA36+AP37</f>
        <v>5941.357429</v>
      </c>
      <c r="AB37" s="104" t="n">
        <f aca="false">AB36+(AP37+X37)*1.9835</f>
        <v>13234.7193846785</v>
      </c>
      <c r="AC37" s="94" t="n">
        <f aca="false">AC36-(AQ36/1.9835)</f>
        <v>1703.12288523552</v>
      </c>
      <c r="AD37" s="93"/>
      <c r="AE37" s="131" t="n">
        <v>0</v>
      </c>
      <c r="AF37" s="135" t="n">
        <v>1.7</v>
      </c>
      <c r="AG37" s="136" t="n">
        <v>1.3</v>
      </c>
      <c r="AH37" s="131" t="n">
        <v>49</v>
      </c>
      <c r="AI37" s="79" t="n">
        <f aca="false">AI36-AH37</f>
        <v>14801.2578774893</v>
      </c>
      <c r="AJ37" s="79"/>
      <c r="AK37" s="131" t="n">
        <f aca="false">N37+O37+P37+Q37+R37+S37+T37+W37+AE37+AH37</f>
        <v>274</v>
      </c>
      <c r="AL37" s="131" t="n">
        <f aca="false">IF(L37&lt;0,L37*-1,0)</f>
        <v>0</v>
      </c>
      <c r="AM37" s="372" t="n">
        <f aca="false">AK37+AL37</f>
        <v>274</v>
      </c>
      <c r="AN37" s="373" t="n">
        <f aca="false">AN36</f>
        <v>14570.652155</v>
      </c>
      <c r="AO37" s="93"/>
      <c r="AP37" s="94" t="n">
        <f aca="false">795-W37</f>
        <v>649.545777</v>
      </c>
      <c r="AQ37" s="358" t="n">
        <f aca="false">29.8*(AA37*1.9835+AC37*1.9835)/E37</f>
        <v>2.76333491782461</v>
      </c>
      <c r="AR37" s="358"/>
      <c r="AS37" s="98"/>
      <c r="AT37" s="12"/>
      <c r="AU37" s="1"/>
      <c r="AV37" s="99" t="n">
        <v>0</v>
      </c>
      <c r="AW37" s="100" t="n">
        <v>64</v>
      </c>
      <c r="AX37" s="139" t="n">
        <v>33</v>
      </c>
      <c r="AY37" s="300"/>
      <c r="AZ37" s="233" t="n">
        <f aca="false">SUM(N37,P37:T37)</f>
        <v>8.145777</v>
      </c>
    </row>
    <row r="38" customFormat="false" ht="12.95" hidden="false" customHeight="true" outlineLevel="0" collapsed="false">
      <c r="A38" s="10" t="n">
        <f aca="false">A37+1</f>
        <v>26</v>
      </c>
      <c r="B38" s="360" t="n">
        <v>6909.2</v>
      </c>
      <c r="C38" s="91" t="n">
        <v>318802</v>
      </c>
      <c r="D38" s="100" t="n">
        <f aca="false">C38-C37</f>
        <v>3285</v>
      </c>
      <c r="E38" s="91" t="n">
        <f aca="false">C38-152000</f>
        <v>166802</v>
      </c>
      <c r="F38" s="370" t="n">
        <f aca="false">D38/$D$2</f>
        <v>1656.16334761785</v>
      </c>
      <c r="G38" s="131" t="n">
        <v>1600</v>
      </c>
      <c r="H38" s="131" t="n">
        <v>154</v>
      </c>
      <c r="I38" s="131" t="n">
        <f aca="false">G38+H38</f>
        <v>1754</v>
      </c>
      <c r="J38" s="371" t="n">
        <f aca="false">IF(L38&gt;0,L38,0)</f>
        <v>161.163347617847</v>
      </c>
      <c r="K38" s="131" t="n">
        <f aca="false">I38+J38</f>
        <v>1915.16334761785</v>
      </c>
      <c r="L38" s="131" t="n">
        <f aca="false">F38-(I38-AK38)</f>
        <v>161.163347617847</v>
      </c>
      <c r="M38" s="135" t="n">
        <v>148</v>
      </c>
      <c r="N38" s="199" t="n">
        <f aca="false">1.8299*1.03</f>
        <v>1.884797</v>
      </c>
      <c r="O38" s="372" t="n">
        <f aca="false">(29+29)*1.05</f>
        <v>60.9</v>
      </c>
      <c r="P38" s="312" t="n">
        <v>0</v>
      </c>
      <c r="Q38" s="340" t="n">
        <f aca="false">1.599*1.02</f>
        <v>1.63098</v>
      </c>
      <c r="R38" s="340" t="n">
        <v>3.4</v>
      </c>
      <c r="S38" s="129" t="n">
        <v>0</v>
      </c>
      <c r="T38" s="356" t="n">
        <v>0</v>
      </c>
      <c r="U38" s="131" t="n">
        <v>22</v>
      </c>
      <c r="V38" s="131" t="n">
        <v>39</v>
      </c>
      <c r="W38" s="132" t="n">
        <f aca="false">M38-N38-O38-P38-Q38-R38-S38-T38+U38+V38</f>
        <v>141.184223</v>
      </c>
      <c r="X38" s="132" t="n">
        <f aca="false">W38-AO38</f>
        <v>141.184223</v>
      </c>
      <c r="Y38" s="134" t="n">
        <f aca="false">Y37+(X38*1.9835)</f>
        <v>16068.8183328555</v>
      </c>
      <c r="Z38" s="104" t="n">
        <f aca="false">Z37+W38*(26300/37500)*1.9835</f>
        <v>11269.5979241093</v>
      </c>
      <c r="AA38" s="104" t="n">
        <f aca="false">AA37+AP38</f>
        <v>6595.173206</v>
      </c>
      <c r="AB38" s="104" t="n">
        <f aca="false">AB37+(AP38+X38)*1.9835</f>
        <v>14811.6018846785</v>
      </c>
      <c r="AC38" s="94" t="n">
        <f aca="false">AC37-(AQ37/1.9835)</f>
        <v>1701.72972419805</v>
      </c>
      <c r="AD38" s="93"/>
      <c r="AE38" s="131" t="n">
        <v>0</v>
      </c>
      <c r="AF38" s="135" t="n">
        <v>1.7</v>
      </c>
      <c r="AG38" s="136" t="n">
        <v>1.3</v>
      </c>
      <c r="AH38" s="131" t="n">
        <v>50</v>
      </c>
      <c r="AI38" s="79" t="n">
        <f aca="false">AI37-AH38</f>
        <v>14751.2578774893</v>
      </c>
      <c r="AJ38" s="79"/>
      <c r="AK38" s="131" t="n">
        <f aca="false">N38+O38+P38+Q38+R38+S38+T38+W38+AE38+AH38</f>
        <v>259</v>
      </c>
      <c r="AL38" s="131" t="n">
        <f aca="false">IF(L38&lt;0,L38*-1,0)</f>
        <v>0</v>
      </c>
      <c r="AM38" s="372" t="n">
        <f aca="false">AK38+AL38</f>
        <v>259</v>
      </c>
      <c r="AN38" s="373" t="n">
        <f aca="false">AN37</f>
        <v>14570.652155</v>
      </c>
      <c r="AO38" s="93"/>
      <c r="AP38" s="94" t="n">
        <f aca="false">795-W38</f>
        <v>653.815777</v>
      </c>
      <c r="AQ38" s="358" t="n">
        <f aca="false">29.8*(AA38*1.9835+AC38*1.9835)/E38</f>
        <v>2.94010759744503</v>
      </c>
      <c r="AR38" s="358"/>
      <c r="AS38" s="98"/>
      <c r="AT38" s="4"/>
      <c r="AU38" s="1"/>
      <c r="AV38" s="99" t="n">
        <v>0</v>
      </c>
      <c r="AW38" s="100" t="n">
        <v>53</v>
      </c>
      <c r="AX38" s="100" t="n">
        <v>27</v>
      </c>
      <c r="AY38" s="300"/>
      <c r="AZ38" s="233" t="n">
        <f aca="false">SUM(N38,P38:T38)</f>
        <v>6.915777</v>
      </c>
    </row>
    <row r="39" customFormat="false" ht="12.95" hidden="false" customHeight="true" outlineLevel="0" collapsed="false">
      <c r="A39" s="10" t="n">
        <f aca="false">A38+1</f>
        <v>27</v>
      </c>
      <c r="B39" s="360" t="n">
        <v>6909.83</v>
      </c>
      <c r="C39" s="91" t="n">
        <v>321310</v>
      </c>
      <c r="D39" s="100" t="n">
        <f aca="false">C39-C38</f>
        <v>2508</v>
      </c>
      <c r="E39" s="91" t="n">
        <f aca="false">C39-152000</f>
        <v>169310</v>
      </c>
      <c r="F39" s="370" t="n">
        <f aca="false">D39/$D$2</f>
        <v>1264.43156037308</v>
      </c>
      <c r="G39" s="131" t="n">
        <v>1340</v>
      </c>
      <c r="H39" s="131" t="n">
        <v>93</v>
      </c>
      <c r="I39" s="131" t="n">
        <f aca="false">G39+H39</f>
        <v>1433</v>
      </c>
      <c r="J39" s="371" t="n">
        <f aca="false">IF(L39&gt;0,L39,0)</f>
        <v>156.431560373078</v>
      </c>
      <c r="K39" s="131" t="n">
        <f aca="false">I39+J39</f>
        <v>1589.43156037308</v>
      </c>
      <c r="L39" s="131" t="n">
        <f aca="false">F39-(I39-AK39)</f>
        <v>156.431560373078</v>
      </c>
      <c r="M39" s="135" t="n">
        <v>156</v>
      </c>
      <c r="N39" s="199" t="n">
        <f aca="false">1.8299*1.03</f>
        <v>1.884797</v>
      </c>
      <c r="O39" s="372" t="n">
        <f aca="false">(25+25)*1.05</f>
        <v>52.5</v>
      </c>
      <c r="P39" s="312" t="n">
        <v>0</v>
      </c>
      <c r="Q39" s="340" t="n">
        <f aca="false">1.599*1.02</f>
        <v>1.63098</v>
      </c>
      <c r="R39" s="340" t="n">
        <v>4.2</v>
      </c>
      <c r="S39" s="129" t="n">
        <v>0.09</v>
      </c>
      <c r="T39" s="356" t="n">
        <v>0</v>
      </c>
      <c r="U39" s="131" t="n">
        <v>22</v>
      </c>
      <c r="V39" s="131" t="n">
        <v>39</v>
      </c>
      <c r="W39" s="132" t="n">
        <f aca="false">M39-N39-O39-P39-Q39-R39-S39-T39+U39+V39</f>
        <v>156.694223</v>
      </c>
      <c r="X39" s="132" t="n">
        <f aca="false">W39-AO39</f>
        <v>156.694223</v>
      </c>
      <c r="Y39" s="134" t="n">
        <f aca="false">Y38+(X39*1.9835)</f>
        <v>16379.621324176</v>
      </c>
      <c r="Z39" s="104" t="n">
        <f aca="false">Z38+W39*(26300/37500)*1.9835</f>
        <v>11487.5744220221</v>
      </c>
      <c r="AA39" s="104" t="n">
        <f aca="false">AA38+AP39</f>
        <v>7233.478983</v>
      </c>
      <c r="AB39" s="104" t="n">
        <f aca="false">AB38+(AP39+X39)*1.9835</f>
        <v>16388.4843846785</v>
      </c>
      <c r="AC39" s="94" t="n">
        <f aca="false">AC38-(AQ38/1.9835)</f>
        <v>1700.24744156762</v>
      </c>
      <c r="AD39" s="93"/>
      <c r="AE39" s="131" t="n">
        <v>58</v>
      </c>
      <c r="AF39" s="135" t="n">
        <v>1.7</v>
      </c>
      <c r="AG39" s="136" t="n">
        <v>1.3</v>
      </c>
      <c r="AH39" s="131" t="n">
        <v>50</v>
      </c>
      <c r="AI39" s="79" t="n">
        <f aca="false">AI38-AH39</f>
        <v>14701.2578774893</v>
      </c>
      <c r="AJ39" s="79"/>
      <c r="AK39" s="131" t="n">
        <f aca="false">N39+O39+P39+Q39+R39+S39+T39+W39+AE39+AH39</f>
        <v>325</v>
      </c>
      <c r="AL39" s="131" t="n">
        <f aca="false">IF(L39&lt;0,L39*-1,0)</f>
        <v>0</v>
      </c>
      <c r="AM39" s="372" t="n">
        <f aca="false">AK39+AL39</f>
        <v>325</v>
      </c>
      <c r="AN39" s="373" t="n">
        <f aca="false">AN38</f>
        <v>14570.652155</v>
      </c>
      <c r="AO39" s="93"/>
      <c r="AP39" s="94" t="n">
        <f aca="false">795-W39</f>
        <v>638.305777</v>
      </c>
      <c r="AQ39" s="358" t="n">
        <f aca="false">29.8*(AA39*1.9835+AC39*1.9835)/E39</f>
        <v>3.11887887083616</v>
      </c>
      <c r="AR39" s="358"/>
      <c r="AS39" s="98"/>
      <c r="AT39" s="12"/>
      <c r="AU39" s="1"/>
      <c r="AV39" s="99" t="n">
        <v>0</v>
      </c>
      <c r="AW39" s="100" t="n">
        <v>59</v>
      </c>
      <c r="AX39" s="100" t="n">
        <v>31</v>
      </c>
      <c r="AY39" s="300"/>
      <c r="AZ39" s="233" t="n">
        <f aca="false">SUM(N39,P39:T39)</f>
        <v>7.805777</v>
      </c>
    </row>
    <row r="40" customFormat="false" ht="12.95" hidden="false" customHeight="true" outlineLevel="0" collapsed="false">
      <c r="A40" s="10" t="n">
        <f aca="false">A39+1</f>
        <v>28</v>
      </c>
      <c r="B40" s="360" t="n">
        <v>6910.54</v>
      </c>
      <c r="C40" s="91" t="n">
        <v>324153</v>
      </c>
      <c r="D40" s="100" t="n">
        <f aca="false">C40-C39</f>
        <v>2843</v>
      </c>
      <c r="E40" s="91" t="n">
        <f aca="false">C40-152000</f>
        <v>172153</v>
      </c>
      <c r="F40" s="370" t="n">
        <f aca="false">D40/$D$2</f>
        <v>1433.32493067809</v>
      </c>
      <c r="G40" s="131" t="n">
        <v>1560</v>
      </c>
      <c r="H40" s="131" t="n">
        <v>114</v>
      </c>
      <c r="I40" s="131" t="n">
        <f aca="false">G40+H40</f>
        <v>1674</v>
      </c>
      <c r="J40" s="371" t="n">
        <f aca="false">IF(L40&gt;0,L40,0)</f>
        <v>80.1249306780942</v>
      </c>
      <c r="K40" s="131" t="n">
        <f aca="false">I40+J40</f>
        <v>1754.12493067809</v>
      </c>
      <c r="L40" s="131" t="n">
        <f aca="false">F40-(I40-AK40)</f>
        <v>80.1249306780942</v>
      </c>
      <c r="M40" s="135" t="n">
        <v>193</v>
      </c>
      <c r="N40" s="199" t="n">
        <f aca="false">1.8299*1.03</f>
        <v>1.884797</v>
      </c>
      <c r="O40" s="372" t="n">
        <f aca="false">(33+33)*1.05</f>
        <v>69.3</v>
      </c>
      <c r="P40" s="312" t="n">
        <v>0</v>
      </c>
      <c r="Q40" s="340" t="n">
        <f aca="false">1.599*1.02</f>
        <v>1.63098</v>
      </c>
      <c r="R40" s="340" t="n">
        <v>4.2</v>
      </c>
      <c r="S40" s="129" t="n">
        <v>0.21</v>
      </c>
      <c r="T40" s="356" t="n">
        <v>0</v>
      </c>
      <c r="U40" s="131" t="n">
        <v>22</v>
      </c>
      <c r="V40" s="131" t="n">
        <v>47</v>
      </c>
      <c r="W40" s="132" t="n">
        <f aca="false">M40-N40-O40-P40-Q40-R40-S40-T40+U40+V40</f>
        <v>184.774223</v>
      </c>
      <c r="X40" s="132" t="n">
        <f aca="false">W40-AO40</f>
        <v>184.774223</v>
      </c>
      <c r="Y40" s="134" t="n">
        <f aca="false">Y39+(X40*1.9835)</f>
        <v>16746.1209954965</v>
      </c>
      <c r="Z40" s="104" t="n">
        <f aca="false">Z39+W40*(26300/37500)*1.9835</f>
        <v>11744.6128581749</v>
      </c>
      <c r="AA40" s="104" t="n">
        <f aca="false">AA39+AP40</f>
        <v>7843.70476</v>
      </c>
      <c r="AB40" s="104" t="n">
        <f aca="false">AB39+(AP40+X40)*1.9835</f>
        <v>17965.3668846785</v>
      </c>
      <c r="AC40" s="94" t="n">
        <f aca="false">AC39-(AQ39/1.9835)</f>
        <v>1698.67502973458</v>
      </c>
      <c r="AD40" s="93"/>
      <c r="AE40" s="131" t="n">
        <v>8.8</v>
      </c>
      <c r="AF40" s="135" t="n">
        <v>1.7</v>
      </c>
      <c r="AG40" s="136" t="n">
        <v>1.3</v>
      </c>
      <c r="AH40" s="131" t="n">
        <v>50</v>
      </c>
      <c r="AI40" s="79" t="n">
        <f aca="false">AI39-AH40</f>
        <v>14651.2578774893</v>
      </c>
      <c r="AJ40" s="79"/>
      <c r="AK40" s="131" t="n">
        <f aca="false">N40+O40+P40+Q40+R40+S40+T40+W40+AE40+AH40</f>
        <v>320.8</v>
      </c>
      <c r="AL40" s="131" t="n">
        <f aca="false">IF(L40&lt;0,L40*-1,0)</f>
        <v>0</v>
      </c>
      <c r="AM40" s="372" t="n">
        <f aca="false">AK40+AL40</f>
        <v>320.8</v>
      </c>
      <c r="AN40" s="373" t="n">
        <f aca="false">AN39</f>
        <v>14570.652155</v>
      </c>
      <c r="AO40" s="93"/>
      <c r="AP40" s="94" t="n">
        <f aca="false">795-W40</f>
        <v>610.225777</v>
      </c>
      <c r="AQ40" s="358" t="n">
        <f aca="false">29.8*(AA40*1.9835+AC40*1.9835)/E40</f>
        <v>3.27635212471214</v>
      </c>
      <c r="AR40" s="358"/>
      <c r="AS40" s="98"/>
      <c r="AT40" s="12"/>
      <c r="AU40" s="1"/>
      <c r="AV40" s="99" t="n">
        <v>0</v>
      </c>
      <c r="AW40" s="100" t="n">
        <v>64</v>
      </c>
      <c r="AX40" s="100" t="n">
        <v>40</v>
      </c>
      <c r="AY40" s="300"/>
      <c r="AZ40" s="233" t="n">
        <f aca="false">SUM(N40,P40:T40)</f>
        <v>7.925777</v>
      </c>
    </row>
    <row r="41" customFormat="false" ht="12.95" hidden="false" customHeight="true" outlineLevel="0" collapsed="false">
      <c r="A41" s="10" t="n">
        <f aca="false">A40+1</f>
        <v>29</v>
      </c>
      <c r="B41" s="360" t="n">
        <v>6911.1</v>
      </c>
      <c r="C41" s="91" t="n">
        <v>326404</v>
      </c>
      <c r="D41" s="100" t="n">
        <f aca="false">C41-C40</f>
        <v>2251</v>
      </c>
      <c r="E41" s="91" t="n">
        <f aca="false">C41-152000</f>
        <v>174404</v>
      </c>
      <c r="F41" s="370" t="n">
        <f aca="false">D41/$D$2</f>
        <v>1134.86261658684</v>
      </c>
      <c r="G41" s="131" t="n">
        <v>1360</v>
      </c>
      <c r="H41" s="131" t="n">
        <v>80</v>
      </c>
      <c r="I41" s="131" t="n">
        <f aca="false">G41+H41</f>
        <v>1440</v>
      </c>
      <c r="J41" s="371" t="n">
        <f aca="false">IF(L41&gt;0,L41,0)</f>
        <v>80.8626165868413</v>
      </c>
      <c r="K41" s="131" t="n">
        <f aca="false">I41+J41</f>
        <v>1520.86261658684</v>
      </c>
      <c r="L41" s="131" t="n">
        <f aca="false">F41-(I41-AK41)</f>
        <v>80.8626165868413</v>
      </c>
      <c r="M41" s="135" t="n">
        <v>228</v>
      </c>
      <c r="N41" s="199" t="n">
        <f aca="false">1.8299*1.03</f>
        <v>1.884797</v>
      </c>
      <c r="O41" s="372" t="n">
        <f aca="false">(39+40)*1.05</f>
        <v>82.95</v>
      </c>
      <c r="P41" s="312" t="n">
        <v>0</v>
      </c>
      <c r="Q41" s="340" t="n">
        <f aca="false">1.599*1.02</f>
        <v>1.63098</v>
      </c>
      <c r="R41" s="340" t="n">
        <v>4.2</v>
      </c>
      <c r="S41" s="129" t="n">
        <v>0.77</v>
      </c>
      <c r="T41" s="356" t="n">
        <v>0</v>
      </c>
      <c r="U41" s="131" t="n">
        <v>22</v>
      </c>
      <c r="V41" s="131" t="n">
        <v>57</v>
      </c>
      <c r="W41" s="132" t="n">
        <f aca="false">M41-N41-O41-P41-Q41-R41-S41-T41+U41+V41</f>
        <v>215.564223</v>
      </c>
      <c r="X41" s="132" t="n">
        <f aca="false">W41-AO41</f>
        <v>215.564223</v>
      </c>
      <c r="Y41" s="134" t="n">
        <f aca="false">Y40+(X41*1.9835)</f>
        <v>17173.692631817</v>
      </c>
      <c r="Z41" s="104" t="n">
        <f aca="false">Z40+W41*(26300/37500)*1.9835</f>
        <v>12044.4830991143</v>
      </c>
      <c r="AA41" s="104" t="n">
        <f aca="false">AA40+AP41</f>
        <v>8423.140537</v>
      </c>
      <c r="AB41" s="104" t="n">
        <f aca="false">AB40+(AP41+X41)*1.9835</f>
        <v>19542.2493846785</v>
      </c>
      <c r="AC41" s="94" t="n">
        <f aca="false">AC40-(AQ40/1.9835)</f>
        <v>1697.02322629384</v>
      </c>
      <c r="AD41" s="93"/>
      <c r="AE41" s="131" t="n">
        <v>29</v>
      </c>
      <c r="AF41" s="135" t="n">
        <v>1.7</v>
      </c>
      <c r="AG41" s="136" t="n">
        <v>1.3</v>
      </c>
      <c r="AH41" s="131" t="n">
        <v>50</v>
      </c>
      <c r="AI41" s="79" t="n">
        <f aca="false">AI40-AH41</f>
        <v>14601.2578774893</v>
      </c>
      <c r="AJ41" s="79"/>
      <c r="AK41" s="131" t="n">
        <f aca="false">N41+O41+P41+Q41+R41+S41+T41+W41+AE41+AH41</f>
        <v>386</v>
      </c>
      <c r="AL41" s="131" t="n">
        <f aca="false">IF(L41&lt;0,L41*-1,0)</f>
        <v>0</v>
      </c>
      <c r="AM41" s="372" t="n">
        <f aca="false">AK41+AL41</f>
        <v>386</v>
      </c>
      <c r="AN41" s="373" t="n">
        <f aca="false">AN40</f>
        <v>14570.652155</v>
      </c>
      <c r="AO41" s="93"/>
      <c r="AP41" s="94" t="n">
        <f aca="false">795-W41</f>
        <v>579.435777</v>
      </c>
      <c r="AQ41" s="358" t="n">
        <f aca="false">29.8*(AA41*1.9835+AC41*1.9835)/E41</f>
        <v>3.42988507012397</v>
      </c>
      <c r="AR41" s="358"/>
      <c r="AS41" s="98"/>
      <c r="AT41" s="12"/>
      <c r="AU41" s="1"/>
      <c r="AV41" s="99" t="n">
        <v>0</v>
      </c>
      <c r="AW41" s="139" t="n">
        <v>66</v>
      </c>
      <c r="AX41" s="100" t="n">
        <v>34</v>
      </c>
      <c r="AY41" s="300"/>
      <c r="AZ41" s="233" t="n">
        <f aca="false">SUM(N41,P41:T41)</f>
        <v>8.485777</v>
      </c>
    </row>
    <row r="42" customFormat="false" ht="12.95" hidden="false" customHeight="true" outlineLevel="0" collapsed="false">
      <c r="A42" s="10" t="n">
        <v>30</v>
      </c>
      <c r="B42" s="360" t="n">
        <v>6912</v>
      </c>
      <c r="C42" s="91" t="n">
        <v>330044</v>
      </c>
      <c r="D42" s="100" t="n">
        <f aca="false">C42-C41</f>
        <v>3640</v>
      </c>
      <c r="E42" s="91" t="n">
        <f aca="false">C42-152000</f>
        <v>178044</v>
      </c>
      <c r="F42" s="370" t="n">
        <f aca="false">D42/$D$2</f>
        <v>1835.13990420973</v>
      </c>
      <c r="G42" s="131" t="n">
        <v>1840</v>
      </c>
      <c r="H42" s="131" t="n">
        <v>115</v>
      </c>
      <c r="I42" s="131" t="n">
        <f aca="false">G42+H42</f>
        <v>1955</v>
      </c>
      <c r="J42" s="371" t="n">
        <f aca="false">IF(L42&gt;0,L42,0)</f>
        <v>248.13990420973</v>
      </c>
      <c r="K42" s="131" t="n">
        <f aca="false">I42+J42</f>
        <v>2203.13990420973</v>
      </c>
      <c r="L42" s="131" t="n">
        <f aca="false">F42-(I42-AK42)</f>
        <v>248.13990420973</v>
      </c>
      <c r="M42" s="135" t="n">
        <v>225</v>
      </c>
      <c r="N42" s="199" t="n">
        <f aca="false">1.8299*1.03</f>
        <v>1.884797</v>
      </c>
      <c r="O42" s="372" t="n">
        <f aca="false">(37+37)*1.05</f>
        <v>77.7</v>
      </c>
      <c r="P42" s="312" t="n">
        <v>0</v>
      </c>
      <c r="Q42" s="340" t="n">
        <f aca="false">1.599*1.02</f>
        <v>1.63098</v>
      </c>
      <c r="R42" s="340" t="n">
        <v>4.2</v>
      </c>
      <c r="S42" s="129" t="n">
        <v>1.83</v>
      </c>
      <c r="T42" s="356" t="n">
        <v>0</v>
      </c>
      <c r="U42" s="131" t="n">
        <v>22</v>
      </c>
      <c r="V42" s="131" t="n">
        <v>60</v>
      </c>
      <c r="W42" s="132" t="n">
        <f aca="false">M42-N42-O42-P42-Q42-R42-S42-T42+U42+V42-AT42</f>
        <v>219.754223</v>
      </c>
      <c r="X42" s="132" t="n">
        <f aca="false">W42-AO42</f>
        <v>219.754223</v>
      </c>
      <c r="Y42" s="134" t="n">
        <f aca="false">Y41+(X42*1.9835)</f>
        <v>17609.5751331375</v>
      </c>
      <c r="Z42" s="104" t="n">
        <f aca="false">Z41+W42*(26300/37500)*1.9835</f>
        <v>12350.1820267071</v>
      </c>
      <c r="AA42" s="104" t="n">
        <f aca="false">AA41+AP42</f>
        <v>8998.386314</v>
      </c>
      <c r="AB42" s="104" t="n">
        <f aca="false">AB41+(AP42+X42)*1.9835</f>
        <v>21119.1318846785</v>
      </c>
      <c r="AC42" s="94" t="n">
        <f aca="false">AC41-(AQ41/1.9835)</f>
        <v>1695.29401778861</v>
      </c>
      <c r="AD42" s="93"/>
      <c r="AE42" s="131" t="n">
        <v>11</v>
      </c>
      <c r="AF42" s="135" t="n">
        <v>1.7</v>
      </c>
      <c r="AG42" s="136" t="n">
        <v>1.3</v>
      </c>
      <c r="AH42" s="131" t="n">
        <v>50</v>
      </c>
      <c r="AI42" s="79" t="n">
        <f aca="false">AI41-AH42</f>
        <v>14551.2578774893</v>
      </c>
      <c r="AJ42" s="79"/>
      <c r="AK42" s="131" t="n">
        <f aca="false">N42+O42+P42+Q42+R42+S42+T42+W42+AE42+AH42+AT42</f>
        <v>368</v>
      </c>
      <c r="AL42" s="131" t="n">
        <f aca="false">IF(L42&lt;0,L42*-1,0)</f>
        <v>0</v>
      </c>
      <c r="AM42" s="372" t="n">
        <f aca="false">AK42+AL42</f>
        <v>368</v>
      </c>
      <c r="AN42" s="373" t="n">
        <f aca="false">AN41</f>
        <v>14570.652155</v>
      </c>
      <c r="AO42" s="93"/>
      <c r="AP42" s="94" t="n">
        <f aca="false">795-W42</f>
        <v>575.245777</v>
      </c>
      <c r="AQ42" s="358" t="n">
        <f aca="false">29.8*(AA42*1.9835+AC42*1.9835)/E42</f>
        <v>3.55016324703703</v>
      </c>
      <c r="AR42" s="358"/>
      <c r="AS42" s="98"/>
      <c r="AT42" s="12"/>
      <c r="AU42" s="1"/>
      <c r="AV42" s="99" t="n">
        <v>0</v>
      </c>
      <c r="AW42" s="139" t="n">
        <v>68</v>
      </c>
      <c r="AX42" s="100" t="n">
        <v>36</v>
      </c>
      <c r="AY42" s="300"/>
      <c r="AZ42" s="233" t="n">
        <f aca="false">SUM(N42,P42:T42)</f>
        <v>9.545777</v>
      </c>
    </row>
    <row r="43" customFormat="false" ht="3" hidden="false" customHeight="true" outlineLevel="0" collapsed="false">
      <c r="A43" s="107"/>
      <c r="B43" s="374"/>
      <c r="C43" s="118"/>
      <c r="D43" s="114"/>
      <c r="E43" s="118"/>
      <c r="F43" s="365"/>
      <c r="G43" s="114"/>
      <c r="H43" s="114"/>
      <c r="I43" s="114"/>
      <c r="J43" s="114"/>
      <c r="K43" s="114"/>
      <c r="L43" s="114"/>
      <c r="M43" s="119"/>
      <c r="N43" s="114"/>
      <c r="O43" s="114"/>
      <c r="P43" s="366"/>
      <c r="Q43" s="114"/>
      <c r="R43" s="114"/>
      <c r="S43" s="114"/>
      <c r="T43" s="367"/>
      <c r="U43" s="114"/>
      <c r="V43" s="114"/>
      <c r="W43" s="114"/>
      <c r="X43" s="114"/>
      <c r="Y43" s="114"/>
      <c r="Z43" s="117"/>
      <c r="AA43" s="117"/>
      <c r="AB43" s="117"/>
      <c r="AC43" s="117"/>
      <c r="AD43" s="116"/>
      <c r="AE43" s="114"/>
      <c r="AF43" s="119"/>
      <c r="AG43" s="120"/>
      <c r="AH43" s="114"/>
      <c r="AI43" s="114"/>
      <c r="AJ43" s="114"/>
      <c r="AK43" s="114"/>
      <c r="AL43" s="114"/>
      <c r="AM43" s="114"/>
      <c r="AN43" s="148"/>
      <c r="AO43" s="116"/>
      <c r="AP43" s="117"/>
      <c r="AQ43" s="366"/>
      <c r="AR43" s="366"/>
      <c r="AS43" s="366"/>
      <c r="AT43" s="366"/>
      <c r="AU43" s="366"/>
      <c r="AV43" s="123"/>
      <c r="AW43" s="117"/>
      <c r="AX43" s="117"/>
      <c r="AY43" s="368"/>
      <c r="AZ43" s="369"/>
    </row>
    <row r="44" customFormat="false" ht="12.95" hidden="false" customHeight="true" outlineLevel="0" collapsed="false">
      <c r="A44" s="12" t="s">
        <v>91</v>
      </c>
      <c r="B44" s="354"/>
      <c r="C44" s="91"/>
      <c r="D44" s="91"/>
      <c r="E44" s="91"/>
      <c r="F44" s="355" t="n">
        <f aca="false">SUM(F13:F42)</f>
        <v>23573.4812200655</v>
      </c>
      <c r="G44" s="79" t="n">
        <f aca="false">SUM(G13:G42)</f>
        <v>23518</v>
      </c>
      <c r="H44" s="79" t="n">
        <f aca="false">SUM(H13:H42)</f>
        <v>3038</v>
      </c>
      <c r="I44" s="79" t="n">
        <f aca="false">SUM(I13:I42)</f>
        <v>26556</v>
      </c>
      <c r="J44" s="79" t="n">
        <f aca="false">SUM(J13:J42)</f>
        <v>3087.08122006554</v>
      </c>
      <c r="K44" s="79" t="n">
        <f aca="false">SUM(K13:K42)</f>
        <v>29643.0812200655</v>
      </c>
      <c r="L44" s="79" t="n">
        <f aca="false">SUM(L13:L42)</f>
        <v>3087.08122006554</v>
      </c>
      <c r="M44" s="95" t="n">
        <f aca="false">SUM(M13:M42)</f>
        <v>3301.5</v>
      </c>
      <c r="N44" s="91" t="n">
        <f aca="false">SUM(N13:N42)</f>
        <v>56.54391</v>
      </c>
      <c r="O44" s="91" t="n">
        <f aca="false">SUM(O13:O42)</f>
        <v>1874.607</v>
      </c>
      <c r="P44" s="312" t="n">
        <f aca="false">SUM(P13:P42)</f>
        <v>0</v>
      </c>
      <c r="Q44" s="91" t="n">
        <f aca="false">SUM(Q13:Q42)</f>
        <v>48.9294</v>
      </c>
      <c r="R44" s="91" t="n">
        <f aca="false">SUM(R13:R42)</f>
        <v>92.9</v>
      </c>
      <c r="S44" s="91" t="n">
        <f aca="false">SUM(S13:S42)</f>
        <v>5.14</v>
      </c>
      <c r="T44" s="356" t="n">
        <f aca="false">SUM(T13:T42)</f>
        <v>0</v>
      </c>
      <c r="U44" s="79" t="n">
        <f aca="false">SUM(U13:U42)</f>
        <v>536.3</v>
      </c>
      <c r="V44" s="79" t="n">
        <f aca="false">SUM(V13:V42)</f>
        <v>548</v>
      </c>
      <c r="W44" s="79" t="n">
        <f aca="false">SUM(W13:W42)</f>
        <v>2307.67969</v>
      </c>
      <c r="X44" s="79" t="n">
        <f aca="false">SUM(X13:X42)</f>
        <v>1500.546345</v>
      </c>
      <c r="Y44" s="79"/>
      <c r="Z44" s="375"/>
      <c r="AA44" s="376"/>
      <c r="AB44" s="100"/>
      <c r="AC44" s="94"/>
      <c r="AD44" s="93"/>
      <c r="AE44" s="79" t="n">
        <f aca="false">SUM(AE13:AE42)</f>
        <v>203.8</v>
      </c>
      <c r="AF44" s="79" t="n">
        <f aca="false">SUM(AF13:AF42)</f>
        <v>51</v>
      </c>
      <c r="AG44" s="79" t="n">
        <f aca="false">SUM(AG13:AG42)</f>
        <v>39</v>
      </c>
      <c r="AH44" s="79" t="n">
        <f aca="false">SUM(AH13:AH42)</f>
        <v>1480</v>
      </c>
      <c r="AI44" s="79"/>
      <c r="AJ44" s="79" t="n">
        <f aca="false">SUM(AJ13:AJ42)</f>
        <v>0</v>
      </c>
      <c r="AK44" s="79" t="n">
        <f aca="false">SUM(AK13:AK42)</f>
        <v>6069.6</v>
      </c>
      <c r="AL44" s="79" t="n">
        <f aca="false">SUM(AL13:AL42)</f>
        <v>0</v>
      </c>
      <c r="AM44" s="91" t="n">
        <f aca="false">SUM(AM13:AM42)</f>
        <v>6069.6</v>
      </c>
      <c r="AN44" s="357"/>
      <c r="AO44" s="143" t="n">
        <f aca="false">SUM(AO13:AO42)</f>
        <v>807.133345</v>
      </c>
      <c r="AP44" s="94"/>
      <c r="AQ44" s="358"/>
      <c r="AR44" s="358"/>
      <c r="AS44" s="98"/>
      <c r="AT44" s="1"/>
      <c r="AU44" s="1"/>
      <c r="AV44" s="99" t="n">
        <f aca="false">SUM(AV13:AV42)</f>
        <v>0.9</v>
      </c>
      <c r="AW44" s="100" t="n">
        <f aca="false">AVERAGE(AW13:AW42)</f>
        <v>57.7666666666667</v>
      </c>
      <c r="AX44" s="100" t="n">
        <f aca="false">AVERAGE(AX13:AX42)</f>
        <v>30.7</v>
      </c>
      <c r="AY44" s="355" t="s">
        <v>113</v>
      </c>
      <c r="AZ44" s="377" t="n">
        <f aca="false">SUM(AZ13:AZ42)</f>
        <v>203.51331</v>
      </c>
    </row>
    <row r="45" customFormat="false" ht="12.95" hidden="false" customHeight="true" outlineLevel="0" collapsed="false">
      <c r="A45" s="12" t="s">
        <v>93</v>
      </c>
      <c r="B45" s="354"/>
      <c r="C45" s="91"/>
      <c r="D45" s="91" t="n">
        <f aca="false">SUM(D13:D42)</f>
        <v>46758</v>
      </c>
      <c r="E45" s="91"/>
      <c r="F45" s="355" t="n">
        <f aca="false">F44*$D$2</f>
        <v>46758</v>
      </c>
      <c r="G45" s="79" t="n">
        <f aca="false">G44*$D$2</f>
        <v>46647.953</v>
      </c>
      <c r="H45" s="79" t="n">
        <f aca="false">H44*$D$2</f>
        <v>6025.873</v>
      </c>
      <c r="I45" s="79" t="n">
        <f aca="false">I44*$D$2</f>
        <v>52673.826</v>
      </c>
      <c r="J45" s="79" t="n">
        <f aca="false">J44*$D$2</f>
        <v>6123.2256</v>
      </c>
      <c r="K45" s="79" t="n">
        <f aca="false">K44*$D$2</f>
        <v>58797.0516</v>
      </c>
      <c r="L45" s="79" t="n">
        <f aca="false">L44*$D$2</f>
        <v>6123.2256</v>
      </c>
      <c r="M45" s="95" t="n">
        <f aca="false">M44*$D$2</f>
        <v>6548.52525</v>
      </c>
      <c r="N45" s="91" t="n">
        <f aca="false">N44*$D$2</f>
        <v>112.154845485</v>
      </c>
      <c r="O45" s="91" t="n">
        <f aca="false">O44*$D$2</f>
        <v>3718.2829845</v>
      </c>
      <c r="P45" s="312" t="n">
        <f aca="false">P44*$D$2</f>
        <v>0</v>
      </c>
      <c r="Q45" s="91" t="n">
        <f aca="false">Q44*$D$2</f>
        <v>97.0514649</v>
      </c>
      <c r="R45" s="91" t="n">
        <f aca="false">R44*$D$2</f>
        <v>184.26715</v>
      </c>
      <c r="S45" s="91" t="n">
        <f aca="false">S44*$D$2</f>
        <v>10.19519</v>
      </c>
      <c r="T45" s="356" t="n">
        <f aca="false">T44*$D$2</f>
        <v>0</v>
      </c>
      <c r="U45" s="79" t="n">
        <f aca="false">U44*$D$2</f>
        <v>1063.75105</v>
      </c>
      <c r="V45" s="79" t="n">
        <f aca="false">V44*$D$2</f>
        <v>1086.958</v>
      </c>
      <c r="W45" s="79" t="n">
        <f aca="false">W44*$D$2</f>
        <v>4577.282665115</v>
      </c>
      <c r="X45" s="79" t="n">
        <f aca="false">X44*$D$2</f>
        <v>2976.3336753075</v>
      </c>
      <c r="Y45" s="79"/>
      <c r="Z45" s="79"/>
      <c r="AA45" s="94"/>
      <c r="AB45" s="94"/>
      <c r="AC45" s="94"/>
      <c r="AD45" s="93"/>
      <c r="AE45" s="79" t="n">
        <f aca="false">AE44*$D$2</f>
        <v>404.2373</v>
      </c>
      <c r="AF45" s="79" t="n">
        <f aca="false">AF44*$D$2</f>
        <v>101.1585</v>
      </c>
      <c r="AG45" s="79" t="n">
        <f aca="false">AG44*$D$2</f>
        <v>77.3565</v>
      </c>
      <c r="AH45" s="79" t="n">
        <f aca="false">AH44*$D$2</f>
        <v>2935.58</v>
      </c>
      <c r="AI45" s="79"/>
      <c r="AJ45" s="79" t="n">
        <f aca="false">AJ44*$D$2</f>
        <v>0</v>
      </c>
      <c r="AK45" s="79" t="n">
        <f aca="false">AK44*$D$2</f>
        <v>12039.0516</v>
      </c>
      <c r="AL45" s="79" t="n">
        <f aca="false">AL44*$D$2</f>
        <v>0</v>
      </c>
      <c r="AM45" s="91" t="n">
        <f aca="false">AM44*$D$2</f>
        <v>12039.0516</v>
      </c>
      <c r="AN45" s="357"/>
      <c r="AO45" s="143" t="n">
        <f aca="false">AO44*$D$2</f>
        <v>1600.9489898075</v>
      </c>
      <c r="AP45" s="94"/>
      <c r="AQ45" s="358" t="n">
        <f aca="false">SUM(AQ13:AQ42)</f>
        <v>42.7174674098288</v>
      </c>
      <c r="AR45" s="358"/>
      <c r="AS45" s="98"/>
      <c r="AT45" s="1"/>
      <c r="AU45" s="1"/>
      <c r="AV45" s="99"/>
      <c r="AW45" s="100" t="n">
        <f aca="false">MAX(AW13:AW42)</f>
        <v>72</v>
      </c>
      <c r="AX45" s="100" t="n">
        <f aca="false">MAX(AX13:AX42)</f>
        <v>40</v>
      </c>
      <c r="AY45" s="355" t="s">
        <v>94</v>
      </c>
      <c r="AZ45" s="377" t="n">
        <f aca="false">AZ44*$D$2</f>
        <v>403.668650385</v>
      </c>
    </row>
    <row r="46" customFormat="false" ht="3" hidden="false" customHeight="true" outlineLevel="0" collapsed="false">
      <c r="A46" s="107"/>
      <c r="B46" s="374"/>
      <c r="C46" s="118"/>
      <c r="D46" s="118"/>
      <c r="E46" s="118"/>
      <c r="F46" s="368"/>
      <c r="G46" s="118"/>
      <c r="H46" s="114"/>
      <c r="I46" s="118"/>
      <c r="J46" s="118"/>
      <c r="K46" s="118"/>
      <c r="L46" s="118"/>
      <c r="M46" s="146"/>
      <c r="N46" s="118"/>
      <c r="O46" s="118"/>
      <c r="P46" s="366"/>
      <c r="Q46" s="118"/>
      <c r="R46" s="118"/>
      <c r="S46" s="118"/>
      <c r="T46" s="367"/>
      <c r="U46" s="118"/>
      <c r="V46" s="118"/>
      <c r="W46" s="118"/>
      <c r="X46" s="118"/>
      <c r="Y46" s="118"/>
      <c r="Z46" s="118"/>
      <c r="AA46" s="117"/>
      <c r="AB46" s="117"/>
      <c r="AC46" s="117"/>
      <c r="AD46" s="116"/>
      <c r="AE46" s="118"/>
      <c r="AF46" s="118"/>
      <c r="AG46" s="118"/>
      <c r="AH46" s="118"/>
      <c r="AI46" s="114"/>
      <c r="AJ46" s="118"/>
      <c r="AK46" s="118"/>
      <c r="AL46" s="118"/>
      <c r="AM46" s="118"/>
      <c r="AN46" s="148"/>
      <c r="AO46" s="116"/>
      <c r="AP46" s="117"/>
      <c r="AQ46" s="366"/>
      <c r="AR46" s="366"/>
      <c r="AS46" s="366"/>
      <c r="AT46" s="366"/>
      <c r="AU46" s="366"/>
      <c r="AV46" s="148"/>
      <c r="AW46" s="118"/>
      <c r="AX46" s="118"/>
      <c r="AY46" s="368"/>
      <c r="AZ46" s="369"/>
    </row>
    <row r="47" customFormat="false" ht="12.95" hidden="false" customHeight="true" outlineLevel="0" collapsed="false">
      <c r="A47" s="12" t="s">
        <v>95</v>
      </c>
      <c r="B47" s="354"/>
      <c r="C47" s="91"/>
      <c r="D47" s="91"/>
      <c r="E47" s="91"/>
      <c r="F47" s="355" t="n">
        <f aca="false">F44</f>
        <v>23573.4812200655</v>
      </c>
      <c r="G47" s="79" t="n">
        <f aca="false">G44</f>
        <v>23518</v>
      </c>
      <c r="H47" s="79" t="n">
        <f aca="false">H44</f>
        <v>3038</v>
      </c>
      <c r="I47" s="79" t="n">
        <f aca="false">I44</f>
        <v>26556</v>
      </c>
      <c r="J47" s="79" t="n">
        <f aca="false">J44</f>
        <v>3087.08122006554</v>
      </c>
      <c r="K47" s="79" t="n">
        <f aca="false">K44</f>
        <v>29643.0812200655</v>
      </c>
      <c r="L47" s="79" t="n">
        <f aca="false">L44</f>
        <v>3087.08122006554</v>
      </c>
      <c r="M47" s="95" t="n">
        <f aca="false">M44</f>
        <v>3301.5</v>
      </c>
      <c r="N47" s="91" t="n">
        <f aca="false">N44</f>
        <v>56.54391</v>
      </c>
      <c r="O47" s="91" t="n">
        <f aca="false">O10+O44</f>
        <v>1923.5097</v>
      </c>
      <c r="P47" s="312" t="n">
        <f aca="false">P10+P44</f>
        <v>0</v>
      </c>
      <c r="Q47" s="91"/>
      <c r="R47" s="91"/>
      <c r="S47" s="91"/>
      <c r="T47" s="356"/>
      <c r="U47" s="79" t="n">
        <f aca="false">U44</f>
        <v>536.3</v>
      </c>
      <c r="V47" s="79" t="n">
        <f aca="false">V44</f>
        <v>548</v>
      </c>
      <c r="W47" s="79" t="n">
        <f aca="false">W10+W44</f>
        <v>2307.67969</v>
      </c>
      <c r="X47" s="79" t="n">
        <f aca="false">X10+X44</f>
        <v>1500.546345</v>
      </c>
      <c r="Y47" s="79"/>
      <c r="Z47" s="79"/>
      <c r="AA47" s="94" t="n">
        <f aca="false">AA42</f>
        <v>8998.386314</v>
      </c>
      <c r="AB47" s="94"/>
      <c r="AC47" s="94" t="n">
        <f aca="false">AC42</f>
        <v>1695.29401778861</v>
      </c>
      <c r="AD47" s="93"/>
      <c r="AE47" s="79" t="n">
        <f aca="false">AE44</f>
        <v>203.8</v>
      </c>
      <c r="AF47" s="79" t="n">
        <f aca="false">AF44</f>
        <v>51</v>
      </c>
      <c r="AG47" s="79" t="n">
        <f aca="false">AG44</f>
        <v>39</v>
      </c>
      <c r="AH47" s="79"/>
      <c r="AI47" s="79"/>
      <c r="AJ47" s="79" t="n">
        <f aca="false">AJ44</f>
        <v>0</v>
      </c>
      <c r="AK47" s="79" t="n">
        <f aca="false">AK44</f>
        <v>6069.6</v>
      </c>
      <c r="AL47" s="79" t="n">
        <f aca="false">AL44</f>
        <v>0</v>
      </c>
      <c r="AM47" s="91" t="n">
        <f aca="false">AM44</f>
        <v>6069.6</v>
      </c>
      <c r="AN47" s="357"/>
      <c r="AO47" s="93"/>
      <c r="AP47" s="94"/>
      <c r="AQ47" s="358"/>
      <c r="AR47" s="358"/>
      <c r="AS47" s="98"/>
      <c r="AT47" s="1"/>
      <c r="AU47" s="1"/>
      <c r="AV47" s="99"/>
      <c r="AW47" s="100" t="n">
        <f aca="false">MIN(AW13:AW42)</f>
        <v>35</v>
      </c>
      <c r="AX47" s="100" t="n">
        <f aca="false">MIN(AX13:AX42)</f>
        <v>18</v>
      </c>
      <c r="AY47" s="355" t="s">
        <v>96</v>
      </c>
      <c r="AZ47" s="377" t="n">
        <f aca="false">AZ44</f>
        <v>203.51331</v>
      </c>
    </row>
    <row r="48" customFormat="false" ht="12.95" hidden="false" customHeight="true" outlineLevel="0" collapsed="false">
      <c r="A48" s="12" t="s">
        <v>97</v>
      </c>
      <c r="B48" s="354"/>
      <c r="C48" s="91"/>
      <c r="D48" s="91"/>
      <c r="E48" s="91"/>
      <c r="F48" s="355" t="n">
        <f aca="false">F47*$D$2</f>
        <v>46758</v>
      </c>
      <c r="G48" s="79" t="n">
        <f aca="false">G47*$D$2</f>
        <v>46647.953</v>
      </c>
      <c r="H48" s="79" t="n">
        <f aca="false">H47*$D$2</f>
        <v>6025.873</v>
      </c>
      <c r="I48" s="79" t="n">
        <f aca="false">I47*$D$2</f>
        <v>52673.826</v>
      </c>
      <c r="J48" s="79" t="n">
        <f aca="false">J47*$D$2</f>
        <v>6123.2256</v>
      </c>
      <c r="K48" s="79" t="n">
        <f aca="false">K47*$D$2</f>
        <v>58797.0516</v>
      </c>
      <c r="L48" s="79" t="n">
        <f aca="false">L47*$D$2</f>
        <v>6123.2256</v>
      </c>
      <c r="M48" s="95" t="n">
        <f aca="false">M47*$D$2</f>
        <v>6548.52525</v>
      </c>
      <c r="N48" s="91" t="n">
        <f aca="false">N47*$D$2</f>
        <v>112.154845485</v>
      </c>
      <c r="O48" s="91" t="n">
        <f aca="false">O47*$D$2</f>
        <v>3815.28148995</v>
      </c>
      <c r="P48" s="312" t="n">
        <f aca="false">P47*$D$2</f>
        <v>0</v>
      </c>
      <c r="Q48" s="91"/>
      <c r="R48" s="91"/>
      <c r="S48" s="91"/>
      <c r="T48" s="356"/>
      <c r="U48" s="79" t="n">
        <f aca="false">U47*$D$2</f>
        <v>1063.75105</v>
      </c>
      <c r="V48" s="79" t="n">
        <f aca="false">V47*$D$2</f>
        <v>1086.958</v>
      </c>
      <c r="W48" s="79" t="n">
        <f aca="false">W47*$D$2</f>
        <v>4577.282665115</v>
      </c>
      <c r="X48" s="79" t="n">
        <f aca="false">X47*$D$2</f>
        <v>2976.3336753075</v>
      </c>
      <c r="Y48" s="79"/>
      <c r="Z48" s="79"/>
      <c r="AA48" s="94" t="n">
        <f aca="false">AA47*$D$2</f>
        <v>17848.299253819</v>
      </c>
      <c r="AB48" s="94"/>
      <c r="AC48" s="94" t="n">
        <f aca="false">AC47*$D$2</f>
        <v>3362.61568428371</v>
      </c>
      <c r="AD48" s="93"/>
      <c r="AE48" s="79" t="n">
        <f aca="false">AE47*$D$2</f>
        <v>404.2373</v>
      </c>
      <c r="AF48" s="79" t="n">
        <f aca="false">AF47*$D$2</f>
        <v>101.1585</v>
      </c>
      <c r="AG48" s="79" t="n">
        <f aca="false">AG47*$D$2</f>
        <v>77.3565</v>
      </c>
      <c r="AH48" s="79"/>
      <c r="AI48" s="79"/>
      <c r="AJ48" s="79" t="n">
        <f aca="false">AJ47*$D$2</f>
        <v>0</v>
      </c>
      <c r="AK48" s="79" t="n">
        <f aca="false">AK47*$D$2</f>
        <v>12039.0516</v>
      </c>
      <c r="AL48" s="79" t="n">
        <f aca="false">AL47*$D$2</f>
        <v>0</v>
      </c>
      <c r="AM48" s="91" t="n">
        <f aca="false">AM47*$D$2</f>
        <v>12039.0516</v>
      </c>
      <c r="AN48" s="357"/>
      <c r="AO48" s="93"/>
      <c r="AP48" s="94"/>
      <c r="AQ48" s="358" t="n">
        <f aca="false">AQ45</f>
        <v>42.7174674098288</v>
      </c>
      <c r="AR48" s="358"/>
      <c r="AS48" s="98"/>
      <c r="AT48" s="1"/>
      <c r="AU48" s="1"/>
      <c r="AV48" s="99"/>
      <c r="AW48" s="100"/>
      <c r="AX48" s="100"/>
      <c r="AY48" s="300"/>
      <c r="AZ48" s="377" t="n">
        <f aca="false">AZ47*$D$2</f>
        <v>403.668650385</v>
      </c>
    </row>
    <row r="49" customFormat="false" ht="3" hidden="false" customHeight="true" outlineLevel="0" collapsed="false">
      <c r="A49" s="107"/>
      <c r="B49" s="374"/>
      <c r="C49" s="118"/>
      <c r="D49" s="118"/>
      <c r="E49" s="118"/>
      <c r="F49" s="368"/>
      <c r="G49" s="118"/>
      <c r="H49" s="114"/>
      <c r="I49" s="118"/>
      <c r="J49" s="118"/>
      <c r="K49" s="118"/>
      <c r="L49" s="118"/>
      <c r="M49" s="146"/>
      <c r="N49" s="118"/>
      <c r="O49" s="118"/>
      <c r="P49" s="366"/>
      <c r="Q49" s="118"/>
      <c r="R49" s="118"/>
      <c r="S49" s="118"/>
      <c r="T49" s="367"/>
      <c r="U49" s="118"/>
      <c r="V49" s="118"/>
      <c r="W49" s="118"/>
      <c r="X49" s="118"/>
      <c r="Y49" s="118"/>
      <c r="Z49" s="118"/>
      <c r="AA49" s="117"/>
      <c r="AB49" s="117"/>
      <c r="AC49" s="117"/>
      <c r="AD49" s="116"/>
      <c r="AE49" s="118"/>
      <c r="AF49" s="118"/>
      <c r="AG49" s="118"/>
      <c r="AH49" s="118"/>
      <c r="AI49" s="118"/>
      <c r="AJ49" s="118"/>
      <c r="AK49" s="118"/>
      <c r="AL49" s="118"/>
      <c r="AM49" s="118"/>
      <c r="AN49" s="148"/>
      <c r="AO49" s="116"/>
      <c r="AP49" s="117"/>
      <c r="AQ49" s="366"/>
      <c r="AR49" s="366"/>
      <c r="AS49" s="366"/>
      <c r="AT49" s="366"/>
      <c r="AU49" s="366"/>
      <c r="AV49" s="123"/>
      <c r="AW49" s="378"/>
      <c r="AX49" s="378"/>
      <c r="AY49" s="368"/>
      <c r="AZ49" s="369"/>
    </row>
    <row r="50" customFormat="false" ht="12.95" hidden="false" customHeight="true" outlineLevel="0" collapsed="false">
      <c r="A50" s="12" t="s">
        <v>98</v>
      </c>
      <c r="B50" s="354"/>
      <c r="C50" s="91"/>
      <c r="D50" s="91"/>
      <c r="E50" s="91"/>
      <c r="F50" s="355" t="n">
        <f aca="false">F11+F44</f>
        <v>22809.6798588353</v>
      </c>
      <c r="G50" s="79" t="n">
        <f aca="false">G11+G44</f>
        <v>34518</v>
      </c>
      <c r="H50" s="79" t="n">
        <f aca="false">H11+H44</f>
        <v>3578.13</v>
      </c>
      <c r="I50" s="79" t="n">
        <f aca="false">I11+I44</f>
        <v>38096.13</v>
      </c>
      <c r="J50" s="79" t="n">
        <f aca="false">J11+J44</f>
        <v>6393.21510461305</v>
      </c>
      <c r="K50" s="79" t="n">
        <f aca="false">K11+K44</f>
        <v>44489.345104613</v>
      </c>
      <c r="L50" s="79" t="n">
        <f aca="false">L11+L44</f>
        <v>5459.04985883539</v>
      </c>
      <c r="M50" s="95" t="n">
        <f aca="false">M11+M44</f>
        <v>4220.1</v>
      </c>
      <c r="N50" s="91" t="n">
        <f aca="false">N11+N44</f>
        <v>56.54391</v>
      </c>
      <c r="O50" s="91" t="n">
        <f aca="false">O11+O44</f>
        <v>1923.5097</v>
      </c>
      <c r="P50" s="312"/>
      <c r="Q50" s="91" t="n">
        <f aca="false">Q11+Q44</f>
        <v>286.73832</v>
      </c>
      <c r="R50" s="91" t="n">
        <f aca="false">R11+R44</f>
        <v>471.85</v>
      </c>
      <c r="S50" s="91" t="n">
        <f aca="false">S11+S44</f>
        <v>5.14</v>
      </c>
      <c r="T50" s="356" t="n">
        <f aca="false">T11+T44</f>
        <v>-71.5154</v>
      </c>
      <c r="U50" s="79" t="n">
        <f aca="false">U11+U44</f>
        <v>7966.3</v>
      </c>
      <c r="V50" s="79" t="n">
        <f aca="false">V11+V44</f>
        <v>624.3</v>
      </c>
      <c r="W50" s="79" t="n">
        <f aca="false">W11+W44</f>
        <v>10138.43347</v>
      </c>
      <c r="X50" s="79" t="n">
        <f aca="false">X11+X44</f>
        <v>8878.031325</v>
      </c>
      <c r="Y50" s="79"/>
      <c r="Z50" s="79"/>
      <c r="AA50" s="94"/>
      <c r="AB50" s="94"/>
      <c r="AC50" s="94"/>
      <c r="AD50" s="93"/>
      <c r="AE50" s="79"/>
      <c r="AF50" s="79"/>
      <c r="AG50" s="79"/>
      <c r="AH50" s="79" t="n">
        <f aca="false">AH11+AH44</f>
        <v>7731</v>
      </c>
      <c r="AI50" s="79" t="n">
        <f aca="false">AI42</f>
        <v>14551.2578774893</v>
      </c>
      <c r="AJ50" s="79" t="n">
        <f aca="false">AJ11+AJ44</f>
        <v>0</v>
      </c>
      <c r="AK50" s="79" t="n">
        <f aca="false">AK11+AK44</f>
        <v>20745.5</v>
      </c>
      <c r="AL50" s="79" t="n">
        <f aca="false">AL11+AL44</f>
        <v>934.165245777666</v>
      </c>
      <c r="AM50" s="91" t="n">
        <f aca="false">AM11+AM44</f>
        <v>21679.6652457777</v>
      </c>
      <c r="AN50" s="357"/>
      <c r="AO50" s="143" t="n">
        <f aca="false">AO11+AO44</f>
        <v>1260.402145</v>
      </c>
      <c r="AP50" s="94"/>
      <c r="AQ50" s="358"/>
      <c r="AR50" s="358"/>
      <c r="AS50" s="98"/>
      <c r="AT50" s="1"/>
      <c r="AU50" s="1"/>
      <c r="AV50" s="99" t="n">
        <f aca="false">AV11+AV44</f>
        <v>4.76</v>
      </c>
      <c r="AW50" s="100"/>
      <c r="AX50" s="100"/>
      <c r="AY50" s="300"/>
      <c r="AZ50" s="377" t="n">
        <f aca="false">AZ11+AZ44</f>
        <v>748.75683</v>
      </c>
    </row>
    <row r="51" customFormat="false" ht="12.95" hidden="false" customHeight="true" outlineLevel="0" collapsed="false">
      <c r="A51" s="12" t="s">
        <v>99</v>
      </c>
      <c r="B51" s="354"/>
      <c r="C51" s="91"/>
      <c r="D51" s="91" t="n">
        <f aca="false">D11+D45</f>
        <v>45243</v>
      </c>
      <c r="E51" s="91" t="n">
        <f aca="false">E42</f>
        <v>178044</v>
      </c>
      <c r="F51" s="355" t="n">
        <f aca="false">F50*$D$2</f>
        <v>45242.9999999999</v>
      </c>
      <c r="G51" s="79" t="n">
        <f aca="false">G50*$D$2</f>
        <v>68466.453</v>
      </c>
      <c r="H51" s="79" t="n">
        <f aca="false">H50*$D$2</f>
        <v>7097.220855</v>
      </c>
      <c r="I51" s="79" t="n">
        <f aca="false">I50*$D$2</f>
        <v>75563.673855</v>
      </c>
      <c r="J51" s="79" t="n">
        <f aca="false">J50*$D$2</f>
        <v>12680.94216</v>
      </c>
      <c r="K51" s="79" t="n">
        <f aca="false">K50*$D$2</f>
        <v>88244.6160149999</v>
      </c>
      <c r="L51" s="79" t="n">
        <f aca="false">L50*$D$2</f>
        <v>10828.025395</v>
      </c>
      <c r="M51" s="95" t="n">
        <f aca="false">M50*$D$2</f>
        <v>8370.56835</v>
      </c>
      <c r="N51" s="91" t="n">
        <f aca="false">N50*$D$2</f>
        <v>112.154845485</v>
      </c>
      <c r="O51" s="91" t="n">
        <f aca="false">O50*$D$2</f>
        <v>3815.28148995</v>
      </c>
      <c r="P51" s="312"/>
      <c r="Q51" s="91" t="n">
        <f aca="false">Q50*$D$2</f>
        <v>568.74545772</v>
      </c>
      <c r="R51" s="91" t="n">
        <f aca="false">R50*$D$2</f>
        <v>935.914475</v>
      </c>
      <c r="S51" s="91" t="n">
        <f aca="false">S50*$D$2</f>
        <v>10.19519</v>
      </c>
      <c r="T51" s="379" t="n">
        <f aca="false">T50*$D$2</f>
        <v>-141.8507959</v>
      </c>
      <c r="U51" s="79" t="n">
        <f aca="false">U50*$D$2</f>
        <v>15801.15605</v>
      </c>
      <c r="V51" s="79" t="n">
        <f aca="false">V50*$D$2</f>
        <v>1238.29905</v>
      </c>
      <c r="W51" s="79" t="n">
        <f aca="false">W50*$D$2</f>
        <v>20109.582787745</v>
      </c>
      <c r="X51" s="79" t="n">
        <f aca="false">X50*$D$2</f>
        <v>17609.5751331375</v>
      </c>
      <c r="Y51" s="79"/>
      <c r="Z51" s="79"/>
      <c r="AA51" s="94"/>
      <c r="AB51" s="94"/>
      <c r="AC51" s="94"/>
      <c r="AD51" s="93"/>
      <c r="AE51" s="79"/>
      <c r="AF51" s="79"/>
      <c r="AG51" s="79"/>
      <c r="AH51" s="79" t="n">
        <f aca="false">AH50*$D$2</f>
        <v>15334.4385</v>
      </c>
      <c r="AI51" s="79" t="n">
        <f aca="false">AI50*$D$2</f>
        <v>28862.42</v>
      </c>
      <c r="AJ51" s="79" t="n">
        <f aca="false">AJ50*$D$2</f>
        <v>0</v>
      </c>
      <c r="AK51" s="79" t="n">
        <f aca="false">AK50*$D$2</f>
        <v>41148.69925</v>
      </c>
      <c r="AL51" s="79" t="n">
        <f aca="false">AL50*$D$2</f>
        <v>1852.916765</v>
      </c>
      <c r="AM51" s="91" t="n">
        <f aca="false">AM50*$D$2</f>
        <v>43001.616015</v>
      </c>
      <c r="AN51" s="357" t="n">
        <f aca="false">AN42</f>
        <v>14570.652155</v>
      </c>
      <c r="AO51" s="143" t="n">
        <f aca="false">AO50*$D$2</f>
        <v>2500.0076546075</v>
      </c>
      <c r="AP51" s="94"/>
      <c r="AQ51" s="358" t="n">
        <f aca="false">AQ45</f>
        <v>42.7174674098288</v>
      </c>
      <c r="AR51" s="358"/>
      <c r="AS51" s="98"/>
      <c r="AT51" s="1"/>
      <c r="AU51" s="1"/>
      <c r="AV51" s="99"/>
      <c r="AW51" s="100"/>
      <c r="AX51" s="100"/>
      <c r="AY51" s="300"/>
      <c r="AZ51" s="377" t="n">
        <f aca="false">AZ50*$D$2</f>
        <v>1485.159172305</v>
      </c>
    </row>
    <row r="52" customFormat="false" ht="3" hidden="false" customHeight="true" outlineLevel="0" collapsed="false">
      <c r="A52" s="107"/>
      <c r="B52" s="140"/>
      <c r="C52" s="109"/>
      <c r="D52" s="107"/>
      <c r="E52" s="109"/>
      <c r="F52" s="110"/>
      <c r="G52" s="107"/>
      <c r="H52" s="107"/>
      <c r="I52" s="107"/>
      <c r="J52" s="107"/>
      <c r="K52" s="107"/>
      <c r="L52" s="107"/>
      <c r="M52" s="112"/>
      <c r="N52" s="107"/>
      <c r="O52" s="107"/>
      <c r="P52" s="113"/>
      <c r="Q52" s="107"/>
      <c r="R52" s="107"/>
      <c r="S52" s="107"/>
      <c r="T52" s="380"/>
      <c r="U52" s="107"/>
      <c r="V52" s="107"/>
      <c r="W52" s="107"/>
      <c r="X52" s="107"/>
      <c r="Y52" s="107"/>
      <c r="Z52" s="107"/>
      <c r="AA52" s="150"/>
      <c r="AB52" s="150"/>
      <c r="AC52" s="150"/>
      <c r="AD52" s="154"/>
      <c r="AE52" s="107"/>
      <c r="AF52" s="112"/>
      <c r="AG52" s="153"/>
      <c r="AH52" s="107"/>
      <c r="AI52" s="109"/>
      <c r="AJ52" s="381"/>
      <c r="AK52" s="107"/>
      <c r="AL52" s="107"/>
      <c r="AM52" s="107"/>
      <c r="AN52" s="382"/>
      <c r="AO52" s="154"/>
      <c r="AP52" s="150"/>
      <c r="AQ52" s="113"/>
      <c r="AR52" s="113"/>
      <c r="AS52" s="113"/>
      <c r="AT52" s="383"/>
      <c r="AU52" s="384"/>
      <c r="AV52" s="140"/>
      <c r="AW52" s="107"/>
      <c r="AX52" s="107"/>
      <c r="AY52" s="368"/>
      <c r="AZ52" s="369"/>
    </row>
    <row r="53" customFormat="false" ht="14.1" hidden="false" customHeight="true" outlineLevel="0" collapsed="false">
      <c r="A53" s="159"/>
      <c r="B53" s="160"/>
      <c r="D53" s="12"/>
      <c r="F53" s="12"/>
      <c r="G53" s="12"/>
      <c r="I53" s="12"/>
      <c r="J53" s="12"/>
      <c r="K53" s="12"/>
      <c r="L53" s="12"/>
      <c r="M53" s="12"/>
      <c r="N53" s="12"/>
      <c r="O53" s="12"/>
      <c r="Q53" s="12"/>
      <c r="R53" s="12"/>
      <c r="S53" s="12"/>
      <c r="U53" s="12"/>
      <c r="V53" s="12"/>
      <c r="W53" s="12"/>
      <c r="X53" s="12"/>
      <c r="Y53" s="12"/>
      <c r="Z53" s="12"/>
      <c r="AE53" s="12"/>
      <c r="AF53" s="12"/>
      <c r="AG53" s="12"/>
      <c r="AH53" s="12"/>
      <c r="AI53" s="2"/>
      <c r="AJ53" s="102"/>
      <c r="AK53" s="12"/>
      <c r="AL53" s="12"/>
      <c r="AM53" s="28"/>
      <c r="AN53" s="2"/>
      <c r="AO53" s="4"/>
      <c r="AP53" s="345"/>
      <c r="AQ53" s="66"/>
      <c r="AR53" s="66"/>
      <c r="AX53" s="125"/>
    </row>
    <row r="54" customFormat="false" ht="11.1" hidden="false" customHeight="true" outlineLevel="0" collapsed="false">
      <c r="A54" s="12"/>
      <c r="B54" s="162"/>
      <c r="F54" s="12"/>
      <c r="G54" s="12"/>
      <c r="I54" s="13"/>
      <c r="J54" s="12"/>
      <c r="K54" s="163"/>
      <c r="L54" s="12"/>
      <c r="M54" s="12"/>
      <c r="N54" s="12"/>
      <c r="O54" s="12"/>
      <c r="Q54" s="12"/>
      <c r="R54" s="12"/>
      <c r="S54" s="12"/>
      <c r="U54" s="12"/>
      <c r="V54" s="12"/>
      <c r="W54" s="12"/>
      <c r="X54" s="12"/>
      <c r="Y54" s="12"/>
      <c r="Z54" s="12"/>
      <c r="AE54" s="12"/>
      <c r="AF54" s="12"/>
      <c r="AG54" s="12"/>
      <c r="AH54" s="12"/>
      <c r="AI54" s="2"/>
      <c r="AJ54" s="102"/>
      <c r="AK54" s="12"/>
      <c r="AL54" s="12"/>
      <c r="AM54" s="128"/>
      <c r="AN54" s="2"/>
      <c r="AO54" s="4"/>
      <c r="AP54" s="345"/>
      <c r="AQ54" s="66"/>
      <c r="AR54" s="66"/>
      <c r="AX54" s="125"/>
    </row>
    <row r="55" customFormat="false" ht="11.1" hidden="false" customHeight="true" outlineLevel="0" collapsed="false">
      <c r="D55" s="2"/>
      <c r="S55" s="4"/>
      <c r="W55" s="1"/>
      <c r="X55" s="1"/>
      <c r="Y55" s="1"/>
      <c r="Z55" s="1"/>
      <c r="AH55" s="1"/>
      <c r="AI55" s="2"/>
      <c r="AJ55" s="102"/>
      <c r="AM55" s="28"/>
      <c r="AN55" s="2"/>
      <c r="AO55" s="4"/>
      <c r="AP55" s="345"/>
      <c r="AQ55" s="66"/>
      <c r="AR55" s="66"/>
      <c r="AX55" s="125"/>
    </row>
    <row r="56" customFormat="false" ht="11.1" hidden="false" customHeight="true" outlineLevel="0" collapsed="false">
      <c r="B56" s="5"/>
      <c r="D56" s="2"/>
      <c r="S56" s="4"/>
      <c r="W56" s="1"/>
      <c r="X56" s="1"/>
      <c r="Y56" s="1"/>
      <c r="Z56" s="1"/>
      <c r="AH56" s="1"/>
      <c r="AI56" s="2"/>
      <c r="AJ56" s="102"/>
      <c r="AM56" s="28"/>
      <c r="AN56" s="2"/>
      <c r="AO56" s="4"/>
      <c r="AP56" s="345"/>
      <c r="AQ56" s="66"/>
      <c r="AR56" s="66"/>
      <c r="AX56" s="125"/>
    </row>
    <row r="57" customFormat="false" ht="11.1" hidden="false" customHeight="true" outlineLevel="0" collapsed="false">
      <c r="G57" s="164"/>
      <c r="AP57" s="345"/>
    </row>
  </sheetData>
  <mergeCells count="1">
    <mergeCell ref="M5:T5"/>
  </mergeCells>
  <printOptions headings="true" gridLines="true" gridLinesSet="true" horizontalCentered="false" verticalCentered="true"/>
  <pageMargins left="0.25" right="0.25" top="0.25" bottom="0" header="0.511811023622047" footer="0.511811023622047"/>
  <pageSetup paperSize="3" scale="96"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58"/>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1" ySplit="12" topLeftCell="P19" activePane="bottomRight" state="frozen"/>
      <selection pane="topLeft" activeCell="A1" activeCellId="0" sqref="A1"/>
      <selection pane="topRight" activeCell="P1" activeCellId="0" sqref="P1"/>
      <selection pane="bottomLeft" activeCell="A19" activeCellId="0" sqref="A19"/>
      <selection pane="bottomRight" activeCell="Y9" activeCellId="1" sqref="E20:E43 Y9"/>
    </sheetView>
  </sheetViews>
  <sheetFormatPr defaultColWidth="9.3359375" defaultRowHeight="11.1" zeroHeight="false" outlineLevelRow="0" outlineLevelCol="0"/>
  <cols>
    <col collapsed="false" customWidth="true" hidden="false" outlineLevel="0" max="1" min="1" style="9" width="4.67"/>
    <col collapsed="false" customWidth="true" hidden="false" outlineLevel="0" max="2" min="2" style="9" width="6.99"/>
    <col collapsed="false" customWidth="true" hidden="false" outlineLevel="0" max="3" min="3" style="105" width="6.99"/>
    <col collapsed="false" customWidth="true" hidden="false" outlineLevel="0" max="4" min="4" style="9" width="6.32"/>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166" width="6.32"/>
    <col collapsed="false" customWidth="true" hidden="false" outlineLevel="0" max="9" min="9" style="9" width="6.99"/>
    <col collapsed="false" customWidth="true" hidden="false" outlineLevel="0" max="10" min="10" style="9" width="6.32"/>
    <col collapsed="false" customWidth="true" hidden="false" outlineLevel="0" max="12" min="11" style="9" width="6.99"/>
    <col collapsed="false" customWidth="true" hidden="false" outlineLevel="0" max="13" min="13" style="166" width="6.32"/>
    <col collapsed="false" customWidth="true" hidden="false" outlineLevel="0" max="14" min="14" style="167" width="4.49"/>
    <col collapsed="false" customWidth="true" hidden="false" outlineLevel="0" max="15" min="15" style="166" width="5.49"/>
    <col collapsed="false" customWidth="true" hidden="false" outlineLevel="0" max="16" min="16" style="167" width="4.82"/>
    <col collapsed="false" customWidth="true" hidden="false" outlineLevel="0" max="17" min="17" style="166" width="4.49"/>
    <col collapsed="false" customWidth="true" hidden="false" outlineLevel="0" max="18" min="18" style="166" width="4.82"/>
    <col collapsed="false" customWidth="true" hidden="false" outlineLevel="0" max="19" min="19" style="255" width="4.82"/>
    <col collapsed="false" customWidth="true" hidden="false" outlineLevel="0" max="20" min="20" style="167" width="4.82"/>
    <col collapsed="false" customWidth="true" hidden="false" outlineLevel="0" max="22" min="21" style="9" width="5.49"/>
    <col collapsed="false" customWidth="true" hidden="false" outlineLevel="0" max="26" min="23" style="105" width="6.32"/>
    <col collapsed="false" customWidth="true" hidden="false" outlineLevel="0" max="33" min="27" style="9" width="5.49"/>
    <col collapsed="false" customWidth="true" hidden="false" outlineLevel="0" max="34" min="34" style="168" width="5.82"/>
    <col collapsed="false" customWidth="true" hidden="false" outlineLevel="0" max="35" min="35" style="9" width="5.82"/>
    <col collapsed="false" customWidth="true" hidden="false" outlineLevel="0" max="36" min="36" style="169" width="6.32"/>
    <col collapsed="false" customWidth="true" hidden="false" outlineLevel="0" max="38" min="37" style="9" width="6.32"/>
    <col collapsed="false" customWidth="true" hidden="false" outlineLevel="0" max="39" min="39" style="167" width="6.99"/>
    <col collapsed="false" customWidth="true" hidden="false" outlineLevel="0" max="40" min="40" style="105" width="5.49"/>
    <col collapsed="false" customWidth="true" hidden="false" outlineLevel="0" max="41" min="41" style="9" width="5.49"/>
    <col collapsed="false" customWidth="true" hidden="false" outlineLevel="0" max="42" min="42" style="9" width="6.32"/>
    <col collapsed="false" customWidth="true" hidden="false" outlineLevel="0" max="44" min="43" style="329" width="6.32"/>
    <col collapsed="false" customWidth="true" hidden="false" outlineLevel="0" max="45" min="45" style="9" width="6.32"/>
    <col collapsed="false" customWidth="true" hidden="false" outlineLevel="0" max="46" min="46" style="330" width="6.32"/>
    <col collapsed="false" customWidth="true" hidden="false" outlineLevel="0" max="47" min="47" style="169" width="5.82"/>
    <col collapsed="false" customWidth="true" hidden="false" outlineLevel="0" max="48" min="48" style="165" width="5.32"/>
    <col collapsed="false" customWidth="true" hidden="false" outlineLevel="0" max="49" min="49" style="168" width="3.82"/>
    <col collapsed="false" customWidth="true" hidden="false" outlineLevel="0" max="50" min="50" style="171" width="3.82"/>
    <col collapsed="false" customWidth="true" hidden="false" outlineLevel="0" max="51" min="51" style="172" width="4.32"/>
    <col collapsed="false" customWidth="true" hidden="false" outlineLevel="0" max="52" min="52" style="172" width="6.49"/>
    <col collapsed="false" customWidth="false" hidden="false" outlineLevel="0" max="257" min="53" style="172" width="9.32"/>
  </cols>
  <sheetData>
    <row r="1" customFormat="false" ht="14.1" hidden="false" customHeight="true" outlineLevel="0" collapsed="false">
      <c r="A1" s="173"/>
      <c r="B1" s="173"/>
      <c r="D1" s="173"/>
      <c r="F1" s="173"/>
      <c r="G1" s="173"/>
      <c r="I1" s="173"/>
      <c r="J1" s="173"/>
      <c r="K1" s="385" t="s">
        <v>0</v>
      </c>
      <c r="L1" s="173"/>
      <c r="M1" s="173"/>
      <c r="O1" s="173"/>
      <c r="Q1" s="173"/>
      <c r="R1" s="173"/>
      <c r="U1" s="173"/>
      <c r="V1" s="173"/>
      <c r="AA1" s="173"/>
      <c r="AB1" s="173"/>
      <c r="AC1" s="173"/>
      <c r="AD1" s="173"/>
      <c r="AE1" s="173"/>
      <c r="AF1" s="173"/>
      <c r="AG1" s="173"/>
      <c r="AI1" s="173"/>
      <c r="AJ1" s="176"/>
      <c r="AK1" s="173"/>
      <c r="AL1" s="173"/>
      <c r="AN1" s="208"/>
      <c r="AO1" s="176"/>
      <c r="AP1" s="176"/>
    </row>
    <row r="2" customFormat="false" ht="14.1" hidden="false" customHeight="true" outlineLevel="0" collapsed="false">
      <c r="A2" s="176" t="s">
        <v>1</v>
      </c>
      <c r="B2" s="173"/>
      <c r="D2" s="177" t="n">
        <v>1.9835</v>
      </c>
      <c r="F2" s="173"/>
      <c r="G2" s="173"/>
      <c r="I2" s="173"/>
      <c r="J2" s="173"/>
      <c r="K2" s="385" t="s">
        <v>114</v>
      </c>
      <c r="L2" s="178"/>
      <c r="M2" s="274"/>
      <c r="N2" s="329"/>
      <c r="O2" s="274"/>
      <c r="P2" s="329"/>
      <c r="Q2" s="274"/>
      <c r="R2" s="274"/>
      <c r="S2" s="386"/>
      <c r="T2" s="329"/>
      <c r="U2" s="274"/>
      <c r="V2" s="274"/>
      <c r="W2" s="80"/>
      <c r="X2" s="80"/>
      <c r="Y2" s="80"/>
      <c r="Z2" s="80"/>
      <c r="AA2" s="274"/>
      <c r="AB2" s="274"/>
      <c r="AC2" s="274"/>
      <c r="AD2" s="274"/>
      <c r="AE2" s="173"/>
      <c r="AF2" s="173"/>
      <c r="AG2" s="173"/>
      <c r="AI2" s="173"/>
      <c r="AJ2" s="176"/>
      <c r="AK2" s="173"/>
      <c r="AL2" s="173"/>
      <c r="AN2" s="208"/>
      <c r="AO2" s="176"/>
      <c r="AP2" s="176"/>
    </row>
    <row r="3" customFormat="false" ht="14.1" hidden="false" customHeight="true" outlineLevel="0" collapsed="false">
      <c r="A3" s="173"/>
      <c r="B3" s="173"/>
      <c r="D3" s="387"/>
      <c r="F3" s="173"/>
      <c r="G3" s="173"/>
      <c r="I3" s="173"/>
      <c r="J3" s="173"/>
      <c r="K3" s="173"/>
      <c r="L3" s="173"/>
      <c r="M3" s="173"/>
      <c r="O3" s="173"/>
      <c r="Q3" s="173"/>
      <c r="R3" s="173"/>
      <c r="U3" s="173"/>
      <c r="V3" s="173"/>
      <c r="AA3" s="173"/>
      <c r="AB3" s="173"/>
      <c r="AC3" s="173"/>
      <c r="AD3" s="173"/>
      <c r="AE3" s="173"/>
      <c r="AF3" s="173"/>
      <c r="AG3" s="173"/>
      <c r="AI3" s="173"/>
      <c r="AJ3" s="176"/>
      <c r="AK3" s="173"/>
      <c r="AL3" s="173"/>
      <c r="AN3" s="208"/>
      <c r="AO3" s="186"/>
      <c r="AP3" s="186"/>
    </row>
    <row r="4" s="9" customFormat="true" ht="14.1" hidden="false" customHeight="true" outlineLevel="0" collapsed="false">
      <c r="A4" s="388"/>
      <c r="B4" s="389"/>
      <c r="C4" s="390"/>
      <c r="D4" s="391" t="s">
        <v>3</v>
      </c>
      <c r="E4" s="390"/>
      <c r="F4" s="388"/>
      <c r="G4" s="389"/>
      <c r="H4" s="392"/>
      <c r="I4" s="388"/>
      <c r="J4" s="388"/>
      <c r="K4" s="388"/>
      <c r="L4" s="388"/>
      <c r="M4" s="388"/>
      <c r="N4" s="393"/>
      <c r="O4" s="388"/>
      <c r="P4" s="393"/>
      <c r="Q4" s="388"/>
      <c r="R4" s="388"/>
      <c r="S4" s="394"/>
      <c r="T4" s="393"/>
      <c r="U4" s="395" t="s">
        <v>4</v>
      </c>
      <c r="V4" s="388"/>
      <c r="W4" s="390"/>
      <c r="X4" s="390"/>
      <c r="Y4" s="390"/>
      <c r="Z4" s="390"/>
      <c r="AA4" s="388"/>
      <c r="AB4" s="388"/>
      <c r="AC4" s="388"/>
      <c r="AD4" s="388"/>
      <c r="AE4" s="388"/>
      <c r="AF4" s="388"/>
      <c r="AG4" s="388"/>
      <c r="AH4" s="396"/>
      <c r="AI4" s="388"/>
      <c r="AJ4" s="397"/>
      <c r="AK4" s="388"/>
      <c r="AL4" s="388"/>
      <c r="AM4" s="393"/>
      <c r="AN4" s="42"/>
      <c r="AO4" s="31"/>
      <c r="AP4" s="398" t="s">
        <v>5</v>
      </c>
      <c r="AQ4" s="46"/>
      <c r="AR4" s="46"/>
      <c r="AS4" s="47"/>
      <c r="AT4" s="399"/>
      <c r="AU4" s="399"/>
      <c r="AV4" s="400"/>
      <c r="AW4" s="401" t="s">
        <v>6</v>
      </c>
      <c r="AX4" s="402"/>
      <c r="AY4" s="403"/>
      <c r="AZ4" s="404"/>
    </row>
    <row r="5" customFormat="false" ht="12.95" hidden="false" customHeight="true" outlineLevel="0" collapsed="false">
      <c r="A5" s="259" t="s">
        <v>7</v>
      </c>
      <c r="B5" s="405" t="s">
        <v>8</v>
      </c>
      <c r="C5" s="59" t="s">
        <v>8</v>
      </c>
      <c r="D5" s="259" t="s">
        <v>9</v>
      </c>
      <c r="E5" s="59" t="s">
        <v>10</v>
      </c>
      <c r="F5" s="259" t="s">
        <v>11</v>
      </c>
      <c r="G5" s="406" t="s">
        <v>12</v>
      </c>
      <c r="H5" s="407" t="s">
        <v>13</v>
      </c>
      <c r="I5" s="408" t="s">
        <v>14</v>
      </c>
      <c r="J5" s="408" t="s">
        <v>15</v>
      </c>
      <c r="K5" s="408" t="s">
        <v>16</v>
      </c>
      <c r="L5" s="259" t="s">
        <v>15</v>
      </c>
      <c r="M5" s="409" t="s">
        <v>17</v>
      </c>
      <c r="N5" s="409"/>
      <c r="O5" s="409"/>
      <c r="P5" s="409"/>
      <c r="Q5" s="409"/>
      <c r="R5" s="409"/>
      <c r="S5" s="409"/>
      <c r="T5" s="409"/>
      <c r="U5" s="259" t="s">
        <v>18</v>
      </c>
      <c r="V5" s="259" t="s">
        <v>19</v>
      </c>
      <c r="W5" s="259" t="s">
        <v>16</v>
      </c>
      <c r="X5" s="259" t="s">
        <v>16</v>
      </c>
      <c r="Y5" s="59" t="s">
        <v>16</v>
      </c>
      <c r="Z5" s="259" t="s">
        <v>16</v>
      </c>
      <c r="AA5" s="59" t="s">
        <v>21</v>
      </c>
      <c r="AB5" s="59" t="s">
        <v>21</v>
      </c>
      <c r="AC5" s="59" t="s">
        <v>22</v>
      </c>
      <c r="AD5" s="59" t="s">
        <v>21</v>
      </c>
      <c r="AE5" s="259" t="s">
        <v>23</v>
      </c>
      <c r="AF5" s="410" t="s">
        <v>115</v>
      </c>
      <c r="AG5" s="411"/>
      <c r="AH5" s="412" t="s">
        <v>25</v>
      </c>
      <c r="AI5" s="59" t="s">
        <v>116</v>
      </c>
      <c r="AJ5" s="59" t="s">
        <v>27</v>
      </c>
      <c r="AK5" s="259" t="s">
        <v>14</v>
      </c>
      <c r="AL5" s="259" t="s">
        <v>15</v>
      </c>
      <c r="AM5" s="259" t="s">
        <v>16</v>
      </c>
      <c r="AN5" s="65" t="s">
        <v>28</v>
      </c>
      <c r="AO5" s="60" t="s">
        <v>21</v>
      </c>
      <c r="AP5" s="66" t="s">
        <v>29</v>
      </c>
      <c r="AQ5" s="66" t="s">
        <v>29</v>
      </c>
      <c r="AR5" s="61" t="s">
        <v>30</v>
      </c>
      <c r="AS5" s="67" t="s">
        <v>31</v>
      </c>
      <c r="AT5" s="413" t="s">
        <v>32</v>
      </c>
      <c r="AU5" s="68" t="s">
        <v>33</v>
      </c>
      <c r="AV5" s="414" t="s">
        <v>34</v>
      </c>
      <c r="AW5" s="412" t="s">
        <v>35</v>
      </c>
      <c r="AX5" s="412" t="s">
        <v>36</v>
      </c>
      <c r="AY5" s="303"/>
      <c r="AZ5" s="71" t="s">
        <v>16</v>
      </c>
    </row>
    <row r="6" customFormat="false" ht="12.95" hidden="false" customHeight="true" outlineLevel="0" collapsed="false">
      <c r="A6" s="415" t="s">
        <v>117</v>
      </c>
      <c r="B6" s="405" t="s">
        <v>38</v>
      </c>
      <c r="C6" s="59"/>
      <c r="D6" s="259" t="s">
        <v>39</v>
      </c>
      <c r="E6" s="59" t="s">
        <v>40</v>
      </c>
      <c r="F6" s="259" t="s">
        <v>41</v>
      </c>
      <c r="G6" s="406" t="s">
        <v>42</v>
      </c>
      <c r="H6" s="407" t="s">
        <v>43</v>
      </c>
      <c r="I6" s="408" t="s">
        <v>44</v>
      </c>
      <c r="J6" s="408" t="s">
        <v>44</v>
      </c>
      <c r="K6" s="408" t="s">
        <v>44</v>
      </c>
      <c r="L6" s="259" t="s">
        <v>45</v>
      </c>
      <c r="M6" s="416" t="s">
        <v>46</v>
      </c>
      <c r="N6" s="417" t="s">
        <v>47</v>
      </c>
      <c r="O6" s="259" t="s">
        <v>48</v>
      </c>
      <c r="P6" s="417" t="s">
        <v>49</v>
      </c>
      <c r="Q6" s="259" t="s">
        <v>50</v>
      </c>
      <c r="R6" s="259" t="s">
        <v>51</v>
      </c>
      <c r="S6" s="418" t="s">
        <v>52</v>
      </c>
      <c r="T6" s="419" t="s">
        <v>53</v>
      </c>
      <c r="U6" s="259" t="s">
        <v>54</v>
      </c>
      <c r="V6" s="259" t="s">
        <v>55</v>
      </c>
      <c r="W6" s="259" t="s">
        <v>21</v>
      </c>
      <c r="X6" s="259" t="s">
        <v>21</v>
      </c>
      <c r="Y6" s="59" t="s">
        <v>21</v>
      </c>
      <c r="Z6" s="259" t="s">
        <v>21</v>
      </c>
      <c r="AA6" s="59" t="s">
        <v>56</v>
      </c>
      <c r="AB6" s="59" t="s">
        <v>57</v>
      </c>
      <c r="AC6" s="59" t="s">
        <v>58</v>
      </c>
      <c r="AD6" s="59" t="s">
        <v>59</v>
      </c>
      <c r="AE6" s="259" t="s">
        <v>60</v>
      </c>
      <c r="AF6" s="416"/>
      <c r="AG6" s="420"/>
      <c r="AH6" s="412" t="s">
        <v>63</v>
      </c>
      <c r="AI6" s="59" t="s">
        <v>64</v>
      </c>
      <c r="AJ6" s="59"/>
      <c r="AK6" s="259" t="s">
        <v>65</v>
      </c>
      <c r="AL6" s="259" t="s">
        <v>65</v>
      </c>
      <c r="AM6" s="259" t="s">
        <v>65</v>
      </c>
      <c r="AN6" s="65" t="s">
        <v>56</v>
      </c>
      <c r="AO6" s="60" t="s">
        <v>66</v>
      </c>
      <c r="AP6" s="66" t="s">
        <v>67</v>
      </c>
      <c r="AQ6" s="66" t="s">
        <v>67</v>
      </c>
      <c r="AR6" s="61" t="s">
        <v>68</v>
      </c>
      <c r="AS6" s="67" t="s">
        <v>69</v>
      </c>
      <c r="AT6" s="413" t="s">
        <v>70</v>
      </c>
      <c r="AU6" s="68" t="s">
        <v>71</v>
      </c>
      <c r="AV6" s="421"/>
      <c r="AW6" s="412" t="s">
        <v>72</v>
      </c>
      <c r="AX6" s="412" t="s">
        <v>72</v>
      </c>
      <c r="AY6" s="303"/>
      <c r="AZ6" s="71" t="s">
        <v>73</v>
      </c>
    </row>
    <row r="7" customFormat="false" ht="12.95" hidden="false" customHeight="true" outlineLevel="0" collapsed="false">
      <c r="A7" s="259"/>
      <c r="B7" s="405"/>
      <c r="C7" s="59"/>
      <c r="D7" s="259"/>
      <c r="E7" s="59"/>
      <c r="F7" s="259"/>
      <c r="G7" s="405"/>
      <c r="H7" s="413"/>
      <c r="I7" s="259"/>
      <c r="J7" s="259"/>
      <c r="K7" s="259"/>
      <c r="L7" s="259"/>
      <c r="M7" s="416"/>
      <c r="N7" s="417" t="s">
        <v>74</v>
      </c>
      <c r="O7" s="259" t="s">
        <v>75</v>
      </c>
      <c r="P7" s="417"/>
      <c r="Q7" s="259"/>
      <c r="R7" s="259"/>
      <c r="S7" s="418" t="s">
        <v>48</v>
      </c>
      <c r="T7" s="419" t="s">
        <v>27</v>
      </c>
      <c r="U7" s="259"/>
      <c r="V7" s="259"/>
      <c r="W7" s="59" t="n">
        <v>153400</v>
      </c>
      <c r="X7" s="59" t="s">
        <v>76</v>
      </c>
      <c r="Y7" s="59" t="s">
        <v>76</v>
      </c>
      <c r="Z7" s="59" t="n">
        <v>105500</v>
      </c>
      <c r="AA7" s="59"/>
      <c r="AB7" s="59" t="s">
        <v>77</v>
      </c>
      <c r="AC7" s="59"/>
      <c r="AD7" s="59"/>
      <c r="AE7" s="259"/>
      <c r="AF7" s="422"/>
      <c r="AG7" s="423"/>
      <c r="AH7" s="412"/>
      <c r="AI7" s="59"/>
      <c r="AJ7" s="59"/>
      <c r="AK7" s="259"/>
      <c r="AL7" s="259"/>
      <c r="AM7" s="259"/>
      <c r="AN7" s="65"/>
      <c r="AO7" s="60" t="s">
        <v>41</v>
      </c>
      <c r="AP7" s="66" t="s">
        <v>78</v>
      </c>
      <c r="AQ7" s="66" t="s">
        <v>79</v>
      </c>
      <c r="AR7" s="61" t="s">
        <v>80</v>
      </c>
      <c r="AS7" s="67" t="s">
        <v>81</v>
      </c>
      <c r="AT7" s="413" t="s">
        <v>82</v>
      </c>
      <c r="AU7" s="68" t="s">
        <v>61</v>
      </c>
      <c r="AV7" s="421"/>
      <c r="AW7" s="412"/>
      <c r="AX7" s="412"/>
      <c r="AY7" s="303"/>
      <c r="AZ7" s="71" t="s">
        <v>83</v>
      </c>
    </row>
    <row r="8" customFormat="false" ht="12.95" hidden="false" customHeight="true" outlineLevel="0" collapsed="false">
      <c r="A8" s="259"/>
      <c r="B8" s="405"/>
      <c r="C8" s="59" t="s">
        <v>9</v>
      </c>
      <c r="D8" s="259"/>
      <c r="E8" s="59" t="s">
        <v>85</v>
      </c>
      <c r="F8" s="259"/>
      <c r="G8" s="405" t="s">
        <v>41</v>
      </c>
      <c r="H8" s="413" t="s">
        <v>41</v>
      </c>
      <c r="I8" s="413" t="s">
        <v>41</v>
      </c>
      <c r="J8" s="413" t="s">
        <v>41</v>
      </c>
      <c r="K8" s="413" t="s">
        <v>41</v>
      </c>
      <c r="L8" s="413" t="s">
        <v>41</v>
      </c>
      <c r="M8" s="413" t="s">
        <v>41</v>
      </c>
      <c r="N8" s="413" t="s">
        <v>41</v>
      </c>
      <c r="O8" s="413" t="s">
        <v>41</v>
      </c>
      <c r="P8" s="413" t="s">
        <v>41</v>
      </c>
      <c r="Q8" s="413" t="s">
        <v>41</v>
      </c>
      <c r="R8" s="413" t="s">
        <v>41</v>
      </c>
      <c r="S8" s="418" t="s">
        <v>62</v>
      </c>
      <c r="T8" s="413" t="s">
        <v>41</v>
      </c>
      <c r="U8" s="413" t="s">
        <v>41</v>
      </c>
      <c r="V8" s="413" t="s">
        <v>41</v>
      </c>
      <c r="W8" s="413" t="s">
        <v>41</v>
      </c>
      <c r="X8" s="59" t="n">
        <v>150400</v>
      </c>
      <c r="Y8" s="59" t="n">
        <v>150400</v>
      </c>
      <c r="Z8" s="259" t="s">
        <v>85</v>
      </c>
      <c r="AA8" s="413" t="s">
        <v>41</v>
      </c>
      <c r="AB8" s="412" t="n">
        <v>72000</v>
      </c>
      <c r="AC8" s="413" t="s">
        <v>41</v>
      </c>
      <c r="AD8" s="413" t="s">
        <v>41</v>
      </c>
      <c r="AE8" s="413" t="s">
        <v>41</v>
      </c>
      <c r="AF8" s="424" t="s">
        <v>41</v>
      </c>
      <c r="AG8" s="425" t="s">
        <v>41</v>
      </c>
      <c r="AH8" s="413" t="s">
        <v>41</v>
      </c>
      <c r="AI8" s="413" t="s">
        <v>41</v>
      </c>
      <c r="AJ8" s="413" t="s">
        <v>41</v>
      </c>
      <c r="AK8" s="413" t="s">
        <v>41</v>
      </c>
      <c r="AL8" s="413" t="s">
        <v>41</v>
      </c>
      <c r="AM8" s="413" t="s">
        <v>41</v>
      </c>
      <c r="AN8" s="65" t="s">
        <v>85</v>
      </c>
      <c r="AO8" s="60" t="s">
        <v>41</v>
      </c>
      <c r="AP8" s="60" t="s">
        <v>41</v>
      </c>
      <c r="AQ8" s="66" t="s">
        <v>87</v>
      </c>
      <c r="AR8" s="61" t="s">
        <v>41</v>
      </c>
      <c r="AS8" s="60" t="s">
        <v>41</v>
      </c>
      <c r="AT8" s="60" t="s">
        <v>41</v>
      </c>
      <c r="AU8" s="60" t="s">
        <v>41</v>
      </c>
      <c r="AV8" s="421"/>
      <c r="AW8" s="412"/>
      <c r="AX8" s="412"/>
      <c r="AY8" s="303"/>
      <c r="AZ8" s="71" t="s">
        <v>88</v>
      </c>
    </row>
    <row r="9" customFormat="false" ht="12.95" hidden="false" customHeight="true" outlineLevel="0" collapsed="false">
      <c r="A9" s="259"/>
      <c r="B9" s="405"/>
      <c r="C9" s="59"/>
      <c r="D9" s="259"/>
      <c r="E9" s="59"/>
      <c r="F9" s="259"/>
      <c r="G9" s="405"/>
      <c r="H9" s="413"/>
      <c r="I9" s="259"/>
      <c r="J9" s="259"/>
      <c r="K9" s="259"/>
      <c r="L9" s="259"/>
      <c r="M9" s="416"/>
      <c r="N9" s="417" t="n">
        <v>1.03</v>
      </c>
      <c r="O9" s="418" t="n">
        <v>1.05</v>
      </c>
      <c r="P9" s="417" t="n">
        <v>1.02</v>
      </c>
      <c r="Q9" s="418" t="n">
        <v>1.02</v>
      </c>
      <c r="R9" s="418" t="n">
        <v>1.04</v>
      </c>
      <c r="S9" s="418" t="s">
        <v>41</v>
      </c>
      <c r="T9" s="419"/>
      <c r="U9" s="259"/>
      <c r="V9" s="259"/>
      <c r="W9" s="259"/>
      <c r="X9" s="413" t="s">
        <v>41</v>
      </c>
      <c r="Y9" s="59" t="s">
        <v>85</v>
      </c>
      <c r="Z9" s="259"/>
      <c r="AA9" s="59"/>
      <c r="AB9" s="259" t="s">
        <v>85</v>
      </c>
      <c r="AC9" s="59"/>
      <c r="AD9" s="59"/>
      <c r="AE9" s="259"/>
      <c r="AF9" s="422"/>
      <c r="AG9" s="423"/>
      <c r="AH9" s="412"/>
      <c r="AI9" s="59"/>
      <c r="AJ9" s="59"/>
      <c r="AK9" s="259"/>
      <c r="AL9" s="259"/>
      <c r="AM9" s="259"/>
      <c r="AN9" s="65"/>
      <c r="AO9" s="60"/>
      <c r="AP9" s="66"/>
      <c r="AQ9" s="66"/>
      <c r="AR9" s="66"/>
      <c r="AS9" s="84"/>
      <c r="AV9" s="421"/>
      <c r="AW9" s="412"/>
      <c r="AX9" s="412"/>
      <c r="AY9" s="303"/>
      <c r="AZ9" s="71" t="s">
        <v>41</v>
      </c>
    </row>
    <row r="10" customFormat="false" ht="12.95" hidden="false" customHeight="true" outlineLevel="0" collapsed="false">
      <c r="A10" s="176" t="s">
        <v>89</v>
      </c>
      <c r="B10" s="196"/>
      <c r="C10" s="104"/>
      <c r="D10" s="104"/>
      <c r="E10" s="104"/>
      <c r="F10" s="104" t="n">
        <f aca="false">APR!F47</f>
        <v>23573.4812200655</v>
      </c>
      <c r="G10" s="373" t="n">
        <f aca="false">APR!G47</f>
        <v>23518</v>
      </c>
      <c r="H10" s="133" t="n">
        <f aca="false">APR!H47</f>
        <v>3038</v>
      </c>
      <c r="I10" s="104" t="n">
        <f aca="false">APR!I47</f>
        <v>26556</v>
      </c>
      <c r="J10" s="104" t="n">
        <f aca="false">APR!J47</f>
        <v>3087.08122006554</v>
      </c>
      <c r="K10" s="104" t="n">
        <f aca="false">APR!K47</f>
        <v>29643.0812200655</v>
      </c>
      <c r="L10" s="104" t="n">
        <f aca="false">APR!L47</f>
        <v>3087.08122006554</v>
      </c>
      <c r="M10" s="198" t="n">
        <f aca="false">APR!M47</f>
        <v>3301.5</v>
      </c>
      <c r="N10" s="133" t="n">
        <f aca="false">APR!N47</f>
        <v>56.54391</v>
      </c>
      <c r="O10" s="104" t="n">
        <f aca="false">APR!O47</f>
        <v>1923.5097</v>
      </c>
      <c r="P10" s="199" t="n">
        <f aca="false">APR!P47</f>
        <v>0</v>
      </c>
      <c r="Q10" s="104"/>
      <c r="R10" s="104"/>
      <c r="S10" s="340"/>
      <c r="T10" s="200"/>
      <c r="U10" s="104" t="n">
        <f aca="false">APR!U47</f>
        <v>536.3</v>
      </c>
      <c r="V10" s="104" t="n">
        <f aca="false">APR!V47</f>
        <v>548</v>
      </c>
      <c r="W10" s="104" t="n">
        <f aca="false">APR!W47</f>
        <v>2307.67969</v>
      </c>
      <c r="X10" s="104" t="n">
        <f aca="false">APR!X47</f>
        <v>1500.546345</v>
      </c>
      <c r="Y10" s="104"/>
      <c r="Z10" s="104"/>
      <c r="AA10" s="104" t="n">
        <f aca="false">APR!AA47</f>
        <v>8998.386314</v>
      </c>
      <c r="AB10" s="104" t="n">
        <f aca="false">APR!AB42</f>
        <v>21119.1318846785</v>
      </c>
      <c r="AC10" s="104" t="n">
        <f aca="false">APR!AC47</f>
        <v>1695.29401778861</v>
      </c>
      <c r="AD10" s="104"/>
      <c r="AE10" s="104" t="n">
        <f aca="false">APR!AE47</f>
        <v>203.8</v>
      </c>
      <c r="AF10" s="198" t="n">
        <f aca="false">APR!AF47</f>
        <v>51</v>
      </c>
      <c r="AG10" s="201" t="n">
        <f aca="false">APR!AG47</f>
        <v>39</v>
      </c>
      <c r="AH10" s="134"/>
      <c r="AI10" s="104"/>
      <c r="AJ10" s="104" t="n">
        <f aca="false">APR!AJ47</f>
        <v>0</v>
      </c>
      <c r="AK10" s="104" t="n">
        <f aca="false">APR!AK47</f>
        <v>6069.6</v>
      </c>
      <c r="AL10" s="104" t="n">
        <f aca="false">APR!AL47</f>
        <v>0</v>
      </c>
      <c r="AM10" s="104" t="n">
        <f aca="false">APR!AM47</f>
        <v>6069.6</v>
      </c>
      <c r="AN10" s="373"/>
      <c r="AO10" s="134"/>
      <c r="AP10" s="132"/>
      <c r="AQ10" s="199" t="n">
        <f aca="false">APR!AQ48</f>
        <v>42.7174674098288</v>
      </c>
      <c r="AR10" s="199"/>
      <c r="AS10" s="104" t="n">
        <f aca="false">APR!AS47</f>
        <v>0</v>
      </c>
      <c r="AV10" s="205"/>
      <c r="AW10" s="134"/>
      <c r="AX10" s="134"/>
      <c r="AY10" s="303"/>
      <c r="AZ10" s="337"/>
    </row>
    <row r="11" s="213" customFormat="true" ht="12.95" hidden="false" customHeight="true" outlineLevel="0" collapsed="false">
      <c r="A11" s="208" t="s">
        <v>90</v>
      </c>
      <c r="B11" s="103" t="n">
        <f aca="false">APR!B42</f>
        <v>6912</v>
      </c>
      <c r="C11" s="104" t="n">
        <f aca="false">APR!C42</f>
        <v>330044</v>
      </c>
      <c r="D11" s="104" t="n">
        <f aca="false">APR!D51</f>
        <v>45243</v>
      </c>
      <c r="E11" s="104" t="n">
        <f aca="false">APR!E51</f>
        <v>178044</v>
      </c>
      <c r="F11" s="104" t="n">
        <f aca="false">APR!F50</f>
        <v>22809.6798588353</v>
      </c>
      <c r="G11" s="373" t="n">
        <f aca="false">APR!G50</f>
        <v>34518</v>
      </c>
      <c r="H11" s="133" t="n">
        <f aca="false">APR!H50</f>
        <v>3578.13</v>
      </c>
      <c r="I11" s="104" t="n">
        <f aca="false">APR!I50</f>
        <v>38096.13</v>
      </c>
      <c r="J11" s="104" t="n">
        <f aca="false">APR!J50</f>
        <v>6393.21510461305</v>
      </c>
      <c r="K11" s="104" t="n">
        <f aca="false">APR!K50</f>
        <v>44489.345104613</v>
      </c>
      <c r="L11" s="104" t="n">
        <f aca="false">APR!L50</f>
        <v>5459.04985883539</v>
      </c>
      <c r="M11" s="198" t="n">
        <f aca="false">APR!M50</f>
        <v>4220.1</v>
      </c>
      <c r="N11" s="133" t="n">
        <f aca="false">APR!N50</f>
        <v>56.54391</v>
      </c>
      <c r="O11" s="104" t="n">
        <f aca="false">APR!O50</f>
        <v>1923.5097</v>
      </c>
      <c r="P11" s="199"/>
      <c r="Q11" s="104" t="n">
        <f aca="false">APR!Q50</f>
        <v>286.73832</v>
      </c>
      <c r="R11" s="104" t="n">
        <f aca="false">APR!R50</f>
        <v>471.85</v>
      </c>
      <c r="S11" s="426" t="n">
        <f aca="false">APR!S50</f>
        <v>5.14</v>
      </c>
      <c r="T11" s="210" t="n">
        <f aca="false">APR!T50</f>
        <v>-71.5154</v>
      </c>
      <c r="U11" s="104" t="n">
        <f aca="false">APR!U50</f>
        <v>7966.3</v>
      </c>
      <c r="V11" s="104" t="n">
        <f aca="false">APR!V50</f>
        <v>624.3</v>
      </c>
      <c r="W11" s="104" t="n">
        <f aca="false">APR!W50</f>
        <v>10138.43347</v>
      </c>
      <c r="X11" s="79" t="n">
        <f aca="false">APR!X50</f>
        <v>8878.031325</v>
      </c>
      <c r="Y11" s="104" t="n">
        <f aca="false">APR!Y42</f>
        <v>17609.5751331375</v>
      </c>
      <c r="Z11" s="104" t="n">
        <f aca="false">APR!Z42</f>
        <v>12350.1820267071</v>
      </c>
      <c r="AA11" s="104"/>
      <c r="AB11" s="104"/>
      <c r="AC11" s="104"/>
      <c r="AD11" s="104"/>
      <c r="AE11" s="104"/>
      <c r="AF11" s="198"/>
      <c r="AG11" s="201"/>
      <c r="AH11" s="134" t="n">
        <f aca="false">APR!AH50</f>
        <v>7731</v>
      </c>
      <c r="AI11" s="104" t="n">
        <f aca="false">APR!AI50</f>
        <v>14551.2578774893</v>
      </c>
      <c r="AJ11" s="104" t="n">
        <f aca="false">APR!AJ50</f>
        <v>0</v>
      </c>
      <c r="AK11" s="104" t="n">
        <f aca="false">APR!AK50</f>
        <v>20745.5</v>
      </c>
      <c r="AL11" s="104" t="n">
        <f aca="false">APR!AL50</f>
        <v>934.165245777666</v>
      </c>
      <c r="AM11" s="104" t="n">
        <f aca="false">APR!AM50</f>
        <v>21679.6652457777</v>
      </c>
      <c r="AN11" s="427" t="n">
        <f aca="false">APR!AN51</f>
        <v>14570.652155</v>
      </c>
      <c r="AO11" s="305" t="n">
        <f aca="false">APR!AO50</f>
        <v>1260.402145</v>
      </c>
      <c r="AP11" s="104"/>
      <c r="AQ11" s="199" t="n">
        <f aca="false">APR!AQ51</f>
        <v>42.7174674098288</v>
      </c>
      <c r="AR11" s="199"/>
      <c r="AS11" s="104" t="n">
        <f aca="false">APR!AS50</f>
        <v>0</v>
      </c>
      <c r="AT11" s="166"/>
      <c r="AU11" s="105"/>
      <c r="AV11" s="205" t="n">
        <f aca="false">APR!AV50</f>
        <v>4.76</v>
      </c>
      <c r="AW11" s="134"/>
      <c r="AX11" s="134"/>
      <c r="AY11" s="306"/>
      <c r="AZ11" s="428" t="n">
        <f aca="false">APR!AZ50</f>
        <v>748.75683</v>
      </c>
    </row>
    <row r="12" customFormat="false" ht="2.25" hidden="false" customHeight="true" outlineLevel="0" collapsed="false">
      <c r="A12" s="214"/>
      <c r="B12" s="215"/>
      <c r="C12" s="216"/>
      <c r="D12" s="217"/>
      <c r="E12" s="216"/>
      <c r="F12" s="217"/>
      <c r="G12" s="235"/>
      <c r="H12" s="224"/>
      <c r="I12" s="217"/>
      <c r="J12" s="217"/>
      <c r="K12" s="217"/>
      <c r="L12" s="217"/>
      <c r="M12" s="220"/>
      <c r="N12" s="221"/>
      <c r="O12" s="217"/>
      <c r="P12" s="221"/>
      <c r="Q12" s="217"/>
      <c r="R12" s="217"/>
      <c r="S12" s="429"/>
      <c r="T12" s="222"/>
      <c r="U12" s="217"/>
      <c r="V12" s="217"/>
      <c r="W12" s="217"/>
      <c r="X12" s="217"/>
      <c r="Y12" s="216"/>
      <c r="Z12" s="217"/>
      <c r="AA12" s="216"/>
      <c r="AB12" s="216"/>
      <c r="AC12" s="216"/>
      <c r="AD12" s="216"/>
      <c r="AE12" s="217"/>
      <c r="AF12" s="220"/>
      <c r="AG12" s="225"/>
      <c r="AH12" s="223"/>
      <c r="AI12" s="216"/>
      <c r="AJ12" s="216"/>
      <c r="AK12" s="217"/>
      <c r="AL12" s="217"/>
      <c r="AM12" s="217"/>
      <c r="AN12" s="243"/>
      <c r="AO12" s="223"/>
      <c r="AP12" s="223"/>
      <c r="AQ12" s="221"/>
      <c r="AR12" s="221"/>
      <c r="AS12" s="221"/>
      <c r="AT12" s="224"/>
      <c r="AU12" s="224"/>
      <c r="AV12" s="228"/>
      <c r="AW12" s="223"/>
      <c r="AX12" s="223"/>
      <c r="AY12" s="240"/>
      <c r="AZ12" s="323"/>
    </row>
    <row r="13" customFormat="false" ht="12.95" hidden="false" customHeight="true" outlineLevel="0" collapsed="false">
      <c r="A13" s="171" t="n">
        <v>1</v>
      </c>
      <c r="B13" s="103" t="n">
        <v>6912.94</v>
      </c>
      <c r="C13" s="104" t="n">
        <v>333877</v>
      </c>
      <c r="D13" s="134" t="n">
        <f aca="false">C13-C11</f>
        <v>3833</v>
      </c>
      <c r="E13" s="104" t="n">
        <f aca="false">C13-152000</f>
        <v>181877</v>
      </c>
      <c r="F13" s="132" t="n">
        <f aca="false">D13/$D$2</f>
        <v>1932.44265187799</v>
      </c>
      <c r="G13" s="196" t="n">
        <v>2190</v>
      </c>
      <c r="H13" s="133" t="n">
        <v>118</v>
      </c>
      <c r="I13" s="132" t="n">
        <f aca="false">G13+H13</f>
        <v>2308</v>
      </c>
      <c r="J13" s="133" t="n">
        <f aca="false">IF(L13&gt;0,L13,0)</f>
        <v>77.4426518779935</v>
      </c>
      <c r="K13" s="132" t="n">
        <f aca="false">I13+J13</f>
        <v>2385.44265187799</v>
      </c>
      <c r="L13" s="132" t="n">
        <f aca="false">F13-(I13-AK13)</f>
        <v>77.4426518779935</v>
      </c>
      <c r="M13" s="231" t="n">
        <v>249</v>
      </c>
      <c r="N13" s="199" t="n">
        <f aca="false">1.8299*1.03</f>
        <v>1.884797</v>
      </c>
      <c r="O13" s="132" t="n">
        <f aca="false">(40+36)*1.05</f>
        <v>79.8</v>
      </c>
      <c r="P13" s="199" t="n">
        <v>0</v>
      </c>
      <c r="Q13" s="340" t="n">
        <f aca="false">2.21*1.02</f>
        <v>2.2542</v>
      </c>
      <c r="R13" s="340" t="n">
        <v>4.2</v>
      </c>
      <c r="S13" s="129" t="n">
        <v>1.82</v>
      </c>
      <c r="T13" s="356" t="n">
        <v>0</v>
      </c>
      <c r="U13" s="132" t="n">
        <v>22</v>
      </c>
      <c r="V13" s="132" t="n">
        <v>62</v>
      </c>
      <c r="W13" s="132" t="n">
        <f aca="false">M13-N13-O13-P13-Q13-R13-S13-T13+U13+V13-AT13</f>
        <v>243.041003</v>
      </c>
      <c r="X13" s="132" t="n">
        <f aca="false">W13-AO13</f>
        <v>243.041003</v>
      </c>
      <c r="Y13" s="104" t="n">
        <f aca="false">Y11+(X13*1.9835)</f>
        <v>18091.646962588</v>
      </c>
      <c r="Z13" s="104" t="n">
        <f aca="false">Z11+X13*(26300/37500)*1.9835</f>
        <v>12688.2750697617</v>
      </c>
      <c r="AA13" s="104" t="n">
        <f aca="false">AA10+AP13</f>
        <v>9550.345311</v>
      </c>
      <c r="AB13" s="104" t="n">
        <f aca="false">AB10+(AP13+X13)*1.9835</f>
        <v>22696.0143846785</v>
      </c>
      <c r="AC13" s="104" t="n">
        <f aca="false">AC10</f>
        <v>1695.29401778861</v>
      </c>
      <c r="AD13" s="104"/>
      <c r="AE13" s="132" t="n">
        <v>39</v>
      </c>
      <c r="AF13" s="231" t="n">
        <v>1.7</v>
      </c>
      <c r="AG13" s="232" t="n">
        <v>1.3</v>
      </c>
      <c r="AH13" s="430" t="n">
        <v>81</v>
      </c>
      <c r="AI13" s="431" t="n">
        <f aca="false">AI11-AH13</f>
        <v>14470.2578774893</v>
      </c>
      <c r="AJ13" s="79"/>
      <c r="AK13" s="131" t="n">
        <f aca="false">N13+O13+P13+Q13+R13+S13+T13+W13+AE13+AH13+AT13</f>
        <v>453</v>
      </c>
      <c r="AL13" s="132" t="n">
        <f aca="false">IF(L13&lt;0,L13*-1,0)</f>
        <v>0</v>
      </c>
      <c r="AM13" s="132" t="n">
        <f aca="false">AK13+AL13</f>
        <v>453</v>
      </c>
      <c r="AN13" s="373" t="n">
        <f aca="false">AN11</f>
        <v>14570.652155</v>
      </c>
      <c r="AO13" s="134"/>
      <c r="AP13" s="94" t="n">
        <f aca="false">795-W13</f>
        <v>551.958997</v>
      </c>
      <c r="AQ13" s="199" t="n">
        <f aca="false">47.3*(AA10*1.9835+AP13*1.9835+AC13*1.9835)/E13</f>
        <v>5.80095790720789</v>
      </c>
      <c r="AR13" s="199"/>
      <c r="AS13" s="204"/>
      <c r="AT13" s="166"/>
      <c r="AU13" s="9"/>
      <c r="AV13" s="205" t="n">
        <v>0</v>
      </c>
      <c r="AW13" s="134" t="n">
        <v>71</v>
      </c>
      <c r="AX13" s="134" t="n">
        <v>41</v>
      </c>
      <c r="AY13" s="303"/>
      <c r="AZ13" s="233" t="n">
        <f aca="false">SUM(N13,P13:T13)</f>
        <v>10.158997</v>
      </c>
    </row>
    <row r="14" customFormat="false" ht="12.95" hidden="false" customHeight="true" outlineLevel="0" collapsed="false">
      <c r="A14" s="171" t="n">
        <f aca="false">A13+1</f>
        <v>2</v>
      </c>
      <c r="B14" s="103" t="n">
        <v>6914.13</v>
      </c>
      <c r="C14" s="104" t="n">
        <v>338769</v>
      </c>
      <c r="D14" s="134" t="n">
        <f aca="false">C14-C13</f>
        <v>4892</v>
      </c>
      <c r="E14" s="104" t="n">
        <f aca="false">C14-152000</f>
        <v>186769</v>
      </c>
      <c r="F14" s="132" t="n">
        <f aca="false">D14/$D$2</f>
        <v>2466.34736576758</v>
      </c>
      <c r="G14" s="196" t="n">
        <v>2530</v>
      </c>
      <c r="H14" s="133" t="n">
        <v>148</v>
      </c>
      <c r="I14" s="132" t="n">
        <f aca="false">G14+H14</f>
        <v>2678</v>
      </c>
      <c r="J14" s="133" t="n">
        <f aca="false">IF(L14&gt;0,L14,0)</f>
        <v>233.347365767583</v>
      </c>
      <c r="K14" s="132" t="n">
        <f aca="false">I14+J14</f>
        <v>2911.34736576758</v>
      </c>
      <c r="L14" s="132" t="n">
        <f aca="false">F14-(I14-AK14)</f>
        <v>233.347365767583</v>
      </c>
      <c r="M14" s="231" t="n">
        <v>249</v>
      </c>
      <c r="N14" s="199" t="n">
        <f aca="false">1.8299*1.03</f>
        <v>1.884797</v>
      </c>
      <c r="O14" s="132" t="n">
        <f aca="false">(42+41)*1.05</f>
        <v>87.15</v>
      </c>
      <c r="P14" s="199" t="n">
        <v>0</v>
      </c>
      <c r="Q14" s="340" t="n">
        <f aca="false">2.21*1.02</f>
        <v>2.2542</v>
      </c>
      <c r="R14" s="340" t="n">
        <v>4.2</v>
      </c>
      <c r="S14" s="129" t="n">
        <v>0.21</v>
      </c>
      <c r="T14" s="356" t="n">
        <v>0</v>
      </c>
      <c r="U14" s="132" t="n">
        <v>22</v>
      </c>
      <c r="V14" s="132" t="n">
        <v>63</v>
      </c>
      <c r="W14" s="132" t="n">
        <f aca="false">M14-N14-O14-P14-Q14-R14-S14-T14+U14+V14-AT14</f>
        <v>238.301003</v>
      </c>
      <c r="X14" s="132" t="n">
        <f aca="false">W14-AO14</f>
        <v>238.301003</v>
      </c>
      <c r="Y14" s="104" t="n">
        <f aca="false">Y13+(X14*1.9835)</f>
        <v>18564.3170020385</v>
      </c>
      <c r="Z14" s="104" t="n">
        <f aca="false">Z13+X14*(26300/37500)*1.9835</f>
        <v>13019.7743240963</v>
      </c>
      <c r="AA14" s="104" t="n">
        <f aca="false">AA13+AP14</f>
        <v>10107.044308</v>
      </c>
      <c r="AB14" s="104" t="n">
        <f aca="false">AB13+(AP14+X14)*1.9835</f>
        <v>24272.8968846785</v>
      </c>
      <c r="AC14" s="104" t="n">
        <f aca="false">AC13-(AQ13/1.9835)</f>
        <v>1692.36941082758</v>
      </c>
      <c r="AD14" s="104"/>
      <c r="AE14" s="132" t="n">
        <v>30</v>
      </c>
      <c r="AF14" s="231" t="n">
        <v>1.7</v>
      </c>
      <c r="AG14" s="232" t="n">
        <v>1.3</v>
      </c>
      <c r="AH14" s="430" t="n">
        <v>81</v>
      </c>
      <c r="AI14" s="431" t="n">
        <f aca="false">AI13-AH14</f>
        <v>14389.2578774893</v>
      </c>
      <c r="AJ14" s="79"/>
      <c r="AK14" s="131" t="n">
        <f aca="false">N14+O14+P14+Q14+R14+S14+T14+W14+AE14+AH14+AT14</f>
        <v>445</v>
      </c>
      <c r="AL14" s="132" t="n">
        <f aca="false">IF(L14&lt;0,L14*-1,0)</f>
        <v>0</v>
      </c>
      <c r="AM14" s="132" t="n">
        <f aca="false">AK14+AL14</f>
        <v>445</v>
      </c>
      <c r="AN14" s="373" t="n">
        <f aca="false">AN13</f>
        <v>14570.652155</v>
      </c>
      <c r="AO14" s="134"/>
      <c r="AP14" s="94" t="n">
        <f aca="false">795-W14</f>
        <v>556.698997</v>
      </c>
      <c r="AQ14" s="199" t="n">
        <f aca="false">47.3*(AA13*1.9835+AP14*1.9835+AC14*1.9835)/E14</f>
        <v>5.92719180037495</v>
      </c>
      <c r="AR14" s="199"/>
      <c r="AS14" s="204"/>
      <c r="AT14" s="166"/>
      <c r="AU14" s="9"/>
      <c r="AV14" s="205" t="n">
        <v>0.41</v>
      </c>
      <c r="AW14" s="134" t="n">
        <v>55</v>
      </c>
      <c r="AX14" s="134" t="n">
        <v>40</v>
      </c>
      <c r="AY14" s="303"/>
      <c r="AZ14" s="233" t="n">
        <f aca="false">SUM(N14,P14:T14)</f>
        <v>8.548997</v>
      </c>
    </row>
    <row r="15" customFormat="false" ht="12.95" hidden="false" customHeight="true" outlineLevel="0" collapsed="false">
      <c r="A15" s="171" t="n">
        <f aca="false">A14+1</f>
        <v>3</v>
      </c>
      <c r="B15" s="103" t="n">
        <v>6914.98</v>
      </c>
      <c r="C15" s="104" t="n">
        <v>342289</v>
      </c>
      <c r="D15" s="134" t="n">
        <f aca="false">C15-C14</f>
        <v>3520</v>
      </c>
      <c r="E15" s="104" t="n">
        <f aca="false">C15-152000</f>
        <v>190289</v>
      </c>
      <c r="F15" s="132" t="n">
        <f aca="false">D15/$D$2</f>
        <v>1774.64078648853</v>
      </c>
      <c r="G15" s="196" t="n">
        <v>1890</v>
      </c>
      <c r="H15" s="133" t="n">
        <v>146</v>
      </c>
      <c r="I15" s="132" t="n">
        <f aca="false">G15+H15</f>
        <v>2036</v>
      </c>
      <c r="J15" s="133" t="n">
        <f aca="false">IF(L15&gt;0,L15,0)</f>
        <v>152.64078648853</v>
      </c>
      <c r="K15" s="132" t="n">
        <f aca="false">I15+J15</f>
        <v>2188.64078648853</v>
      </c>
      <c r="L15" s="132" t="n">
        <f aca="false">F15-(I15-AK15)</f>
        <v>152.64078648853</v>
      </c>
      <c r="M15" s="231" t="n">
        <v>217</v>
      </c>
      <c r="N15" s="199" t="n">
        <f aca="false">1.8299*1.03</f>
        <v>1.884797</v>
      </c>
      <c r="O15" s="132" t="n">
        <f aca="false">(36+35)*1.05</f>
        <v>74.55</v>
      </c>
      <c r="P15" s="199" t="n">
        <v>0</v>
      </c>
      <c r="Q15" s="340" t="n">
        <f aca="false">2.21*1.02</f>
        <v>2.2542</v>
      </c>
      <c r="R15" s="340" t="n">
        <v>3.7</v>
      </c>
      <c r="S15" s="129" t="n">
        <v>0</v>
      </c>
      <c r="T15" s="356" t="n">
        <v>0</v>
      </c>
      <c r="U15" s="132" t="n">
        <v>22</v>
      </c>
      <c r="V15" s="132" t="n">
        <v>61</v>
      </c>
      <c r="W15" s="132" t="n">
        <f aca="false">M15-N15-O15-P15-Q15-R15-S15-T15+U15+V15-AT15</f>
        <v>217.611003</v>
      </c>
      <c r="X15" s="132" t="n">
        <f aca="false">W15-AO15</f>
        <v>217.611003</v>
      </c>
      <c r="Y15" s="104" t="n">
        <f aca="false">Y14+(X15*1.9835)</f>
        <v>18995.948426489</v>
      </c>
      <c r="Z15" s="104" t="n">
        <f aca="false">Z14+X15*(26300/37500)*1.9835</f>
        <v>13322.4918297776</v>
      </c>
      <c r="AA15" s="104" t="n">
        <f aca="false">AA14+AP15</f>
        <v>10684.433305</v>
      </c>
      <c r="AB15" s="104" t="n">
        <f aca="false">AB14+(AP15+X15)*1.9835</f>
        <v>25849.7793846785</v>
      </c>
      <c r="AC15" s="104" t="n">
        <f aca="false">AC14-(AQ14/1.9835)</f>
        <v>1689.38116187352</v>
      </c>
      <c r="AD15" s="104"/>
      <c r="AE15" s="132" t="n">
        <v>33</v>
      </c>
      <c r="AF15" s="231" t="n">
        <v>1.7</v>
      </c>
      <c r="AG15" s="232" t="n">
        <v>1.3</v>
      </c>
      <c r="AH15" s="430" t="n">
        <v>81</v>
      </c>
      <c r="AI15" s="431" t="n">
        <f aca="false">AI14-AH15</f>
        <v>14308.2578774893</v>
      </c>
      <c r="AJ15" s="79"/>
      <c r="AK15" s="131" t="n">
        <f aca="false">N15+O15+P15+Q15+R15+S15+T15+W15+AE15+AH15+AT15</f>
        <v>414</v>
      </c>
      <c r="AL15" s="132" t="n">
        <f aca="false">IF(L15&lt;0,L15*-1,0)</f>
        <v>0</v>
      </c>
      <c r="AM15" s="132" t="n">
        <f aca="false">AK15+AL15</f>
        <v>414</v>
      </c>
      <c r="AN15" s="373" t="n">
        <f aca="false">AN14</f>
        <v>14570.652155</v>
      </c>
      <c r="AO15" s="134"/>
      <c r="AP15" s="94" t="n">
        <f aca="false">795-W15</f>
        <v>577.388997</v>
      </c>
      <c r="AQ15" s="199" t="n">
        <f aca="false">47.3*(AA14*1.9835+AP15*1.9835+AC15*1.9835)/E15</f>
        <v>6.10075046411281</v>
      </c>
      <c r="AR15" s="199"/>
      <c r="AS15" s="204"/>
      <c r="AT15" s="166"/>
      <c r="AU15" s="9"/>
      <c r="AV15" s="205" t="n">
        <v>0</v>
      </c>
      <c r="AW15" s="134" t="n">
        <v>62</v>
      </c>
      <c r="AX15" s="134" t="n">
        <v>38</v>
      </c>
      <c r="AY15" s="303"/>
      <c r="AZ15" s="233" t="n">
        <f aca="false">SUM(N15,P15:T15)</f>
        <v>7.838997</v>
      </c>
    </row>
    <row r="16" customFormat="false" ht="12.95" hidden="false" customHeight="true" outlineLevel="0" collapsed="false">
      <c r="A16" s="171" t="n">
        <f aca="false">A15+1</f>
        <v>4</v>
      </c>
      <c r="B16" s="103" t="n">
        <v>6915.61</v>
      </c>
      <c r="C16" s="104" t="n">
        <v>344919</v>
      </c>
      <c r="D16" s="134" t="n">
        <f aca="false">C16-C15</f>
        <v>2630</v>
      </c>
      <c r="E16" s="104" t="n">
        <f aca="false">C16-152000</f>
        <v>192919</v>
      </c>
      <c r="F16" s="132" t="n">
        <f aca="false">D16/$D$2</f>
        <v>1325.93899672296</v>
      </c>
      <c r="G16" s="196" t="n">
        <v>1550</v>
      </c>
      <c r="H16" s="133" t="n">
        <v>104</v>
      </c>
      <c r="I16" s="132" t="n">
        <f aca="false">G16+H16</f>
        <v>1654</v>
      </c>
      <c r="J16" s="133" t="n">
        <f aca="false">IF(L16&gt;0,L16,0)</f>
        <v>99.9389967229645</v>
      </c>
      <c r="K16" s="132" t="n">
        <f aca="false">I16+J16</f>
        <v>1753.93899672296</v>
      </c>
      <c r="L16" s="132" t="n">
        <f aca="false">F16-(I16-AK16)</f>
        <v>99.9389967229645</v>
      </c>
      <c r="M16" s="231" t="n">
        <v>230</v>
      </c>
      <c r="N16" s="199" t="n">
        <f aca="false">1.8299*1.03</f>
        <v>1.884797</v>
      </c>
      <c r="O16" s="132" t="n">
        <f aca="false">(32+33)*1.05</f>
        <v>68.25</v>
      </c>
      <c r="P16" s="199" t="n">
        <v>0</v>
      </c>
      <c r="Q16" s="340" t="n">
        <f aca="false">2.21*1.02</f>
        <v>2.2542</v>
      </c>
      <c r="R16" s="340" t="n">
        <v>4.14</v>
      </c>
      <c r="S16" s="129" t="n">
        <v>0</v>
      </c>
      <c r="T16" s="356" t="n">
        <v>0</v>
      </c>
      <c r="U16" s="132" t="n">
        <v>22</v>
      </c>
      <c r="V16" s="132" t="n">
        <v>68</v>
      </c>
      <c r="W16" s="132" t="n">
        <f aca="false">M16-N16-O16-P16-Q16-R16-S16-T16+U16+V16-AT16</f>
        <v>243.471003</v>
      </c>
      <c r="X16" s="132" t="n">
        <f aca="false">W16-AO16</f>
        <v>243.471003</v>
      </c>
      <c r="Y16" s="104" t="n">
        <f aca="false">Y15+(X16*1.9835)</f>
        <v>19478.8731609395</v>
      </c>
      <c r="Z16" s="104" t="n">
        <f aca="false">Z15+X16*(26300/37500)*1.9835</f>
        <v>13661.1830435389</v>
      </c>
      <c r="AA16" s="104" t="n">
        <f aca="false">AA15+AP16</f>
        <v>11235.962302</v>
      </c>
      <c r="AB16" s="104" t="n">
        <f aca="false">AB15+(AP16+X16)*1.9835</f>
        <v>27426.6618846785</v>
      </c>
      <c r="AC16" s="104" t="n">
        <f aca="false">AC15-(AQ15/1.9835)</f>
        <v>1686.30541170255</v>
      </c>
      <c r="AD16" s="104"/>
      <c r="AE16" s="132" t="n">
        <v>27</v>
      </c>
      <c r="AF16" s="231" t="n">
        <v>1.7</v>
      </c>
      <c r="AG16" s="232" t="n">
        <v>1.3</v>
      </c>
      <c r="AH16" s="430" t="n">
        <v>81</v>
      </c>
      <c r="AI16" s="431" t="n">
        <f aca="false">AI15-AH16</f>
        <v>14227.2578774893</v>
      </c>
      <c r="AJ16" s="79"/>
      <c r="AK16" s="131" t="n">
        <f aca="false">N16+O16+P16+Q16+R16+S16+T16+W16+AE16+AH16+AT16</f>
        <v>428</v>
      </c>
      <c r="AL16" s="132" t="n">
        <f aca="false">IF(L16&lt;0,L16*-1,0)</f>
        <v>0</v>
      </c>
      <c r="AM16" s="132" t="n">
        <f aca="false">AK16+AL16</f>
        <v>428</v>
      </c>
      <c r="AN16" s="373" t="n">
        <f aca="false">AN15</f>
        <v>14570.652155</v>
      </c>
      <c r="AO16" s="134"/>
      <c r="AP16" s="94" t="n">
        <f aca="false">795-W16</f>
        <v>551.528997</v>
      </c>
      <c r="AQ16" s="199" t="n">
        <f aca="false">47.3*(AA15*1.9835+AP16*1.9835+AC16*1.9835)/E16</f>
        <v>6.28430243718401</v>
      </c>
      <c r="AR16" s="199"/>
      <c r="AS16" s="204"/>
      <c r="AT16" s="166"/>
      <c r="AU16" s="9"/>
      <c r="AV16" s="205" t="n">
        <v>0</v>
      </c>
      <c r="AW16" s="134" t="n">
        <v>64</v>
      </c>
      <c r="AX16" s="134" t="n">
        <v>44</v>
      </c>
      <c r="AY16" s="303"/>
      <c r="AZ16" s="233" t="n">
        <f aca="false">SUM(N16,P16:T16)</f>
        <v>8.278997</v>
      </c>
    </row>
    <row r="17" customFormat="false" ht="12.95" hidden="false" customHeight="true" outlineLevel="0" collapsed="false">
      <c r="A17" s="171" t="n">
        <f aca="false">A16+1</f>
        <v>5</v>
      </c>
      <c r="B17" s="103" t="n">
        <v>6916.2</v>
      </c>
      <c r="C17" s="104" t="n">
        <v>347388</v>
      </c>
      <c r="D17" s="134" t="n">
        <f aca="false">C17-C16</f>
        <v>2469</v>
      </c>
      <c r="E17" s="104" t="n">
        <f aca="false">C17-152000</f>
        <v>195388</v>
      </c>
      <c r="F17" s="132" t="n">
        <f aca="false">D17/$D$2</f>
        <v>1244.76934711369</v>
      </c>
      <c r="G17" s="196" t="n">
        <v>1530</v>
      </c>
      <c r="H17" s="133" t="n">
        <v>83</v>
      </c>
      <c r="I17" s="132" t="n">
        <f aca="false">G17+H17</f>
        <v>1613</v>
      </c>
      <c r="J17" s="133" t="n">
        <f aca="false">IF(L17&gt;0,L17,0)</f>
        <v>98.7693471136879</v>
      </c>
      <c r="K17" s="132" t="n">
        <f aca="false">I17+J17</f>
        <v>1711.76934711369</v>
      </c>
      <c r="L17" s="132" t="n">
        <f aca="false">F17-(I17-AK17)</f>
        <v>98.7693471136879</v>
      </c>
      <c r="M17" s="231" t="n">
        <v>242</v>
      </c>
      <c r="N17" s="199" t="n">
        <f aca="false">1.8299*1.03</f>
        <v>1.884797</v>
      </c>
      <c r="O17" s="132" t="n">
        <f aca="false">(36+37)*1.05</f>
        <v>76.65</v>
      </c>
      <c r="P17" s="199" t="n">
        <v>0</v>
      </c>
      <c r="Q17" s="340" t="n">
        <f aca="false">2.21*1.02</f>
        <v>2.2542</v>
      </c>
      <c r="R17" s="340" t="n">
        <v>4.2</v>
      </c>
      <c r="S17" s="129" t="n">
        <v>0.15</v>
      </c>
      <c r="T17" s="356" t="n">
        <v>0</v>
      </c>
      <c r="U17" s="132" t="n">
        <v>23</v>
      </c>
      <c r="V17" s="132" t="n">
        <v>75</v>
      </c>
      <c r="W17" s="132" t="n">
        <f aca="false">M17-N17-O17-P17-Q17-R17-S17-T17+U17+V17-AT17</f>
        <v>254.861003</v>
      </c>
      <c r="X17" s="132" t="n">
        <f aca="false">W17-AO17</f>
        <v>254.861003</v>
      </c>
      <c r="Y17" s="104" t="n">
        <f aca="false">Y16+(X17*1.9835)</f>
        <v>19984.38996039</v>
      </c>
      <c r="Z17" s="104" t="n">
        <f aca="false">Z16+X17*(26300/37500)*1.9835</f>
        <v>14015.7188255535</v>
      </c>
      <c r="AA17" s="104" t="n">
        <f aca="false">AA16+AP17</f>
        <v>11776.101299</v>
      </c>
      <c r="AB17" s="104" t="n">
        <f aca="false">AB16+(AP17+X17)*1.9835</f>
        <v>29003.5443846785</v>
      </c>
      <c r="AC17" s="104" t="n">
        <f aca="false">AC16-(AQ16/1.9835)</f>
        <v>1683.1371220947</v>
      </c>
      <c r="AD17" s="104"/>
      <c r="AE17" s="132" t="n">
        <v>46</v>
      </c>
      <c r="AF17" s="231" t="n">
        <v>1.7</v>
      </c>
      <c r="AG17" s="232" t="n">
        <v>1.3</v>
      </c>
      <c r="AH17" s="430" t="n">
        <v>81</v>
      </c>
      <c r="AI17" s="431" t="n">
        <f aca="false">AI16-AH17</f>
        <v>14146.2578774893</v>
      </c>
      <c r="AJ17" s="79"/>
      <c r="AK17" s="131" t="n">
        <f aca="false">N17+O17+P17+Q17+R17+S17+T17+W17+AE17+AH17+AT17</f>
        <v>467</v>
      </c>
      <c r="AL17" s="132" t="n">
        <f aca="false">IF(L17&lt;0,L17*-1,0)</f>
        <v>0</v>
      </c>
      <c r="AM17" s="132" t="n">
        <f aca="false">AK17+AL17</f>
        <v>467</v>
      </c>
      <c r="AN17" s="373" t="n">
        <f aca="false">AN16</f>
        <v>14570.652155</v>
      </c>
      <c r="AO17" s="134"/>
      <c r="AP17" s="94" t="n">
        <f aca="false">795-W17</f>
        <v>540.138997</v>
      </c>
      <c r="AQ17" s="199" t="n">
        <f aca="false">47.3*(AA16*1.9835+AP17*1.9835+AC17*1.9835)/E17</f>
        <v>6.46272899057166</v>
      </c>
      <c r="AR17" s="199"/>
      <c r="AS17" s="204"/>
      <c r="AT17" s="0"/>
      <c r="AU17" s="9"/>
      <c r="AV17" s="205" t="n">
        <v>0</v>
      </c>
      <c r="AW17" s="134" t="n">
        <v>72</v>
      </c>
      <c r="AX17" s="134" t="n">
        <v>41</v>
      </c>
      <c r="AY17" s="303"/>
      <c r="AZ17" s="233" t="n">
        <f aca="false">SUM(N17,P17:T17)</f>
        <v>8.488997</v>
      </c>
    </row>
    <row r="18" customFormat="false" ht="12.95" hidden="false" customHeight="true" outlineLevel="0" collapsed="false">
      <c r="A18" s="171" t="n">
        <f aca="false">A17+1</f>
        <v>6</v>
      </c>
      <c r="B18" s="103" t="n">
        <v>6916.93</v>
      </c>
      <c r="C18" s="104" t="n">
        <v>350459</v>
      </c>
      <c r="D18" s="134" t="n">
        <f aca="false">C18-C17</f>
        <v>3071</v>
      </c>
      <c r="E18" s="104" t="n">
        <f aca="false">C18-152000</f>
        <v>198459</v>
      </c>
      <c r="F18" s="132" t="n">
        <f aca="false">D18/$D$2</f>
        <v>1548.27325434837</v>
      </c>
      <c r="G18" s="196" t="n">
        <v>1870</v>
      </c>
      <c r="H18" s="133" t="n">
        <v>95</v>
      </c>
      <c r="I18" s="132" t="n">
        <f aca="false">G18+H18</f>
        <v>1965</v>
      </c>
      <c r="J18" s="133" t="n">
        <f aca="false">IF(L18&gt;0,L18,0)</f>
        <v>94.2732543483742</v>
      </c>
      <c r="K18" s="132" t="n">
        <f aca="false">I18+J18</f>
        <v>2059.27325434837</v>
      </c>
      <c r="L18" s="132" t="n">
        <f aca="false">F18-(I18-AK18)</f>
        <v>94.2732543483742</v>
      </c>
      <c r="M18" s="231" t="n">
        <v>265</v>
      </c>
      <c r="N18" s="199" t="n">
        <f aca="false">1.8299*1.03</f>
        <v>1.884797</v>
      </c>
      <c r="O18" s="132" t="n">
        <f aca="false">(35+34)*1.05</f>
        <v>72.45</v>
      </c>
      <c r="P18" s="199" t="n">
        <v>0</v>
      </c>
      <c r="Q18" s="340" t="n">
        <f aca="false">2.21*1.02</f>
        <v>2.2542</v>
      </c>
      <c r="R18" s="340" t="n">
        <v>4.2</v>
      </c>
      <c r="S18" s="129" t="n">
        <v>2.12</v>
      </c>
      <c r="T18" s="356" t="n">
        <v>0</v>
      </c>
      <c r="U18" s="132" t="n">
        <v>23</v>
      </c>
      <c r="V18" s="132" t="n">
        <v>75</v>
      </c>
      <c r="W18" s="132" t="n">
        <f aca="false">M18-N18-O18-P18-Q18-R18-S18-T18+U18+V18-AT18</f>
        <v>280.091003</v>
      </c>
      <c r="X18" s="132" t="n">
        <f aca="false">W18-AO18</f>
        <v>280.091003</v>
      </c>
      <c r="Y18" s="104" t="n">
        <f aca="false">Y17+(X18*1.9835)</f>
        <v>20539.9504648405</v>
      </c>
      <c r="Z18" s="104" t="n">
        <f aca="false">Z17+X18*(26300/37500)*1.9835</f>
        <v>14405.3519260081</v>
      </c>
      <c r="AA18" s="104" t="n">
        <f aca="false">AA17+AP18</f>
        <v>12291.010296</v>
      </c>
      <c r="AB18" s="104" t="n">
        <f aca="false">AB17+(AP18+X18)*1.9835</f>
        <v>30580.4268846785</v>
      </c>
      <c r="AC18" s="104" t="n">
        <f aca="false">AC17-(AQ17/1.9835)</f>
        <v>1679.87887707802</v>
      </c>
      <c r="AD18" s="104"/>
      <c r="AE18" s="132" t="n">
        <v>67</v>
      </c>
      <c r="AF18" s="231" t="n">
        <v>1.7</v>
      </c>
      <c r="AG18" s="232" t="n">
        <v>1.3</v>
      </c>
      <c r="AH18" s="430" t="n">
        <v>81</v>
      </c>
      <c r="AI18" s="431" t="n">
        <f aca="false">AI17-AH18</f>
        <v>14065.2578774893</v>
      </c>
      <c r="AJ18" s="79"/>
      <c r="AK18" s="131" t="n">
        <f aca="false">N18+O18+P18+Q18+R18+S18+T18+W18+AE18+AH18+AT18</f>
        <v>511</v>
      </c>
      <c r="AL18" s="132" t="n">
        <f aca="false">IF(L18&lt;0,L18*-1,0)</f>
        <v>0</v>
      </c>
      <c r="AM18" s="132" t="n">
        <f aca="false">AK18+AL18</f>
        <v>511</v>
      </c>
      <c r="AN18" s="373" t="n">
        <f aca="false">AN17</f>
        <v>14570.652155</v>
      </c>
      <c r="AO18" s="134"/>
      <c r="AP18" s="94" t="n">
        <f aca="false">795-W18</f>
        <v>514.908997</v>
      </c>
      <c r="AQ18" s="199" t="n">
        <f aca="false">47.3*(AA17*1.9835+AP18*1.9835+AC18*1.9835)/E18</f>
        <v>6.60460112828369</v>
      </c>
      <c r="AR18" s="199"/>
      <c r="AS18" s="204"/>
      <c r="AT18" s="0"/>
      <c r="AU18" s="9"/>
      <c r="AV18" s="205" t="n">
        <v>0</v>
      </c>
      <c r="AW18" s="134" t="n">
        <v>78</v>
      </c>
      <c r="AX18" s="134" t="n">
        <v>38</v>
      </c>
      <c r="AY18" s="303"/>
      <c r="AZ18" s="233" t="n">
        <f aca="false">SUM(N18,P18:T18)</f>
        <v>10.458997</v>
      </c>
    </row>
    <row r="19" customFormat="false" ht="12.95" hidden="false" customHeight="true" outlineLevel="0" collapsed="false">
      <c r="A19" s="171" t="n">
        <f aca="false">A18+1</f>
        <v>7</v>
      </c>
      <c r="B19" s="103" t="n">
        <v>6917.95</v>
      </c>
      <c r="C19" s="104" t="n">
        <v>354782</v>
      </c>
      <c r="D19" s="134" t="n">
        <f aca="false">C19-C18</f>
        <v>4323</v>
      </c>
      <c r="E19" s="104" t="n">
        <f aca="false">C19-152000</f>
        <v>202782</v>
      </c>
      <c r="F19" s="132" t="n">
        <f aca="false">D19/$D$2</f>
        <v>2179.48071590623</v>
      </c>
      <c r="G19" s="196" t="n">
        <v>2750</v>
      </c>
      <c r="H19" s="133" t="n">
        <v>126</v>
      </c>
      <c r="I19" s="132" t="n">
        <f aca="false">G19+H19</f>
        <v>2876</v>
      </c>
      <c r="J19" s="133" t="n">
        <f aca="false">IF(L19&gt;0,L19,0)</f>
        <v>0</v>
      </c>
      <c r="K19" s="132" t="n">
        <f aca="false">I19+J19</f>
        <v>2876</v>
      </c>
      <c r="L19" s="132" t="n">
        <f aca="false">F19-(I19-AK19)</f>
        <v>-123.519284093774</v>
      </c>
      <c r="M19" s="231" t="n">
        <v>299</v>
      </c>
      <c r="N19" s="199" t="n">
        <f aca="false">1.8299*1.03</f>
        <v>1.884797</v>
      </c>
      <c r="O19" s="132" t="n">
        <f aca="false">(34+36)*1.05</f>
        <v>73.5</v>
      </c>
      <c r="P19" s="199" t="n">
        <v>0</v>
      </c>
      <c r="Q19" s="340" t="n">
        <f aca="false">2.21*1.02</f>
        <v>2.2542</v>
      </c>
      <c r="R19" s="340" t="n">
        <v>4.2</v>
      </c>
      <c r="S19" s="129" t="n">
        <v>2.05</v>
      </c>
      <c r="T19" s="356" t="n">
        <v>0</v>
      </c>
      <c r="U19" s="132" t="n">
        <v>23</v>
      </c>
      <c r="V19" s="132" t="n">
        <v>76</v>
      </c>
      <c r="W19" s="132" t="n">
        <f aca="false">M19-N19-O19-P19-Q19-R19-S19-T19+U19+V19-AT19</f>
        <v>314.111003</v>
      </c>
      <c r="X19" s="132" t="n">
        <f aca="false">W19-AO19</f>
        <v>314.111003</v>
      </c>
      <c r="Y19" s="104" t="n">
        <f aca="false">Y18+(X19*1.9835)</f>
        <v>21162.989639291</v>
      </c>
      <c r="Z19" s="104" t="n">
        <f aca="false">Z18+X19*(26300/37500)*1.9835</f>
        <v>14842.3100670228</v>
      </c>
      <c r="AA19" s="104" t="n">
        <f aca="false">AA18+AP19</f>
        <v>12771.899293</v>
      </c>
      <c r="AB19" s="104" t="n">
        <f aca="false">AB18+(AP19+X19)*1.9835</f>
        <v>32157.3093846785</v>
      </c>
      <c r="AC19" s="104" t="n">
        <f aca="false">AC18-(AQ18/1.9835)</f>
        <v>1676.54910590168</v>
      </c>
      <c r="AD19" s="104"/>
      <c r="AE19" s="132" t="n">
        <v>94</v>
      </c>
      <c r="AF19" s="231" t="n">
        <v>1.7</v>
      </c>
      <c r="AG19" s="232" t="n">
        <v>1.3</v>
      </c>
      <c r="AH19" s="430" t="n">
        <v>81</v>
      </c>
      <c r="AI19" s="431" t="n">
        <f aca="false">AI18-AH19</f>
        <v>13984.2578774893</v>
      </c>
      <c r="AJ19" s="79"/>
      <c r="AK19" s="131" t="n">
        <f aca="false">N19+O19+P19+Q19+R19+S19+T19+W19+AE19+AH19+AT19</f>
        <v>573</v>
      </c>
      <c r="AL19" s="132" t="n">
        <f aca="false">IF(L19&lt;0,L19*-1,0)</f>
        <v>123.519284093774</v>
      </c>
      <c r="AM19" s="132" t="n">
        <f aca="false">AK19+AL19</f>
        <v>696.519284093774</v>
      </c>
      <c r="AN19" s="373" t="n">
        <f aca="false">AN18</f>
        <v>14570.652155</v>
      </c>
      <c r="AO19" s="134"/>
      <c r="AP19" s="94" t="n">
        <f aca="false">795-W19</f>
        <v>480.888997</v>
      </c>
      <c r="AQ19" s="199" t="n">
        <f aca="false">47.3*(AA18*1.9835+AP19*1.9835+AC19*1.9835)/E19</f>
        <v>6.68474976567533</v>
      </c>
      <c r="AR19" s="199"/>
      <c r="AS19" s="204"/>
      <c r="AT19" s="166"/>
      <c r="AU19" s="9"/>
      <c r="AV19" s="205" t="n">
        <v>0</v>
      </c>
      <c r="AW19" s="134" t="n">
        <v>78</v>
      </c>
      <c r="AX19" s="134" t="n">
        <v>43</v>
      </c>
      <c r="AY19" s="303"/>
      <c r="AZ19" s="233" t="n">
        <f aca="false">SUM(N19,P19:T19)</f>
        <v>10.388997</v>
      </c>
    </row>
    <row r="20" customFormat="false" ht="12.95" hidden="false" customHeight="true" outlineLevel="0" collapsed="false">
      <c r="A20" s="171" t="n">
        <f aca="false">A19+1</f>
        <v>8</v>
      </c>
      <c r="B20" s="103" t="n">
        <v>6919.22</v>
      </c>
      <c r="C20" s="104" t="n">
        <v>360214</v>
      </c>
      <c r="D20" s="134" t="n">
        <f aca="false">C20-C19</f>
        <v>5432</v>
      </c>
      <c r="E20" s="104" t="n">
        <f aca="false">C20-152000</f>
        <v>208214</v>
      </c>
      <c r="F20" s="132" t="n">
        <f aca="false">D20/$D$2</f>
        <v>2738.59339551298</v>
      </c>
      <c r="G20" s="196" t="n">
        <v>3390</v>
      </c>
      <c r="H20" s="133" t="n">
        <v>124</v>
      </c>
      <c r="I20" s="132" t="n">
        <f aca="false">G20+H20</f>
        <v>3514</v>
      </c>
      <c r="J20" s="133" t="n">
        <f aca="false">IF(L20&gt;0,L20,0)</f>
        <v>0</v>
      </c>
      <c r="K20" s="132" t="n">
        <f aca="false">I20+J20</f>
        <v>3514</v>
      </c>
      <c r="L20" s="132" t="n">
        <f aca="false">F20-(I20-AK20)</f>
        <v>-143.406604487018</v>
      </c>
      <c r="M20" s="231" t="n">
        <v>287</v>
      </c>
      <c r="N20" s="199" t="n">
        <f aca="false">1.8299*1.03</f>
        <v>1.884797</v>
      </c>
      <c r="O20" s="132" t="n">
        <f aca="false">(34+32)*1.05</f>
        <v>69.3</v>
      </c>
      <c r="P20" s="199" t="n">
        <v>0</v>
      </c>
      <c r="Q20" s="340" t="n">
        <f aca="false">2.21*1.02</f>
        <v>2.2542</v>
      </c>
      <c r="R20" s="340" t="n">
        <v>4.2</v>
      </c>
      <c r="S20" s="129" t="n">
        <v>2.63</v>
      </c>
      <c r="T20" s="356" t="n">
        <v>0</v>
      </c>
      <c r="U20" s="132" t="n">
        <v>75</v>
      </c>
      <c r="V20" s="132" t="n">
        <v>76</v>
      </c>
      <c r="W20" s="132" t="n">
        <f aca="false">M20-N20-O20-P20-Q20-R20-S20-T20+U20+V20-AT20</f>
        <v>357.731003</v>
      </c>
      <c r="X20" s="132" t="n">
        <f aca="false">W20-AO20</f>
        <v>357.731003</v>
      </c>
      <c r="Y20" s="104" t="n">
        <f aca="false">Y19+(X20*1.9835)</f>
        <v>21872.5490837415</v>
      </c>
      <c r="Z20" s="104" t="n">
        <f aca="false">Z19+X20*(26300/37500)*1.9835</f>
        <v>15339.9477573974</v>
      </c>
      <c r="AA20" s="104" t="n">
        <f aca="false">AA19+AP20</f>
        <v>13209.16829</v>
      </c>
      <c r="AB20" s="104" t="n">
        <f aca="false">AB19+(AP20+X20)*1.9835</f>
        <v>33734.1918846785</v>
      </c>
      <c r="AC20" s="104" t="n">
        <f aca="false">AC19-(AQ19/1.9835)</f>
        <v>1673.17892704326</v>
      </c>
      <c r="AD20" s="104"/>
      <c r="AE20" s="132" t="n">
        <v>112</v>
      </c>
      <c r="AF20" s="231" t="n">
        <v>1.7</v>
      </c>
      <c r="AG20" s="232" t="n">
        <v>1.3</v>
      </c>
      <c r="AH20" s="430" t="n">
        <v>82</v>
      </c>
      <c r="AI20" s="431" t="n">
        <f aca="false">AI19-AH20</f>
        <v>13902.2578774893</v>
      </c>
      <c r="AJ20" s="79"/>
      <c r="AK20" s="131" t="n">
        <f aca="false">N20+O20+P20+Q20+R20+S20+T20+W20+AE20+AH20+AT20</f>
        <v>632</v>
      </c>
      <c r="AL20" s="132" t="n">
        <f aca="false">IF(L20&lt;0,L20*-1,0)</f>
        <v>143.406604487018</v>
      </c>
      <c r="AM20" s="132" t="n">
        <f aca="false">AK20+AL20</f>
        <v>775.406604487018</v>
      </c>
      <c r="AN20" s="373" t="n">
        <f aca="false">AN19</f>
        <v>14570.652155</v>
      </c>
      <c r="AO20" s="134"/>
      <c r="AP20" s="94" t="n">
        <f aca="false">795-W20</f>
        <v>437.268997</v>
      </c>
      <c r="AQ20" s="199" t="n">
        <f aca="false">47.3*(AA19*1.9835+AP20*1.9835+AC20*1.9835)/E20</f>
        <v>6.70586569033182</v>
      </c>
      <c r="AR20" s="199"/>
      <c r="AS20" s="204"/>
      <c r="AT20" s="166"/>
      <c r="AU20" s="9"/>
      <c r="AV20" s="205" t="n">
        <v>0</v>
      </c>
      <c r="AW20" s="134" t="n">
        <v>75</v>
      </c>
      <c r="AX20" s="134" t="n">
        <v>42</v>
      </c>
      <c r="AY20" s="303"/>
      <c r="AZ20" s="233" t="n">
        <f aca="false">SUM(N20,P20:T20)</f>
        <v>10.968997</v>
      </c>
    </row>
    <row r="21" customFormat="false" ht="12.95" hidden="false" customHeight="true" outlineLevel="0" collapsed="false">
      <c r="A21" s="171" t="n">
        <f aca="false">A20+1</f>
        <v>9</v>
      </c>
      <c r="B21" s="103" t="n">
        <v>6920.42</v>
      </c>
      <c r="C21" s="104" t="n">
        <v>365397</v>
      </c>
      <c r="D21" s="134" t="n">
        <f aca="false">C21-C20</f>
        <v>5183</v>
      </c>
      <c r="E21" s="104" t="n">
        <f aca="false">C21-152000</f>
        <v>213397</v>
      </c>
      <c r="F21" s="132" t="n">
        <f aca="false">D21/$D$2</f>
        <v>2613.05772624149</v>
      </c>
      <c r="G21" s="196" t="n">
        <v>3360</v>
      </c>
      <c r="H21" s="133" t="n">
        <v>93</v>
      </c>
      <c r="I21" s="132" t="n">
        <f aca="false">G21+H21</f>
        <v>3453</v>
      </c>
      <c r="J21" s="133" t="n">
        <f aca="false">IF(L21&gt;0,L21,0)</f>
        <v>0</v>
      </c>
      <c r="K21" s="132" t="n">
        <f aca="false">I21+J21</f>
        <v>3453</v>
      </c>
      <c r="L21" s="132" t="n">
        <f aca="false">F21-(I21-AK21)</f>
        <v>-155.942273758508</v>
      </c>
      <c r="M21" s="231" t="n">
        <v>298</v>
      </c>
      <c r="N21" s="199" t="n">
        <f aca="false">1.8299*1.03</f>
        <v>1.884797</v>
      </c>
      <c r="O21" s="132" t="n">
        <f aca="false">(35+34)*1.05</f>
        <v>72.45</v>
      </c>
      <c r="P21" s="199" t="n">
        <v>0</v>
      </c>
      <c r="Q21" s="340" t="n">
        <f aca="false">2.21*1.02</f>
        <v>2.2542</v>
      </c>
      <c r="R21" s="340" t="n">
        <v>4.2</v>
      </c>
      <c r="S21" s="129" t="n">
        <v>2.71</v>
      </c>
      <c r="T21" s="356" t="n">
        <v>0</v>
      </c>
      <c r="U21" s="132" t="n">
        <v>102</v>
      </c>
      <c r="V21" s="132" t="n">
        <v>75</v>
      </c>
      <c r="W21" s="132" t="n">
        <f aca="false">M21-N21-O21-P21-Q21-R21-S21-T21+U21+V21-AT21</f>
        <v>391.501003</v>
      </c>
      <c r="X21" s="132" t="n">
        <f aca="false">W21-AO21</f>
        <v>391.501003</v>
      </c>
      <c r="Y21" s="104" t="n">
        <f aca="false">Y20+(X21*1.9835)</f>
        <v>22649.091323192</v>
      </c>
      <c r="Z21" s="104" t="n">
        <f aca="false">Z20+X21*(26300/37500)*1.9835</f>
        <v>15884.5627146653</v>
      </c>
      <c r="AA21" s="104" t="n">
        <f aca="false">AA20+AP21</f>
        <v>13612.667287</v>
      </c>
      <c r="AB21" s="104" t="n">
        <f aca="false">AB20+(AP21+X21)*1.9835</f>
        <v>35311.0743846785</v>
      </c>
      <c r="AC21" s="104" t="n">
        <f aca="false">AC20-(AQ20/1.9835)</f>
        <v>1669.79810239474</v>
      </c>
      <c r="AD21" s="104"/>
      <c r="AE21" s="132" t="n">
        <v>128</v>
      </c>
      <c r="AF21" s="231" t="n">
        <v>1.7</v>
      </c>
      <c r="AG21" s="232" t="n">
        <v>1.3</v>
      </c>
      <c r="AH21" s="430" t="n">
        <v>81</v>
      </c>
      <c r="AI21" s="431" t="n">
        <f aca="false">AI20-AH21</f>
        <v>13821.2578774893</v>
      </c>
      <c r="AJ21" s="79"/>
      <c r="AK21" s="131" t="n">
        <f aca="false">N21+O21+P21+Q21+R21+S21+T21+W21+AE21+AH21+AT21</f>
        <v>684</v>
      </c>
      <c r="AL21" s="132" t="n">
        <f aca="false">IF(L21&lt;0,L21*-1,0)</f>
        <v>155.942273758508</v>
      </c>
      <c r="AM21" s="132" t="n">
        <f aca="false">AK21+AL21</f>
        <v>839.942273758508</v>
      </c>
      <c r="AN21" s="373" t="n">
        <f aca="false">AN20</f>
        <v>14570.652155</v>
      </c>
      <c r="AO21" s="134"/>
      <c r="AP21" s="94" t="n">
        <f aca="false">795-W21</f>
        <v>403.498997</v>
      </c>
      <c r="AQ21" s="199" t="n">
        <f aca="false">47.3*(AA20*1.9835+AP21*1.9835+AC21*1.9835)/E21</f>
        <v>6.71890432257056</v>
      </c>
      <c r="AR21" s="199"/>
      <c r="AS21" s="204"/>
      <c r="AT21" s="166"/>
      <c r="AU21" s="9"/>
      <c r="AV21" s="205" t="n">
        <v>0</v>
      </c>
      <c r="AW21" s="134" t="n">
        <v>75</v>
      </c>
      <c r="AX21" s="134" t="n">
        <v>40</v>
      </c>
      <c r="AY21" s="303"/>
      <c r="AZ21" s="233" t="n">
        <f aca="false">SUM(N21,P21:T21)</f>
        <v>11.048997</v>
      </c>
    </row>
    <row r="22" customFormat="false" ht="12.95" hidden="false" customHeight="true" outlineLevel="0" collapsed="false">
      <c r="A22" s="171" t="n">
        <f aca="false">A21+1</f>
        <v>10</v>
      </c>
      <c r="B22" s="103" t="n">
        <v>6921.53</v>
      </c>
      <c r="C22" s="104" t="n">
        <v>370236</v>
      </c>
      <c r="D22" s="134" t="n">
        <f aca="false">C22-C21</f>
        <v>4839</v>
      </c>
      <c r="E22" s="104" t="n">
        <f aca="false">C22-152000</f>
        <v>218236</v>
      </c>
      <c r="F22" s="132" t="n">
        <f aca="false">D22/$D$2</f>
        <v>2439.62692210739</v>
      </c>
      <c r="G22" s="196" t="n">
        <v>3230</v>
      </c>
      <c r="H22" s="133" t="n">
        <v>71</v>
      </c>
      <c r="I22" s="132" t="n">
        <f aca="false">G22+H22</f>
        <v>3301</v>
      </c>
      <c r="J22" s="133" t="n">
        <f aca="false">IF(L22&gt;0,L22,0)</f>
        <v>0</v>
      </c>
      <c r="K22" s="132" t="n">
        <f aca="false">I22+J22</f>
        <v>3301</v>
      </c>
      <c r="L22" s="132" t="n">
        <f aca="false">F22-(I22-AK22)</f>
        <v>-157.373077892614</v>
      </c>
      <c r="M22" s="231" t="n">
        <v>314</v>
      </c>
      <c r="N22" s="199" t="n">
        <f aca="false">1.8299*1.03</f>
        <v>1.884797</v>
      </c>
      <c r="O22" s="132" t="n">
        <f aca="false">(40+42)*1.05</f>
        <v>86.1</v>
      </c>
      <c r="P22" s="199" t="n">
        <v>0</v>
      </c>
      <c r="Q22" s="340" t="n">
        <f aca="false">2.21*1.02</f>
        <v>2.2542</v>
      </c>
      <c r="R22" s="340" t="n">
        <v>4.2</v>
      </c>
      <c r="S22" s="129" t="n">
        <v>2.47</v>
      </c>
      <c r="T22" s="356" t="n">
        <v>0</v>
      </c>
      <c r="U22" s="132" t="n">
        <v>103</v>
      </c>
      <c r="V22" s="132" t="n">
        <v>76</v>
      </c>
      <c r="W22" s="132" t="n">
        <f aca="false">M22-N22-O22-P22-Q22-R22-S22-T22+U22+V22-AT22</f>
        <v>396.091003</v>
      </c>
      <c r="X22" s="132" t="n">
        <f aca="false">W22-AO22</f>
        <v>396.091003</v>
      </c>
      <c r="Y22" s="104" t="n">
        <f aca="false">Y21+(X22*1.9835)</f>
        <v>23434.7378276425</v>
      </c>
      <c r="Z22" s="104" t="n">
        <f aca="false">Z21+X22*(26300/37500)*1.9835</f>
        <v>16435.5627964533</v>
      </c>
      <c r="AA22" s="104" t="n">
        <f aca="false">AA21+AP22</f>
        <v>14011.576284</v>
      </c>
      <c r="AB22" s="104" t="n">
        <f aca="false">AB21+(AP22+X22)*1.9835</f>
        <v>36887.9568846785</v>
      </c>
      <c r="AC22" s="104" t="n">
        <f aca="false">AC21-(AQ21/1.9835)</f>
        <v>1666.41070419833</v>
      </c>
      <c r="AD22" s="104"/>
      <c r="AE22" s="132" t="n">
        <v>130</v>
      </c>
      <c r="AF22" s="231" t="n">
        <v>1.7</v>
      </c>
      <c r="AG22" s="232" t="n">
        <v>1.3</v>
      </c>
      <c r="AH22" s="430" t="n">
        <v>81</v>
      </c>
      <c r="AI22" s="431" t="n">
        <f aca="false">AI21-AH22</f>
        <v>13740.2578774893</v>
      </c>
      <c r="AJ22" s="79"/>
      <c r="AK22" s="131" t="n">
        <f aca="false">N22+O22+P22+Q22+R22+S22+T22+W22+AE22+AH22+AT22</f>
        <v>704</v>
      </c>
      <c r="AL22" s="132" t="n">
        <f aca="false">IF(L22&lt;0,L22*-1,0)</f>
        <v>157.373077892614</v>
      </c>
      <c r="AM22" s="132" t="n">
        <f aca="false">AK22+AL22</f>
        <v>861.373077892614</v>
      </c>
      <c r="AN22" s="373" t="n">
        <f aca="false">AN21</f>
        <v>14570.652155</v>
      </c>
      <c r="AO22" s="134"/>
      <c r="AP22" s="94" t="n">
        <f aca="false">795-W22</f>
        <v>398.908997</v>
      </c>
      <c r="AQ22" s="199" t="n">
        <f aca="false">47.3*(AA21*1.9835+AP22*1.9835+AC22*1.9835)/E22</f>
        <v>6.739958962493</v>
      </c>
      <c r="AR22" s="199"/>
      <c r="AS22" s="204"/>
      <c r="AT22" s="166"/>
      <c r="AU22" s="9"/>
      <c r="AV22" s="205" t="n">
        <v>0</v>
      </c>
      <c r="AW22" s="134" t="n">
        <v>75</v>
      </c>
      <c r="AX22" s="134" t="n">
        <v>45</v>
      </c>
      <c r="AY22" s="303"/>
      <c r="AZ22" s="233" t="n">
        <f aca="false">SUM(N22,P22:T22)</f>
        <v>10.808997</v>
      </c>
    </row>
    <row r="23" customFormat="false" ht="12.95" hidden="false" customHeight="true" outlineLevel="0" collapsed="false">
      <c r="A23" s="171" t="n">
        <f aca="false">A22+1</f>
        <v>11</v>
      </c>
      <c r="B23" s="103" t="n">
        <v>6922.72</v>
      </c>
      <c r="C23" s="104" t="n">
        <v>375472</v>
      </c>
      <c r="D23" s="134" t="n">
        <f aca="false">C23-C22</f>
        <v>5236</v>
      </c>
      <c r="E23" s="104" t="n">
        <f aca="false">C23-152000</f>
        <v>223472</v>
      </c>
      <c r="F23" s="132" t="n">
        <f aca="false">D23/$D$2</f>
        <v>2639.77816990169</v>
      </c>
      <c r="G23" s="196" t="n">
        <v>3330</v>
      </c>
      <c r="H23" s="133" t="n">
        <v>61</v>
      </c>
      <c r="I23" s="132" t="n">
        <f aca="false">G23+H23</f>
        <v>3391</v>
      </c>
      <c r="J23" s="133" t="n">
        <f aca="false">IF(L23&gt;0,L23,0)</f>
        <v>118.778169901689</v>
      </c>
      <c r="K23" s="132" t="n">
        <f aca="false">I23+J23</f>
        <v>3509.77816990169</v>
      </c>
      <c r="L23" s="132" t="n">
        <f aca="false">F23-(I23-AK23)</f>
        <v>118.778169901689</v>
      </c>
      <c r="M23" s="231" t="n">
        <v>328</v>
      </c>
      <c r="N23" s="199" t="n">
        <f aca="false">1.8299*1.03</f>
        <v>1.884797</v>
      </c>
      <c r="O23" s="132" t="n">
        <f aca="false">(40+40)*1.05</f>
        <v>84</v>
      </c>
      <c r="P23" s="199" t="n">
        <v>0</v>
      </c>
      <c r="Q23" s="340" t="n">
        <f aca="false">2.21*1.02</f>
        <v>2.2542</v>
      </c>
      <c r="R23" s="340" t="n">
        <v>4.2</v>
      </c>
      <c r="S23" s="129" t="n">
        <v>2.46</v>
      </c>
      <c r="T23" s="356" t="n">
        <v>0</v>
      </c>
      <c r="U23" s="132" t="n">
        <v>125</v>
      </c>
      <c r="V23" s="132" t="n">
        <v>82</v>
      </c>
      <c r="W23" s="132" t="n">
        <f aca="false">M23-N23-O23-P23-Q23-R23-S23-T23+U23+V23-AT23</f>
        <v>419.8434015</v>
      </c>
      <c r="X23" s="132" t="n">
        <f aca="false">W23-AO23</f>
        <v>419.8434015</v>
      </c>
      <c r="Y23" s="104" t="n">
        <f aca="false">Y22+(X23*1.9835)</f>
        <v>24267.4972145177</v>
      </c>
      <c r="Z23" s="104" t="n">
        <f aca="false">Z22+X23*(26300/37500)*1.9835</f>
        <v>17019.6047131151</v>
      </c>
      <c r="AA23" s="104" t="n">
        <f aca="false">AA22+AP23-AJ23</f>
        <v>14208.7328825</v>
      </c>
      <c r="AB23" s="104" t="n">
        <f aca="false">AB22+(AP23+X23)*1.9835-(AJ23*1.9835)</f>
        <v>38111.7763846785</v>
      </c>
      <c r="AC23" s="104" t="n">
        <f aca="false">AC22-(AQ22/1.9835)</f>
        <v>1663.0126911091</v>
      </c>
      <c r="AD23" s="104"/>
      <c r="AE23" s="132" t="n">
        <v>157</v>
      </c>
      <c r="AF23" s="231" t="n">
        <v>1.7</v>
      </c>
      <c r="AG23" s="232" t="n">
        <v>1.3</v>
      </c>
      <c r="AH23" s="432" t="n">
        <v>178</v>
      </c>
      <c r="AI23" s="431" t="n">
        <f aca="false">AI22</f>
        <v>13740.2578774893</v>
      </c>
      <c r="AJ23" s="433" t="n">
        <f aca="false">AH23</f>
        <v>178</v>
      </c>
      <c r="AK23" s="131" t="n">
        <f aca="false">N23+O23+P23+Q23+R23+S23+T23+W23+AE23+AH23+AT23</f>
        <v>870</v>
      </c>
      <c r="AL23" s="132" t="n">
        <f aca="false">IF(L23&lt;0,L23*-1,0)</f>
        <v>0</v>
      </c>
      <c r="AM23" s="132" t="n">
        <f aca="false">AK23+AL23</f>
        <v>870</v>
      </c>
      <c r="AN23" s="373" t="n">
        <f aca="false">AN22</f>
        <v>14570.652155</v>
      </c>
      <c r="AO23" s="134"/>
      <c r="AP23" s="94" t="n">
        <f aca="false">795-W23</f>
        <v>375.1565985</v>
      </c>
      <c r="AQ23" s="199" t="n">
        <f aca="false">47.3*(AA22*1.9835+AP23*1.9835+AC23*1.9835)/E23</f>
        <v>6.73811442744728</v>
      </c>
      <c r="AR23" s="199"/>
      <c r="AS23" s="204"/>
      <c r="AT23" s="167" t="n">
        <f aca="false">21.3-(N23*0.5)</f>
        <v>20.3576015</v>
      </c>
      <c r="AU23" s="9"/>
      <c r="AV23" s="205" t="n">
        <v>0</v>
      </c>
      <c r="AW23" s="134" t="n">
        <v>77</v>
      </c>
      <c r="AX23" s="134" t="n">
        <v>46</v>
      </c>
      <c r="AY23" s="303"/>
      <c r="AZ23" s="233" t="n">
        <f aca="false">SUM(N23,P23:T23)</f>
        <v>10.798997</v>
      </c>
    </row>
    <row r="24" customFormat="false" ht="12.95" hidden="false" customHeight="true" outlineLevel="0" collapsed="false">
      <c r="A24" s="171" t="n">
        <f aca="false">A23+1</f>
        <v>12</v>
      </c>
      <c r="B24" s="103" t="n">
        <v>6923.36</v>
      </c>
      <c r="C24" s="104" t="n">
        <v>378311</v>
      </c>
      <c r="D24" s="134" t="n">
        <f aca="false">C24-C23</f>
        <v>2839</v>
      </c>
      <c r="E24" s="104" t="n">
        <f aca="false">C24-152000</f>
        <v>226311</v>
      </c>
      <c r="F24" s="132" t="n">
        <f aca="false">D24/$D$2</f>
        <v>1431.30829342072</v>
      </c>
      <c r="G24" s="196" t="n">
        <v>3250</v>
      </c>
      <c r="H24" s="133" t="n">
        <v>47</v>
      </c>
      <c r="I24" s="132" t="n">
        <f aca="false">G24+H24</f>
        <v>3297</v>
      </c>
      <c r="J24" s="133" t="n">
        <f aca="false">IF(L24&gt;0,L24,0)</f>
        <v>106.308293420721</v>
      </c>
      <c r="K24" s="132" t="n">
        <f aca="false">I24+J24</f>
        <v>3403.30829342072</v>
      </c>
      <c r="L24" s="132" t="n">
        <f aca="false">F24-(I24-AK24)</f>
        <v>106.308293420721</v>
      </c>
      <c r="M24" s="231" t="n">
        <v>366</v>
      </c>
      <c r="N24" s="199" t="n">
        <f aca="false">1.8299*1.03</f>
        <v>1.884797</v>
      </c>
      <c r="O24" s="132" t="n">
        <f aca="false">(40+42)*1.05</f>
        <v>86.1</v>
      </c>
      <c r="P24" s="199" t="n">
        <v>1.545</v>
      </c>
      <c r="Q24" s="340" t="n">
        <f aca="false">2.21*1.02</f>
        <v>2.2542</v>
      </c>
      <c r="R24" s="340" t="n">
        <v>4.2</v>
      </c>
      <c r="S24" s="129" t="n">
        <v>2.49</v>
      </c>
      <c r="T24" s="356" t="n">
        <v>0</v>
      </c>
      <c r="U24" s="132" t="n">
        <v>154</v>
      </c>
      <c r="V24" s="132" t="n">
        <v>83</v>
      </c>
      <c r="W24" s="132" t="n">
        <f aca="false">M24-N24-O24-P24-Q24-R24-S24-T24+U24+V24-AT24</f>
        <v>457.0134015</v>
      </c>
      <c r="X24" s="132" t="n">
        <f aca="false">W24-AO24</f>
        <v>457.0134015</v>
      </c>
      <c r="Y24" s="104" t="n">
        <f aca="false">Y23+(X24*1.9835)</f>
        <v>25173.983296393</v>
      </c>
      <c r="Z24" s="104" t="n">
        <f aca="false">Z23+X24*(26300/37500)*1.9835</f>
        <v>17655.353618537</v>
      </c>
      <c r="AA24" s="104" t="n">
        <f aca="false">AA23+AP24-AJ24</f>
        <v>13366.719481</v>
      </c>
      <c r="AB24" s="104" t="n">
        <f aca="false">AB23+(AP24+X24)*1.9835-(AJ24*1.9835)</f>
        <v>37348.1288846785</v>
      </c>
      <c r="AC24" s="104" t="n">
        <f aca="false">AC23-(AQ23/1.9835)</f>
        <v>1659.61560795939</v>
      </c>
      <c r="AD24" s="104"/>
      <c r="AE24" s="132" t="n">
        <v>189</v>
      </c>
      <c r="AF24" s="231" t="n">
        <v>1.7</v>
      </c>
      <c r="AG24" s="232" t="n">
        <v>1.3</v>
      </c>
      <c r="AH24" s="432" t="n">
        <v>1180</v>
      </c>
      <c r="AI24" s="431" t="n">
        <f aca="false">AI23</f>
        <v>13740.2578774893</v>
      </c>
      <c r="AJ24" s="433" t="n">
        <f aca="false">AH24</f>
        <v>1180</v>
      </c>
      <c r="AK24" s="131" t="n">
        <f aca="false">N24+O24+P24+Q24+R24+S24+T24+W24+AE24+AH24+AT24</f>
        <v>1972</v>
      </c>
      <c r="AL24" s="132" t="n">
        <f aca="false">IF(L24&lt;0,L24*-1,0)</f>
        <v>0</v>
      </c>
      <c r="AM24" s="132" t="n">
        <f aca="false">AK24+AL24</f>
        <v>1972</v>
      </c>
      <c r="AN24" s="373" t="n">
        <f aca="false">AN23</f>
        <v>14570.652155</v>
      </c>
      <c r="AO24" s="134"/>
      <c r="AP24" s="94" t="n">
        <f aca="false">795-W24</f>
        <v>337.9865985</v>
      </c>
      <c r="AQ24" s="199" t="n">
        <f aca="false">47.3*(AA23*1.9835+AP24*1.9835+AC24*1.9835)/E24</f>
        <v>6.71850270289725</v>
      </c>
      <c r="AR24" s="199"/>
      <c r="AS24" s="204"/>
      <c r="AT24" s="167" t="n">
        <f aca="false">50-(N24*0.5)-P24</f>
        <v>47.5126015</v>
      </c>
      <c r="AU24" s="9"/>
      <c r="AV24" s="205" t="n">
        <v>0</v>
      </c>
      <c r="AW24" s="134" t="n">
        <v>78</v>
      </c>
      <c r="AX24" s="134" t="n">
        <v>44</v>
      </c>
      <c r="AY24" s="303"/>
      <c r="AZ24" s="233" t="n">
        <f aca="false">SUM(N24,P24:T24)</f>
        <v>12.373997</v>
      </c>
    </row>
    <row r="25" customFormat="false" ht="12.95" hidden="false" customHeight="true" outlineLevel="0" collapsed="false">
      <c r="A25" s="171" t="n">
        <f aca="false">A24+1</f>
        <v>13</v>
      </c>
      <c r="B25" s="103" t="n">
        <v>6923.5</v>
      </c>
      <c r="C25" s="104" t="n">
        <v>378934</v>
      </c>
      <c r="D25" s="134" t="n">
        <f aca="false">C25-C24</f>
        <v>623</v>
      </c>
      <c r="E25" s="104" t="n">
        <f aca="false">C25-152000</f>
        <v>226934</v>
      </c>
      <c r="F25" s="132" t="n">
        <f aca="false">D25/$D$2</f>
        <v>314.091252835896</v>
      </c>
      <c r="G25" s="196" t="n">
        <v>3040</v>
      </c>
      <c r="H25" s="133" t="n">
        <v>33</v>
      </c>
      <c r="I25" s="132" t="n">
        <f aca="false">G25+H25</f>
        <v>3073</v>
      </c>
      <c r="J25" s="133" t="n">
        <f aca="false">IF(L25&gt;0,L25,0)</f>
        <v>125.091252835896</v>
      </c>
      <c r="K25" s="132" t="n">
        <f aca="false">I25+J25</f>
        <v>3198.0912528359</v>
      </c>
      <c r="L25" s="132" t="n">
        <f aca="false">F25-(I25-AK25)</f>
        <v>125.091252835896</v>
      </c>
      <c r="M25" s="231" t="n">
        <v>390</v>
      </c>
      <c r="N25" s="199" t="n">
        <f aca="false">1.8299*1.03</f>
        <v>1.884797</v>
      </c>
      <c r="O25" s="132" t="n">
        <f aca="false">(43+46)*1.05</f>
        <v>93.45</v>
      </c>
      <c r="P25" s="199" t="n">
        <v>3.71</v>
      </c>
      <c r="Q25" s="340" t="n">
        <f aca="false">2.21*1.02</f>
        <v>2.2542</v>
      </c>
      <c r="R25" s="340" t="n">
        <v>4.2</v>
      </c>
      <c r="S25" s="129" t="n">
        <v>2.8</v>
      </c>
      <c r="T25" s="356" t="n">
        <v>0</v>
      </c>
      <c r="U25" s="132" t="n">
        <v>149</v>
      </c>
      <c r="V25" s="132" t="n">
        <v>83</v>
      </c>
      <c r="W25" s="132" t="n">
        <f aca="false">M25-N25-O25-P25-Q25-R25-S25-T25+U25+V25-AT25</f>
        <v>468.4534015</v>
      </c>
      <c r="X25" s="132" t="n">
        <f aca="false">W25-AO25</f>
        <v>468.4534015</v>
      </c>
      <c r="Y25" s="104" t="n">
        <f aca="false">Y24+(X25*1.9835)</f>
        <v>26103.1606182682</v>
      </c>
      <c r="Z25" s="104" t="n">
        <f aca="false">Z24+X25*(26300/37500)*1.9835</f>
        <v>18307.0166469455</v>
      </c>
      <c r="AA25" s="104" t="n">
        <f aca="false">AA24+AP25-AJ25</f>
        <v>11643.2660795</v>
      </c>
      <c r="AB25" s="104" t="n">
        <f aca="false">AB24+(AP25+X25)*1.9835-(AJ25*1.9835)</f>
        <v>34858.8363846785</v>
      </c>
      <c r="AC25" s="104" t="n">
        <f aca="false">AC24-(AQ24/1.9835)</f>
        <v>1656.22841224329</v>
      </c>
      <c r="AD25" s="104"/>
      <c r="AE25" s="132" t="n">
        <v>212</v>
      </c>
      <c r="AF25" s="231" t="n">
        <v>1.7</v>
      </c>
      <c r="AG25" s="232" t="n">
        <v>1.3</v>
      </c>
      <c r="AH25" s="432" t="n">
        <v>2050</v>
      </c>
      <c r="AI25" s="431" t="n">
        <f aca="false">AI24</f>
        <v>13740.2578774893</v>
      </c>
      <c r="AJ25" s="433" t="n">
        <f aca="false">AH25</f>
        <v>2050</v>
      </c>
      <c r="AK25" s="131" t="n">
        <f aca="false">N25+O25+P25+Q25+R25+S25+T25+W25+AE25+AH25+AT25</f>
        <v>2884</v>
      </c>
      <c r="AL25" s="132" t="n">
        <f aca="false">IF(L25&lt;0,L25*-1,0)</f>
        <v>0</v>
      </c>
      <c r="AM25" s="132" t="n">
        <f aca="false">AK25+AL25</f>
        <v>2884</v>
      </c>
      <c r="AN25" s="373" t="n">
        <f aca="false">AN24</f>
        <v>14570.652155</v>
      </c>
      <c r="AO25" s="134"/>
      <c r="AP25" s="94" t="n">
        <f aca="false">795-W25</f>
        <v>326.5465985</v>
      </c>
      <c r="AQ25" s="199" t="n">
        <f aca="false">47.3*(AA24*1.9835+AP25*1.9835+AC25*1.9835)/E25</f>
        <v>6.34582154257552</v>
      </c>
      <c r="AR25" s="199"/>
      <c r="AS25" s="204"/>
      <c r="AT25" s="167" t="n">
        <f aca="false">49.9-(N25*0.5)-P25</f>
        <v>45.2476015</v>
      </c>
      <c r="AU25" s="9"/>
      <c r="AV25" s="205" t="n">
        <v>0</v>
      </c>
      <c r="AW25" s="134" t="n">
        <v>73</v>
      </c>
      <c r="AX25" s="134" t="n">
        <v>42</v>
      </c>
      <c r="AY25" s="303"/>
      <c r="AZ25" s="233" t="n">
        <f aca="false">SUM(N25,P25:T25)</f>
        <v>14.848997</v>
      </c>
    </row>
    <row r="26" customFormat="false" ht="12.95" hidden="false" customHeight="true" outlineLevel="0" collapsed="false">
      <c r="A26" s="171" t="n">
        <f aca="false">A25+1</f>
        <v>14</v>
      </c>
      <c r="B26" s="103" t="n">
        <v>6923.85</v>
      </c>
      <c r="C26" s="104" t="n">
        <v>380492</v>
      </c>
      <c r="D26" s="134" t="n">
        <f aca="false">C26-C25</f>
        <v>1558</v>
      </c>
      <c r="E26" s="104" t="n">
        <f aca="false">C26-152000</f>
        <v>228492</v>
      </c>
      <c r="F26" s="132" t="n">
        <f aca="false">D26/$D$2</f>
        <v>785.480211746912</v>
      </c>
      <c r="G26" s="196" t="n">
        <v>2830</v>
      </c>
      <c r="H26" s="133" t="n">
        <v>10</v>
      </c>
      <c r="I26" s="132" t="n">
        <f aca="false">G26+H26</f>
        <v>2840</v>
      </c>
      <c r="J26" s="133" t="n">
        <f aca="false">IF(L26&gt;0,L26,0)</f>
        <v>336.480211746912</v>
      </c>
      <c r="K26" s="132" t="n">
        <f aca="false">I26+J26</f>
        <v>3176.48021174691</v>
      </c>
      <c r="L26" s="132" t="n">
        <f aca="false">F26-(I26-AK26)</f>
        <v>336.480211746912</v>
      </c>
      <c r="M26" s="231" t="n">
        <v>388</v>
      </c>
      <c r="N26" s="199" t="n">
        <f aca="false">1.8299*1.03</f>
        <v>1.884797</v>
      </c>
      <c r="O26" s="132" t="n">
        <f aca="false">(48+52)*1.05</f>
        <v>105</v>
      </c>
      <c r="P26" s="199" t="n">
        <v>2.11</v>
      </c>
      <c r="Q26" s="340" t="n">
        <f aca="false">2.21*1.02</f>
        <v>2.2542</v>
      </c>
      <c r="R26" s="340" t="n">
        <v>4.2</v>
      </c>
      <c r="S26" s="129" t="n">
        <v>3.11</v>
      </c>
      <c r="T26" s="356" t="n">
        <v>0</v>
      </c>
      <c r="U26" s="132" t="n">
        <v>148</v>
      </c>
      <c r="V26" s="132" t="n">
        <v>81</v>
      </c>
      <c r="W26" s="132" t="n">
        <f aca="false">M26-N26-O26-P26-Q26-R26-S26-T26+U26+V26-AT26</f>
        <v>450.8934015</v>
      </c>
      <c r="X26" s="132" t="n">
        <f aca="false">W26-AO26</f>
        <v>450.8934015</v>
      </c>
      <c r="Y26" s="104" t="n">
        <f aca="false">Y25+(X26*1.9835)</f>
        <v>26997.5076801435</v>
      </c>
      <c r="Z26" s="104" t="n">
        <f aca="false">Z25+X26*(26300/37500)*1.9835</f>
        <v>18934.2520530073</v>
      </c>
      <c r="AA26" s="104" t="n">
        <f aca="false">AA25+AP26-AJ26</f>
        <v>10457.372678</v>
      </c>
      <c r="AB26" s="104" t="n">
        <f aca="false">AB25+(AP26+X26)*1.9835-(AJ26*1.9835)</f>
        <v>33400.9638846785</v>
      </c>
      <c r="AC26" s="104" t="n">
        <f aca="false">AC25-(AQ25/1.9835)</f>
        <v>1653.02910720544</v>
      </c>
      <c r="AD26" s="104"/>
      <c r="AE26" s="132" t="n">
        <v>244</v>
      </c>
      <c r="AF26" s="231" t="n">
        <v>1.7</v>
      </c>
      <c r="AG26" s="232" t="n">
        <v>1.3</v>
      </c>
      <c r="AH26" s="432" t="n">
        <v>1530</v>
      </c>
      <c r="AI26" s="431" t="n">
        <f aca="false">AI25</f>
        <v>13740.2578774893</v>
      </c>
      <c r="AJ26" s="433" t="n">
        <f aca="false">AH26</f>
        <v>1530</v>
      </c>
      <c r="AK26" s="131" t="n">
        <f aca="false">N26+O26+P26+Q26+R26+S26+T26+W26+AE26+AH26+AT26</f>
        <v>2391</v>
      </c>
      <c r="AL26" s="132" t="n">
        <f aca="false">IF(L26&lt;0,L26*-1,0)</f>
        <v>0</v>
      </c>
      <c r="AM26" s="132" t="n">
        <f aca="false">AK26+AL26</f>
        <v>2391</v>
      </c>
      <c r="AN26" s="373" t="n">
        <f aca="false">AN25</f>
        <v>14570.652155</v>
      </c>
      <c r="AO26" s="134"/>
      <c r="AP26" s="94" t="n">
        <f aca="false">795-W26</f>
        <v>344.1065985</v>
      </c>
      <c r="AQ26" s="199" t="n">
        <f aca="false">47.3*(AA25*1.9835+AP26*1.9835+AC26*1.9835)/E26</f>
        <v>5.60079283873033</v>
      </c>
      <c r="AR26" s="199"/>
      <c r="AS26" s="204"/>
      <c r="AT26" s="167" t="n">
        <f aca="false">50.6-(N26*0.5)-P26</f>
        <v>47.5476015</v>
      </c>
      <c r="AU26" s="9"/>
      <c r="AV26" s="205" t="n">
        <v>0</v>
      </c>
      <c r="AW26" s="134" t="n">
        <v>74</v>
      </c>
      <c r="AX26" s="134" t="n">
        <v>44</v>
      </c>
      <c r="AY26" s="303"/>
      <c r="AZ26" s="233" t="n">
        <f aca="false">SUM(N26,P26:T26)</f>
        <v>13.558997</v>
      </c>
    </row>
    <row r="27" customFormat="false" ht="12.95" hidden="false" customHeight="true" outlineLevel="0" collapsed="false">
      <c r="A27" s="171" t="n">
        <f aca="false">A26+1</f>
        <v>15</v>
      </c>
      <c r="B27" s="103" t="n">
        <v>6923.96</v>
      </c>
      <c r="C27" s="104" t="n">
        <v>380982</v>
      </c>
      <c r="D27" s="134" t="n">
        <f aca="false">C27-C26</f>
        <v>490</v>
      </c>
      <c r="E27" s="104" t="n">
        <f aca="false">C27-152000</f>
        <v>228982</v>
      </c>
      <c r="F27" s="132" t="n">
        <f aca="false">D27/$D$2</f>
        <v>247.038064028233</v>
      </c>
      <c r="G27" s="196" t="n">
        <v>2660</v>
      </c>
      <c r="H27" s="133" t="n">
        <v>5.9</v>
      </c>
      <c r="I27" s="132" t="n">
        <f aca="false">G27+H27</f>
        <v>2665.9</v>
      </c>
      <c r="J27" s="133" t="n">
        <f aca="false">IF(L27&gt;0,L27,0)</f>
        <v>296.138064028233</v>
      </c>
      <c r="K27" s="132" t="n">
        <f aca="false">I27+J27</f>
        <v>2962.03806402823</v>
      </c>
      <c r="L27" s="132" t="n">
        <f aca="false">F27-(I27-AK27)</f>
        <v>296.138064028233</v>
      </c>
      <c r="M27" s="231" t="n">
        <v>385</v>
      </c>
      <c r="N27" s="199" t="n">
        <f aca="false">1.8299*1.03</f>
        <v>1.884797</v>
      </c>
      <c r="O27" s="132" t="n">
        <f aca="false">(48+47)*1.05</f>
        <v>99.75</v>
      </c>
      <c r="P27" s="199" t="n">
        <v>0</v>
      </c>
      <c r="Q27" s="340" t="n">
        <f aca="false">2.21*1.02</f>
        <v>2.2542</v>
      </c>
      <c r="R27" s="340" t="n">
        <v>4.2</v>
      </c>
      <c r="S27" s="129" t="n">
        <v>3.67</v>
      </c>
      <c r="T27" s="356" t="n">
        <v>0</v>
      </c>
      <c r="U27" s="132" t="n">
        <v>148</v>
      </c>
      <c r="V27" s="132" t="n">
        <v>79</v>
      </c>
      <c r="W27" s="132" t="n">
        <f aca="false">M27-N27-O27-P27-Q27-R27-S27-T27+U27+V27-AT27</f>
        <v>452.0834015</v>
      </c>
      <c r="X27" s="132" t="n">
        <f aca="false">W27-AO27</f>
        <v>452.0834015</v>
      </c>
      <c r="Y27" s="104" t="n">
        <f aca="false">Y26+(X27*1.9835)</f>
        <v>27894.2151070187</v>
      </c>
      <c r="Z27" s="104" t="n">
        <f aca="false">Z26+X27*(26300/37500)*1.9835</f>
        <v>19563.1428617225</v>
      </c>
      <c r="AA27" s="104" t="n">
        <f aca="false">AA26+AP27-AJ27</f>
        <v>8717.072678</v>
      </c>
      <c r="AB27" s="104" t="n">
        <f aca="false">AB26+(AP27+X27)*1.9835-(AJ27*1.9835)</f>
        <v>30845.7862615537</v>
      </c>
      <c r="AC27" s="104" t="n">
        <f aca="false">AC26-(AQ26/1.9835)</f>
        <v>1650.20541532808</v>
      </c>
      <c r="AD27" s="104"/>
      <c r="AE27" s="132" t="n">
        <v>273</v>
      </c>
      <c r="AF27" s="231" t="n">
        <v>1.7</v>
      </c>
      <c r="AG27" s="232" t="n">
        <v>1.3</v>
      </c>
      <c r="AH27" s="432" t="n">
        <v>1830</v>
      </c>
      <c r="AI27" s="431" t="n">
        <f aca="false">AI26</f>
        <v>13740.2578774893</v>
      </c>
      <c r="AJ27" s="433" t="n">
        <f aca="false">AH27</f>
        <v>1830</v>
      </c>
      <c r="AK27" s="131" t="n">
        <f aca="false">N27+O27+P27+Q27+R27+S27+T27+W27+AE27+AH27+AT27</f>
        <v>2715</v>
      </c>
      <c r="AL27" s="132" t="n">
        <f aca="false">IF(L27&lt;0,L27*-1,0)</f>
        <v>0</v>
      </c>
      <c r="AM27" s="132" t="n">
        <f aca="false">AK27+AL27</f>
        <v>2715</v>
      </c>
      <c r="AN27" s="373" t="n">
        <f aca="false">AN26</f>
        <v>14570.652155</v>
      </c>
      <c r="AO27" s="134"/>
      <c r="AP27" s="93" t="n">
        <v>89.7</v>
      </c>
      <c r="AQ27" s="199" t="n">
        <f aca="false">47.3*(AA26*1.9835+AP27*1.9835+AC27*1.9835)/E27</f>
        <v>4.99752444271121</v>
      </c>
      <c r="AR27" s="199"/>
      <c r="AS27" s="204"/>
      <c r="AT27" s="167" t="n">
        <f aca="false">49.1-(N27*0.5)-P27</f>
        <v>48.1576015</v>
      </c>
      <c r="AU27" s="9"/>
      <c r="AV27" s="205" t="n">
        <v>0</v>
      </c>
      <c r="AW27" s="134" t="n">
        <v>74</v>
      </c>
      <c r="AX27" s="134" t="n">
        <v>45</v>
      </c>
      <c r="AY27" s="303"/>
      <c r="AZ27" s="233" t="n">
        <f aca="false">SUM(N27,P27:T27)</f>
        <v>12.008997</v>
      </c>
    </row>
    <row r="28" customFormat="false" ht="12.95" hidden="false" customHeight="true" outlineLevel="0" collapsed="false">
      <c r="A28" s="171" t="n">
        <f aca="false">A27+1</f>
        <v>16</v>
      </c>
      <c r="B28" s="103" t="n">
        <v>6923.96</v>
      </c>
      <c r="C28" s="104" t="n">
        <v>380982</v>
      </c>
      <c r="D28" s="134" t="n">
        <f aca="false">C28-C27</f>
        <v>0</v>
      </c>
      <c r="E28" s="104" t="n">
        <f aca="false">C28-152000</f>
        <v>228982</v>
      </c>
      <c r="F28" s="132" t="n">
        <f aca="false">D28/$D$2</f>
        <v>0</v>
      </c>
      <c r="G28" s="196" t="n">
        <v>2470</v>
      </c>
      <c r="H28" s="133" t="n">
        <v>5.7</v>
      </c>
      <c r="I28" s="132" t="n">
        <f aca="false">G28+H28</f>
        <v>2475.7</v>
      </c>
      <c r="J28" s="133" t="n">
        <f aca="false">IF(L28&gt;0,L28,0)</f>
        <v>304.3</v>
      </c>
      <c r="K28" s="132" t="n">
        <f aca="false">I28+J28</f>
        <v>2780</v>
      </c>
      <c r="L28" s="132" t="n">
        <f aca="false">F28-(I28-AK28)</f>
        <v>304.3</v>
      </c>
      <c r="M28" s="231" t="n">
        <v>378</v>
      </c>
      <c r="N28" s="199" t="n">
        <f aca="false">1.8299*1.03</f>
        <v>1.884797</v>
      </c>
      <c r="O28" s="132" t="n">
        <f aca="false">(47+47)*1.05</f>
        <v>98.7</v>
      </c>
      <c r="P28" s="199" t="n">
        <v>0</v>
      </c>
      <c r="Q28" s="340" t="n">
        <f aca="false">2.21*1.02</f>
        <v>2.2542</v>
      </c>
      <c r="R28" s="340" t="n">
        <v>4.2</v>
      </c>
      <c r="S28" s="129" t="n">
        <v>3.51</v>
      </c>
      <c r="T28" s="356" t="n">
        <v>0</v>
      </c>
      <c r="U28" s="132" t="n">
        <v>148</v>
      </c>
      <c r="V28" s="132" t="n">
        <v>79</v>
      </c>
      <c r="W28" s="132" t="n">
        <f aca="false">M28-N28-O28-P28-Q28-R28-S28-T28+U28+V28-AT28</f>
        <v>446.1934015</v>
      </c>
      <c r="X28" s="132" t="n">
        <f aca="false">W28-AO28</f>
        <v>446.1934015</v>
      </c>
      <c r="Y28" s="104" t="n">
        <f aca="false">Y27+(X28*1.9835)</f>
        <v>28779.239718894</v>
      </c>
      <c r="Z28" s="104" t="n">
        <f aca="false">Z27+X28*(26300/37500)*1.9835</f>
        <v>20183.840122851</v>
      </c>
      <c r="AA28" s="104" t="n">
        <f aca="false">AA27+AP28-AJ28</f>
        <v>6896.772678</v>
      </c>
      <c r="AB28" s="104" t="n">
        <f aca="false">AB27+(AP28+X28)*1.9835-(AJ28*1.9835)</f>
        <v>28120.245823429</v>
      </c>
      <c r="AC28" s="104" t="n">
        <f aca="false">AC27-(AQ27/1.9835)</f>
        <v>1647.68586683163</v>
      </c>
      <c r="AD28" s="104"/>
      <c r="AE28" s="132" t="n">
        <v>265</v>
      </c>
      <c r="AF28" s="231" t="n">
        <v>1.7</v>
      </c>
      <c r="AG28" s="232" t="n">
        <v>1.3</v>
      </c>
      <c r="AH28" s="432" t="n">
        <v>1910</v>
      </c>
      <c r="AI28" s="431" t="n">
        <f aca="false">AI27</f>
        <v>13740.2578774893</v>
      </c>
      <c r="AJ28" s="433" t="n">
        <f aca="false">AH28</f>
        <v>1910</v>
      </c>
      <c r="AK28" s="131" t="n">
        <f aca="false">N28+O28+P28+Q28+R28+S28+T28+W28+AE28+AH28+AT28</f>
        <v>2780</v>
      </c>
      <c r="AL28" s="132" t="n">
        <f aca="false">IF(L28&lt;0,L28*-1,0)</f>
        <v>0</v>
      </c>
      <c r="AM28" s="132" t="n">
        <f aca="false">AK28+AL28</f>
        <v>2780</v>
      </c>
      <c r="AN28" s="373" t="n">
        <f aca="false">AN27</f>
        <v>14570.652155</v>
      </c>
      <c r="AO28" s="134"/>
      <c r="AP28" s="93" t="n">
        <v>89.7</v>
      </c>
      <c r="AQ28" s="199" t="n">
        <f aca="false">47.3*(AA27*1.9835+AP28*1.9835+AC28*1.9835)/E28</f>
        <v>4.28344846393934</v>
      </c>
      <c r="AR28" s="199"/>
      <c r="AS28" s="204"/>
      <c r="AT28" s="167" t="n">
        <f aca="false">49.2-(N28*0.5)-P28</f>
        <v>48.2576015</v>
      </c>
      <c r="AU28" s="9"/>
      <c r="AV28" s="205" t="n">
        <v>0</v>
      </c>
      <c r="AW28" s="134" t="n">
        <v>76</v>
      </c>
      <c r="AX28" s="134" t="n">
        <v>47</v>
      </c>
      <c r="AY28" s="303"/>
      <c r="AZ28" s="233" t="n">
        <f aca="false">SUM(N28,P28:T28)</f>
        <v>11.848997</v>
      </c>
    </row>
    <row r="29" customFormat="false" ht="12.95" hidden="false" customHeight="true" outlineLevel="0" collapsed="false">
      <c r="A29" s="171" t="n">
        <f aca="false">A28+1</f>
        <v>17</v>
      </c>
      <c r="B29" s="103" t="n">
        <v>6923.95</v>
      </c>
      <c r="C29" s="104" t="n">
        <v>380937</v>
      </c>
      <c r="D29" s="134" t="n">
        <f aca="false">C29-C28</f>
        <v>-45</v>
      </c>
      <c r="E29" s="104" t="n">
        <f aca="false">C29-152000</f>
        <v>228937</v>
      </c>
      <c r="F29" s="132" t="n">
        <f aca="false">D29/$D$2</f>
        <v>-22.68716914545</v>
      </c>
      <c r="G29" s="196" t="n">
        <v>2190</v>
      </c>
      <c r="H29" s="133" t="n">
        <v>2.9</v>
      </c>
      <c r="I29" s="132" t="n">
        <f aca="false">G29+H29</f>
        <v>2192.9</v>
      </c>
      <c r="J29" s="133" t="n">
        <f aca="false">IF(L29&gt;0,L29,0)</f>
        <v>290.41283085455</v>
      </c>
      <c r="K29" s="132" t="n">
        <f aca="false">I29+J29</f>
        <v>2483.31283085455</v>
      </c>
      <c r="L29" s="132" t="n">
        <f aca="false">F29-(I29-AK29)</f>
        <v>290.41283085455</v>
      </c>
      <c r="M29" s="231" t="n">
        <v>380</v>
      </c>
      <c r="N29" s="199" t="n">
        <f aca="false">1.8299*1.03</f>
        <v>1.884797</v>
      </c>
      <c r="O29" s="132" t="n">
        <f aca="false">(48+49)*1.05</f>
        <v>101.85</v>
      </c>
      <c r="P29" s="199" t="n">
        <v>0</v>
      </c>
      <c r="Q29" s="340" t="n">
        <f aca="false">2.21*1.02</f>
        <v>2.2542</v>
      </c>
      <c r="R29" s="340" t="n">
        <v>4.2</v>
      </c>
      <c r="S29" s="129" t="n">
        <v>3.08</v>
      </c>
      <c r="T29" s="356" t="n">
        <v>0</v>
      </c>
      <c r="U29" s="132" t="n">
        <v>148</v>
      </c>
      <c r="V29" s="132" t="n">
        <v>78</v>
      </c>
      <c r="W29" s="132" t="n">
        <f aca="false">M29-N29-O29-P29-Q29-R29-S29-T29+U29+V29-AT29</f>
        <v>449.8734015</v>
      </c>
      <c r="X29" s="132" t="n">
        <f aca="false">W29-AO29</f>
        <v>449.8734015</v>
      </c>
      <c r="Y29" s="104" t="n">
        <f aca="false">Y28+(X29*1.9835)</f>
        <v>29671.5636107692</v>
      </c>
      <c r="Z29" s="104" t="n">
        <f aca="false">Z28+X29*(26300/37500)*1.9835</f>
        <v>20809.6566123528</v>
      </c>
      <c r="AA29" s="104" t="n">
        <f aca="false">AA28+AP29-AJ29</f>
        <v>5359.172678</v>
      </c>
      <c r="AB29" s="104" t="n">
        <f aca="false">AB28+(AP29+X29)*1.9835-(AJ29*1.9835)</f>
        <v>25962.7401153042</v>
      </c>
      <c r="AC29" s="104" t="n">
        <f aca="false">AC28-(AQ28/1.9835)</f>
        <v>1645.52632639103</v>
      </c>
      <c r="AD29" s="104"/>
      <c r="AE29" s="132" t="n">
        <v>250</v>
      </c>
      <c r="AF29" s="231" t="n">
        <v>1.7</v>
      </c>
      <c r="AG29" s="232" t="n">
        <v>1.3</v>
      </c>
      <c r="AH29" s="432" t="n">
        <v>1650</v>
      </c>
      <c r="AI29" s="431" t="n">
        <f aca="false">AI28</f>
        <v>13740.2578774893</v>
      </c>
      <c r="AJ29" s="433" t="n">
        <f aca="false">AH29</f>
        <v>1650</v>
      </c>
      <c r="AK29" s="131" t="n">
        <f aca="false">N29+O29+P29+Q29+R29+S29+T29+W29+AE29+AH29+AT29</f>
        <v>2506</v>
      </c>
      <c r="AL29" s="132" t="n">
        <f aca="false">IF(L29&lt;0,L29*-1,0)</f>
        <v>0</v>
      </c>
      <c r="AM29" s="132" t="n">
        <f aca="false">AK29+AL29</f>
        <v>2506</v>
      </c>
      <c r="AN29" s="373" t="n">
        <f aca="false">AN28</f>
        <v>14570.652155</v>
      </c>
      <c r="AO29" s="134"/>
      <c r="AP29" s="93" t="n">
        <v>112.4</v>
      </c>
      <c r="AQ29" s="199" t="n">
        <f aca="false">47.3*(AA28*1.9835+AP29*1.9835+AC29*1.9835)/E29</f>
        <v>3.54673978420882</v>
      </c>
      <c r="AR29" s="199"/>
      <c r="AS29" s="204"/>
      <c r="AT29" s="167" t="n">
        <f aca="false">43.8-(N29*0.5)-P29</f>
        <v>42.8576015</v>
      </c>
      <c r="AU29" s="9"/>
      <c r="AV29" s="205" t="n">
        <v>0</v>
      </c>
      <c r="AW29" s="134" t="n">
        <v>79</v>
      </c>
      <c r="AX29" s="134" t="n">
        <v>44</v>
      </c>
      <c r="AY29" s="303"/>
      <c r="AZ29" s="233" t="n">
        <f aca="false">SUM(N29,P29:T29)</f>
        <v>11.418997</v>
      </c>
    </row>
    <row r="30" customFormat="false" ht="12.95" hidden="false" customHeight="true" outlineLevel="0" collapsed="false">
      <c r="A30" s="171" t="n">
        <f aca="false">A29+1</f>
        <v>18</v>
      </c>
      <c r="B30" s="103" t="n">
        <v>6924.16</v>
      </c>
      <c r="C30" s="104" t="n">
        <v>381878</v>
      </c>
      <c r="D30" s="134" t="n">
        <f aca="false">C30-C29</f>
        <v>941</v>
      </c>
      <c r="E30" s="104" t="n">
        <f aca="false">C30-152000</f>
        <v>229878</v>
      </c>
      <c r="F30" s="132" t="n">
        <f aca="false">D30/$D$2</f>
        <v>474.413914797076</v>
      </c>
      <c r="G30" s="196" t="n">
        <v>2270</v>
      </c>
      <c r="H30" s="133" t="n">
        <v>2</v>
      </c>
      <c r="I30" s="132" t="n">
        <f aca="false">G30+H30</f>
        <v>2272</v>
      </c>
      <c r="J30" s="133" t="n">
        <f aca="false">IF(L30&gt;0,L30,0)</f>
        <v>339.413914797076</v>
      </c>
      <c r="K30" s="132" t="n">
        <f aca="false">I30+J30</f>
        <v>2611.41391479708</v>
      </c>
      <c r="L30" s="132" t="n">
        <f aca="false">F30-(I30-AK30)</f>
        <v>339.413914797076</v>
      </c>
      <c r="M30" s="231" t="n">
        <v>380</v>
      </c>
      <c r="N30" s="199" t="n">
        <f aca="false">1.8299*1.03</f>
        <v>1.884797</v>
      </c>
      <c r="O30" s="132" t="n">
        <f aca="false">(43+42)*1.05</f>
        <v>89.25</v>
      </c>
      <c r="P30" s="199" t="n">
        <v>0</v>
      </c>
      <c r="Q30" s="340" t="n">
        <f aca="false">2.21*1.02</f>
        <v>2.2542</v>
      </c>
      <c r="R30" s="340" t="n">
        <v>4.2</v>
      </c>
      <c r="S30" s="129" t="n">
        <v>3.49</v>
      </c>
      <c r="T30" s="356" t="n">
        <v>0</v>
      </c>
      <c r="U30" s="132" t="n">
        <v>148</v>
      </c>
      <c r="V30" s="132" t="n">
        <v>77</v>
      </c>
      <c r="W30" s="132" t="n">
        <f aca="false">M30-N30-O30-P30-Q30-R30-S30-T30+U30+V30-AT30</f>
        <v>459.7634015</v>
      </c>
      <c r="X30" s="132" t="n">
        <f aca="false">W30-AO30</f>
        <v>459.7634015</v>
      </c>
      <c r="Y30" s="104" t="n">
        <f aca="false">Y29+(X30*1.9835)</f>
        <v>30583.5043176445</v>
      </c>
      <c r="Z30" s="104" t="n">
        <f aca="false">Z29+X30*(26300/37500)*1.9835</f>
        <v>21449.231028108</v>
      </c>
      <c r="AA30" s="104" t="n">
        <f aca="false">AA29+AP30-AJ30</f>
        <v>4099.172678</v>
      </c>
      <c r="AB30" s="104" t="n">
        <f aca="false">AB29+(AP30+X30)*1.9835-(AJ30*1.9835)</f>
        <v>24375.4708221795</v>
      </c>
      <c r="AC30" s="104" t="n">
        <f aca="false">AC29-(AQ29/1.9835)</f>
        <v>1643.73820449327</v>
      </c>
      <c r="AD30" s="104"/>
      <c r="AE30" s="132" t="n">
        <v>272</v>
      </c>
      <c r="AF30" s="231" t="n">
        <v>1.7</v>
      </c>
      <c r="AG30" s="232" t="n">
        <v>1.3</v>
      </c>
      <c r="AH30" s="432" t="n">
        <v>1260</v>
      </c>
      <c r="AI30" s="431" t="n">
        <f aca="false">AI29</f>
        <v>13740.2578774893</v>
      </c>
      <c r="AJ30" s="433" t="n">
        <f aca="false">AH30</f>
        <v>1260</v>
      </c>
      <c r="AK30" s="131" t="n">
        <f aca="false">N30+O30+P30+Q30+R30+S30+T30+W30+AE30+AH30+AT30</f>
        <v>2137</v>
      </c>
      <c r="AL30" s="132" t="n">
        <f aca="false">IF(L30&lt;0,L30*-1,0)</f>
        <v>0</v>
      </c>
      <c r="AM30" s="132" t="n">
        <f aca="false">AK30+AL30</f>
        <v>2137</v>
      </c>
      <c r="AN30" s="373" t="n">
        <f aca="false">AN29</f>
        <v>14570.652155</v>
      </c>
      <c r="AO30" s="134"/>
      <c r="AP30" s="94" t="n">
        <v>0</v>
      </c>
      <c r="AQ30" s="199" t="n">
        <f aca="false">47.3*(AA29*1.9835+AP30*1.9835+AC30*1.9835)/E30</f>
        <v>2.85808101551963</v>
      </c>
      <c r="AR30" s="199"/>
      <c r="AS30" s="204"/>
      <c r="AT30" s="167" t="n">
        <f aca="false">45.1-(N30*0.5)-P30</f>
        <v>44.1576015</v>
      </c>
      <c r="AU30" s="9"/>
      <c r="AV30" s="205" t="n">
        <v>0</v>
      </c>
      <c r="AW30" s="134" t="n">
        <v>83</v>
      </c>
      <c r="AX30" s="134" t="n">
        <v>51</v>
      </c>
      <c r="AY30" s="303"/>
      <c r="AZ30" s="233" t="n">
        <f aca="false">SUM(N30,P30:T30)</f>
        <v>11.828997</v>
      </c>
    </row>
    <row r="31" customFormat="false" ht="12.95" hidden="false" customHeight="true" outlineLevel="0" collapsed="false">
      <c r="A31" s="171" t="n">
        <f aca="false">A30+1</f>
        <v>19</v>
      </c>
      <c r="B31" s="103" t="n">
        <v>6924.24</v>
      </c>
      <c r="C31" s="313" t="n">
        <v>382237</v>
      </c>
      <c r="D31" s="134" t="n">
        <f aca="false">C31-C30</f>
        <v>359</v>
      </c>
      <c r="E31" s="104" t="n">
        <f aca="false">C31-152000</f>
        <v>230237</v>
      </c>
      <c r="F31" s="132" t="n">
        <f aca="false">D31/$D$2</f>
        <v>180.993193849256</v>
      </c>
      <c r="G31" s="196" t="n">
        <v>2270</v>
      </c>
      <c r="H31" s="133" t="n">
        <v>1.6</v>
      </c>
      <c r="I31" s="132" t="n">
        <f aca="false">G31+H31</f>
        <v>2271.6</v>
      </c>
      <c r="J31" s="133" t="n">
        <f aca="false">IF(L31&gt;0,L31,0)</f>
        <v>176.393193849256</v>
      </c>
      <c r="K31" s="132" t="n">
        <f aca="false">I31+J31</f>
        <v>2447.99319384926</v>
      </c>
      <c r="L31" s="132" t="n">
        <f aca="false">F31-(I31-AK31)</f>
        <v>176.393193849256</v>
      </c>
      <c r="M31" s="231" t="n">
        <v>394</v>
      </c>
      <c r="N31" s="199" t="n">
        <f aca="false">1.8299*1.03</f>
        <v>1.884797</v>
      </c>
      <c r="O31" s="132" t="n">
        <f aca="false">(45+45)*1.05</f>
        <v>94.5</v>
      </c>
      <c r="P31" s="199" t="n">
        <v>0</v>
      </c>
      <c r="Q31" s="340" t="n">
        <f aca="false">2.21*1.02</f>
        <v>2.2542</v>
      </c>
      <c r="R31" s="340" t="n">
        <v>4.2</v>
      </c>
      <c r="S31" s="129" t="n">
        <v>3.87</v>
      </c>
      <c r="T31" s="356" t="n">
        <v>0</v>
      </c>
      <c r="U31" s="132" t="n">
        <v>149</v>
      </c>
      <c r="V31" s="132" t="n">
        <v>76</v>
      </c>
      <c r="W31" s="132" t="n">
        <f aca="false">M31-N31-O31-P31-Q31-R31-S31-T31+U31+V31-AT31</f>
        <v>464.9334015</v>
      </c>
      <c r="X31" s="132" t="n">
        <f aca="false">W31-AO31</f>
        <v>464.9334015</v>
      </c>
      <c r="Y31" s="104" t="n">
        <f aca="false">Y30+(X31*1.9835)</f>
        <v>31505.6997195197</v>
      </c>
      <c r="Z31" s="104" t="n">
        <f aca="false">Z30+X31*(26300/37500)*1.9835</f>
        <v>22095.9974032899</v>
      </c>
      <c r="AA31" s="104" t="n">
        <f aca="false">AA30+AP31-AJ31</f>
        <v>2739.172678</v>
      </c>
      <c r="AB31" s="104" t="n">
        <f aca="false">AB30+(AP31+X31)*1.9835-(AJ31*1.9835)</f>
        <v>22600.1062240547</v>
      </c>
      <c r="AC31" s="104" t="n">
        <f aca="false">AC30-(AQ30/1.9835)</f>
        <v>1642.29727632814</v>
      </c>
      <c r="AD31" s="104"/>
      <c r="AE31" s="132" t="n">
        <v>288</v>
      </c>
      <c r="AF31" s="231" t="n">
        <v>1.7</v>
      </c>
      <c r="AG31" s="232" t="n">
        <v>1.3</v>
      </c>
      <c r="AH31" s="432" t="n">
        <v>1360</v>
      </c>
      <c r="AI31" s="431" t="n">
        <f aca="false">AI30</f>
        <v>13740.2578774893</v>
      </c>
      <c r="AJ31" s="433" t="n">
        <f aca="false">AH31</f>
        <v>1360</v>
      </c>
      <c r="AK31" s="131" t="n">
        <f aca="false">N31+O31+P31+Q31+R31+S31+T31+W31+AE31+AH31+AT31</f>
        <v>2267</v>
      </c>
      <c r="AL31" s="132" t="n">
        <f aca="false">IF(L31&lt;0,L31*-1,0)</f>
        <v>0</v>
      </c>
      <c r="AM31" s="132" t="n">
        <f aca="false">AK31+AL31</f>
        <v>2267</v>
      </c>
      <c r="AN31" s="373" t="n">
        <f aca="false">AN30</f>
        <v>14570.652155</v>
      </c>
      <c r="AO31" s="134"/>
      <c r="AP31" s="94" t="n">
        <v>0</v>
      </c>
      <c r="AQ31" s="199" t="n">
        <f aca="false">47.3*(AA30*1.9835+AP31*1.9835+AC31*1.9835)/E31</f>
        <v>2.33959844618192</v>
      </c>
      <c r="AR31" s="199"/>
      <c r="AS31" s="204"/>
      <c r="AT31" s="167" t="n">
        <f aca="false">48.3-(N31*0.5)-P31</f>
        <v>47.3576015</v>
      </c>
      <c r="AU31" s="9"/>
      <c r="AV31" s="205" t="n">
        <v>0.03</v>
      </c>
      <c r="AW31" s="134" t="n">
        <v>76</v>
      </c>
      <c r="AX31" s="134" t="n">
        <v>53</v>
      </c>
      <c r="AY31" s="303"/>
      <c r="AZ31" s="233" t="n">
        <f aca="false">SUM(N31,P31:T31)</f>
        <v>12.208997</v>
      </c>
    </row>
    <row r="32" customFormat="false" ht="12.95" hidden="false" customHeight="true" outlineLevel="0" collapsed="false">
      <c r="A32" s="171" t="n">
        <f aca="false">A31+1</f>
        <v>20</v>
      </c>
      <c r="B32" s="103" t="n">
        <v>6924.36</v>
      </c>
      <c r="C32" s="104" t="n">
        <v>382775</v>
      </c>
      <c r="D32" s="134" t="n">
        <f aca="false">C32-C31</f>
        <v>538</v>
      </c>
      <c r="E32" s="104" t="n">
        <f aca="false">C32-152000</f>
        <v>230775</v>
      </c>
      <c r="F32" s="132" t="n">
        <f aca="false">D32/$D$2</f>
        <v>271.237711116713</v>
      </c>
      <c r="G32" s="196" t="n">
        <v>2090</v>
      </c>
      <c r="H32" s="133" t="n">
        <v>1.2</v>
      </c>
      <c r="I32" s="132" t="n">
        <f aca="false">G32+H32</f>
        <v>2091.2</v>
      </c>
      <c r="J32" s="133" t="n">
        <f aca="false">IF(L32&gt;0,L32,0)</f>
        <v>417.037711116713</v>
      </c>
      <c r="K32" s="132" t="n">
        <f aca="false">I32+J32</f>
        <v>2508.23771111671</v>
      </c>
      <c r="L32" s="132" t="n">
        <f aca="false">F32-(I32-AK32)</f>
        <v>417.037711116713</v>
      </c>
      <c r="M32" s="231" t="n">
        <v>351</v>
      </c>
      <c r="N32" s="199" t="n">
        <f aca="false">1.8299*1.03</f>
        <v>1.884797</v>
      </c>
      <c r="O32" s="132" t="n">
        <f aca="false">(44+45)*1.05</f>
        <v>93.45</v>
      </c>
      <c r="P32" s="199" t="n">
        <v>0</v>
      </c>
      <c r="Q32" s="340" t="n">
        <f aca="false">2.21*1.02</f>
        <v>2.2542</v>
      </c>
      <c r="R32" s="340" t="n">
        <v>4.2</v>
      </c>
      <c r="S32" s="129" t="n">
        <v>4</v>
      </c>
      <c r="T32" s="356" t="n">
        <v>0</v>
      </c>
      <c r="U32" s="132" t="n">
        <v>148</v>
      </c>
      <c r="V32" s="132" t="n">
        <v>76</v>
      </c>
      <c r="W32" s="132" t="n">
        <f aca="false">M32-N32-O32-P32-Q32-R32-S32-T32+U32+V32-AT32</f>
        <v>449.2534015</v>
      </c>
      <c r="X32" s="132" t="n">
        <f aca="false">W32-AO32</f>
        <v>449.2534015</v>
      </c>
      <c r="Y32" s="104" t="n">
        <f aca="false">Y31+(X32*1.9835)</f>
        <v>32396.793841395</v>
      </c>
      <c r="Z32" s="104" t="n">
        <f aca="false">Z31+X32*(26300/37500)*1.9835</f>
        <v>22720.9514140984</v>
      </c>
      <c r="AA32" s="104" t="n">
        <f aca="false">AA31+AP32-AJ32</f>
        <v>1369.172678</v>
      </c>
      <c r="AB32" s="104" t="n">
        <f aca="false">AB31+(AP32+X32)*1.9835-(AJ32*1.9835)</f>
        <v>20773.80534593</v>
      </c>
      <c r="AC32" s="104" t="n">
        <f aca="false">AC31-(AQ31/1.9835)</f>
        <v>1641.11774597968</v>
      </c>
      <c r="AD32" s="104"/>
      <c r="AE32" s="132" t="n">
        <v>292</v>
      </c>
      <c r="AF32" s="231" t="n">
        <v>1.7</v>
      </c>
      <c r="AG32" s="232" t="n">
        <v>1.3</v>
      </c>
      <c r="AH32" s="432" t="n">
        <v>1370</v>
      </c>
      <c r="AI32" s="431" t="n">
        <f aca="false">AI31</f>
        <v>13740.2578774893</v>
      </c>
      <c r="AJ32" s="433" t="n">
        <f aca="false">AH32</f>
        <v>1370</v>
      </c>
      <c r="AK32" s="131" t="n">
        <f aca="false">N32+O32+P32+Q32+R32+S32+T32+W32+AE32+AH32+AT32</f>
        <v>2237</v>
      </c>
      <c r="AL32" s="132" t="n">
        <f aca="false">IF(L32&lt;0,L32*-1,0)</f>
        <v>0</v>
      </c>
      <c r="AM32" s="132" t="n">
        <f aca="false">AK32+AL32</f>
        <v>2237</v>
      </c>
      <c r="AN32" s="373" t="n">
        <f aca="false">AN31</f>
        <v>14570.652155</v>
      </c>
      <c r="AO32" s="134"/>
      <c r="AP32" s="94" t="n">
        <v>0</v>
      </c>
      <c r="AQ32" s="199" t="n">
        <f aca="false">47.3*(AA31*1.9835+AP32*1.9835+AC32*1.9835)/E32</f>
        <v>1.78076861205539</v>
      </c>
      <c r="AR32" s="199"/>
      <c r="AS32" s="204"/>
      <c r="AT32" s="167" t="n">
        <f aca="false">20.9-(N32*0.5)-P32</f>
        <v>19.9576015</v>
      </c>
      <c r="AU32" s="9"/>
      <c r="AV32" s="205" t="n">
        <v>0</v>
      </c>
      <c r="AW32" s="134" t="n">
        <v>76</v>
      </c>
      <c r="AX32" s="134" t="n">
        <v>48</v>
      </c>
      <c r="AY32" s="303"/>
      <c r="AZ32" s="233" t="n">
        <f aca="false">SUM(N32,P32:T32)</f>
        <v>12.338997</v>
      </c>
    </row>
    <row r="33" customFormat="false" ht="12.95" hidden="false" customHeight="true" outlineLevel="0" collapsed="false">
      <c r="A33" s="171" t="n">
        <f aca="false">A32+1</f>
        <v>21</v>
      </c>
      <c r="B33" s="103" t="n">
        <v>6924.31</v>
      </c>
      <c r="C33" s="104" t="n">
        <v>382551</v>
      </c>
      <c r="D33" s="134" t="n">
        <f aca="false">C33-C32</f>
        <v>-224</v>
      </c>
      <c r="E33" s="104" t="n">
        <f aca="false">C33-152000</f>
        <v>230551</v>
      </c>
      <c r="F33" s="132" t="n">
        <f aca="false">D33/$D$2</f>
        <v>-112.931686412906</v>
      </c>
      <c r="G33" s="196" t="n">
        <v>1800</v>
      </c>
      <c r="H33" s="133" t="n">
        <v>0.94</v>
      </c>
      <c r="I33" s="132" t="n">
        <f aca="false">G33+H33</f>
        <v>1800.94</v>
      </c>
      <c r="J33" s="133" t="n">
        <f aca="false">IF(L33&gt;0,L33,0)</f>
        <v>222.128313587093</v>
      </c>
      <c r="K33" s="132" t="n">
        <f aca="false">I33+J33</f>
        <v>2023.06831358709</v>
      </c>
      <c r="L33" s="132" t="n">
        <f aca="false">F33-(I33-AK33)</f>
        <v>222.128313587093</v>
      </c>
      <c r="M33" s="231" t="n">
        <v>336</v>
      </c>
      <c r="N33" s="199" t="n">
        <f aca="false">1.8299*1.03</f>
        <v>1.884797</v>
      </c>
      <c r="O33" s="132" t="n">
        <f aca="false">(40+41)*1.05</f>
        <v>85.05</v>
      </c>
      <c r="P33" s="199" t="n">
        <v>0</v>
      </c>
      <c r="Q33" s="340" t="n">
        <f aca="false">2.21*1.02</f>
        <v>2.2542</v>
      </c>
      <c r="R33" s="340" t="n">
        <v>4.2</v>
      </c>
      <c r="S33" s="129" t="n">
        <v>3.54</v>
      </c>
      <c r="T33" s="356" t="n">
        <v>0</v>
      </c>
      <c r="U33" s="132" t="n">
        <v>149</v>
      </c>
      <c r="V33" s="132" t="n">
        <v>75</v>
      </c>
      <c r="W33" s="132" t="n">
        <f aca="false">M33-N33-O33-P33-Q33-R33-S33-T33+U33+V33-AT33</f>
        <v>463.071003</v>
      </c>
      <c r="X33" s="132" t="n">
        <f aca="false">W33-AO33</f>
        <v>463.071003</v>
      </c>
      <c r="Y33" s="104" t="n">
        <f aca="false">Y32+(X33*1.9835)</f>
        <v>33315.2951758455</v>
      </c>
      <c r="Z33" s="104" t="n">
        <f aca="false">Z32+X33*(26300/37500)*1.9835</f>
        <v>23365.1270166597</v>
      </c>
      <c r="AA33" s="104" t="n">
        <f aca="false">AA32+AP33-AJ33</f>
        <v>79.172677999999</v>
      </c>
      <c r="AB33" s="104" t="n">
        <f aca="false">AB32+(AP33+X33)*1.9835-(AJ33*1.9835)</f>
        <v>19133.5916803805</v>
      </c>
      <c r="AC33" s="104" t="n">
        <f aca="false">AC32-(AQ32/1.9835)</f>
        <v>1640.21995489722</v>
      </c>
      <c r="AD33" s="104"/>
      <c r="AE33" s="132" t="n">
        <v>286</v>
      </c>
      <c r="AF33" s="231" t="n">
        <v>1.7</v>
      </c>
      <c r="AG33" s="232" t="n">
        <v>1.3</v>
      </c>
      <c r="AH33" s="432" t="n">
        <v>1290</v>
      </c>
      <c r="AI33" s="431" t="n">
        <f aca="false">AI32</f>
        <v>13740.2578774893</v>
      </c>
      <c r="AJ33" s="433" t="n">
        <f aca="false">AH33</f>
        <v>1290</v>
      </c>
      <c r="AK33" s="131" t="n">
        <f aca="false">N33+O33+P33+Q33+R33+S33+T33+W33+AE33+AH33+AT33</f>
        <v>2136</v>
      </c>
      <c r="AL33" s="132" t="n">
        <f aca="false">IF(L33&lt;0,L33*-1,0)</f>
        <v>0</v>
      </c>
      <c r="AM33" s="132" t="n">
        <f aca="false">AK33+AL33</f>
        <v>2136</v>
      </c>
      <c r="AN33" s="373" t="n">
        <f aca="false">AN32</f>
        <v>14570.652155</v>
      </c>
      <c r="AO33" s="134"/>
      <c r="AP33" s="94" t="n">
        <v>0</v>
      </c>
      <c r="AQ33" s="199" t="n">
        <f aca="false">47.3*(AA32*1.9835+AP33*1.9835+AC33*1.9835)/E33</f>
        <v>1.22463083045284</v>
      </c>
      <c r="AR33" s="199"/>
      <c r="AS33" s="204"/>
      <c r="AT33" s="166"/>
      <c r="AU33" s="9"/>
      <c r="AV33" s="205" t="n">
        <v>0.03</v>
      </c>
      <c r="AW33" s="134" t="n">
        <v>67</v>
      </c>
      <c r="AX33" s="134" t="n">
        <v>50</v>
      </c>
      <c r="AY33" s="303"/>
      <c r="AZ33" s="233" t="n">
        <f aca="false">SUM(N33,P33:T33)</f>
        <v>11.878997</v>
      </c>
    </row>
    <row r="34" customFormat="false" ht="12.95" hidden="false" customHeight="true" outlineLevel="0" collapsed="false">
      <c r="A34" s="171" t="n">
        <f aca="false">A33+1</f>
        <v>22</v>
      </c>
      <c r="B34" s="103" t="n">
        <v>6924.4</v>
      </c>
      <c r="C34" s="104" t="n">
        <v>382954</v>
      </c>
      <c r="D34" s="134" t="n">
        <f aca="false">C34-C33</f>
        <v>403</v>
      </c>
      <c r="E34" s="104" t="n">
        <f aca="false">C34-152000</f>
        <v>230954</v>
      </c>
      <c r="F34" s="132" t="n">
        <f aca="false">D34/$D$2</f>
        <v>203.176203680363</v>
      </c>
      <c r="G34" s="196" t="n">
        <v>1810</v>
      </c>
      <c r="H34" s="133" t="n">
        <v>1.1</v>
      </c>
      <c r="I34" s="132" t="n">
        <f aca="false">G34+H34</f>
        <v>1811.1</v>
      </c>
      <c r="J34" s="133" t="n">
        <f aca="false">IF(L34&gt;0,L34,0)</f>
        <v>330.076203680363</v>
      </c>
      <c r="K34" s="132" t="n">
        <f aca="false">I34+J34</f>
        <v>2141.17620368036</v>
      </c>
      <c r="L34" s="132" t="n">
        <f aca="false">F34-(I34-AK34)</f>
        <v>330.076203680363</v>
      </c>
      <c r="M34" s="231" t="n">
        <v>289</v>
      </c>
      <c r="N34" s="199" t="n">
        <f aca="false">1.8299*1.03</f>
        <v>1.884797</v>
      </c>
      <c r="O34" s="132" t="n">
        <f aca="false">(38+36)*1.05</f>
        <v>77.7</v>
      </c>
      <c r="P34" s="199" t="n">
        <v>0</v>
      </c>
      <c r="Q34" s="340" t="n">
        <f aca="false">2.21*1.02</f>
        <v>2.2542</v>
      </c>
      <c r="R34" s="340" t="n">
        <v>3.56</v>
      </c>
      <c r="S34" s="129" t="n">
        <v>0</v>
      </c>
      <c r="T34" s="356" t="n">
        <v>0</v>
      </c>
      <c r="U34" s="132" t="n">
        <v>150</v>
      </c>
      <c r="V34" s="132" t="n">
        <v>74</v>
      </c>
      <c r="W34" s="132" t="n">
        <f aca="false">M34-N34-O34-P34-Q34-R34-S34-T34+U34+V34-AT34</f>
        <v>427.601003</v>
      </c>
      <c r="X34" s="132" t="n">
        <f aca="false">W34-AO34</f>
        <v>427.601003</v>
      </c>
      <c r="Y34" s="104" t="n">
        <f aca="false">Y33+(X34*1.9835)</f>
        <v>34163.441765296</v>
      </c>
      <c r="Z34" s="104" t="n">
        <f aca="false">Z33+X34*(26300/37500)*1.9835</f>
        <v>23959.9604913943</v>
      </c>
      <c r="AA34" s="104" t="n">
        <f aca="false">AA33+AP34-79</f>
        <v>0.172677999998996</v>
      </c>
      <c r="AB34" s="104" t="n">
        <f aca="false">AB33+(AP34+X34)*1.9835-(AJ34*1.9835)</f>
        <v>17621.373269831</v>
      </c>
      <c r="AC34" s="104" t="n">
        <f aca="false">AC33-(AQ33/1.9835)</f>
        <v>1639.60254585742</v>
      </c>
      <c r="AD34" s="104"/>
      <c r="AE34" s="132" t="n">
        <v>235</v>
      </c>
      <c r="AF34" s="231" t="n">
        <v>1.7</v>
      </c>
      <c r="AG34" s="232" t="n">
        <v>1.3</v>
      </c>
      <c r="AH34" s="432" t="n">
        <v>1190</v>
      </c>
      <c r="AI34" s="431" t="n">
        <f aca="false">AI33</f>
        <v>13740.2578774893</v>
      </c>
      <c r="AJ34" s="433" t="n">
        <f aca="false">AH34</f>
        <v>1190</v>
      </c>
      <c r="AK34" s="131" t="n">
        <f aca="false">N34+O34+P34+Q34+R34+S34+T34+W34+AE34+AH34+AT34</f>
        <v>1938</v>
      </c>
      <c r="AL34" s="132" t="n">
        <f aca="false">IF(L34&lt;0,L34*-1,0)</f>
        <v>0</v>
      </c>
      <c r="AM34" s="132" t="n">
        <f aca="false">AK34+AL34</f>
        <v>1938</v>
      </c>
      <c r="AN34" s="373" t="n">
        <f aca="false">AN33</f>
        <v>14570.652155</v>
      </c>
      <c r="AO34" s="134"/>
      <c r="AP34" s="94" t="n">
        <v>0</v>
      </c>
      <c r="AQ34" s="199" t="n">
        <f aca="false">47.3*(AA33*1.9835+AP34*1.9835+AC34*1.9835)/E34</f>
        <v>0.698211410295781</v>
      </c>
      <c r="AR34" s="199"/>
      <c r="AS34" s="204"/>
      <c r="AT34" s="166"/>
      <c r="AU34" s="9"/>
      <c r="AV34" s="205" t="n">
        <v>0.23</v>
      </c>
      <c r="AW34" s="134" t="n">
        <v>62</v>
      </c>
      <c r="AX34" s="134" t="n">
        <v>48</v>
      </c>
      <c r="AY34" s="303"/>
      <c r="AZ34" s="233" t="n">
        <f aca="false">SUM(N34,P34:T34)</f>
        <v>7.698997</v>
      </c>
    </row>
    <row r="35" customFormat="false" ht="12.95" hidden="false" customHeight="true" outlineLevel="0" collapsed="false">
      <c r="A35" s="171" t="n">
        <f aca="false">A34+1</f>
        <v>23</v>
      </c>
      <c r="B35" s="103" t="n">
        <v>6924.35</v>
      </c>
      <c r="C35" s="104" t="n">
        <v>382730</v>
      </c>
      <c r="D35" s="134" t="n">
        <f aca="false">C35-C34</f>
        <v>-224</v>
      </c>
      <c r="E35" s="104" t="n">
        <f aca="false">C35-152000</f>
        <v>230730</v>
      </c>
      <c r="F35" s="132" t="n">
        <f aca="false">D35/$D$2</f>
        <v>-112.931686412906</v>
      </c>
      <c r="G35" s="196" t="n">
        <v>1720</v>
      </c>
      <c r="H35" s="133" t="n">
        <v>1.2</v>
      </c>
      <c r="I35" s="132" t="n">
        <f aca="false">G35+H35</f>
        <v>1721.2</v>
      </c>
      <c r="J35" s="133" t="n">
        <f aca="false">IF(L35&gt;0,L35,0)</f>
        <v>242.868313587093</v>
      </c>
      <c r="K35" s="132" t="n">
        <f aca="false">I35+J35</f>
        <v>1964.06831358709</v>
      </c>
      <c r="L35" s="132" t="n">
        <f aca="false">F35-(I35-AK35)</f>
        <v>242.868313587093</v>
      </c>
      <c r="M35" s="231" t="n">
        <v>244</v>
      </c>
      <c r="N35" s="199" t="n">
        <f aca="false">1.8299*1.03</f>
        <v>1.884797</v>
      </c>
      <c r="O35" s="132" t="n">
        <f aca="false">(27+27)*1.05</f>
        <v>56.7</v>
      </c>
      <c r="P35" s="199" t="n">
        <v>0</v>
      </c>
      <c r="Q35" s="340" t="n">
        <f aca="false">2.21*1.02</f>
        <v>2.2542</v>
      </c>
      <c r="R35" s="340" t="n">
        <v>4.2</v>
      </c>
      <c r="S35" s="129" t="n">
        <v>0.05</v>
      </c>
      <c r="T35" s="356" t="n">
        <v>0</v>
      </c>
      <c r="U35" s="132" t="n">
        <v>149</v>
      </c>
      <c r="V35" s="132" t="n">
        <v>72</v>
      </c>
      <c r="W35" s="132" t="n">
        <f aca="false">M35-N35-O35-P35-Q35-R35-S35-T35+U35+V35-AT35</f>
        <v>399.911003</v>
      </c>
      <c r="X35" s="132" t="n">
        <f aca="false">W35-AO35</f>
        <v>399.911003</v>
      </c>
      <c r="Y35" s="104" t="n">
        <f aca="false">Y34+(X35*1.9835)</f>
        <v>34956.6652397465</v>
      </c>
      <c r="Z35" s="104" t="n">
        <f aca="false">Z34+X35*(26300/37500)*1.9835</f>
        <v>24516.2745548089</v>
      </c>
      <c r="AA35" s="104" t="n">
        <v>0</v>
      </c>
      <c r="AB35" s="104" t="n">
        <f aca="false">AB34+(AP35+X35)*1.9835-(144*1.9835)</f>
        <v>18128.9727442815</v>
      </c>
      <c r="AC35" s="104" t="n">
        <f aca="false">AC34-(AQ34/1.9835)</f>
        <v>1639.25053607153</v>
      </c>
      <c r="AD35" s="104"/>
      <c r="AE35" s="132" t="n">
        <v>212</v>
      </c>
      <c r="AF35" s="231" t="n">
        <v>1.7</v>
      </c>
      <c r="AG35" s="232" t="n">
        <v>1.3</v>
      </c>
      <c r="AH35" s="432" t="n">
        <v>1400</v>
      </c>
      <c r="AI35" s="431" t="n">
        <f aca="false">AI34</f>
        <v>13740.2578774893</v>
      </c>
      <c r="AJ35" s="433" t="n">
        <f aca="false">AH35</f>
        <v>1400</v>
      </c>
      <c r="AK35" s="131" t="n">
        <f aca="false">N35+O35+P35+Q35+R35+S35+T35+W35+AE35+AH35+AT35</f>
        <v>2077</v>
      </c>
      <c r="AL35" s="132" t="n">
        <f aca="false">IF(L35&lt;0,L35*-1,0)</f>
        <v>0</v>
      </c>
      <c r="AM35" s="132" t="n">
        <f aca="false">AK35+AL35</f>
        <v>2077</v>
      </c>
      <c r="AN35" s="373" t="n">
        <f aca="false">AN34</f>
        <v>14570.652155</v>
      </c>
      <c r="AO35" s="134"/>
      <c r="AP35" s="94" t="n">
        <v>0</v>
      </c>
      <c r="AQ35" s="199" t="n">
        <f aca="false">47.3*(AA34*1.9835+AP35*1.9835+AC35*1.9835)/E35</f>
        <v>0.666623101476812</v>
      </c>
      <c r="AR35" s="199"/>
      <c r="AS35" s="204"/>
      <c r="AT35" s="166"/>
      <c r="AU35" s="9"/>
      <c r="AV35" s="205" t="n">
        <v>0.35</v>
      </c>
      <c r="AW35" s="134" t="n">
        <v>67</v>
      </c>
      <c r="AX35" s="134" t="n">
        <v>51</v>
      </c>
      <c r="AY35" s="303"/>
      <c r="AZ35" s="233" t="n">
        <f aca="false">SUM(N35,P35:T35)</f>
        <v>8.388997</v>
      </c>
    </row>
    <row r="36" customFormat="false" ht="12.95" hidden="false" customHeight="true" outlineLevel="0" collapsed="false">
      <c r="A36" s="171" t="n">
        <f aca="false">A35+1</f>
        <v>24</v>
      </c>
      <c r="B36" s="103" t="n">
        <v>6924.37</v>
      </c>
      <c r="C36" s="104" t="n">
        <v>382820</v>
      </c>
      <c r="D36" s="134" t="n">
        <f aca="false">C36-C35</f>
        <v>90</v>
      </c>
      <c r="E36" s="104" t="n">
        <f aca="false">C36-152000</f>
        <v>230820</v>
      </c>
      <c r="F36" s="132" t="n">
        <f aca="false">D36/$D$2</f>
        <v>45.3743382908999</v>
      </c>
      <c r="G36" s="196" t="n">
        <v>1980</v>
      </c>
      <c r="H36" s="133" t="n">
        <v>1.9</v>
      </c>
      <c r="I36" s="132" t="n">
        <f aca="false">G36+H36</f>
        <v>1981.9</v>
      </c>
      <c r="J36" s="133" t="n">
        <f aca="false">IF(L36&gt;0,L36,0)</f>
        <v>441.4743382909</v>
      </c>
      <c r="K36" s="132" t="n">
        <f aca="false">I36+J36</f>
        <v>2423.3743382909</v>
      </c>
      <c r="L36" s="132" t="n">
        <f aca="false">F36-(I36-AK36)</f>
        <v>441.4743382909</v>
      </c>
      <c r="M36" s="231" t="n">
        <v>215</v>
      </c>
      <c r="N36" s="199" t="n">
        <f aca="false">1.8299*1.03</f>
        <v>1.884797</v>
      </c>
      <c r="O36" s="132" t="n">
        <f aca="false">(15+13)*1.05</f>
        <v>29.4</v>
      </c>
      <c r="P36" s="199" t="n">
        <v>0</v>
      </c>
      <c r="Q36" s="340" t="n">
        <f aca="false">2.21*1.02</f>
        <v>2.2542</v>
      </c>
      <c r="R36" s="340" t="n">
        <v>4.2</v>
      </c>
      <c r="S36" s="129" t="n">
        <v>1.35</v>
      </c>
      <c r="T36" s="356" t="n">
        <v>0</v>
      </c>
      <c r="U36" s="132" t="n">
        <v>150</v>
      </c>
      <c r="V36" s="132" t="n">
        <v>73</v>
      </c>
      <c r="W36" s="132" t="n">
        <f aca="false">M36-N36-O36-P36-Q36-R36-S36-T36+U36+V36-AT36</f>
        <v>398.911003</v>
      </c>
      <c r="X36" s="132" t="n">
        <f aca="false">W36-AO36</f>
        <v>398.911003</v>
      </c>
      <c r="Y36" s="104" t="n">
        <f aca="false">Y35+(X36*1.9835)</f>
        <v>35747.905214197</v>
      </c>
      <c r="Z36" s="104" t="n">
        <f aca="false">Z35+X36*(26300/37500)*1.9835</f>
        <v>25071.1975235568</v>
      </c>
      <c r="AA36" s="104" t="n">
        <v>0</v>
      </c>
      <c r="AB36" s="104" t="n">
        <f aca="false">AB35+(AP36+X36)*1.9835</f>
        <v>18920.212718732</v>
      </c>
      <c r="AC36" s="104" t="n">
        <f aca="false">AC35-(AQ35/1.9835)</f>
        <v>1638.91445182577</v>
      </c>
      <c r="AD36" s="104"/>
      <c r="AE36" s="132" t="n">
        <v>110</v>
      </c>
      <c r="AF36" s="231" t="n">
        <v>1.7</v>
      </c>
      <c r="AG36" s="232" t="n">
        <v>1.3</v>
      </c>
      <c r="AH36" s="432" t="n">
        <v>1830</v>
      </c>
      <c r="AI36" s="431" t="n">
        <f aca="false">AI35</f>
        <v>13740.2578774893</v>
      </c>
      <c r="AJ36" s="433" t="n">
        <f aca="false">AH36</f>
        <v>1830</v>
      </c>
      <c r="AK36" s="131" t="n">
        <f aca="false">N36+O36+P36+Q36+R36+S36+T36+W36+AE36+AH36+AT36</f>
        <v>2378</v>
      </c>
      <c r="AL36" s="132" t="n">
        <f aca="false">IF(L36&lt;0,L36*-1,0)</f>
        <v>0</v>
      </c>
      <c r="AM36" s="132" t="n">
        <f aca="false">AK36+AL36</f>
        <v>2378</v>
      </c>
      <c r="AN36" s="373" t="n">
        <f aca="false">AN35</f>
        <v>14570.652155</v>
      </c>
      <c r="AO36" s="134"/>
      <c r="AP36" s="94" t="n">
        <v>0</v>
      </c>
      <c r="AQ36" s="199" t="n">
        <f aca="false">47.3*(AA35*1.9835+AP36*1.9835+AC36*1.9835)/E36</f>
        <v>0.666156383150464</v>
      </c>
      <c r="AR36" s="199"/>
      <c r="AS36" s="204"/>
      <c r="AT36" s="166"/>
      <c r="AU36" s="9"/>
      <c r="AV36" s="205" t="n">
        <v>0.05</v>
      </c>
      <c r="AW36" s="134" t="n">
        <v>67</v>
      </c>
      <c r="AX36" s="134" t="n">
        <v>48</v>
      </c>
      <c r="AY36" s="303"/>
      <c r="AZ36" s="233" t="n">
        <f aca="false">SUM(N36,P36:T36)</f>
        <v>9.688997</v>
      </c>
    </row>
    <row r="37" customFormat="false" ht="12.95" hidden="false" customHeight="true" outlineLevel="0" collapsed="false">
      <c r="A37" s="171" t="n">
        <f aca="false">A36+1</f>
        <v>25</v>
      </c>
      <c r="B37" s="103" t="n">
        <v>6924.2</v>
      </c>
      <c r="C37" s="104" t="n">
        <v>382057</v>
      </c>
      <c r="D37" s="134" t="n">
        <f aca="false">C37-C36</f>
        <v>-763</v>
      </c>
      <c r="E37" s="104" t="n">
        <f aca="false">C37-152000</f>
        <v>230057</v>
      </c>
      <c r="F37" s="132" t="n">
        <f aca="false">D37/$D$2</f>
        <v>-384.673556843963</v>
      </c>
      <c r="G37" s="196" t="n">
        <v>1870</v>
      </c>
      <c r="H37" s="133" t="n">
        <v>1.5</v>
      </c>
      <c r="I37" s="132" t="n">
        <f aca="false">G37+H37</f>
        <v>1871.5</v>
      </c>
      <c r="J37" s="133" t="n">
        <f aca="false">IF(L37&gt;0,L37,0)</f>
        <v>319.826443156037</v>
      </c>
      <c r="K37" s="132" t="n">
        <f aca="false">I37+J37</f>
        <v>2191.32644315604</v>
      </c>
      <c r="L37" s="132" t="n">
        <f aca="false">F37-(I37-AK37)</f>
        <v>319.826443156037</v>
      </c>
      <c r="M37" s="231" t="n">
        <v>189</v>
      </c>
      <c r="N37" s="199" t="n">
        <f aca="false">1.8299*1.03</f>
        <v>1.884797</v>
      </c>
      <c r="O37" s="132" t="n">
        <f aca="false">(3+3.2)*1.05</f>
        <v>6.51</v>
      </c>
      <c r="P37" s="199" t="n">
        <v>0</v>
      </c>
      <c r="Q37" s="340" t="n">
        <f aca="false">2.21*1.02</f>
        <v>2.2542</v>
      </c>
      <c r="R37" s="340" t="n">
        <v>4.2</v>
      </c>
      <c r="S37" s="129" t="n">
        <v>1.77</v>
      </c>
      <c r="T37" s="356" t="n">
        <v>0</v>
      </c>
      <c r="U37" s="132" t="n">
        <v>150</v>
      </c>
      <c r="V37" s="132" t="n">
        <v>73</v>
      </c>
      <c r="W37" s="132" t="n">
        <f aca="false">M37-N37-O37-P37-Q37-R37-S37-T37+U37+V37-AT37</f>
        <v>395.381003</v>
      </c>
      <c r="X37" s="132" t="n">
        <f aca="false">W37-AO37</f>
        <v>395.381003</v>
      </c>
      <c r="Y37" s="104" t="n">
        <f aca="false">Y36+(X37*1.9835)</f>
        <v>36532.1434336475</v>
      </c>
      <c r="Z37" s="104" t="n">
        <f aca="false">Z36+X37*(26300/37500)*1.9835</f>
        <v>25621.2099281315</v>
      </c>
      <c r="AA37" s="104" t="n">
        <v>0</v>
      </c>
      <c r="AB37" s="104" t="n">
        <f aca="false">AB36+(AP37+X37)*1.9835</f>
        <v>19704.4509381825</v>
      </c>
      <c r="AC37" s="104" t="n">
        <f aca="false">AC36-(AQ36/1.9835)</f>
        <v>1638.57860288039</v>
      </c>
      <c r="AD37" s="104"/>
      <c r="AE37" s="132" t="n">
        <v>154</v>
      </c>
      <c r="AF37" s="231" t="n">
        <v>1.7</v>
      </c>
      <c r="AG37" s="232" t="n">
        <v>1.3</v>
      </c>
      <c r="AH37" s="432" t="n">
        <v>2010</v>
      </c>
      <c r="AI37" s="431" t="n">
        <f aca="false">AI36</f>
        <v>13740.2578774893</v>
      </c>
      <c r="AJ37" s="433" t="n">
        <f aca="false">AH37</f>
        <v>2010</v>
      </c>
      <c r="AK37" s="131" t="n">
        <f aca="false">N37+O37+P37+Q37+R37+S37+T37+W37+AE37+AH37+AT37</f>
        <v>2576</v>
      </c>
      <c r="AL37" s="132" t="n">
        <f aca="false">IF(L37&lt;0,L37*-1,0)</f>
        <v>0</v>
      </c>
      <c r="AM37" s="132" t="n">
        <f aca="false">AK37+AL37</f>
        <v>2576</v>
      </c>
      <c r="AN37" s="373" t="n">
        <f aca="false">AN36</f>
        <v>14570.652155</v>
      </c>
      <c r="AO37" s="134"/>
      <c r="AP37" s="94" t="n">
        <v>0</v>
      </c>
      <c r="AQ37" s="199" t="n">
        <f aca="false">47.3*(AA36*1.9835+AP37*1.9835+AC37*1.9835)/E37</f>
        <v>0.668228774442278</v>
      </c>
      <c r="AR37" s="199"/>
      <c r="AS37" s="204"/>
      <c r="AT37" s="166"/>
      <c r="AU37" s="9"/>
      <c r="AV37" s="205" t="n">
        <v>0.02</v>
      </c>
      <c r="AW37" s="134" t="n">
        <v>64</v>
      </c>
      <c r="AX37" s="134" t="n">
        <v>44</v>
      </c>
      <c r="AY37" s="303"/>
      <c r="AZ37" s="233" t="n">
        <f aca="false">SUM(N37,P37:T37)</f>
        <v>10.108997</v>
      </c>
    </row>
    <row r="38" customFormat="false" ht="12.95" hidden="false" customHeight="true" outlineLevel="0" collapsed="false">
      <c r="A38" s="171" t="n">
        <f aca="false">A37+1</f>
        <v>26</v>
      </c>
      <c r="B38" s="103" t="n">
        <v>6924.28</v>
      </c>
      <c r="C38" s="104" t="n">
        <v>382416</v>
      </c>
      <c r="D38" s="134" t="n">
        <f aca="false">C38-C37</f>
        <v>359</v>
      </c>
      <c r="E38" s="104" t="n">
        <f aca="false">C38-152000</f>
        <v>230416</v>
      </c>
      <c r="F38" s="132" t="n">
        <f aca="false">D38/$D$2</f>
        <v>180.993193849256</v>
      </c>
      <c r="G38" s="196" t="n">
        <v>1550</v>
      </c>
      <c r="H38" s="133" t="n">
        <v>1.1</v>
      </c>
      <c r="I38" s="132" t="n">
        <f aca="false">G38+H38</f>
        <v>1551.1</v>
      </c>
      <c r="J38" s="133" t="n">
        <f aca="false">IF(L38&gt;0,L38,0)</f>
        <v>171.893193849256</v>
      </c>
      <c r="K38" s="132" t="n">
        <f aca="false">I38+J38</f>
        <v>1722.99319384926</v>
      </c>
      <c r="L38" s="132" t="n">
        <f aca="false">F38-(I38-AK38)</f>
        <v>171.893193849256</v>
      </c>
      <c r="M38" s="231" t="n">
        <v>187</v>
      </c>
      <c r="N38" s="199" t="n">
        <f aca="false">1.8299*1.03</f>
        <v>1.884797</v>
      </c>
      <c r="O38" s="132" t="n">
        <v>0</v>
      </c>
      <c r="P38" s="199" t="n">
        <v>0</v>
      </c>
      <c r="Q38" s="340" t="n">
        <f aca="false">2.21*1.02</f>
        <v>2.2542</v>
      </c>
      <c r="R38" s="340" t="n">
        <v>4.2</v>
      </c>
      <c r="S38" s="129" t="n">
        <v>1.47</v>
      </c>
      <c r="T38" s="356" t="n">
        <v>0</v>
      </c>
      <c r="U38" s="132" t="n">
        <v>150</v>
      </c>
      <c r="V38" s="132" t="n">
        <v>73</v>
      </c>
      <c r="W38" s="132" t="n">
        <f aca="false">M38-N38-O38-P38-Q38-R38-S38-T38+U38+V38-AT38</f>
        <v>400.191003</v>
      </c>
      <c r="X38" s="132" t="n">
        <f aca="false">W38-AO38</f>
        <v>400.191003</v>
      </c>
      <c r="Y38" s="104" t="n">
        <f aca="false">Y37+(X38*1.9835)</f>
        <v>37325.922288098</v>
      </c>
      <c r="Z38" s="104" t="n">
        <f aca="false">Z37+X38*(26300/37500)*1.9835</f>
        <v>26177.9134980527</v>
      </c>
      <c r="AA38" s="104" t="n">
        <v>0</v>
      </c>
      <c r="AB38" s="104" t="n">
        <f aca="false">AB37+(AP38+X38)*1.9835</f>
        <v>20498.229792633</v>
      </c>
      <c r="AC38" s="104" t="n">
        <f aca="false">AC37-(AQ37/1.9835)</f>
        <v>1638.24170911965</v>
      </c>
      <c r="AD38" s="104"/>
      <c r="AE38" s="132" t="n">
        <v>181</v>
      </c>
      <c r="AF38" s="231" t="n">
        <v>1.7</v>
      </c>
      <c r="AG38" s="232" t="n">
        <v>1.3</v>
      </c>
      <c r="AH38" s="432" t="n">
        <v>951</v>
      </c>
      <c r="AI38" s="431" t="n">
        <f aca="false">AI37</f>
        <v>13740.2578774893</v>
      </c>
      <c r="AJ38" s="433" t="n">
        <f aca="false">AH38</f>
        <v>951</v>
      </c>
      <c r="AK38" s="131" t="n">
        <f aca="false">N38+O38+P38+Q38+R38+S38+T38+W38+AE38+AH38+AT38</f>
        <v>1542</v>
      </c>
      <c r="AL38" s="132" t="n">
        <f aca="false">IF(L38&lt;0,L38*-1,0)</f>
        <v>0</v>
      </c>
      <c r="AM38" s="132" t="n">
        <f aca="false">AK38+AL38</f>
        <v>1542</v>
      </c>
      <c r="AN38" s="373" t="n">
        <f aca="false">AN37</f>
        <v>14570.652155</v>
      </c>
      <c r="AO38" s="134"/>
      <c r="AP38" s="94" t="n">
        <v>0</v>
      </c>
      <c r="AQ38" s="199" t="n">
        <f aca="false">47.3*(AA37*1.9835+AP38*1.9835+AC38*1.9835)/E38</f>
        <v>0.667050464988699</v>
      </c>
      <c r="AR38" s="199"/>
      <c r="AS38" s="204"/>
      <c r="AT38" s="166"/>
      <c r="AU38" s="9"/>
      <c r="AV38" s="205" t="n">
        <v>0</v>
      </c>
      <c r="AW38" s="134" t="n">
        <v>67</v>
      </c>
      <c r="AX38" s="134" t="n">
        <v>40</v>
      </c>
      <c r="AY38" s="303"/>
      <c r="AZ38" s="233" t="n">
        <f aca="false">SUM(N38,P38:T38)</f>
        <v>9.808997</v>
      </c>
    </row>
    <row r="39" customFormat="false" ht="12.95" hidden="false" customHeight="true" outlineLevel="0" collapsed="false">
      <c r="A39" s="171" t="n">
        <f aca="false">A38+1</f>
        <v>27</v>
      </c>
      <c r="B39" s="103" t="n">
        <v>6924.34</v>
      </c>
      <c r="C39" s="104" t="n">
        <v>382685</v>
      </c>
      <c r="D39" s="134" t="n">
        <f aca="false">C39-C38</f>
        <v>269</v>
      </c>
      <c r="E39" s="104" t="n">
        <f aca="false">C39-152000</f>
        <v>230685</v>
      </c>
      <c r="F39" s="132" t="n">
        <f aca="false">D39/$D$2</f>
        <v>135.618855558356</v>
      </c>
      <c r="G39" s="196" t="n">
        <v>1320</v>
      </c>
      <c r="H39" s="133" t="n">
        <v>0.67</v>
      </c>
      <c r="I39" s="132" t="n">
        <f aca="false">G39+H39</f>
        <v>1320.67</v>
      </c>
      <c r="J39" s="133" t="n">
        <f aca="false">IF(L39&gt;0,L39,0)</f>
        <v>223.948855558356</v>
      </c>
      <c r="K39" s="132" t="n">
        <f aca="false">I39+J39</f>
        <v>1544.61885555836</v>
      </c>
      <c r="L39" s="132" t="n">
        <f aca="false">F39-(I39-AK39)</f>
        <v>223.948855558356</v>
      </c>
      <c r="M39" s="231" t="n">
        <v>226</v>
      </c>
      <c r="N39" s="199" t="n">
        <f aca="false">1.8299*1.03</f>
        <v>1.884797</v>
      </c>
      <c r="O39" s="132" t="n">
        <f aca="false">(12+15)*1.05</f>
        <v>28.35</v>
      </c>
      <c r="P39" s="199" t="n">
        <v>0</v>
      </c>
      <c r="Q39" s="340" t="n">
        <f aca="false">2.21*1.02</f>
        <v>2.2542</v>
      </c>
      <c r="R39" s="340" t="n">
        <v>4.2</v>
      </c>
      <c r="S39" s="129" t="n">
        <v>1.6</v>
      </c>
      <c r="T39" s="356" t="n">
        <v>0</v>
      </c>
      <c r="U39" s="132" t="n">
        <v>150</v>
      </c>
      <c r="V39" s="132" t="n">
        <v>73</v>
      </c>
      <c r="W39" s="132" t="n">
        <f aca="false">M39-N39-O39-P39-Q39-R39-S39-T39+U39+V39-AT39</f>
        <v>410.711003</v>
      </c>
      <c r="X39" s="132" t="n">
        <f aca="false">W39-AO39</f>
        <v>410.711003</v>
      </c>
      <c r="Y39" s="104" t="n">
        <f aca="false">Y38+(X39*1.9835)</f>
        <v>38140.5675625485</v>
      </c>
      <c r="Z39" s="104" t="n">
        <f aca="false">Z38+X39*(26300/37500)*1.9835</f>
        <v>26749.2513838673</v>
      </c>
      <c r="AA39" s="104" t="n">
        <v>0</v>
      </c>
      <c r="AB39" s="104" t="n">
        <f aca="false">AB38+(AP39+X39)*1.9835</f>
        <v>21312.8750670835</v>
      </c>
      <c r="AC39" s="104" t="n">
        <f aca="false">AC38-(AQ38/1.9835)</f>
        <v>1637.90540941458</v>
      </c>
      <c r="AD39" s="104"/>
      <c r="AE39" s="132" t="n">
        <v>215</v>
      </c>
      <c r="AF39" s="231" t="n">
        <v>1.7</v>
      </c>
      <c r="AG39" s="232" t="n">
        <v>1.3</v>
      </c>
      <c r="AH39" s="432" t="n">
        <v>745</v>
      </c>
      <c r="AI39" s="431" t="n">
        <f aca="false">AI38</f>
        <v>13740.2578774893</v>
      </c>
      <c r="AJ39" s="433" t="n">
        <f aca="false">AH39</f>
        <v>745</v>
      </c>
      <c r="AK39" s="131" t="n">
        <f aca="false">N39+O39+P39+Q39+R39+S39+T39+W39+AE39+AH39+AT39</f>
        <v>1409</v>
      </c>
      <c r="AL39" s="132" t="n">
        <f aca="false">IF(L39&lt;0,L39*-1,0)</f>
        <v>0</v>
      </c>
      <c r="AM39" s="132" t="n">
        <f aca="false">AK39+AL39</f>
        <v>1409</v>
      </c>
      <c r="AN39" s="373" t="n">
        <f aca="false">AN38</f>
        <v>14570.652155</v>
      </c>
      <c r="AO39" s="134"/>
      <c r="AP39" s="94" t="n">
        <v>0</v>
      </c>
      <c r="AQ39" s="199" t="n">
        <f aca="false">47.3*(AA38*1.9835+AP39*1.9835+AC39*1.9835)/E39</f>
        <v>0.666135849551735</v>
      </c>
      <c r="AR39" s="199"/>
      <c r="AS39" s="204"/>
      <c r="AT39" s="166"/>
      <c r="AU39" s="9"/>
      <c r="AV39" s="205" t="n">
        <v>0</v>
      </c>
      <c r="AW39" s="134" t="n">
        <v>70</v>
      </c>
      <c r="AX39" s="134" t="n">
        <v>43</v>
      </c>
      <c r="AY39" s="303"/>
      <c r="AZ39" s="233" t="n">
        <f aca="false">SUM(N39,P39:T39)</f>
        <v>9.938997</v>
      </c>
    </row>
    <row r="40" customFormat="false" ht="12.95" hidden="false" customHeight="true" outlineLevel="0" collapsed="false">
      <c r="A40" s="171" t="n">
        <v>28</v>
      </c>
      <c r="B40" s="103" t="n">
        <v>6924.34</v>
      </c>
      <c r="C40" s="104" t="n">
        <v>382685</v>
      </c>
      <c r="D40" s="134" t="n">
        <f aca="false">C40-C39</f>
        <v>0</v>
      </c>
      <c r="E40" s="104" t="n">
        <f aca="false">C40-152000</f>
        <v>230685</v>
      </c>
      <c r="F40" s="132" t="n">
        <f aca="false">D40/$D$2</f>
        <v>0</v>
      </c>
      <c r="G40" s="196" t="n">
        <v>1260</v>
      </c>
      <c r="H40" s="133" t="n">
        <v>0.39</v>
      </c>
      <c r="I40" s="132" t="n">
        <f aca="false">G40+H40</f>
        <v>1260.39</v>
      </c>
      <c r="J40" s="133" t="n">
        <f aca="false">IF(L40&gt;0,L40,0)</f>
        <v>248.61</v>
      </c>
      <c r="K40" s="132" t="n">
        <f aca="false">I40+J40</f>
        <v>1509</v>
      </c>
      <c r="L40" s="132" t="n">
        <f aca="false">F40-(I40-AK40)</f>
        <v>248.61</v>
      </c>
      <c r="M40" s="231" t="n">
        <v>264</v>
      </c>
      <c r="N40" s="199" t="n">
        <f aca="false">1.8299*1.03</f>
        <v>1.884797</v>
      </c>
      <c r="O40" s="132" t="n">
        <f aca="false">(29+29)*1.05</f>
        <v>60.9</v>
      </c>
      <c r="P40" s="199" t="n">
        <v>0</v>
      </c>
      <c r="Q40" s="340" t="n">
        <f aca="false">2.21*1.02</f>
        <v>2.2542</v>
      </c>
      <c r="R40" s="340" t="n">
        <v>4.2</v>
      </c>
      <c r="S40" s="129" t="n">
        <v>2.26</v>
      </c>
      <c r="T40" s="356" t="n">
        <v>0</v>
      </c>
      <c r="U40" s="132" t="n">
        <v>284</v>
      </c>
      <c r="V40" s="132" t="n">
        <v>71</v>
      </c>
      <c r="W40" s="132" t="n">
        <f aca="false">M40-N40-O40-P40-Q40-R40-S40-T40+U40+V40-AT40</f>
        <v>547.501003</v>
      </c>
      <c r="X40" s="132" t="n">
        <f aca="false">W40-AO40</f>
        <v>547.501003</v>
      </c>
      <c r="Y40" s="104" t="n">
        <f aca="false">Y39+(X40*1.9835)</f>
        <v>39226.535801999</v>
      </c>
      <c r="Z40" s="104" t="n">
        <f aca="false">Z39+X40*(26300/37500)*1.9835</f>
        <v>27510.8771091353</v>
      </c>
      <c r="AA40" s="104" t="n">
        <v>0</v>
      </c>
      <c r="AB40" s="104" t="n">
        <f aca="false">AB39+(AP40+X40)*1.9835</f>
        <v>22398.843306534</v>
      </c>
      <c r="AC40" s="104" t="n">
        <f aca="false">AC39-(AQ39/1.9835)</f>
        <v>1637.56957082142</v>
      </c>
      <c r="AD40" s="104"/>
      <c r="AE40" s="132" t="n">
        <v>243</v>
      </c>
      <c r="AF40" s="231" t="n">
        <v>1.7</v>
      </c>
      <c r="AG40" s="232" t="n">
        <v>1.3</v>
      </c>
      <c r="AH40" s="432" t="n">
        <v>647</v>
      </c>
      <c r="AI40" s="431" t="n">
        <f aca="false">AI39</f>
        <v>13740.2578774893</v>
      </c>
      <c r="AJ40" s="433" t="n">
        <f aca="false">AH40</f>
        <v>647</v>
      </c>
      <c r="AK40" s="131" t="n">
        <f aca="false">N40+O40+P40+Q40+R40+S40+T40+W40+AE40+AH40+AT40</f>
        <v>1509</v>
      </c>
      <c r="AL40" s="132" t="n">
        <f aca="false">IF(L40&lt;0,L40*-1,0)</f>
        <v>0</v>
      </c>
      <c r="AM40" s="132" t="n">
        <f aca="false">AK40+AL40</f>
        <v>1509</v>
      </c>
      <c r="AN40" s="373" t="n">
        <f aca="false">AN39</f>
        <v>14570.652155</v>
      </c>
      <c r="AO40" s="134"/>
      <c r="AP40" s="94" t="n">
        <v>0</v>
      </c>
      <c r="AQ40" s="199" t="n">
        <f aca="false">47.3*(AA39*1.9835+AP40*1.9835+AC40*1.9835)/E40</f>
        <v>0.665999264053399</v>
      </c>
      <c r="AR40" s="199"/>
      <c r="AS40" s="204"/>
      <c r="AT40" s="166"/>
      <c r="AU40" s="9"/>
      <c r="AV40" s="205" t="n">
        <v>0</v>
      </c>
      <c r="AW40" s="134" t="n">
        <v>70</v>
      </c>
      <c r="AX40" s="134" t="n">
        <v>44</v>
      </c>
      <c r="AY40" s="303"/>
      <c r="AZ40" s="233" t="n">
        <f aca="false">SUM(N40,P40:T40)</f>
        <v>10.598997</v>
      </c>
    </row>
    <row r="41" customFormat="false" ht="12.95" hidden="false" customHeight="true" outlineLevel="0" collapsed="false">
      <c r="A41" s="171" t="n">
        <v>29</v>
      </c>
      <c r="B41" s="103" t="n">
        <v>6924.25</v>
      </c>
      <c r="C41" s="104" t="n">
        <v>382281</v>
      </c>
      <c r="D41" s="134" t="n">
        <f aca="false">C41-C40</f>
        <v>-404</v>
      </c>
      <c r="E41" s="104" t="n">
        <f aca="false">C41-152000</f>
        <v>230281</v>
      </c>
      <c r="F41" s="132" t="n">
        <f aca="false">D41/$D$2</f>
        <v>-203.680362994706</v>
      </c>
      <c r="G41" s="196" t="n">
        <v>1180</v>
      </c>
      <c r="H41" s="133" t="n">
        <v>0.46</v>
      </c>
      <c r="I41" s="132" t="n">
        <f aca="false">G41+H41</f>
        <v>1180.46</v>
      </c>
      <c r="J41" s="133" t="n">
        <f aca="false">IF(L41&gt;0,L41,0)</f>
        <v>179.859637005294</v>
      </c>
      <c r="K41" s="132" t="n">
        <f aca="false">I41+J41</f>
        <v>1360.31963700529</v>
      </c>
      <c r="L41" s="132" t="n">
        <f aca="false">F41-(I41-AK41)</f>
        <v>179.859637005294</v>
      </c>
      <c r="M41" s="231" t="n">
        <v>276</v>
      </c>
      <c r="N41" s="199" t="n">
        <f aca="false">1.8299*1.03</f>
        <v>1.884797</v>
      </c>
      <c r="O41" s="132" t="n">
        <f aca="false">(32+31)*1.05</f>
        <v>66.15</v>
      </c>
      <c r="P41" s="199" t="n">
        <v>0</v>
      </c>
      <c r="Q41" s="340" t="n">
        <f aca="false">2.21*1.02</f>
        <v>2.2542</v>
      </c>
      <c r="R41" s="340" t="n">
        <v>4.2</v>
      </c>
      <c r="S41" s="129" t="n">
        <v>2.34</v>
      </c>
      <c r="T41" s="356" t="n">
        <v>0</v>
      </c>
      <c r="U41" s="132" t="n">
        <v>408</v>
      </c>
      <c r="V41" s="132" t="n">
        <v>67</v>
      </c>
      <c r="W41" s="132" t="n">
        <f aca="false">M41-N41-O41-P41-Q41-R41-S41-T41+U41+V41-AT41</f>
        <v>674.171003</v>
      </c>
      <c r="X41" s="132" t="n">
        <f aca="false">W41-AO41</f>
        <v>674.171003</v>
      </c>
      <c r="Y41" s="104" t="n">
        <f aca="false">Y40+(X41*1.9835)</f>
        <v>40563.7539864495</v>
      </c>
      <c r="Z41" s="104" t="n">
        <f aca="false">Z40+X41*(26300/37500)*1.9835</f>
        <v>28448.7127958299</v>
      </c>
      <c r="AA41" s="104" t="n">
        <v>0</v>
      </c>
      <c r="AB41" s="104" t="n">
        <f aca="false">AB40+(AP41+X41)*1.9835</f>
        <v>23736.0614909845</v>
      </c>
      <c r="AC41" s="104" t="n">
        <f aca="false">AC40-(AQ40/1.9835)</f>
        <v>1637.2338010891</v>
      </c>
      <c r="AD41" s="104"/>
      <c r="AE41" s="132" t="n">
        <v>246</v>
      </c>
      <c r="AF41" s="231" t="n">
        <v>1.7</v>
      </c>
      <c r="AG41" s="232" t="n">
        <v>1.3</v>
      </c>
      <c r="AH41" s="432" t="n">
        <v>567</v>
      </c>
      <c r="AI41" s="431" t="n">
        <f aca="false">AI40</f>
        <v>13740.2578774893</v>
      </c>
      <c r="AJ41" s="433" t="n">
        <f aca="false">AH41</f>
        <v>567</v>
      </c>
      <c r="AK41" s="131" t="n">
        <f aca="false">N41+O41+P41+Q41+R41+S41+T41+W41+AE41+AH41+AT41</f>
        <v>1564</v>
      </c>
      <c r="AL41" s="132" t="n">
        <f aca="false">IF(L41&lt;0,L41*-1,0)</f>
        <v>0</v>
      </c>
      <c r="AM41" s="132" t="n">
        <f aca="false">AK41+AL41</f>
        <v>1564</v>
      </c>
      <c r="AN41" s="373" t="n">
        <f aca="false">AN40</f>
        <v>14570.652155</v>
      </c>
      <c r="AO41" s="134"/>
      <c r="AP41" s="94" t="n">
        <v>0</v>
      </c>
      <c r="AQ41" s="199" t="n">
        <f aca="false">47.3*(AA40*1.9835+AP41*1.9835+AC41*1.9835)/E41</f>
        <v>0.667030881674861</v>
      </c>
      <c r="AR41" s="199"/>
      <c r="AS41" s="204"/>
      <c r="AT41" s="166"/>
      <c r="AU41" s="9"/>
      <c r="AV41" s="205" t="n">
        <v>0.01</v>
      </c>
      <c r="AW41" s="134" t="n">
        <v>72</v>
      </c>
      <c r="AX41" s="134" t="n">
        <v>46</v>
      </c>
      <c r="AY41" s="303"/>
      <c r="AZ41" s="233" t="n">
        <f aca="false">SUM(N41,P41:T41)</f>
        <v>10.678997</v>
      </c>
    </row>
    <row r="42" customFormat="false" ht="12.95" hidden="false" customHeight="true" outlineLevel="0" collapsed="false">
      <c r="A42" s="171" t="n">
        <v>30</v>
      </c>
      <c r="B42" s="103" t="n">
        <v>6924.13</v>
      </c>
      <c r="C42" s="104" t="n">
        <v>381743</v>
      </c>
      <c r="D42" s="134" t="n">
        <f aca="false">C42-C41</f>
        <v>-538</v>
      </c>
      <c r="E42" s="104" t="n">
        <f aca="false">C42-152000</f>
        <v>229743</v>
      </c>
      <c r="F42" s="132" t="n">
        <f aca="false">D42/$D$2</f>
        <v>-271.237711116713</v>
      </c>
      <c r="G42" s="196" t="n">
        <v>1060</v>
      </c>
      <c r="H42" s="133" t="n">
        <v>0.43</v>
      </c>
      <c r="I42" s="132" t="n">
        <f aca="false">G42+H42</f>
        <v>1060.43</v>
      </c>
      <c r="J42" s="133" t="n">
        <f aca="false">IF(L42&gt;0,L42,0)</f>
        <v>104.332288883287</v>
      </c>
      <c r="K42" s="132" t="n">
        <f aca="false">I42+J42</f>
        <v>1164.76228888329</v>
      </c>
      <c r="L42" s="132" t="n">
        <f aca="false">F42-(I42-AK42)</f>
        <v>104.332288883287</v>
      </c>
      <c r="M42" s="231" t="n">
        <v>269</v>
      </c>
      <c r="N42" s="199" t="n">
        <f aca="false">1.8299*1.03</f>
        <v>1.884797</v>
      </c>
      <c r="O42" s="132" t="n">
        <f aca="false">(27+29)*1.05</f>
        <v>58.8</v>
      </c>
      <c r="P42" s="199" t="n">
        <v>0</v>
      </c>
      <c r="Q42" s="340" t="n">
        <f aca="false">2.21*1.02</f>
        <v>2.2542</v>
      </c>
      <c r="R42" s="340" t="n">
        <v>4.2</v>
      </c>
      <c r="S42" s="129" t="n">
        <v>2</v>
      </c>
      <c r="T42" s="356" t="n">
        <v>0</v>
      </c>
      <c r="U42" s="132" t="n">
        <v>420</v>
      </c>
      <c r="V42" s="132" t="n">
        <v>67</v>
      </c>
      <c r="W42" s="132" t="n">
        <f aca="false">M42-N42-O42-P42-Q42-R42-S42-T42+U42+V42-AT42</f>
        <v>686.861003</v>
      </c>
      <c r="X42" s="132" t="n">
        <f aca="false">W42-AO42</f>
        <v>686.861003</v>
      </c>
      <c r="Y42" s="104" t="n">
        <f aca="false">Y41+(X42*1.9835)</f>
        <v>41926.1427859</v>
      </c>
      <c r="Z42" s="104" t="n">
        <f aca="false">Z41+X42*(26300/37500)*1.9835</f>
        <v>29404.2014738445</v>
      </c>
      <c r="AA42" s="104" t="n">
        <v>0</v>
      </c>
      <c r="AB42" s="104" t="n">
        <f aca="false">AB41+(AP42+X42)*1.9835</f>
        <v>25098.450290435</v>
      </c>
      <c r="AC42" s="104" t="n">
        <f aca="false">AC41-(AQ41/1.9835)</f>
        <v>1636.89751125715</v>
      </c>
      <c r="AD42" s="104"/>
      <c r="AE42" s="132" t="n">
        <v>236</v>
      </c>
      <c r="AF42" s="231" t="n">
        <v>1.7</v>
      </c>
      <c r="AG42" s="232" t="n">
        <v>1.3</v>
      </c>
      <c r="AH42" s="432" t="n">
        <v>444</v>
      </c>
      <c r="AI42" s="431" t="n">
        <f aca="false">AI41</f>
        <v>13740.2578774893</v>
      </c>
      <c r="AJ42" s="433" t="n">
        <f aca="false">AH42</f>
        <v>444</v>
      </c>
      <c r="AK42" s="131" t="n">
        <f aca="false">N42+O42+P42+Q42+R42+S42+T42+W42+AE42+AH42+AT42</f>
        <v>1436</v>
      </c>
      <c r="AL42" s="132" t="n">
        <f aca="false">IF(L42&lt;0,L42*-1,0)</f>
        <v>0</v>
      </c>
      <c r="AM42" s="132" t="n">
        <f aca="false">AK42+AL42</f>
        <v>1436</v>
      </c>
      <c r="AN42" s="373" t="n">
        <f aca="false">AN41</f>
        <v>14570.652155</v>
      </c>
      <c r="AO42" s="134"/>
      <c r="AP42" s="94" t="n">
        <v>0</v>
      </c>
      <c r="AQ42" s="199" t="n">
        <f aca="false">47.3*(AA41*1.9835+AP42*1.9835+AC42*1.9835)/E42</f>
        <v>0.668455569494023</v>
      </c>
      <c r="AR42" s="199"/>
      <c r="AS42" s="204"/>
      <c r="AT42" s="166"/>
      <c r="AU42" s="9"/>
      <c r="AV42" s="205" t="n">
        <v>0.03</v>
      </c>
      <c r="AW42" s="134" t="n">
        <v>70</v>
      </c>
      <c r="AX42" s="134" t="n">
        <v>46</v>
      </c>
      <c r="AY42" s="303"/>
      <c r="AZ42" s="233" t="n">
        <f aca="false">SUM(N42,P42:T42)</f>
        <v>10.338997</v>
      </c>
    </row>
    <row r="43" customFormat="false" ht="12.95" hidden="false" customHeight="true" outlineLevel="0" collapsed="false">
      <c r="A43" s="171" t="n">
        <v>31</v>
      </c>
      <c r="B43" s="103" t="n">
        <v>6924.06</v>
      </c>
      <c r="C43" s="104" t="n">
        <v>381429</v>
      </c>
      <c r="D43" s="134" t="n">
        <f aca="false">C43-C42</f>
        <v>-314</v>
      </c>
      <c r="E43" s="104" t="n">
        <f aca="false">C43-152000</f>
        <v>229429</v>
      </c>
      <c r="F43" s="132" t="n">
        <f aca="false">D43/$D$2</f>
        <v>-158.306024703806</v>
      </c>
      <c r="G43" s="196" t="n">
        <v>1020</v>
      </c>
      <c r="H43" s="133" t="n">
        <v>0.37</v>
      </c>
      <c r="I43" s="132" t="n">
        <f aca="false">G43+H43</f>
        <v>1020.37</v>
      </c>
      <c r="J43" s="133" t="n">
        <f aca="false">IF(L43&gt;0,L43,0)</f>
        <v>71.3239752961936</v>
      </c>
      <c r="K43" s="132" t="n">
        <f aca="false">I43+J43</f>
        <v>1091.69397529619</v>
      </c>
      <c r="L43" s="132" t="n">
        <f aca="false">F43-(I43-AK43)</f>
        <v>71.3239752961936</v>
      </c>
      <c r="M43" s="231" t="n">
        <v>265</v>
      </c>
      <c r="N43" s="199" t="n">
        <f aca="false">1.8299*1.03</f>
        <v>1.884797</v>
      </c>
      <c r="O43" s="132" t="n">
        <f aca="false">(24+25)*1.05</f>
        <v>51.45</v>
      </c>
      <c r="P43" s="199" t="n">
        <v>0</v>
      </c>
      <c r="Q43" s="340" t="n">
        <f aca="false">2.21*1.02</f>
        <v>2.2542</v>
      </c>
      <c r="R43" s="340" t="n">
        <v>4.2</v>
      </c>
      <c r="S43" s="129" t="n">
        <v>2.08</v>
      </c>
      <c r="T43" s="356" t="n">
        <v>0</v>
      </c>
      <c r="U43" s="132" t="n">
        <v>421</v>
      </c>
      <c r="V43" s="132" t="n">
        <v>68</v>
      </c>
      <c r="W43" s="132" t="n">
        <f aca="false">M43-N43-O43-P43-Q43-R43-S43-T43+U43+V43-AT43</f>
        <v>692.131003</v>
      </c>
      <c r="X43" s="132" t="n">
        <f aca="false">W43-AO43</f>
        <v>692.131003</v>
      </c>
      <c r="Y43" s="104" t="n">
        <f aca="false">Y42+(X43*1.9835)</f>
        <v>43298.9846303505</v>
      </c>
      <c r="Z43" s="104" t="n">
        <f aca="false">Z42+X43*(26300/37500)*1.9835</f>
        <v>30367.0212207525</v>
      </c>
      <c r="AA43" s="104" t="n">
        <v>0</v>
      </c>
      <c r="AB43" s="104" t="n">
        <f aca="false">AB42+(AP43+X43)*1.9835</f>
        <v>26471.2921348855</v>
      </c>
      <c r="AC43" s="104" t="n">
        <f aca="false">AC42-(AQ42/1.9835)</f>
        <v>1636.56050315556</v>
      </c>
      <c r="AD43" s="104"/>
      <c r="AE43" s="132" t="n">
        <v>207</v>
      </c>
      <c r="AF43" s="231" t="n">
        <v>1.7</v>
      </c>
      <c r="AG43" s="232" t="n">
        <v>1.3</v>
      </c>
      <c r="AH43" s="432" t="n">
        <v>289</v>
      </c>
      <c r="AI43" s="431" t="n">
        <f aca="false">AI42</f>
        <v>13740.2578774893</v>
      </c>
      <c r="AJ43" s="433" t="n">
        <f aca="false">AH43</f>
        <v>289</v>
      </c>
      <c r="AK43" s="131" t="n">
        <f aca="false">N43+O43+P43+Q43+R43+S43+T43+W43+AE43+AH43+AT43</f>
        <v>1250</v>
      </c>
      <c r="AL43" s="132" t="n">
        <f aca="false">IF(L43&lt;0,L43*-1,0)</f>
        <v>0</v>
      </c>
      <c r="AM43" s="132" t="n">
        <f aca="false">AK43+AL43</f>
        <v>1250</v>
      </c>
      <c r="AN43" s="373" t="n">
        <f aca="false">AN42</f>
        <v>14570.652155</v>
      </c>
      <c r="AO43" s="134"/>
      <c r="AP43" s="94" t="n">
        <v>0</v>
      </c>
      <c r="AQ43" s="199" t="n">
        <f aca="false">47.3*(AA42*1.9835+AP43*1.9835+AC43*1.9835)/E43</f>
        <v>0.669232616425248</v>
      </c>
      <c r="AR43" s="199"/>
      <c r="AS43" s="204"/>
      <c r="AT43" s="166"/>
      <c r="AU43" s="9"/>
      <c r="AV43" s="205" t="n">
        <v>0</v>
      </c>
      <c r="AW43" s="134" t="n">
        <v>72</v>
      </c>
      <c r="AX43" s="134" t="n">
        <v>45</v>
      </c>
      <c r="AY43" s="303"/>
      <c r="AZ43" s="233" t="n">
        <f aca="false">SUM(N43,P43:T43)</f>
        <v>10.418997</v>
      </c>
    </row>
    <row r="44" customFormat="false" ht="3" hidden="false" customHeight="true" outlineLevel="0" collapsed="false">
      <c r="A44" s="214"/>
      <c r="B44" s="235"/>
      <c r="C44" s="216"/>
      <c r="D44" s="217"/>
      <c r="E44" s="216"/>
      <c r="F44" s="217"/>
      <c r="G44" s="235"/>
      <c r="H44" s="224"/>
      <c r="I44" s="217"/>
      <c r="J44" s="217"/>
      <c r="K44" s="217"/>
      <c r="L44" s="217"/>
      <c r="M44" s="220"/>
      <c r="N44" s="221"/>
      <c r="O44" s="217"/>
      <c r="P44" s="221"/>
      <c r="Q44" s="217"/>
      <c r="R44" s="217"/>
      <c r="S44" s="429"/>
      <c r="T44" s="222"/>
      <c r="U44" s="217"/>
      <c r="V44" s="217"/>
      <c r="W44" s="217"/>
      <c r="X44" s="217"/>
      <c r="Y44" s="216"/>
      <c r="Z44" s="217"/>
      <c r="AA44" s="216"/>
      <c r="AB44" s="216"/>
      <c r="AC44" s="216"/>
      <c r="AD44" s="216"/>
      <c r="AE44" s="217"/>
      <c r="AF44" s="235"/>
      <c r="AG44" s="218"/>
      <c r="AH44" s="223"/>
      <c r="AI44" s="217"/>
      <c r="AJ44" s="217"/>
      <c r="AK44" s="217"/>
      <c r="AL44" s="217"/>
      <c r="AM44" s="217"/>
      <c r="AN44" s="243"/>
      <c r="AO44" s="223"/>
      <c r="AP44" s="223"/>
      <c r="AQ44" s="221"/>
      <c r="AR44" s="221"/>
      <c r="AS44" s="221"/>
      <c r="AT44" s="224"/>
      <c r="AU44" s="224"/>
      <c r="AV44" s="228"/>
      <c r="AW44" s="223"/>
      <c r="AX44" s="223"/>
      <c r="AY44" s="240"/>
      <c r="AZ44" s="323"/>
    </row>
    <row r="45" customFormat="false" ht="12.95" hidden="false" customHeight="true" outlineLevel="0" collapsed="false">
      <c r="A45" s="173" t="s">
        <v>91</v>
      </c>
      <c r="B45" s="196"/>
      <c r="C45" s="104"/>
      <c r="D45" s="104"/>
      <c r="E45" s="104"/>
      <c r="F45" s="104" t="n">
        <f aca="false">SUM(F13:F43)</f>
        <v>25906.2263675321</v>
      </c>
      <c r="G45" s="373" t="n">
        <f aca="false">SUM(G13:G43)</f>
        <v>67260</v>
      </c>
      <c r="H45" s="133" t="n">
        <f aca="false">SUM(H13:H43)</f>
        <v>1288.36</v>
      </c>
      <c r="I45" s="104" t="n">
        <f aca="false">SUM(I13:I43)</f>
        <v>68548.36</v>
      </c>
      <c r="J45" s="104" t="n">
        <f aca="false">SUM(J13:J43)</f>
        <v>5823.10760776405</v>
      </c>
      <c r="K45" s="104" t="n">
        <f aca="false">SUM(K13:K43)</f>
        <v>74371.4676077641</v>
      </c>
      <c r="L45" s="104" t="n">
        <f aca="false">SUM(L13:L43)</f>
        <v>5242.86636753214</v>
      </c>
      <c r="M45" s="198" t="n">
        <f aca="false">SUM(M13:M43)</f>
        <v>9150</v>
      </c>
      <c r="N45" s="133" t="n">
        <f aca="false">SUM(N13:N43)</f>
        <v>58.428707</v>
      </c>
      <c r="O45" s="104" t="n">
        <f aca="false">SUM(O13:O43)</f>
        <v>2227.26</v>
      </c>
      <c r="P45" s="199" t="n">
        <f aca="false">SUM(P13:P43)</f>
        <v>7.365</v>
      </c>
      <c r="Q45" s="104" t="n">
        <f aca="false">SUM(Q13:Q43)</f>
        <v>69.8802</v>
      </c>
      <c r="R45" s="104" t="n">
        <f aca="false">SUM(R13:R43)</f>
        <v>129</v>
      </c>
      <c r="S45" s="340" t="n">
        <f aca="false">SUM(S13:S43)</f>
        <v>65.1</v>
      </c>
      <c r="T45" s="201" t="n">
        <f aca="false">SUM(T13:T43)</f>
        <v>0</v>
      </c>
      <c r="U45" s="104" t="n">
        <f aca="false">SUM(U13:U43)</f>
        <v>4483</v>
      </c>
      <c r="V45" s="104" t="n">
        <f aca="false">SUM(V13:V43)</f>
        <v>2287</v>
      </c>
      <c r="W45" s="104" t="n">
        <f aca="false">SUM(W13:W43)</f>
        <v>12951.555078</v>
      </c>
      <c r="X45" s="104" t="n">
        <f aca="false">SUM(X13:X43)</f>
        <v>12951.555078</v>
      </c>
      <c r="Y45" s="104"/>
      <c r="Z45" s="104"/>
      <c r="AA45" s="104"/>
      <c r="AB45" s="104"/>
      <c r="AC45" s="104"/>
      <c r="AD45" s="104"/>
      <c r="AE45" s="104" t="n">
        <f aca="false">SUM(AE13:AE43)</f>
        <v>5473</v>
      </c>
      <c r="AF45" s="434" t="n">
        <f aca="false">SUM(AF13:AF43)</f>
        <v>52.7</v>
      </c>
      <c r="AG45" s="435" t="n">
        <f aca="false">SUM(AG13:AG43)</f>
        <v>40.3</v>
      </c>
      <c r="AH45" s="134" t="n">
        <f aca="false">SUM(AH13:AH43)</f>
        <v>26492</v>
      </c>
      <c r="AI45" s="104"/>
      <c r="AJ45" s="104" t="n">
        <f aca="false">SUM(AJ13:AJ43)</f>
        <v>25681</v>
      </c>
      <c r="AK45" s="104" t="n">
        <f aca="false">SUM(AK13:AK43)</f>
        <v>47885</v>
      </c>
      <c r="AL45" s="104" t="n">
        <f aca="false">SUM(AL13:AL43)</f>
        <v>580.241240231914</v>
      </c>
      <c r="AM45" s="104" t="n">
        <f aca="false">SUM(AM13:AM43)</f>
        <v>48465.2412402319</v>
      </c>
      <c r="AN45" s="373"/>
      <c r="AO45" s="104" t="n">
        <f aca="false">SUM(AO13:AO43)</f>
        <v>0</v>
      </c>
      <c r="AP45" s="132"/>
      <c r="AQ45" s="199"/>
      <c r="AR45" s="199"/>
      <c r="AS45" s="204" t="n">
        <f aca="false">SUM(AS13:AS43)</f>
        <v>0</v>
      </c>
      <c r="AT45" s="133" t="n">
        <f aca="false">SUM(AT13:AT43)</f>
        <v>411.411015</v>
      </c>
      <c r="AU45" s="9"/>
      <c r="AV45" s="205" t="n">
        <f aca="false">SUM(AV13:AV43)</f>
        <v>1.16</v>
      </c>
      <c r="AW45" s="134" t="n">
        <f aca="false">AVERAGE(AW13:AW43)</f>
        <v>71.5806451612903</v>
      </c>
      <c r="AX45" s="134" t="n">
        <f aca="false">AVERAGE(AX13:AX43)</f>
        <v>44.5483870967742</v>
      </c>
      <c r="AY45" s="197" t="s">
        <v>113</v>
      </c>
      <c r="AZ45" s="341" t="n">
        <f aca="false">SUM(AZ13:AZ43)</f>
        <v>329.773907</v>
      </c>
    </row>
    <row r="46" customFormat="false" ht="12.95" hidden="false" customHeight="true" outlineLevel="0" collapsed="false">
      <c r="A46" s="173" t="s">
        <v>93</v>
      </c>
      <c r="B46" s="196"/>
      <c r="C46" s="104"/>
      <c r="D46" s="104" t="n">
        <f aca="false">SUM(D13:D43)</f>
        <v>51385</v>
      </c>
      <c r="E46" s="104"/>
      <c r="F46" s="104" t="n">
        <f aca="false">F45*$D$2</f>
        <v>51385</v>
      </c>
      <c r="G46" s="373" t="n">
        <f aca="false">G45*$D$2</f>
        <v>133410.21</v>
      </c>
      <c r="H46" s="133" t="n">
        <f aca="false">H45*$D$2</f>
        <v>2555.46206</v>
      </c>
      <c r="I46" s="104" t="n">
        <f aca="false">I45*$D$2</f>
        <v>135965.67206</v>
      </c>
      <c r="J46" s="104" t="n">
        <f aca="false">J45*$D$2</f>
        <v>11550.13394</v>
      </c>
      <c r="K46" s="104" t="n">
        <f aca="false">K45*$D$2</f>
        <v>147515.806</v>
      </c>
      <c r="L46" s="104" t="n">
        <f aca="false">L45*$D$2</f>
        <v>10399.22544</v>
      </c>
      <c r="M46" s="198" t="n">
        <f aca="false">M45*$D$2</f>
        <v>18149.025</v>
      </c>
      <c r="N46" s="134" t="n">
        <f aca="false">N45*$D$2</f>
        <v>115.8933403345</v>
      </c>
      <c r="O46" s="104" t="n">
        <f aca="false">O45*$D$2</f>
        <v>4417.77021</v>
      </c>
      <c r="P46" s="199" t="n">
        <f aca="false">P45*$D$2</f>
        <v>14.6084775</v>
      </c>
      <c r="Q46" s="104" t="n">
        <f aca="false">Q45*$D$2</f>
        <v>138.6073767</v>
      </c>
      <c r="R46" s="104" t="n">
        <f aca="false">R45*$D$2</f>
        <v>255.8715</v>
      </c>
      <c r="S46" s="132" t="n">
        <f aca="false">S45*$D$2</f>
        <v>129.12585</v>
      </c>
      <c r="T46" s="201" t="n">
        <f aca="false">T45*$D$2</f>
        <v>0</v>
      </c>
      <c r="U46" s="104" t="n">
        <f aca="false">U45*$D$2</f>
        <v>8892.0305</v>
      </c>
      <c r="V46" s="104" t="n">
        <f aca="false">V45*$D$2</f>
        <v>4536.2645</v>
      </c>
      <c r="W46" s="104" t="n">
        <f aca="false">W45*$D$2</f>
        <v>25689.409497213</v>
      </c>
      <c r="X46" s="104" t="n">
        <f aca="false">X45*$D$2</f>
        <v>25689.409497213</v>
      </c>
      <c r="Y46" s="104"/>
      <c r="Z46" s="104"/>
      <c r="AA46" s="104"/>
      <c r="AB46" s="104"/>
      <c r="AC46" s="104"/>
      <c r="AD46" s="104"/>
      <c r="AE46" s="104" t="n">
        <f aca="false">AE45*$D$2</f>
        <v>10855.6955</v>
      </c>
      <c r="AF46" s="198" t="n">
        <f aca="false">AF45*$D$2</f>
        <v>104.53045</v>
      </c>
      <c r="AG46" s="201" t="n">
        <f aca="false">AG45*$D$2</f>
        <v>79.93505</v>
      </c>
      <c r="AH46" s="134" t="n">
        <f aca="false">AH45*$D$2</f>
        <v>52546.882</v>
      </c>
      <c r="AI46" s="104"/>
      <c r="AJ46" s="104" t="n">
        <f aca="false">AJ45*$D$2</f>
        <v>50938.2635</v>
      </c>
      <c r="AK46" s="104" t="n">
        <f aca="false">AK45*$D$2</f>
        <v>94979.8975</v>
      </c>
      <c r="AL46" s="104" t="n">
        <f aca="false">AL45*$D$2</f>
        <v>1150.9085</v>
      </c>
      <c r="AM46" s="104" t="n">
        <f aca="false">AM45*$D$2</f>
        <v>96130.806</v>
      </c>
      <c r="AN46" s="373"/>
      <c r="AO46" s="104" t="n">
        <f aca="false">AO45*$D$2</f>
        <v>0</v>
      </c>
      <c r="AP46" s="132"/>
      <c r="AQ46" s="199" t="n">
        <f aca="false">SUM(AQ13:AQ43)</f>
        <v>117.167158891079</v>
      </c>
      <c r="AR46" s="199"/>
      <c r="AS46" s="104" t="n">
        <f aca="false">AS45*$D$2</f>
        <v>0</v>
      </c>
      <c r="AT46" s="133" t="n">
        <f aca="false">AT45*$D$2</f>
        <v>816.0337482525</v>
      </c>
      <c r="AU46" s="9"/>
      <c r="AV46" s="205"/>
      <c r="AW46" s="134" t="n">
        <f aca="false">MAX(AW13:AW43)</f>
        <v>83</v>
      </c>
      <c r="AX46" s="134" t="n">
        <f aca="false">MAX(AX13:AX43)</f>
        <v>53</v>
      </c>
      <c r="AY46" s="197" t="s">
        <v>94</v>
      </c>
      <c r="AZ46" s="341" t="n">
        <f aca="false">AZ45*$D$2</f>
        <v>654.1065445345</v>
      </c>
    </row>
    <row r="47" customFormat="false" ht="3" hidden="false" customHeight="true" outlineLevel="0" collapsed="false">
      <c r="A47" s="214"/>
      <c r="B47" s="235"/>
      <c r="C47" s="216"/>
      <c r="D47" s="216"/>
      <c r="E47" s="216"/>
      <c r="F47" s="216"/>
      <c r="G47" s="243"/>
      <c r="H47" s="224"/>
      <c r="I47" s="216"/>
      <c r="J47" s="216"/>
      <c r="K47" s="216"/>
      <c r="L47" s="216"/>
      <c r="M47" s="241"/>
      <c r="N47" s="221"/>
      <c r="O47" s="216"/>
      <c r="P47" s="221"/>
      <c r="Q47" s="216"/>
      <c r="R47" s="216"/>
      <c r="S47" s="429"/>
      <c r="T47" s="242"/>
      <c r="U47" s="216"/>
      <c r="V47" s="216"/>
      <c r="W47" s="216"/>
      <c r="X47" s="216"/>
      <c r="Y47" s="216"/>
      <c r="Z47" s="216"/>
      <c r="AA47" s="216"/>
      <c r="AB47" s="216"/>
      <c r="AC47" s="216"/>
      <c r="AD47" s="216"/>
      <c r="AE47" s="216"/>
      <c r="AF47" s="241"/>
      <c r="AG47" s="242"/>
      <c r="AH47" s="223"/>
      <c r="AI47" s="217"/>
      <c r="AJ47" s="216"/>
      <c r="AK47" s="216"/>
      <c r="AL47" s="216"/>
      <c r="AM47" s="216"/>
      <c r="AN47" s="243"/>
      <c r="AO47" s="216"/>
      <c r="AP47" s="216"/>
      <c r="AQ47" s="221"/>
      <c r="AR47" s="221"/>
      <c r="AS47" s="221"/>
      <c r="AT47" s="224"/>
      <c r="AU47" s="224"/>
      <c r="AV47" s="216"/>
      <c r="AW47" s="216"/>
      <c r="AX47" s="216"/>
      <c r="AY47" s="240"/>
      <c r="AZ47" s="323"/>
    </row>
    <row r="48" customFormat="false" ht="12.95" hidden="false" customHeight="true" outlineLevel="0" collapsed="false">
      <c r="A48" s="173" t="s">
        <v>95</v>
      </c>
      <c r="B48" s="196"/>
      <c r="C48" s="104"/>
      <c r="D48" s="104"/>
      <c r="E48" s="104"/>
      <c r="F48" s="104" t="n">
        <f aca="false">F10+F45</f>
        <v>49479.7075875977</v>
      </c>
      <c r="G48" s="373" t="n">
        <f aca="false">G10+G45</f>
        <v>90778</v>
      </c>
      <c r="H48" s="133" t="n">
        <f aca="false">H10+H45</f>
        <v>4326.36</v>
      </c>
      <c r="I48" s="104" t="n">
        <f aca="false">I10+I45</f>
        <v>95104.36</v>
      </c>
      <c r="J48" s="104" t="n">
        <f aca="false">J10+J45</f>
        <v>8910.18882782959</v>
      </c>
      <c r="K48" s="104" t="n">
        <f aca="false">K10+K45</f>
        <v>104014.54882783</v>
      </c>
      <c r="L48" s="104" t="n">
        <f aca="false">L10+L45</f>
        <v>8329.94758759768</v>
      </c>
      <c r="M48" s="198" t="n">
        <f aca="false">M10+M45</f>
        <v>12451.5</v>
      </c>
      <c r="N48" s="134" t="n">
        <f aca="false">N10+N45</f>
        <v>114.972617</v>
      </c>
      <c r="O48" s="104" t="n">
        <f aca="false">O10+O45</f>
        <v>4150.7697</v>
      </c>
      <c r="P48" s="199" t="n">
        <f aca="false">P10+P45</f>
        <v>7.365</v>
      </c>
      <c r="Q48" s="104"/>
      <c r="R48" s="104"/>
      <c r="S48" s="340"/>
      <c r="T48" s="201"/>
      <c r="U48" s="104" t="n">
        <f aca="false">U10+U45</f>
        <v>5019.3</v>
      </c>
      <c r="V48" s="104" t="n">
        <f aca="false">V10+V45</f>
        <v>2835</v>
      </c>
      <c r="W48" s="104" t="n">
        <f aca="false">W10+W45</f>
        <v>15259.234768</v>
      </c>
      <c r="X48" s="104" t="n">
        <f aca="false">X10+X45</f>
        <v>14452.101423</v>
      </c>
      <c r="Y48" s="104"/>
      <c r="Z48" s="104"/>
      <c r="AA48" s="104" t="n">
        <f aca="false">AA43</f>
        <v>0</v>
      </c>
      <c r="AB48" s="104"/>
      <c r="AC48" s="104" t="n">
        <f aca="false">AC43</f>
        <v>1636.56050315556</v>
      </c>
      <c r="AD48" s="104"/>
      <c r="AE48" s="104" t="n">
        <f aca="false">AE10+AE45</f>
        <v>5676.8</v>
      </c>
      <c r="AF48" s="198" t="n">
        <f aca="false">AF10+AF45</f>
        <v>103.7</v>
      </c>
      <c r="AG48" s="201" t="n">
        <f aca="false">AG10+AG45</f>
        <v>79.3</v>
      </c>
      <c r="AH48" s="134"/>
      <c r="AI48" s="104"/>
      <c r="AJ48" s="104" t="n">
        <f aca="false">AJ10+AJ45</f>
        <v>25681</v>
      </c>
      <c r="AK48" s="104" t="n">
        <f aca="false">AK10+AK45</f>
        <v>53954.6</v>
      </c>
      <c r="AL48" s="104" t="n">
        <f aca="false">AL10+AL45</f>
        <v>580.241240231914</v>
      </c>
      <c r="AM48" s="104" t="n">
        <f aca="false">AM10+AM45</f>
        <v>54534.8412402319</v>
      </c>
      <c r="AN48" s="373"/>
      <c r="AO48" s="134"/>
      <c r="AP48" s="132"/>
      <c r="AQ48" s="199"/>
      <c r="AR48" s="199"/>
      <c r="AS48" s="104" t="n">
        <f aca="false">AS10+AS45</f>
        <v>0</v>
      </c>
      <c r="AT48" s="133" t="n">
        <f aca="false">AT10+AT45</f>
        <v>411.411015</v>
      </c>
      <c r="AU48" s="9"/>
      <c r="AV48" s="205"/>
      <c r="AW48" s="134" t="n">
        <f aca="false">MIN(AW13:AW43)</f>
        <v>55</v>
      </c>
      <c r="AX48" s="134" t="n">
        <f aca="false">MIN(AX13:AX43)</f>
        <v>38</v>
      </c>
      <c r="AY48" s="197" t="s">
        <v>96</v>
      </c>
      <c r="AZ48" s="341" t="n">
        <f aca="false">AZ10+AZ45</f>
        <v>329.773907</v>
      </c>
    </row>
    <row r="49" customFormat="false" ht="12.95" hidden="false" customHeight="true" outlineLevel="0" collapsed="false">
      <c r="A49" s="173" t="s">
        <v>97</v>
      </c>
      <c r="B49" s="196"/>
      <c r="C49" s="104"/>
      <c r="D49" s="104"/>
      <c r="E49" s="104"/>
      <c r="F49" s="104" t="n">
        <f aca="false">F48*$D$2</f>
        <v>98143</v>
      </c>
      <c r="G49" s="373" t="n">
        <f aca="false">G48*$D$2</f>
        <v>180058.163</v>
      </c>
      <c r="H49" s="133" t="n">
        <f aca="false">H48*$D$2</f>
        <v>8581.33506</v>
      </c>
      <c r="I49" s="104" t="n">
        <f aca="false">I48*$D$2</f>
        <v>188639.49806</v>
      </c>
      <c r="J49" s="104" t="n">
        <f aca="false">J48*$D$2</f>
        <v>17673.35954</v>
      </c>
      <c r="K49" s="104" t="n">
        <f aca="false">K48*$D$2</f>
        <v>206312.8576</v>
      </c>
      <c r="L49" s="104" t="n">
        <f aca="false">L48*$D$2</f>
        <v>16522.45104</v>
      </c>
      <c r="M49" s="198" t="n">
        <f aca="false">M48*$D$2</f>
        <v>24697.55025</v>
      </c>
      <c r="N49" s="134" t="n">
        <f aca="false">N48*$D$2</f>
        <v>228.0481858195</v>
      </c>
      <c r="O49" s="104" t="n">
        <f aca="false">O48*$D$2</f>
        <v>8233.05169995</v>
      </c>
      <c r="P49" s="199" t="n">
        <f aca="false">P48*$D$2</f>
        <v>14.6084775</v>
      </c>
      <c r="Q49" s="104"/>
      <c r="R49" s="104"/>
      <c r="S49" s="340"/>
      <c r="T49" s="201"/>
      <c r="U49" s="104" t="n">
        <f aca="false">U48*$D$2</f>
        <v>9955.78155</v>
      </c>
      <c r="V49" s="104" t="n">
        <f aca="false">V48*$D$2</f>
        <v>5623.2225</v>
      </c>
      <c r="W49" s="104" t="n">
        <f aca="false">W48*$D$2</f>
        <v>30266.692162328</v>
      </c>
      <c r="X49" s="104" t="n">
        <f aca="false">X48*$D$2</f>
        <v>28665.7431725205</v>
      </c>
      <c r="Y49" s="104"/>
      <c r="Z49" s="104"/>
      <c r="AA49" s="104" t="n">
        <f aca="false">AA48*$D$2</f>
        <v>0</v>
      </c>
      <c r="AB49" s="104"/>
      <c r="AC49" s="104" t="n">
        <f aca="false">AC48*$D$2</f>
        <v>3246.11775800905</v>
      </c>
      <c r="AD49" s="104"/>
      <c r="AE49" s="104" t="n">
        <f aca="false">AE48*$D$2</f>
        <v>11259.9328</v>
      </c>
      <c r="AF49" s="198" t="n">
        <f aca="false">AF48*$D$2</f>
        <v>205.68895</v>
      </c>
      <c r="AG49" s="201" t="n">
        <f aca="false">AG48*$D$2</f>
        <v>157.29155</v>
      </c>
      <c r="AH49" s="134"/>
      <c r="AI49" s="104"/>
      <c r="AJ49" s="104" t="n">
        <f aca="false">AJ48*$D$2</f>
        <v>50938.2635</v>
      </c>
      <c r="AK49" s="104" t="n">
        <f aca="false">AK48*$D$2</f>
        <v>107018.9491</v>
      </c>
      <c r="AL49" s="104" t="n">
        <f aca="false">AL48*$D$2</f>
        <v>1150.9085</v>
      </c>
      <c r="AM49" s="104" t="n">
        <f aca="false">AM48*$D$2</f>
        <v>108169.8576</v>
      </c>
      <c r="AN49" s="373"/>
      <c r="AO49" s="134"/>
      <c r="AP49" s="132"/>
      <c r="AQ49" s="199" t="n">
        <f aca="false">AQ10+AQ46</f>
        <v>159.884626300907</v>
      </c>
      <c r="AR49" s="199"/>
      <c r="AS49" s="104" t="n">
        <f aca="false">AS48*$D$2</f>
        <v>0</v>
      </c>
      <c r="AT49" s="133" t="n">
        <f aca="false">AT48*$D$2</f>
        <v>816.0337482525</v>
      </c>
      <c r="AU49" s="9"/>
      <c r="AV49" s="205"/>
      <c r="AW49" s="134"/>
      <c r="AX49" s="134"/>
      <c r="AY49" s="303"/>
      <c r="AZ49" s="341" t="n">
        <f aca="false">AZ48*$D$2</f>
        <v>654.1065445345</v>
      </c>
    </row>
    <row r="50" customFormat="false" ht="3" hidden="false" customHeight="true" outlineLevel="0" collapsed="false">
      <c r="A50" s="214"/>
      <c r="B50" s="235"/>
      <c r="C50" s="216"/>
      <c r="D50" s="216"/>
      <c r="E50" s="216"/>
      <c r="F50" s="216"/>
      <c r="G50" s="243"/>
      <c r="H50" s="224"/>
      <c r="I50" s="216"/>
      <c r="J50" s="216"/>
      <c r="K50" s="216"/>
      <c r="L50" s="216"/>
      <c r="M50" s="241"/>
      <c r="N50" s="224"/>
      <c r="O50" s="216"/>
      <c r="P50" s="221"/>
      <c r="Q50" s="216"/>
      <c r="R50" s="216"/>
      <c r="S50" s="429"/>
      <c r="T50" s="242"/>
      <c r="U50" s="216"/>
      <c r="V50" s="216"/>
      <c r="W50" s="216"/>
      <c r="X50" s="216"/>
      <c r="Y50" s="216"/>
      <c r="Z50" s="216"/>
      <c r="AA50" s="216"/>
      <c r="AB50" s="216"/>
      <c r="AC50" s="216"/>
      <c r="AD50" s="216"/>
      <c r="AE50" s="216"/>
      <c r="AF50" s="241"/>
      <c r="AG50" s="242"/>
      <c r="AH50" s="223"/>
      <c r="AI50" s="216"/>
      <c r="AJ50" s="216"/>
      <c r="AK50" s="216"/>
      <c r="AL50" s="216"/>
      <c r="AM50" s="216"/>
      <c r="AN50" s="243"/>
      <c r="AO50" s="246"/>
      <c r="AP50" s="246"/>
      <c r="AQ50" s="221"/>
      <c r="AR50" s="221"/>
      <c r="AS50" s="221"/>
      <c r="AT50" s="224"/>
      <c r="AU50" s="224"/>
      <c r="AV50" s="228"/>
      <c r="AW50" s="436"/>
      <c r="AX50" s="246"/>
      <c r="AY50" s="240"/>
      <c r="AZ50" s="323"/>
    </row>
    <row r="51" customFormat="false" ht="12.95" hidden="false" customHeight="true" outlineLevel="0" collapsed="false">
      <c r="A51" s="173" t="s">
        <v>98</v>
      </c>
      <c r="B51" s="196"/>
      <c r="C51" s="104"/>
      <c r="D51" s="104"/>
      <c r="E51" s="104"/>
      <c r="F51" s="104" t="n">
        <f aca="false">F11+F45</f>
        <v>48715.9062263675</v>
      </c>
      <c r="G51" s="373" t="n">
        <f aca="false">G11+G45</f>
        <v>101778</v>
      </c>
      <c r="H51" s="133" t="n">
        <f aca="false">H11+H45</f>
        <v>4866.49</v>
      </c>
      <c r="I51" s="104" t="n">
        <f aca="false">I11+I45</f>
        <v>106644.49</v>
      </c>
      <c r="J51" s="104" t="n">
        <f aca="false">J11+J45</f>
        <v>12216.3227123771</v>
      </c>
      <c r="K51" s="104" t="n">
        <f aca="false">K11+K45</f>
        <v>118860.812712377</v>
      </c>
      <c r="L51" s="104" t="n">
        <f aca="false">L11+L45</f>
        <v>10701.9162263675</v>
      </c>
      <c r="M51" s="198" t="n">
        <f aca="false">M11+M45</f>
        <v>13370.1</v>
      </c>
      <c r="N51" s="134" t="n">
        <f aca="false">N11+N45</f>
        <v>114.972617</v>
      </c>
      <c r="O51" s="104" t="n">
        <f aca="false">O11+O45</f>
        <v>4150.7697</v>
      </c>
      <c r="P51" s="340" t="n">
        <f aca="false">P11+P45</f>
        <v>7.365</v>
      </c>
      <c r="Q51" s="104" t="n">
        <f aca="false">Q11+Q45</f>
        <v>356.61852</v>
      </c>
      <c r="R51" s="104" t="n">
        <f aca="false">R11+R45</f>
        <v>600.85</v>
      </c>
      <c r="S51" s="340" t="n">
        <f aca="false">S11+S45</f>
        <v>70.24</v>
      </c>
      <c r="T51" s="201" t="n">
        <f aca="false">T11+T45</f>
        <v>-71.5154</v>
      </c>
      <c r="U51" s="104" t="n">
        <f aca="false">U11+U45</f>
        <v>12449.3</v>
      </c>
      <c r="V51" s="104" t="n">
        <f aca="false">V11+V45</f>
        <v>2911.3</v>
      </c>
      <c r="W51" s="104" t="n">
        <f aca="false">W11+W45</f>
        <v>23089.988548</v>
      </c>
      <c r="X51" s="104" t="n">
        <f aca="false">X11+X45</f>
        <v>21829.586403</v>
      </c>
      <c r="Y51" s="104"/>
      <c r="Z51" s="104"/>
      <c r="AA51" s="104"/>
      <c r="AB51" s="104"/>
      <c r="AC51" s="104"/>
      <c r="AD51" s="104"/>
      <c r="AE51" s="104"/>
      <c r="AF51" s="434"/>
      <c r="AG51" s="435"/>
      <c r="AH51" s="134" t="n">
        <f aca="false">AH11+AH45</f>
        <v>34223</v>
      </c>
      <c r="AI51" s="104" t="n">
        <f aca="false">AI43</f>
        <v>13740.2578774893</v>
      </c>
      <c r="AJ51" s="104" t="n">
        <f aca="false">AJ11+AJ45</f>
        <v>25681</v>
      </c>
      <c r="AK51" s="104" t="n">
        <f aca="false">AK11+AK45</f>
        <v>68630.5</v>
      </c>
      <c r="AL51" s="104" t="n">
        <f aca="false">AL11+AL45</f>
        <v>1514.40648600958</v>
      </c>
      <c r="AM51" s="104" t="n">
        <f aca="false">AM11+AM45</f>
        <v>70144.9064860096</v>
      </c>
      <c r="AN51" s="373"/>
      <c r="AO51" s="104" t="n">
        <f aca="false">AO11+AO45</f>
        <v>1260.402145</v>
      </c>
      <c r="AP51" s="132"/>
      <c r="AQ51" s="199"/>
      <c r="AR51" s="199"/>
      <c r="AS51" s="104" t="n">
        <f aca="false">AS11+AS45</f>
        <v>0</v>
      </c>
      <c r="AT51" s="133"/>
      <c r="AU51" s="9"/>
      <c r="AV51" s="205" t="n">
        <f aca="false">AV11+AV45</f>
        <v>5.92</v>
      </c>
      <c r="AW51" s="134"/>
      <c r="AX51" s="134"/>
      <c r="AY51" s="303"/>
      <c r="AZ51" s="341" t="n">
        <f aca="false">AZ11+AZ45</f>
        <v>1078.530737</v>
      </c>
    </row>
    <row r="52" customFormat="false" ht="12.95" hidden="false" customHeight="true" outlineLevel="0" collapsed="false">
      <c r="A52" s="173" t="s">
        <v>99</v>
      </c>
      <c r="B52" s="196"/>
      <c r="C52" s="104"/>
      <c r="D52" s="104" t="n">
        <f aca="false">D11+D46</f>
        <v>96628</v>
      </c>
      <c r="E52" s="104" t="n">
        <f aca="false">E43</f>
        <v>229429</v>
      </c>
      <c r="F52" s="104" t="n">
        <f aca="false">F51*$D$2</f>
        <v>96627.9999999999</v>
      </c>
      <c r="G52" s="373" t="n">
        <f aca="false">G51*$D$2</f>
        <v>201876.663</v>
      </c>
      <c r="H52" s="133" t="n">
        <f aca="false">H51*$D$2</f>
        <v>9652.682915</v>
      </c>
      <c r="I52" s="104" t="n">
        <f aca="false">I51*$D$2</f>
        <v>211529.345915</v>
      </c>
      <c r="J52" s="104" t="n">
        <f aca="false">J51*$D$2</f>
        <v>24231.0761</v>
      </c>
      <c r="K52" s="104" t="n">
        <f aca="false">K51*$D$2</f>
        <v>235760.422015</v>
      </c>
      <c r="L52" s="104" t="n">
        <f aca="false">L51*$D$2</f>
        <v>21227.250835</v>
      </c>
      <c r="M52" s="198" t="n">
        <f aca="false">M51*$D$2</f>
        <v>26519.59335</v>
      </c>
      <c r="N52" s="134" t="n">
        <f aca="false">N51*$D$2</f>
        <v>228.0481858195</v>
      </c>
      <c r="O52" s="104" t="n">
        <f aca="false">O51*$D$2</f>
        <v>8233.05169995</v>
      </c>
      <c r="P52" s="340" t="n">
        <f aca="false">P51*$D$2</f>
        <v>14.6084775</v>
      </c>
      <c r="Q52" s="104" t="n">
        <f aca="false">Q51*$D$2</f>
        <v>707.35283442</v>
      </c>
      <c r="R52" s="104" t="n">
        <f aca="false">R51*$D$2</f>
        <v>1191.785975</v>
      </c>
      <c r="S52" s="340" t="n">
        <f aca="false">S51*$D$2</f>
        <v>139.32104</v>
      </c>
      <c r="T52" s="201" t="n">
        <f aca="false">T51*$D$2</f>
        <v>-141.8507959</v>
      </c>
      <c r="U52" s="104" t="n">
        <f aca="false">U51*$D$2</f>
        <v>24693.18655</v>
      </c>
      <c r="V52" s="104" t="n">
        <f aca="false">V51*$D$2</f>
        <v>5774.56355</v>
      </c>
      <c r="W52" s="104" t="n">
        <f aca="false">W51*$D$2</f>
        <v>45798.992284958</v>
      </c>
      <c r="X52" s="104" t="n">
        <f aca="false">X51*$D$2</f>
        <v>43298.9846303505</v>
      </c>
      <c r="Y52" s="104"/>
      <c r="Z52" s="104"/>
      <c r="AA52" s="104"/>
      <c r="AB52" s="104"/>
      <c r="AC52" s="104"/>
      <c r="AD52" s="104"/>
      <c r="AE52" s="104"/>
      <c r="AF52" s="249"/>
      <c r="AG52" s="250"/>
      <c r="AH52" s="134" t="n">
        <f aca="false">AH51*$D$2</f>
        <v>67881.3205</v>
      </c>
      <c r="AI52" s="104" t="n">
        <f aca="false">AI51*$D$2</f>
        <v>27253.8015</v>
      </c>
      <c r="AJ52" s="104" t="n">
        <f aca="false">AJ51*$D$2</f>
        <v>50938.2635</v>
      </c>
      <c r="AK52" s="104" t="n">
        <f aca="false">AK51*$D$2</f>
        <v>136128.59675</v>
      </c>
      <c r="AL52" s="104" t="n">
        <f aca="false">AL51*$D$2</f>
        <v>3003.825265</v>
      </c>
      <c r="AM52" s="104" t="n">
        <f aca="false">AM51*$D$2</f>
        <v>139132.422015</v>
      </c>
      <c r="AN52" s="373" t="n">
        <f aca="false">AN43</f>
        <v>14570.652155</v>
      </c>
      <c r="AO52" s="104" t="n">
        <f aca="false">AO51*$D$2</f>
        <v>2500.0076546075</v>
      </c>
      <c r="AP52" s="132"/>
      <c r="AQ52" s="199" t="n">
        <f aca="false">AQ11+AQ46</f>
        <v>159.884626300907</v>
      </c>
      <c r="AR52" s="199"/>
      <c r="AS52" s="104" t="n">
        <f aca="false">AS51*$D$2</f>
        <v>0</v>
      </c>
      <c r="AT52" s="133"/>
      <c r="AU52" s="9"/>
      <c r="AV52" s="205"/>
      <c r="AW52" s="134"/>
      <c r="AX52" s="134"/>
      <c r="AY52" s="303"/>
      <c r="AZ52" s="341" t="n">
        <f aca="false">AZ51*$D$2</f>
        <v>2139.2657168395</v>
      </c>
    </row>
    <row r="53" customFormat="false" ht="3" hidden="false" customHeight="true" outlineLevel="0" collapsed="false">
      <c r="A53" s="214"/>
      <c r="B53" s="235"/>
      <c r="C53" s="216"/>
      <c r="D53" s="217"/>
      <c r="E53" s="216"/>
      <c r="F53" s="437"/>
      <c r="G53" s="438"/>
      <c r="H53" s="439"/>
      <c r="I53" s="217"/>
      <c r="J53" s="217"/>
      <c r="K53" s="217"/>
      <c r="L53" s="217"/>
      <c r="M53" s="220"/>
      <c r="N53" s="221"/>
      <c r="O53" s="217"/>
      <c r="P53" s="221"/>
      <c r="Q53" s="217"/>
      <c r="R53" s="217"/>
      <c r="S53" s="429"/>
      <c r="T53" s="222"/>
      <c r="U53" s="217"/>
      <c r="V53" s="217"/>
      <c r="W53" s="217"/>
      <c r="X53" s="217"/>
      <c r="Y53" s="216"/>
      <c r="Z53" s="217"/>
      <c r="AA53" s="216"/>
      <c r="AB53" s="216"/>
      <c r="AC53" s="216"/>
      <c r="AD53" s="216"/>
      <c r="AE53" s="217"/>
      <c r="AF53" s="220"/>
      <c r="AG53" s="225"/>
      <c r="AH53" s="223"/>
      <c r="AI53" s="216"/>
      <c r="AJ53" s="216"/>
      <c r="AK53" s="217"/>
      <c r="AL53" s="217"/>
      <c r="AM53" s="217"/>
      <c r="AN53" s="243"/>
      <c r="AO53" s="217"/>
      <c r="AP53" s="217"/>
      <c r="AQ53" s="221"/>
      <c r="AR53" s="221"/>
      <c r="AS53" s="221"/>
      <c r="AT53" s="224"/>
      <c r="AU53" s="224"/>
      <c r="AV53" s="217"/>
      <c r="AW53" s="217"/>
      <c r="AX53" s="217"/>
      <c r="AY53" s="240"/>
      <c r="AZ53" s="323"/>
    </row>
    <row r="54" customFormat="false" ht="11.1" hidden="false" customHeight="true" outlineLevel="0" collapsed="false">
      <c r="A54" s="440"/>
      <c r="B54" s="253"/>
      <c r="D54" s="173"/>
      <c r="F54" s="441"/>
      <c r="G54" s="441"/>
      <c r="H54" s="442"/>
      <c r="I54" s="173"/>
      <c r="J54" s="173"/>
      <c r="K54" s="173"/>
      <c r="L54" s="173"/>
      <c r="M54" s="173"/>
      <c r="O54" s="173"/>
      <c r="Q54" s="173"/>
      <c r="R54" s="173"/>
      <c r="U54" s="173"/>
      <c r="V54" s="173"/>
      <c r="W54" s="173"/>
      <c r="X54" s="173"/>
      <c r="Z54" s="173"/>
      <c r="AA54" s="105"/>
      <c r="AB54" s="105"/>
      <c r="AC54" s="105"/>
      <c r="AD54" s="105"/>
      <c r="AE54" s="173"/>
      <c r="AF54" s="173"/>
      <c r="AG54" s="173"/>
      <c r="AI54" s="105"/>
      <c r="AJ54" s="208"/>
      <c r="AK54" s="173"/>
      <c r="AL54" s="173"/>
      <c r="AM54" s="173"/>
      <c r="AN54" s="80"/>
      <c r="AO54" s="171"/>
      <c r="AP54" s="176"/>
      <c r="AQ54" s="417"/>
      <c r="AR54" s="417"/>
      <c r="AX54" s="168"/>
    </row>
    <row r="55" customFormat="false" ht="11.1" hidden="false" customHeight="true" outlineLevel="0" collapsed="false">
      <c r="A55" s="173"/>
      <c r="B55" s="105"/>
      <c r="E55" s="443"/>
      <c r="F55" s="208"/>
      <c r="G55" s="169"/>
      <c r="I55" s="443"/>
      <c r="J55" s="173"/>
      <c r="K55" s="163"/>
      <c r="L55" s="173"/>
      <c r="M55" s="173"/>
      <c r="O55" s="28"/>
      <c r="P55" s="90"/>
      <c r="Q55" s="28"/>
      <c r="R55" s="28"/>
      <c r="U55" s="173"/>
      <c r="V55" s="105"/>
      <c r="W55" s="28"/>
      <c r="X55" s="28"/>
      <c r="Y55" s="87"/>
      <c r="Z55" s="28"/>
      <c r="AA55" s="105"/>
      <c r="AB55" s="105"/>
      <c r="AC55" s="105"/>
      <c r="AD55" s="105"/>
      <c r="AE55" s="105"/>
      <c r="AF55" s="105"/>
      <c r="AG55" s="105"/>
      <c r="AI55" s="105"/>
      <c r="AJ55" s="208"/>
      <c r="AK55" s="173"/>
      <c r="AL55" s="173"/>
      <c r="AN55" s="208"/>
      <c r="AO55" s="176"/>
      <c r="AP55" s="176"/>
    </row>
    <row r="57" customFormat="false" ht="11.1" hidden="false" customHeight="true" outlineLevel="0" collapsed="false">
      <c r="B57" s="167"/>
      <c r="D57" s="105"/>
      <c r="F57" s="444"/>
      <c r="AE57" s="105"/>
      <c r="AF57" s="105"/>
      <c r="AG57" s="105"/>
      <c r="AN57" s="208"/>
      <c r="AO57" s="169"/>
      <c r="AP57" s="169"/>
    </row>
    <row r="58" customFormat="false" ht="11.1" hidden="false" customHeight="true" outlineLevel="0" collapsed="false">
      <c r="B58" s="1"/>
      <c r="D58" s="1"/>
      <c r="G58" s="445"/>
      <c r="H58" s="446"/>
      <c r="I58" s="447"/>
      <c r="AN58" s="208"/>
      <c r="AO58" s="169"/>
      <c r="AP58" s="169"/>
    </row>
  </sheetData>
  <mergeCells count="1">
    <mergeCell ref="M5:T5"/>
  </mergeCells>
  <printOptions headings="true" gridLines="true" gridLinesSet="true" horizontalCentered="false" verticalCentered="true"/>
  <pageMargins left="0.25" right="0.25" top="0.25" bottom="0" header="0.511811023622047" footer="0.511811023622047"/>
  <pageSetup paperSize="3" scale="97"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59"/>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1" ySplit="12" topLeftCell="N13" activePane="bottomRight" state="frozen"/>
      <selection pane="topLeft" activeCell="A1" activeCellId="0" sqref="A1"/>
      <selection pane="topRight" activeCell="N1" activeCellId="0" sqref="N1"/>
      <selection pane="bottomLeft" activeCell="A13" activeCellId="0" sqref="A13"/>
      <selection pane="bottomRight" activeCell="G5" activeCellId="1" sqref="E20:E43 G5"/>
    </sheetView>
  </sheetViews>
  <sheetFormatPr defaultColWidth="9.296875" defaultRowHeight="11.1" zeroHeight="false" outlineLevelRow="0" outlineLevelCol="0"/>
  <cols>
    <col collapsed="false" customWidth="true" hidden="false" outlineLevel="0" max="1" min="1" style="1" width="4.67"/>
    <col collapsed="false" customWidth="true" hidden="false" outlineLevel="0" max="2" min="2" style="1" width="6.99"/>
    <col collapsed="false" customWidth="true" hidden="false" outlineLevel="0" max="3" min="3" style="2" width="6.99"/>
    <col collapsed="false" customWidth="true" hidden="false" outlineLevel="0" max="4" min="4" style="1" width="6.32"/>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4" width="6.32"/>
    <col collapsed="false" customWidth="true" hidden="false" outlineLevel="0" max="9" min="9" style="1" width="6.99"/>
    <col collapsed="false" customWidth="true" hidden="false" outlineLevel="0" max="10" min="10" style="1" width="6.32"/>
    <col collapsed="false" customWidth="true" hidden="false" outlineLevel="0" max="12" min="11" style="1" width="6.99"/>
    <col collapsed="false" customWidth="true" hidden="false" outlineLevel="0" max="13" min="13" style="4" width="6.32"/>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7" min="17" style="4" width="4.49"/>
    <col collapsed="false" customWidth="true" hidden="false" outlineLevel="0" max="18" min="18" style="4" width="4.82"/>
    <col collapsed="false" customWidth="true" hidden="false" outlineLevel="0" max="19" min="19" style="1" width="4.82"/>
    <col collapsed="false" customWidth="true" hidden="false" outlineLevel="0" max="20" min="20" style="5" width="4.82"/>
    <col collapsed="false" customWidth="true" hidden="false" outlineLevel="0" max="22" min="21" style="1" width="5.49"/>
    <col collapsed="false" customWidth="true" hidden="false" outlineLevel="0" max="26" min="23" style="2" width="6.32"/>
    <col collapsed="false" customWidth="true" hidden="false" outlineLevel="0" max="27" min="27" style="1" width="5.49"/>
    <col collapsed="false" customWidth="true" hidden="false" outlineLevel="0" max="28" min="28" style="9" width="5.49"/>
    <col collapsed="false" customWidth="true" hidden="false" outlineLevel="0" max="33" min="29" style="1" width="5.49"/>
    <col collapsed="false" customWidth="true" hidden="false" outlineLevel="0" max="34" min="34" style="2" width="6.32"/>
    <col collapsed="false" customWidth="true" hidden="false" outlineLevel="0" max="35" min="35" style="1" width="5.82"/>
    <col collapsed="false" customWidth="true" hidden="false" outlineLevel="0" max="36" min="36" style="84" width="6.32"/>
    <col collapsed="false" customWidth="true" hidden="false" outlineLevel="0" max="38" min="37" style="1" width="6.32"/>
    <col collapsed="false" customWidth="true" hidden="false" outlineLevel="0" max="39" min="39" style="5" width="6.99"/>
    <col collapsed="false" customWidth="true" hidden="false" outlineLevel="0" max="41" min="40" style="1" width="5.49"/>
    <col collapsed="false" customWidth="true" hidden="false" outlineLevel="0" max="42" min="42" style="1" width="6.32"/>
    <col collapsed="false" customWidth="true" hidden="false" outlineLevel="0" max="43" min="43" style="329" width="6.32"/>
    <col collapsed="false" customWidth="true" hidden="false" outlineLevel="0" max="44" min="44" style="254" width="6.32"/>
    <col collapsed="false" customWidth="true" hidden="false" outlineLevel="0" max="45" min="45" style="6" width="6.32"/>
    <col collapsed="false" customWidth="true" hidden="false" outlineLevel="0" max="46" min="46" style="1" width="6.32"/>
    <col collapsed="false" customWidth="true" hidden="false" outlineLevel="0" max="47" min="47" style="4" width="5.82"/>
    <col collapsed="false" customWidth="true" hidden="false" outlineLevel="0" max="48" min="48" style="3" width="5.32"/>
    <col collapsed="false" customWidth="true" hidden="false" outlineLevel="0" max="49" min="49" style="7" width="3.82"/>
    <col collapsed="false" customWidth="true" hidden="false" outlineLevel="0" max="50" min="50" style="10" width="3.82"/>
    <col collapsed="false" customWidth="true" hidden="false" outlineLevel="0" max="51" min="51" style="0" width="4.32"/>
    <col collapsed="false" customWidth="true" hidden="false" outlineLevel="0" max="52" min="52" style="0" width="6.49"/>
  </cols>
  <sheetData>
    <row r="1" customFormat="false" ht="14.1" hidden="false" customHeight="true" outlineLevel="0" collapsed="false">
      <c r="A1" s="12" t="s">
        <v>102</v>
      </c>
      <c r="B1" s="12"/>
      <c r="D1" s="12"/>
      <c r="F1" s="12"/>
      <c r="G1" s="12"/>
      <c r="I1" s="12"/>
      <c r="J1" s="12"/>
      <c r="K1" s="14" t="s">
        <v>0</v>
      </c>
      <c r="L1" s="12"/>
      <c r="M1" s="12"/>
      <c r="N1" s="12"/>
      <c r="S1" s="12"/>
      <c r="U1" s="12"/>
      <c r="V1" s="12"/>
      <c r="AA1" s="12"/>
      <c r="AB1" s="173"/>
      <c r="AC1" s="12"/>
      <c r="AD1" s="12"/>
      <c r="AE1" s="12"/>
      <c r="AF1" s="12"/>
      <c r="AG1" s="12"/>
      <c r="AI1" s="12"/>
      <c r="AJ1" s="15"/>
      <c r="AK1" s="12"/>
      <c r="AL1" s="12"/>
      <c r="AN1" s="15"/>
      <c r="AO1" s="15"/>
      <c r="AP1" s="15"/>
    </row>
    <row r="2" customFormat="false" ht="14.1" hidden="false" customHeight="true" outlineLevel="0" collapsed="false">
      <c r="A2" s="15" t="s">
        <v>1</v>
      </c>
      <c r="B2" s="12"/>
      <c r="D2" s="16" t="n">
        <v>1.9835</v>
      </c>
      <c r="F2" s="12"/>
      <c r="G2" s="12"/>
      <c r="I2" s="12"/>
      <c r="J2" s="12"/>
      <c r="K2" s="346" t="s">
        <v>118</v>
      </c>
      <c r="L2" s="347"/>
      <c r="M2" s="348"/>
      <c r="N2" s="348"/>
      <c r="O2" s="161"/>
      <c r="P2" s="6"/>
      <c r="Q2" s="161"/>
      <c r="R2" s="161"/>
      <c r="S2" s="348"/>
      <c r="T2" s="6"/>
      <c r="U2" s="348"/>
      <c r="V2" s="348"/>
      <c r="W2" s="343"/>
      <c r="X2" s="343"/>
      <c r="Y2" s="343"/>
      <c r="Z2" s="343"/>
      <c r="AA2" s="348"/>
      <c r="AB2" s="274"/>
      <c r="AC2" s="348"/>
      <c r="AD2" s="348"/>
      <c r="AE2" s="348"/>
      <c r="AF2" s="348"/>
      <c r="AG2" s="348"/>
      <c r="AH2" s="343"/>
      <c r="AI2" s="12"/>
      <c r="AJ2" s="15"/>
      <c r="AK2" s="12"/>
      <c r="AL2" s="12"/>
      <c r="AN2" s="15"/>
      <c r="AO2" s="15"/>
      <c r="AP2" s="15"/>
    </row>
    <row r="3" customFormat="false" ht="14.1" hidden="false" customHeight="true" outlineLevel="0" collapsed="false">
      <c r="A3" s="17"/>
      <c r="B3" s="17"/>
      <c r="C3" s="18"/>
      <c r="D3" s="19"/>
      <c r="E3" s="18"/>
      <c r="F3" s="17"/>
      <c r="G3" s="17"/>
      <c r="H3" s="23"/>
      <c r="I3" s="17"/>
      <c r="J3" s="17"/>
      <c r="K3" s="17"/>
      <c r="L3" s="17"/>
      <c r="M3" s="17"/>
      <c r="N3" s="17"/>
      <c r="O3" s="23"/>
      <c r="P3" s="21"/>
      <c r="Q3" s="23"/>
      <c r="R3" s="23"/>
      <c r="S3" s="17"/>
      <c r="T3" s="21"/>
      <c r="U3" s="17"/>
      <c r="V3" s="17"/>
      <c r="W3" s="18"/>
      <c r="X3" s="18"/>
      <c r="Y3" s="18"/>
      <c r="Z3" s="18"/>
      <c r="AA3" s="17"/>
      <c r="AB3" s="173"/>
      <c r="AC3" s="17"/>
      <c r="AD3" s="17"/>
      <c r="AE3" s="17"/>
      <c r="AF3" s="17"/>
      <c r="AG3" s="17"/>
      <c r="AH3" s="18"/>
      <c r="AI3" s="17"/>
      <c r="AJ3" s="448"/>
      <c r="AK3" s="17"/>
      <c r="AL3" s="17"/>
      <c r="AM3" s="21"/>
      <c r="AN3" s="448"/>
      <c r="AO3" s="448"/>
      <c r="AP3" s="448"/>
      <c r="AV3" s="29"/>
      <c r="AW3" s="24"/>
      <c r="AX3" s="30"/>
    </row>
    <row r="4" s="9" customFormat="true" ht="14.1" hidden="false" customHeight="true" outlineLevel="0" collapsed="false">
      <c r="A4" s="388"/>
      <c r="B4" s="389"/>
      <c r="C4" s="390"/>
      <c r="D4" s="391" t="s">
        <v>3</v>
      </c>
      <c r="E4" s="390"/>
      <c r="F4" s="388"/>
      <c r="G4" s="389"/>
      <c r="H4" s="392"/>
      <c r="I4" s="388"/>
      <c r="J4" s="388"/>
      <c r="K4" s="388"/>
      <c r="L4" s="388"/>
      <c r="M4" s="388"/>
      <c r="N4" s="393"/>
      <c r="O4" s="388"/>
      <c r="P4" s="393"/>
      <c r="Q4" s="388"/>
      <c r="R4" s="388"/>
      <c r="S4" s="388"/>
      <c r="T4" s="393"/>
      <c r="U4" s="395" t="s">
        <v>4</v>
      </c>
      <c r="V4" s="388"/>
      <c r="W4" s="390"/>
      <c r="X4" s="390"/>
      <c r="Y4" s="390"/>
      <c r="Z4" s="390"/>
      <c r="AA4" s="388"/>
      <c r="AB4" s="388"/>
      <c r="AC4" s="388"/>
      <c r="AD4" s="388"/>
      <c r="AE4" s="388"/>
      <c r="AF4" s="388"/>
      <c r="AG4" s="388"/>
      <c r="AH4" s="396"/>
      <c r="AI4" s="388"/>
      <c r="AJ4" s="397"/>
      <c r="AK4" s="388"/>
      <c r="AL4" s="388"/>
      <c r="AM4" s="393"/>
      <c r="AN4" s="449"/>
      <c r="AO4" s="31"/>
      <c r="AP4" s="398" t="s">
        <v>5</v>
      </c>
      <c r="AQ4" s="46"/>
      <c r="AR4" s="450"/>
      <c r="AS4" s="47"/>
      <c r="AT4" s="399"/>
      <c r="AU4" s="399"/>
      <c r="AV4" s="400"/>
      <c r="AW4" s="401" t="s">
        <v>6</v>
      </c>
      <c r="AX4" s="402"/>
      <c r="AY4" s="403"/>
      <c r="AZ4" s="404"/>
    </row>
    <row r="5" s="172" customFormat="true" ht="12.95" hidden="false" customHeight="true" outlineLevel="0" collapsed="false">
      <c r="A5" s="259" t="s">
        <v>7</v>
      </c>
      <c r="B5" s="405" t="s">
        <v>8</v>
      </c>
      <c r="C5" s="59" t="s">
        <v>8</v>
      </c>
      <c r="D5" s="259" t="s">
        <v>9</v>
      </c>
      <c r="E5" s="59" t="s">
        <v>10</v>
      </c>
      <c r="F5" s="259" t="s">
        <v>11</v>
      </c>
      <c r="G5" s="406" t="s">
        <v>12</v>
      </c>
      <c r="H5" s="407" t="s">
        <v>13</v>
      </c>
      <c r="I5" s="408" t="s">
        <v>14</v>
      </c>
      <c r="J5" s="408" t="s">
        <v>15</v>
      </c>
      <c r="K5" s="408" t="s">
        <v>16</v>
      </c>
      <c r="L5" s="259" t="s">
        <v>15</v>
      </c>
      <c r="M5" s="409" t="s">
        <v>17</v>
      </c>
      <c r="N5" s="409"/>
      <c r="O5" s="409"/>
      <c r="P5" s="409"/>
      <c r="Q5" s="409"/>
      <c r="R5" s="409"/>
      <c r="S5" s="409"/>
      <c r="T5" s="409"/>
      <c r="U5" s="259" t="s">
        <v>18</v>
      </c>
      <c r="V5" s="259" t="s">
        <v>19</v>
      </c>
      <c r="W5" s="259" t="s">
        <v>16</v>
      </c>
      <c r="X5" s="259" t="s">
        <v>16</v>
      </c>
      <c r="Y5" s="59" t="s">
        <v>16</v>
      </c>
      <c r="Z5" s="259" t="s">
        <v>16</v>
      </c>
      <c r="AA5" s="59" t="s">
        <v>21</v>
      </c>
      <c r="AB5" s="59" t="s">
        <v>21</v>
      </c>
      <c r="AC5" s="59" t="s">
        <v>22</v>
      </c>
      <c r="AD5" s="59" t="s">
        <v>21</v>
      </c>
      <c r="AE5" s="259" t="s">
        <v>23</v>
      </c>
      <c r="AF5" s="410" t="s">
        <v>115</v>
      </c>
      <c r="AG5" s="411"/>
      <c r="AH5" s="412" t="s">
        <v>25</v>
      </c>
      <c r="AI5" s="59" t="s">
        <v>116</v>
      </c>
      <c r="AJ5" s="59" t="s">
        <v>27</v>
      </c>
      <c r="AK5" s="259" t="s">
        <v>14</v>
      </c>
      <c r="AL5" s="259" t="s">
        <v>15</v>
      </c>
      <c r="AM5" s="259" t="s">
        <v>16</v>
      </c>
      <c r="AN5" s="451" t="s">
        <v>28</v>
      </c>
      <c r="AO5" s="60" t="s">
        <v>21</v>
      </c>
      <c r="AP5" s="66" t="s">
        <v>29</v>
      </c>
      <c r="AQ5" s="66" t="s">
        <v>29</v>
      </c>
      <c r="AR5" s="61" t="s">
        <v>30</v>
      </c>
      <c r="AS5" s="67" t="s">
        <v>31</v>
      </c>
      <c r="AT5" s="413" t="s">
        <v>32</v>
      </c>
      <c r="AU5" s="68" t="s">
        <v>33</v>
      </c>
      <c r="AV5" s="414" t="s">
        <v>34</v>
      </c>
      <c r="AW5" s="412" t="s">
        <v>35</v>
      </c>
      <c r="AX5" s="412" t="s">
        <v>36</v>
      </c>
      <c r="AY5" s="452"/>
      <c r="AZ5" s="71" t="s">
        <v>16</v>
      </c>
    </row>
    <row r="6" s="172" customFormat="true" ht="12.95" hidden="false" customHeight="true" outlineLevel="0" collapsed="false">
      <c r="A6" s="415" t="s">
        <v>119</v>
      </c>
      <c r="B6" s="405" t="s">
        <v>38</v>
      </c>
      <c r="C6" s="59"/>
      <c r="D6" s="259" t="s">
        <v>39</v>
      </c>
      <c r="E6" s="59" t="s">
        <v>40</v>
      </c>
      <c r="F6" s="259" t="s">
        <v>41</v>
      </c>
      <c r="G6" s="406" t="s">
        <v>42</v>
      </c>
      <c r="H6" s="407" t="s">
        <v>43</v>
      </c>
      <c r="I6" s="408" t="s">
        <v>44</v>
      </c>
      <c r="J6" s="408" t="s">
        <v>44</v>
      </c>
      <c r="K6" s="408" t="s">
        <v>44</v>
      </c>
      <c r="L6" s="259" t="s">
        <v>45</v>
      </c>
      <c r="M6" s="416" t="s">
        <v>46</v>
      </c>
      <c r="N6" s="417" t="s">
        <v>47</v>
      </c>
      <c r="O6" s="259" t="s">
        <v>48</v>
      </c>
      <c r="P6" s="417" t="s">
        <v>49</v>
      </c>
      <c r="Q6" s="259" t="s">
        <v>50</v>
      </c>
      <c r="R6" s="259" t="s">
        <v>51</v>
      </c>
      <c r="S6" s="259" t="s">
        <v>52</v>
      </c>
      <c r="T6" s="419" t="s">
        <v>53</v>
      </c>
      <c r="U6" s="259" t="s">
        <v>54</v>
      </c>
      <c r="V6" s="259" t="s">
        <v>55</v>
      </c>
      <c r="W6" s="259" t="s">
        <v>21</v>
      </c>
      <c r="X6" s="259" t="s">
        <v>21</v>
      </c>
      <c r="Y6" s="59" t="s">
        <v>21</v>
      </c>
      <c r="Z6" s="259" t="s">
        <v>21</v>
      </c>
      <c r="AA6" s="59" t="s">
        <v>56</v>
      </c>
      <c r="AB6" s="59" t="s">
        <v>57</v>
      </c>
      <c r="AC6" s="59" t="s">
        <v>58</v>
      </c>
      <c r="AD6" s="59" t="s">
        <v>59</v>
      </c>
      <c r="AE6" s="259" t="s">
        <v>60</v>
      </c>
      <c r="AF6" s="416"/>
      <c r="AG6" s="420"/>
      <c r="AH6" s="412" t="s">
        <v>63</v>
      </c>
      <c r="AI6" s="59" t="s">
        <v>64</v>
      </c>
      <c r="AJ6" s="59"/>
      <c r="AK6" s="259" t="s">
        <v>65</v>
      </c>
      <c r="AL6" s="259" t="s">
        <v>65</v>
      </c>
      <c r="AM6" s="259" t="s">
        <v>65</v>
      </c>
      <c r="AN6" s="451" t="s">
        <v>56</v>
      </c>
      <c r="AO6" s="60" t="s">
        <v>66</v>
      </c>
      <c r="AP6" s="66" t="s">
        <v>67</v>
      </c>
      <c r="AQ6" s="66" t="s">
        <v>67</v>
      </c>
      <c r="AR6" s="61" t="s">
        <v>68</v>
      </c>
      <c r="AS6" s="67" t="s">
        <v>69</v>
      </c>
      <c r="AT6" s="413" t="s">
        <v>70</v>
      </c>
      <c r="AU6" s="68" t="s">
        <v>71</v>
      </c>
      <c r="AV6" s="421"/>
      <c r="AW6" s="412" t="s">
        <v>72</v>
      </c>
      <c r="AX6" s="412" t="s">
        <v>72</v>
      </c>
      <c r="AY6" s="452"/>
      <c r="AZ6" s="71" t="s">
        <v>73</v>
      </c>
    </row>
    <row r="7" s="172" customFormat="true" ht="12.95" hidden="false" customHeight="true" outlineLevel="0" collapsed="false">
      <c r="A7" s="259"/>
      <c r="B7" s="405"/>
      <c r="C7" s="59"/>
      <c r="D7" s="259"/>
      <c r="E7" s="59"/>
      <c r="F7" s="259"/>
      <c r="G7" s="405"/>
      <c r="H7" s="413"/>
      <c r="I7" s="259"/>
      <c r="J7" s="259"/>
      <c r="K7" s="259"/>
      <c r="L7" s="259"/>
      <c r="M7" s="416"/>
      <c r="N7" s="417" t="s">
        <v>74</v>
      </c>
      <c r="O7" s="259" t="s">
        <v>75</v>
      </c>
      <c r="P7" s="417"/>
      <c r="Q7" s="259"/>
      <c r="R7" s="259"/>
      <c r="S7" s="259" t="s">
        <v>48</v>
      </c>
      <c r="T7" s="419" t="s">
        <v>27</v>
      </c>
      <c r="U7" s="259"/>
      <c r="V7" s="259"/>
      <c r="W7" s="59" t="n">
        <v>153400</v>
      </c>
      <c r="X7" s="59" t="s">
        <v>76</v>
      </c>
      <c r="Y7" s="59" t="s">
        <v>76</v>
      </c>
      <c r="Z7" s="59" t="n">
        <v>105500</v>
      </c>
      <c r="AA7" s="59"/>
      <c r="AB7" s="59" t="s">
        <v>77</v>
      </c>
      <c r="AC7" s="59"/>
      <c r="AD7" s="59"/>
      <c r="AE7" s="259"/>
      <c r="AF7" s="422"/>
      <c r="AG7" s="423"/>
      <c r="AH7" s="412"/>
      <c r="AI7" s="59"/>
      <c r="AJ7" s="59"/>
      <c r="AK7" s="259"/>
      <c r="AL7" s="259"/>
      <c r="AM7" s="259"/>
      <c r="AN7" s="451"/>
      <c r="AO7" s="60" t="s">
        <v>41</v>
      </c>
      <c r="AP7" s="66" t="s">
        <v>78</v>
      </c>
      <c r="AQ7" s="66" t="s">
        <v>79</v>
      </c>
      <c r="AR7" s="61" t="s">
        <v>80</v>
      </c>
      <c r="AS7" s="67" t="s">
        <v>81</v>
      </c>
      <c r="AT7" s="413" t="s">
        <v>82</v>
      </c>
      <c r="AU7" s="68" t="s">
        <v>61</v>
      </c>
      <c r="AV7" s="421"/>
      <c r="AW7" s="412"/>
      <c r="AX7" s="412"/>
      <c r="AY7" s="452"/>
      <c r="AZ7" s="71" t="s">
        <v>83</v>
      </c>
    </row>
    <row r="8" s="172" customFormat="true" ht="12.95" hidden="false" customHeight="true" outlineLevel="0" collapsed="false">
      <c r="A8" s="259"/>
      <c r="B8" s="405"/>
      <c r="C8" s="59" t="s">
        <v>9</v>
      </c>
      <c r="D8" s="259"/>
      <c r="E8" s="59" t="s">
        <v>85</v>
      </c>
      <c r="F8" s="259"/>
      <c r="G8" s="405" t="s">
        <v>41</v>
      </c>
      <c r="H8" s="413" t="s">
        <v>41</v>
      </c>
      <c r="I8" s="413" t="s">
        <v>41</v>
      </c>
      <c r="J8" s="413" t="s">
        <v>41</v>
      </c>
      <c r="K8" s="413" t="s">
        <v>41</v>
      </c>
      <c r="L8" s="413" t="s">
        <v>41</v>
      </c>
      <c r="M8" s="413" t="s">
        <v>41</v>
      </c>
      <c r="N8" s="413" t="s">
        <v>41</v>
      </c>
      <c r="O8" s="413" t="s">
        <v>41</v>
      </c>
      <c r="P8" s="413" t="s">
        <v>41</v>
      </c>
      <c r="Q8" s="413" t="s">
        <v>41</v>
      </c>
      <c r="R8" s="413" t="s">
        <v>41</v>
      </c>
      <c r="S8" s="259" t="s">
        <v>62</v>
      </c>
      <c r="T8" s="413" t="s">
        <v>41</v>
      </c>
      <c r="U8" s="413" t="s">
        <v>41</v>
      </c>
      <c r="V8" s="413" t="s">
        <v>41</v>
      </c>
      <c r="W8" s="413" t="s">
        <v>41</v>
      </c>
      <c r="X8" s="59" t="n">
        <v>150400</v>
      </c>
      <c r="Y8" s="59" t="n">
        <v>150400</v>
      </c>
      <c r="Z8" s="259" t="s">
        <v>85</v>
      </c>
      <c r="AA8" s="413" t="s">
        <v>41</v>
      </c>
      <c r="AB8" s="412" t="n">
        <v>72000</v>
      </c>
      <c r="AC8" s="413" t="s">
        <v>41</v>
      </c>
      <c r="AD8" s="413" t="s">
        <v>41</v>
      </c>
      <c r="AE8" s="413" t="s">
        <v>41</v>
      </c>
      <c r="AF8" s="424" t="s">
        <v>41</v>
      </c>
      <c r="AG8" s="425" t="s">
        <v>41</v>
      </c>
      <c r="AH8" s="413" t="s">
        <v>41</v>
      </c>
      <c r="AI8" s="413" t="s">
        <v>41</v>
      </c>
      <c r="AJ8" s="413" t="s">
        <v>41</v>
      </c>
      <c r="AK8" s="413" t="s">
        <v>41</v>
      </c>
      <c r="AL8" s="413" t="s">
        <v>41</v>
      </c>
      <c r="AM8" s="413" t="s">
        <v>41</v>
      </c>
      <c r="AN8" s="451" t="s">
        <v>85</v>
      </c>
      <c r="AO8" s="60" t="s">
        <v>41</v>
      </c>
      <c r="AP8" s="60" t="s">
        <v>41</v>
      </c>
      <c r="AQ8" s="66" t="s">
        <v>87</v>
      </c>
      <c r="AR8" s="61" t="s">
        <v>41</v>
      </c>
      <c r="AS8" s="60" t="s">
        <v>41</v>
      </c>
      <c r="AT8" s="60" t="s">
        <v>41</v>
      </c>
      <c r="AU8" s="60" t="s">
        <v>41</v>
      </c>
      <c r="AV8" s="421"/>
      <c r="AW8" s="412"/>
      <c r="AX8" s="412"/>
      <c r="AY8" s="303"/>
      <c r="AZ8" s="71" t="s">
        <v>88</v>
      </c>
    </row>
    <row r="9" s="172" customFormat="true" ht="12.95" hidden="false" customHeight="true" outlineLevel="0" collapsed="false">
      <c r="A9" s="259"/>
      <c r="B9" s="405"/>
      <c r="C9" s="59"/>
      <c r="D9" s="259"/>
      <c r="E9" s="59"/>
      <c r="F9" s="259"/>
      <c r="G9" s="405"/>
      <c r="H9" s="413"/>
      <c r="I9" s="259"/>
      <c r="J9" s="259"/>
      <c r="K9" s="259"/>
      <c r="L9" s="259"/>
      <c r="M9" s="416"/>
      <c r="N9" s="417" t="n">
        <v>1.03</v>
      </c>
      <c r="O9" s="418" t="n">
        <v>1.05</v>
      </c>
      <c r="P9" s="417" t="n">
        <v>1.02</v>
      </c>
      <c r="Q9" s="418" t="n">
        <v>1.02</v>
      </c>
      <c r="R9" s="418" t="n">
        <v>1.04</v>
      </c>
      <c r="S9" s="413" t="s">
        <v>41</v>
      </c>
      <c r="T9" s="419"/>
      <c r="U9" s="259"/>
      <c r="V9" s="259"/>
      <c r="W9" s="259"/>
      <c r="X9" s="413" t="s">
        <v>41</v>
      </c>
      <c r="Y9" s="59" t="s">
        <v>85</v>
      </c>
      <c r="Z9" s="259"/>
      <c r="AA9" s="59"/>
      <c r="AB9" s="259" t="s">
        <v>85</v>
      </c>
      <c r="AC9" s="59"/>
      <c r="AD9" s="59"/>
      <c r="AE9" s="259"/>
      <c r="AF9" s="422"/>
      <c r="AG9" s="423"/>
      <c r="AH9" s="412"/>
      <c r="AI9" s="59"/>
      <c r="AJ9" s="59"/>
      <c r="AK9" s="259"/>
      <c r="AL9" s="259"/>
      <c r="AM9" s="259"/>
      <c r="AN9" s="451"/>
      <c r="AO9" s="60"/>
      <c r="AP9" s="66"/>
      <c r="AQ9" s="66"/>
      <c r="AR9" s="61"/>
      <c r="AS9" s="84"/>
      <c r="AT9" s="330"/>
      <c r="AU9" s="169"/>
      <c r="AV9" s="421"/>
      <c r="AW9" s="412"/>
      <c r="AX9" s="412"/>
      <c r="AY9" s="303"/>
      <c r="AZ9" s="71" t="s">
        <v>41</v>
      </c>
    </row>
    <row r="10" customFormat="false" ht="12.95" hidden="false" customHeight="true" outlineLevel="0" collapsed="false">
      <c r="A10" s="12" t="s">
        <v>89</v>
      </c>
      <c r="B10" s="354"/>
      <c r="C10" s="91"/>
      <c r="D10" s="91"/>
      <c r="E10" s="91"/>
      <c r="F10" s="91" t="n">
        <f aca="false">MAY!F48</f>
        <v>49479.7075875977</v>
      </c>
      <c r="G10" s="91" t="n">
        <f aca="false">MAY!G48</f>
        <v>90778</v>
      </c>
      <c r="H10" s="91" t="n">
        <f aca="false">MAY!H48</f>
        <v>4326.36</v>
      </c>
      <c r="I10" s="91" t="n">
        <f aca="false">MAY!I48</f>
        <v>95104.36</v>
      </c>
      <c r="J10" s="91" t="n">
        <f aca="false">MAY!J48</f>
        <v>8910.18882782959</v>
      </c>
      <c r="K10" s="91" t="n">
        <f aca="false">MAY!K48</f>
        <v>104014.54882783</v>
      </c>
      <c r="L10" s="91" t="n">
        <f aca="false">MAY!L48</f>
        <v>8329.94758759768</v>
      </c>
      <c r="M10" s="91" t="n">
        <f aca="false">MAY!M48</f>
        <v>12451.5</v>
      </c>
      <c r="N10" s="91" t="n">
        <f aca="false">MAY!N48</f>
        <v>114.972617</v>
      </c>
      <c r="O10" s="91" t="n">
        <f aca="false">MAY!O48</f>
        <v>4150.7697</v>
      </c>
      <c r="P10" s="312" t="n">
        <f aca="false">MAY!P48</f>
        <v>7.365</v>
      </c>
      <c r="Q10" s="143"/>
      <c r="R10" s="143"/>
      <c r="S10" s="91"/>
      <c r="T10" s="356"/>
      <c r="U10" s="91" t="n">
        <f aca="false">MAY!U48</f>
        <v>5019.3</v>
      </c>
      <c r="V10" s="91" t="n">
        <f aca="false">MAY!V48</f>
        <v>2835</v>
      </c>
      <c r="W10" s="91" t="n">
        <f aca="false">MAY!W48</f>
        <v>15259.234768</v>
      </c>
      <c r="X10" s="91" t="n">
        <f aca="false">MAY!X48</f>
        <v>14452.101423</v>
      </c>
      <c r="Y10" s="91"/>
      <c r="Z10" s="91"/>
      <c r="AA10" s="91" t="n">
        <f aca="false">MAY!AA48</f>
        <v>0</v>
      </c>
      <c r="AB10" s="104" t="n">
        <f aca="false">MAY!AB43</f>
        <v>26471.2921348855</v>
      </c>
      <c r="AC10" s="91" t="n">
        <f aca="false">MAY!AC48</f>
        <v>1636.56050315556</v>
      </c>
      <c r="AD10" s="79"/>
      <c r="AE10" s="91" t="n">
        <f aca="false">MAY!AE48</f>
        <v>5676.8</v>
      </c>
      <c r="AF10" s="95" t="n">
        <f aca="false">MAY!AF48</f>
        <v>103.7</v>
      </c>
      <c r="AG10" s="96" t="n">
        <f aca="false">MAY!AG48</f>
        <v>79.3</v>
      </c>
      <c r="AH10" s="79"/>
      <c r="AI10" s="79"/>
      <c r="AJ10" s="91" t="n">
        <f aca="false">MAY!AJ48</f>
        <v>25681</v>
      </c>
      <c r="AK10" s="91" t="n">
        <f aca="false">MAY!AK48</f>
        <v>53954.6</v>
      </c>
      <c r="AL10" s="91" t="n">
        <f aca="false">MAY!AL48</f>
        <v>580.241240231914</v>
      </c>
      <c r="AM10" s="91" t="n">
        <f aca="false">MAY!AM48</f>
        <v>54534.8412402319</v>
      </c>
      <c r="AN10" s="453"/>
      <c r="AO10" s="94"/>
      <c r="AP10" s="79"/>
      <c r="AQ10" s="91" t="n">
        <f aca="false">MAY!AQ49</f>
        <v>159.884626300907</v>
      </c>
      <c r="AR10" s="143"/>
      <c r="AS10" s="312" t="n">
        <f aca="false">MAY!AS48</f>
        <v>0</v>
      </c>
      <c r="AT10" s="91" t="n">
        <f aca="false">MAY!AT48</f>
        <v>411.411015</v>
      </c>
      <c r="AU10" s="454"/>
      <c r="AV10" s="455"/>
      <c r="AW10" s="100"/>
      <c r="AX10" s="100"/>
      <c r="AY10" s="300"/>
      <c r="AZ10" s="359"/>
    </row>
    <row r="11" s="106" customFormat="true" ht="12.95" hidden="false" customHeight="true" outlineLevel="0" collapsed="false">
      <c r="A11" s="2" t="s">
        <v>90</v>
      </c>
      <c r="B11" s="129" t="n">
        <f aca="false">MAY!B43</f>
        <v>6924.06</v>
      </c>
      <c r="C11" s="91" t="n">
        <f aca="false">MAY!C43</f>
        <v>381429</v>
      </c>
      <c r="D11" s="91" t="n">
        <f aca="false">MAY!D52</f>
        <v>96628</v>
      </c>
      <c r="E11" s="91" t="n">
        <f aca="false">MAY!E52</f>
        <v>229429</v>
      </c>
      <c r="F11" s="91" t="n">
        <f aca="false">MAY!F51</f>
        <v>48715.9062263675</v>
      </c>
      <c r="G11" s="91" t="n">
        <f aca="false">MAY!G51</f>
        <v>101778</v>
      </c>
      <c r="H11" s="91" t="n">
        <f aca="false">MAY!H51</f>
        <v>4866.49</v>
      </c>
      <c r="I11" s="91" t="n">
        <f aca="false">MAY!I51</f>
        <v>106644.49</v>
      </c>
      <c r="J11" s="91" t="n">
        <f aca="false">MAY!J51</f>
        <v>12216.3227123771</v>
      </c>
      <c r="K11" s="91" t="n">
        <f aca="false">MAY!K51</f>
        <v>118860.812712377</v>
      </c>
      <c r="L11" s="91" t="n">
        <f aca="false">MAY!L51</f>
        <v>10701.9162263675</v>
      </c>
      <c r="M11" s="91" t="n">
        <f aca="false">MAY!M51</f>
        <v>13370.1</v>
      </c>
      <c r="N11" s="91" t="n">
        <f aca="false">MAY!N51</f>
        <v>114.972617</v>
      </c>
      <c r="O11" s="91" t="n">
        <f aca="false">MAY!O51</f>
        <v>4150.7697</v>
      </c>
      <c r="P11" s="312"/>
      <c r="Q11" s="91" t="n">
        <f aca="false">MAY!Q51</f>
        <v>356.61852</v>
      </c>
      <c r="R11" s="91" t="n">
        <f aca="false">MAY!R51</f>
        <v>600.85</v>
      </c>
      <c r="S11" s="91" t="n">
        <f aca="false">MAY!S51</f>
        <v>70.24</v>
      </c>
      <c r="T11" s="379" t="n">
        <f aca="false">MAY!T51</f>
        <v>-71.5154</v>
      </c>
      <c r="U11" s="91" t="n">
        <f aca="false">MAY!U51</f>
        <v>12449.3</v>
      </c>
      <c r="V11" s="91" t="n">
        <f aca="false">MAY!V51</f>
        <v>2911.3</v>
      </c>
      <c r="W11" s="91" t="n">
        <f aca="false">MAY!W51</f>
        <v>23089.988548</v>
      </c>
      <c r="X11" s="91" t="n">
        <f aca="false">MAY!X51</f>
        <v>21829.586403</v>
      </c>
      <c r="Y11" s="91" t="n">
        <f aca="false">MAY!Y43</f>
        <v>43298.9846303505</v>
      </c>
      <c r="Z11" s="91" t="n">
        <f aca="false">MAY!Z43</f>
        <v>30367.0212207525</v>
      </c>
      <c r="AA11" s="79"/>
      <c r="AB11" s="104"/>
      <c r="AC11" s="79"/>
      <c r="AD11" s="79"/>
      <c r="AE11" s="91"/>
      <c r="AF11" s="362"/>
      <c r="AG11" s="361"/>
      <c r="AH11" s="91" t="n">
        <f aca="false">MAY!AH51</f>
        <v>34223</v>
      </c>
      <c r="AI11" s="91" t="n">
        <f aca="false">MAY!AI51</f>
        <v>13740.2578774893</v>
      </c>
      <c r="AJ11" s="91" t="n">
        <f aca="false">MAY!AJ51</f>
        <v>25681</v>
      </c>
      <c r="AK11" s="91" t="n">
        <f aca="false">MAY!AK51</f>
        <v>68630.5</v>
      </c>
      <c r="AL11" s="91" t="n">
        <f aca="false">MAY!AL51</f>
        <v>1514.40648600958</v>
      </c>
      <c r="AM11" s="91" t="n">
        <f aca="false">MAY!AM51</f>
        <v>70144.9064860096</v>
      </c>
      <c r="AN11" s="357" t="n">
        <f aca="false">MAY!AN52</f>
        <v>14570.652155</v>
      </c>
      <c r="AO11" s="91" t="n">
        <f aca="false">MAY!AO51</f>
        <v>1260.402145</v>
      </c>
      <c r="AP11" s="131"/>
      <c r="AQ11" s="91" t="n">
        <f aca="false">MAY!AQ52</f>
        <v>159.884626300907</v>
      </c>
      <c r="AR11" s="143"/>
      <c r="AS11" s="312" t="n">
        <f aca="false">MAY!AS51</f>
        <v>0</v>
      </c>
      <c r="AT11" s="91" t="n">
        <f aca="false">MAY!AT51</f>
        <v>0</v>
      </c>
      <c r="AU11" s="456"/>
      <c r="AV11" s="129" t="n">
        <f aca="false">MAY!AV51</f>
        <v>5.92</v>
      </c>
      <c r="AW11" s="100"/>
      <c r="AX11" s="100"/>
      <c r="AY11" s="363"/>
      <c r="AZ11" s="377" t="n">
        <f aca="false">MAY!AZ51</f>
        <v>1078.530737</v>
      </c>
    </row>
    <row r="12" customFormat="false" ht="3" hidden="false" customHeight="true" outlineLevel="0" collapsed="false">
      <c r="A12" s="107"/>
      <c r="B12" s="364"/>
      <c r="C12" s="118"/>
      <c r="D12" s="114"/>
      <c r="E12" s="118"/>
      <c r="F12" s="365"/>
      <c r="G12" s="114"/>
      <c r="H12" s="116"/>
      <c r="I12" s="114"/>
      <c r="J12" s="114"/>
      <c r="K12" s="114"/>
      <c r="L12" s="114"/>
      <c r="M12" s="119"/>
      <c r="N12" s="114"/>
      <c r="O12" s="116" t="n">
        <v>0</v>
      </c>
      <c r="P12" s="366"/>
      <c r="Q12" s="116"/>
      <c r="R12" s="116"/>
      <c r="S12" s="114"/>
      <c r="T12" s="367"/>
      <c r="U12" s="114"/>
      <c r="V12" s="114" t="n">
        <v>0</v>
      </c>
      <c r="W12" s="114"/>
      <c r="X12" s="114"/>
      <c r="Y12" s="118"/>
      <c r="Z12" s="114"/>
      <c r="AA12" s="118"/>
      <c r="AB12" s="216"/>
      <c r="AC12" s="118"/>
      <c r="AD12" s="118"/>
      <c r="AE12" s="114"/>
      <c r="AF12" s="119"/>
      <c r="AG12" s="120"/>
      <c r="AH12" s="114"/>
      <c r="AI12" s="118"/>
      <c r="AJ12" s="118"/>
      <c r="AK12" s="114"/>
      <c r="AL12" s="114"/>
      <c r="AM12" s="114"/>
      <c r="AN12" s="457"/>
      <c r="AO12" s="117"/>
      <c r="AP12" s="117"/>
      <c r="AQ12" s="221"/>
      <c r="AR12" s="224"/>
      <c r="AS12" s="221"/>
      <c r="AT12" s="223"/>
      <c r="AU12" s="224"/>
      <c r="AV12" s="123"/>
      <c r="AW12" s="117"/>
      <c r="AX12" s="117"/>
      <c r="AY12" s="368"/>
      <c r="AZ12" s="369"/>
    </row>
    <row r="13" customFormat="false" ht="12.95" hidden="false" customHeight="true" outlineLevel="0" collapsed="false">
      <c r="A13" s="10" t="n">
        <v>1</v>
      </c>
      <c r="B13" s="360" t="n">
        <v>6924.06</v>
      </c>
      <c r="C13" s="91" t="n">
        <v>381429</v>
      </c>
      <c r="D13" s="100" t="n">
        <f aca="false">C13-C11</f>
        <v>0</v>
      </c>
      <c r="E13" s="91" t="n">
        <f aca="false">C13-152000</f>
        <v>229429</v>
      </c>
      <c r="F13" s="370" t="n">
        <f aca="false">D13/$D$2</f>
        <v>0</v>
      </c>
      <c r="G13" s="131" t="n">
        <v>981</v>
      </c>
      <c r="H13" s="93" t="n">
        <v>0.35</v>
      </c>
      <c r="I13" s="131" t="n">
        <f aca="false">G13+H13</f>
        <v>981.35</v>
      </c>
      <c r="J13" s="371" t="n">
        <f aca="false">IF(L13&gt;0,L13,0)</f>
        <v>128.65</v>
      </c>
      <c r="K13" s="131" t="n">
        <f aca="false">I13+J13</f>
        <v>1110</v>
      </c>
      <c r="L13" s="131" t="n">
        <f aca="false">F13-(I13-AK13)</f>
        <v>128.65</v>
      </c>
      <c r="M13" s="135" t="n">
        <v>280</v>
      </c>
      <c r="N13" s="199" t="n">
        <f aca="false">1.8299*1.03</f>
        <v>1.884797</v>
      </c>
      <c r="O13" s="133" t="n">
        <f aca="false">(26+29)*1.05</f>
        <v>57.75</v>
      </c>
      <c r="P13" s="199" t="n">
        <v>0</v>
      </c>
      <c r="Q13" s="199" t="n">
        <f aca="false">2.51*1.02</f>
        <v>2.5602</v>
      </c>
      <c r="R13" s="199" t="n">
        <v>4.2</v>
      </c>
      <c r="S13" s="312" t="n">
        <v>3.43</v>
      </c>
      <c r="T13" s="356" t="n">
        <v>0</v>
      </c>
      <c r="U13" s="131" t="n">
        <v>420</v>
      </c>
      <c r="V13" s="131" t="n">
        <v>68</v>
      </c>
      <c r="W13" s="132" t="n">
        <f aca="false">M13-N13-O13-P13-Q13-R13-S13-T13+U13+V13-AT13+AR13</f>
        <v>698.175003</v>
      </c>
      <c r="X13" s="132" t="n">
        <f aca="false">W13-AO13</f>
        <v>698.175003</v>
      </c>
      <c r="Y13" s="104" t="n">
        <f aca="false">Y11+(X13*1.9835)</f>
        <v>44683.814748801</v>
      </c>
      <c r="Z13" s="104" t="n">
        <f aca="false">Z11+X13*(26300/37500)*1.9835</f>
        <v>31338.2487438258</v>
      </c>
      <c r="AA13" s="104" t="n">
        <v>0</v>
      </c>
      <c r="AB13" s="104" t="n">
        <f aca="false">AB10+(AP13+X13)*1.9835</f>
        <v>27856.122253336</v>
      </c>
      <c r="AC13" s="104" t="n">
        <f aca="false">AC10-(AQ12/1.9835)</f>
        <v>1636.56050315556</v>
      </c>
      <c r="AD13" s="79"/>
      <c r="AE13" s="131" t="n">
        <v>230</v>
      </c>
      <c r="AF13" s="135" t="n">
        <v>1.7</v>
      </c>
      <c r="AG13" s="136" t="n">
        <v>1.3</v>
      </c>
      <c r="AH13" s="458" t="n">
        <v>112</v>
      </c>
      <c r="AI13" s="459" t="n">
        <f aca="false">AI11</f>
        <v>13740.2578774893</v>
      </c>
      <c r="AJ13" s="433" t="n">
        <f aca="false">AH13</f>
        <v>112</v>
      </c>
      <c r="AK13" s="131" t="n">
        <f aca="false">N13+O13+P13+Q13+R13+S13+T13+W13+AE13+AH13</f>
        <v>1110</v>
      </c>
      <c r="AL13" s="131" t="n">
        <f aca="false">IF(L13&lt;0,L13*-1,0)</f>
        <v>0</v>
      </c>
      <c r="AM13" s="131" t="n">
        <f aca="false">AK13+AL13</f>
        <v>1110</v>
      </c>
      <c r="AN13" s="453" t="n">
        <f aca="false">AN11</f>
        <v>14570.652155</v>
      </c>
      <c r="AO13" s="94"/>
      <c r="AP13" s="94" t="n">
        <v>0</v>
      </c>
      <c r="AQ13" s="199" t="n">
        <f aca="false">64*(AA10*1.9835+AC13*1.9835+AP13*1.9835)/E13</f>
        <v>0.905515590934797</v>
      </c>
      <c r="AR13" s="133"/>
      <c r="AS13" s="358"/>
      <c r="AT13" s="12"/>
      <c r="AV13" s="99" t="n">
        <v>0</v>
      </c>
      <c r="AW13" s="100" t="n">
        <v>71</v>
      </c>
      <c r="AX13" s="100" t="n">
        <v>43</v>
      </c>
      <c r="AY13" s="300"/>
      <c r="AZ13" s="233" t="n">
        <f aca="false">SUM(N13,P13:T13)</f>
        <v>12.074997</v>
      </c>
    </row>
    <row r="14" customFormat="false" ht="12.95" hidden="false" customHeight="true" outlineLevel="0" collapsed="false">
      <c r="A14" s="10" t="n">
        <f aca="false">A13+1</f>
        <v>2</v>
      </c>
      <c r="B14" s="360" t="n">
        <v>6924.01</v>
      </c>
      <c r="C14" s="91" t="n">
        <v>381205</v>
      </c>
      <c r="D14" s="100" t="n">
        <f aca="false">C14-C13</f>
        <v>-224</v>
      </c>
      <c r="E14" s="91" t="n">
        <f aca="false">C14-152000</f>
        <v>229205</v>
      </c>
      <c r="F14" s="370" t="n">
        <f aca="false">D14/$D$2</f>
        <v>-112.931686412906</v>
      </c>
      <c r="G14" s="131" t="n">
        <v>900</v>
      </c>
      <c r="H14" s="93" t="n">
        <v>0.25</v>
      </c>
      <c r="I14" s="131" t="n">
        <f aca="false">G14+H14</f>
        <v>900.25</v>
      </c>
      <c r="J14" s="371" t="n">
        <f aca="false">IF(L14&gt;0,L14,0)</f>
        <v>60.8183135870935</v>
      </c>
      <c r="K14" s="131" t="n">
        <f aca="false">I14+J14</f>
        <v>961.068313587094</v>
      </c>
      <c r="L14" s="131" t="n">
        <f aca="false">F14-(I14-AK14)</f>
        <v>60.8183135870935</v>
      </c>
      <c r="M14" s="135" t="n">
        <v>292</v>
      </c>
      <c r="N14" s="199" t="n">
        <f aca="false">1.8299*1.03</f>
        <v>1.884797</v>
      </c>
      <c r="O14" s="372" t="n">
        <f aca="false">(34+34)*1.05</f>
        <v>71.4</v>
      </c>
      <c r="P14" s="199" t="n">
        <v>0</v>
      </c>
      <c r="Q14" s="199" t="n">
        <f aca="false">2.51*1.02</f>
        <v>2.5602</v>
      </c>
      <c r="R14" s="199" t="n">
        <v>4.2</v>
      </c>
      <c r="S14" s="312" t="n">
        <v>3.25</v>
      </c>
      <c r="T14" s="356" t="n">
        <v>0</v>
      </c>
      <c r="U14" s="131" t="n">
        <v>422</v>
      </c>
      <c r="V14" s="131" t="n">
        <v>68</v>
      </c>
      <c r="W14" s="132" t="n">
        <f aca="false">M14-N14-O14-P14-Q14-R14-S14-T14+U14+V14-AT14+AR14</f>
        <v>698.705003</v>
      </c>
      <c r="X14" s="132" t="n">
        <f aca="false">W14-AO14</f>
        <v>698.705003</v>
      </c>
      <c r="Y14" s="104" t="n">
        <f aca="false">Y13+(X14*1.9835)</f>
        <v>46069.6961222515</v>
      </c>
      <c r="Z14" s="104" t="n">
        <f aca="false">Z13+X14*(26300/37500)*1.9835</f>
        <v>32310.2135470724</v>
      </c>
      <c r="AA14" s="104" t="n">
        <f aca="false">AP14</f>
        <v>96.294997</v>
      </c>
      <c r="AB14" s="104" t="n">
        <f aca="false">AB13+(AP14+X14)*1.9835</f>
        <v>29433.004753336</v>
      </c>
      <c r="AC14" s="104" t="n">
        <f aca="false">AC13-(AQ13/1.9835)</f>
        <v>1636.10397903611</v>
      </c>
      <c r="AD14" s="104"/>
      <c r="AE14" s="131" t="n">
        <v>213</v>
      </c>
      <c r="AF14" s="135" t="n">
        <v>1.7</v>
      </c>
      <c r="AG14" s="136" t="n">
        <v>1.3</v>
      </c>
      <c r="AH14" s="460" t="n">
        <v>79</v>
      </c>
      <c r="AI14" s="459" t="n">
        <f aca="false">AI13-AH14</f>
        <v>13661.2578774893</v>
      </c>
      <c r="AJ14" s="79" t="n">
        <v>0</v>
      </c>
      <c r="AK14" s="131" t="n">
        <f aca="false">N14+O14+P14+Q14+R14+S14+T14+W14+AE14+AH14</f>
        <v>1074</v>
      </c>
      <c r="AL14" s="131" t="n">
        <f aca="false">IF(L14&lt;0,L14*-1,0)</f>
        <v>0</v>
      </c>
      <c r="AM14" s="131" t="n">
        <f aca="false">AK14+AL14</f>
        <v>1074</v>
      </c>
      <c r="AN14" s="453" t="n">
        <f aca="false">AN13</f>
        <v>14570.652155</v>
      </c>
      <c r="AO14" s="94"/>
      <c r="AP14" s="94" t="n">
        <f aca="false">795-W14</f>
        <v>96.294997</v>
      </c>
      <c r="AQ14" s="199" t="n">
        <f aca="false">64*(AA13*1.9835+AC14*1.9835+AP14*1.9835)/E14</f>
        <v>0.959480184175422</v>
      </c>
      <c r="AR14" s="133"/>
      <c r="AS14" s="358"/>
      <c r="AT14" s="12"/>
      <c r="AV14" s="99" t="n">
        <v>0</v>
      </c>
      <c r="AW14" s="100" t="n">
        <v>73</v>
      </c>
      <c r="AX14" s="100" t="n">
        <v>49</v>
      </c>
      <c r="AY14" s="300"/>
      <c r="AZ14" s="233" t="n">
        <f aca="false">SUM(N14,P14:T14)</f>
        <v>11.894997</v>
      </c>
    </row>
    <row r="15" customFormat="false" ht="12.95" hidden="false" customHeight="true" outlineLevel="0" collapsed="false">
      <c r="A15" s="10" t="n">
        <f aca="false">A14+1</f>
        <v>3</v>
      </c>
      <c r="B15" s="360" t="n">
        <v>6923.94</v>
      </c>
      <c r="C15" s="91" t="n">
        <v>380893</v>
      </c>
      <c r="D15" s="100" t="n">
        <f aca="false">C15-C14</f>
        <v>-312</v>
      </c>
      <c r="E15" s="91" t="n">
        <f aca="false">C15-152000</f>
        <v>228893</v>
      </c>
      <c r="F15" s="370" t="n">
        <f aca="false">D15/$D$2</f>
        <v>-157.29770607512</v>
      </c>
      <c r="G15" s="131" t="n">
        <v>921</v>
      </c>
      <c r="H15" s="93" t="n">
        <v>0.12</v>
      </c>
      <c r="I15" s="131" t="n">
        <f aca="false">G15+H15</f>
        <v>921.12</v>
      </c>
      <c r="J15" s="371" t="n">
        <f aca="false">IF(L15&gt;0,L15,0)</f>
        <v>0</v>
      </c>
      <c r="K15" s="131" t="n">
        <f aca="false">I15+J15</f>
        <v>921.12</v>
      </c>
      <c r="L15" s="131" t="n">
        <f aca="false">F15-(I15-AK15)</f>
        <v>-98.4177060751198</v>
      </c>
      <c r="M15" s="135" t="n">
        <v>273</v>
      </c>
      <c r="N15" s="199" t="n">
        <f aca="false">1.8299*1.03</f>
        <v>1.884797</v>
      </c>
      <c r="O15" s="143" t="n">
        <f aca="false">(28+27)*1.05</f>
        <v>57.75</v>
      </c>
      <c r="P15" s="312" t="n">
        <v>0</v>
      </c>
      <c r="Q15" s="199" t="n">
        <f aca="false">2.51*1.02</f>
        <v>2.5602</v>
      </c>
      <c r="R15" s="199" t="n">
        <v>4.2</v>
      </c>
      <c r="S15" s="312" t="n">
        <v>2.57</v>
      </c>
      <c r="T15" s="356" t="n">
        <v>0</v>
      </c>
      <c r="U15" s="131" t="n">
        <v>342</v>
      </c>
      <c r="V15" s="131" t="n">
        <v>68</v>
      </c>
      <c r="W15" s="132" t="n">
        <f aca="false">M15-N15-O15-P15-Q15-R15-S15-T15+U15+V15-AT15+AR15</f>
        <v>614.035003</v>
      </c>
      <c r="X15" s="132" t="n">
        <f aca="false">W15-AO15</f>
        <v>614.035003</v>
      </c>
      <c r="Y15" s="104" t="n">
        <f aca="false">Y14+(X15*1.9835)</f>
        <v>47287.634550702</v>
      </c>
      <c r="Z15" s="104" t="n">
        <f aca="false">Z14+X15*(26300/37500)*1.9835</f>
        <v>33164.3943648923</v>
      </c>
      <c r="AA15" s="104" t="n">
        <f aca="false">AA14+AP15</f>
        <v>277.259994</v>
      </c>
      <c r="AB15" s="104" t="n">
        <f aca="false">AB14+(AP15+X15)*1.9835</f>
        <v>31009.887253336</v>
      </c>
      <c r="AC15" s="104" t="n">
        <f aca="false">AC14-(AQ14/1.9835)</f>
        <v>1635.62024816433</v>
      </c>
      <c r="AD15" s="104"/>
      <c r="AE15" s="131" t="n">
        <v>219</v>
      </c>
      <c r="AF15" s="135" t="n">
        <v>1.7</v>
      </c>
      <c r="AG15" s="136" t="n">
        <v>1.3</v>
      </c>
      <c r="AH15" s="460" t="n">
        <v>78</v>
      </c>
      <c r="AI15" s="459" t="n">
        <f aca="false">AI14-AH15</f>
        <v>13583.2578774893</v>
      </c>
      <c r="AJ15" s="79" t="n">
        <v>0</v>
      </c>
      <c r="AK15" s="131" t="n">
        <f aca="false">N15+O15+P15+Q15+R15+S15+T15+W15+AE15+AH15</f>
        <v>980</v>
      </c>
      <c r="AL15" s="131" t="n">
        <f aca="false">IF(L15&lt;0,L15*-1,0)</f>
        <v>98.4177060751198</v>
      </c>
      <c r="AM15" s="131" t="n">
        <f aca="false">AK15+AL15</f>
        <v>1078.41770607512</v>
      </c>
      <c r="AN15" s="453" t="n">
        <f aca="false">AN14</f>
        <v>14570.652155</v>
      </c>
      <c r="AO15" s="94"/>
      <c r="AP15" s="94" t="n">
        <f aca="false">795-W15</f>
        <v>180.964997</v>
      </c>
      <c r="AQ15" s="199" t="n">
        <f aca="false">64*(AA14*1.9835+AC15*1.9835+AP15*1.9835)/E15</f>
        <v>1.06088289926432</v>
      </c>
      <c r="AR15" s="133"/>
      <c r="AS15" s="358"/>
      <c r="AT15" s="12"/>
      <c r="AU15" s="0"/>
      <c r="AV15" s="99" t="n">
        <v>0</v>
      </c>
      <c r="AW15" s="100" t="n">
        <v>76</v>
      </c>
      <c r="AX15" s="100" t="n">
        <v>47</v>
      </c>
      <c r="AY15" s="300"/>
      <c r="AZ15" s="233" t="n">
        <f aca="false">SUM(N15,P15:T15)</f>
        <v>11.214997</v>
      </c>
    </row>
    <row r="16" customFormat="false" ht="12.95" hidden="false" customHeight="true" outlineLevel="0" collapsed="false">
      <c r="A16" s="10" t="n">
        <f aca="false">A15+1</f>
        <v>4</v>
      </c>
      <c r="B16" s="360" t="n">
        <v>6924.03</v>
      </c>
      <c r="C16" s="91" t="n">
        <v>381294</v>
      </c>
      <c r="D16" s="100" t="n">
        <f aca="false">C16-C15</f>
        <v>401</v>
      </c>
      <c r="E16" s="91" t="n">
        <f aca="false">C16-152000</f>
        <v>229294</v>
      </c>
      <c r="F16" s="370" t="n">
        <f aca="false">D16/$D$2</f>
        <v>202.167885051676</v>
      </c>
      <c r="G16" s="131" t="n">
        <v>854</v>
      </c>
      <c r="H16" s="93" t="n">
        <v>0.07</v>
      </c>
      <c r="I16" s="131" t="n">
        <f aca="false">G16+H16</f>
        <v>854.07</v>
      </c>
      <c r="J16" s="371" t="n">
        <f aca="false">IF(L16&gt;0,L16,0)</f>
        <v>153.097885051676</v>
      </c>
      <c r="K16" s="131" t="n">
        <f aca="false">I16+J16</f>
        <v>1007.16788505168</v>
      </c>
      <c r="L16" s="131" t="n">
        <f aca="false">F16-(I16-AK16)</f>
        <v>153.097885051676</v>
      </c>
      <c r="M16" s="135" t="n">
        <v>264</v>
      </c>
      <c r="N16" s="199" t="n">
        <f aca="false">1.8299*1.03</f>
        <v>1.884797</v>
      </c>
      <c r="O16" s="143" t="n">
        <f aca="false">(26+25)*1.05</f>
        <v>53.55</v>
      </c>
      <c r="P16" s="312" t="n">
        <v>0</v>
      </c>
      <c r="Q16" s="199" t="n">
        <f aca="false">2.51*1.02</f>
        <v>2.5602</v>
      </c>
      <c r="R16" s="199" t="n">
        <v>4.2</v>
      </c>
      <c r="S16" s="312" t="n">
        <v>2.42</v>
      </c>
      <c r="T16" s="356" t="n">
        <v>0</v>
      </c>
      <c r="U16" s="131" t="n">
        <v>220</v>
      </c>
      <c r="V16" s="131" t="n">
        <v>66</v>
      </c>
      <c r="W16" s="132" t="n">
        <f aca="false">M16-N16-O16-P16-Q16-R16-S16-T16+U16+V16-AT16+AR16</f>
        <v>485.385003</v>
      </c>
      <c r="X16" s="132" t="n">
        <f aca="false">W16-AO16</f>
        <v>485.385003</v>
      </c>
      <c r="Y16" s="104" t="n">
        <f aca="false">Y15+(X16*1.9835)</f>
        <v>48250.3957041525</v>
      </c>
      <c r="Z16" s="104" t="n">
        <f aca="false">Z15+X16*(26300/37500)*1.9835</f>
        <v>33839.6108538456</v>
      </c>
      <c r="AA16" s="104" t="n">
        <f aca="false">AA15+AP16</f>
        <v>586.874991</v>
      </c>
      <c r="AB16" s="104" t="n">
        <f aca="false">AB15+(AP16+X16)*1.9835</f>
        <v>32586.769753336</v>
      </c>
      <c r="AC16" s="104" t="n">
        <f aca="false">AC15-(AQ15/1.9835)</f>
        <v>1635.08539416924</v>
      </c>
      <c r="AD16" s="104"/>
      <c r="AE16" s="131" t="n">
        <v>179</v>
      </c>
      <c r="AF16" s="135" t="n">
        <v>1.7</v>
      </c>
      <c r="AG16" s="136" t="n">
        <v>1.3</v>
      </c>
      <c r="AH16" s="460" t="n">
        <v>76</v>
      </c>
      <c r="AI16" s="459" t="n">
        <f aca="false">AI15-AH16</f>
        <v>13507.2578774893</v>
      </c>
      <c r="AJ16" s="79" t="n">
        <v>0</v>
      </c>
      <c r="AK16" s="131" t="n">
        <f aca="false">N16+O16+P16+Q16+R16+S16+T16+W16+AE16+AH16</f>
        <v>805</v>
      </c>
      <c r="AL16" s="131" t="n">
        <f aca="false">IF(L16&lt;0,L16*-1,0)</f>
        <v>0</v>
      </c>
      <c r="AM16" s="131" t="n">
        <f aca="false">AK16+AL16</f>
        <v>805</v>
      </c>
      <c r="AN16" s="453" t="n">
        <f aca="false">AN15</f>
        <v>14570.652155</v>
      </c>
      <c r="AO16" s="94"/>
      <c r="AP16" s="94" t="n">
        <f aca="false">795-W16</f>
        <v>309.614997</v>
      </c>
      <c r="AQ16" s="199" t="n">
        <f aca="false">64*(AA15*1.9835+AC16*1.9835+AP16*1.9835)/E16</f>
        <v>1.23014356736296</v>
      </c>
      <c r="AR16" s="133"/>
      <c r="AS16" s="358"/>
      <c r="AT16" s="12"/>
      <c r="AV16" s="99" t="n">
        <v>0</v>
      </c>
      <c r="AW16" s="100" t="n">
        <v>80</v>
      </c>
      <c r="AX16" s="100" t="n">
        <v>47</v>
      </c>
      <c r="AY16" s="300"/>
      <c r="AZ16" s="233" t="n">
        <f aca="false">SUM(N16,P16:T16)</f>
        <v>11.064997</v>
      </c>
    </row>
    <row r="17" customFormat="false" ht="12.95" hidden="false" customHeight="true" outlineLevel="0" collapsed="false">
      <c r="A17" s="10" t="n">
        <f aca="false">A16+1</f>
        <v>5</v>
      </c>
      <c r="B17" s="360" t="n">
        <v>6924.04</v>
      </c>
      <c r="C17" s="91" t="n">
        <v>381339</v>
      </c>
      <c r="D17" s="100" t="n">
        <f aca="false">C17-C16</f>
        <v>45</v>
      </c>
      <c r="E17" s="91" t="n">
        <f aca="false">C17-152000</f>
        <v>229339</v>
      </c>
      <c r="F17" s="370" t="n">
        <f aca="false">D17/$D$2</f>
        <v>22.68716914545</v>
      </c>
      <c r="G17" s="131" t="n">
        <v>843</v>
      </c>
      <c r="H17" s="93" t="n">
        <v>0.06</v>
      </c>
      <c r="I17" s="131" t="n">
        <f aca="false">G17+H17</f>
        <v>843.06</v>
      </c>
      <c r="J17" s="371" t="n">
        <f aca="false">IF(L17&gt;0,L17,0)</f>
        <v>0</v>
      </c>
      <c r="K17" s="131" t="n">
        <f aca="false">I17+J17</f>
        <v>843.06</v>
      </c>
      <c r="L17" s="131" t="n">
        <f aca="false">F17-(I17-AK17)</f>
        <v>-6.37283085454999</v>
      </c>
      <c r="M17" s="135" t="n">
        <v>278</v>
      </c>
      <c r="N17" s="199" t="n">
        <f aca="false">1.8299*1.03</f>
        <v>1.884797</v>
      </c>
      <c r="O17" s="143" t="n">
        <f aca="false">(33+31)*1.05</f>
        <v>67.2</v>
      </c>
      <c r="P17" s="312" t="n">
        <v>0</v>
      </c>
      <c r="Q17" s="199" t="n">
        <f aca="false">2.51*1.02</f>
        <v>2.5602</v>
      </c>
      <c r="R17" s="199" t="n">
        <v>4.2</v>
      </c>
      <c r="S17" s="312" t="n">
        <v>2.92</v>
      </c>
      <c r="T17" s="356" t="n">
        <v>0</v>
      </c>
      <c r="U17" s="131" t="n">
        <v>209</v>
      </c>
      <c r="V17" s="131" t="n">
        <v>66</v>
      </c>
      <c r="W17" s="132" t="n">
        <f aca="false">M17-N17-O17-P17-Q17-R17-S17-T17+U17+V17-AT17+AR17</f>
        <v>474.235003</v>
      </c>
      <c r="X17" s="132" t="n">
        <f aca="false">W17-AO17</f>
        <v>474.235003</v>
      </c>
      <c r="Y17" s="104" t="n">
        <f aca="false">Y16+(X17*1.9835)</f>
        <v>49191.040832603</v>
      </c>
      <c r="Z17" s="104" t="n">
        <f aca="false">Z16+X17*(26300/37500)*1.9835</f>
        <v>34499.3166372656</v>
      </c>
      <c r="AA17" s="104" t="n">
        <f aca="false">AA16+AP17</f>
        <v>907.639988</v>
      </c>
      <c r="AB17" s="104" t="n">
        <f aca="false">AB16+(AP17+X17)*1.9835</f>
        <v>34163.652253336</v>
      </c>
      <c r="AC17" s="104" t="n">
        <f aca="false">AC16-(AQ16/1.9835)</f>
        <v>1634.46520583177</v>
      </c>
      <c r="AD17" s="104"/>
      <c r="AE17" s="131" t="n">
        <v>187</v>
      </c>
      <c r="AF17" s="135" t="n">
        <v>1.7</v>
      </c>
      <c r="AG17" s="136" t="n">
        <v>1.3</v>
      </c>
      <c r="AH17" s="460" t="n">
        <v>74</v>
      </c>
      <c r="AI17" s="459" t="n">
        <f aca="false">AI16-AH17</f>
        <v>13433.2578774893</v>
      </c>
      <c r="AJ17" s="79" t="n">
        <v>0</v>
      </c>
      <c r="AK17" s="131" t="n">
        <f aca="false">N17+O17+P17+Q17+R17+S17+T17+W17+AE17+AH17</f>
        <v>814</v>
      </c>
      <c r="AL17" s="131" t="n">
        <f aca="false">IF(L17&lt;0,L17*-1,0)</f>
        <v>6.37283085454999</v>
      </c>
      <c r="AM17" s="131" t="n">
        <f aca="false">AK17+AL17</f>
        <v>820.37283085455</v>
      </c>
      <c r="AN17" s="453" t="n">
        <f aca="false">AN16</f>
        <v>14570.652155</v>
      </c>
      <c r="AO17" s="94"/>
      <c r="AP17" s="94" t="n">
        <f aca="false">795-W17</f>
        <v>320.764997</v>
      </c>
      <c r="AQ17" s="199" t="n">
        <f aca="false">64*(AA16*1.9835+AC17*1.9835+AP17*1.9835)/E17</f>
        <v>1.40710913418904</v>
      </c>
      <c r="AR17" s="133"/>
      <c r="AS17" s="358"/>
      <c r="AT17" s="12"/>
      <c r="AV17" s="99" t="n">
        <v>0</v>
      </c>
      <c r="AW17" s="100" t="n">
        <v>74</v>
      </c>
      <c r="AX17" s="100" t="n">
        <v>57</v>
      </c>
      <c r="AY17" s="300"/>
      <c r="AZ17" s="233" t="n">
        <f aca="false">SUM(N17,P17:T17)</f>
        <v>11.564997</v>
      </c>
    </row>
    <row r="18" customFormat="false" ht="12.95" hidden="false" customHeight="true" outlineLevel="0" collapsed="false">
      <c r="A18" s="10" t="n">
        <f aca="false">A17+1</f>
        <v>6</v>
      </c>
      <c r="B18" s="360" t="n">
        <v>6924.08</v>
      </c>
      <c r="C18" s="91" t="n">
        <v>381519</v>
      </c>
      <c r="D18" s="100" t="n">
        <f aca="false">C18-C17</f>
        <v>180</v>
      </c>
      <c r="E18" s="91" t="n">
        <f aca="false">C18-152000</f>
        <v>229519</v>
      </c>
      <c r="F18" s="370" t="n">
        <f aca="false">D18/$D$2</f>
        <v>90.7486765817998</v>
      </c>
      <c r="G18" s="131" t="n">
        <v>791</v>
      </c>
      <c r="H18" s="93" t="n">
        <v>0.18</v>
      </c>
      <c r="I18" s="131" t="n">
        <f aca="false">G18+H18</f>
        <v>791.18</v>
      </c>
      <c r="J18" s="371" t="n">
        <f aca="false">IF(L18&gt;0,L18,0)</f>
        <v>26.5686765817999</v>
      </c>
      <c r="K18" s="131" t="n">
        <f aca="false">I18+J18</f>
        <v>817.7486765818</v>
      </c>
      <c r="L18" s="131" t="n">
        <f aca="false">F18-(I18-AK18)</f>
        <v>26.5686765817999</v>
      </c>
      <c r="M18" s="135" t="n">
        <v>265</v>
      </c>
      <c r="N18" s="199" t="n">
        <f aca="false">1.8299*1.03</f>
        <v>1.884797</v>
      </c>
      <c r="O18" s="143" t="n">
        <f aca="false">(38+37)*1.05</f>
        <v>78.75</v>
      </c>
      <c r="P18" s="312" t="n">
        <v>0</v>
      </c>
      <c r="Q18" s="199" t="n">
        <f aca="false">2.51*1.02</f>
        <v>2.5602</v>
      </c>
      <c r="R18" s="199" t="n">
        <v>4.2</v>
      </c>
      <c r="S18" s="312" t="n">
        <v>0.98</v>
      </c>
      <c r="T18" s="356" t="n">
        <v>0</v>
      </c>
      <c r="U18" s="131" t="n">
        <v>175</v>
      </c>
      <c r="V18" s="131" t="n">
        <v>65</v>
      </c>
      <c r="W18" s="132" t="n">
        <f aca="false">M18-N18-O18-P18-Q18-R18-S18-T18+U18+V18-AT18+AR18</f>
        <v>416.625003</v>
      </c>
      <c r="X18" s="132" t="n">
        <f aca="false">W18-AO18</f>
        <v>416.625003</v>
      </c>
      <c r="Y18" s="104" t="n">
        <f aca="false">Y17+(X18*1.9835)</f>
        <v>50017.4165260535</v>
      </c>
      <c r="Z18" s="104" t="n">
        <f aca="false">Z17+X18*(26300/37500)*1.9835</f>
        <v>35078.8814569389</v>
      </c>
      <c r="AA18" s="104" t="n">
        <f aca="false">AA17+AP18</f>
        <v>1273.734785</v>
      </c>
      <c r="AB18" s="104" t="n">
        <f aca="false">AB17+(AP18+X18)*1.9835</f>
        <v>35716.176976636</v>
      </c>
      <c r="AC18" s="104" t="n">
        <f aca="false">AC17-(AQ17/1.9835)</f>
        <v>1633.75579865547</v>
      </c>
      <c r="AD18" s="104"/>
      <c r="AE18" s="131" t="n">
        <v>149</v>
      </c>
      <c r="AF18" s="135" t="n">
        <v>1.7</v>
      </c>
      <c r="AG18" s="136" t="n">
        <v>1.3</v>
      </c>
      <c r="AH18" s="460" t="n">
        <v>73</v>
      </c>
      <c r="AI18" s="459" t="n">
        <f aca="false">AI17-AH18</f>
        <v>13360.2578774893</v>
      </c>
      <c r="AJ18" s="79" t="n">
        <v>0</v>
      </c>
      <c r="AK18" s="131" t="n">
        <f aca="false">N18+O18+P18+Q18+R18+S18+T18+W18+AE18+AH18</f>
        <v>727</v>
      </c>
      <c r="AL18" s="131" t="n">
        <f aca="false">IF(L18&lt;0,L18*-1,0)</f>
        <v>0</v>
      </c>
      <c r="AM18" s="131" t="n">
        <f aca="false">AK18+AL18</f>
        <v>727</v>
      </c>
      <c r="AN18" s="453" t="n">
        <f aca="false">AN17</f>
        <v>14570.652155</v>
      </c>
      <c r="AO18" s="94"/>
      <c r="AP18" s="94" t="n">
        <f aca="false">I18-Q18-R18-W18-AF18</f>
        <v>366.094797</v>
      </c>
      <c r="AQ18" s="199" t="n">
        <f aca="false">64*(AA17*1.9835+AC18*1.9835+AP18*1.9835)/E18</f>
        <v>1.60809555919798</v>
      </c>
      <c r="AR18" s="133"/>
      <c r="AS18" s="358"/>
      <c r="AT18" s="12"/>
      <c r="AV18" s="99" t="n">
        <v>0</v>
      </c>
      <c r="AW18" s="100" t="n">
        <v>70</v>
      </c>
      <c r="AX18" s="100" t="n">
        <v>52</v>
      </c>
      <c r="AY18" s="300"/>
      <c r="AZ18" s="233" t="n">
        <f aca="false">SUM(N18,P18:T18)</f>
        <v>9.624997</v>
      </c>
    </row>
    <row r="19" customFormat="false" ht="12.95" hidden="false" customHeight="true" outlineLevel="0" collapsed="false">
      <c r="A19" s="10" t="n">
        <f aca="false">A18+1</f>
        <v>7</v>
      </c>
      <c r="B19" s="360" t="n">
        <v>6924.11</v>
      </c>
      <c r="C19" s="91" t="n">
        <v>381653</v>
      </c>
      <c r="D19" s="100" t="n">
        <f aca="false">C19-C18</f>
        <v>134</v>
      </c>
      <c r="E19" s="91" t="n">
        <f aca="false">C19-152000</f>
        <v>229653</v>
      </c>
      <c r="F19" s="370" t="n">
        <f aca="false">D19/$D$2</f>
        <v>67.5573481220066</v>
      </c>
      <c r="G19" s="131" t="n">
        <v>699</v>
      </c>
      <c r="H19" s="93" t="n">
        <v>0.53</v>
      </c>
      <c r="I19" s="131" t="n">
        <f aca="false">G19+H19</f>
        <v>699.53</v>
      </c>
      <c r="J19" s="371" t="n">
        <f aca="false">IF(L19&gt;0,L19,0)</f>
        <v>37.0273481220066</v>
      </c>
      <c r="K19" s="131" t="n">
        <f aca="false">I19+J19</f>
        <v>736.557348122007</v>
      </c>
      <c r="L19" s="131" t="n">
        <f aca="false">F19-(I19-AK19)</f>
        <v>37.0273481220066</v>
      </c>
      <c r="M19" s="135" t="n">
        <v>269</v>
      </c>
      <c r="N19" s="199" t="n">
        <f aca="false">1.8299*1.03</f>
        <v>1.884797</v>
      </c>
      <c r="O19" s="143" t="n">
        <f aca="false">(39+40)*1.05</f>
        <v>82.95</v>
      </c>
      <c r="P19" s="312" t="n">
        <v>0</v>
      </c>
      <c r="Q19" s="199" t="n">
        <f aca="false">2.51*1.02</f>
        <v>2.5602</v>
      </c>
      <c r="R19" s="199" t="n">
        <v>4.2</v>
      </c>
      <c r="S19" s="312" t="n">
        <v>3.33</v>
      </c>
      <c r="T19" s="356" t="n">
        <v>0</v>
      </c>
      <c r="U19" s="131" t="n">
        <v>140</v>
      </c>
      <c r="V19" s="131" t="n">
        <v>65</v>
      </c>
      <c r="W19" s="132" t="n">
        <f aca="false">M19-N19-O19-P19-Q19-R19-S19-T19+U19+V19-AT19+AR19</f>
        <v>379.075003</v>
      </c>
      <c r="X19" s="132" t="n">
        <f aca="false">W19-AO19</f>
        <v>379.075003</v>
      </c>
      <c r="Y19" s="104" t="n">
        <f aca="false">Y18+(X19*1.9835)</f>
        <v>50769.311794504</v>
      </c>
      <c r="Z19" s="104" t="n">
        <f aca="false">Z18+X19*(26300/37500)*1.9835</f>
        <v>35606.2106718788</v>
      </c>
      <c r="AA19" s="104" t="n">
        <f aca="false">AA18+AP19</f>
        <v>1585.729582</v>
      </c>
      <c r="AB19" s="104" t="n">
        <f aca="false">AB18+(AP19+X19)*1.9835</f>
        <v>37086.913924936</v>
      </c>
      <c r="AC19" s="104" t="n">
        <f aca="false">AC18-(AQ18/1.9835)</f>
        <v>1632.94506230095</v>
      </c>
      <c r="AD19" s="104"/>
      <c r="AE19" s="131" t="n">
        <v>121</v>
      </c>
      <c r="AF19" s="135" t="n">
        <v>1.7</v>
      </c>
      <c r="AG19" s="136" t="n">
        <v>1.3</v>
      </c>
      <c r="AH19" s="460" t="n">
        <v>74</v>
      </c>
      <c r="AI19" s="459" t="n">
        <f aca="false">AI18-AH19</f>
        <v>13286.2578774893</v>
      </c>
      <c r="AJ19" s="79" t="n">
        <v>0</v>
      </c>
      <c r="AK19" s="131" t="n">
        <f aca="false">N19+O19+P19+Q19+R19+S19+T19+W19+AE19+AH19</f>
        <v>669</v>
      </c>
      <c r="AL19" s="131" t="n">
        <f aca="false">IF(L19&lt;0,L19*-1,0)</f>
        <v>0</v>
      </c>
      <c r="AM19" s="131" t="n">
        <f aca="false">AK19+AL19</f>
        <v>669</v>
      </c>
      <c r="AN19" s="453" t="n">
        <f aca="false">AN18</f>
        <v>14570.652155</v>
      </c>
      <c r="AO19" s="94"/>
      <c r="AP19" s="94" t="n">
        <f aca="false">I19-Q19-R19-W19-AF19</f>
        <v>311.994797</v>
      </c>
      <c r="AQ19" s="199" t="n">
        <f aca="false">64*(AA18*1.9835+AC19*1.9835+AP19*1.9835)/E19</f>
        <v>1.77916871996508</v>
      </c>
      <c r="AR19" s="133"/>
      <c r="AS19" s="358"/>
      <c r="AT19" s="12"/>
      <c r="AV19" s="99" t="n">
        <v>0</v>
      </c>
      <c r="AW19" s="100" t="n">
        <v>66</v>
      </c>
      <c r="AX19" s="100" t="n">
        <v>39</v>
      </c>
      <c r="AY19" s="300"/>
      <c r="AZ19" s="233" t="n">
        <f aca="false">SUM(N19,P19:T19)</f>
        <v>11.974997</v>
      </c>
    </row>
    <row r="20" customFormat="false" ht="12.95" hidden="false" customHeight="true" outlineLevel="0" collapsed="false">
      <c r="A20" s="10" t="n">
        <f aca="false">A19+1</f>
        <v>8</v>
      </c>
      <c r="B20" s="360" t="n">
        <v>6924.07</v>
      </c>
      <c r="C20" s="91" t="n">
        <v>381474</v>
      </c>
      <c r="D20" s="100" t="n">
        <f aca="false">C20-C19</f>
        <v>-179</v>
      </c>
      <c r="E20" s="91" t="n">
        <f aca="false">C20-152000</f>
        <v>229474</v>
      </c>
      <c r="F20" s="370" t="n">
        <f aca="false">D20/$D$2</f>
        <v>-90.2445172674565</v>
      </c>
      <c r="G20" s="131" t="n">
        <v>615</v>
      </c>
      <c r="H20" s="93" t="n">
        <v>0.35</v>
      </c>
      <c r="I20" s="131" t="n">
        <f aca="false">G20+H20</f>
        <v>615.35</v>
      </c>
      <c r="J20" s="371" t="n">
        <f aca="false">IF(L20&gt;0,L20,0)</f>
        <v>0</v>
      </c>
      <c r="K20" s="131" t="n">
        <f aca="false">I20+J20</f>
        <v>615.35</v>
      </c>
      <c r="L20" s="131" t="n">
        <f aca="false">F20-(I20-AK20)</f>
        <v>-3.59451726745654</v>
      </c>
      <c r="M20" s="135" t="n">
        <v>270</v>
      </c>
      <c r="N20" s="199" t="n">
        <f aca="false">1.8299*1.03</f>
        <v>1.884797</v>
      </c>
      <c r="O20" s="143" t="n">
        <f aca="false">(41+41)*1.05</f>
        <v>86.1</v>
      </c>
      <c r="P20" s="312" t="n">
        <v>0</v>
      </c>
      <c r="Q20" s="199" t="n">
        <f aca="false">2.51*1.02</f>
        <v>2.5602</v>
      </c>
      <c r="R20" s="199" t="n">
        <v>4.2</v>
      </c>
      <c r="S20" s="312" t="n">
        <v>2.94</v>
      </c>
      <c r="T20" s="356" t="n">
        <v>0</v>
      </c>
      <c r="U20" s="131" t="n">
        <v>146</v>
      </c>
      <c r="V20" s="131" t="n">
        <v>65</v>
      </c>
      <c r="W20" s="132" t="n">
        <f aca="false">M20-N20-O20-P20-Q20-R20-S20-T20+U20+V20-AT20+AR20</f>
        <v>383.315003</v>
      </c>
      <c r="X20" s="132" t="n">
        <f aca="false">W20-AO20</f>
        <v>383.315003</v>
      </c>
      <c r="Y20" s="104" t="n">
        <f aca="false">Y19+(X20*1.9835)</f>
        <v>51529.6171029545</v>
      </c>
      <c r="Z20" s="104" t="n">
        <f aca="false">Z19+X20*(26300/37500)*1.9835</f>
        <v>36139.4381282054</v>
      </c>
      <c r="AA20" s="104" t="n">
        <f aca="false">AA19+AP20</f>
        <v>1809.304379</v>
      </c>
      <c r="AB20" s="104" t="n">
        <f aca="false">AB19+(AP20+X20)*1.9835</f>
        <v>38290.679843236</v>
      </c>
      <c r="AC20" s="104" t="n">
        <f aca="false">AC19-(AQ19/1.9835)</f>
        <v>1632.04807781899</v>
      </c>
      <c r="AD20" s="104"/>
      <c r="AE20" s="131" t="n">
        <v>148</v>
      </c>
      <c r="AF20" s="135" t="n">
        <v>1.7</v>
      </c>
      <c r="AG20" s="136" t="n">
        <v>1.3</v>
      </c>
      <c r="AH20" s="460" t="n">
        <v>73</v>
      </c>
      <c r="AI20" s="459" t="n">
        <f aca="false">AI19-AH20</f>
        <v>13213.2578774893</v>
      </c>
      <c r="AJ20" s="79" t="n">
        <v>0</v>
      </c>
      <c r="AK20" s="131" t="n">
        <f aca="false">N20+O20+P20+Q20+R20+S20+T20+W20+AE20+AH20</f>
        <v>702</v>
      </c>
      <c r="AL20" s="131" t="n">
        <f aca="false">IF(L20&lt;0,L20*-1,0)</f>
        <v>3.59451726745654</v>
      </c>
      <c r="AM20" s="131" t="n">
        <f aca="false">AK20+AL20</f>
        <v>705.594517267457</v>
      </c>
      <c r="AN20" s="453" t="n">
        <f aca="false">AN19</f>
        <v>14570.652155</v>
      </c>
      <c r="AO20" s="94"/>
      <c r="AP20" s="94" t="n">
        <f aca="false">I20-Q20-R20-W20-AF20</f>
        <v>223.574797</v>
      </c>
      <c r="AQ20" s="199" t="n">
        <f aca="false">64*(AA19*1.9835+AC20*1.9835+AP20*1.9835)/E20</f>
        <v>1.90374093046894</v>
      </c>
      <c r="AR20" s="133"/>
      <c r="AS20" s="358"/>
      <c r="AT20" s="12"/>
      <c r="AV20" s="99" t="n">
        <v>0</v>
      </c>
      <c r="AW20" s="100" t="n">
        <v>70</v>
      </c>
      <c r="AX20" s="100" t="n">
        <v>40</v>
      </c>
      <c r="AY20" s="300"/>
      <c r="AZ20" s="233" t="n">
        <f aca="false">SUM(N20,P20:T20)</f>
        <v>11.584997</v>
      </c>
    </row>
    <row r="21" customFormat="false" ht="12.95" hidden="false" customHeight="true" outlineLevel="0" collapsed="false">
      <c r="A21" s="10" t="n">
        <f aca="false">A20+1</f>
        <v>9</v>
      </c>
      <c r="B21" s="360" t="n">
        <v>6924.01</v>
      </c>
      <c r="C21" s="91" t="n">
        <v>381205</v>
      </c>
      <c r="D21" s="100" t="n">
        <f aca="false">C21-C20</f>
        <v>-269</v>
      </c>
      <c r="E21" s="91" t="n">
        <f aca="false">C21-152000</f>
        <v>229205</v>
      </c>
      <c r="F21" s="370" t="n">
        <f aca="false">D21/$D$2</f>
        <v>-135.618855558356</v>
      </c>
      <c r="G21" s="131" t="n">
        <v>576</v>
      </c>
      <c r="H21" s="93" t="n">
        <v>0.34</v>
      </c>
      <c r="I21" s="131" t="n">
        <f aca="false">G21+H21</f>
        <v>576.34</v>
      </c>
      <c r="J21" s="371" t="n">
        <f aca="false">IF(L21&gt;0,L21,0)</f>
        <v>0.0411444416435245</v>
      </c>
      <c r="K21" s="131" t="n">
        <f aca="false">I21+J21</f>
        <v>576.381144441644</v>
      </c>
      <c r="L21" s="131" t="n">
        <f aca="false">F21-(I21-AK21)</f>
        <v>0.0411444416435245</v>
      </c>
      <c r="M21" s="135" t="n">
        <v>268</v>
      </c>
      <c r="N21" s="199" t="n">
        <f aca="false">1.8299*1.03</f>
        <v>1.884797</v>
      </c>
      <c r="O21" s="143" t="n">
        <f aca="false">(38+39)*1.05</f>
        <v>80.85</v>
      </c>
      <c r="P21" s="312" t="n">
        <v>0</v>
      </c>
      <c r="Q21" s="199" t="n">
        <f aca="false">2.51*1.02</f>
        <v>2.5602</v>
      </c>
      <c r="R21" s="199" t="n">
        <v>4.2</v>
      </c>
      <c r="S21" s="312" t="n">
        <v>2.16</v>
      </c>
      <c r="T21" s="356" t="n">
        <v>0</v>
      </c>
      <c r="U21" s="131" t="n">
        <v>153</v>
      </c>
      <c r="V21" s="131" t="n">
        <v>64</v>
      </c>
      <c r="W21" s="132" t="n">
        <f aca="false">M21-N21-O21-P21-Q21-R21-S21-T21+U21+V21-AT21+AR21</f>
        <v>393.345003</v>
      </c>
      <c r="X21" s="132" t="n">
        <f aca="false">W21-AO21</f>
        <v>393.345003</v>
      </c>
      <c r="Y21" s="104" t="n">
        <f aca="false">Y20+(X21*1.9835)</f>
        <v>52309.816916405</v>
      </c>
      <c r="Z21" s="104" t="n">
        <f aca="false">Z20+X21*(26300/37500)*1.9835</f>
        <v>36686.6182640387</v>
      </c>
      <c r="AA21" s="104" t="n">
        <f aca="false">AA20+AP21</f>
        <v>1983.839176</v>
      </c>
      <c r="AB21" s="104" t="n">
        <f aca="false">AB20+(AP21+X21)*1.9835</f>
        <v>39417.069426536</v>
      </c>
      <c r="AC21" s="104" t="n">
        <f aca="false">AC20-(AQ20/1.9835)</f>
        <v>1631.0882890968</v>
      </c>
      <c r="AD21" s="104"/>
      <c r="AE21" s="131" t="n">
        <v>155</v>
      </c>
      <c r="AF21" s="135" t="n">
        <v>1.7</v>
      </c>
      <c r="AG21" s="136" t="n">
        <v>1.3</v>
      </c>
      <c r="AH21" s="460" t="n">
        <v>72</v>
      </c>
      <c r="AI21" s="459" t="n">
        <f aca="false">AI20-AH21</f>
        <v>13141.2578774893</v>
      </c>
      <c r="AJ21" s="79" t="n">
        <v>0</v>
      </c>
      <c r="AK21" s="131" t="n">
        <f aca="false">N21+O21+P21+Q21+R21+S21+T21+W21+AE21+AH21</f>
        <v>712</v>
      </c>
      <c r="AL21" s="131" t="n">
        <f aca="false">IF(L21&lt;0,L21*-1,0)</f>
        <v>0</v>
      </c>
      <c r="AM21" s="131" t="n">
        <f aca="false">AK21+AL21</f>
        <v>712</v>
      </c>
      <c r="AN21" s="453" t="n">
        <f aca="false">AN20</f>
        <v>14570.652155</v>
      </c>
      <c r="AO21" s="94"/>
      <c r="AP21" s="94" t="n">
        <f aca="false">I21-Q21-R21-W21-AF21</f>
        <v>174.534797</v>
      </c>
      <c r="AQ21" s="199" t="n">
        <f aca="false">64*(AA20*1.9835+AC21*1.9835+AP21*1.9835)/E21</f>
        <v>2.00210882017952</v>
      </c>
      <c r="AR21" s="133"/>
      <c r="AS21" s="358"/>
      <c r="AT21" s="12"/>
      <c r="AV21" s="99" t="n">
        <v>0</v>
      </c>
      <c r="AW21" s="100" t="n">
        <v>70</v>
      </c>
      <c r="AX21" s="100" t="n">
        <v>48</v>
      </c>
      <c r="AY21" s="300"/>
      <c r="AZ21" s="233" t="n">
        <f aca="false">SUM(N21,P21:T21)</f>
        <v>10.804997</v>
      </c>
    </row>
    <row r="22" customFormat="false" ht="12.95" hidden="false" customHeight="true" outlineLevel="0" collapsed="false">
      <c r="A22" s="10" t="n">
        <f aca="false">A21+1</f>
        <v>10</v>
      </c>
      <c r="B22" s="360" t="n">
        <v>6924.04</v>
      </c>
      <c r="C22" s="91" t="n">
        <v>381339</v>
      </c>
      <c r="D22" s="100" t="n">
        <f aca="false">C22-C21</f>
        <v>134</v>
      </c>
      <c r="E22" s="91" t="n">
        <f aca="false">C22-152000</f>
        <v>229339</v>
      </c>
      <c r="F22" s="370" t="n">
        <f aca="false">D22/$D$2</f>
        <v>67.5573481220066</v>
      </c>
      <c r="G22" s="131" t="n">
        <v>580</v>
      </c>
      <c r="H22" s="93" t="n">
        <v>0.17</v>
      </c>
      <c r="I22" s="131" t="n">
        <f aca="false">G22+H22</f>
        <v>580.17</v>
      </c>
      <c r="J22" s="371" t="n">
        <f aca="false">IF(L22&gt;0,L22,0)</f>
        <v>178.387348122007</v>
      </c>
      <c r="K22" s="131" t="n">
        <f aca="false">I22+J22</f>
        <v>758.557348122007</v>
      </c>
      <c r="L22" s="131" t="n">
        <f aca="false">F22-(I22-AK22)</f>
        <v>178.387348122007</v>
      </c>
      <c r="M22" s="135" t="n">
        <v>256</v>
      </c>
      <c r="N22" s="199" t="n">
        <f aca="false">1.8299*1.03</f>
        <v>1.884797</v>
      </c>
      <c r="O22" s="143" t="n">
        <f aca="false">(44+45)*1.05</f>
        <v>93.45</v>
      </c>
      <c r="P22" s="312" t="n">
        <v>0</v>
      </c>
      <c r="Q22" s="199" t="n">
        <f aca="false">2.51*1.02</f>
        <v>2.5602</v>
      </c>
      <c r="R22" s="199" t="n">
        <v>4.2</v>
      </c>
      <c r="S22" s="312" t="n">
        <v>1.2</v>
      </c>
      <c r="T22" s="356" t="n">
        <v>0</v>
      </c>
      <c r="U22" s="131" t="n">
        <v>163</v>
      </c>
      <c r="V22" s="131" t="n">
        <v>62</v>
      </c>
      <c r="W22" s="132" t="n">
        <f aca="false">M22-N22-O22-P22-Q22-R22-S22-T22+U22+V22-AT22+AR22</f>
        <v>377.705003</v>
      </c>
      <c r="X22" s="132" t="n">
        <f aca="false">W22-AO22</f>
        <v>377.705003</v>
      </c>
      <c r="Y22" s="104" t="n">
        <f aca="false">Y21+(X22*1.9835)</f>
        <v>53058.9947898555</v>
      </c>
      <c r="Z22" s="104" t="n">
        <f aca="false">Z21+X22*(26300/37500)*1.9835</f>
        <v>37212.0416792853</v>
      </c>
      <c r="AA22" s="104" t="n">
        <f aca="false">AA21+AP22</f>
        <v>2177.843973</v>
      </c>
      <c r="AB22" s="104" t="n">
        <f aca="false">AB21+(AP22+X22)*1.9835</f>
        <v>40551.055814836</v>
      </c>
      <c r="AC22" s="104" t="n">
        <f aca="false">AC21-(AQ21/1.9835)</f>
        <v>1630.07890728677</v>
      </c>
      <c r="AD22" s="104"/>
      <c r="AE22" s="131" t="n">
        <v>139</v>
      </c>
      <c r="AF22" s="135" t="n">
        <v>1.7</v>
      </c>
      <c r="AG22" s="136" t="n">
        <v>1.3</v>
      </c>
      <c r="AH22" s="460" t="n">
        <v>71</v>
      </c>
      <c r="AI22" s="459" t="n">
        <f aca="false">AI21-AH22</f>
        <v>13070.2578774893</v>
      </c>
      <c r="AJ22" s="79" t="n">
        <v>0</v>
      </c>
      <c r="AK22" s="131" t="n">
        <f aca="false">N22+O22+P22+Q22+R22+S22+T22+W22+AE22+AH22</f>
        <v>691</v>
      </c>
      <c r="AL22" s="131" t="n">
        <f aca="false">IF(L22&lt;0,L22*-1,0)</f>
        <v>0</v>
      </c>
      <c r="AM22" s="131" t="n">
        <f aca="false">AK22+AL22</f>
        <v>691</v>
      </c>
      <c r="AN22" s="453" t="n">
        <f aca="false">AN21</f>
        <v>14570.652155</v>
      </c>
      <c r="AO22" s="94"/>
      <c r="AP22" s="94" t="n">
        <f aca="false">I22-Q22-R22-W22-AF22</f>
        <v>194.004797</v>
      </c>
      <c r="AQ22" s="199" t="n">
        <f aca="false">64*(AA21*1.9835+AC22*1.9835+AP22*1.9835)/E22</f>
        <v>2.10776606732882</v>
      </c>
      <c r="AR22" s="133"/>
      <c r="AS22" s="358"/>
      <c r="AT22" s="12"/>
      <c r="AV22" s="99" t="n">
        <v>0.28</v>
      </c>
      <c r="AW22" s="100" t="n">
        <v>62</v>
      </c>
      <c r="AX22" s="100" t="n">
        <v>46</v>
      </c>
      <c r="AY22" s="300"/>
      <c r="AZ22" s="233" t="n">
        <f aca="false">SUM(N22,P22:T22)</f>
        <v>9.844997</v>
      </c>
    </row>
    <row r="23" customFormat="false" ht="12.95" hidden="false" customHeight="true" outlineLevel="0" collapsed="false">
      <c r="A23" s="10" t="n">
        <f aca="false">A22+1</f>
        <v>11</v>
      </c>
      <c r="B23" s="360" t="n">
        <v>6923.99</v>
      </c>
      <c r="C23" s="91" t="n">
        <v>381115</v>
      </c>
      <c r="D23" s="100" t="n">
        <f aca="false">C23-C22</f>
        <v>-224</v>
      </c>
      <c r="E23" s="91" t="n">
        <f aca="false">C23-152000</f>
        <v>229115</v>
      </c>
      <c r="F23" s="370" t="n">
        <f aca="false">D23/$D$2</f>
        <v>-112.931686412906</v>
      </c>
      <c r="G23" s="131" t="n">
        <v>626</v>
      </c>
      <c r="H23" s="93" t="n">
        <v>0.08</v>
      </c>
      <c r="I23" s="131" t="n">
        <f aca="false">G23+H23</f>
        <v>626.08</v>
      </c>
      <c r="J23" s="371" t="n">
        <f aca="false">IF(L23&gt;0,L23,0)</f>
        <v>0</v>
      </c>
      <c r="K23" s="131" t="n">
        <f aca="false">I23+J23</f>
        <v>626.08</v>
      </c>
      <c r="L23" s="131" t="n">
        <f aca="false">F23-(I23-AK23)</f>
        <v>-38.0116864129065</v>
      </c>
      <c r="M23" s="135" t="n">
        <v>262</v>
      </c>
      <c r="N23" s="199" t="n">
        <f aca="false">1.8299*1.03</f>
        <v>1.884797</v>
      </c>
      <c r="O23" s="143" t="n">
        <f aca="false">(51+49)*1.05</f>
        <v>105</v>
      </c>
      <c r="P23" s="312" t="n">
        <v>0</v>
      </c>
      <c r="Q23" s="199" t="n">
        <f aca="false">2.51*1.02</f>
        <v>2.5602</v>
      </c>
      <c r="R23" s="199" t="n">
        <v>4.2</v>
      </c>
      <c r="S23" s="312" t="n">
        <v>0.92</v>
      </c>
      <c r="T23" s="356" t="n">
        <v>0</v>
      </c>
      <c r="U23" s="131" t="n">
        <v>171</v>
      </c>
      <c r="V23" s="131" t="n">
        <v>60</v>
      </c>
      <c r="W23" s="132" t="n">
        <f aca="false">M23-N23-O23-P23-Q23-R23-S23-T23+U23+V23-AT23+AR23</f>
        <v>378.435003</v>
      </c>
      <c r="X23" s="132" t="n">
        <f aca="false">W23-AO23</f>
        <v>378.435003</v>
      </c>
      <c r="Y23" s="104" t="n">
        <f aca="false">Y22+(X23*1.9835)</f>
        <v>53809.620618306</v>
      </c>
      <c r="Z23" s="104" t="n">
        <f aca="false">Z22+X23*(26300/37500)*1.9835</f>
        <v>37738.4805936386</v>
      </c>
      <c r="AA23" s="104" t="n">
        <f aca="false">AA22+AP23</f>
        <v>2417.02877</v>
      </c>
      <c r="AB23" s="104" t="n">
        <f aca="false">AB22+(AP23+X23)*1.9835</f>
        <v>41776.104688136</v>
      </c>
      <c r="AC23" s="104" t="n">
        <f aca="false">AC22-(AQ22/1.9835)</f>
        <v>1629.01625739147</v>
      </c>
      <c r="AD23" s="104"/>
      <c r="AE23" s="131" t="n">
        <v>137</v>
      </c>
      <c r="AF23" s="135" t="n">
        <v>1.7</v>
      </c>
      <c r="AG23" s="136" t="n">
        <v>1.3</v>
      </c>
      <c r="AH23" s="460" t="n">
        <v>71</v>
      </c>
      <c r="AI23" s="459" t="n">
        <f aca="false">AI22-AH23</f>
        <v>12999.2578774893</v>
      </c>
      <c r="AJ23" s="79" t="n">
        <v>0</v>
      </c>
      <c r="AK23" s="131" t="n">
        <f aca="false">N23+O23+P23+Q23+R23+S23+T23+W23+AE23+AH23</f>
        <v>701</v>
      </c>
      <c r="AL23" s="131" t="n">
        <f aca="false">IF(L23&lt;0,L23*-1,0)</f>
        <v>38.0116864129065</v>
      </c>
      <c r="AM23" s="131" t="n">
        <f aca="false">AK23+AL23</f>
        <v>739.011686412907</v>
      </c>
      <c r="AN23" s="453" t="n">
        <f aca="false">AN22</f>
        <v>14570.652155</v>
      </c>
      <c r="AO23" s="94"/>
      <c r="AP23" s="94" t="n">
        <f aca="false">I23-Q23-R23-W23-AF23</f>
        <v>239.184797</v>
      </c>
      <c r="AQ23" s="199" t="n">
        <f aca="false">64*(AA22*1.9835+AC23*1.9835+AP23*1.9835)/E23</f>
        <v>2.24176129872415</v>
      </c>
      <c r="AR23" s="133"/>
      <c r="AS23" s="358"/>
      <c r="AT23" s="12"/>
      <c r="AV23" s="99" t="n">
        <v>0</v>
      </c>
      <c r="AW23" s="100" t="n">
        <v>69</v>
      </c>
      <c r="AX23" s="100" t="n">
        <v>43</v>
      </c>
      <c r="AY23" s="300"/>
      <c r="AZ23" s="233" t="n">
        <f aca="false">SUM(N23,P23:T23)</f>
        <v>9.564997</v>
      </c>
    </row>
    <row r="24" customFormat="false" ht="12.95" hidden="false" customHeight="true" outlineLevel="0" collapsed="false">
      <c r="A24" s="10" t="n">
        <f aca="false">A23+1</f>
        <v>12</v>
      </c>
      <c r="B24" s="360" t="n">
        <v>6923.93</v>
      </c>
      <c r="C24" s="91" t="n">
        <v>380848</v>
      </c>
      <c r="D24" s="100" t="n">
        <f aca="false">C24-C23</f>
        <v>-267</v>
      </c>
      <c r="E24" s="91" t="n">
        <f aca="false">C24-152000</f>
        <v>228848</v>
      </c>
      <c r="F24" s="370" t="n">
        <f aca="false">D24/$D$2</f>
        <v>-134.61053692967</v>
      </c>
      <c r="G24" s="131" t="n">
        <v>537</v>
      </c>
      <c r="H24" s="93" t="n">
        <v>0.08</v>
      </c>
      <c r="I24" s="131" t="n">
        <f aca="false">G24+H24</f>
        <v>537.08</v>
      </c>
      <c r="J24" s="371" t="n">
        <f aca="false">IF(L24&gt;0,L24,0)</f>
        <v>13.3094630703302</v>
      </c>
      <c r="K24" s="131" t="n">
        <f aca="false">I24+J24</f>
        <v>550.38946307033</v>
      </c>
      <c r="L24" s="131" t="n">
        <f aca="false">F24-(I24-AK24)</f>
        <v>13.3094630703302</v>
      </c>
      <c r="M24" s="135" t="n">
        <v>278</v>
      </c>
      <c r="N24" s="199" t="n">
        <f aca="false">1.8299*1.03</f>
        <v>1.884797</v>
      </c>
      <c r="O24" s="143" t="n">
        <f aca="false">(53+51)*1.05</f>
        <v>109.2</v>
      </c>
      <c r="P24" s="312" t="n">
        <v>0</v>
      </c>
      <c r="Q24" s="199" t="n">
        <f aca="false">2.51*1.02</f>
        <v>2.5602</v>
      </c>
      <c r="R24" s="199" t="n">
        <v>4.2</v>
      </c>
      <c r="S24" s="312" t="n">
        <v>2.05</v>
      </c>
      <c r="T24" s="356" t="n">
        <v>0</v>
      </c>
      <c r="U24" s="131" t="n">
        <v>157</v>
      </c>
      <c r="V24" s="131" t="n">
        <v>58</v>
      </c>
      <c r="W24" s="132" t="n">
        <f aca="false">M24-N24-O24-P24-Q24-R24-S24-T24+U24+V24-AT24+AR24</f>
        <v>373.105003</v>
      </c>
      <c r="X24" s="132" t="n">
        <f aca="false">W24-AO24</f>
        <v>373.105003</v>
      </c>
      <c r="Y24" s="104" t="n">
        <f aca="false">Y23+(X24*1.9835)</f>
        <v>54549.6743917565</v>
      </c>
      <c r="Z24" s="104" t="n">
        <f aca="false">Z23+X24*(26300/37500)*1.9835</f>
        <v>38257.5049734186</v>
      </c>
      <c r="AA24" s="104" t="n">
        <f aca="false">AA23+AP24</f>
        <v>2572.543567</v>
      </c>
      <c r="AB24" s="104" t="n">
        <f aca="false">AB23+(AP24+X24)*1.9835</f>
        <v>42824.622061436</v>
      </c>
      <c r="AC24" s="104" t="n">
        <f aca="false">AC23-(AQ23/1.9835)</f>
        <v>1627.88605255219</v>
      </c>
      <c r="AD24" s="104"/>
      <c r="AE24" s="131" t="n">
        <v>121</v>
      </c>
      <c r="AF24" s="135" t="n">
        <v>1.7</v>
      </c>
      <c r="AG24" s="136" t="n">
        <v>1.3</v>
      </c>
      <c r="AH24" s="460" t="n">
        <v>71</v>
      </c>
      <c r="AI24" s="459" t="n">
        <f aca="false">AI23-AH24</f>
        <v>12928.2578774893</v>
      </c>
      <c r="AJ24" s="79" t="n">
        <v>0</v>
      </c>
      <c r="AK24" s="131" t="n">
        <f aca="false">N24+O24+P24+Q24+R24+S24+T24+W24+AE24+AH24</f>
        <v>685</v>
      </c>
      <c r="AL24" s="131" t="n">
        <f aca="false">IF(L24&lt;0,L24*-1,0)</f>
        <v>0</v>
      </c>
      <c r="AM24" s="131" t="n">
        <f aca="false">AK24+AL24</f>
        <v>685</v>
      </c>
      <c r="AN24" s="453" t="n">
        <f aca="false">AN23</f>
        <v>14570.652155</v>
      </c>
      <c r="AO24" s="94"/>
      <c r="AP24" s="94" t="n">
        <f aca="false">I24-Q24-R24-W24-AF24</f>
        <v>155.514797</v>
      </c>
      <c r="AQ24" s="199" t="n">
        <f aca="false">64*(AA23*1.9835+AC24*1.9835+AP24*1.9835)/E24</f>
        <v>2.33001528361372</v>
      </c>
      <c r="AR24" s="133"/>
      <c r="AS24" s="358"/>
      <c r="AT24" s="12"/>
      <c r="AV24" s="99" t="n">
        <v>0</v>
      </c>
      <c r="AW24" s="100" t="n">
        <v>73</v>
      </c>
      <c r="AX24" s="100" t="n">
        <v>43</v>
      </c>
      <c r="AY24" s="300"/>
      <c r="AZ24" s="233" t="n">
        <f aca="false">SUM(N24,P24:T24)</f>
        <v>10.694997</v>
      </c>
    </row>
    <row r="25" customFormat="false" ht="12.95" hidden="false" customHeight="true" outlineLevel="0" collapsed="false">
      <c r="A25" s="10" t="n">
        <f aca="false">A24+1</f>
        <v>13</v>
      </c>
      <c r="B25" s="360" t="n">
        <v>6923.85</v>
      </c>
      <c r="C25" s="91" t="n">
        <v>380492</v>
      </c>
      <c r="D25" s="100" t="n">
        <f aca="false">C25-C24</f>
        <v>-356</v>
      </c>
      <c r="E25" s="91" t="n">
        <f aca="false">C25-152000</f>
        <v>228492</v>
      </c>
      <c r="F25" s="370" t="n">
        <f aca="false">D25/$D$2</f>
        <v>-179.480715906226</v>
      </c>
      <c r="G25" s="131" t="n">
        <v>504</v>
      </c>
      <c r="H25" s="93" t="n">
        <v>0.15</v>
      </c>
      <c r="I25" s="131" t="n">
        <f aca="false">G25+H25</f>
        <v>504.15</v>
      </c>
      <c r="J25" s="371" t="n">
        <f aca="false">IF(L25&gt;0,L25,0)</f>
        <v>0</v>
      </c>
      <c r="K25" s="131" t="n">
        <f aca="false">I25+J25</f>
        <v>504.15</v>
      </c>
      <c r="L25" s="131" t="n">
        <f aca="false">F25-(I25-AK25)</f>
        <v>-6.63071590622633</v>
      </c>
      <c r="M25" s="135" t="n">
        <v>303</v>
      </c>
      <c r="N25" s="199" t="n">
        <f aca="false">1.8299*1.03</f>
        <v>1.884797</v>
      </c>
      <c r="O25" s="143" t="n">
        <f aca="false">(56+52)*1.05</f>
        <v>113.4</v>
      </c>
      <c r="P25" s="312" t="n">
        <v>0</v>
      </c>
      <c r="Q25" s="199" t="n">
        <f aca="false">2.51*1.02</f>
        <v>2.5602</v>
      </c>
      <c r="R25" s="199" t="n">
        <v>4.2</v>
      </c>
      <c r="S25" s="312" t="n">
        <v>2.24</v>
      </c>
      <c r="T25" s="356" t="n">
        <v>0</v>
      </c>
      <c r="U25" s="131" t="n">
        <v>134</v>
      </c>
      <c r="V25" s="131" t="n">
        <v>58</v>
      </c>
      <c r="W25" s="132" t="n">
        <f aca="false">M25-N25-O25-P25-Q25-R25-S25-T25+U25+V25-AT25+AR25</f>
        <v>370.715003</v>
      </c>
      <c r="X25" s="132" t="n">
        <f aca="false">W25-AO25</f>
        <v>370.715003</v>
      </c>
      <c r="Y25" s="104" t="n">
        <f aca="false">Y24+(X25*1.9835)</f>
        <v>55284.987600207</v>
      </c>
      <c r="Z25" s="104" t="n">
        <f aca="false">Z24+X25*(26300/37500)*1.9835</f>
        <v>38773.2046369452</v>
      </c>
      <c r="AA25" s="104" t="n">
        <f aca="false">AA24+AP25</f>
        <v>2697.518364</v>
      </c>
      <c r="AB25" s="104" t="n">
        <f aca="false">AB24+(AP25+X25)*1.9835</f>
        <v>43807.822779736</v>
      </c>
      <c r="AC25" s="104" t="n">
        <f aca="false">AC24-(AQ24/1.9835)</f>
        <v>1626.71135364439</v>
      </c>
      <c r="AD25" s="104"/>
      <c r="AE25" s="131" t="n">
        <v>111</v>
      </c>
      <c r="AF25" s="135" t="n">
        <v>1.7</v>
      </c>
      <c r="AG25" s="136" t="n">
        <v>1.3</v>
      </c>
      <c r="AH25" s="460" t="n">
        <v>71</v>
      </c>
      <c r="AI25" s="459" t="n">
        <f aca="false">AI24-AH25</f>
        <v>12857.2578774893</v>
      </c>
      <c r="AJ25" s="79" t="n">
        <v>0</v>
      </c>
      <c r="AK25" s="131" t="n">
        <f aca="false">N25+O25+P25+Q25+R25+S25+T25+W25+AE25+AH25</f>
        <v>677</v>
      </c>
      <c r="AL25" s="131" t="n">
        <f aca="false">IF(L25&lt;0,L25*-1,0)</f>
        <v>6.63071590622633</v>
      </c>
      <c r="AM25" s="131" t="n">
        <f aca="false">AK25+AL25</f>
        <v>683.630715906226</v>
      </c>
      <c r="AN25" s="453" t="n">
        <f aca="false">AN24</f>
        <v>14570.652155</v>
      </c>
      <c r="AO25" s="94"/>
      <c r="AP25" s="94" t="n">
        <f aca="false">I25-Q25-R25-W25-AF25</f>
        <v>124.974797</v>
      </c>
      <c r="AQ25" s="199" t="n">
        <f aca="false">64*(AA24*1.9835+AC25*1.9835+AP25*1.9835)/E25</f>
        <v>2.40242554346169</v>
      </c>
      <c r="AR25" s="133"/>
      <c r="AS25" s="358"/>
      <c r="AT25" s="12"/>
      <c r="AV25" s="99" t="n">
        <v>0.05</v>
      </c>
      <c r="AW25" s="100" t="n">
        <v>72</v>
      </c>
      <c r="AX25" s="100" t="n">
        <v>41</v>
      </c>
      <c r="AY25" s="300"/>
      <c r="AZ25" s="233" t="n">
        <f aca="false">SUM(N25,P25:T25)</f>
        <v>10.884997</v>
      </c>
    </row>
    <row r="26" customFormat="false" ht="12.95" hidden="false" customHeight="true" outlineLevel="0" collapsed="false">
      <c r="A26" s="10" t="n">
        <f aca="false">A25+1</f>
        <v>14</v>
      </c>
      <c r="B26" s="360" t="n">
        <v>6923.79</v>
      </c>
      <c r="C26" s="91" t="n">
        <v>380225</v>
      </c>
      <c r="D26" s="100" t="n">
        <f aca="false">C26-C25</f>
        <v>-267</v>
      </c>
      <c r="E26" s="91" t="n">
        <f aca="false">C26-152000</f>
        <v>228225</v>
      </c>
      <c r="F26" s="370" t="n">
        <f aca="false">D26/$D$2</f>
        <v>-134.61053692967</v>
      </c>
      <c r="G26" s="131" t="n">
        <v>538</v>
      </c>
      <c r="H26" s="93" t="n">
        <v>0.39</v>
      </c>
      <c r="I26" s="131" t="n">
        <f aca="false">G26+H26</f>
        <v>538.39</v>
      </c>
      <c r="J26" s="371" t="n">
        <f aca="false">IF(L26&gt;0,L26,0)</f>
        <v>0</v>
      </c>
      <c r="K26" s="131" t="n">
        <f aca="false">I26+J26</f>
        <v>538.39</v>
      </c>
      <c r="L26" s="131" t="n">
        <f aca="false">F26-(I26-AK26)</f>
        <v>-64.0005369296698</v>
      </c>
      <c r="M26" s="135" t="n">
        <v>273</v>
      </c>
      <c r="N26" s="199" t="n">
        <f aca="false">1.8299*1.03</f>
        <v>1.884797</v>
      </c>
      <c r="O26" s="143" t="n">
        <f aca="false">(51+49)*1.05</f>
        <v>105</v>
      </c>
      <c r="P26" s="312" t="n">
        <v>0</v>
      </c>
      <c r="Q26" s="199" t="n">
        <f aca="false">2.51*1.02</f>
        <v>2.5602</v>
      </c>
      <c r="R26" s="199" t="n">
        <v>4.2</v>
      </c>
      <c r="S26" s="312" t="n">
        <v>0.16</v>
      </c>
      <c r="T26" s="356" t="n">
        <v>0</v>
      </c>
      <c r="U26" s="131" t="n">
        <v>127</v>
      </c>
      <c r="V26" s="131" t="n">
        <v>57</v>
      </c>
      <c r="W26" s="132" t="n">
        <f aca="false">M26-N26-O26-P26-Q26-R26-S26-T26+U26+V26-AT26+AR26</f>
        <v>343.195003</v>
      </c>
      <c r="X26" s="132" t="n">
        <f aca="false">W26-AO26</f>
        <v>343.195003</v>
      </c>
      <c r="Y26" s="104" t="n">
        <f aca="false">Y25+(X26*1.9835)</f>
        <v>55965.7148886575</v>
      </c>
      <c r="Z26" s="104" t="n">
        <f aca="false">Z25+X26*(26300/37500)*1.9835</f>
        <v>39250.6213752451</v>
      </c>
      <c r="AA26" s="104" t="n">
        <f aca="false">AA25+AP26</f>
        <v>2884.253161</v>
      </c>
      <c r="AB26" s="104" t="n">
        <f aca="false">AB25+(AP26+X26)*1.9835</f>
        <v>44858.938538036</v>
      </c>
      <c r="AC26" s="104" t="n">
        <f aca="false">AC25-(AQ25/1.9835)</f>
        <v>1625.50014842964</v>
      </c>
      <c r="AD26" s="104"/>
      <c r="AE26" s="131" t="n">
        <v>81</v>
      </c>
      <c r="AF26" s="135" t="n">
        <v>1.7</v>
      </c>
      <c r="AG26" s="136" t="n">
        <v>1.3</v>
      </c>
      <c r="AH26" s="460" t="n">
        <v>71</v>
      </c>
      <c r="AI26" s="459" t="n">
        <f aca="false">AI25-AH26</f>
        <v>12786.2578774893</v>
      </c>
      <c r="AJ26" s="79" t="n">
        <v>0</v>
      </c>
      <c r="AK26" s="131" t="n">
        <f aca="false">N26+O26+P26+Q26+R26+S26+T26+W26+AE26+AH26</f>
        <v>609</v>
      </c>
      <c r="AL26" s="131" t="n">
        <f aca="false">IF(L26&lt;0,L26*-1,0)</f>
        <v>64.0005369296698</v>
      </c>
      <c r="AM26" s="131" t="n">
        <f aca="false">AK26+AL26</f>
        <v>673.00053692967</v>
      </c>
      <c r="AN26" s="453" t="n">
        <f aca="false">AN25</f>
        <v>14570.652155</v>
      </c>
      <c r="AO26" s="94"/>
      <c r="AP26" s="94" t="n">
        <f aca="false">I26-Q26-R26-W26-AF26</f>
        <v>186.734797</v>
      </c>
      <c r="AQ26" s="199" t="n">
        <f aca="false">64*(AA25*1.9835+AC26*1.9835+AP26*1.9835)/E26</f>
        <v>2.50842863013358</v>
      </c>
      <c r="AR26" s="133"/>
      <c r="AS26" s="358"/>
      <c r="AT26" s="12"/>
      <c r="AV26" s="99" t="n">
        <v>0</v>
      </c>
      <c r="AW26" s="100" t="n">
        <v>73</v>
      </c>
      <c r="AX26" s="100" t="n">
        <v>43</v>
      </c>
      <c r="AY26" s="300"/>
      <c r="AZ26" s="233" t="n">
        <f aca="false">SUM(N26,P26:T26)</f>
        <v>8.804997</v>
      </c>
    </row>
    <row r="27" customFormat="false" ht="12.95" hidden="false" customHeight="true" outlineLevel="0" collapsed="false">
      <c r="A27" s="10" t="n">
        <f aca="false">A26+1</f>
        <v>15</v>
      </c>
      <c r="B27" s="360" t="n">
        <v>6923.73</v>
      </c>
      <c r="C27" s="91" t="n">
        <v>379958</v>
      </c>
      <c r="D27" s="100" t="n">
        <f aca="false">C27-C26</f>
        <v>-267</v>
      </c>
      <c r="E27" s="91" t="n">
        <f aca="false">C27-152000</f>
        <v>227958</v>
      </c>
      <c r="F27" s="370" t="n">
        <f aca="false">D27/$D$2</f>
        <v>-134.61053692967</v>
      </c>
      <c r="G27" s="131" t="n">
        <v>514</v>
      </c>
      <c r="H27" s="93" t="n">
        <v>0.41</v>
      </c>
      <c r="I27" s="131" t="n">
        <f aca="false">G27+H27</f>
        <v>514.41</v>
      </c>
      <c r="J27" s="371" t="n">
        <f aca="false">IF(L27&gt;0,L27,0)</f>
        <v>0</v>
      </c>
      <c r="K27" s="131" t="n">
        <f aca="false">I27+J27</f>
        <v>514.41</v>
      </c>
      <c r="L27" s="131" t="n">
        <f aca="false">F27-(I27-AK27)</f>
        <v>-14.0205369296697</v>
      </c>
      <c r="M27" s="135" t="n">
        <v>278</v>
      </c>
      <c r="N27" s="199" t="n">
        <f aca="false">1.8299*1.03</f>
        <v>1.884797</v>
      </c>
      <c r="O27" s="143" t="n">
        <f aca="false">(51+52)*1.05</f>
        <v>108.15</v>
      </c>
      <c r="P27" s="312" t="n">
        <v>0</v>
      </c>
      <c r="Q27" s="199" t="n">
        <f aca="false">2.51*1.02</f>
        <v>2.5602</v>
      </c>
      <c r="R27" s="199" t="n">
        <v>4.2</v>
      </c>
      <c r="S27" s="312" t="n">
        <v>2.43</v>
      </c>
      <c r="T27" s="356" t="n">
        <v>0</v>
      </c>
      <c r="U27" s="131" t="n">
        <v>127</v>
      </c>
      <c r="V27" s="131" t="n">
        <v>56</v>
      </c>
      <c r="W27" s="132" t="n">
        <f aca="false">M27-N27-O27-P27-Q27-R27-S27-T27+U27+V27-AT27+AR27</f>
        <v>341.775003</v>
      </c>
      <c r="X27" s="132" t="n">
        <f aca="false">W27-AO27</f>
        <v>341.775003</v>
      </c>
      <c r="Y27" s="104" t="n">
        <f aca="false">Y26+(X27*1.9835)</f>
        <v>56643.625607108</v>
      </c>
      <c r="Z27" s="104" t="n">
        <f aca="false">Z26+X27*(26300/37500)*1.9835</f>
        <v>39726.0627591184</v>
      </c>
      <c r="AA27" s="104" t="n">
        <f aca="false">AA26+AP27</f>
        <v>3048.427958</v>
      </c>
      <c r="AB27" s="104" t="n">
        <f aca="false">AB26+(AP27+X27)*1.9835</f>
        <v>45862.489966336</v>
      </c>
      <c r="AC27" s="104" t="n">
        <f aca="false">AC26-(AQ26/1.9835)</f>
        <v>1624.23550077139</v>
      </c>
      <c r="AD27" s="104"/>
      <c r="AE27" s="131" t="n">
        <v>102</v>
      </c>
      <c r="AF27" s="135" t="n">
        <v>1.7</v>
      </c>
      <c r="AG27" s="136" t="n">
        <v>1.3</v>
      </c>
      <c r="AH27" s="460" t="n">
        <v>72</v>
      </c>
      <c r="AI27" s="459" t="n">
        <f aca="false">AI26-AH27</f>
        <v>12714.2578774893</v>
      </c>
      <c r="AJ27" s="79" t="n">
        <v>0</v>
      </c>
      <c r="AK27" s="131" t="n">
        <f aca="false">N27+O27+P27+Q27+R27+S27+T27+W27+AE27+AH27</f>
        <v>635</v>
      </c>
      <c r="AL27" s="131" t="n">
        <f aca="false">IF(L27&lt;0,L27*-1,0)</f>
        <v>14.0205369296697</v>
      </c>
      <c r="AM27" s="131" t="n">
        <f aca="false">AK27+AL27</f>
        <v>649.02053692967</v>
      </c>
      <c r="AN27" s="453" t="n">
        <f aca="false">AN26</f>
        <v>14570.652155</v>
      </c>
      <c r="AO27" s="94"/>
      <c r="AP27" s="94" t="n">
        <f aca="false">I27-Q27-R27-W27-AF27</f>
        <v>164.174797</v>
      </c>
      <c r="AQ27" s="199" t="n">
        <f aca="false">64*(AA26*1.9835+AC27*1.9835+AP27*1.9835)/E27</f>
        <v>2.6020871832104</v>
      </c>
      <c r="AR27" s="133"/>
      <c r="AS27" s="358"/>
      <c r="AT27" s="12"/>
      <c r="AV27" s="99" t="n">
        <v>0</v>
      </c>
      <c r="AW27" s="100" t="n">
        <v>72</v>
      </c>
      <c r="AX27" s="100" t="n">
        <v>44</v>
      </c>
      <c r="AY27" s="300"/>
      <c r="AZ27" s="233" t="n">
        <f aca="false">SUM(N27,P27:T27)</f>
        <v>11.074997</v>
      </c>
    </row>
    <row r="28" customFormat="false" ht="12.95" hidden="false" customHeight="true" outlineLevel="0" collapsed="false">
      <c r="A28" s="10" t="n">
        <f aca="false">A27+1</f>
        <v>16</v>
      </c>
      <c r="B28" s="360" t="n">
        <v>6923.66</v>
      </c>
      <c r="C28" s="91" t="n">
        <v>379646</v>
      </c>
      <c r="D28" s="100" t="n">
        <f aca="false">C28-C27</f>
        <v>-312</v>
      </c>
      <c r="E28" s="91" t="n">
        <f aca="false">C28-152000</f>
        <v>227646</v>
      </c>
      <c r="F28" s="370" t="n">
        <f aca="false">D28/$D$2</f>
        <v>-157.29770607512</v>
      </c>
      <c r="G28" s="131" t="n">
        <v>499</v>
      </c>
      <c r="H28" s="93" t="n">
        <v>0.08</v>
      </c>
      <c r="I28" s="131" t="n">
        <f aca="false">G28+H28</f>
        <v>499.08</v>
      </c>
      <c r="J28" s="371" t="n">
        <f aca="false">IF(L28&gt;0,L28,0)</f>
        <v>18.6222939248803</v>
      </c>
      <c r="K28" s="131" t="n">
        <f aca="false">I28+J28</f>
        <v>517.70229392488</v>
      </c>
      <c r="L28" s="131" t="n">
        <f aca="false">F28-(I28-AK28)</f>
        <v>18.6222939248803</v>
      </c>
      <c r="M28" s="135" t="n">
        <v>289</v>
      </c>
      <c r="N28" s="199" t="n">
        <f aca="false">1.8299*1.03</f>
        <v>1.884797</v>
      </c>
      <c r="O28" s="143" t="n">
        <f aca="false">(52+53)*1.05</f>
        <v>110.25</v>
      </c>
      <c r="P28" s="312" t="n">
        <v>0</v>
      </c>
      <c r="Q28" s="199" t="n">
        <f aca="false">2.51*1.02</f>
        <v>2.5602</v>
      </c>
      <c r="R28" s="199" t="n">
        <v>4.2</v>
      </c>
      <c r="S28" s="312" t="n">
        <v>3.4</v>
      </c>
      <c r="T28" s="356" t="n">
        <v>0</v>
      </c>
      <c r="U28" s="131" t="n">
        <v>136</v>
      </c>
      <c r="V28" s="131" t="n">
        <v>58</v>
      </c>
      <c r="W28" s="132" t="n">
        <f aca="false">M28-N28-O28-P28-Q28-R28-S28-T28+U28+V28-AT28+AR28</f>
        <v>360.705003</v>
      </c>
      <c r="X28" s="132" t="n">
        <f aca="false">W28-AO28</f>
        <v>360.705003</v>
      </c>
      <c r="Y28" s="104" t="n">
        <f aca="false">Y27+(X28*1.9835)</f>
        <v>57359.0839805585</v>
      </c>
      <c r="Z28" s="104" t="n">
        <f aca="false">Z27+X28*(26300/37500)*1.9835</f>
        <v>40227.8375650317</v>
      </c>
      <c r="AA28" s="104" t="n">
        <f aca="false">AA27+AP28</f>
        <v>3178.342755</v>
      </c>
      <c r="AB28" s="104" t="n">
        <f aca="false">AB27+(AP28+X28)*1.9835</f>
        <v>46835.634339636</v>
      </c>
      <c r="AC28" s="104" t="n">
        <f aca="false">AC27-(AQ27/1.9835)</f>
        <v>1622.92363428124</v>
      </c>
      <c r="AD28" s="104"/>
      <c r="AE28" s="131" t="n">
        <v>117</v>
      </c>
      <c r="AF28" s="135" t="n">
        <v>1.7</v>
      </c>
      <c r="AG28" s="136" t="n">
        <v>1.3</v>
      </c>
      <c r="AH28" s="460" t="n">
        <v>75</v>
      </c>
      <c r="AI28" s="459" t="n">
        <f aca="false">AI27-AH28</f>
        <v>12639.2578774893</v>
      </c>
      <c r="AJ28" s="79" t="n">
        <v>0</v>
      </c>
      <c r="AK28" s="131" t="n">
        <f aca="false">N28+O28+P28+Q28+R28+S28+T28+W28+AE28+AH28</f>
        <v>675</v>
      </c>
      <c r="AL28" s="131" t="n">
        <f aca="false">IF(L28&lt;0,L28*-1,0)</f>
        <v>0</v>
      </c>
      <c r="AM28" s="131" t="n">
        <f aca="false">AK28+AL28</f>
        <v>675</v>
      </c>
      <c r="AN28" s="453" t="n">
        <f aca="false">AN27</f>
        <v>14570.652155</v>
      </c>
      <c r="AO28" s="94"/>
      <c r="AP28" s="94" t="n">
        <f aca="false">I28-Q28-R28-W28-AF28</f>
        <v>129.914797</v>
      </c>
      <c r="AQ28" s="199" t="n">
        <f aca="false">64*(AA27*1.9835+AC28*1.9835+AP28*1.9835)/E28</f>
        <v>2.67736731820861</v>
      </c>
      <c r="AR28" s="133"/>
      <c r="AS28" s="358"/>
      <c r="AT28" s="12"/>
      <c r="AV28" s="99" t="n">
        <v>0</v>
      </c>
      <c r="AW28" s="100" t="n">
        <v>75</v>
      </c>
      <c r="AX28" s="100" t="n">
        <v>48</v>
      </c>
      <c r="AY28" s="300"/>
      <c r="AZ28" s="233" t="n">
        <f aca="false">SUM(N28,P28:T28)</f>
        <v>12.044997</v>
      </c>
    </row>
    <row r="29" customFormat="false" ht="12.95" hidden="false" customHeight="true" outlineLevel="0" collapsed="false">
      <c r="A29" s="10" t="n">
        <f aca="false">A28+1</f>
        <v>17</v>
      </c>
      <c r="B29" s="360" t="n">
        <v>6923.58</v>
      </c>
      <c r="C29" s="91" t="n">
        <v>379290</v>
      </c>
      <c r="D29" s="100" t="n">
        <f aca="false">C29-C28</f>
        <v>-356</v>
      </c>
      <c r="E29" s="91" t="n">
        <f aca="false">C29-152000</f>
        <v>227290</v>
      </c>
      <c r="F29" s="370" t="n">
        <f aca="false">D29/$D$2</f>
        <v>-179.480715906226</v>
      </c>
      <c r="G29" s="131" t="n">
        <v>485</v>
      </c>
      <c r="H29" s="93" t="n">
        <v>0.08</v>
      </c>
      <c r="I29" s="131" t="n">
        <f aca="false">G29+H29</f>
        <v>485.08</v>
      </c>
      <c r="J29" s="371" t="n">
        <f aca="false">IF(L29&gt;0,L29,0)</f>
        <v>0</v>
      </c>
      <c r="K29" s="131" t="n">
        <f aca="false">I29+J29</f>
        <v>485.08</v>
      </c>
      <c r="L29" s="131" t="n">
        <f aca="false">F29-(I29-AK29)</f>
        <v>-23.5607159062263</v>
      </c>
      <c r="M29" s="135" t="n">
        <v>240</v>
      </c>
      <c r="N29" s="199" t="n">
        <f aca="false">1.8299*1.03</f>
        <v>1.884797</v>
      </c>
      <c r="O29" s="143" t="n">
        <f aca="false">(34+36)*1.05</f>
        <v>73.5</v>
      </c>
      <c r="P29" s="312" t="n">
        <v>0</v>
      </c>
      <c r="Q29" s="199" t="n">
        <f aca="false">2.51*1.02</f>
        <v>2.5602</v>
      </c>
      <c r="R29" s="199" t="n">
        <v>4.2</v>
      </c>
      <c r="S29" s="312" t="n">
        <v>3.49</v>
      </c>
      <c r="T29" s="356" t="n">
        <v>0</v>
      </c>
      <c r="U29" s="131" t="n">
        <v>145</v>
      </c>
      <c r="V29" s="131" t="n">
        <v>60</v>
      </c>
      <c r="W29" s="132" t="n">
        <f aca="false">M29-N29-O29-P29-Q29-R29-S29-T29+U29+V29-AT29+AR29</f>
        <v>359.365003</v>
      </c>
      <c r="X29" s="132" t="n">
        <f aca="false">W29-AO29</f>
        <v>359.365003</v>
      </c>
      <c r="Y29" s="104" t="n">
        <f aca="false">Y28+(X29*1.9835)</f>
        <v>58071.884464009</v>
      </c>
      <c r="Z29" s="104" t="n">
        <f aca="false">Z28+X29*(26300/37500)*1.9835</f>
        <v>40727.7483040917</v>
      </c>
      <c r="AA29" s="104" t="n">
        <f aca="false">AA28+AP29</f>
        <v>3295.597552</v>
      </c>
      <c r="AB29" s="104" t="n">
        <f aca="false">AB28+(AP29+X29)*1.9835</f>
        <v>47781.009712936</v>
      </c>
      <c r="AC29" s="104" t="n">
        <f aca="false">AC28-(AQ28/1.9835)</f>
        <v>1621.57381460985</v>
      </c>
      <c r="AD29" s="104"/>
      <c r="AE29" s="131" t="n">
        <v>121</v>
      </c>
      <c r="AF29" s="135" t="n">
        <v>1.7</v>
      </c>
      <c r="AG29" s="136" t="n">
        <v>1.3</v>
      </c>
      <c r="AH29" s="460" t="n">
        <v>75</v>
      </c>
      <c r="AI29" s="459" t="n">
        <f aca="false">AI28-AH29</f>
        <v>12564.2578774893</v>
      </c>
      <c r="AJ29" s="79" t="n">
        <v>0</v>
      </c>
      <c r="AK29" s="131" t="n">
        <f aca="false">N29+O29+P29+Q29+R29+S29+T29+W29+AE29+AH29</f>
        <v>641</v>
      </c>
      <c r="AL29" s="131" t="n">
        <f aca="false">IF(L29&lt;0,L29*-1,0)</f>
        <v>23.5607159062263</v>
      </c>
      <c r="AM29" s="131" t="n">
        <f aca="false">AK29+AL29</f>
        <v>664.560715906226</v>
      </c>
      <c r="AN29" s="453" t="n">
        <f aca="false">AN28</f>
        <v>14570.652155</v>
      </c>
      <c r="AO29" s="94"/>
      <c r="AP29" s="94" t="n">
        <f aca="false">I29-Q29-R29-W29-AF29</f>
        <v>117.254797</v>
      </c>
      <c r="AQ29" s="199" t="n">
        <f aca="false">64*(AA28*1.9835+AC29*1.9835+AP29*1.9835)/E29</f>
        <v>2.74629505021303</v>
      </c>
      <c r="AR29" s="133"/>
      <c r="AS29" s="358"/>
      <c r="AT29" s="12"/>
      <c r="AV29" s="99" t="n">
        <v>0</v>
      </c>
      <c r="AW29" s="100" t="n">
        <v>75</v>
      </c>
      <c r="AX29" s="100" t="n">
        <v>49</v>
      </c>
      <c r="AY29" s="300"/>
      <c r="AZ29" s="233" t="n">
        <f aca="false">SUM(N29,P29:T29)</f>
        <v>12.134997</v>
      </c>
    </row>
    <row r="30" customFormat="false" ht="12.95" hidden="false" customHeight="true" outlineLevel="0" collapsed="false">
      <c r="A30" s="10" t="n">
        <f aca="false">A29+1</f>
        <v>18</v>
      </c>
      <c r="B30" s="360" t="n">
        <v>6923.5</v>
      </c>
      <c r="C30" s="91" t="n">
        <v>378934</v>
      </c>
      <c r="D30" s="100" t="n">
        <f aca="false">C30-C29</f>
        <v>-356</v>
      </c>
      <c r="E30" s="91" t="n">
        <f aca="false">C30-152000</f>
        <v>226934</v>
      </c>
      <c r="F30" s="370" t="n">
        <f aca="false">D30/$D$2</f>
        <v>-179.480715906226</v>
      </c>
      <c r="G30" s="131" t="n">
        <v>472</v>
      </c>
      <c r="H30" s="93" t="n">
        <v>0.17</v>
      </c>
      <c r="I30" s="131" t="n">
        <f aca="false">G30+H30</f>
        <v>472.17</v>
      </c>
      <c r="J30" s="371" t="n">
        <f aca="false">IF(L30&gt;0,L30,0)</f>
        <v>0</v>
      </c>
      <c r="K30" s="131" t="n">
        <f aca="false">I30+J30</f>
        <v>472.17</v>
      </c>
      <c r="L30" s="131" t="n">
        <f aca="false">F30-(I30-AK30)</f>
        <v>-14.6507159062264</v>
      </c>
      <c r="M30" s="135" t="n">
        <v>254</v>
      </c>
      <c r="N30" s="199" t="n">
        <f aca="false">1.8299*1.03</f>
        <v>1.884797</v>
      </c>
      <c r="O30" s="143" t="n">
        <f aca="false">(27+28)*1.05</f>
        <v>57.75</v>
      </c>
      <c r="P30" s="312" t="n">
        <v>0</v>
      </c>
      <c r="Q30" s="199" t="n">
        <f aca="false">2.51*1.02</f>
        <v>2.5602</v>
      </c>
      <c r="R30" s="199" t="n">
        <v>4.2</v>
      </c>
      <c r="S30" s="312" t="n">
        <v>2.85</v>
      </c>
      <c r="T30" s="356" t="n">
        <v>0</v>
      </c>
      <c r="U30" s="131" t="n">
        <v>148</v>
      </c>
      <c r="V30" s="131" t="n">
        <v>61</v>
      </c>
      <c r="W30" s="132" t="n">
        <f aca="false">M30-N30-O30-P30-Q30-R30-S30-T30+U30+V30-AT30+AR30</f>
        <v>393.755003</v>
      </c>
      <c r="X30" s="132" t="n">
        <f aca="false">W30-AO30</f>
        <v>393.755003</v>
      </c>
      <c r="Y30" s="104" t="n">
        <f aca="false">Y29+(X30*1.9835)</f>
        <v>58852.8975124595</v>
      </c>
      <c r="Z30" s="104" t="n">
        <f aca="false">Z29+X30*(26300/37500)*1.9835</f>
        <v>41275.4987887383</v>
      </c>
      <c r="AA30" s="104" t="n">
        <f aca="false">AA29+AP30</f>
        <v>3365.552349</v>
      </c>
      <c r="AB30" s="104" t="n">
        <f aca="false">AB29+(AP30+X30)*1.9835</f>
        <v>48700.778101236</v>
      </c>
      <c r="AC30" s="104" t="n">
        <f aca="false">AC29-(AQ29/1.9835)</f>
        <v>1620.18924438035</v>
      </c>
      <c r="AD30" s="104"/>
      <c r="AE30" s="131" t="n">
        <v>99</v>
      </c>
      <c r="AF30" s="135" t="n">
        <v>1.7</v>
      </c>
      <c r="AG30" s="136" t="n">
        <v>1.3</v>
      </c>
      <c r="AH30" s="460" t="n">
        <v>75</v>
      </c>
      <c r="AI30" s="459" t="n">
        <f aca="false">AI29-AH30</f>
        <v>12489.2578774893</v>
      </c>
      <c r="AJ30" s="79" t="n">
        <v>0</v>
      </c>
      <c r="AK30" s="131" t="n">
        <f aca="false">N30+O30+P30+Q30+R30+S30+T30+W30+AE30+AH30</f>
        <v>637</v>
      </c>
      <c r="AL30" s="131" t="n">
        <f aca="false">IF(L30&lt;0,L30*-1,0)</f>
        <v>14.6507159062264</v>
      </c>
      <c r="AM30" s="131" t="n">
        <f aca="false">AK30+AL30</f>
        <v>651.650715906226</v>
      </c>
      <c r="AN30" s="453" t="n">
        <f aca="false">AN29</f>
        <v>14570.652155</v>
      </c>
      <c r="AO30" s="94"/>
      <c r="AP30" s="94" t="n">
        <f aca="false">I30-Q30-R30-W30-AF30</f>
        <v>69.954797</v>
      </c>
      <c r="AQ30" s="199" t="n">
        <f aca="false">64*(AA29*1.9835+AC30*1.9835+AP30*1.9835)/E30</f>
        <v>2.78896058250449</v>
      </c>
      <c r="AR30" s="133"/>
      <c r="AS30" s="358"/>
      <c r="AT30" s="12"/>
      <c r="AV30" s="99" t="n">
        <v>0</v>
      </c>
      <c r="AW30" s="100" t="n">
        <v>73</v>
      </c>
      <c r="AX30" s="100" t="n">
        <v>46</v>
      </c>
      <c r="AY30" s="300"/>
      <c r="AZ30" s="233" t="n">
        <f aca="false">SUM(N30,P30:T30)</f>
        <v>11.494997</v>
      </c>
    </row>
    <row r="31" customFormat="false" ht="12.95" hidden="false" customHeight="true" outlineLevel="0" collapsed="false">
      <c r="A31" s="10" t="n">
        <f aca="false">A30+1</f>
        <v>19</v>
      </c>
      <c r="B31" s="360" t="n">
        <v>6923.4</v>
      </c>
      <c r="C31" s="91" t="n">
        <v>378489</v>
      </c>
      <c r="D31" s="100" t="n">
        <f aca="false">C31-C30</f>
        <v>-445</v>
      </c>
      <c r="E31" s="91" t="n">
        <f aca="false">C31-152000</f>
        <v>226489</v>
      </c>
      <c r="F31" s="370" t="n">
        <f aca="false">D31/$D$2</f>
        <v>-224.350894882783</v>
      </c>
      <c r="G31" s="131" t="n">
        <v>461</v>
      </c>
      <c r="H31" s="93" t="n">
        <v>0.16</v>
      </c>
      <c r="I31" s="131" t="n">
        <f aca="false">G31+H31</f>
        <v>461.16</v>
      </c>
      <c r="J31" s="371" t="n">
        <f aca="false">IF(L31&gt;0,L31,0)</f>
        <v>0</v>
      </c>
      <c r="K31" s="131" t="n">
        <f aca="false">I31+J31</f>
        <v>461.16</v>
      </c>
      <c r="L31" s="131" t="n">
        <f aca="false">F31-(I31-AK31)</f>
        <v>-50.510894882783</v>
      </c>
      <c r="M31" s="135" t="n">
        <v>246</v>
      </c>
      <c r="N31" s="199" t="n">
        <f aca="false">1.8299*1.03</f>
        <v>1.884797</v>
      </c>
      <c r="O31" s="143" t="n">
        <f aca="false">(25+25)*1.05</f>
        <v>52.5</v>
      </c>
      <c r="P31" s="312" t="n">
        <v>0</v>
      </c>
      <c r="Q31" s="199" t="n">
        <f aca="false">2.51*1.02</f>
        <v>2.5602</v>
      </c>
      <c r="R31" s="199" t="n">
        <v>4.2</v>
      </c>
      <c r="S31" s="312" t="n">
        <v>2.69</v>
      </c>
      <c r="T31" s="356" t="n">
        <v>0</v>
      </c>
      <c r="U31" s="131" t="n">
        <v>148</v>
      </c>
      <c r="V31" s="131" t="n">
        <v>62</v>
      </c>
      <c r="W31" s="132" t="n">
        <f aca="false">M31-N31-O31-P31-Q31-R31-S31-T31+U31+V31-AT31+AR31</f>
        <v>392.165003</v>
      </c>
      <c r="X31" s="132" t="n">
        <f aca="false">W31-AO31</f>
        <v>392.165003</v>
      </c>
      <c r="Y31" s="104" t="n">
        <f aca="false">Y30+(X31*1.9835)</f>
        <v>59630.75679591</v>
      </c>
      <c r="Z31" s="104" t="n">
        <f aca="false">Z30+X31*(26300/37500)*1.9835</f>
        <v>41821.0374328649</v>
      </c>
      <c r="AA31" s="104" t="n">
        <f aca="false">AA30+AP31</f>
        <v>3426.087146</v>
      </c>
      <c r="AB31" s="104" t="n">
        <f aca="false">AB30+(AP31+X31)*1.9835</f>
        <v>49598.708154536</v>
      </c>
      <c r="AC31" s="104" t="n">
        <f aca="false">AC30-(AQ30/1.9835)</f>
        <v>1618.78316392534</v>
      </c>
      <c r="AD31" s="104"/>
      <c r="AE31" s="131" t="n">
        <v>104</v>
      </c>
      <c r="AF31" s="135" t="n">
        <v>1.7</v>
      </c>
      <c r="AG31" s="136" t="n">
        <v>1.3</v>
      </c>
      <c r="AH31" s="460" t="n">
        <v>75</v>
      </c>
      <c r="AI31" s="459" t="n">
        <f aca="false">AI30-AH31</f>
        <v>12414.2578774893</v>
      </c>
      <c r="AJ31" s="79" t="n">
        <v>0</v>
      </c>
      <c r="AK31" s="131" t="n">
        <f aca="false">N31+O31+P31+Q31+R31+S31+T31+W31+AE31+AH31</f>
        <v>635</v>
      </c>
      <c r="AL31" s="131" t="n">
        <f aca="false">IF(L31&lt;0,L31*-1,0)</f>
        <v>50.510894882783</v>
      </c>
      <c r="AM31" s="131" t="n">
        <f aca="false">AK31+AL31</f>
        <v>685.510894882783</v>
      </c>
      <c r="AN31" s="453" t="n">
        <f aca="false">AN30</f>
        <v>14570.652155</v>
      </c>
      <c r="AO31" s="94"/>
      <c r="AP31" s="94" t="n">
        <f aca="false">I31-Q31-R31-W31-AF31</f>
        <v>60.534797</v>
      </c>
      <c r="AQ31" s="199" t="n">
        <f aca="false">64*(AA30*1.9835+AC31*1.9835+AP31*1.9835)/E31</f>
        <v>2.82758110382033</v>
      </c>
      <c r="AR31" s="133"/>
      <c r="AS31" s="358"/>
      <c r="AT31" s="12"/>
      <c r="AV31" s="99" t="n">
        <v>0</v>
      </c>
      <c r="AW31" s="100" t="n">
        <v>77</v>
      </c>
      <c r="AX31" s="100" t="n">
        <v>44</v>
      </c>
      <c r="AY31" s="300"/>
      <c r="AZ31" s="233" t="n">
        <f aca="false">SUM(N31,P31:T31)</f>
        <v>11.334997</v>
      </c>
    </row>
    <row r="32" customFormat="false" ht="12.95" hidden="false" customHeight="true" outlineLevel="0" collapsed="false">
      <c r="A32" s="10" t="n">
        <f aca="false">A31+1</f>
        <v>20</v>
      </c>
      <c r="B32" s="360" t="n">
        <v>6923.31</v>
      </c>
      <c r="C32" s="91" t="n">
        <v>378089</v>
      </c>
      <c r="D32" s="100" t="n">
        <f aca="false">C32-C31</f>
        <v>-400</v>
      </c>
      <c r="E32" s="91" t="n">
        <f aca="false">C32-152000</f>
        <v>226089</v>
      </c>
      <c r="F32" s="370" t="n">
        <f aca="false">D32/$D$2</f>
        <v>-201.663725737333</v>
      </c>
      <c r="G32" s="131" t="n">
        <v>471</v>
      </c>
      <c r="H32" s="93" t="n">
        <v>0.51</v>
      </c>
      <c r="I32" s="131" t="n">
        <f aca="false">G32+H32</f>
        <v>471.51</v>
      </c>
      <c r="J32" s="371" t="n">
        <f aca="false">IF(L32&gt;0,L32,0)</f>
        <v>0</v>
      </c>
      <c r="K32" s="131" t="n">
        <f aca="false">I32+J32</f>
        <v>471.51</v>
      </c>
      <c r="L32" s="131" t="n">
        <f aca="false">F32-(I32-AK32)</f>
        <v>-79.173725737333</v>
      </c>
      <c r="M32" s="135" t="n">
        <v>210</v>
      </c>
      <c r="N32" s="199" t="n">
        <f aca="false">1.8299*1.03</f>
        <v>1.884797</v>
      </c>
      <c r="O32" s="93" t="n">
        <f aca="false">(12+13)*1.05</f>
        <v>26.25</v>
      </c>
      <c r="P32" s="312" t="n">
        <v>0</v>
      </c>
      <c r="Q32" s="199" t="n">
        <f aca="false">2.51*1.02</f>
        <v>2.5602</v>
      </c>
      <c r="R32" s="199" t="n">
        <v>4.2</v>
      </c>
      <c r="S32" s="312" t="n">
        <v>2.63</v>
      </c>
      <c r="T32" s="356" t="n">
        <v>0</v>
      </c>
      <c r="U32" s="131" t="n">
        <v>148</v>
      </c>
      <c r="V32" s="131" t="n">
        <v>62</v>
      </c>
      <c r="W32" s="132" t="n">
        <f aca="false">M32-N32-O32-P32-Q32-R32-S32-T32+U32+V32-AT32+AR32</f>
        <v>382.475003</v>
      </c>
      <c r="X32" s="132" t="n">
        <f aca="false">W32-AO32</f>
        <v>382.475003</v>
      </c>
      <c r="Y32" s="104" t="n">
        <f aca="false">Y31+(X32*1.9835)</f>
        <v>60389.3959643605</v>
      </c>
      <c r="Z32" s="104" t="n">
        <f aca="false">Z31+X32*(26300/37500)*1.9835</f>
        <v>42353.0963696715</v>
      </c>
      <c r="AA32" s="104" t="n">
        <f aca="false">AA31+AP32</f>
        <v>3506.661943</v>
      </c>
      <c r="AB32" s="104" t="n">
        <f aca="false">AB31+(AP32+X32)*1.9835</f>
        <v>50517.167432836</v>
      </c>
      <c r="AC32" s="104" t="n">
        <f aca="false">AC31-(AQ31/1.9835)</f>
        <v>1617.35761257479</v>
      </c>
      <c r="AD32" s="104"/>
      <c r="AE32" s="131" t="n">
        <v>99</v>
      </c>
      <c r="AF32" s="135" t="n">
        <v>1.7</v>
      </c>
      <c r="AG32" s="136" t="n">
        <v>1.3</v>
      </c>
      <c r="AH32" s="460" t="n">
        <v>75</v>
      </c>
      <c r="AI32" s="459" t="n">
        <f aca="false">AI31-AH32</f>
        <v>12339.2578774893</v>
      </c>
      <c r="AJ32" s="79" t="n">
        <v>0</v>
      </c>
      <c r="AK32" s="131" t="n">
        <f aca="false">N32+O32+P32+Q32+R32+S32+T32+W32+AE32+AH32</f>
        <v>594</v>
      </c>
      <c r="AL32" s="131" t="n">
        <f aca="false">IF(L32&lt;0,L32*-1,0)</f>
        <v>79.173725737333</v>
      </c>
      <c r="AM32" s="131" t="n">
        <f aca="false">AK32+AL32</f>
        <v>673.173725737333</v>
      </c>
      <c r="AN32" s="453" t="n">
        <f aca="false">AN31</f>
        <v>14570.652155</v>
      </c>
      <c r="AO32" s="94"/>
      <c r="AP32" s="94" t="n">
        <f aca="false">I32-Q32-R32-W32-AF32</f>
        <v>80.574797</v>
      </c>
      <c r="AQ32" s="199" t="n">
        <f aca="false">64*(AA31*1.9835+AC32*1.9835+AP32*1.9835)/E32</f>
        <v>2.87702426240501</v>
      </c>
      <c r="AR32" s="133"/>
      <c r="AS32" s="358"/>
      <c r="AT32" s="12"/>
      <c r="AV32" s="99" t="n">
        <v>0.02</v>
      </c>
      <c r="AW32" s="100" t="n">
        <v>69</v>
      </c>
      <c r="AX32" s="100" t="n">
        <v>49</v>
      </c>
      <c r="AY32" s="300"/>
      <c r="AZ32" s="233" t="n">
        <f aca="false">SUM(N32,P32:T32)</f>
        <v>11.274997</v>
      </c>
    </row>
    <row r="33" customFormat="false" ht="12.95" hidden="false" customHeight="true" outlineLevel="0" collapsed="false">
      <c r="A33" s="10" t="n">
        <f aca="false">A32+1</f>
        <v>21</v>
      </c>
      <c r="B33" s="360" t="n">
        <v>6923.23</v>
      </c>
      <c r="C33" s="91" t="n">
        <v>377732</v>
      </c>
      <c r="D33" s="100" t="n">
        <f aca="false">C33-C32</f>
        <v>-357</v>
      </c>
      <c r="E33" s="91" t="n">
        <f aca="false">C33-152000</f>
        <v>225732</v>
      </c>
      <c r="F33" s="370" t="n">
        <f aca="false">D33/$D$2</f>
        <v>-179.98487522057</v>
      </c>
      <c r="G33" s="131" t="n">
        <v>481</v>
      </c>
      <c r="H33" s="93" t="n">
        <v>0.75</v>
      </c>
      <c r="I33" s="131" t="n">
        <f aca="false">G33+H33</f>
        <v>481.75</v>
      </c>
      <c r="J33" s="371" t="n">
        <f aca="false">IF(L33&gt;0,L33,0)</f>
        <v>0</v>
      </c>
      <c r="K33" s="131" t="n">
        <f aca="false">I33+J33</f>
        <v>481.75</v>
      </c>
      <c r="L33" s="131" t="n">
        <f aca="false">F33-(I33-AK33)</f>
        <v>-45.7348752205697</v>
      </c>
      <c r="M33" s="135" t="n">
        <v>238</v>
      </c>
      <c r="N33" s="199" t="n">
        <f aca="false">1.8299*1.03</f>
        <v>1.884797</v>
      </c>
      <c r="O33" s="143" t="n">
        <f aca="false">(11+14)*1.05</f>
        <v>26.25</v>
      </c>
      <c r="P33" s="312" t="n">
        <v>0</v>
      </c>
      <c r="Q33" s="199" t="n">
        <f aca="false">2.51*1.02</f>
        <v>2.5602</v>
      </c>
      <c r="R33" s="199" t="n">
        <v>4.2</v>
      </c>
      <c r="S33" s="312" t="n">
        <v>2</v>
      </c>
      <c r="T33" s="356" t="n">
        <v>0</v>
      </c>
      <c r="U33" s="131" t="n">
        <v>148</v>
      </c>
      <c r="V33" s="131" t="n">
        <v>62</v>
      </c>
      <c r="W33" s="132" t="n">
        <f aca="false">M33-N33-O33-P33-Q33-R33-S33-T33+U33+V33-AT33+AR33</f>
        <v>411.105003</v>
      </c>
      <c r="X33" s="132" t="n">
        <f aca="false">W33-AO33</f>
        <v>411.105003</v>
      </c>
      <c r="Y33" s="104" t="n">
        <f aca="false">Y32+(X33*1.9835)</f>
        <v>61204.822737811</v>
      </c>
      <c r="Z33" s="104" t="n">
        <f aca="false">Z32+X33*(26300/37500)*1.9835</f>
        <v>42924.9823467848</v>
      </c>
      <c r="AA33" s="104" t="n">
        <f aca="false">AA32+AP33</f>
        <v>3568.84674</v>
      </c>
      <c r="AB33" s="104" t="n">
        <f aca="false">AB32+(AP33+X33)*1.9835</f>
        <v>51455.9377511359</v>
      </c>
      <c r="AC33" s="104" t="n">
        <f aca="false">AC32-(AQ32/1.9835)</f>
        <v>1615.90713399531</v>
      </c>
      <c r="AD33" s="104"/>
      <c r="AE33" s="131" t="n">
        <v>93</v>
      </c>
      <c r="AF33" s="135" t="n">
        <v>1.7</v>
      </c>
      <c r="AG33" s="136" t="n">
        <v>1.3</v>
      </c>
      <c r="AH33" s="460" t="n">
        <v>75</v>
      </c>
      <c r="AI33" s="459" t="n">
        <f aca="false">AI32-AH33</f>
        <v>12264.2578774893</v>
      </c>
      <c r="AJ33" s="79" t="n">
        <v>0</v>
      </c>
      <c r="AK33" s="131" t="n">
        <f aca="false">N33+O33+P33+Q33+R33+S33+T33+W33+AE33+AH33</f>
        <v>616</v>
      </c>
      <c r="AL33" s="131" t="n">
        <f aca="false">IF(L33&lt;0,L33*-1,0)</f>
        <v>45.7348752205697</v>
      </c>
      <c r="AM33" s="131" t="n">
        <f aca="false">AK33+AL33</f>
        <v>661.73487522057</v>
      </c>
      <c r="AN33" s="453" t="n">
        <f aca="false">AN32</f>
        <v>14570.652155</v>
      </c>
      <c r="AO33" s="94"/>
      <c r="AP33" s="94" t="n">
        <f aca="false">I33-Q33-R33-W33-AF33</f>
        <v>62.184797</v>
      </c>
      <c r="AQ33" s="199" t="n">
        <f aca="false">64*(AA32*1.9835+AC33*1.9835+AP33*1.9835)/E33</f>
        <v>2.91572925318723</v>
      </c>
      <c r="AR33" s="133"/>
      <c r="AS33" s="358"/>
      <c r="AT33" s="12"/>
      <c r="AV33" s="99" t="n">
        <v>0</v>
      </c>
      <c r="AW33" s="100" t="n">
        <v>78</v>
      </c>
      <c r="AX33" s="100" t="n">
        <v>51</v>
      </c>
      <c r="AY33" s="300"/>
      <c r="AZ33" s="233" t="n">
        <f aca="false">SUM(N33,P33:T33)</f>
        <v>10.644997</v>
      </c>
    </row>
    <row r="34" customFormat="false" ht="12.95" hidden="false" customHeight="true" outlineLevel="0" collapsed="false">
      <c r="A34" s="10" t="n">
        <f aca="false">A33+1</f>
        <v>22</v>
      </c>
      <c r="B34" s="360" t="n">
        <v>6923.09</v>
      </c>
      <c r="C34" s="91" t="n">
        <v>377109</v>
      </c>
      <c r="D34" s="100" t="n">
        <f aca="false">C34-C33</f>
        <v>-623</v>
      </c>
      <c r="E34" s="91" t="n">
        <f aca="false">C34-152000</f>
        <v>225109</v>
      </c>
      <c r="F34" s="370" t="n">
        <f aca="false">D34/$D$2</f>
        <v>-314.091252835896</v>
      </c>
      <c r="G34" s="131" t="n">
        <v>430</v>
      </c>
      <c r="H34" s="93" t="n">
        <v>0.68</v>
      </c>
      <c r="I34" s="131" t="n">
        <f aca="false">G34+H34</f>
        <v>430.68</v>
      </c>
      <c r="J34" s="371" t="n">
        <f aca="false">IF(L34&gt;0,L34,0)</f>
        <v>0</v>
      </c>
      <c r="K34" s="131" t="n">
        <f aca="false">I34+J34</f>
        <v>430.68</v>
      </c>
      <c r="L34" s="131" t="n">
        <f aca="false">F34-(I34-AK34)</f>
        <v>-37.7712528358961</v>
      </c>
      <c r="M34" s="135" t="n">
        <v>283</v>
      </c>
      <c r="N34" s="199" t="n">
        <f aca="false">1.8299*1.03</f>
        <v>1.884797</v>
      </c>
      <c r="O34" s="143" t="n">
        <f aca="false">(30+30)*1.05</f>
        <v>63</v>
      </c>
      <c r="P34" s="312" t="n">
        <v>0</v>
      </c>
      <c r="Q34" s="199" t="n">
        <f aca="false">2.51*1.02</f>
        <v>2.5602</v>
      </c>
      <c r="R34" s="199" t="n">
        <v>4.2</v>
      </c>
      <c r="S34" s="312" t="n">
        <v>3.51</v>
      </c>
      <c r="T34" s="356" t="n">
        <v>0</v>
      </c>
      <c r="U34" s="131" t="n">
        <v>153</v>
      </c>
      <c r="V34" s="131" t="n">
        <v>62</v>
      </c>
      <c r="W34" s="132" t="n">
        <f aca="false">M34-N34-O34-P34-Q34-R34-S34-T34+U34+V34-AT34+AR34</f>
        <v>422.845003</v>
      </c>
      <c r="X34" s="132" t="n">
        <f aca="false">W34-AO34</f>
        <v>422.845003</v>
      </c>
      <c r="Y34" s="104" t="n">
        <f aca="false">Y33+(X34*1.9835)</f>
        <v>62043.5358012615</v>
      </c>
      <c r="Z34" s="104" t="n">
        <f aca="false">Z33+X34*(26300/37500)*1.9835</f>
        <v>43513.1997752847</v>
      </c>
      <c r="AA34" s="104" t="n">
        <f aca="false">AA33-(W34-I34)-Q34-R34-AF34</f>
        <v>3568.221537</v>
      </c>
      <c r="AB34" s="104" t="n">
        <f aca="false">AB33+(AP34+X34)*1.9835</f>
        <v>52294.6508145865</v>
      </c>
      <c r="AC34" s="104" t="n">
        <f aca="false">AC33-(AQ33/1.9835)</f>
        <v>1614.43714193421</v>
      </c>
      <c r="AD34" s="104"/>
      <c r="AE34" s="131" t="n">
        <v>134</v>
      </c>
      <c r="AF34" s="135" t="n">
        <v>1.7</v>
      </c>
      <c r="AG34" s="136" t="n">
        <v>1.3</v>
      </c>
      <c r="AH34" s="460" t="n">
        <v>75</v>
      </c>
      <c r="AI34" s="459" t="n">
        <f aca="false">AI33-AH34</f>
        <v>12189.2578774893</v>
      </c>
      <c r="AJ34" s="79" t="n">
        <v>0</v>
      </c>
      <c r="AK34" s="131" t="n">
        <f aca="false">N34+O34+P34+Q34+R34+S34+T34+W34+AE34+AH34</f>
        <v>707</v>
      </c>
      <c r="AL34" s="131" t="n">
        <f aca="false">IF(L34&lt;0,L34*-1,0)</f>
        <v>37.7712528358961</v>
      </c>
      <c r="AM34" s="131" t="n">
        <f aca="false">AK34+AL34</f>
        <v>744.771252835896</v>
      </c>
      <c r="AN34" s="453" t="n">
        <f aca="false">AN33</f>
        <v>14570.652155</v>
      </c>
      <c r="AO34" s="94"/>
      <c r="AP34" s="94" t="n">
        <v>0</v>
      </c>
      <c r="AQ34" s="199" t="n">
        <f aca="false">64*(AA33*1.9835+AC34*1.9835+AP34*1.9835)/E34</f>
        <v>2.92296971293132</v>
      </c>
      <c r="AR34" s="133"/>
      <c r="AS34" s="358"/>
      <c r="AT34" s="12"/>
      <c r="AV34" s="99" t="n">
        <v>0</v>
      </c>
      <c r="AW34" s="100" t="n">
        <v>82</v>
      </c>
      <c r="AX34" s="100" t="n">
        <v>48</v>
      </c>
      <c r="AY34" s="300"/>
      <c r="AZ34" s="233" t="n">
        <f aca="false">SUM(N34,P34:T34)</f>
        <v>12.154997</v>
      </c>
    </row>
    <row r="35" customFormat="false" ht="12.95" hidden="false" customHeight="true" outlineLevel="0" collapsed="false">
      <c r="A35" s="10" t="n">
        <f aca="false">A34+1</f>
        <v>23</v>
      </c>
      <c r="B35" s="360" t="n">
        <v>6922.89</v>
      </c>
      <c r="C35" s="91" t="n">
        <v>376223</v>
      </c>
      <c r="D35" s="100" t="n">
        <f aca="false">C35-C34</f>
        <v>-886</v>
      </c>
      <c r="E35" s="91" t="n">
        <f aca="false">C35-152000</f>
        <v>224223</v>
      </c>
      <c r="F35" s="370" t="n">
        <f aca="false">D35/$D$2</f>
        <v>-446.685152508193</v>
      </c>
      <c r="G35" s="131" t="n">
        <v>422</v>
      </c>
      <c r="H35" s="93" t="n">
        <v>0.67</v>
      </c>
      <c r="I35" s="131" t="n">
        <f aca="false">G35+H35</f>
        <v>422.67</v>
      </c>
      <c r="J35" s="371" t="n">
        <f aca="false">IF(L35&gt;0,L35,0)</f>
        <v>0</v>
      </c>
      <c r="K35" s="131" t="n">
        <f aca="false">I35+J35</f>
        <v>422.67</v>
      </c>
      <c r="L35" s="131" t="n">
        <f aca="false">F35-(I35-AK35)</f>
        <v>-67.3551525081926</v>
      </c>
      <c r="M35" s="135" t="n">
        <v>352</v>
      </c>
      <c r="N35" s="199" t="n">
        <f aca="false">1.8299*1.03</f>
        <v>1.884797</v>
      </c>
      <c r="O35" s="143" t="n">
        <f aca="false">(48+51)*1.05</f>
        <v>103.95</v>
      </c>
      <c r="P35" s="312" t="n">
        <v>0</v>
      </c>
      <c r="Q35" s="199" t="n">
        <f aca="false">2.51*1.02</f>
        <v>2.5602</v>
      </c>
      <c r="R35" s="199" t="n">
        <v>4.2</v>
      </c>
      <c r="S35" s="312" t="n">
        <v>3.82</v>
      </c>
      <c r="T35" s="356" t="n">
        <v>0</v>
      </c>
      <c r="U35" s="131" t="n">
        <v>158</v>
      </c>
      <c r="V35" s="131" t="n">
        <v>63</v>
      </c>
      <c r="W35" s="132" t="n">
        <f aca="false">M35-N35-O35-P35-Q35-R35-S35-T35+U35+V35-AT35+AR35</f>
        <v>456.585003</v>
      </c>
      <c r="X35" s="132" t="n">
        <f aca="false">W35-AO35</f>
        <v>456.585003</v>
      </c>
      <c r="Y35" s="104" t="n">
        <f aca="false">Y34+(X35*1.9835)</f>
        <v>62949.172154712</v>
      </c>
      <c r="Z35" s="104" t="n">
        <f aca="false">Z34+X35*(26300/37500)*1.9835</f>
        <v>44148.352737838</v>
      </c>
      <c r="AA35" s="104" t="n">
        <f aca="false">AA34-(W35-I35)-Q35-R35-AF35</f>
        <v>3525.846334</v>
      </c>
      <c r="AB35" s="104" t="n">
        <f aca="false">AB34+(AP35+X35)*1.9835</f>
        <v>53200.287168037</v>
      </c>
      <c r="AC35" s="104" t="n">
        <f aca="false">AC34-(AQ34/1.9835)</f>
        <v>1612.96349952789</v>
      </c>
      <c r="AD35" s="104"/>
      <c r="AE35" s="131" t="n">
        <v>157</v>
      </c>
      <c r="AF35" s="135" t="n">
        <v>1.7</v>
      </c>
      <c r="AG35" s="136" t="n">
        <v>1.3</v>
      </c>
      <c r="AH35" s="460" t="n">
        <v>72</v>
      </c>
      <c r="AI35" s="459" t="n">
        <f aca="false">AI34-AH35</f>
        <v>12117.2578774893</v>
      </c>
      <c r="AJ35" s="79" t="n">
        <v>0</v>
      </c>
      <c r="AK35" s="131" t="n">
        <f aca="false">N35+O35+P35+Q35+R35+S35+T35+W35+AE35+AH35</f>
        <v>802</v>
      </c>
      <c r="AL35" s="131" t="n">
        <f aca="false">IF(L35&lt;0,L35*-1,0)</f>
        <v>67.3551525081926</v>
      </c>
      <c r="AM35" s="131" t="n">
        <f aca="false">AK35+AL35</f>
        <v>869.355152508193</v>
      </c>
      <c r="AN35" s="453" t="n">
        <f aca="false">AN34</f>
        <v>14570.652155</v>
      </c>
      <c r="AO35" s="94"/>
      <c r="AP35" s="94" t="n">
        <v>0</v>
      </c>
      <c r="AQ35" s="199" t="n">
        <f aca="false">64*(AA34*1.9835+AC35*1.9835+AP35*1.9835)/E35</f>
        <v>2.93333134101763</v>
      </c>
      <c r="AR35" s="133"/>
      <c r="AS35" s="358"/>
      <c r="AT35" s="12"/>
      <c r="AV35" s="99" t="n">
        <v>0</v>
      </c>
      <c r="AW35" s="100" t="n">
        <v>87</v>
      </c>
      <c r="AX35" s="100" t="n">
        <v>55</v>
      </c>
      <c r="AY35" s="300"/>
      <c r="AZ35" s="233" t="n">
        <f aca="false">SUM(N35,P35:T35)</f>
        <v>12.464997</v>
      </c>
    </row>
    <row r="36" customFormat="false" ht="12.95" hidden="false" customHeight="true" outlineLevel="0" collapsed="false">
      <c r="A36" s="10" t="n">
        <f aca="false">A35+1</f>
        <v>24</v>
      </c>
      <c r="B36" s="360" t="n">
        <v>6922.73</v>
      </c>
      <c r="C36" s="91" t="n">
        <v>375517</v>
      </c>
      <c r="D36" s="100" t="n">
        <f aca="false">C36-C35</f>
        <v>-706</v>
      </c>
      <c r="E36" s="91" t="n">
        <f aca="false">C36-152000</f>
        <v>223517</v>
      </c>
      <c r="F36" s="370" t="n">
        <f aca="false">D36/$D$2</f>
        <v>-355.936475926393</v>
      </c>
      <c r="G36" s="131" t="n">
        <v>470</v>
      </c>
      <c r="H36" s="93" t="n">
        <v>0.83</v>
      </c>
      <c r="I36" s="131" t="n">
        <f aca="false">G36+H36</f>
        <v>470.83</v>
      </c>
      <c r="J36" s="371" t="n">
        <f aca="false">IF(L36&gt;0,L36,0)</f>
        <v>0</v>
      </c>
      <c r="K36" s="131" t="n">
        <f aca="false">I36+J36</f>
        <v>470.83</v>
      </c>
      <c r="L36" s="131" t="n">
        <f aca="false">F36-(I36-AK36)</f>
        <v>-27.7664759263927</v>
      </c>
      <c r="M36" s="135" t="n">
        <v>345</v>
      </c>
      <c r="N36" s="199" t="n">
        <f aca="false">1.8299*1.03</f>
        <v>1.884797</v>
      </c>
      <c r="O36" s="143" t="n">
        <f aca="false">(52+53)*1.05</f>
        <v>110.25</v>
      </c>
      <c r="P36" s="312" t="n">
        <v>0</v>
      </c>
      <c r="Q36" s="199" t="n">
        <f aca="false">2.51*1.02</f>
        <v>2.5602</v>
      </c>
      <c r="R36" s="199" t="n">
        <v>4.2</v>
      </c>
      <c r="S36" s="312" t="n">
        <v>3.9</v>
      </c>
      <c r="T36" s="356" t="n">
        <v>0</v>
      </c>
      <c r="U36" s="131" t="n">
        <v>157</v>
      </c>
      <c r="V36" s="131" t="n">
        <v>63</v>
      </c>
      <c r="W36" s="132" t="n">
        <f aca="false">M36-N36-O36-P36-Q36-R36-S36-T36+U36+V36-AT36+AR36</f>
        <v>442.205003</v>
      </c>
      <c r="X36" s="132" t="n">
        <f aca="false">W36-AO36</f>
        <v>442.205003</v>
      </c>
      <c r="Y36" s="104" t="n">
        <f aca="false">Y35+(X36*1.9835)</f>
        <v>63826.2857781625</v>
      </c>
      <c r="Z36" s="104" t="n">
        <f aca="false">Z35+X36*(26300/37500)*1.9835</f>
        <v>44763.5017590846</v>
      </c>
      <c r="AA36" s="104" t="n">
        <f aca="false">AA35+AP36</f>
        <v>3546.011131</v>
      </c>
      <c r="AB36" s="104" t="n">
        <f aca="false">AB35+(AP36+X36)*1.9835</f>
        <v>54117.397666337</v>
      </c>
      <c r="AC36" s="104" t="n">
        <f aca="false">AC35-(AQ35/1.9835)</f>
        <v>1611.48463321026</v>
      </c>
      <c r="AD36" s="104"/>
      <c r="AE36" s="131" t="n">
        <v>165</v>
      </c>
      <c r="AF36" s="135" t="n">
        <v>1.7</v>
      </c>
      <c r="AG36" s="136" t="n">
        <v>1.3</v>
      </c>
      <c r="AH36" s="460" t="n">
        <v>69</v>
      </c>
      <c r="AI36" s="459" t="n">
        <f aca="false">AI35-AH36</f>
        <v>12048.2578774893</v>
      </c>
      <c r="AJ36" s="79" t="n">
        <v>0</v>
      </c>
      <c r="AK36" s="131" t="n">
        <f aca="false">N36+O36+P36+Q36+R36+S36+T36+W36+AE36+AH36</f>
        <v>799</v>
      </c>
      <c r="AL36" s="131" t="n">
        <f aca="false">IF(L36&lt;0,L36*-1,0)</f>
        <v>27.7664759263927</v>
      </c>
      <c r="AM36" s="131" t="n">
        <f aca="false">AK36+AL36</f>
        <v>826.766475926393</v>
      </c>
      <c r="AN36" s="453" t="n">
        <f aca="false">AN35</f>
        <v>14570.652155</v>
      </c>
      <c r="AO36" s="94"/>
      <c r="AP36" s="94" t="n">
        <f aca="false">I36-Q36-R36-W36-AF36</f>
        <v>20.164797</v>
      </c>
      <c r="AQ36" s="199" t="n">
        <f aca="false">64*(AA35*1.9835+AC36*1.9835+AP36*1.9835)/E36</f>
        <v>2.92914249158636</v>
      </c>
      <c r="AR36" s="133"/>
      <c r="AS36" s="358"/>
      <c r="AT36" s="12"/>
      <c r="AV36" s="99" t="n">
        <v>0.01</v>
      </c>
      <c r="AW36" s="100" t="n">
        <v>82</v>
      </c>
      <c r="AX36" s="100" t="n">
        <v>58</v>
      </c>
      <c r="AY36" s="300"/>
      <c r="AZ36" s="233" t="n">
        <f aca="false">SUM(N36,P36:T36)</f>
        <v>12.544997</v>
      </c>
    </row>
    <row r="37" customFormat="false" ht="12.95" hidden="false" customHeight="true" outlineLevel="0" collapsed="false">
      <c r="A37" s="10" t="n">
        <f aca="false">A36+1</f>
        <v>25</v>
      </c>
      <c r="B37" s="360" t="n">
        <v>6922.63</v>
      </c>
      <c r="C37" s="91" t="n">
        <v>375075</v>
      </c>
      <c r="D37" s="100" t="n">
        <f aca="false">C37-C36</f>
        <v>-442</v>
      </c>
      <c r="E37" s="91" t="n">
        <f aca="false">C37-152000</f>
        <v>223075</v>
      </c>
      <c r="F37" s="370" t="n">
        <f aca="false">D37/$D$2</f>
        <v>-222.838416939753</v>
      </c>
      <c r="G37" s="131" t="n">
        <v>523</v>
      </c>
      <c r="H37" s="93" t="n">
        <v>1.2</v>
      </c>
      <c r="I37" s="131" t="n">
        <f aca="false">G37+H37</f>
        <v>524.2</v>
      </c>
      <c r="J37" s="371" t="n">
        <f aca="false">IF(L37&gt;0,L37,0)</f>
        <v>70.961583060247</v>
      </c>
      <c r="K37" s="131" t="n">
        <f aca="false">I37+J37</f>
        <v>595.161583060247</v>
      </c>
      <c r="L37" s="131" t="n">
        <f aca="false">F37-(I37-AK37)</f>
        <v>70.961583060247</v>
      </c>
      <c r="M37" s="135" t="n">
        <v>336</v>
      </c>
      <c r="N37" s="199" t="n">
        <f aca="false">1.8299*1.03</f>
        <v>1.884797</v>
      </c>
      <c r="O37" s="143" t="n">
        <f aca="false">(52+54)*1.05</f>
        <v>111.3</v>
      </c>
      <c r="P37" s="312" t="n">
        <v>0</v>
      </c>
      <c r="Q37" s="199" t="n">
        <f aca="false">2.51*1.02</f>
        <v>2.5602</v>
      </c>
      <c r="R37" s="199" t="n">
        <v>4.2</v>
      </c>
      <c r="S37" s="312" t="n">
        <v>1.85</v>
      </c>
      <c r="T37" s="356" t="n">
        <v>0</v>
      </c>
      <c r="U37" s="131" t="n">
        <v>153</v>
      </c>
      <c r="V37" s="131" t="n">
        <v>68</v>
      </c>
      <c r="W37" s="132" t="n">
        <f aca="false">M37-N37-O37-P37-Q37-R37-S37-T37+U37+V37-AT37+AR37</f>
        <v>435.205003</v>
      </c>
      <c r="X37" s="132" t="n">
        <f aca="false">W37-AO37</f>
        <v>435.205003</v>
      </c>
      <c r="Y37" s="104" t="n">
        <f aca="false">Y36+(X37*1.9835)</f>
        <v>64689.514901613</v>
      </c>
      <c r="Z37" s="104" t="n">
        <f aca="false">Z36+X37*(26300/37500)*1.9835</f>
        <v>45368.9131176646</v>
      </c>
      <c r="AA37" s="104" t="n">
        <f aca="false">AA36+AP37</f>
        <v>3626.545928</v>
      </c>
      <c r="AB37" s="104" t="n">
        <f aca="false">AB36+(AP37+X37)*1.9835</f>
        <v>55140.3675596369</v>
      </c>
      <c r="AC37" s="104" t="n">
        <f aca="false">AC36-(AQ36/1.9835)</f>
        <v>1610.00787874009</v>
      </c>
      <c r="AD37" s="104"/>
      <c r="AE37" s="131" t="n">
        <v>191</v>
      </c>
      <c r="AF37" s="135" t="n">
        <v>1.7</v>
      </c>
      <c r="AG37" s="136" t="n">
        <v>1.3</v>
      </c>
      <c r="AH37" s="460" t="n">
        <v>70</v>
      </c>
      <c r="AI37" s="459" t="n">
        <f aca="false">AI36-AH37</f>
        <v>11978.2578774893</v>
      </c>
      <c r="AJ37" s="79" t="n">
        <v>0</v>
      </c>
      <c r="AK37" s="131" t="n">
        <f aca="false">N37+O37+P37+Q37+R37+S37+T37+W37+AE37+AH37</f>
        <v>818</v>
      </c>
      <c r="AL37" s="131" t="n">
        <f aca="false">IF(L37&lt;0,L37*-1,0)</f>
        <v>0</v>
      </c>
      <c r="AM37" s="131" t="n">
        <f aca="false">AK37+AL37</f>
        <v>818</v>
      </c>
      <c r="AN37" s="453" t="n">
        <f aca="false">AN36+(82*1.9835)</f>
        <v>14733.299155</v>
      </c>
      <c r="AO37" s="94"/>
      <c r="AP37" s="94" t="n">
        <f aca="false">I37-Q37-R37-W37-AF37</f>
        <v>80.534797</v>
      </c>
      <c r="AQ37" s="199" t="n">
        <f aca="false">64*(AA36*1.9835+AC37*1.9835+AP37*1.9835)/E37</f>
        <v>2.97993538694526</v>
      </c>
      <c r="AR37" s="133"/>
      <c r="AS37" s="358"/>
      <c r="AT37" s="12"/>
      <c r="AV37" s="99" t="n">
        <v>0.28</v>
      </c>
      <c r="AW37" s="100" t="n">
        <v>82</v>
      </c>
      <c r="AX37" s="100" t="n">
        <v>57</v>
      </c>
      <c r="AY37" s="300"/>
      <c r="AZ37" s="233" t="n">
        <f aca="false">SUM(N37,P37:T37)</f>
        <v>10.494997</v>
      </c>
    </row>
    <row r="38" customFormat="false" ht="12.95" hidden="false" customHeight="true" outlineLevel="0" collapsed="false">
      <c r="A38" s="10" t="n">
        <f aca="false">A37+1</f>
        <v>26</v>
      </c>
      <c r="B38" s="360" t="n">
        <v>6922.7</v>
      </c>
      <c r="C38" s="91" t="n">
        <v>375384</v>
      </c>
      <c r="D38" s="100" t="n">
        <f aca="false">C38-C37</f>
        <v>309</v>
      </c>
      <c r="E38" s="91" t="n">
        <f aca="false">C38-152000</f>
        <v>223384</v>
      </c>
      <c r="F38" s="370" t="n">
        <f aca="false">D38/$D$2</f>
        <v>155.78522813209</v>
      </c>
      <c r="G38" s="131" t="n">
        <v>990</v>
      </c>
      <c r="H38" s="93" t="n">
        <v>1.4</v>
      </c>
      <c r="I38" s="131" t="n">
        <f aca="false">G38+H38</f>
        <v>991.4</v>
      </c>
      <c r="J38" s="371" t="n">
        <f aca="false">IF(L38&gt;0,L38,0)</f>
        <v>0</v>
      </c>
      <c r="K38" s="131" t="n">
        <f aca="false">I38+J38</f>
        <v>991.4</v>
      </c>
      <c r="L38" s="131" t="n">
        <f aca="false">F38-(I38-AK38)</f>
        <v>-93.6147718679102</v>
      </c>
      <c r="M38" s="135" t="n">
        <v>301</v>
      </c>
      <c r="N38" s="199" t="n">
        <f aca="false">1.8299*1.03</f>
        <v>1.884797</v>
      </c>
      <c r="O38" s="93" t="n">
        <f aca="false">(47+44)*1.05</f>
        <v>95.55</v>
      </c>
      <c r="P38" s="312" t="n">
        <v>0</v>
      </c>
      <c r="Q38" s="199" t="n">
        <f aca="false">2.51*1.02</f>
        <v>2.5602</v>
      </c>
      <c r="R38" s="199" t="n">
        <v>4.2</v>
      </c>
      <c r="S38" s="312" t="n">
        <v>1.42</v>
      </c>
      <c r="T38" s="356" t="n">
        <v>0</v>
      </c>
      <c r="U38" s="131" t="n">
        <v>141</v>
      </c>
      <c r="V38" s="131" t="n">
        <v>72</v>
      </c>
      <c r="W38" s="132" t="n">
        <f aca="false">M38-N38-O38-P38-Q38-R38-S38-T38+U38+V38-AT38+AR38</f>
        <v>408.385003</v>
      </c>
      <c r="X38" s="132" t="n">
        <f aca="false">W38-AO38</f>
        <v>408.385003</v>
      </c>
      <c r="Y38" s="104" t="n">
        <f aca="false">Y37+(X38*1.9835)</f>
        <v>65499.5465550635</v>
      </c>
      <c r="Z38" s="104" t="n">
        <f aca="false">Z37+X38*(26300/37500)*1.9835</f>
        <v>45937.0153172845</v>
      </c>
      <c r="AA38" s="104" t="n">
        <f aca="false">AA37+AP38</f>
        <v>4013.160925</v>
      </c>
      <c r="AB38" s="104" t="n">
        <f aca="false">AB37+(AP38+X38)*1.9835</f>
        <v>56717.2500596369</v>
      </c>
      <c r="AC38" s="104" t="n">
        <f aca="false">AC37-(AQ37/1.9835)</f>
        <v>1608.50551655862</v>
      </c>
      <c r="AD38" s="104"/>
      <c r="AE38" s="131" t="n">
        <v>158</v>
      </c>
      <c r="AF38" s="135" t="n">
        <v>1.7</v>
      </c>
      <c r="AG38" s="136" t="n">
        <v>1.3</v>
      </c>
      <c r="AH38" s="460" t="n">
        <v>70</v>
      </c>
      <c r="AI38" s="459" t="n">
        <f aca="false">AI37-AH38</f>
        <v>11908.2578774893</v>
      </c>
      <c r="AJ38" s="79" t="n">
        <v>0</v>
      </c>
      <c r="AK38" s="131" t="n">
        <f aca="false">N38+O38+P38+Q38+R38+S38+T38+W38+AE38+AH38</f>
        <v>742</v>
      </c>
      <c r="AL38" s="131" t="n">
        <f aca="false">IF(L38&lt;0,L38*-1,0)</f>
        <v>93.6147718679102</v>
      </c>
      <c r="AM38" s="131" t="n">
        <f aca="false">AK38+AL38</f>
        <v>835.61477186791</v>
      </c>
      <c r="AN38" s="453" t="n">
        <f aca="false">AN37+(31*1.9835)</f>
        <v>14794.787655</v>
      </c>
      <c r="AO38" s="94"/>
      <c r="AP38" s="94" t="n">
        <f aca="false">795-W38</f>
        <v>386.614997</v>
      </c>
      <c r="AQ38" s="199" t="n">
        <f aca="false">64*(AA37*1.9835+AC38*1.9835+AP38*1.9835)/E38</f>
        <v>3.19466400797379</v>
      </c>
      <c r="AR38" s="133"/>
      <c r="AS38" s="358"/>
      <c r="AT38" s="4"/>
      <c r="AV38" s="99" t="n">
        <v>0.07</v>
      </c>
      <c r="AW38" s="100" t="n">
        <v>75</v>
      </c>
      <c r="AX38" s="100" t="n">
        <v>55</v>
      </c>
      <c r="AY38" s="300"/>
      <c r="AZ38" s="233" t="n">
        <f aca="false">SUM(N38,P38:T38)</f>
        <v>10.064997</v>
      </c>
    </row>
    <row r="39" customFormat="false" ht="12.95" hidden="false" customHeight="true" outlineLevel="0" collapsed="false">
      <c r="A39" s="10" t="n">
        <f aca="false">A38+1</f>
        <v>27</v>
      </c>
      <c r="B39" s="360" t="n">
        <v>6922.76</v>
      </c>
      <c r="C39" s="91" t="n">
        <v>375649</v>
      </c>
      <c r="D39" s="100" t="n">
        <f aca="false">C39-C38</f>
        <v>265</v>
      </c>
      <c r="E39" s="91" t="n">
        <f aca="false">C39-152000</f>
        <v>223649</v>
      </c>
      <c r="F39" s="370" t="n">
        <f aca="false">D39/$D$2</f>
        <v>133.602218300983</v>
      </c>
      <c r="G39" s="131" t="n">
        <v>899</v>
      </c>
      <c r="H39" s="93" t="n">
        <v>0.94</v>
      </c>
      <c r="I39" s="131" t="n">
        <f aca="false">G39+H39</f>
        <v>899.94</v>
      </c>
      <c r="J39" s="371" t="n">
        <f aca="false">IF(L39&gt;0,L39,0)</f>
        <v>0</v>
      </c>
      <c r="K39" s="131" t="n">
        <f aca="false">I39+J39</f>
        <v>899.94</v>
      </c>
      <c r="L39" s="131" t="n">
        <f aca="false">F39-(I39-AK39)</f>
        <v>-21.3377816990169</v>
      </c>
      <c r="M39" s="135" t="n">
        <v>270</v>
      </c>
      <c r="N39" s="199" t="n">
        <f aca="false">1.8299*1.03</f>
        <v>1.884797</v>
      </c>
      <c r="O39" s="143" t="n">
        <f aca="false">(39+40)*1.05</f>
        <v>82.95</v>
      </c>
      <c r="P39" s="312" t="n">
        <v>0</v>
      </c>
      <c r="Q39" s="199" t="n">
        <f aca="false">2.51*1.02</f>
        <v>2.5602</v>
      </c>
      <c r="R39" s="199" t="n">
        <v>4.2</v>
      </c>
      <c r="S39" s="312" t="n">
        <v>1.84</v>
      </c>
      <c r="T39" s="356" t="n">
        <v>0</v>
      </c>
      <c r="U39" s="131" t="n">
        <v>140</v>
      </c>
      <c r="V39" s="131" t="n">
        <v>74</v>
      </c>
      <c r="W39" s="132" t="n">
        <f aca="false">M39-N39-O39-P39-Q39-R39-S39-T39+U39+V39-AT39+AR39</f>
        <v>390.565003</v>
      </c>
      <c r="X39" s="132" t="n">
        <f aca="false">W39-AO39</f>
        <v>390.565003</v>
      </c>
      <c r="Y39" s="104" t="n">
        <f aca="false">Y38+(X39*1.9835)</f>
        <v>66274.232238514</v>
      </c>
      <c r="Z39" s="104" t="n">
        <f aca="false">Z38+X39*(26300/37500)*1.9835</f>
        <v>46480.3282099445</v>
      </c>
      <c r="AA39" s="104" t="n">
        <f aca="false">AA38+AP39</f>
        <v>4417.595922</v>
      </c>
      <c r="AB39" s="104" t="n">
        <f aca="false">AB38+(AP39+X39)*1.9835</f>
        <v>58294.1325596369</v>
      </c>
      <c r="AC39" s="104" t="n">
        <f aca="false">AC38-(AQ38/1.9835)</f>
        <v>1606.8948969428</v>
      </c>
      <c r="AD39" s="104"/>
      <c r="AE39" s="131" t="n">
        <v>191</v>
      </c>
      <c r="AF39" s="135" t="n">
        <v>1.7</v>
      </c>
      <c r="AG39" s="136" t="n">
        <v>1.3</v>
      </c>
      <c r="AH39" s="460" t="n">
        <v>70</v>
      </c>
      <c r="AI39" s="459" t="n">
        <f aca="false">AI38-AH39</f>
        <v>11838.2578774893</v>
      </c>
      <c r="AJ39" s="79" t="n">
        <v>0</v>
      </c>
      <c r="AK39" s="131" t="n">
        <f aca="false">N39+O39+P39+Q39+R39+S39+T39+W39+AE39+AH39</f>
        <v>745</v>
      </c>
      <c r="AL39" s="131" t="n">
        <f aca="false">IF(L39&lt;0,L39*-1,0)</f>
        <v>21.3377816990169</v>
      </c>
      <c r="AM39" s="131" t="n">
        <f aca="false">AK39+AL39</f>
        <v>766.337781699017</v>
      </c>
      <c r="AN39" s="453" t="n">
        <f aca="false">AN38</f>
        <v>14794.787655</v>
      </c>
      <c r="AO39" s="94"/>
      <c r="AP39" s="94" t="n">
        <f aca="false">795-W39</f>
        <v>404.434997</v>
      </c>
      <c r="AQ39" s="199" t="n">
        <f aca="false">64*(AA38*1.9835+AC39*1.9835+AP39*1.9835)/E39</f>
        <v>3.41952328210667</v>
      </c>
      <c r="AR39" s="133"/>
      <c r="AS39" s="358"/>
      <c r="AT39" s="12"/>
      <c r="AV39" s="99" t="n">
        <v>0</v>
      </c>
      <c r="AW39" s="100" t="n">
        <v>78</v>
      </c>
      <c r="AX39" s="100" t="n">
        <v>49</v>
      </c>
      <c r="AY39" s="300"/>
      <c r="AZ39" s="233" t="n">
        <f aca="false">SUM(N39,P39:T39)</f>
        <v>10.484997</v>
      </c>
    </row>
    <row r="40" customFormat="false" ht="12.95" hidden="false" customHeight="true" outlineLevel="0" collapsed="false">
      <c r="A40" s="10" t="n">
        <f aca="false">A39+1</f>
        <v>28</v>
      </c>
      <c r="B40" s="360" t="n">
        <v>6922.72</v>
      </c>
      <c r="C40" s="91" t="n">
        <v>375472</v>
      </c>
      <c r="D40" s="100" t="n">
        <f aca="false">C40-C39</f>
        <v>-177</v>
      </c>
      <c r="E40" s="91" t="n">
        <f aca="false">C40-152000</f>
        <v>223472</v>
      </c>
      <c r="F40" s="370" t="n">
        <f aca="false">D40/$D$2</f>
        <v>-89.2361986387698</v>
      </c>
      <c r="G40" s="131" t="n">
        <v>647</v>
      </c>
      <c r="H40" s="93" t="n">
        <v>0.94</v>
      </c>
      <c r="I40" s="131" t="n">
        <f aca="false">G40+H40</f>
        <v>647.94</v>
      </c>
      <c r="J40" s="371" t="n">
        <f aca="false">IF(L40&gt;0,L40,0)</f>
        <v>0</v>
      </c>
      <c r="K40" s="131" t="n">
        <f aca="false">I40+J40</f>
        <v>647.94</v>
      </c>
      <c r="L40" s="131" t="n">
        <f aca="false">F40-(I40-AK40)</f>
        <v>-4.1761986387699</v>
      </c>
      <c r="M40" s="135" t="n">
        <v>291</v>
      </c>
      <c r="N40" s="199" t="n">
        <f aca="false">1.8299*1.03</f>
        <v>1.884797</v>
      </c>
      <c r="O40" s="143" t="n">
        <f aca="false">(37+37)*1.05</f>
        <v>77.7</v>
      </c>
      <c r="P40" s="312" t="n">
        <v>0</v>
      </c>
      <c r="Q40" s="199" t="n">
        <f aca="false">2.51*1.02</f>
        <v>2.5602</v>
      </c>
      <c r="R40" s="199" t="n">
        <v>4.2</v>
      </c>
      <c r="S40" s="312" t="n">
        <v>3.38</v>
      </c>
      <c r="T40" s="356" t="n">
        <v>0</v>
      </c>
      <c r="U40" s="131" t="n">
        <v>135</v>
      </c>
      <c r="V40" s="131" t="n">
        <v>74</v>
      </c>
      <c r="W40" s="132" t="n">
        <f aca="false">M40-N40-O40-P40-Q40-R40-S40-T40+U40+V40-AT40+AR40</f>
        <v>410.275003</v>
      </c>
      <c r="X40" s="132" t="n">
        <f aca="false">W40-AO40</f>
        <v>410.275003</v>
      </c>
      <c r="Y40" s="104" t="n">
        <f aca="false">Y39+(X40*1.9835)</f>
        <v>67088.0127069645</v>
      </c>
      <c r="Z40" s="104" t="n">
        <f aca="false">Z39+X40*(26300/37500)*1.9835</f>
        <v>47051.0595784844</v>
      </c>
      <c r="AA40" s="104" t="n">
        <f aca="false">AA39+AP40</f>
        <v>4646.800719</v>
      </c>
      <c r="AB40" s="104" t="n">
        <f aca="false">AB39+(AP40+X40)*1.9835</f>
        <v>59562.5407429369</v>
      </c>
      <c r="AC40" s="104" t="n">
        <f aca="false">AC39-(AQ39/1.9835)</f>
        <v>1605.17091242952</v>
      </c>
      <c r="AD40" s="104"/>
      <c r="AE40" s="131" t="n">
        <v>163</v>
      </c>
      <c r="AF40" s="135" t="n">
        <v>1.7</v>
      </c>
      <c r="AG40" s="136" t="n">
        <v>1.3</v>
      </c>
      <c r="AH40" s="460" t="n">
        <v>70</v>
      </c>
      <c r="AI40" s="459" t="n">
        <f aca="false">AI39-AH40</f>
        <v>11768.2578774893</v>
      </c>
      <c r="AJ40" s="79" t="n">
        <v>0</v>
      </c>
      <c r="AK40" s="131" t="n">
        <f aca="false">N40+O40+P40+Q40+R40+S40+T40+W40+AE40+AH40</f>
        <v>733</v>
      </c>
      <c r="AL40" s="131" t="n">
        <f aca="false">IF(L40&lt;0,L40*-1,0)</f>
        <v>4.1761986387699</v>
      </c>
      <c r="AM40" s="131" t="n">
        <f aca="false">AK40+AL40</f>
        <v>737.17619863877</v>
      </c>
      <c r="AN40" s="453" t="n">
        <f aca="false">AN39</f>
        <v>14794.787655</v>
      </c>
      <c r="AO40" s="94"/>
      <c r="AP40" s="94" t="n">
        <f aca="false">I40-Q40-R40-W40-AF40</f>
        <v>229.204797</v>
      </c>
      <c r="AQ40" s="199" t="n">
        <f aca="false">64*(AA39*1.9835+AC40*1.9835+AP40*1.9835)/E40</f>
        <v>3.55145291929274</v>
      </c>
      <c r="AR40" s="133"/>
      <c r="AS40" s="358"/>
      <c r="AT40" s="12"/>
      <c r="AV40" s="99" t="n">
        <v>0</v>
      </c>
      <c r="AW40" s="100" t="n">
        <v>84</v>
      </c>
      <c r="AX40" s="100" t="n">
        <v>53</v>
      </c>
      <c r="AY40" s="300"/>
      <c r="AZ40" s="233" t="n">
        <f aca="false">SUM(N40,P40:T40)</f>
        <v>12.024997</v>
      </c>
    </row>
    <row r="41" customFormat="false" ht="12.95" hidden="false" customHeight="true" outlineLevel="0" collapsed="false">
      <c r="A41" s="10" t="n">
        <f aca="false">A40+1</f>
        <v>29</v>
      </c>
      <c r="B41" s="360" t="n">
        <v>6922.61</v>
      </c>
      <c r="C41" s="91" t="n">
        <v>374987</v>
      </c>
      <c r="D41" s="100" t="n">
        <f aca="false">C41-C40</f>
        <v>-485</v>
      </c>
      <c r="E41" s="91" t="n">
        <f aca="false">C41-152000</f>
        <v>222987</v>
      </c>
      <c r="F41" s="370" t="n">
        <f aca="false">D41/$D$2</f>
        <v>-244.517267456516</v>
      </c>
      <c r="G41" s="131" t="n">
        <v>521</v>
      </c>
      <c r="H41" s="93" t="n">
        <v>0.98</v>
      </c>
      <c r="I41" s="131" t="n">
        <f aca="false">G41+H41</f>
        <v>521.98</v>
      </c>
      <c r="J41" s="371" t="n">
        <f aca="false">IF(L41&gt;0,L41,0)</f>
        <v>11.5027325434837</v>
      </c>
      <c r="K41" s="131" t="n">
        <f aca="false">I41+J41</f>
        <v>533.482732543484</v>
      </c>
      <c r="L41" s="131" t="n">
        <f aca="false">F41-(I41-AK41)</f>
        <v>11.5027325434837</v>
      </c>
      <c r="M41" s="135" t="n">
        <v>294</v>
      </c>
      <c r="N41" s="199" t="n">
        <f aca="false">1.8299*1.03</f>
        <v>1.884797</v>
      </c>
      <c r="O41" s="143" t="n">
        <f aca="false">(32+33)*1.05</f>
        <v>68.25</v>
      </c>
      <c r="P41" s="312" t="n">
        <v>0</v>
      </c>
      <c r="Q41" s="199" t="n">
        <f aca="false">2.51*1.02</f>
        <v>2.5602</v>
      </c>
      <c r="R41" s="199" t="n">
        <v>4.2</v>
      </c>
      <c r="S41" s="312" t="n">
        <v>3.75</v>
      </c>
      <c r="T41" s="356" t="n">
        <v>0</v>
      </c>
      <c r="U41" s="131" t="n">
        <v>155</v>
      </c>
      <c r="V41" s="131" t="n">
        <v>73</v>
      </c>
      <c r="W41" s="132" t="n">
        <f aca="false">M41-N41-O41-P41-Q41-R41-S41-T41+U41+V41-AT41+AR41</f>
        <v>441.355003</v>
      </c>
      <c r="X41" s="132" t="n">
        <f aca="false">W41-AO41</f>
        <v>441.355003</v>
      </c>
      <c r="Y41" s="104" t="n">
        <f aca="false">Y40+(X41*1.9835)</f>
        <v>67963.440355415</v>
      </c>
      <c r="Z41" s="104" t="n">
        <f aca="false">Z40+X41*(26300/37500)*1.9835</f>
        <v>47665.0261692644</v>
      </c>
      <c r="AA41" s="104" t="n">
        <f aca="false">AA40+AP41</f>
        <v>4718.965516</v>
      </c>
      <c r="AB41" s="104" t="n">
        <f aca="false">AB40+(AP41+X41)*1.9835</f>
        <v>60581.1072662369</v>
      </c>
      <c r="AC41" s="104" t="n">
        <f aca="false">AC40-(AQ40/1.9835)</f>
        <v>1603.3804143608</v>
      </c>
      <c r="AD41" s="104"/>
      <c r="AE41" s="131" t="n">
        <v>186</v>
      </c>
      <c r="AF41" s="135" t="n">
        <v>1.7</v>
      </c>
      <c r="AG41" s="136" t="n">
        <v>1.3</v>
      </c>
      <c r="AH41" s="460" t="n">
        <v>70</v>
      </c>
      <c r="AI41" s="459" t="n">
        <f aca="false">AI40-AH41</f>
        <v>11698.2578774893</v>
      </c>
      <c r="AJ41" s="79" t="n">
        <v>0</v>
      </c>
      <c r="AK41" s="131" t="n">
        <f aca="false">N41+O41+P41+Q41+R41+S41+T41+W41+AE41+AH41</f>
        <v>778</v>
      </c>
      <c r="AL41" s="131" t="n">
        <f aca="false">IF(L41&lt;0,L41*-1,0)</f>
        <v>0</v>
      </c>
      <c r="AM41" s="131" t="n">
        <f aca="false">AK41+AL41</f>
        <v>778</v>
      </c>
      <c r="AN41" s="453" t="n">
        <f aca="false">AN40</f>
        <v>14794.787655</v>
      </c>
      <c r="AO41" s="94"/>
      <c r="AP41" s="94" t="n">
        <f aca="false">I41-Q41-R41-W41-AF41</f>
        <v>72.164797</v>
      </c>
      <c r="AQ41" s="199" t="n">
        <f aca="false">64*(AA40*1.9835+AC41*1.9835+AP41*1.9835)/E41</f>
        <v>3.59924068122232</v>
      </c>
      <c r="AR41" s="133"/>
      <c r="AS41" s="358"/>
      <c r="AT41" s="12"/>
      <c r="AV41" s="99" t="n">
        <v>0.02</v>
      </c>
      <c r="AW41" s="100" t="n">
        <v>84</v>
      </c>
      <c r="AX41" s="100" t="n">
        <v>54</v>
      </c>
      <c r="AY41" s="300"/>
      <c r="AZ41" s="233" t="n">
        <f aca="false">SUM(N41,P41:T41)</f>
        <v>12.394997</v>
      </c>
    </row>
    <row r="42" customFormat="false" ht="12.95" hidden="false" customHeight="true" outlineLevel="0" collapsed="false">
      <c r="A42" s="10" t="n">
        <v>30</v>
      </c>
      <c r="B42" s="360" t="n">
        <v>6922.42</v>
      </c>
      <c r="C42" s="91" t="n">
        <v>374148</v>
      </c>
      <c r="D42" s="100" t="n">
        <f aca="false">C42-C41</f>
        <v>-839</v>
      </c>
      <c r="E42" s="91" t="n">
        <f aca="false">C42-152000</f>
        <v>222148</v>
      </c>
      <c r="F42" s="370" t="n">
        <f aca="false">D42/$D$2</f>
        <v>-422.989664734056</v>
      </c>
      <c r="G42" s="131" t="n">
        <v>451</v>
      </c>
      <c r="H42" s="93" t="n">
        <v>0.86</v>
      </c>
      <c r="I42" s="131" t="n">
        <f aca="false">G42+H42</f>
        <v>451.86</v>
      </c>
      <c r="J42" s="371" t="n">
        <f aca="false">IF(L42&gt;0,L42,0)</f>
        <v>0</v>
      </c>
      <c r="K42" s="131" t="n">
        <f aca="false">I42+J42</f>
        <v>451.86</v>
      </c>
      <c r="L42" s="131" t="n">
        <f aca="false">F42-(I42-AK42)</f>
        <v>-1.84966473405598</v>
      </c>
      <c r="M42" s="135" t="n">
        <v>327</v>
      </c>
      <c r="N42" s="199" t="n">
        <f aca="false">1.8299*1.03</f>
        <v>1.884797</v>
      </c>
      <c r="O42" s="143" t="n">
        <f aca="false">(38+40)*1.05</f>
        <v>81.9</v>
      </c>
      <c r="P42" s="312" t="n">
        <v>0</v>
      </c>
      <c r="Q42" s="199" t="n">
        <f aca="false">2.51*1.02</f>
        <v>2.5602</v>
      </c>
      <c r="R42" s="199" t="n">
        <v>4.2</v>
      </c>
      <c r="S42" s="312" t="n">
        <v>4.26</v>
      </c>
      <c r="T42" s="356" t="n">
        <v>0</v>
      </c>
      <c r="U42" s="131" t="n">
        <v>198</v>
      </c>
      <c r="V42" s="131" t="n">
        <v>71</v>
      </c>
      <c r="W42" s="132" t="n">
        <f aca="false">M42-N42-O42-P42-Q42-R42-S42-T42+U42+V42-AT42+AR42</f>
        <v>501.195003</v>
      </c>
      <c r="X42" s="132" t="n">
        <f aca="false">W42-AO42</f>
        <v>501.195003</v>
      </c>
      <c r="Y42" s="104" t="n">
        <f aca="false">Y41+(X42*1.9835)</f>
        <v>68957.5606438655</v>
      </c>
      <c r="Z42" s="104" t="n">
        <f aca="false">Z41+X42*(26300/37500)*1.9835</f>
        <v>48362.2358648977</v>
      </c>
      <c r="AA42" s="104" t="n">
        <f aca="false">AA41-(W42-I42)-Q42-R42-AF42</f>
        <v>4661.170313</v>
      </c>
      <c r="AB42" s="104" t="n">
        <f aca="false">AB41+(AP42+X42)*1.9835</f>
        <v>61575.2275546874</v>
      </c>
      <c r="AC42" s="104" t="n">
        <f aca="false">AC41-(AQ41/1.9835)</f>
        <v>1601.5658236468</v>
      </c>
      <c r="AD42" s="104"/>
      <c r="AE42" s="131" t="n">
        <v>208</v>
      </c>
      <c r="AF42" s="135" t="n">
        <v>1.7</v>
      </c>
      <c r="AG42" s="136" t="n">
        <v>1.3</v>
      </c>
      <c r="AH42" s="460" t="n">
        <v>69</v>
      </c>
      <c r="AI42" s="459" t="n">
        <f aca="false">AI41-AH42</f>
        <v>11629.2578774893</v>
      </c>
      <c r="AJ42" s="79" t="n">
        <v>0</v>
      </c>
      <c r="AK42" s="131" t="n">
        <f aca="false">N42+O42+P42+Q42+R42+S42+T42+W42+AE42+AH42</f>
        <v>873</v>
      </c>
      <c r="AL42" s="131" t="n">
        <f aca="false">IF(L42&lt;0,L42*-1,0)</f>
        <v>1.84966473405598</v>
      </c>
      <c r="AM42" s="131" t="n">
        <f aca="false">AK42+AL42</f>
        <v>874.849664734056</v>
      </c>
      <c r="AN42" s="453" t="n">
        <f aca="false">AN41</f>
        <v>14794.787655</v>
      </c>
      <c r="AO42" s="94"/>
      <c r="AP42" s="94" t="n">
        <v>0</v>
      </c>
      <c r="AQ42" s="199" t="n">
        <f aca="false">64*(AA41*1.9835+AC42*1.9835+AP42*1.9835)/E42</f>
        <v>3.61179722698437</v>
      </c>
      <c r="AR42" s="133"/>
      <c r="AS42" s="358"/>
      <c r="AT42" s="12"/>
      <c r="AV42" s="99" t="n">
        <v>0</v>
      </c>
      <c r="AW42" s="100" t="n">
        <v>87</v>
      </c>
      <c r="AX42" s="100" t="n">
        <v>55</v>
      </c>
      <c r="AY42" s="300"/>
      <c r="AZ42" s="233" t="n">
        <f aca="false">SUM(N42,P42:T42)</f>
        <v>12.904997</v>
      </c>
    </row>
    <row r="43" customFormat="false" ht="3" hidden="false" customHeight="true" outlineLevel="0" collapsed="false">
      <c r="A43" s="107"/>
      <c r="B43" s="374"/>
      <c r="C43" s="118"/>
      <c r="D43" s="114"/>
      <c r="E43" s="118"/>
      <c r="F43" s="365"/>
      <c r="G43" s="114"/>
      <c r="H43" s="116"/>
      <c r="I43" s="114"/>
      <c r="J43" s="114"/>
      <c r="K43" s="114"/>
      <c r="L43" s="114"/>
      <c r="M43" s="119"/>
      <c r="N43" s="114"/>
      <c r="O43" s="116"/>
      <c r="P43" s="366"/>
      <c r="Q43" s="116"/>
      <c r="R43" s="116"/>
      <c r="S43" s="114"/>
      <c r="T43" s="367"/>
      <c r="U43" s="114"/>
      <c r="V43" s="114"/>
      <c r="W43" s="114"/>
      <c r="X43" s="114"/>
      <c r="Y43" s="118"/>
      <c r="Z43" s="114"/>
      <c r="AA43" s="118"/>
      <c r="AB43" s="216"/>
      <c r="AC43" s="118"/>
      <c r="AD43" s="118"/>
      <c r="AE43" s="114"/>
      <c r="AF43" s="119"/>
      <c r="AG43" s="120"/>
      <c r="AH43" s="114"/>
      <c r="AI43" s="461"/>
      <c r="AJ43" s="114"/>
      <c r="AK43" s="114"/>
      <c r="AL43" s="114"/>
      <c r="AM43" s="114"/>
      <c r="AN43" s="457"/>
      <c r="AO43" s="117"/>
      <c r="AP43" s="117"/>
      <c r="AQ43" s="221"/>
      <c r="AR43" s="224"/>
      <c r="AS43" s="221"/>
      <c r="AT43" s="223"/>
      <c r="AU43" s="224"/>
      <c r="AV43" s="123"/>
      <c r="AW43" s="117"/>
      <c r="AX43" s="117"/>
      <c r="AY43" s="368"/>
      <c r="AZ43" s="369"/>
    </row>
    <row r="44" customFormat="false" ht="12.95" hidden="false" customHeight="true" outlineLevel="0" collapsed="false">
      <c r="A44" s="12" t="s">
        <v>91</v>
      </c>
      <c r="B44" s="354"/>
      <c r="C44" s="91"/>
      <c r="D44" s="91"/>
      <c r="E44" s="91"/>
      <c r="F44" s="355" t="n">
        <f aca="false">SUM(F13:F42)</f>
        <v>-3670.7839677338</v>
      </c>
      <c r="G44" s="79" t="n">
        <f aca="false">SUM(G13:G42)</f>
        <v>18701</v>
      </c>
      <c r="H44" s="94" t="n">
        <f aca="false">SUM(H13:H42)</f>
        <v>13.78</v>
      </c>
      <c r="I44" s="79" t="n">
        <f aca="false">SUM(I13:I42)</f>
        <v>18714.78</v>
      </c>
      <c r="J44" s="79" t="n">
        <f aca="false">SUM(J13:J42)</f>
        <v>698.986788505168</v>
      </c>
      <c r="K44" s="79" t="n">
        <f aca="false">SUM(K13:K42)</f>
        <v>19413.7667885052</v>
      </c>
      <c r="L44" s="79" t="n">
        <f aca="false">SUM(L13:L42)</f>
        <v>0.436032266196083</v>
      </c>
      <c r="M44" s="95" t="n">
        <f aca="false">SUM(M13:M42)</f>
        <v>8385</v>
      </c>
      <c r="N44" s="91" t="n">
        <f aca="false">SUM(N13:N42)</f>
        <v>56.54391</v>
      </c>
      <c r="O44" s="100" t="n">
        <f aca="false">SUM(O13:O42)</f>
        <v>2411.85</v>
      </c>
      <c r="P44" s="312" t="n">
        <f aca="false">SUM(P13:P42)</f>
        <v>0</v>
      </c>
      <c r="Q44" s="100" t="n">
        <f aca="false">SUM(Q13:Q42)</f>
        <v>76.806</v>
      </c>
      <c r="R44" s="100" t="n">
        <f aca="false">SUM(R13:R42)</f>
        <v>126</v>
      </c>
      <c r="S44" s="100" t="n">
        <f aca="false">SUM(S13:S42)</f>
        <v>77.79</v>
      </c>
      <c r="T44" s="462" t="n">
        <f aca="false">SUM(T13:T42)</f>
        <v>0</v>
      </c>
      <c r="U44" s="79" t="n">
        <f aca="false">SUM(U13:U42)</f>
        <v>5369</v>
      </c>
      <c r="V44" s="79" t="n">
        <f aca="false">SUM(V13:V42)</f>
        <v>1931</v>
      </c>
      <c r="W44" s="79" t="n">
        <f aca="false">SUM(W13:W42)</f>
        <v>12936.01009</v>
      </c>
      <c r="X44" s="79" t="n">
        <f aca="false">SUM(X13:X42)</f>
        <v>12936.01009</v>
      </c>
      <c r="Y44" s="79"/>
      <c r="Z44" s="79"/>
      <c r="AA44" s="79"/>
      <c r="AB44" s="104"/>
      <c r="AC44" s="79"/>
      <c r="AD44" s="79"/>
      <c r="AE44" s="79" t="n">
        <f aca="false">SUM(AE13:AE42)</f>
        <v>4478</v>
      </c>
      <c r="AF44" s="95" t="n">
        <f aca="false">SUM(AF13:AF42)</f>
        <v>51</v>
      </c>
      <c r="AG44" s="96" t="n">
        <f aca="false">SUM(AG13:AG42)</f>
        <v>39</v>
      </c>
      <c r="AH44" s="79" t="n">
        <f aca="false">SUM(AH13:AH42)</f>
        <v>2223</v>
      </c>
      <c r="AI44" s="79"/>
      <c r="AJ44" s="79" t="n">
        <f aca="false">SUM(AJ13:AJ42)</f>
        <v>112</v>
      </c>
      <c r="AK44" s="79" t="n">
        <f aca="false">SUM(AK13:AK42)</f>
        <v>22386</v>
      </c>
      <c r="AL44" s="79" t="n">
        <f aca="false">SUM(AL13:AL42)</f>
        <v>698.550756238971</v>
      </c>
      <c r="AM44" s="79" t="n">
        <f aca="false">SUM(AM13:AM42)</f>
        <v>23084.550756239</v>
      </c>
      <c r="AN44" s="453"/>
      <c r="AO44" s="79" t="n">
        <f aca="false">SUM(AO13:AO42)</f>
        <v>0</v>
      </c>
      <c r="AP44" s="131"/>
      <c r="AQ44" s="199"/>
      <c r="AR44" s="79" t="n">
        <f aca="false">SUM(AR13:AR42)</f>
        <v>0</v>
      </c>
      <c r="AS44" s="358" t="n">
        <f aca="false">SUM(AS13:AS42)</f>
        <v>0</v>
      </c>
      <c r="AT44" s="94" t="n">
        <f aca="false">SUM(AT13:AT42)</f>
        <v>0</v>
      </c>
      <c r="AU44" s="93" t="n">
        <f aca="false">SUM(AU13:AU42)</f>
        <v>0</v>
      </c>
      <c r="AV44" s="99" t="n">
        <f aca="false">SUM(AV13:AV42)</f>
        <v>0.73</v>
      </c>
      <c r="AW44" s="100" t="n">
        <f aca="false">AVERAGE(AW13:AW42)</f>
        <v>75.3</v>
      </c>
      <c r="AX44" s="100" t="n">
        <f aca="false">AVERAGE(AX13:AX42)</f>
        <v>48.4333333333333</v>
      </c>
      <c r="AY44" s="463" t="s">
        <v>113</v>
      </c>
      <c r="AZ44" s="377" t="n">
        <f aca="false">SUM(AZ13:AZ42)</f>
        <v>337.13991</v>
      </c>
    </row>
    <row r="45" customFormat="false" ht="12.95" hidden="false" customHeight="true" outlineLevel="0" collapsed="false">
      <c r="A45" s="12" t="s">
        <v>93</v>
      </c>
      <c r="B45" s="354"/>
      <c r="C45" s="91"/>
      <c r="D45" s="91" t="n">
        <f aca="false">SUM(D13:D42)</f>
        <v>-7281</v>
      </c>
      <c r="E45" s="91"/>
      <c r="F45" s="355" t="n">
        <f aca="false">F44*$D$2</f>
        <v>-7281</v>
      </c>
      <c r="G45" s="79" t="n">
        <f aca="false">G44*$D$2</f>
        <v>37093.4335</v>
      </c>
      <c r="H45" s="94" t="n">
        <f aca="false">H44*$D$2</f>
        <v>27.33263</v>
      </c>
      <c r="I45" s="79" t="n">
        <f aca="false">I44*$D$2</f>
        <v>37120.76613</v>
      </c>
      <c r="J45" s="79" t="n">
        <f aca="false">J44*$D$2</f>
        <v>1386.440295</v>
      </c>
      <c r="K45" s="79" t="n">
        <f aca="false">K44*$D$2</f>
        <v>38507.206425</v>
      </c>
      <c r="L45" s="79" t="n">
        <f aca="false">L44*$D$2</f>
        <v>0.864869999999931</v>
      </c>
      <c r="M45" s="95" t="n">
        <f aca="false">M44*$D$2</f>
        <v>16631.6475</v>
      </c>
      <c r="N45" s="91" t="n">
        <f aca="false">N44*$D$2</f>
        <v>112.154845485</v>
      </c>
      <c r="O45" s="100" t="n">
        <f aca="false">O44*$D$2</f>
        <v>4783.904475</v>
      </c>
      <c r="P45" s="312" t="n">
        <f aca="false">P44*$D$2</f>
        <v>0</v>
      </c>
      <c r="Q45" s="100" t="n">
        <f aca="false">Q44*$D$2</f>
        <v>152.344701</v>
      </c>
      <c r="R45" s="100" t="n">
        <f aca="false">R44*$D$2</f>
        <v>249.921</v>
      </c>
      <c r="S45" s="100" t="n">
        <f aca="false">S44*$D$2</f>
        <v>154.296465</v>
      </c>
      <c r="T45" s="462" t="n">
        <f aca="false">T44*$D$2</f>
        <v>0</v>
      </c>
      <c r="U45" s="79" t="n">
        <f aca="false">U44*$D$2</f>
        <v>10649.4115</v>
      </c>
      <c r="V45" s="79" t="n">
        <f aca="false">V44*$D$2</f>
        <v>3830.1385</v>
      </c>
      <c r="W45" s="79" t="n">
        <f aca="false">W44*$D$2</f>
        <v>25658.576013515</v>
      </c>
      <c r="X45" s="79" t="n">
        <f aca="false">X44*$D$2</f>
        <v>25658.576013515</v>
      </c>
      <c r="Y45" s="79"/>
      <c r="Z45" s="79"/>
      <c r="AA45" s="79"/>
      <c r="AB45" s="104"/>
      <c r="AC45" s="79"/>
      <c r="AD45" s="79"/>
      <c r="AE45" s="79" t="n">
        <f aca="false">AE44*$D$2</f>
        <v>8882.113</v>
      </c>
      <c r="AF45" s="95" t="n">
        <f aca="false">AF44*$D$2</f>
        <v>101.1585</v>
      </c>
      <c r="AG45" s="96" t="n">
        <f aca="false">AG44*$D$2</f>
        <v>77.3565</v>
      </c>
      <c r="AH45" s="79" t="n">
        <f aca="false">AH44*$D$2</f>
        <v>4409.3205</v>
      </c>
      <c r="AI45" s="79"/>
      <c r="AJ45" s="79" t="n">
        <f aca="false">AJ44*$D$2</f>
        <v>222.152</v>
      </c>
      <c r="AK45" s="79" t="n">
        <f aca="false">AK44*$D$2</f>
        <v>44402.631</v>
      </c>
      <c r="AL45" s="79" t="n">
        <f aca="false">AL44*$D$2</f>
        <v>1385.575425</v>
      </c>
      <c r="AM45" s="79" t="n">
        <f aca="false">AM44*$D$2</f>
        <v>45788.206425</v>
      </c>
      <c r="AN45" s="453"/>
      <c r="AO45" s="79" t="n">
        <f aca="false">AO44*$D$2</f>
        <v>0</v>
      </c>
      <c r="AP45" s="131"/>
      <c r="AQ45" s="199" t="n">
        <f aca="false">SUM(AQ13:AQ42)</f>
        <v>73.0237440326096</v>
      </c>
      <c r="AR45" s="79" t="n">
        <f aca="false">AR44*$D$2</f>
        <v>0</v>
      </c>
      <c r="AS45" s="199" t="n">
        <f aca="false">AS44*$D$2</f>
        <v>0</v>
      </c>
      <c r="AT45" s="134" t="n">
        <f aca="false">AT44*$D$2</f>
        <v>0</v>
      </c>
      <c r="AU45" s="133" t="n">
        <f aca="false">AU44*$D$2</f>
        <v>0</v>
      </c>
      <c r="AV45" s="99"/>
      <c r="AW45" s="100" t="n">
        <f aca="false">MAX(AW13:AW42)</f>
        <v>87</v>
      </c>
      <c r="AX45" s="100" t="n">
        <f aca="false">MAX(AX13:AX42)</f>
        <v>58</v>
      </c>
      <c r="AY45" s="463" t="s">
        <v>94</v>
      </c>
      <c r="AZ45" s="377" t="n">
        <f aca="false">AZ44*$D$2</f>
        <v>668.717011485</v>
      </c>
    </row>
    <row r="46" customFormat="false" ht="3" hidden="false" customHeight="true" outlineLevel="0" collapsed="false">
      <c r="A46" s="107"/>
      <c r="B46" s="374"/>
      <c r="C46" s="118"/>
      <c r="D46" s="118"/>
      <c r="E46" s="118"/>
      <c r="F46" s="368"/>
      <c r="G46" s="118"/>
      <c r="H46" s="117"/>
      <c r="I46" s="118"/>
      <c r="J46" s="118"/>
      <c r="K46" s="118"/>
      <c r="L46" s="118"/>
      <c r="M46" s="146"/>
      <c r="N46" s="118"/>
      <c r="O46" s="117"/>
      <c r="P46" s="366"/>
      <c r="Q46" s="116"/>
      <c r="R46" s="116"/>
      <c r="S46" s="118"/>
      <c r="T46" s="147"/>
      <c r="U46" s="118"/>
      <c r="V46" s="118"/>
      <c r="W46" s="118"/>
      <c r="X46" s="118"/>
      <c r="Y46" s="118"/>
      <c r="Z46" s="118"/>
      <c r="AA46" s="118"/>
      <c r="AB46" s="216"/>
      <c r="AC46" s="118"/>
      <c r="AD46" s="118"/>
      <c r="AE46" s="118"/>
      <c r="AF46" s="146"/>
      <c r="AG46" s="147"/>
      <c r="AH46" s="118"/>
      <c r="AI46" s="114"/>
      <c r="AJ46" s="118"/>
      <c r="AK46" s="118"/>
      <c r="AL46" s="118"/>
      <c r="AM46" s="118"/>
      <c r="AN46" s="148"/>
      <c r="AO46" s="118"/>
      <c r="AP46" s="118"/>
      <c r="AQ46" s="221"/>
      <c r="AR46" s="118"/>
      <c r="AS46" s="221"/>
      <c r="AT46" s="223"/>
      <c r="AU46" s="224"/>
      <c r="AV46" s="148"/>
      <c r="AW46" s="118"/>
      <c r="AX46" s="118"/>
      <c r="AY46" s="368"/>
      <c r="AZ46" s="369"/>
    </row>
    <row r="47" customFormat="false" ht="12.95" hidden="false" customHeight="true" outlineLevel="0" collapsed="false">
      <c r="A47" s="12" t="s">
        <v>95</v>
      </c>
      <c r="B47" s="354"/>
      <c r="C47" s="91"/>
      <c r="D47" s="91"/>
      <c r="E47" s="91"/>
      <c r="F47" s="355" t="n">
        <f aca="false">F10+F44</f>
        <v>45808.9236198639</v>
      </c>
      <c r="G47" s="79" t="n">
        <f aca="false">G10+G44</f>
        <v>109479</v>
      </c>
      <c r="H47" s="94" t="n">
        <f aca="false">H10+H44</f>
        <v>4340.14</v>
      </c>
      <c r="I47" s="79" t="n">
        <f aca="false">I10+I44</f>
        <v>113819.14</v>
      </c>
      <c r="J47" s="79" t="n">
        <f aca="false">J10+J44</f>
        <v>9609.17561633476</v>
      </c>
      <c r="K47" s="79" t="n">
        <f aca="false">K10+K44</f>
        <v>123428.315616335</v>
      </c>
      <c r="L47" s="79" t="n">
        <f aca="false">L10+L44</f>
        <v>8330.38361986388</v>
      </c>
      <c r="M47" s="95" t="n">
        <f aca="false">M10+M44</f>
        <v>20836.5</v>
      </c>
      <c r="N47" s="91" t="n">
        <f aca="false">N10+N44</f>
        <v>171.516527</v>
      </c>
      <c r="O47" s="100" t="n">
        <f aca="false">O10+O44</f>
        <v>6562.6197</v>
      </c>
      <c r="P47" s="312" t="n">
        <f aca="false">P10+P44</f>
        <v>7.365</v>
      </c>
      <c r="Q47" s="143"/>
      <c r="R47" s="143"/>
      <c r="S47" s="91"/>
      <c r="T47" s="96"/>
      <c r="U47" s="79" t="n">
        <f aca="false">U10+U44</f>
        <v>10388.3</v>
      </c>
      <c r="V47" s="79" t="n">
        <f aca="false">V10+V44</f>
        <v>4766</v>
      </c>
      <c r="W47" s="79" t="n">
        <f aca="false">W10+W44</f>
        <v>28195.244858</v>
      </c>
      <c r="X47" s="79" t="n">
        <f aca="false">X10+X44</f>
        <v>27388.111513</v>
      </c>
      <c r="Y47" s="79"/>
      <c r="Z47" s="79"/>
      <c r="AA47" s="79" t="n">
        <f aca="false">AA42</f>
        <v>4661.170313</v>
      </c>
      <c r="AB47" s="104"/>
      <c r="AC47" s="79" t="n">
        <f aca="false">AC42</f>
        <v>1601.5658236468</v>
      </c>
      <c r="AD47" s="79"/>
      <c r="AE47" s="79" t="n">
        <f aca="false">AE10+AE44</f>
        <v>10154.8</v>
      </c>
      <c r="AF47" s="95" t="n">
        <f aca="false">AF10+AF44</f>
        <v>154.7</v>
      </c>
      <c r="AG47" s="96" t="n">
        <f aca="false">AG10+AG44</f>
        <v>118.3</v>
      </c>
      <c r="AH47" s="79"/>
      <c r="AI47" s="79"/>
      <c r="AJ47" s="79" t="n">
        <f aca="false">AJ10+AJ44</f>
        <v>25793</v>
      </c>
      <c r="AK47" s="79" t="n">
        <f aca="false">AK10+AK44</f>
        <v>76340.6</v>
      </c>
      <c r="AL47" s="79" t="n">
        <f aca="false">AL10+AL44</f>
        <v>1278.79199647089</v>
      </c>
      <c r="AM47" s="79" t="n">
        <f aca="false">AM10+AM44</f>
        <v>77619.3919964709</v>
      </c>
      <c r="AN47" s="453"/>
      <c r="AO47" s="94"/>
      <c r="AP47" s="131"/>
      <c r="AQ47" s="199"/>
      <c r="AR47" s="79" t="n">
        <f aca="false">AR10+AR44</f>
        <v>0</v>
      </c>
      <c r="AS47" s="199" t="n">
        <f aca="false">AS10+AS44</f>
        <v>0</v>
      </c>
      <c r="AT47" s="199" t="n">
        <f aca="false">AT10+AT44</f>
        <v>411.411015</v>
      </c>
      <c r="AU47" s="133" t="n">
        <f aca="false">AU10+AU44</f>
        <v>0</v>
      </c>
      <c r="AV47" s="99"/>
      <c r="AW47" s="100" t="n">
        <f aca="false">MIN(AW13:AW42)</f>
        <v>62</v>
      </c>
      <c r="AX47" s="100" t="n">
        <f aca="false">MIN(AX13:AX42)</f>
        <v>39</v>
      </c>
      <c r="AY47" s="463" t="s">
        <v>96</v>
      </c>
      <c r="AZ47" s="377" t="n">
        <f aca="false">AZ10+AZ44</f>
        <v>337.13991</v>
      </c>
    </row>
    <row r="48" customFormat="false" ht="12.95" hidden="false" customHeight="true" outlineLevel="0" collapsed="false">
      <c r="A48" s="12" t="s">
        <v>97</v>
      </c>
      <c r="B48" s="354"/>
      <c r="C48" s="91"/>
      <c r="D48" s="91"/>
      <c r="E48" s="91"/>
      <c r="F48" s="355" t="n">
        <f aca="false">F47*$D$2</f>
        <v>90862</v>
      </c>
      <c r="G48" s="79" t="n">
        <f aca="false">G47*$D$2</f>
        <v>217151.5965</v>
      </c>
      <c r="H48" s="94" t="n">
        <f aca="false">H47*$D$2</f>
        <v>8608.66769</v>
      </c>
      <c r="I48" s="79" t="n">
        <f aca="false">I47*$D$2</f>
        <v>225760.26419</v>
      </c>
      <c r="J48" s="79" t="n">
        <f aca="false">J47*$D$2</f>
        <v>19059.799835</v>
      </c>
      <c r="K48" s="79" t="n">
        <f aca="false">K47*$D$2</f>
        <v>244820.064025</v>
      </c>
      <c r="L48" s="79" t="n">
        <f aca="false">L47*$D$2</f>
        <v>16523.31591</v>
      </c>
      <c r="M48" s="95" t="n">
        <f aca="false">M47*$D$2</f>
        <v>41329.19775</v>
      </c>
      <c r="N48" s="91" t="n">
        <f aca="false">N47*$D$2</f>
        <v>340.2030313045</v>
      </c>
      <c r="O48" s="100" t="n">
        <f aca="false">O47*$D$2</f>
        <v>13016.95617495</v>
      </c>
      <c r="P48" s="312" t="n">
        <f aca="false">P47*$D$2</f>
        <v>14.6084775</v>
      </c>
      <c r="Q48" s="143"/>
      <c r="R48" s="143"/>
      <c r="S48" s="91"/>
      <c r="T48" s="96"/>
      <c r="U48" s="79" t="n">
        <f aca="false">U47*$D$2</f>
        <v>20605.19305</v>
      </c>
      <c r="V48" s="79" t="n">
        <f aca="false">V47*$D$2</f>
        <v>9453.361</v>
      </c>
      <c r="W48" s="79" t="n">
        <f aca="false">W47*$D$2</f>
        <v>55925.268175843</v>
      </c>
      <c r="X48" s="79" t="n">
        <f aca="false">X47*$D$2</f>
        <v>54324.3191860355</v>
      </c>
      <c r="Y48" s="79"/>
      <c r="Z48" s="79"/>
      <c r="AA48" s="79" t="n">
        <f aca="false">AA47*$D$2</f>
        <v>9245.4313158355</v>
      </c>
      <c r="AB48" s="104"/>
      <c r="AC48" s="79" t="n">
        <f aca="false">AC47*$D$2</f>
        <v>3176.70581120343</v>
      </c>
      <c r="AD48" s="79"/>
      <c r="AE48" s="79" t="n">
        <f aca="false">AE47*$D$2</f>
        <v>20142.0458</v>
      </c>
      <c r="AF48" s="95" t="n">
        <f aca="false">AF47*$D$2</f>
        <v>306.84745</v>
      </c>
      <c r="AG48" s="96" t="n">
        <f aca="false">AG47*$D$2</f>
        <v>234.64805</v>
      </c>
      <c r="AH48" s="79"/>
      <c r="AI48" s="79"/>
      <c r="AJ48" s="79" t="n">
        <f aca="false">AJ47*$D$2</f>
        <v>51160.4155</v>
      </c>
      <c r="AK48" s="79" t="n">
        <f aca="false">AK47*$D$2</f>
        <v>151421.5801</v>
      </c>
      <c r="AL48" s="79" t="n">
        <f aca="false">AL47*$D$2</f>
        <v>2536.483925</v>
      </c>
      <c r="AM48" s="79" t="n">
        <f aca="false">AM47*$D$2</f>
        <v>153958.064025</v>
      </c>
      <c r="AN48" s="453"/>
      <c r="AO48" s="94"/>
      <c r="AP48" s="131"/>
      <c r="AQ48" s="199" t="n">
        <f aca="false">AQ10+AQ45</f>
        <v>232.908370333517</v>
      </c>
      <c r="AR48" s="79" t="n">
        <f aca="false">AR47*$D$2</f>
        <v>0</v>
      </c>
      <c r="AS48" s="358" t="n">
        <f aca="false">AS47*$D$2</f>
        <v>0</v>
      </c>
      <c r="AT48" s="94" t="n">
        <f aca="false">AT47*$D$2</f>
        <v>816.0337482525</v>
      </c>
      <c r="AU48" s="93" t="n">
        <f aca="false">AU47*$D$2</f>
        <v>0</v>
      </c>
      <c r="AV48" s="99"/>
      <c r="AW48" s="100"/>
      <c r="AX48" s="100"/>
      <c r="AY48" s="300"/>
      <c r="AZ48" s="377" t="n">
        <f aca="false">AZ47*$D$2</f>
        <v>668.717011485</v>
      </c>
    </row>
    <row r="49" customFormat="false" ht="3" hidden="false" customHeight="true" outlineLevel="0" collapsed="false">
      <c r="A49" s="107"/>
      <c r="B49" s="374"/>
      <c r="C49" s="118"/>
      <c r="D49" s="118"/>
      <c r="E49" s="118"/>
      <c r="F49" s="368"/>
      <c r="G49" s="118"/>
      <c r="H49" s="117"/>
      <c r="I49" s="118"/>
      <c r="J49" s="118"/>
      <c r="K49" s="118"/>
      <c r="L49" s="118"/>
      <c r="M49" s="146"/>
      <c r="N49" s="118"/>
      <c r="O49" s="117"/>
      <c r="P49" s="366"/>
      <c r="Q49" s="116"/>
      <c r="R49" s="116"/>
      <c r="S49" s="118"/>
      <c r="T49" s="147"/>
      <c r="U49" s="118"/>
      <c r="V49" s="118"/>
      <c r="W49" s="118"/>
      <c r="X49" s="118"/>
      <c r="Y49" s="118"/>
      <c r="Z49" s="118"/>
      <c r="AA49" s="118"/>
      <c r="AB49" s="216"/>
      <c r="AC49" s="118"/>
      <c r="AD49" s="118"/>
      <c r="AE49" s="118"/>
      <c r="AF49" s="146"/>
      <c r="AG49" s="147"/>
      <c r="AH49" s="118"/>
      <c r="AI49" s="118"/>
      <c r="AJ49" s="118"/>
      <c r="AK49" s="118"/>
      <c r="AL49" s="118"/>
      <c r="AM49" s="118"/>
      <c r="AN49" s="123"/>
      <c r="AO49" s="378"/>
      <c r="AP49" s="378"/>
      <c r="AQ49" s="221"/>
      <c r="AR49" s="118"/>
      <c r="AS49" s="221"/>
      <c r="AT49" s="223"/>
      <c r="AU49" s="224"/>
      <c r="AV49" s="123"/>
      <c r="AW49" s="378"/>
      <c r="AX49" s="378"/>
      <c r="AY49" s="368"/>
      <c r="AZ49" s="369"/>
    </row>
    <row r="50" customFormat="false" ht="12.95" hidden="false" customHeight="true" outlineLevel="0" collapsed="false">
      <c r="A50" s="12" t="s">
        <v>98</v>
      </c>
      <c r="B50" s="354"/>
      <c r="C50" s="91"/>
      <c r="D50" s="91"/>
      <c r="E50" s="91"/>
      <c r="F50" s="355" t="n">
        <f aca="false">F11+F44</f>
        <v>45045.1222586337</v>
      </c>
      <c r="G50" s="79" t="n">
        <f aca="false">G11+G44</f>
        <v>120479</v>
      </c>
      <c r="H50" s="94" t="n">
        <f aca="false">H11+H44</f>
        <v>4880.27</v>
      </c>
      <c r="I50" s="79" t="n">
        <f aca="false">I11+I44</f>
        <v>125359.27</v>
      </c>
      <c r="J50" s="79" t="n">
        <f aca="false">J11+J44</f>
        <v>12915.3095008823</v>
      </c>
      <c r="K50" s="79" t="n">
        <f aca="false">K11+K44</f>
        <v>138274.579500882</v>
      </c>
      <c r="L50" s="79" t="n">
        <f aca="false">L11+L44</f>
        <v>10702.3522586337</v>
      </c>
      <c r="M50" s="95" t="n">
        <f aca="false">M11+M44</f>
        <v>21755.1</v>
      </c>
      <c r="N50" s="91" t="n">
        <f aca="false">N11+N44</f>
        <v>171.516527</v>
      </c>
      <c r="O50" s="100" t="n">
        <f aca="false">O11+O44</f>
        <v>6562.6197</v>
      </c>
      <c r="P50" s="312"/>
      <c r="Q50" s="100" t="n">
        <f aca="false">Q11+Q44</f>
        <v>433.42452</v>
      </c>
      <c r="R50" s="100" t="n">
        <f aca="false">R11+R44</f>
        <v>726.85</v>
      </c>
      <c r="S50" s="100" t="n">
        <f aca="false">S11+S44</f>
        <v>148.03</v>
      </c>
      <c r="T50" s="462" t="n">
        <f aca="false">T11+T44</f>
        <v>-71.5154</v>
      </c>
      <c r="U50" s="79" t="n">
        <f aca="false">U11+U44</f>
        <v>17818.3</v>
      </c>
      <c r="V50" s="79" t="n">
        <f aca="false">V11+V44</f>
        <v>4842.3</v>
      </c>
      <c r="W50" s="79" t="n">
        <f aca="false">W11+W44</f>
        <v>36025.998638</v>
      </c>
      <c r="X50" s="79" t="n">
        <f aca="false">X11+X44</f>
        <v>34765.596493</v>
      </c>
      <c r="Y50" s="79"/>
      <c r="Z50" s="79"/>
      <c r="AA50" s="79"/>
      <c r="AB50" s="104"/>
      <c r="AC50" s="79"/>
      <c r="AD50" s="79"/>
      <c r="AE50" s="79"/>
      <c r="AF50" s="95"/>
      <c r="AG50" s="96"/>
      <c r="AH50" s="79" t="n">
        <f aca="false">AH11+AH44</f>
        <v>36446</v>
      </c>
      <c r="AI50" s="79" t="n">
        <f aca="false">AI42</f>
        <v>11629.2578774893</v>
      </c>
      <c r="AJ50" s="79" t="n">
        <f aca="false">AJ11+AJ44</f>
        <v>25793</v>
      </c>
      <c r="AK50" s="79" t="n">
        <f aca="false">AK11+AK44</f>
        <v>91016.5</v>
      </c>
      <c r="AL50" s="79" t="n">
        <f aca="false">AL11+AL44</f>
        <v>2212.95724224855</v>
      </c>
      <c r="AM50" s="79" t="n">
        <f aca="false">AM11+AM44</f>
        <v>93229.4572422486</v>
      </c>
      <c r="AN50" s="453"/>
      <c r="AO50" s="79" t="n">
        <f aca="false">AO11+AO44</f>
        <v>1260.402145</v>
      </c>
      <c r="AP50" s="131"/>
      <c r="AQ50" s="199"/>
      <c r="AR50" s="79" t="n">
        <f aca="false">AR11+AR44</f>
        <v>0</v>
      </c>
      <c r="AS50" s="358" t="n">
        <f aca="false">AS11+AS44</f>
        <v>0</v>
      </c>
      <c r="AT50" s="94"/>
      <c r="AV50" s="99" t="n">
        <f aca="false">AV11+AV44</f>
        <v>6.65</v>
      </c>
      <c r="AW50" s="100"/>
      <c r="AX50" s="100"/>
      <c r="AY50" s="300"/>
      <c r="AZ50" s="377" t="n">
        <f aca="false">AZ11+AZ44</f>
        <v>1415.670647</v>
      </c>
    </row>
    <row r="51" customFormat="false" ht="12.95" hidden="false" customHeight="true" outlineLevel="0" collapsed="false">
      <c r="A51" s="12" t="s">
        <v>99</v>
      </c>
      <c r="B51" s="354"/>
      <c r="C51" s="91"/>
      <c r="D51" s="91" t="n">
        <f aca="false">D11+D45</f>
        <v>89347</v>
      </c>
      <c r="E51" s="91" t="n">
        <f aca="false">E42</f>
        <v>222148</v>
      </c>
      <c r="F51" s="355" t="n">
        <f aca="false">F50*$D$2</f>
        <v>89346.9999999999</v>
      </c>
      <c r="G51" s="79" t="n">
        <f aca="false">G50*$D$2</f>
        <v>238970.0965</v>
      </c>
      <c r="H51" s="94" t="n">
        <f aca="false">H50*$D$2</f>
        <v>9680.015545</v>
      </c>
      <c r="I51" s="79" t="n">
        <f aca="false">I50*$D$2</f>
        <v>248650.112045</v>
      </c>
      <c r="J51" s="79" t="n">
        <f aca="false">J50*$D$2</f>
        <v>25617.516395</v>
      </c>
      <c r="K51" s="79" t="n">
        <f aca="false">K50*$D$2</f>
        <v>274267.62844</v>
      </c>
      <c r="L51" s="79" t="n">
        <f aca="false">L50*$D$2</f>
        <v>21228.115705</v>
      </c>
      <c r="M51" s="95" t="n">
        <f aca="false">M50*$D$2</f>
        <v>43151.24085</v>
      </c>
      <c r="N51" s="91" t="n">
        <f aca="false">N50*$D$2</f>
        <v>340.2030313045</v>
      </c>
      <c r="O51" s="100" t="n">
        <f aca="false">O50*$D$2</f>
        <v>13016.95617495</v>
      </c>
      <c r="P51" s="312"/>
      <c r="Q51" s="100" t="n">
        <f aca="false">Q50*$D$2</f>
        <v>859.69753542</v>
      </c>
      <c r="R51" s="100" t="n">
        <f aca="false">R50*$D$2</f>
        <v>1441.706975</v>
      </c>
      <c r="S51" s="100" t="n">
        <f aca="false">S50*$D$2</f>
        <v>293.617505</v>
      </c>
      <c r="T51" s="462" t="n">
        <f aca="false">T50*$D$2</f>
        <v>-141.8507959</v>
      </c>
      <c r="U51" s="79" t="n">
        <f aca="false">U50*$D$2</f>
        <v>35342.59805</v>
      </c>
      <c r="V51" s="79" t="n">
        <f aca="false">V50*$D$2</f>
        <v>9604.70205</v>
      </c>
      <c r="W51" s="79" t="n">
        <f aca="false">W50*$D$2</f>
        <v>71457.568298473</v>
      </c>
      <c r="X51" s="79" t="n">
        <f aca="false">X50*$D$2</f>
        <v>68957.5606438655</v>
      </c>
      <c r="Y51" s="79"/>
      <c r="Z51" s="79"/>
      <c r="AA51" s="79"/>
      <c r="AB51" s="104"/>
      <c r="AC51" s="79"/>
      <c r="AD51" s="79"/>
      <c r="AE51" s="79"/>
      <c r="AF51" s="95"/>
      <c r="AG51" s="96"/>
      <c r="AH51" s="79" t="n">
        <f aca="false">AH50*$D$2</f>
        <v>72290.641</v>
      </c>
      <c r="AI51" s="79" t="n">
        <f aca="false">AI50*$D$2</f>
        <v>23066.633</v>
      </c>
      <c r="AJ51" s="79" t="n">
        <f aca="false">AJ50*$D$2</f>
        <v>51160.4155</v>
      </c>
      <c r="AK51" s="79" t="n">
        <f aca="false">AK50*$D$2</f>
        <v>180531.22775</v>
      </c>
      <c r="AL51" s="79" t="n">
        <f aca="false">AL50*$D$2</f>
        <v>4389.40069</v>
      </c>
      <c r="AM51" s="79" t="n">
        <f aca="false">AM50*$D$2</f>
        <v>184920.62844</v>
      </c>
      <c r="AN51" s="453" t="n">
        <f aca="false">AN42</f>
        <v>14794.787655</v>
      </c>
      <c r="AO51" s="79" t="n">
        <f aca="false">AO50*$D$2</f>
        <v>2500.0076546075</v>
      </c>
      <c r="AP51" s="131"/>
      <c r="AQ51" s="199" t="n">
        <f aca="false">AQ11+AQ45</f>
        <v>232.908370333517</v>
      </c>
      <c r="AR51" s="79" t="n">
        <f aca="false">AR50*$D$2</f>
        <v>0</v>
      </c>
      <c r="AS51" s="358" t="n">
        <f aca="false">AS50*$D$2</f>
        <v>0</v>
      </c>
      <c r="AT51" s="94"/>
      <c r="AV51" s="99"/>
      <c r="AW51" s="100"/>
      <c r="AX51" s="100"/>
      <c r="AY51" s="300"/>
      <c r="AZ51" s="377" t="n">
        <f aca="false">AZ50*$D$2</f>
        <v>2807.9827283245</v>
      </c>
    </row>
    <row r="52" customFormat="false" ht="3" hidden="false" customHeight="true" outlineLevel="0" collapsed="false">
      <c r="A52" s="107"/>
      <c r="B52" s="374"/>
      <c r="C52" s="118"/>
      <c r="D52" s="114"/>
      <c r="E52" s="118"/>
      <c r="F52" s="365"/>
      <c r="G52" s="114"/>
      <c r="H52" s="116"/>
      <c r="I52" s="114"/>
      <c r="J52" s="114"/>
      <c r="K52" s="464"/>
      <c r="L52" s="114"/>
      <c r="M52" s="119"/>
      <c r="N52" s="114"/>
      <c r="O52" s="116"/>
      <c r="P52" s="366"/>
      <c r="Q52" s="116"/>
      <c r="R52" s="116"/>
      <c r="S52" s="114"/>
      <c r="T52" s="367"/>
      <c r="U52" s="114"/>
      <c r="V52" s="114"/>
      <c r="W52" s="114"/>
      <c r="X52" s="114"/>
      <c r="Y52" s="118"/>
      <c r="Z52" s="114"/>
      <c r="AA52" s="118"/>
      <c r="AB52" s="216"/>
      <c r="AC52" s="118"/>
      <c r="AD52" s="118"/>
      <c r="AE52" s="114"/>
      <c r="AF52" s="112"/>
      <c r="AG52" s="153"/>
      <c r="AH52" s="114"/>
      <c r="AI52" s="118"/>
      <c r="AJ52" s="465"/>
      <c r="AK52" s="114"/>
      <c r="AL52" s="114"/>
      <c r="AM52" s="114"/>
      <c r="AN52" s="374"/>
      <c r="AO52" s="114"/>
      <c r="AP52" s="114"/>
      <c r="AQ52" s="221"/>
      <c r="AR52" s="224"/>
      <c r="AS52" s="221"/>
      <c r="AT52" s="221"/>
      <c r="AU52" s="224"/>
      <c r="AV52" s="374"/>
      <c r="AW52" s="114"/>
      <c r="AX52" s="114"/>
      <c r="AY52" s="368"/>
      <c r="AZ52" s="369"/>
    </row>
    <row r="53" customFormat="false" ht="14.1" hidden="false" customHeight="true" outlineLevel="0" collapsed="false">
      <c r="A53" s="159"/>
      <c r="B53" s="162"/>
      <c r="D53" s="12"/>
      <c r="I53" s="12"/>
      <c r="J53" s="12"/>
      <c r="K53" s="466"/>
      <c r="L53" s="105"/>
      <c r="M53" s="12"/>
      <c r="N53" s="12"/>
      <c r="S53" s="12"/>
      <c r="U53" s="12"/>
      <c r="V53" s="12"/>
      <c r="W53" s="12"/>
      <c r="X53" s="12"/>
      <c r="Z53" s="12"/>
      <c r="AB53" s="105"/>
      <c r="AE53" s="12"/>
      <c r="AF53" s="12"/>
      <c r="AG53" s="12"/>
      <c r="AH53" s="12"/>
      <c r="AI53" s="2"/>
      <c r="AJ53" s="102"/>
      <c r="AK53" s="12"/>
      <c r="AL53" s="12"/>
      <c r="AM53" s="12"/>
      <c r="AN53" s="10"/>
      <c r="AO53" s="10"/>
      <c r="AP53" s="15"/>
      <c r="AQ53" s="417"/>
      <c r="AR53" s="413"/>
      <c r="AX53" s="7"/>
    </row>
    <row r="54" customFormat="false" ht="11.1" hidden="false" customHeight="true" outlineLevel="0" collapsed="false">
      <c r="A54" s="12"/>
      <c r="B54" s="162"/>
      <c r="E54" s="443"/>
      <c r="F54" s="176"/>
      <c r="I54" s="13"/>
      <c r="J54" s="12"/>
      <c r="K54" s="163"/>
      <c r="L54" s="166"/>
      <c r="M54" s="12"/>
      <c r="N54" s="12"/>
      <c r="S54" s="128"/>
      <c r="T54" s="90"/>
      <c r="U54" s="28"/>
      <c r="V54" s="128"/>
      <c r="W54" s="87"/>
      <c r="X54" s="87"/>
      <c r="Y54" s="87"/>
      <c r="Z54" s="87"/>
      <c r="AA54" s="105"/>
      <c r="AB54" s="105"/>
      <c r="AC54" s="105"/>
      <c r="AD54" s="105"/>
      <c r="AE54" s="28"/>
      <c r="AF54" s="28"/>
      <c r="AG54" s="28"/>
      <c r="AH54" s="12"/>
      <c r="AI54" s="2"/>
      <c r="AJ54" s="102"/>
      <c r="AK54" s="12"/>
      <c r="AL54" s="12"/>
      <c r="AM54" s="12"/>
      <c r="AN54" s="10"/>
      <c r="AO54" s="10"/>
      <c r="AP54" s="15"/>
      <c r="AX54" s="7"/>
    </row>
    <row r="55" customFormat="false" ht="11.1" hidden="false" customHeight="true" outlineLevel="0" collapsed="false">
      <c r="B55" s="105"/>
      <c r="C55" s="105"/>
      <c r="D55" s="9"/>
      <c r="E55" s="443"/>
      <c r="F55" s="208"/>
      <c r="K55" s="467"/>
      <c r="L55" s="105"/>
      <c r="M55" s="468"/>
      <c r="N55" s="468"/>
      <c r="O55" s="469"/>
      <c r="P55" s="470"/>
      <c r="Q55" s="469"/>
      <c r="R55" s="469"/>
      <c r="S55" s="28"/>
      <c r="T55" s="90"/>
      <c r="U55" s="28"/>
      <c r="V55" s="128"/>
      <c r="W55" s="87"/>
      <c r="X55" s="87"/>
      <c r="Y55" s="87"/>
      <c r="Z55" s="87"/>
      <c r="AA55" s="105"/>
      <c r="AC55" s="105"/>
      <c r="AD55" s="105"/>
      <c r="AE55" s="105"/>
      <c r="AF55" s="105"/>
      <c r="AG55" s="105"/>
      <c r="AI55" s="28"/>
      <c r="AJ55" s="471"/>
      <c r="AN55" s="84"/>
      <c r="AO55" s="84"/>
      <c r="AP55" s="84"/>
    </row>
    <row r="56" customFormat="false" ht="11.1" hidden="false" customHeight="true" outlineLevel="0" collapsed="false">
      <c r="B56" s="9"/>
      <c r="C56" s="105"/>
      <c r="D56" s="105"/>
      <c r="E56" s="443"/>
      <c r="H56" s="166"/>
      <c r="K56" s="467"/>
      <c r="L56" s="166"/>
      <c r="O56" s="166"/>
      <c r="P56" s="167"/>
      <c r="Q56" s="166"/>
      <c r="R56" s="166"/>
      <c r="S56" s="28"/>
      <c r="T56" s="90"/>
      <c r="U56" s="28"/>
      <c r="V56" s="28"/>
      <c r="W56" s="87"/>
      <c r="X56" s="87"/>
      <c r="Y56" s="87"/>
      <c r="Z56" s="87"/>
      <c r="AA56" s="168"/>
      <c r="AC56" s="168"/>
      <c r="AD56" s="168"/>
      <c r="AE56" s="105"/>
      <c r="AF56" s="105"/>
      <c r="AG56" s="105"/>
      <c r="AI56" s="105"/>
      <c r="AJ56" s="208"/>
      <c r="AN56" s="84"/>
      <c r="AO56" s="84"/>
      <c r="AP56" s="84"/>
    </row>
    <row r="57" customFormat="false" ht="11.1" hidden="false" customHeight="true" outlineLevel="0" collapsed="false">
      <c r="B57" s="167"/>
      <c r="C57" s="105"/>
      <c r="D57" s="105"/>
      <c r="E57" s="443"/>
      <c r="F57" s="444"/>
      <c r="G57" s="9"/>
      <c r="K57" s="163"/>
      <c r="AA57" s="2"/>
      <c r="AC57" s="2"/>
      <c r="AD57" s="2"/>
      <c r="AN57" s="84"/>
      <c r="AO57" s="84"/>
      <c r="AP57" s="84"/>
    </row>
    <row r="59" customFormat="false" ht="11.1" hidden="false" customHeight="true" outlineLevel="0" collapsed="false">
      <c r="B59" s="160"/>
    </row>
  </sheetData>
  <mergeCells count="1">
    <mergeCell ref="M5:T5"/>
  </mergeCells>
  <printOptions headings="true" gridLines="true" gridLinesSet="true" horizontalCentered="false" verticalCentered="true"/>
  <pageMargins left="0.25" right="0.25" top="0.25" bottom="0" header="0.511811023622047" footer="0.511811023622047"/>
  <pageSetup paperSize="3" scale="99"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8"/>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1" ySplit="12" topLeftCell="Y13" activePane="bottomRight" state="frozen"/>
      <selection pane="topLeft" activeCell="A1" activeCellId="0" sqref="A1"/>
      <selection pane="topRight" activeCell="Y1" activeCellId="0" sqref="Y1"/>
      <selection pane="bottomLeft" activeCell="A13" activeCellId="0" sqref="A13"/>
      <selection pane="bottomRight" activeCell="AU11" activeCellId="1" sqref="E20:E43 AU11"/>
    </sheetView>
  </sheetViews>
  <sheetFormatPr defaultColWidth="9.3359375" defaultRowHeight="11.1" zeroHeight="false" outlineLevelRow="0" outlineLevelCol="0"/>
  <cols>
    <col collapsed="false" customWidth="true" hidden="false" outlineLevel="0" max="1" min="1" style="9" width="4.67"/>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8.82"/>
    <col collapsed="false" customWidth="true" hidden="false" outlineLevel="0" max="7" min="7" style="9" width="6.82"/>
    <col collapsed="false" customWidth="true" hidden="false" outlineLevel="0" max="8" min="8" style="166" width="5.67"/>
    <col collapsed="false" customWidth="true" hidden="false" outlineLevel="0" max="11" min="9" style="9" width="6.32"/>
    <col collapsed="false" customWidth="true" hidden="false" outlineLevel="0" max="12" min="12" style="9" width="8.82"/>
    <col collapsed="false" customWidth="true" hidden="false" outlineLevel="0" max="13" min="13" style="166" width="5.49"/>
    <col collapsed="false" customWidth="true" hidden="false" outlineLevel="0" max="14" min="14" style="166" width="4.49"/>
    <col collapsed="false" customWidth="true" hidden="false" outlineLevel="0" max="15" min="15" style="166" width="5.49"/>
    <col collapsed="false" customWidth="true" hidden="false" outlineLevel="0" max="16" min="16" style="167" width="4.82"/>
    <col collapsed="false" customWidth="true" hidden="false" outlineLevel="0" max="17" min="17" style="166" width="4.67"/>
    <col collapsed="false" customWidth="true" hidden="false" outlineLevel="0" max="18" min="18" style="166" width="4.99"/>
    <col collapsed="false" customWidth="true" hidden="false" outlineLevel="0" max="19" min="19" style="9" width="4.32"/>
    <col collapsed="false" customWidth="true" hidden="false" outlineLevel="0" max="20" min="20" style="167" width="5.49"/>
    <col collapsed="false" customWidth="true" hidden="false" outlineLevel="0" max="22" min="21" style="9" width="5.49"/>
    <col collapsed="false" customWidth="true" hidden="false" outlineLevel="0" max="26" min="23" style="105" width="6.32"/>
    <col collapsed="false" customWidth="true" hidden="false" outlineLevel="0" max="33" min="27" style="9" width="5.49"/>
    <col collapsed="false" customWidth="true" hidden="false" outlineLevel="0" max="34" min="34" style="105" width="6.49"/>
    <col collapsed="false" customWidth="true" hidden="false" outlineLevel="0" max="35" min="35" style="9" width="6.82"/>
    <col collapsed="false" customWidth="true" hidden="false" outlineLevel="0" max="36" min="36" style="169" width="6.32"/>
    <col collapsed="false" customWidth="true" hidden="false" outlineLevel="0" max="37" min="37" style="9" width="6.32"/>
    <col collapsed="false" customWidth="true" hidden="false" outlineLevel="0" max="38" min="38" style="9" width="8.16"/>
    <col collapsed="false" customWidth="true" hidden="false" outlineLevel="0" max="39" min="39" style="167" width="8.16"/>
    <col collapsed="false" customWidth="true" hidden="false" outlineLevel="0" max="41" min="40" style="9" width="5.49"/>
    <col collapsed="false" customWidth="true" hidden="false" outlineLevel="0" max="42" min="42" style="166" width="6.32"/>
    <col collapsed="false" customWidth="true" hidden="false" outlineLevel="0" max="45" min="43" style="329" width="6.32"/>
    <col collapsed="false" customWidth="true" hidden="false" outlineLevel="0" max="46" min="46" style="444" width="6.82"/>
    <col collapsed="false" customWidth="true" hidden="false" outlineLevel="0" max="47" min="47" style="166" width="4.99"/>
    <col collapsed="false" customWidth="true" hidden="false" outlineLevel="0" max="48" min="48" style="168" width="5.32"/>
    <col collapsed="false" customWidth="true" hidden="false" outlineLevel="0" max="49" min="49" style="168" width="3.82"/>
    <col collapsed="false" customWidth="true" hidden="false" outlineLevel="0" max="50" min="50" style="171" width="3.82"/>
    <col collapsed="false" customWidth="true" hidden="false" outlineLevel="0" max="51" min="51" style="172" width="4.32"/>
    <col collapsed="false" customWidth="true" hidden="false" outlineLevel="0" max="52" min="52" style="172" width="6.49"/>
    <col collapsed="false" customWidth="false" hidden="false" outlineLevel="0" max="257" min="53" style="172" width="9.32"/>
  </cols>
  <sheetData>
    <row r="1" customFormat="false" ht="14.1" hidden="false" customHeight="true" outlineLevel="0" collapsed="false">
      <c r="A1" s="12"/>
      <c r="B1" s="12"/>
      <c r="C1" s="2"/>
      <c r="D1" s="12"/>
      <c r="E1" s="2"/>
      <c r="F1" s="12"/>
      <c r="G1" s="12"/>
      <c r="H1" s="4"/>
      <c r="I1" s="12"/>
      <c r="J1" s="12"/>
      <c r="K1" s="14" t="s">
        <v>0</v>
      </c>
      <c r="L1" s="12"/>
      <c r="M1" s="12"/>
      <c r="N1" s="12"/>
      <c r="O1" s="12"/>
      <c r="P1" s="5"/>
      <c r="Q1" s="12"/>
      <c r="R1" s="12"/>
      <c r="S1" s="12"/>
      <c r="T1" s="5"/>
      <c r="U1" s="12"/>
      <c r="V1" s="12"/>
      <c r="W1" s="2"/>
      <c r="X1" s="2"/>
      <c r="Y1" s="2"/>
      <c r="Z1" s="2"/>
      <c r="AA1" s="12"/>
      <c r="AB1" s="12"/>
      <c r="AC1" s="12"/>
      <c r="AD1" s="7"/>
      <c r="AE1" s="12"/>
      <c r="AF1" s="12"/>
      <c r="AG1" s="12"/>
      <c r="AH1" s="2"/>
      <c r="AI1" s="12"/>
      <c r="AJ1" s="15"/>
      <c r="AK1" s="12"/>
      <c r="AL1" s="12"/>
      <c r="AM1" s="5"/>
      <c r="AN1" s="15"/>
      <c r="AO1" s="15"/>
      <c r="AP1" s="472"/>
      <c r="AS1" s="6"/>
      <c r="AT1" s="473"/>
      <c r="AU1" s="4"/>
      <c r="AV1" s="3"/>
      <c r="AW1" s="7"/>
      <c r="AX1" s="10"/>
      <c r="AY1" s="0"/>
      <c r="AZ1" s="0"/>
      <c r="BA1" s="0"/>
      <c r="BB1" s="0"/>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4.1" hidden="false" customHeight="true" outlineLevel="0" collapsed="false">
      <c r="A2" s="15" t="s">
        <v>1</v>
      </c>
      <c r="B2" s="12"/>
      <c r="C2" s="2"/>
      <c r="D2" s="16" t="n">
        <v>1.9835</v>
      </c>
      <c r="E2" s="2"/>
      <c r="F2" s="12"/>
      <c r="G2" s="12"/>
      <c r="H2" s="4"/>
      <c r="I2" s="12"/>
      <c r="J2" s="12"/>
      <c r="K2" s="346" t="s">
        <v>120</v>
      </c>
      <c r="L2" s="347"/>
      <c r="M2" s="348"/>
      <c r="N2" s="348"/>
      <c r="O2" s="348"/>
      <c r="P2" s="6"/>
      <c r="Q2" s="348"/>
      <c r="R2" s="348"/>
      <c r="S2" s="348"/>
      <c r="T2" s="6"/>
      <c r="U2" s="348"/>
      <c r="V2" s="348"/>
      <c r="W2" s="343"/>
      <c r="X2" s="343"/>
      <c r="Y2" s="343"/>
      <c r="Z2" s="343"/>
      <c r="AA2" s="348"/>
      <c r="AB2" s="348"/>
      <c r="AC2" s="348"/>
      <c r="AD2" s="10"/>
      <c r="AE2" s="348"/>
      <c r="AF2" s="348"/>
      <c r="AG2" s="348"/>
      <c r="AH2" s="343"/>
      <c r="AI2" s="12"/>
      <c r="AJ2" s="15"/>
      <c r="AK2" s="12"/>
      <c r="AL2" s="12"/>
      <c r="AM2" s="5"/>
      <c r="AN2" s="15"/>
      <c r="AO2" s="15"/>
      <c r="AP2" s="472"/>
      <c r="AS2" s="6"/>
      <c r="AT2" s="473"/>
      <c r="AU2" s="4"/>
      <c r="AV2" s="3"/>
      <c r="AW2" s="7"/>
      <c r="AX2" s="1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4.1" hidden="false" customHeight="true" outlineLevel="0" collapsed="false">
      <c r="A3" s="17"/>
      <c r="B3" s="17"/>
      <c r="C3" s="18"/>
      <c r="D3" s="19"/>
      <c r="E3" s="18"/>
      <c r="F3" s="17"/>
      <c r="G3" s="17"/>
      <c r="H3" s="23"/>
      <c r="I3" s="17"/>
      <c r="J3" s="17"/>
      <c r="K3" s="17"/>
      <c r="L3" s="17"/>
      <c r="M3" s="17"/>
      <c r="N3" s="17"/>
      <c r="O3" s="17"/>
      <c r="P3" s="21"/>
      <c r="Q3" s="17"/>
      <c r="R3" s="17"/>
      <c r="S3" s="17"/>
      <c r="T3" s="21"/>
      <c r="U3" s="17"/>
      <c r="V3" s="17"/>
      <c r="W3" s="18"/>
      <c r="X3" s="18"/>
      <c r="Y3" s="18"/>
      <c r="Z3" s="18"/>
      <c r="AA3" s="17"/>
      <c r="AB3" s="17"/>
      <c r="AC3" s="17"/>
      <c r="AD3" s="24"/>
      <c r="AE3" s="17"/>
      <c r="AF3" s="17"/>
      <c r="AG3" s="17"/>
      <c r="AH3" s="18"/>
      <c r="AI3" s="17"/>
      <c r="AJ3" s="448"/>
      <c r="AK3" s="17"/>
      <c r="AL3" s="17"/>
      <c r="AM3" s="21"/>
      <c r="AN3" s="448"/>
      <c r="AO3" s="448"/>
      <c r="AP3" s="474"/>
      <c r="AS3" s="6"/>
      <c r="AT3" s="473"/>
      <c r="AU3" s="4"/>
      <c r="AV3" s="29"/>
      <c r="AW3" s="24"/>
      <c r="AX3" s="3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s="1" customFormat="true" ht="14.1" hidden="false" customHeight="true" outlineLevel="0" collapsed="false">
      <c r="A4" s="12"/>
      <c r="B4" s="33"/>
      <c r="C4" s="34"/>
      <c r="D4" s="35" t="s">
        <v>3</v>
      </c>
      <c r="E4" s="34"/>
      <c r="F4" s="32"/>
      <c r="G4" s="12"/>
      <c r="H4" s="4"/>
      <c r="I4" s="12"/>
      <c r="J4" s="12"/>
      <c r="K4" s="12"/>
      <c r="L4" s="12"/>
      <c r="M4" s="12"/>
      <c r="N4" s="12"/>
      <c r="O4" s="12"/>
      <c r="P4" s="5"/>
      <c r="Q4" s="12"/>
      <c r="R4" s="12"/>
      <c r="S4" s="12"/>
      <c r="T4" s="5"/>
      <c r="U4" s="475" t="s">
        <v>4</v>
      </c>
      <c r="V4" s="12"/>
      <c r="W4" s="2"/>
      <c r="X4" s="2"/>
      <c r="Y4" s="2"/>
      <c r="Z4" s="2"/>
      <c r="AA4" s="12"/>
      <c r="AB4" s="12"/>
      <c r="AC4" s="12"/>
      <c r="AD4" s="7"/>
      <c r="AE4" s="12"/>
      <c r="AF4" s="12"/>
      <c r="AG4" s="12"/>
      <c r="AH4" s="2"/>
      <c r="AI4" s="12"/>
      <c r="AJ4" s="15"/>
      <c r="AK4" s="12"/>
      <c r="AL4" s="12"/>
      <c r="AM4" s="5"/>
      <c r="AN4" s="449"/>
      <c r="AO4" s="51"/>
      <c r="AP4" s="476" t="s">
        <v>5</v>
      </c>
      <c r="AQ4" s="46"/>
      <c r="AR4" s="46"/>
      <c r="AS4" s="37"/>
      <c r="AT4" s="477"/>
      <c r="AU4" s="478"/>
      <c r="AV4" s="49"/>
      <c r="AW4" s="50" t="s">
        <v>6</v>
      </c>
      <c r="AX4" s="51"/>
      <c r="AY4" s="299"/>
      <c r="AZ4" s="333"/>
    </row>
    <row r="5" customFormat="false" ht="12.95" hidden="false" customHeight="true" outlineLevel="0" collapsed="false">
      <c r="A5" s="259" t="s">
        <v>7</v>
      </c>
      <c r="B5" s="405" t="s">
        <v>8</v>
      </c>
      <c r="C5" s="59" t="s">
        <v>8</v>
      </c>
      <c r="D5" s="259" t="s">
        <v>9</v>
      </c>
      <c r="E5" s="59" t="s">
        <v>10</v>
      </c>
      <c r="F5" s="259" t="s">
        <v>11</v>
      </c>
      <c r="G5" s="405" t="s">
        <v>12</v>
      </c>
      <c r="H5" s="413" t="s">
        <v>13</v>
      </c>
      <c r="I5" s="259" t="s">
        <v>14</v>
      </c>
      <c r="J5" s="259" t="s">
        <v>15</v>
      </c>
      <c r="K5" s="259" t="s">
        <v>16</v>
      </c>
      <c r="L5" s="259" t="s">
        <v>15</v>
      </c>
      <c r="M5" s="409" t="s">
        <v>17</v>
      </c>
      <c r="N5" s="409"/>
      <c r="O5" s="409"/>
      <c r="P5" s="409"/>
      <c r="Q5" s="409"/>
      <c r="R5" s="409"/>
      <c r="S5" s="409"/>
      <c r="T5" s="409"/>
      <c r="U5" s="259" t="s">
        <v>18</v>
      </c>
      <c r="V5" s="259" t="s">
        <v>19</v>
      </c>
      <c r="W5" s="259" t="s">
        <v>16</v>
      </c>
      <c r="X5" s="259" t="s">
        <v>16</v>
      </c>
      <c r="Y5" s="59" t="s">
        <v>16</v>
      </c>
      <c r="Z5" s="259" t="s">
        <v>16</v>
      </c>
      <c r="AA5" s="59" t="s">
        <v>21</v>
      </c>
      <c r="AB5" s="59" t="s">
        <v>21</v>
      </c>
      <c r="AC5" s="59" t="s">
        <v>22</v>
      </c>
      <c r="AD5" s="412" t="s">
        <v>21</v>
      </c>
      <c r="AE5" s="259" t="s">
        <v>23</v>
      </c>
      <c r="AF5" s="410" t="s">
        <v>115</v>
      </c>
      <c r="AG5" s="411"/>
      <c r="AH5" s="412" t="s">
        <v>25</v>
      </c>
      <c r="AI5" s="59" t="s">
        <v>116</v>
      </c>
      <c r="AJ5" s="59" t="s">
        <v>27</v>
      </c>
      <c r="AK5" s="259" t="s">
        <v>14</v>
      </c>
      <c r="AL5" s="259" t="s">
        <v>15</v>
      </c>
      <c r="AM5" s="259" t="s">
        <v>16</v>
      </c>
      <c r="AN5" s="451" t="s">
        <v>28</v>
      </c>
      <c r="AO5" s="60" t="s">
        <v>21</v>
      </c>
      <c r="AP5" s="66" t="s">
        <v>29</v>
      </c>
      <c r="AQ5" s="66" t="s">
        <v>29</v>
      </c>
      <c r="AR5" s="61" t="s">
        <v>30</v>
      </c>
      <c r="AS5" s="67" t="s">
        <v>31</v>
      </c>
      <c r="AT5" s="413" t="s">
        <v>32</v>
      </c>
      <c r="AU5" s="68" t="s">
        <v>33</v>
      </c>
      <c r="AV5" s="414" t="s">
        <v>34</v>
      </c>
      <c r="AW5" s="412" t="s">
        <v>35</v>
      </c>
      <c r="AX5" s="412" t="s">
        <v>36</v>
      </c>
      <c r="AY5" s="303"/>
      <c r="AZ5" s="71" t="s">
        <v>16</v>
      </c>
    </row>
    <row r="6" customFormat="false" ht="12.95" hidden="false" customHeight="true" outlineLevel="0" collapsed="false">
      <c r="A6" s="415" t="s">
        <v>121</v>
      </c>
      <c r="B6" s="405" t="s">
        <v>38</v>
      </c>
      <c r="C6" s="59"/>
      <c r="D6" s="259" t="s">
        <v>39</v>
      </c>
      <c r="E6" s="59" t="s">
        <v>40</v>
      </c>
      <c r="F6" s="259" t="s">
        <v>41</v>
      </c>
      <c r="G6" s="405" t="s">
        <v>42</v>
      </c>
      <c r="H6" s="413" t="s">
        <v>43</v>
      </c>
      <c r="I6" s="259" t="s">
        <v>44</v>
      </c>
      <c r="J6" s="259" t="s">
        <v>44</v>
      </c>
      <c r="K6" s="259" t="s">
        <v>44</v>
      </c>
      <c r="L6" s="259" t="s">
        <v>45</v>
      </c>
      <c r="M6" s="416" t="s">
        <v>46</v>
      </c>
      <c r="N6" s="417" t="s">
        <v>47</v>
      </c>
      <c r="O6" s="259" t="s">
        <v>48</v>
      </c>
      <c r="P6" s="417" t="s">
        <v>49</v>
      </c>
      <c r="Q6" s="259" t="s">
        <v>50</v>
      </c>
      <c r="R6" s="259" t="s">
        <v>51</v>
      </c>
      <c r="S6" s="259" t="s">
        <v>52</v>
      </c>
      <c r="T6" s="419" t="s">
        <v>53</v>
      </c>
      <c r="U6" s="259" t="s">
        <v>54</v>
      </c>
      <c r="V6" s="259" t="s">
        <v>55</v>
      </c>
      <c r="W6" s="259" t="s">
        <v>21</v>
      </c>
      <c r="X6" s="259" t="s">
        <v>21</v>
      </c>
      <c r="Y6" s="59" t="s">
        <v>21</v>
      </c>
      <c r="Z6" s="259" t="s">
        <v>21</v>
      </c>
      <c r="AA6" s="59" t="s">
        <v>56</v>
      </c>
      <c r="AB6" s="59" t="s">
        <v>57</v>
      </c>
      <c r="AC6" s="59" t="s">
        <v>58</v>
      </c>
      <c r="AD6" s="412" t="s">
        <v>59</v>
      </c>
      <c r="AE6" s="259" t="s">
        <v>60</v>
      </c>
      <c r="AF6" s="416"/>
      <c r="AG6" s="420"/>
      <c r="AH6" s="412" t="s">
        <v>63</v>
      </c>
      <c r="AI6" s="59" t="s">
        <v>64</v>
      </c>
      <c r="AJ6" s="59"/>
      <c r="AK6" s="259" t="s">
        <v>65</v>
      </c>
      <c r="AL6" s="259" t="s">
        <v>65</v>
      </c>
      <c r="AM6" s="259" t="s">
        <v>65</v>
      </c>
      <c r="AN6" s="451" t="s">
        <v>56</v>
      </c>
      <c r="AO6" s="60" t="s">
        <v>66</v>
      </c>
      <c r="AP6" s="66" t="s">
        <v>67</v>
      </c>
      <c r="AQ6" s="66" t="s">
        <v>67</v>
      </c>
      <c r="AR6" s="61" t="s">
        <v>68</v>
      </c>
      <c r="AS6" s="67" t="s">
        <v>69</v>
      </c>
      <c r="AT6" s="413" t="s">
        <v>70</v>
      </c>
      <c r="AU6" s="68" t="s">
        <v>71</v>
      </c>
      <c r="AV6" s="421"/>
      <c r="AW6" s="412" t="s">
        <v>72</v>
      </c>
      <c r="AX6" s="412" t="s">
        <v>72</v>
      </c>
      <c r="AY6" s="303"/>
      <c r="AZ6" s="71" t="s">
        <v>73</v>
      </c>
    </row>
    <row r="7" customFormat="false" ht="12.95" hidden="false" customHeight="true" outlineLevel="0" collapsed="false">
      <c r="A7" s="259"/>
      <c r="B7" s="405"/>
      <c r="C7" s="59"/>
      <c r="D7" s="259"/>
      <c r="E7" s="59"/>
      <c r="F7" s="259"/>
      <c r="G7" s="405"/>
      <c r="H7" s="413"/>
      <c r="I7" s="259"/>
      <c r="J7" s="259"/>
      <c r="K7" s="259"/>
      <c r="L7" s="259"/>
      <c r="M7" s="416"/>
      <c r="N7" s="417" t="s">
        <v>74</v>
      </c>
      <c r="O7" s="259" t="s">
        <v>75</v>
      </c>
      <c r="P7" s="417"/>
      <c r="Q7" s="259"/>
      <c r="R7" s="259"/>
      <c r="S7" s="259" t="s">
        <v>48</v>
      </c>
      <c r="T7" s="419" t="s">
        <v>27</v>
      </c>
      <c r="U7" s="259"/>
      <c r="V7" s="259"/>
      <c r="W7" s="59" t="s">
        <v>122</v>
      </c>
      <c r="X7" s="59" t="s">
        <v>76</v>
      </c>
      <c r="Y7" s="59" t="s">
        <v>76</v>
      </c>
      <c r="Z7" s="59" t="n">
        <v>105500</v>
      </c>
      <c r="AA7" s="59"/>
      <c r="AB7" s="59" t="s">
        <v>77</v>
      </c>
      <c r="AC7" s="59"/>
      <c r="AD7" s="412"/>
      <c r="AE7" s="259"/>
      <c r="AF7" s="422"/>
      <c r="AG7" s="423"/>
      <c r="AH7" s="412"/>
      <c r="AI7" s="59"/>
      <c r="AJ7" s="59"/>
      <c r="AK7" s="259"/>
      <c r="AL7" s="259"/>
      <c r="AM7" s="259"/>
      <c r="AN7" s="451"/>
      <c r="AO7" s="60" t="s">
        <v>41</v>
      </c>
      <c r="AP7" s="66" t="s">
        <v>78</v>
      </c>
      <c r="AQ7" s="66" t="s">
        <v>79</v>
      </c>
      <c r="AR7" s="61" t="s">
        <v>80</v>
      </c>
      <c r="AS7" s="67" t="s">
        <v>81</v>
      </c>
      <c r="AT7" s="413" t="s">
        <v>82</v>
      </c>
      <c r="AU7" s="68" t="s">
        <v>123</v>
      </c>
      <c r="AV7" s="421"/>
      <c r="AW7" s="412"/>
      <c r="AX7" s="412"/>
      <c r="AY7" s="303"/>
      <c r="AZ7" s="71" t="s">
        <v>83</v>
      </c>
    </row>
    <row r="8" customFormat="false" ht="12.95" hidden="false" customHeight="true" outlineLevel="0" collapsed="false">
      <c r="A8" s="259"/>
      <c r="B8" s="405"/>
      <c r="C8" s="59"/>
      <c r="D8" s="259"/>
      <c r="E8" s="59"/>
      <c r="F8" s="259"/>
      <c r="G8" s="405"/>
      <c r="H8" s="413"/>
      <c r="I8" s="259"/>
      <c r="J8" s="259"/>
      <c r="K8" s="259"/>
      <c r="L8" s="259"/>
      <c r="M8" s="416"/>
      <c r="N8" s="417"/>
      <c r="O8" s="259"/>
      <c r="P8" s="417"/>
      <c r="Q8" s="259"/>
      <c r="R8" s="259"/>
      <c r="S8" s="259"/>
      <c r="T8" s="419"/>
      <c r="U8" s="259"/>
      <c r="V8" s="259"/>
      <c r="W8" s="59" t="s">
        <v>124</v>
      </c>
      <c r="X8" s="59" t="s">
        <v>125</v>
      </c>
      <c r="Y8" s="59" t="s">
        <v>125</v>
      </c>
      <c r="Z8" s="59" t="s">
        <v>125</v>
      </c>
      <c r="AA8" s="59"/>
      <c r="AB8" s="59"/>
      <c r="AC8" s="59"/>
      <c r="AD8" s="412"/>
      <c r="AE8" s="259"/>
      <c r="AF8" s="422"/>
      <c r="AG8" s="423"/>
      <c r="AH8" s="412"/>
      <c r="AI8" s="59"/>
      <c r="AJ8" s="59"/>
      <c r="AK8" s="259"/>
      <c r="AL8" s="259"/>
      <c r="AM8" s="259"/>
      <c r="AN8" s="451"/>
      <c r="AO8" s="60"/>
      <c r="AP8" s="66"/>
      <c r="AQ8" s="66"/>
      <c r="AR8" s="61"/>
      <c r="AS8" s="67"/>
      <c r="AT8" s="413"/>
      <c r="AU8" s="68"/>
      <c r="AV8" s="421"/>
      <c r="AW8" s="412"/>
      <c r="AX8" s="412"/>
      <c r="AY8" s="303"/>
      <c r="AZ8" s="71"/>
    </row>
    <row r="9" customFormat="false" ht="12.95" hidden="false" customHeight="true" outlineLevel="0" collapsed="false">
      <c r="A9" s="259"/>
      <c r="B9" s="405"/>
      <c r="C9" s="59" t="s">
        <v>9</v>
      </c>
      <c r="D9" s="259"/>
      <c r="E9" s="59" t="s">
        <v>85</v>
      </c>
      <c r="F9" s="259"/>
      <c r="G9" s="405" t="s">
        <v>41</v>
      </c>
      <c r="H9" s="413" t="s">
        <v>41</v>
      </c>
      <c r="I9" s="413" t="s">
        <v>41</v>
      </c>
      <c r="J9" s="413" t="s">
        <v>41</v>
      </c>
      <c r="K9" s="413" t="s">
        <v>41</v>
      </c>
      <c r="L9" s="413" t="s">
        <v>41</v>
      </c>
      <c r="M9" s="424" t="s">
        <v>41</v>
      </c>
      <c r="N9" s="413" t="s">
        <v>41</v>
      </c>
      <c r="O9" s="413" t="s">
        <v>41</v>
      </c>
      <c r="P9" s="413" t="s">
        <v>41</v>
      </c>
      <c r="Q9" s="413" t="s">
        <v>41</v>
      </c>
      <c r="R9" s="413" t="s">
        <v>41</v>
      </c>
      <c r="S9" s="259" t="s">
        <v>62</v>
      </c>
      <c r="T9" s="425" t="s">
        <v>41</v>
      </c>
      <c r="U9" s="413" t="s">
        <v>41</v>
      </c>
      <c r="V9" s="413" t="s">
        <v>41</v>
      </c>
      <c r="W9" s="413" t="s">
        <v>41</v>
      </c>
      <c r="X9" s="59" t="n">
        <v>150400</v>
      </c>
      <c r="Y9" s="59" t="n">
        <v>150400</v>
      </c>
      <c r="Z9" s="259" t="s">
        <v>126</v>
      </c>
      <c r="AA9" s="413" t="s">
        <v>41</v>
      </c>
      <c r="AB9" s="412" t="n">
        <v>72000</v>
      </c>
      <c r="AC9" s="413" t="s">
        <v>41</v>
      </c>
      <c r="AD9" s="412" t="s">
        <v>41</v>
      </c>
      <c r="AE9" s="413" t="s">
        <v>41</v>
      </c>
      <c r="AF9" s="424" t="s">
        <v>41</v>
      </c>
      <c r="AG9" s="425" t="s">
        <v>41</v>
      </c>
      <c r="AH9" s="413" t="s">
        <v>41</v>
      </c>
      <c r="AI9" s="413" t="s">
        <v>41</v>
      </c>
      <c r="AJ9" s="413" t="s">
        <v>41</v>
      </c>
      <c r="AK9" s="413" t="s">
        <v>41</v>
      </c>
      <c r="AL9" s="413" t="s">
        <v>41</v>
      </c>
      <c r="AM9" s="413" t="s">
        <v>41</v>
      </c>
      <c r="AN9" s="451" t="s">
        <v>85</v>
      </c>
      <c r="AO9" s="60" t="s">
        <v>41</v>
      </c>
      <c r="AP9" s="60" t="s">
        <v>41</v>
      </c>
      <c r="AQ9" s="66" t="s">
        <v>87</v>
      </c>
      <c r="AR9" s="61" t="s">
        <v>41</v>
      </c>
      <c r="AS9" s="60" t="s">
        <v>41</v>
      </c>
      <c r="AT9" s="60" t="s">
        <v>41</v>
      </c>
      <c r="AU9" s="60" t="s">
        <v>41</v>
      </c>
      <c r="AV9" s="421"/>
      <c r="AW9" s="412"/>
      <c r="AX9" s="412"/>
      <c r="AY9" s="303"/>
      <c r="AZ9" s="71" t="s">
        <v>88</v>
      </c>
    </row>
    <row r="10" customFormat="false" ht="12.95" hidden="false" customHeight="true" outlineLevel="0" collapsed="false">
      <c r="A10" s="259"/>
      <c r="B10" s="405"/>
      <c r="C10" s="59"/>
      <c r="D10" s="259"/>
      <c r="E10" s="59"/>
      <c r="F10" s="479"/>
      <c r="G10" s="259"/>
      <c r="H10" s="413"/>
      <c r="I10" s="259"/>
      <c r="J10" s="259"/>
      <c r="K10" s="259"/>
      <c r="L10" s="420"/>
      <c r="M10" s="259"/>
      <c r="N10" s="417" t="n">
        <v>1.03</v>
      </c>
      <c r="O10" s="418" t="n">
        <v>1.05</v>
      </c>
      <c r="P10" s="417" t="n">
        <v>1.02</v>
      </c>
      <c r="Q10" s="418" t="n">
        <v>1.02</v>
      </c>
      <c r="R10" s="418" t="n">
        <v>1.04</v>
      </c>
      <c r="S10" s="413" t="s">
        <v>41</v>
      </c>
      <c r="T10" s="419"/>
      <c r="U10" s="259"/>
      <c r="V10" s="259"/>
      <c r="W10" s="259"/>
      <c r="X10" s="413" t="s">
        <v>41</v>
      </c>
      <c r="Y10" s="59" t="s">
        <v>85</v>
      </c>
      <c r="Z10" s="259" t="s">
        <v>85</v>
      </c>
      <c r="AA10" s="59"/>
      <c r="AB10" s="259" t="s">
        <v>85</v>
      </c>
      <c r="AC10" s="59"/>
      <c r="AD10" s="412"/>
      <c r="AE10" s="259"/>
      <c r="AF10" s="422"/>
      <c r="AG10" s="423"/>
      <c r="AH10" s="412"/>
      <c r="AI10" s="59"/>
      <c r="AJ10" s="59"/>
      <c r="AK10" s="259"/>
      <c r="AL10" s="259"/>
      <c r="AM10" s="259"/>
      <c r="AN10" s="451"/>
      <c r="AO10" s="60"/>
      <c r="AP10" s="66"/>
      <c r="AQ10" s="66"/>
      <c r="AR10" s="61"/>
      <c r="AS10" s="84"/>
      <c r="AT10" s="330"/>
      <c r="AU10" s="169"/>
      <c r="AV10" s="421"/>
      <c r="AW10" s="412"/>
      <c r="AX10" s="412"/>
      <c r="AY10" s="303"/>
      <c r="AZ10" s="71" t="s">
        <v>41</v>
      </c>
    </row>
    <row r="11" s="213" customFormat="true" ht="12.95" hidden="false" customHeight="true" outlineLevel="0" collapsed="false">
      <c r="A11" s="176" t="s">
        <v>89</v>
      </c>
      <c r="B11" s="196"/>
      <c r="C11" s="104"/>
      <c r="D11" s="104"/>
      <c r="E11" s="104"/>
      <c r="F11" s="197" t="n">
        <f aca="false">JUN!F47</f>
        <v>45808.9236198639</v>
      </c>
      <c r="G11" s="104" t="n">
        <f aca="false">JUN!G47</f>
        <v>109479</v>
      </c>
      <c r="H11" s="104" t="n">
        <f aca="false">JUN!H47</f>
        <v>4340.14</v>
      </c>
      <c r="I11" s="104" t="n">
        <f aca="false">JUN!I47</f>
        <v>113819.14</v>
      </c>
      <c r="J11" s="104" t="n">
        <f aca="false">JUN!J47</f>
        <v>9609.17561633476</v>
      </c>
      <c r="K11" s="104" t="n">
        <f aca="false">JUN!K47</f>
        <v>123428.315616335</v>
      </c>
      <c r="L11" s="201" t="n">
        <f aca="false">JUN!L47</f>
        <v>8330.38361986388</v>
      </c>
      <c r="M11" s="104" t="n">
        <f aca="false">JUN!M47</f>
        <v>20836.5</v>
      </c>
      <c r="N11" s="104" t="n">
        <f aca="false">JUN!N47</f>
        <v>171.516527</v>
      </c>
      <c r="O11" s="104" t="n">
        <f aca="false">JUN!O47</f>
        <v>6562.6197</v>
      </c>
      <c r="P11" s="104" t="n">
        <f aca="false">JUN!P47</f>
        <v>7.365</v>
      </c>
      <c r="Q11" s="104"/>
      <c r="R11" s="104"/>
      <c r="S11" s="104"/>
      <c r="T11" s="200"/>
      <c r="U11" s="104" t="n">
        <f aca="false">JUN!U47</f>
        <v>10388.3</v>
      </c>
      <c r="V11" s="104" t="n">
        <f aca="false">JUN!V47</f>
        <v>4766</v>
      </c>
      <c r="W11" s="104" t="n">
        <f aca="false">JUN!W47</f>
        <v>28195.244858</v>
      </c>
      <c r="X11" s="104" t="n">
        <f aca="false">JUN!X47</f>
        <v>27388.111513</v>
      </c>
      <c r="Y11" s="104"/>
      <c r="Z11" s="104"/>
      <c r="AA11" s="104" t="n">
        <f aca="false">JUN!AA47</f>
        <v>4661.170313</v>
      </c>
      <c r="AB11" s="104" t="n">
        <f aca="false">JUN!AB42</f>
        <v>61575.2275546874</v>
      </c>
      <c r="AC11" s="104" t="n">
        <f aca="false">JUN!AC47</f>
        <v>1601.5658236468</v>
      </c>
      <c r="AD11" s="171"/>
      <c r="AE11" s="104" t="n">
        <f aca="false">JUN!AE47</f>
        <v>10154.8</v>
      </c>
      <c r="AF11" s="104" t="n">
        <f aca="false">JUN!AF47</f>
        <v>154.7</v>
      </c>
      <c r="AG11" s="104" t="n">
        <f aca="false">JUN!AG47</f>
        <v>118.3</v>
      </c>
      <c r="AH11" s="104"/>
      <c r="AI11" s="104"/>
      <c r="AJ11" s="104" t="n">
        <f aca="false">JUN!AJ47</f>
        <v>25793</v>
      </c>
      <c r="AK11" s="104" t="n">
        <f aca="false">JUN!AK47</f>
        <v>76340.6</v>
      </c>
      <c r="AL11" s="104" t="n">
        <f aca="false">JUN!AL47</f>
        <v>1278.79199647089</v>
      </c>
      <c r="AM11" s="104" t="n">
        <f aca="false">JUN!AM47</f>
        <v>77619.3919964709</v>
      </c>
      <c r="AN11" s="203"/>
      <c r="AO11" s="134"/>
      <c r="AP11" s="133"/>
      <c r="AQ11" s="104" t="n">
        <f aca="false">JUN!AQ48</f>
        <v>232.908370333517</v>
      </c>
      <c r="AR11" s="199"/>
      <c r="AS11" s="104" t="n">
        <f aca="false">JUN!AS47</f>
        <v>0</v>
      </c>
      <c r="AT11" s="104" t="n">
        <f aca="false">JUN!AT47</f>
        <v>411.411015</v>
      </c>
      <c r="AU11" s="104" t="n">
        <f aca="false">JUN!AU47</f>
        <v>0</v>
      </c>
      <c r="AV11" s="199"/>
      <c r="AW11" s="134"/>
      <c r="AX11" s="134"/>
      <c r="AY11" s="303"/>
      <c r="AZ11" s="337"/>
    </row>
    <row r="12" customFormat="false" ht="12.95" hidden="false" customHeight="true" outlineLevel="0" collapsed="false">
      <c r="A12" s="208" t="s">
        <v>90</v>
      </c>
      <c r="B12" s="103" t="n">
        <f aca="false">JUN!B42</f>
        <v>6922.42</v>
      </c>
      <c r="C12" s="104" t="n">
        <f aca="false">JUN!C42</f>
        <v>374148</v>
      </c>
      <c r="D12" s="104" t="n">
        <f aca="false">JUN!D51</f>
        <v>89347</v>
      </c>
      <c r="E12" s="104" t="n">
        <f aca="false">JUN!E51</f>
        <v>222148</v>
      </c>
      <c r="F12" s="197" t="n">
        <f aca="false">JUN!F50</f>
        <v>45045.1222586337</v>
      </c>
      <c r="G12" s="104" t="n">
        <f aca="false">JUN!G50</f>
        <v>120479</v>
      </c>
      <c r="H12" s="104" t="n">
        <f aca="false">JUN!H50</f>
        <v>4880.27</v>
      </c>
      <c r="I12" s="104" t="n">
        <f aca="false">JUN!I50</f>
        <v>125359.27</v>
      </c>
      <c r="J12" s="104" t="n">
        <f aca="false">JUN!J50</f>
        <v>12915.3095008823</v>
      </c>
      <c r="K12" s="104" t="n">
        <f aca="false">JUN!K50</f>
        <v>138274.579500882</v>
      </c>
      <c r="L12" s="201" t="n">
        <f aca="false">JUN!L50</f>
        <v>10702.3522586337</v>
      </c>
      <c r="M12" s="104" t="n">
        <f aca="false">JUN!M50</f>
        <v>21755.1</v>
      </c>
      <c r="N12" s="104" t="n">
        <f aca="false">JUN!N50</f>
        <v>171.516527</v>
      </c>
      <c r="O12" s="104" t="n">
        <f aca="false">JUN!O50</f>
        <v>6562.6197</v>
      </c>
      <c r="P12" s="104"/>
      <c r="Q12" s="104" t="n">
        <f aca="false">JUN!Q50</f>
        <v>433.42452</v>
      </c>
      <c r="R12" s="104" t="n">
        <f aca="false">JUN!R50</f>
        <v>726.85</v>
      </c>
      <c r="S12" s="104" t="n">
        <f aca="false">JUN!S50</f>
        <v>148.03</v>
      </c>
      <c r="T12" s="201" t="n">
        <f aca="false">JUN!T50</f>
        <v>-71.5154</v>
      </c>
      <c r="U12" s="104" t="n">
        <f aca="false">JUN!U50</f>
        <v>17818.3</v>
      </c>
      <c r="V12" s="104" t="n">
        <f aca="false">JUN!V50</f>
        <v>4842.3</v>
      </c>
      <c r="W12" s="104" t="n">
        <f aca="false">JUN!W50</f>
        <v>36025.998638</v>
      </c>
      <c r="X12" s="104" t="n">
        <f aca="false">JUN!X50</f>
        <v>34765.596493</v>
      </c>
      <c r="Y12" s="104" t="n">
        <f aca="false">JUN!Y42</f>
        <v>68957.5606438655</v>
      </c>
      <c r="Z12" s="104" t="n">
        <f aca="false">JUN!Z42</f>
        <v>48362.2358648977</v>
      </c>
      <c r="AA12" s="104"/>
      <c r="AB12" s="104"/>
      <c r="AC12" s="104"/>
      <c r="AD12" s="134"/>
      <c r="AE12" s="104"/>
      <c r="AF12" s="198"/>
      <c r="AG12" s="201"/>
      <c r="AH12" s="104" t="n">
        <f aca="false">JUN!AH50</f>
        <v>36446</v>
      </c>
      <c r="AI12" s="104" t="n">
        <f aca="false">JUN!AI50</f>
        <v>11629.2578774893</v>
      </c>
      <c r="AJ12" s="104" t="n">
        <f aca="false">JUN!AJ50</f>
        <v>25793</v>
      </c>
      <c r="AK12" s="104" t="n">
        <f aca="false">JUN!AK50</f>
        <v>91016.5</v>
      </c>
      <c r="AL12" s="104" t="n">
        <f aca="false">JUN!AL50</f>
        <v>2212.95724224855</v>
      </c>
      <c r="AM12" s="104" t="n">
        <f aca="false">JUN!AM50</f>
        <v>93229.4572422486</v>
      </c>
      <c r="AN12" s="104" t="n">
        <f aca="false">JUN!AN51</f>
        <v>14794.787655</v>
      </c>
      <c r="AO12" s="104" t="n">
        <f aca="false">JUN!AO50</f>
        <v>1260.402145</v>
      </c>
      <c r="AP12" s="133"/>
      <c r="AQ12" s="104"/>
      <c r="AR12" s="199"/>
      <c r="AS12" s="104" t="n">
        <f aca="false">JUN!AS50</f>
        <v>0</v>
      </c>
      <c r="AT12" s="104"/>
      <c r="AU12" s="480"/>
      <c r="AV12" s="340" t="n">
        <f aca="false">JUN!AV50</f>
        <v>6.65</v>
      </c>
      <c r="AW12" s="134"/>
      <c r="AX12" s="134"/>
      <c r="AY12" s="306"/>
      <c r="AZ12" s="104" t="n">
        <f aca="false">JUN!AZ50</f>
        <v>1415.670647</v>
      </c>
    </row>
    <row r="13" customFormat="false" ht="3" hidden="false" customHeight="true" outlineLevel="0" collapsed="false">
      <c r="A13" s="214"/>
      <c r="B13" s="215"/>
      <c r="C13" s="216"/>
      <c r="D13" s="217"/>
      <c r="E13" s="216"/>
      <c r="F13" s="218"/>
      <c r="G13" s="217"/>
      <c r="H13" s="224"/>
      <c r="I13" s="217"/>
      <c r="J13" s="217"/>
      <c r="K13" s="217"/>
      <c r="L13" s="225"/>
      <c r="M13" s="217"/>
      <c r="N13" s="217"/>
      <c r="O13" s="217"/>
      <c r="P13" s="221"/>
      <c r="Q13" s="217"/>
      <c r="R13" s="217"/>
      <c r="S13" s="217"/>
      <c r="T13" s="222"/>
      <c r="U13" s="217"/>
      <c r="V13" s="217"/>
      <c r="W13" s="217"/>
      <c r="X13" s="217"/>
      <c r="Y13" s="217"/>
      <c r="Z13" s="217"/>
      <c r="AA13" s="216"/>
      <c r="AB13" s="216"/>
      <c r="AC13" s="216"/>
      <c r="AD13" s="223"/>
      <c r="AE13" s="217"/>
      <c r="AF13" s="220"/>
      <c r="AG13" s="225"/>
      <c r="AH13" s="217"/>
      <c r="AI13" s="216"/>
      <c r="AJ13" s="216"/>
      <c r="AK13" s="217"/>
      <c r="AL13" s="217"/>
      <c r="AM13" s="217"/>
      <c r="AN13" s="226"/>
      <c r="AO13" s="223"/>
      <c r="AP13" s="224"/>
      <c r="AQ13" s="221"/>
      <c r="AR13" s="221"/>
      <c r="AS13" s="221"/>
      <c r="AT13" s="221"/>
      <c r="AU13" s="224"/>
      <c r="AV13" s="481"/>
      <c r="AW13" s="223"/>
      <c r="AX13" s="223"/>
      <c r="AY13" s="240"/>
      <c r="AZ13" s="323"/>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row>
    <row r="14" customFormat="false" ht="12.95" hidden="false" customHeight="true" outlineLevel="0" collapsed="false">
      <c r="A14" s="171" t="n">
        <v>1</v>
      </c>
      <c r="B14" s="103" t="n">
        <v>6922.23</v>
      </c>
      <c r="C14" s="104" t="n">
        <v>373309</v>
      </c>
      <c r="D14" s="134" t="n">
        <f aca="false">C14-C12</f>
        <v>-839</v>
      </c>
      <c r="E14" s="104" t="n">
        <f aca="false">C14-152000</f>
        <v>221309</v>
      </c>
      <c r="F14" s="229" t="n">
        <f aca="false">D14/$D$2</f>
        <v>-422.989664734056</v>
      </c>
      <c r="G14" s="132" t="n">
        <v>404</v>
      </c>
      <c r="H14" s="133" t="n">
        <v>0.93</v>
      </c>
      <c r="I14" s="132" t="n">
        <f aca="false">G14+H14</f>
        <v>404.93</v>
      </c>
      <c r="J14" s="133" t="n">
        <f aca="false">IF(L14&gt;0,L14,0)</f>
        <v>13.080335265944</v>
      </c>
      <c r="K14" s="132" t="n">
        <f aca="false">I14+J14</f>
        <v>418.010335265944</v>
      </c>
      <c r="L14" s="232" t="n">
        <f aca="false">F14-(I14-AK14)</f>
        <v>13.080335265944</v>
      </c>
      <c r="M14" s="132" t="n">
        <v>322</v>
      </c>
      <c r="N14" s="199" t="n">
        <f aca="false">1.8299*1.03</f>
        <v>1.884797</v>
      </c>
      <c r="O14" s="132" t="n">
        <f aca="false">(41+43)*1.05</f>
        <v>88.2</v>
      </c>
      <c r="P14" s="199" t="n">
        <v>0</v>
      </c>
      <c r="Q14" s="199" t="n">
        <f aca="false">3.224*1.02</f>
        <v>3.28848</v>
      </c>
      <c r="R14" s="199" t="n">
        <v>4.2</v>
      </c>
      <c r="S14" s="312" t="n">
        <v>4.47</v>
      </c>
      <c r="T14" s="356" t="n">
        <v>0</v>
      </c>
      <c r="U14" s="132" t="n">
        <v>161</v>
      </c>
      <c r="V14" s="132" t="n">
        <v>71</v>
      </c>
      <c r="W14" s="132" t="n">
        <f aca="false">M14-N14-O14-P14-Q14-R14-S14-T14+U14+V14</f>
        <v>451.956723</v>
      </c>
      <c r="X14" s="132" t="n">
        <f aca="false">W14-AO14</f>
        <v>451.956723</v>
      </c>
      <c r="Y14" s="104" t="n">
        <f aca="false">Y12+(X14*1.9835)</f>
        <v>69854.016803936</v>
      </c>
      <c r="Z14" s="104" t="n">
        <f aca="false">Z12+X14*(26300/37500)*1.9835</f>
        <v>48990.9504518271</v>
      </c>
      <c r="AA14" s="104" t="n">
        <f aca="false">AA11-(W14-I14)-Q14-R14-AF14</f>
        <v>4604.95511</v>
      </c>
      <c r="AB14" s="104"/>
      <c r="AC14" s="104" t="n">
        <f aca="false">AC11-(AQ13/1.9835)</f>
        <v>1601.5658236468</v>
      </c>
      <c r="AD14" s="134" t="n">
        <f aca="false">AD11</f>
        <v>0</v>
      </c>
      <c r="AE14" s="132" t="n">
        <v>218</v>
      </c>
      <c r="AF14" s="231" t="n">
        <v>1.7</v>
      </c>
      <c r="AG14" s="232" t="n">
        <v>1.3</v>
      </c>
      <c r="AH14" s="132" t="n">
        <v>69</v>
      </c>
      <c r="AI14" s="104" t="n">
        <f aca="false">AI12-AH14</f>
        <v>11560.2578774893</v>
      </c>
      <c r="AJ14" s="104"/>
      <c r="AK14" s="131" t="n">
        <f aca="false">N14+O14+P14+Q14+R15+S14+T14+W14+AE14+AH14</f>
        <v>841</v>
      </c>
      <c r="AL14" s="132" t="n">
        <f aca="false">IF(L14&lt;0,L14*-1,0)</f>
        <v>0</v>
      </c>
      <c r="AM14" s="132" t="n">
        <f aca="false">AK14+AL14</f>
        <v>841</v>
      </c>
      <c r="AN14" s="203" t="n">
        <f aca="false">AN12</f>
        <v>14794.787655</v>
      </c>
      <c r="AO14" s="134"/>
      <c r="AP14" s="93"/>
      <c r="AQ14" s="199" t="n">
        <f aca="false">60.3*(AA11*1.9835+AC11*1.9835+AD11*1.9835)/E14</f>
        <v>3.38465615388641</v>
      </c>
      <c r="AR14" s="199"/>
      <c r="AS14" s="358"/>
      <c r="AT14" s="5"/>
      <c r="AU14" s="4"/>
      <c r="AV14" s="327" t="n">
        <v>0</v>
      </c>
      <c r="AW14" s="134" t="n">
        <v>87</v>
      </c>
      <c r="AX14" s="134" t="n">
        <v>59</v>
      </c>
      <c r="AY14" s="300"/>
      <c r="AZ14" s="233" t="n">
        <f aca="false">SUM(N14,P14:T14)</f>
        <v>13.843277</v>
      </c>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2.95" hidden="false" customHeight="true" outlineLevel="0" collapsed="false">
      <c r="A15" s="171" t="n">
        <f aca="false">A14+1</f>
        <v>2</v>
      </c>
      <c r="B15" s="103" t="n">
        <v>6922.02</v>
      </c>
      <c r="C15" s="104" t="n">
        <v>372382</v>
      </c>
      <c r="D15" s="134" t="n">
        <f aca="false">C15-C14</f>
        <v>-927</v>
      </c>
      <c r="E15" s="104" t="n">
        <f aca="false">C15-152000</f>
        <v>220382</v>
      </c>
      <c r="F15" s="229" t="n">
        <f aca="false">D15/$D$2</f>
        <v>-467.355684396269</v>
      </c>
      <c r="G15" s="132" t="n">
        <v>381</v>
      </c>
      <c r="H15" s="133" t="n">
        <v>0.92</v>
      </c>
      <c r="I15" s="132" t="n">
        <f aca="false">G15+H15</f>
        <v>381.92</v>
      </c>
      <c r="J15" s="133" t="n">
        <f aca="false">IF(L15&gt;0,L15,0)</f>
        <v>4.72431560373076</v>
      </c>
      <c r="K15" s="132" t="n">
        <f aca="false">I15+J15</f>
        <v>386.644315603731</v>
      </c>
      <c r="L15" s="132" t="n">
        <f aca="false">F15-(I15-AK15)</f>
        <v>4.72431560373076</v>
      </c>
      <c r="M15" s="231" t="n">
        <v>325</v>
      </c>
      <c r="N15" s="199" t="n">
        <f aca="false">1.8299*1.03</f>
        <v>1.884797</v>
      </c>
      <c r="O15" s="132" t="n">
        <f aca="false">(38+44)*1.05</f>
        <v>86.1</v>
      </c>
      <c r="P15" s="199" t="n">
        <v>0</v>
      </c>
      <c r="Q15" s="199" t="n">
        <f aca="false">3.224*1.02</f>
        <v>3.28848</v>
      </c>
      <c r="R15" s="199" t="n">
        <v>4.2</v>
      </c>
      <c r="S15" s="312" t="n">
        <v>3.88</v>
      </c>
      <c r="T15" s="356" t="n">
        <v>0</v>
      </c>
      <c r="U15" s="132" t="n">
        <v>161</v>
      </c>
      <c r="V15" s="132" t="n">
        <v>70</v>
      </c>
      <c r="W15" s="132" t="n">
        <f aca="false">M15-N15-O15-P15-Q15-R15-S15-T15+U15+V15</f>
        <v>456.646723</v>
      </c>
      <c r="X15" s="132" t="n">
        <f aca="false">W15-AO15</f>
        <v>456.646723</v>
      </c>
      <c r="Y15" s="104" t="n">
        <f aca="false">Y14+(X15*1.9835)</f>
        <v>70759.7755790065</v>
      </c>
      <c r="Z15" s="104" t="n">
        <f aca="false">Z14+X15*(26300/37500)*1.9835</f>
        <v>49626.1892727432</v>
      </c>
      <c r="AA15" s="104" t="n">
        <f aca="false">AA14-(W15-I15)-Q15-R15-AF15</f>
        <v>4521.039907</v>
      </c>
      <c r="AB15" s="104"/>
      <c r="AC15" s="104" t="n">
        <f aca="false">AC14-(AQ15/1.9835)</f>
        <v>1599.86762137847</v>
      </c>
      <c r="AD15" s="134" t="n">
        <f aca="false">AD14</f>
        <v>0</v>
      </c>
      <c r="AE15" s="132" t="n">
        <v>229</v>
      </c>
      <c r="AF15" s="231" t="n">
        <v>1.7</v>
      </c>
      <c r="AG15" s="232" t="n">
        <v>1.3</v>
      </c>
      <c r="AH15" s="132" t="n">
        <v>69</v>
      </c>
      <c r="AI15" s="104" t="n">
        <f aca="false">AI14-AH15</f>
        <v>11491.2578774893</v>
      </c>
      <c r="AJ15" s="104"/>
      <c r="AK15" s="131" t="n">
        <f aca="false">N15+O15+P15+Q15+R16+S15+T15+W15+AE15+AH15</f>
        <v>854</v>
      </c>
      <c r="AL15" s="132" t="n">
        <f aca="false">IF(L15&lt;0,L15*-1,0)</f>
        <v>0</v>
      </c>
      <c r="AM15" s="132" t="n">
        <f aca="false">AK15+AL15</f>
        <v>854</v>
      </c>
      <c r="AN15" s="203" t="n">
        <f aca="false">AN14</f>
        <v>14794.787655</v>
      </c>
      <c r="AO15" s="134"/>
      <c r="AP15" s="93"/>
      <c r="AQ15" s="199" t="n">
        <f aca="false">60.3*(AA14*1.9835+AC14*1.9835+AD14*1.9835)/E15</f>
        <v>3.36838419923076</v>
      </c>
      <c r="AR15" s="199"/>
      <c r="AS15" s="358"/>
      <c r="AT15" s="5"/>
      <c r="AU15" s="4"/>
      <c r="AV15" s="327" t="n">
        <v>0.07</v>
      </c>
      <c r="AW15" s="134" t="n">
        <v>83</v>
      </c>
      <c r="AX15" s="134" t="n">
        <v>57</v>
      </c>
      <c r="AY15" s="300"/>
      <c r="AZ15" s="233" t="n">
        <f aca="false">SUM(N15,P15:T15)</f>
        <v>13.253277</v>
      </c>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171" t="n">
        <f aca="false">A15+1</f>
        <v>3</v>
      </c>
      <c r="B16" s="103" t="n">
        <v>6921.79</v>
      </c>
      <c r="C16" s="104" t="n">
        <v>371374</v>
      </c>
      <c r="D16" s="134" t="n">
        <f aca="false">C16-C15</f>
        <v>-1008</v>
      </c>
      <c r="E16" s="104" t="n">
        <f aca="false">C16-152000</f>
        <v>219374</v>
      </c>
      <c r="F16" s="229" t="n">
        <f aca="false">D16/$D$2</f>
        <v>-508.192588858079</v>
      </c>
      <c r="G16" s="132" t="n">
        <v>369</v>
      </c>
      <c r="H16" s="133" t="n">
        <v>1</v>
      </c>
      <c r="I16" s="132" t="n">
        <f aca="false">G16+H16</f>
        <v>370</v>
      </c>
      <c r="J16" s="133" t="n">
        <f aca="false">IF(L16&gt;0,L16,0)</f>
        <v>5.80741114192085</v>
      </c>
      <c r="K16" s="132" t="n">
        <f aca="false">I16+J16</f>
        <v>375.807411141921</v>
      </c>
      <c r="L16" s="132" t="n">
        <f aca="false">F16-(I16-AK16)</f>
        <v>5.80741114192085</v>
      </c>
      <c r="M16" s="231" t="n">
        <v>341</v>
      </c>
      <c r="N16" s="199" t="n">
        <f aca="false">1.8299*1.03</f>
        <v>1.884797</v>
      </c>
      <c r="O16" s="132" t="n">
        <f aca="false">(38+47)*1.05</f>
        <v>89.25</v>
      </c>
      <c r="P16" s="199" t="n">
        <v>0</v>
      </c>
      <c r="Q16" s="199" t="n">
        <f aca="false">3.224*1.02</f>
        <v>3.28848</v>
      </c>
      <c r="R16" s="199" t="n">
        <v>4.2</v>
      </c>
      <c r="S16" s="312" t="n">
        <v>5.15</v>
      </c>
      <c r="T16" s="356" t="n">
        <v>0</v>
      </c>
      <c r="U16" s="132" t="n">
        <v>160</v>
      </c>
      <c r="V16" s="132" t="n">
        <v>70</v>
      </c>
      <c r="W16" s="132" t="n">
        <f aca="false">M16-N16-O16-P16-Q16-R16-S16-T16+U16+V16</f>
        <v>467.226723</v>
      </c>
      <c r="X16" s="132" t="n">
        <f aca="false">W16-AO16</f>
        <v>467.226723</v>
      </c>
      <c r="Y16" s="104" t="n">
        <f aca="false">Y15+(X16*1.9835)</f>
        <v>71686.519784077</v>
      </c>
      <c r="Z16" s="104" t="n">
        <f aca="false">Z15+X16*(26300/37500)*1.9835</f>
        <v>50276.1458752327</v>
      </c>
      <c r="AA16" s="104" t="n">
        <f aca="false">AA15-(W16-I16)-Q16-R16-AF16</f>
        <v>4414.624704</v>
      </c>
      <c r="AB16" s="104"/>
      <c r="AC16" s="104" t="n">
        <f aca="false">AC15-(AQ16/1.9835)</f>
        <v>1598.18514887051</v>
      </c>
      <c r="AD16" s="134" t="n">
        <f aca="false">AD15</f>
        <v>0</v>
      </c>
      <c r="AE16" s="132" t="n">
        <v>244</v>
      </c>
      <c r="AF16" s="231" t="n">
        <v>1.7</v>
      </c>
      <c r="AG16" s="232" t="n">
        <v>1.3</v>
      </c>
      <c r="AH16" s="132" t="n">
        <v>69</v>
      </c>
      <c r="AI16" s="104" t="n">
        <f aca="false">AI15-AH16</f>
        <v>11422.2578774893</v>
      </c>
      <c r="AJ16" s="104"/>
      <c r="AK16" s="131" t="n">
        <f aca="false">N16+O16+P16+Q16+R16+S16+T16+W16+AE16+AH16</f>
        <v>884</v>
      </c>
      <c r="AL16" s="132" t="n">
        <f aca="false">IF(L16&lt;0,L16*-1,0)</f>
        <v>0</v>
      </c>
      <c r="AM16" s="132" t="n">
        <f aca="false">AK16+AL16</f>
        <v>884</v>
      </c>
      <c r="AN16" s="203" t="n">
        <f aca="false">AN15</f>
        <v>14794.787655</v>
      </c>
      <c r="AO16" s="134"/>
      <c r="AP16" s="93"/>
      <c r="AQ16" s="199" t="n">
        <f aca="false">60.3*(AA15*1.9835+AC15*1.9835+AD15*1.9835)/E16</f>
        <v>3.3371842195387</v>
      </c>
      <c r="AR16" s="199"/>
      <c r="AS16" s="358"/>
      <c r="AT16" s="5"/>
      <c r="AU16" s="4"/>
      <c r="AV16" s="327" t="n">
        <v>0.08</v>
      </c>
      <c r="AW16" s="134" t="n">
        <v>83</v>
      </c>
      <c r="AX16" s="134" t="n">
        <v>55</v>
      </c>
      <c r="AY16" s="300"/>
      <c r="AZ16" s="233" t="n">
        <f aca="false">SUM(N16,P16:T16)</f>
        <v>14.523277</v>
      </c>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171" t="n">
        <f aca="false">A16+1</f>
        <v>4</v>
      </c>
      <c r="B17" s="103" t="n">
        <v>6921.54</v>
      </c>
      <c r="C17" s="104" t="n">
        <v>370279</v>
      </c>
      <c r="D17" s="134" t="n">
        <f aca="false">C17-C16</f>
        <v>-1095</v>
      </c>
      <c r="E17" s="104" t="n">
        <f aca="false">C17-152000</f>
        <v>218279</v>
      </c>
      <c r="F17" s="229" t="n">
        <f aca="false">D17/$D$2</f>
        <v>-552.054449205949</v>
      </c>
      <c r="G17" s="132" t="n">
        <v>332</v>
      </c>
      <c r="H17" s="133" t="n">
        <v>0.86</v>
      </c>
      <c r="I17" s="132" t="n">
        <f aca="false">G17+H17</f>
        <v>332.86</v>
      </c>
      <c r="J17" s="133" t="n">
        <f aca="false">IF(L17&gt;0,L17,0)</f>
        <v>0</v>
      </c>
      <c r="K17" s="132" t="n">
        <f aca="false">I17+J17</f>
        <v>332.86</v>
      </c>
      <c r="L17" s="132" t="n">
        <f aca="false">F17-(I17-AK17)</f>
        <v>-45.914449205949</v>
      </c>
      <c r="M17" s="231" t="n">
        <v>316</v>
      </c>
      <c r="N17" s="199" t="n">
        <f aca="false">1.8299*1.03</f>
        <v>1.884797</v>
      </c>
      <c r="O17" s="132" t="n">
        <f aca="false">(37+42)*1.05</f>
        <v>82.95</v>
      </c>
      <c r="P17" s="199" t="n">
        <v>0</v>
      </c>
      <c r="Q17" s="199" t="n">
        <f aca="false">3.224*1.02</f>
        <v>3.28848</v>
      </c>
      <c r="R17" s="199" t="n">
        <v>4.2</v>
      </c>
      <c r="S17" s="312" t="n">
        <v>4.69</v>
      </c>
      <c r="T17" s="356" t="n">
        <v>0</v>
      </c>
      <c r="U17" s="132" t="n">
        <v>160</v>
      </c>
      <c r="V17" s="132" t="n">
        <v>71</v>
      </c>
      <c r="W17" s="132" t="n">
        <f aca="false">M17-N17-O17-P17-Q17-R17-S17-T17+U17+V17</f>
        <v>449.986723</v>
      </c>
      <c r="X17" s="132" t="n">
        <f aca="false">W17-AO17</f>
        <v>449.986723</v>
      </c>
      <c r="Y17" s="104" t="n">
        <f aca="false">Y16+(X17*1.9835)</f>
        <v>72579.0684491475</v>
      </c>
      <c r="Z17" s="104" t="n">
        <f aca="false">Z16+X17*(26300/37500)*1.9835</f>
        <v>50902.1200056688</v>
      </c>
      <c r="AA17" s="104" t="n">
        <f aca="false">AA16-(W17-I17)-Q17-R17-AF17</f>
        <v>4288.309501</v>
      </c>
      <c r="AB17" s="104"/>
      <c r="AC17" s="104" t="n">
        <f aca="false">AC16-(AQ17/1.9835)</f>
        <v>1596.52409840698</v>
      </c>
      <c r="AD17" s="134" t="n">
        <f aca="false">AD16</f>
        <v>0</v>
      </c>
      <c r="AE17" s="132" t="n">
        <v>223</v>
      </c>
      <c r="AF17" s="231" t="n">
        <v>1.7</v>
      </c>
      <c r="AG17" s="232" t="n">
        <v>1.3</v>
      </c>
      <c r="AH17" s="132" t="n">
        <v>69</v>
      </c>
      <c r="AI17" s="104" t="n">
        <f aca="false">AI16-AH17</f>
        <v>11353.2578774893</v>
      </c>
      <c r="AJ17" s="104"/>
      <c r="AK17" s="131" t="n">
        <f aca="false">N17+O17+P17+Q17+R17+S17+T17+W17+AE17+AH17</f>
        <v>839</v>
      </c>
      <c r="AL17" s="132" t="n">
        <f aca="false">IF(L17&lt;0,L17*-1,0)</f>
        <v>45.914449205949</v>
      </c>
      <c r="AM17" s="132" t="n">
        <f aca="false">AK17+AL17</f>
        <v>884.914449205949</v>
      </c>
      <c r="AN17" s="203" t="n">
        <f aca="false">AN16</f>
        <v>14794.787655</v>
      </c>
      <c r="AO17" s="134"/>
      <c r="AP17" s="93"/>
      <c r="AQ17" s="199" t="n">
        <f aca="false">60.3*(AA16*1.9835+AC16*1.9835+AD16*1.9835)/E17</f>
        <v>3.29469359440473</v>
      </c>
      <c r="AR17" s="199"/>
      <c r="AS17" s="358"/>
      <c r="AT17" s="5"/>
      <c r="AU17" s="4"/>
      <c r="AV17" s="327" t="n">
        <v>0</v>
      </c>
      <c r="AW17" s="134" t="n">
        <v>85</v>
      </c>
      <c r="AX17" s="134" t="n">
        <v>57</v>
      </c>
      <c r="AY17" s="300"/>
      <c r="AZ17" s="233" t="n">
        <f aca="false">SUM(N17,P17:T17)</f>
        <v>14.063277</v>
      </c>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171" t="n">
        <f aca="false">A17+1</f>
        <v>5</v>
      </c>
      <c r="B18" s="103" t="n">
        <v>6921.3</v>
      </c>
      <c r="C18" s="104" t="n">
        <v>369228</v>
      </c>
      <c r="D18" s="134" t="n">
        <f aca="false">C18-C17</f>
        <v>-1051</v>
      </c>
      <c r="E18" s="104" t="n">
        <f aca="false">C18-152000</f>
        <v>217228</v>
      </c>
      <c r="F18" s="229" t="n">
        <f aca="false">D18/$D$2</f>
        <v>-529.871439374842</v>
      </c>
      <c r="G18" s="132" t="n">
        <v>297</v>
      </c>
      <c r="H18" s="133" t="n">
        <v>0.85</v>
      </c>
      <c r="I18" s="132" t="n">
        <f aca="false">G18+H18</f>
        <v>297.85</v>
      </c>
      <c r="J18" s="133" t="n">
        <f aca="false">IF(L18&gt;0,L18,0)</f>
        <v>0</v>
      </c>
      <c r="K18" s="132" t="n">
        <f aca="false">I18+J18</f>
        <v>297.85</v>
      </c>
      <c r="L18" s="132" t="n">
        <f aca="false">F18-(I18-AK18)</f>
        <v>-13.7214393748424</v>
      </c>
      <c r="M18" s="231" t="n">
        <v>301</v>
      </c>
      <c r="N18" s="199" t="n">
        <f aca="false">1.8299*1.03</f>
        <v>1.884797</v>
      </c>
      <c r="O18" s="132" t="n">
        <f aca="false">(36+38)*1.05</f>
        <v>77.7</v>
      </c>
      <c r="P18" s="199" t="n">
        <v>0</v>
      </c>
      <c r="Q18" s="199" t="n">
        <f aca="false">3.224*1.02</f>
        <v>3.28848</v>
      </c>
      <c r="R18" s="199" t="n">
        <v>4.2</v>
      </c>
      <c r="S18" s="312" t="n">
        <v>4.45</v>
      </c>
      <c r="T18" s="356" t="n">
        <v>0</v>
      </c>
      <c r="U18" s="132" t="n">
        <v>161</v>
      </c>
      <c r="V18" s="132" t="n">
        <v>73</v>
      </c>
      <c r="W18" s="132" t="n">
        <f aca="false">M18-N18-O18-P18-Q18-R18-S18-T18+U18+V18</f>
        <v>443.476723</v>
      </c>
      <c r="X18" s="132" t="n">
        <f aca="false">W18-AO18</f>
        <v>443.476723</v>
      </c>
      <c r="Y18" s="104" t="n">
        <f aca="false">Y17+(X18*1.9835)</f>
        <v>73458.704529218</v>
      </c>
      <c r="Z18" s="104" t="n">
        <f aca="false">Z17+X18*(26300/37500)*1.9835</f>
        <v>51519.0381098249</v>
      </c>
      <c r="AA18" s="104" t="n">
        <f aca="false">AA17-(W18-I18)-Q18-R18-AF18</f>
        <v>4133.494298</v>
      </c>
      <c r="AB18" s="104"/>
      <c r="AC18" s="104" t="n">
        <f aca="false">AC17-(AQ18/1.9835)</f>
        <v>1594.8905361312</v>
      </c>
      <c r="AD18" s="134" t="n">
        <f aca="false">AD17</f>
        <v>0</v>
      </c>
      <c r="AE18" s="132" t="n">
        <v>210</v>
      </c>
      <c r="AF18" s="231" t="n">
        <v>1.7</v>
      </c>
      <c r="AG18" s="232" t="n">
        <v>1.3</v>
      </c>
      <c r="AH18" s="132" t="n">
        <v>69</v>
      </c>
      <c r="AI18" s="104" t="n">
        <f aca="false">AI17-AH18</f>
        <v>11284.2578774893</v>
      </c>
      <c r="AJ18" s="104"/>
      <c r="AK18" s="131" t="n">
        <f aca="false">N18+O18+P18+Q18+R18+S18+T18+W18+AE18+AH18</f>
        <v>814</v>
      </c>
      <c r="AL18" s="132" t="n">
        <f aca="false">IF(L18&lt;0,L18*-1,0)</f>
        <v>13.7214393748424</v>
      </c>
      <c r="AM18" s="132" t="n">
        <f aca="false">AK18+AL18</f>
        <v>827.721439374843</v>
      </c>
      <c r="AN18" s="203" t="n">
        <f aca="false">AN17</f>
        <v>14794.787655</v>
      </c>
      <c r="AO18" s="134"/>
      <c r="AP18" s="93"/>
      <c r="AQ18" s="199" t="n">
        <f aca="false">60.3*(AA17*1.9835+AC17*1.9835+AD17*1.9835)/E18</f>
        <v>3.24017077401971</v>
      </c>
      <c r="AR18" s="199"/>
      <c r="AS18" s="358"/>
      <c r="AT18" s="5"/>
      <c r="AU18" s="4"/>
      <c r="AV18" s="327" t="n">
        <v>0</v>
      </c>
      <c r="AW18" s="134" t="n">
        <v>83</v>
      </c>
      <c r="AX18" s="134" t="n">
        <v>55</v>
      </c>
      <c r="AY18" s="300"/>
      <c r="AZ18" s="233" t="n">
        <f aca="false">SUM(N18,P18:T18)</f>
        <v>13.823277</v>
      </c>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171" t="n">
        <f aca="false">A18+1</f>
        <v>6</v>
      </c>
      <c r="B19" s="103" t="n">
        <v>6921.01367959</v>
      </c>
      <c r="C19" s="104" t="n">
        <v>367959</v>
      </c>
      <c r="D19" s="134" t="n">
        <f aca="false">C19-C18</f>
        <v>-1269</v>
      </c>
      <c r="E19" s="104" t="n">
        <f aca="false">C19-152000</f>
        <v>215959</v>
      </c>
      <c r="F19" s="229" t="n">
        <f aca="false">D19/$D$2</f>
        <v>-639.778169901689</v>
      </c>
      <c r="G19" s="132" t="n">
        <v>277</v>
      </c>
      <c r="H19" s="133" t="n">
        <v>0.63</v>
      </c>
      <c r="I19" s="132" t="n">
        <f aca="false">G19+H19</f>
        <v>277.63</v>
      </c>
      <c r="J19" s="133" t="n">
        <f aca="false">IF(L19&gt;0,L19,0)</f>
        <v>1.59183009831111</v>
      </c>
      <c r="K19" s="132" t="n">
        <f aca="false">I19+J19</f>
        <v>279.221830098311</v>
      </c>
      <c r="L19" s="132" t="n">
        <f aca="false">F19-(I19-AK19)</f>
        <v>1.59183009831111</v>
      </c>
      <c r="M19" s="231" t="n">
        <v>332</v>
      </c>
      <c r="N19" s="199" t="n">
        <f aca="false">1.8299*1.03</f>
        <v>1.884797</v>
      </c>
      <c r="O19" s="132" t="n">
        <f aca="false">(38+39)*1.05</f>
        <v>80.85</v>
      </c>
      <c r="P19" s="199" t="n">
        <v>0</v>
      </c>
      <c r="Q19" s="199" t="n">
        <f aca="false">3.224*1.02</f>
        <v>3.28848</v>
      </c>
      <c r="R19" s="199" t="n">
        <v>4.2</v>
      </c>
      <c r="S19" s="312" t="n">
        <v>4.8</v>
      </c>
      <c r="T19" s="356" t="n">
        <v>0</v>
      </c>
      <c r="U19" s="132" t="n">
        <v>159</v>
      </c>
      <c r="V19" s="132" t="n">
        <v>72</v>
      </c>
      <c r="W19" s="132" t="n">
        <f aca="false">M19-N19-O19-P19-Q19-R19-S19-T19+U19+V19</f>
        <v>467.976723</v>
      </c>
      <c r="X19" s="132" t="n">
        <f aca="false">W19-AO19</f>
        <v>467.976723</v>
      </c>
      <c r="Y19" s="104" t="n">
        <f aca="false">Y18+(X19*1.9835)</f>
        <v>74386.9363592885</v>
      </c>
      <c r="Z19" s="104" t="n">
        <f aca="false">Z18+X19*(26300/37500)*1.9835</f>
        <v>52170.0380333143</v>
      </c>
      <c r="AA19" s="104" t="n">
        <f aca="false">AA18-(W19-I19)-Q19-R19-AF19</f>
        <v>3933.959095</v>
      </c>
      <c r="AB19" s="104"/>
      <c r="AC19" s="104" t="n">
        <f aca="false">AC18-(AQ19/1.9835)</f>
        <v>1593.29105842711</v>
      </c>
      <c r="AD19" s="134" t="n">
        <f aca="false">AD18</f>
        <v>0</v>
      </c>
      <c r="AE19" s="132" t="n">
        <v>286</v>
      </c>
      <c r="AF19" s="231" t="n">
        <v>1.7</v>
      </c>
      <c r="AG19" s="232" t="n">
        <v>1.3</v>
      </c>
      <c r="AH19" s="132" t="n">
        <v>70</v>
      </c>
      <c r="AI19" s="104" t="n">
        <f aca="false">AI18-AH19</f>
        <v>11214.2578774893</v>
      </c>
      <c r="AJ19" s="104"/>
      <c r="AK19" s="131" t="n">
        <f aca="false">N19+O19+P19+Q19+R19+S19+T19+W19+AE19+AH19</f>
        <v>919</v>
      </c>
      <c r="AL19" s="132" t="n">
        <f aca="false">IF(L19&lt;0,L19*-1,0)</f>
        <v>0</v>
      </c>
      <c r="AM19" s="132" t="n">
        <f aca="false">AK19+AL19</f>
        <v>919</v>
      </c>
      <c r="AN19" s="203" t="n">
        <f aca="false">AN18</f>
        <v>14794.787655</v>
      </c>
      <c r="AO19" s="134"/>
      <c r="AP19" s="93"/>
      <c r="AQ19" s="199" t="n">
        <f aca="false">60.3*(AA18*1.9835+AC18*1.9835+AD18*1.9835)/E19</f>
        <v>3.17256402606747</v>
      </c>
      <c r="AR19" s="199"/>
      <c r="AS19" s="358"/>
      <c r="AT19" s="5"/>
      <c r="AU19" s="4"/>
      <c r="AV19" s="327" t="n">
        <v>0</v>
      </c>
      <c r="AW19" s="134" t="n">
        <v>87</v>
      </c>
      <c r="AX19" s="134" t="n">
        <v>56</v>
      </c>
      <c r="AY19" s="300"/>
      <c r="AZ19" s="233" t="n">
        <f aca="false">SUM(N19,P19:T19)</f>
        <v>14.173277</v>
      </c>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171" t="n">
        <f aca="false">A19+1</f>
        <v>7</v>
      </c>
      <c r="B20" s="103" t="n">
        <v>6920.68</v>
      </c>
      <c r="C20" s="104" t="n">
        <v>366525</v>
      </c>
      <c r="D20" s="134" t="n">
        <f aca="false">C20-C19</f>
        <v>-1434</v>
      </c>
      <c r="E20" s="104" t="n">
        <f aca="false">C20-152000</f>
        <v>214525</v>
      </c>
      <c r="F20" s="229" t="n">
        <f aca="false">D20/$D$2</f>
        <v>-722.964456768339</v>
      </c>
      <c r="G20" s="132" t="n">
        <v>248</v>
      </c>
      <c r="H20" s="133" t="n">
        <v>0.78</v>
      </c>
      <c r="I20" s="132" t="n">
        <f aca="false">G20+H20</f>
        <v>248.78</v>
      </c>
      <c r="J20" s="133" t="n">
        <f aca="false">IF(L20&gt;0,L20,0)</f>
        <v>0</v>
      </c>
      <c r="K20" s="132" t="n">
        <f aca="false">I20+J20</f>
        <v>248.78</v>
      </c>
      <c r="L20" s="132" t="n">
        <f aca="false">F20-(I20-AK20)</f>
        <v>-27.7444567683388</v>
      </c>
      <c r="M20" s="231" t="n">
        <v>346</v>
      </c>
      <c r="N20" s="199" t="n">
        <f aca="false">1.8299*1.03</f>
        <v>1.884797</v>
      </c>
      <c r="O20" s="132" t="n">
        <f aca="false">(41+44)*1.05</f>
        <v>89.25</v>
      </c>
      <c r="P20" s="199" t="n">
        <v>0</v>
      </c>
      <c r="Q20" s="199" t="n">
        <f aca="false">3.224*1.02</f>
        <v>3.28848</v>
      </c>
      <c r="R20" s="199" t="n">
        <v>4.2</v>
      </c>
      <c r="S20" s="312" t="n">
        <v>5.18</v>
      </c>
      <c r="T20" s="356" t="n">
        <v>0</v>
      </c>
      <c r="U20" s="132" t="n">
        <v>162</v>
      </c>
      <c r="V20" s="132" t="n">
        <v>73</v>
      </c>
      <c r="W20" s="132" t="n">
        <f aca="false">M20-N20-O20-P20-Q20-R20-S20-T20+U20+V20</f>
        <v>477.196723</v>
      </c>
      <c r="X20" s="132" t="n">
        <f aca="false">W20-AO20</f>
        <v>477.196723</v>
      </c>
      <c r="Y20" s="104" t="n">
        <f aca="false">Y19+(X20*1.9835)</f>
        <v>75333.456059359</v>
      </c>
      <c r="Z20" s="104" t="n">
        <f aca="false">Z19+X20*(26300/37500)*1.9835</f>
        <v>52833.8638496304</v>
      </c>
      <c r="AA20" s="104" t="n">
        <f aca="false">AA19-(W20-I20)-Q20-R20-AF20</f>
        <v>3696.353892</v>
      </c>
      <c r="AB20" s="104"/>
      <c r="AC20" s="104" t="n">
        <f aca="false">AC19-(AQ20/1.9835)+AS20</f>
        <v>1603.40742512445</v>
      </c>
      <c r="AD20" s="134" t="n">
        <f aca="false">AD19</f>
        <v>0</v>
      </c>
      <c r="AE20" s="132" t="n">
        <v>293</v>
      </c>
      <c r="AF20" s="231" t="n">
        <v>1.7</v>
      </c>
      <c r="AG20" s="232" t="n">
        <v>1.3</v>
      </c>
      <c r="AH20" s="132" t="n">
        <v>70</v>
      </c>
      <c r="AI20" s="104" t="n">
        <f aca="false">AI19-AH20</f>
        <v>11144.2578774893</v>
      </c>
      <c r="AJ20" s="104"/>
      <c r="AK20" s="131" t="n">
        <f aca="false">N20+O20+P20+Q20+R20+S20+T20+W20+AE20+AH20</f>
        <v>944</v>
      </c>
      <c r="AL20" s="132" t="n">
        <f aca="false">IF(L20&lt;0,L20*-1,0)</f>
        <v>27.7444567683388</v>
      </c>
      <c r="AM20" s="132" t="n">
        <f aca="false">AK20+AL20</f>
        <v>971.744456768339</v>
      </c>
      <c r="AN20" s="203" t="n">
        <f aca="false">AN19</f>
        <v>14794.787655</v>
      </c>
      <c r="AO20" s="134"/>
      <c r="AP20" s="93"/>
      <c r="AQ20" s="199" t="n">
        <f aca="false">60.3*(AA19*1.9835+AC19*1.9835+AD19*1.9835)/E20</f>
        <v>3.08163165581241</v>
      </c>
      <c r="AR20" s="199"/>
      <c r="AS20" s="358" t="n">
        <v>11.67</v>
      </c>
      <c r="AT20" s="5"/>
      <c r="AU20" s="4"/>
      <c r="AV20" s="327" t="n">
        <v>0</v>
      </c>
      <c r="AW20" s="134" t="n">
        <v>86</v>
      </c>
      <c r="AX20" s="134" t="n">
        <v>51</v>
      </c>
      <c r="AY20" s="300"/>
      <c r="AZ20" s="233" t="n">
        <f aca="false">SUM(N20,P20:T20)</f>
        <v>14.553277</v>
      </c>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171" t="n">
        <f aca="false">A20+1</f>
        <v>8</v>
      </c>
      <c r="B21" s="103" t="n">
        <v>6920.34</v>
      </c>
      <c r="C21" s="104" t="n">
        <v>365049</v>
      </c>
      <c r="D21" s="134" t="n">
        <f aca="false">C21-C20</f>
        <v>-1476</v>
      </c>
      <c r="E21" s="104" t="n">
        <f aca="false">C21-152000</f>
        <v>213049</v>
      </c>
      <c r="F21" s="229" t="n">
        <f aca="false">D21/$D$2</f>
        <v>-744.139147970759</v>
      </c>
      <c r="G21" s="132" t="n">
        <v>247</v>
      </c>
      <c r="H21" s="133" t="n">
        <v>0.82</v>
      </c>
      <c r="I21" s="132" t="n">
        <f aca="false">G21+H21</f>
        <v>247.82</v>
      </c>
      <c r="J21" s="133" t="n">
        <f aca="false">IF(L21&gt;0,L21,0)</f>
        <v>0</v>
      </c>
      <c r="K21" s="132" t="n">
        <f aca="false">I21+J21</f>
        <v>247.82</v>
      </c>
      <c r="L21" s="132" t="n">
        <f aca="false">F21-(I21-AK21)</f>
        <v>-62.9591479707586</v>
      </c>
      <c r="M21" s="231" t="n">
        <v>326</v>
      </c>
      <c r="N21" s="199" t="n">
        <f aca="false">1.8299*1.03</f>
        <v>1.884797</v>
      </c>
      <c r="O21" s="132" t="n">
        <f aca="false">(35+35)*1.05</f>
        <v>73.5</v>
      </c>
      <c r="P21" s="199" t="n">
        <v>0</v>
      </c>
      <c r="Q21" s="199" t="n">
        <f aca="false">3.224*1.02</f>
        <v>3.28848</v>
      </c>
      <c r="R21" s="199" t="n">
        <v>4.2</v>
      </c>
      <c r="S21" s="312" t="n">
        <v>5.36</v>
      </c>
      <c r="T21" s="356" t="n">
        <v>0</v>
      </c>
      <c r="U21" s="132" t="n">
        <v>162</v>
      </c>
      <c r="V21" s="132" t="n">
        <v>76</v>
      </c>
      <c r="W21" s="132" t="n">
        <f aca="false">M21-N21-O21-P21-Q21-R21-S21-T21+U21+V21</f>
        <v>475.766723</v>
      </c>
      <c r="X21" s="132" t="n">
        <f aca="false">W21-AO21</f>
        <v>475.766723</v>
      </c>
      <c r="Y21" s="104" t="n">
        <f aca="false">Y20+(X21*1.9835)</f>
        <v>76277.1393544295</v>
      </c>
      <c r="Z21" s="104" t="n">
        <f aca="false">Z20+X21*(26300/37500)*1.9835</f>
        <v>53495.7004005732</v>
      </c>
      <c r="AA21" s="104" t="n">
        <f aca="false">AA20-(W21-I21)-Q21-R21-AF21</f>
        <v>3459.218689</v>
      </c>
      <c r="AB21" s="104"/>
      <c r="AC21" s="104" t="n">
        <f aca="false">AC20-(AQ21/1.9835)+AS21</f>
        <v>1621.90741523273</v>
      </c>
      <c r="AD21" s="134" t="n">
        <f aca="false">AD20</f>
        <v>0</v>
      </c>
      <c r="AE21" s="132" t="n">
        <v>295</v>
      </c>
      <c r="AF21" s="231" t="n">
        <v>1.7</v>
      </c>
      <c r="AG21" s="232" t="n">
        <v>1.3</v>
      </c>
      <c r="AH21" s="132" t="n">
        <v>70</v>
      </c>
      <c r="AI21" s="104" t="n">
        <f aca="false">AI20-AH21</f>
        <v>11074.2578774893</v>
      </c>
      <c r="AJ21" s="104"/>
      <c r="AK21" s="131" t="n">
        <f aca="false">N21+O21+P21+Q21+R21+S21+T21+W21+AE21+AH21</f>
        <v>929</v>
      </c>
      <c r="AL21" s="132" t="n">
        <f aca="false">IF(L21&lt;0,L21*-1,0)</f>
        <v>62.9591479707586</v>
      </c>
      <c r="AM21" s="132" t="n">
        <f aca="false">AK21+AL21</f>
        <v>991.959147970759</v>
      </c>
      <c r="AN21" s="203" t="n">
        <f aca="false">AN20</f>
        <v>14794.787655</v>
      </c>
      <c r="AO21" s="134"/>
      <c r="AP21" s="93"/>
      <c r="AQ21" s="199" t="n">
        <f aca="false">60.3*(AA20*1.9835+AC20*1.9835+AD20*1.9835)/E21</f>
        <v>2.97526962024105</v>
      </c>
      <c r="AR21" s="199"/>
      <c r="AS21" s="358" t="n">
        <v>20</v>
      </c>
      <c r="AT21" s="5"/>
      <c r="AU21" s="4"/>
      <c r="AV21" s="327" t="n">
        <v>0</v>
      </c>
      <c r="AW21" s="134" t="n">
        <v>87</v>
      </c>
      <c r="AX21" s="134" t="n">
        <v>53</v>
      </c>
      <c r="AY21" s="300"/>
      <c r="AZ21" s="233" t="n">
        <f aca="false">SUM(N21,P21:T21)</f>
        <v>14.733277</v>
      </c>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171" t="n">
        <f aca="false">A21+1</f>
        <v>9</v>
      </c>
      <c r="B22" s="103" t="n">
        <v>6920.01</v>
      </c>
      <c r="C22" s="104" t="n">
        <v>363617</v>
      </c>
      <c r="D22" s="134" t="n">
        <f aca="false">C22-C21</f>
        <v>-1432</v>
      </c>
      <c r="E22" s="104" t="n">
        <f aca="false">C22-152000</f>
        <v>211617</v>
      </c>
      <c r="F22" s="229" t="n">
        <f aca="false">D22/$D$2</f>
        <v>-721.956138139652</v>
      </c>
      <c r="G22" s="132" t="n">
        <v>234</v>
      </c>
      <c r="H22" s="133" t="n">
        <v>0.99</v>
      </c>
      <c r="I22" s="132" t="n">
        <f aca="false">G22+H22</f>
        <v>234.99</v>
      </c>
      <c r="J22" s="133" t="n">
        <f aca="false">IF(L22&gt;0,L22,0)</f>
        <v>0</v>
      </c>
      <c r="K22" s="132" t="n">
        <f aca="false">I22+J22</f>
        <v>234.99</v>
      </c>
      <c r="L22" s="132" t="n">
        <f aca="false">F22-(I22-AK22)</f>
        <v>-32.9461381396521</v>
      </c>
      <c r="M22" s="231" t="n">
        <v>338</v>
      </c>
      <c r="N22" s="199" t="n">
        <f aca="false">1.8299*1.03</f>
        <v>1.884797</v>
      </c>
      <c r="O22" s="132" t="n">
        <f aca="false">(42+44)*1.05</f>
        <v>90.3</v>
      </c>
      <c r="P22" s="199" t="n">
        <v>0</v>
      </c>
      <c r="Q22" s="199" t="n">
        <f aca="false">3.224*1.02</f>
        <v>3.28848</v>
      </c>
      <c r="R22" s="199" t="n">
        <v>4.2</v>
      </c>
      <c r="S22" s="312" t="n">
        <v>4.45</v>
      </c>
      <c r="T22" s="356" t="n">
        <v>0</v>
      </c>
      <c r="U22" s="132" t="n">
        <v>163</v>
      </c>
      <c r="V22" s="132" t="n">
        <v>77</v>
      </c>
      <c r="W22" s="132" t="n">
        <f aca="false">M22-N22-O22-P22-Q22-R22-S22-T22+U22+V22</f>
        <v>473.876723</v>
      </c>
      <c r="X22" s="132" t="n">
        <f aca="false">W22-AO22</f>
        <v>473.876723</v>
      </c>
      <c r="Y22" s="104" t="n">
        <f aca="false">Y21+(X22*1.9835)</f>
        <v>77217.0738345</v>
      </c>
      <c r="Z22" s="104" t="n">
        <f aca="false">Z21+X22*(26300/37500)*1.9835</f>
        <v>54154.907782596</v>
      </c>
      <c r="AA22" s="104" t="n">
        <f aca="false">AA21-(W22-I22)-Q22-R22-AF22</f>
        <v>3211.143486</v>
      </c>
      <c r="AB22" s="104"/>
      <c r="AC22" s="104" t="n">
        <f aca="false">AC21-(AQ22/1.9835)+AS22</f>
        <v>1640.45955469182</v>
      </c>
      <c r="AD22" s="134" t="n">
        <f aca="false">AD21</f>
        <v>0</v>
      </c>
      <c r="AE22" s="132" t="n">
        <v>275</v>
      </c>
      <c r="AF22" s="231" t="n">
        <v>1.7</v>
      </c>
      <c r="AG22" s="232" t="n">
        <v>1.3</v>
      </c>
      <c r="AH22" s="132" t="n">
        <v>71</v>
      </c>
      <c r="AI22" s="104" t="n">
        <f aca="false">AI21-AH22</f>
        <v>11003.2578774893</v>
      </c>
      <c r="AJ22" s="104"/>
      <c r="AK22" s="131" t="n">
        <f aca="false">N22+O22+P22+Q22+R22+S22+T22+W22+AE22+AH22</f>
        <v>924</v>
      </c>
      <c r="AL22" s="132" t="n">
        <f aca="false">IF(L22&lt;0,L22*-1,0)</f>
        <v>32.9461381396521</v>
      </c>
      <c r="AM22" s="132" t="n">
        <f aca="false">AK22+AL22</f>
        <v>956.946138139652</v>
      </c>
      <c r="AN22" s="203" t="n">
        <f aca="false">AN21</f>
        <v>14794.787655</v>
      </c>
      <c r="AO22" s="134"/>
      <c r="AP22" s="93"/>
      <c r="AQ22" s="199" t="n">
        <f aca="false">60.3*(AA21*1.9835+AC21*1.9835+AD21*1.9835)/E22</f>
        <v>2.87183138289013</v>
      </c>
      <c r="AR22" s="199"/>
      <c r="AS22" s="358" t="n">
        <v>20</v>
      </c>
      <c r="AT22" s="5"/>
      <c r="AU22" s="4"/>
      <c r="AV22" s="327" t="n">
        <v>0</v>
      </c>
      <c r="AW22" s="204" t="n">
        <v>86</v>
      </c>
      <c r="AX22" s="134" t="n">
        <v>53</v>
      </c>
      <c r="AY22" s="300"/>
      <c r="AZ22" s="233" t="n">
        <f aca="false">SUM(N22,P22:T22)</f>
        <v>13.823277</v>
      </c>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171" t="n">
        <f aca="false">A22+1</f>
        <v>10</v>
      </c>
      <c r="B23" s="103" t="n">
        <v>6919.67</v>
      </c>
      <c r="C23" s="104" t="n">
        <v>362152</v>
      </c>
      <c r="D23" s="134" t="n">
        <f aca="false">C23-C22</f>
        <v>-1465</v>
      </c>
      <c r="E23" s="104" t="n">
        <f aca="false">C23-152000</f>
        <v>210152</v>
      </c>
      <c r="F23" s="229" t="n">
        <f aca="false">D23/$D$2</f>
        <v>-738.593395512982</v>
      </c>
      <c r="G23" s="132" t="n">
        <v>221</v>
      </c>
      <c r="H23" s="133" t="n">
        <v>0.9</v>
      </c>
      <c r="I23" s="132" t="n">
        <f aca="false">G23+H23</f>
        <v>221.9</v>
      </c>
      <c r="J23" s="133" t="n">
        <f aca="false">IF(L23&gt;0,L23,0)</f>
        <v>5.50660448701808</v>
      </c>
      <c r="K23" s="132" t="n">
        <f aca="false">I23+J23</f>
        <v>227.406604487018</v>
      </c>
      <c r="L23" s="132" t="n">
        <f aca="false">F23-(I23-AK23)</f>
        <v>5.50660448701808</v>
      </c>
      <c r="M23" s="231" t="n">
        <v>339</v>
      </c>
      <c r="N23" s="199" t="n">
        <f aca="false">1.8299*1.03</f>
        <v>1.884797</v>
      </c>
      <c r="O23" s="132" t="n">
        <f aca="false">(39+40)*1.05</f>
        <v>82.95</v>
      </c>
      <c r="P23" s="199" t="n">
        <v>0</v>
      </c>
      <c r="Q23" s="199" t="n">
        <f aca="false">3.224*1.02</f>
        <v>3.28848</v>
      </c>
      <c r="R23" s="199" t="n">
        <v>4.2</v>
      </c>
      <c r="S23" s="312" t="n">
        <v>5.16</v>
      </c>
      <c r="T23" s="356" t="n">
        <v>0</v>
      </c>
      <c r="U23" s="132" t="n">
        <v>161</v>
      </c>
      <c r="V23" s="132" t="n">
        <v>80</v>
      </c>
      <c r="W23" s="132" t="n">
        <f aca="false">M23-N23-O23-P23-Q23-R23-S23-T23+U23+V23</f>
        <v>482.516723</v>
      </c>
      <c r="X23" s="132" t="n">
        <f aca="false">W23-AO23</f>
        <v>482.516723</v>
      </c>
      <c r="Y23" s="104" t="n">
        <f aca="false">Y22+(X23*1.9835)</f>
        <v>78174.1457545705</v>
      </c>
      <c r="Z23" s="104" t="n">
        <f aca="false">Z22+X23*(26300/37500)*1.9835</f>
        <v>54826.1342225388</v>
      </c>
      <c r="AA23" s="104" t="n">
        <f aca="false">AA22-(W23-I23)-Q23-R23-AF23</f>
        <v>2941.338283</v>
      </c>
      <c r="AB23" s="104"/>
      <c r="AC23" s="104" t="n">
        <f aca="false">AC22-(AQ23/1.9835)+AS23</f>
        <v>1659.06745914501</v>
      </c>
      <c r="AD23" s="134" t="n">
        <f aca="false">AD22</f>
        <v>0</v>
      </c>
      <c r="AE23" s="132" t="n">
        <v>313</v>
      </c>
      <c r="AF23" s="231" t="n">
        <v>1.7</v>
      </c>
      <c r="AG23" s="232" t="n">
        <v>1.3</v>
      </c>
      <c r="AH23" s="132" t="n">
        <v>73</v>
      </c>
      <c r="AI23" s="104" t="n">
        <f aca="false">AI22-AH23</f>
        <v>10930.2578774893</v>
      </c>
      <c r="AJ23" s="104"/>
      <c r="AK23" s="131" t="n">
        <f aca="false">N23+O23+P23+Q23+R23+S23+T23+W23+AE23+AH23</f>
        <v>966</v>
      </c>
      <c r="AL23" s="132" t="n">
        <f aca="false">IF(L23&lt;0,L23*-1,0)</f>
        <v>0</v>
      </c>
      <c r="AM23" s="132" t="n">
        <f aca="false">AK23+AL23</f>
        <v>966</v>
      </c>
      <c r="AN23" s="203" t="n">
        <f aca="false">AN22</f>
        <v>14794.787655</v>
      </c>
      <c r="AO23" s="134"/>
      <c r="AP23" s="93"/>
      <c r="AQ23" s="199" t="n">
        <f aca="false">60.3*(AA22*1.9835+AC22*1.9835+AD22*1.9835)/E23</f>
        <v>2.76122151710237</v>
      </c>
      <c r="AR23" s="199"/>
      <c r="AS23" s="358" t="n">
        <v>20</v>
      </c>
      <c r="AT23" s="5"/>
      <c r="AU23" s="4"/>
      <c r="AV23" s="327" t="n">
        <v>0</v>
      </c>
      <c r="AW23" s="134" t="n">
        <v>88</v>
      </c>
      <c r="AX23" s="134" t="n">
        <v>55</v>
      </c>
      <c r="AY23" s="300"/>
      <c r="AZ23" s="233" t="n">
        <f aca="false">SUM(N23,P23:T23)</f>
        <v>14.533277</v>
      </c>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171" t="n">
        <f aca="false">A23+1</f>
        <v>11</v>
      </c>
      <c r="B24" s="103" t="n">
        <v>6919.33</v>
      </c>
      <c r="C24" s="104" t="n">
        <v>360688</v>
      </c>
      <c r="D24" s="134" t="n">
        <f aca="false">C24-C23</f>
        <v>-1464</v>
      </c>
      <c r="E24" s="104" t="n">
        <f aca="false">C24-152000</f>
        <v>208688</v>
      </c>
      <c r="F24" s="229" t="n">
        <f aca="false">D24/$D$2</f>
        <v>-738.089236198639</v>
      </c>
      <c r="G24" s="132" t="n">
        <v>208</v>
      </c>
      <c r="H24" s="133" t="n">
        <v>0.47</v>
      </c>
      <c r="I24" s="132" t="n">
        <f aca="false">G24+H24</f>
        <v>208.47</v>
      </c>
      <c r="J24" s="133" t="n">
        <f aca="false">IF(L24&gt;0,L24,0)</f>
        <v>2.44076380136119</v>
      </c>
      <c r="K24" s="132" t="n">
        <f aca="false">I24+J24</f>
        <v>210.910763801361</v>
      </c>
      <c r="L24" s="132" t="n">
        <f aca="false">F24-(I24-AK24)</f>
        <v>2.44076380136119</v>
      </c>
      <c r="M24" s="231" t="n">
        <v>345</v>
      </c>
      <c r="N24" s="199" t="n">
        <f aca="false">1.8299*1.03</f>
        <v>1.884797</v>
      </c>
      <c r="O24" s="132" t="n">
        <f aca="false">(42+44)*1.05</f>
        <v>90.3</v>
      </c>
      <c r="P24" s="199" t="n">
        <v>0</v>
      </c>
      <c r="Q24" s="199" t="n">
        <f aca="false">3.224*1.02</f>
        <v>3.28848</v>
      </c>
      <c r="R24" s="199" t="n">
        <v>4.2</v>
      </c>
      <c r="S24" s="312" t="n">
        <v>3.05</v>
      </c>
      <c r="T24" s="356" t="n">
        <v>0</v>
      </c>
      <c r="U24" s="132" t="n">
        <v>161</v>
      </c>
      <c r="V24" s="132" t="n">
        <v>81</v>
      </c>
      <c r="W24" s="132" t="n">
        <f aca="false">M24-N24-O24-P24-Q24-R24-S24-T24+U24+V24</f>
        <v>484.276723</v>
      </c>
      <c r="X24" s="132" t="n">
        <f aca="false">W24-AO24</f>
        <v>484.276723</v>
      </c>
      <c r="Y24" s="104" t="n">
        <f aca="false">Y23+(X24*1.9835)</f>
        <v>79134.708634641</v>
      </c>
      <c r="Z24" s="104" t="n">
        <f aca="false">Z23+X24*(26300/37500)*1.9835</f>
        <v>55499.8089890949</v>
      </c>
      <c r="AA24" s="104" t="n">
        <f aca="false">AA23-(W24-I24)-Q24-R24-AF24</f>
        <v>2656.34308</v>
      </c>
      <c r="AB24" s="104"/>
      <c r="AC24" s="104" t="n">
        <f aca="false">AC23-(AQ24/1.9835)+AS24</f>
        <v>1677.73818067068</v>
      </c>
      <c r="AD24" s="134" t="n">
        <f aca="false">AD23</f>
        <v>0</v>
      </c>
      <c r="AE24" s="132" t="n">
        <v>289</v>
      </c>
      <c r="AF24" s="231" t="n">
        <v>1.7</v>
      </c>
      <c r="AG24" s="232" t="n">
        <v>1.3</v>
      </c>
      <c r="AH24" s="132" t="n">
        <v>73</v>
      </c>
      <c r="AI24" s="104" t="n">
        <f aca="false">AI23-AH24</f>
        <v>10857.2578774893</v>
      </c>
      <c r="AJ24" s="104"/>
      <c r="AK24" s="131" t="n">
        <f aca="false">N24+O24+P24+Q24+R24+S24+T24+W24+AE24+AH24</f>
        <v>949</v>
      </c>
      <c r="AL24" s="132" t="n">
        <f aca="false">IF(L24&lt;0,L24*-1,0)</f>
        <v>0</v>
      </c>
      <c r="AM24" s="132" t="n">
        <f aca="false">AK24+AL24</f>
        <v>949</v>
      </c>
      <c r="AN24" s="203" t="n">
        <f aca="false">AN23</f>
        <v>14794.787655</v>
      </c>
      <c r="AO24" s="134"/>
      <c r="AP24" s="93"/>
      <c r="AQ24" s="199" t="n">
        <f aca="false">60.3*(AA23*1.9835+AC23*1.9835+AD23*1.9835)/E24</f>
        <v>2.63662385383702</v>
      </c>
      <c r="AR24" s="199"/>
      <c r="AS24" s="358" t="n">
        <v>20</v>
      </c>
      <c r="AT24" s="5"/>
      <c r="AU24" s="4"/>
      <c r="AV24" s="327" t="n">
        <v>0</v>
      </c>
      <c r="AW24" s="134" t="n">
        <v>89</v>
      </c>
      <c r="AX24" s="134" t="n">
        <v>59</v>
      </c>
      <c r="AY24" s="300"/>
      <c r="AZ24" s="233" t="n">
        <f aca="false">SUM(N24,P24:T24)</f>
        <v>12.423277</v>
      </c>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171" t="n">
        <f aca="false">A24+1</f>
        <v>12</v>
      </c>
      <c r="B25" s="103" t="n">
        <v>6918.98</v>
      </c>
      <c r="C25" s="104" t="n">
        <v>359181</v>
      </c>
      <c r="D25" s="134" t="n">
        <f aca="false">C25-C24</f>
        <v>-1507</v>
      </c>
      <c r="E25" s="104" t="n">
        <f aca="false">C25-152000</f>
        <v>207181</v>
      </c>
      <c r="F25" s="229" t="n">
        <f aca="false">D25/$D$2</f>
        <v>-759.768086715402</v>
      </c>
      <c r="G25" s="132" t="n">
        <v>206</v>
      </c>
      <c r="H25" s="133" t="n">
        <v>0.22</v>
      </c>
      <c r="I25" s="132" t="n">
        <f aca="false">G25+H25</f>
        <v>206.22</v>
      </c>
      <c r="J25" s="133" t="n">
        <f aca="false">IF(L25&gt;0,L25,0)</f>
        <v>0</v>
      </c>
      <c r="K25" s="132" t="n">
        <f aca="false">I25+J25</f>
        <v>206.22</v>
      </c>
      <c r="L25" s="132" t="n">
        <f aca="false">F25-(I25-AK25)</f>
        <v>-44.9880867154021</v>
      </c>
      <c r="M25" s="231" t="n">
        <v>352</v>
      </c>
      <c r="N25" s="199" t="n">
        <f aca="false">1.8299*1.03</f>
        <v>1.884797</v>
      </c>
      <c r="O25" s="132" t="n">
        <f aca="false">(43+42)*1.05</f>
        <v>89.25</v>
      </c>
      <c r="P25" s="199" t="n">
        <v>0</v>
      </c>
      <c r="Q25" s="199" t="n">
        <f aca="false">3.224*1.02</f>
        <v>3.28848</v>
      </c>
      <c r="R25" s="199" t="n">
        <v>4.2</v>
      </c>
      <c r="S25" s="312" t="n">
        <v>4.81</v>
      </c>
      <c r="T25" s="356" t="n">
        <v>0</v>
      </c>
      <c r="U25" s="132" t="n">
        <v>163</v>
      </c>
      <c r="V25" s="132" t="n">
        <v>82</v>
      </c>
      <c r="W25" s="132" t="n">
        <f aca="false">M25-N25-O25-P25-Q25-R25-S25-T25+U25+V25</f>
        <v>493.566723</v>
      </c>
      <c r="X25" s="132" t="n">
        <f aca="false">W25-AO25</f>
        <v>493.566723</v>
      </c>
      <c r="Y25" s="104" t="n">
        <f aca="false">Y24+(X25*1.9835)</f>
        <v>80113.6982297115</v>
      </c>
      <c r="Z25" s="104" t="n">
        <f aca="false">Z24+X25*(26300/37500)*1.9835</f>
        <v>56186.4070251043</v>
      </c>
      <c r="AA25" s="104" t="n">
        <f aca="false">AA24-(W25-I25)-Q25-R25-AF25</f>
        <v>2359.807877</v>
      </c>
      <c r="AB25" s="104"/>
      <c r="AC25" s="104" t="n">
        <f aca="false">AC24-(AQ25/1.9835)+AS25</f>
        <v>1696.47674694838</v>
      </c>
      <c r="AD25" s="134" t="n">
        <f aca="false">AD24</f>
        <v>0</v>
      </c>
      <c r="AE25" s="132" t="n">
        <v>252</v>
      </c>
      <c r="AF25" s="231" t="n">
        <v>1.7</v>
      </c>
      <c r="AG25" s="232" t="n">
        <v>1.3</v>
      </c>
      <c r="AH25" s="132" t="n">
        <v>72</v>
      </c>
      <c r="AI25" s="104" t="n">
        <f aca="false">AI24-AH25</f>
        <v>10785.2578774893</v>
      </c>
      <c r="AJ25" s="104"/>
      <c r="AK25" s="131" t="n">
        <f aca="false">N25+O25+P25+Q25+R25+S25+T25+W25+AE25+AH25</f>
        <v>921</v>
      </c>
      <c r="AL25" s="132" t="n">
        <f aca="false">IF(L25&lt;0,L25*-1,0)</f>
        <v>44.9880867154021</v>
      </c>
      <c r="AM25" s="132" t="n">
        <f aca="false">AK25+AL25</f>
        <v>965.988086715402</v>
      </c>
      <c r="AN25" s="203" t="n">
        <f aca="false">AN24</f>
        <v>14794.787655</v>
      </c>
      <c r="AO25" s="134"/>
      <c r="AP25" s="93"/>
      <c r="AQ25" s="199" t="n">
        <f aca="false">60.3*(AA24*1.9835+AC24*1.9835+AD24*1.9835)/E25</f>
        <v>2.5020537881687</v>
      </c>
      <c r="AR25" s="199"/>
      <c r="AS25" s="358" t="n">
        <v>20</v>
      </c>
      <c r="AT25" s="5"/>
      <c r="AU25" s="4"/>
      <c r="AV25" s="327" t="n">
        <v>0</v>
      </c>
      <c r="AW25" s="134" t="n">
        <v>91</v>
      </c>
      <c r="AX25" s="134" t="n">
        <v>62</v>
      </c>
      <c r="AY25" s="300"/>
      <c r="AZ25" s="233" t="n">
        <f aca="false">SUM(N25,P25:T25)</f>
        <v>14.183277</v>
      </c>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171" t="n">
        <f aca="false">A25+1</f>
        <v>13</v>
      </c>
      <c r="B26" s="103" t="n">
        <v>6918.61</v>
      </c>
      <c r="C26" s="104" t="n">
        <v>357600</v>
      </c>
      <c r="D26" s="134" t="n">
        <f aca="false">C26-C25</f>
        <v>-1581</v>
      </c>
      <c r="E26" s="104" t="n">
        <f aca="false">C26-152000</f>
        <v>205600</v>
      </c>
      <c r="F26" s="229" t="n">
        <f aca="false">D26/$D$2</f>
        <v>-797.075875976809</v>
      </c>
      <c r="G26" s="132" t="n">
        <v>199</v>
      </c>
      <c r="H26" s="133" t="n">
        <v>0.17</v>
      </c>
      <c r="I26" s="132" t="n">
        <f aca="false">G26+H26</f>
        <v>199.17</v>
      </c>
      <c r="J26" s="133" t="n">
        <f aca="false">IF(L26&gt;0,L26,0)</f>
        <v>0</v>
      </c>
      <c r="K26" s="132" t="n">
        <f aca="false">I26+J26</f>
        <v>199.17</v>
      </c>
      <c r="L26" s="132" t="n">
        <f aca="false">F26-(I26-AK26)</f>
        <v>-28.2458759768086</v>
      </c>
      <c r="M26" s="231" t="n">
        <v>349</v>
      </c>
      <c r="N26" s="199" t="n">
        <f aca="false">1.8299*1.03</f>
        <v>1.884797</v>
      </c>
      <c r="O26" s="132" t="n">
        <f aca="false">(43+45)*1.05</f>
        <v>92.4</v>
      </c>
      <c r="P26" s="199" t="n">
        <v>0</v>
      </c>
      <c r="Q26" s="199" t="n">
        <f aca="false">3.224*1.02</f>
        <v>3.28848</v>
      </c>
      <c r="R26" s="199" t="n">
        <v>4.2</v>
      </c>
      <c r="S26" s="312" t="n">
        <v>4.76</v>
      </c>
      <c r="T26" s="356" t="n">
        <v>0</v>
      </c>
      <c r="U26" s="132" t="n">
        <v>170</v>
      </c>
      <c r="V26" s="132" t="n">
        <v>79</v>
      </c>
      <c r="W26" s="132" t="n">
        <f aca="false">M26-N26-O26-P26-Q26-R26-S26-T26+U26+V26</f>
        <v>491.466723</v>
      </c>
      <c r="X26" s="132" t="n">
        <f aca="false">W26-AO26</f>
        <v>491.466723</v>
      </c>
      <c r="Y26" s="104" t="n">
        <f aca="false">Y25+(X26*1.9835)</f>
        <v>81088.522474782</v>
      </c>
      <c r="Z26" s="104" t="n">
        <f aca="false">Z25+X26*(26300/37500)*1.9835</f>
        <v>56870.0837623138</v>
      </c>
      <c r="AA26" s="104" t="n">
        <f aca="false">AA25-(W26-I26)-Q26-R26-AF26</f>
        <v>2058.322674</v>
      </c>
      <c r="AB26" s="104"/>
      <c r="AC26" s="104" t="n">
        <f aca="false">AC25-(AQ26/1.9835)+AS26</f>
        <v>1715.28708759612</v>
      </c>
      <c r="AD26" s="134" t="n">
        <f aca="false">AD25</f>
        <v>0</v>
      </c>
      <c r="AE26" s="132" t="n">
        <v>298</v>
      </c>
      <c r="AF26" s="231" t="n">
        <v>1.7</v>
      </c>
      <c r="AG26" s="232" t="n">
        <v>1.3</v>
      </c>
      <c r="AH26" s="132" t="n">
        <v>72</v>
      </c>
      <c r="AI26" s="104" t="n">
        <f aca="false">AI25-AH26</f>
        <v>10713.2578774893</v>
      </c>
      <c r="AJ26" s="104"/>
      <c r="AK26" s="131" t="n">
        <f aca="false">N26+O26+P26+Q26+R26+S26+T26+W26+AE26+AH26</f>
        <v>968</v>
      </c>
      <c r="AL26" s="132" t="n">
        <f aca="false">IF(L26&lt;0,L26*-1,0)</f>
        <v>28.2458759768086</v>
      </c>
      <c r="AM26" s="132" t="n">
        <f aca="false">AK26+AL26</f>
        <v>996.245875976809</v>
      </c>
      <c r="AN26" s="203" t="n">
        <f aca="false">AN25</f>
        <v>14794.787655</v>
      </c>
      <c r="AO26" s="134"/>
      <c r="AP26" s="93"/>
      <c r="AQ26" s="199" t="n">
        <f aca="false">60.3*(AA25*1.9835+AC25*1.9835+AD25*1.9835)/E26</f>
        <v>2.35968932520223</v>
      </c>
      <c r="AR26" s="199"/>
      <c r="AS26" s="358" t="n">
        <v>20</v>
      </c>
      <c r="AT26" s="5"/>
      <c r="AU26" s="4"/>
      <c r="AV26" s="327" t="n">
        <v>0</v>
      </c>
      <c r="AW26" s="134" t="n">
        <v>89</v>
      </c>
      <c r="AX26" s="134" t="n">
        <v>58</v>
      </c>
      <c r="AY26" s="300"/>
      <c r="AZ26" s="233" t="n">
        <f aca="false">SUM(N26,P26:T26)</f>
        <v>14.133277</v>
      </c>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171" t="n">
        <f aca="false">A26+1</f>
        <v>14</v>
      </c>
      <c r="B27" s="103" t="n">
        <v>6918.24</v>
      </c>
      <c r="C27" s="104" t="n">
        <v>356019</v>
      </c>
      <c r="D27" s="134" t="n">
        <f aca="false">C27-C26</f>
        <v>-1581</v>
      </c>
      <c r="E27" s="104" t="n">
        <f aca="false">C27-152000</f>
        <v>204019</v>
      </c>
      <c r="F27" s="229" t="n">
        <f aca="false">D27/$D$2</f>
        <v>-797.075875976809</v>
      </c>
      <c r="G27" s="132" t="n">
        <v>188</v>
      </c>
      <c r="H27" s="133" t="n">
        <v>0.14</v>
      </c>
      <c r="I27" s="132" t="n">
        <f aca="false">G27+H27</f>
        <v>188.14</v>
      </c>
      <c r="J27" s="133" t="n">
        <f aca="false">IF(L27&gt;0,L27,0)</f>
        <v>0</v>
      </c>
      <c r="K27" s="132" t="n">
        <f aca="false">I27+J27</f>
        <v>188.14</v>
      </c>
      <c r="L27" s="132" t="n">
        <f aca="false">F27-(I27-AK27)</f>
        <v>-0.215875976808661</v>
      </c>
      <c r="M27" s="231" t="n">
        <v>354</v>
      </c>
      <c r="N27" s="199" t="n">
        <f aca="false">1.8299*1.03</f>
        <v>1.884797</v>
      </c>
      <c r="O27" s="132" t="n">
        <f aca="false">(45+46)*1.05</f>
        <v>95.55</v>
      </c>
      <c r="P27" s="199" t="n">
        <v>0</v>
      </c>
      <c r="Q27" s="199" t="n">
        <f aca="false">3.224*1.02</f>
        <v>3.28848</v>
      </c>
      <c r="R27" s="199" t="n">
        <v>4.2</v>
      </c>
      <c r="S27" s="312" t="n">
        <v>3.82</v>
      </c>
      <c r="T27" s="356" t="n">
        <v>0</v>
      </c>
      <c r="U27" s="132" t="n">
        <v>176</v>
      </c>
      <c r="V27" s="132" t="n">
        <v>78</v>
      </c>
      <c r="W27" s="132" t="n">
        <f aca="false">M27-N27-O27-P27-Q27-R27-S27-T27+U27+V27</f>
        <v>499.256723</v>
      </c>
      <c r="X27" s="132" t="n">
        <f aca="false">W27-AO27</f>
        <v>499.256723</v>
      </c>
      <c r="Y27" s="104" t="n">
        <f aca="false">Y26+(X27*1.9835)</f>
        <v>82078.7981848525</v>
      </c>
      <c r="Z27" s="104" t="n">
        <f aca="false">Z26+X27*(26300/37500)*1.9835</f>
        <v>57564.5971269766</v>
      </c>
      <c r="AA27" s="104" t="n">
        <f aca="false">AA26-(W27-I27)-Q27-R27-AF27</f>
        <v>1738.017471</v>
      </c>
      <c r="AB27" s="104"/>
      <c r="AC27" s="104" t="n">
        <f aca="false">AC26-(AQ27/1.9835)+AS27</f>
        <v>1734.17175682485</v>
      </c>
      <c r="AD27" s="134" t="n">
        <f aca="false">AD26</f>
        <v>0</v>
      </c>
      <c r="AE27" s="132" t="n">
        <v>305</v>
      </c>
      <c r="AF27" s="231" t="n">
        <v>1.7</v>
      </c>
      <c r="AG27" s="232" t="n">
        <v>1.3</v>
      </c>
      <c r="AH27" s="132" t="n">
        <v>72</v>
      </c>
      <c r="AI27" s="104" t="n">
        <f aca="false">AI26-AH27</f>
        <v>10641.2578774893</v>
      </c>
      <c r="AJ27" s="104"/>
      <c r="AK27" s="131" t="n">
        <f aca="false">N27+O27+P27+Q27+R27+S27+T27+W27+AE27+AH27</f>
        <v>985</v>
      </c>
      <c r="AL27" s="132" t="n">
        <f aca="false">IF(L27&lt;0,L27*-1,0)</f>
        <v>0.215875976808661</v>
      </c>
      <c r="AM27" s="132" t="n">
        <f aca="false">AK27+AL27</f>
        <v>985.215875976809</v>
      </c>
      <c r="AN27" s="203" t="n">
        <f aca="false">AN26</f>
        <v>14794.787655</v>
      </c>
      <c r="AO27" s="134"/>
      <c r="AP27" s="93"/>
      <c r="AQ27" s="199" t="n">
        <f aca="false">60.3*(AA26*1.9835+AC26*1.9835+AD26*1.9835)/E27</f>
        <v>2.21225858481903</v>
      </c>
      <c r="AR27" s="199"/>
      <c r="AS27" s="358" t="n">
        <v>20</v>
      </c>
      <c r="AT27" s="5"/>
      <c r="AU27" s="4"/>
      <c r="AV27" s="327" t="n">
        <v>0</v>
      </c>
      <c r="AW27" s="134" t="n">
        <v>89</v>
      </c>
      <c r="AX27" s="134" t="n">
        <v>55</v>
      </c>
      <c r="AY27" s="300"/>
      <c r="AZ27" s="233" t="n">
        <f aca="false">SUM(N27,P27:T27)</f>
        <v>13.193277</v>
      </c>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171" t="n">
        <f aca="false">A27+1</f>
        <v>15</v>
      </c>
      <c r="B28" s="103" t="n">
        <v>6917.85</v>
      </c>
      <c r="C28" s="104" t="n">
        <v>354358</v>
      </c>
      <c r="D28" s="134" t="n">
        <f aca="false">C28-C27</f>
        <v>-1661</v>
      </c>
      <c r="E28" s="104" t="n">
        <f aca="false">C28-152000</f>
        <v>202358</v>
      </c>
      <c r="F28" s="229" t="n">
        <f aca="false">D28/$D$2</f>
        <v>-837.408621124275</v>
      </c>
      <c r="G28" s="132" t="n">
        <v>171</v>
      </c>
      <c r="H28" s="133" t="n">
        <v>0.15</v>
      </c>
      <c r="I28" s="132" t="n">
        <f aca="false">G28+H28</f>
        <v>171.15</v>
      </c>
      <c r="J28" s="133" t="n">
        <f aca="false">IF(L28&gt;0,L28,0)</f>
        <v>0</v>
      </c>
      <c r="K28" s="132" t="n">
        <f aca="false">I28+J28</f>
        <v>171.15</v>
      </c>
      <c r="L28" s="132" t="n">
        <f aca="false">F28-(I28-AK28)</f>
        <v>-8.55862112427519</v>
      </c>
      <c r="M28" s="231" t="n">
        <v>356</v>
      </c>
      <c r="N28" s="199" t="n">
        <f aca="false">1.8299*1.03</f>
        <v>1.884797</v>
      </c>
      <c r="O28" s="132" t="n">
        <f aca="false">(47+46)*1.05</f>
        <v>97.65</v>
      </c>
      <c r="P28" s="199" t="n">
        <v>0</v>
      </c>
      <c r="Q28" s="199" t="n">
        <f aca="false">3.224*1.02</f>
        <v>3.28848</v>
      </c>
      <c r="R28" s="199" t="n">
        <v>4.2</v>
      </c>
      <c r="S28" s="312" t="n">
        <v>4.74</v>
      </c>
      <c r="T28" s="356" t="n">
        <v>0</v>
      </c>
      <c r="U28" s="132" t="n">
        <v>174</v>
      </c>
      <c r="V28" s="132" t="n">
        <v>79</v>
      </c>
      <c r="W28" s="132" t="n">
        <f aca="false">M28-N28-O28-P28-Q28-R28-S28-T28+U28+V28</f>
        <v>497.236723</v>
      </c>
      <c r="X28" s="132" t="n">
        <f aca="false">W28-AO28</f>
        <v>497.236723</v>
      </c>
      <c r="Y28" s="104" t="n">
        <f aca="false">Y27+(X28*1.9835)</f>
        <v>83065.067224923</v>
      </c>
      <c r="Z28" s="104" t="n">
        <f aca="false">Z27+X28*(26300/37500)*1.9835</f>
        <v>58256.3004804127</v>
      </c>
      <c r="AA28" s="104" t="n">
        <f aca="false">AA27-(W28-I28)-Q28-R28-AF28</f>
        <v>1402.742268</v>
      </c>
      <c r="AB28" s="104"/>
      <c r="AC28" s="104" t="n">
        <f aca="false">AC27-(AQ28/1.9835)+AS28</f>
        <v>1753.13709048877</v>
      </c>
      <c r="AD28" s="134" t="n">
        <f aca="false">AD27</f>
        <v>0</v>
      </c>
      <c r="AE28" s="132" t="n">
        <v>319</v>
      </c>
      <c r="AF28" s="231" t="n">
        <v>1.7</v>
      </c>
      <c r="AG28" s="232" t="n">
        <v>1.3</v>
      </c>
      <c r="AH28" s="132" t="n">
        <v>72</v>
      </c>
      <c r="AI28" s="104" t="n">
        <f aca="false">AI27-AH28</f>
        <v>10569.2578774893</v>
      </c>
      <c r="AJ28" s="104"/>
      <c r="AK28" s="131" t="n">
        <f aca="false">N28+O28+P28+Q28+R28+S28+T28+W28+AE28+AH28</f>
        <v>1000</v>
      </c>
      <c r="AL28" s="132" t="n">
        <f aca="false">IF(L28&lt;0,L28*-1,0)</f>
        <v>8.55862112427519</v>
      </c>
      <c r="AM28" s="132" t="n">
        <f aca="false">AK28+AL28</f>
        <v>1008.55862112428</v>
      </c>
      <c r="AN28" s="203" t="n">
        <f aca="false">AN27</f>
        <v>14794.787655</v>
      </c>
      <c r="AO28" s="134"/>
      <c r="AP28" s="93"/>
      <c r="AQ28" s="199" t="n">
        <f aca="false">60.3*(AA27*1.9835+AC27*1.9835+AD27*1.9835)/E28</f>
        <v>2.05226067762803</v>
      </c>
      <c r="AR28" s="199"/>
      <c r="AS28" s="358" t="n">
        <v>20</v>
      </c>
      <c r="AT28" s="5"/>
      <c r="AU28" s="4"/>
      <c r="AV28" s="327" t="n">
        <v>0</v>
      </c>
      <c r="AW28" s="204" t="n">
        <v>90</v>
      </c>
      <c r="AX28" s="134" t="n">
        <v>58</v>
      </c>
      <c r="AY28" s="300"/>
      <c r="AZ28" s="233" t="n">
        <f aca="false">SUM(N28,P28:T28)</f>
        <v>14.113277</v>
      </c>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171" t="n">
        <f aca="false">A28+1</f>
        <v>16</v>
      </c>
      <c r="B29" s="103" t="n">
        <v>6917.43</v>
      </c>
      <c r="C29" s="104" t="n">
        <v>352577</v>
      </c>
      <c r="D29" s="134" t="n">
        <f aca="false">C29-C28</f>
        <v>-1781</v>
      </c>
      <c r="E29" s="104" t="n">
        <f aca="false">C29-152000</f>
        <v>200577</v>
      </c>
      <c r="F29" s="229" t="n">
        <f aca="false">D29/$D$2</f>
        <v>-897.907738845475</v>
      </c>
      <c r="G29" s="132" t="n">
        <v>159</v>
      </c>
      <c r="H29" s="133" t="n">
        <v>0.16</v>
      </c>
      <c r="I29" s="132" t="n">
        <f aca="false">G29+H29</f>
        <v>159.16</v>
      </c>
      <c r="J29" s="133" t="n">
        <f aca="false">IF(L29&gt;0,L29,0)</f>
        <v>0</v>
      </c>
      <c r="K29" s="132" t="n">
        <f aca="false">I29+J29</f>
        <v>159.16</v>
      </c>
      <c r="L29" s="132" t="n">
        <f aca="false">F29-(I29-AK29)</f>
        <v>-47.067738845475</v>
      </c>
      <c r="M29" s="231" t="n">
        <v>375</v>
      </c>
      <c r="N29" s="199" t="n">
        <f aca="false">1.8299*1.03</f>
        <v>1.884797</v>
      </c>
      <c r="O29" s="132" t="n">
        <f aca="false">(49+50)*1.05</f>
        <v>103.95</v>
      </c>
      <c r="P29" s="199" t="n">
        <v>0</v>
      </c>
      <c r="Q29" s="199" t="n">
        <f aca="false">3.224*1.02</f>
        <v>3.28848</v>
      </c>
      <c r="R29" s="199" t="n">
        <v>4.2</v>
      </c>
      <c r="S29" s="312" t="n">
        <v>4.83</v>
      </c>
      <c r="T29" s="356" t="n">
        <v>0</v>
      </c>
      <c r="U29" s="132" t="n">
        <v>174</v>
      </c>
      <c r="V29" s="132" t="n">
        <v>78</v>
      </c>
      <c r="W29" s="132" t="n">
        <f aca="false">M29-N29-O29-P29-Q29-R29-S29-T29+U29+V29</f>
        <v>508.846723</v>
      </c>
      <c r="X29" s="132" t="n">
        <f aca="false">W29-AO29</f>
        <v>508.846723</v>
      </c>
      <c r="Y29" s="104" t="n">
        <f aca="false">Y28+(X29*1.9835)</f>
        <v>84074.3646999935</v>
      </c>
      <c r="Z29" s="104" t="n">
        <f aca="false">Z28+X29*(26300/37500)*1.9835</f>
        <v>58964.1544429288</v>
      </c>
      <c r="AA29" s="104" t="n">
        <f aca="false">AA28-(W29-I29)-Q29-R29-AF29</f>
        <v>1043.867065</v>
      </c>
      <c r="AB29" s="104"/>
      <c r="AC29" s="104" t="n">
        <f aca="false">AC28-(AQ29/1.9835)+AS29</f>
        <v>1772.18833003609</v>
      </c>
      <c r="AD29" s="134" t="n">
        <f aca="false">AD28</f>
        <v>0</v>
      </c>
      <c r="AE29" s="132" t="n">
        <v>311</v>
      </c>
      <c r="AF29" s="231" t="n">
        <v>1.7</v>
      </c>
      <c r="AG29" s="232" t="n">
        <v>1.3</v>
      </c>
      <c r="AH29" s="132" t="n">
        <v>72</v>
      </c>
      <c r="AI29" s="104" t="n">
        <f aca="false">AI28-AH29</f>
        <v>10497.2578774893</v>
      </c>
      <c r="AJ29" s="104"/>
      <c r="AK29" s="131" t="n">
        <f aca="false">N29+O29+P29+Q29+R29+S29+T29+W29+AE29+AH29</f>
        <v>1010</v>
      </c>
      <c r="AL29" s="132" t="n">
        <f aca="false">IF(L29&lt;0,L29*-1,0)</f>
        <v>47.067738845475</v>
      </c>
      <c r="AM29" s="132" t="n">
        <f aca="false">AK29+AL29</f>
        <v>1057.06773884548</v>
      </c>
      <c r="AN29" s="203" t="n">
        <f aca="false">AN28</f>
        <v>14794.787655</v>
      </c>
      <c r="AO29" s="134"/>
      <c r="AP29" s="93"/>
      <c r="AQ29" s="199" t="n">
        <f aca="false">60.3*(AA28*1.9835+AC28*1.9835+AD28*1.9835)/E29</f>
        <v>1.88186635788758</v>
      </c>
      <c r="AR29" s="199"/>
      <c r="AS29" s="358" t="n">
        <v>20</v>
      </c>
      <c r="AT29" s="5"/>
      <c r="AU29" s="4"/>
      <c r="AV29" s="327" t="n">
        <v>0</v>
      </c>
      <c r="AW29" s="204" t="n">
        <v>90</v>
      </c>
      <c r="AX29" s="134" t="n">
        <v>61</v>
      </c>
      <c r="AY29" s="300"/>
      <c r="AZ29" s="233" t="n">
        <f aca="false">SUM(N29,P29:T29)</f>
        <v>14.203277</v>
      </c>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95" hidden="false" customHeight="true" outlineLevel="0" collapsed="false">
      <c r="A30" s="171" t="n">
        <f aca="false">A29+1</f>
        <v>17</v>
      </c>
      <c r="B30" s="103" t="n">
        <v>6917.01</v>
      </c>
      <c r="C30" s="104" t="n">
        <v>350796</v>
      </c>
      <c r="D30" s="134" t="n">
        <f aca="false">C30-C29</f>
        <v>-1781</v>
      </c>
      <c r="E30" s="104" t="n">
        <f aca="false">C30-152000</f>
        <v>198796</v>
      </c>
      <c r="F30" s="229" t="n">
        <f aca="false">D30/$D$2</f>
        <v>-897.907738845475</v>
      </c>
      <c r="G30" s="132" t="n">
        <v>147</v>
      </c>
      <c r="H30" s="133" t="n">
        <v>0.22</v>
      </c>
      <c r="I30" s="132" t="n">
        <f aca="false">G30+H30</f>
        <v>147.22</v>
      </c>
      <c r="J30" s="133" t="n">
        <f aca="false">IF(L30&gt;0,L30,0)</f>
        <v>0</v>
      </c>
      <c r="K30" s="132" t="n">
        <f aca="false">I30+J30</f>
        <v>147.22</v>
      </c>
      <c r="L30" s="132" t="n">
        <f aca="false">F30-(I30-AK30)</f>
        <v>-49.1277388454752</v>
      </c>
      <c r="M30" s="231" t="n">
        <v>365</v>
      </c>
      <c r="N30" s="199" t="n">
        <f aca="false">1.8299*1.03</f>
        <v>1.884797</v>
      </c>
      <c r="O30" s="132" t="n">
        <f aca="false">(49+49)*1.05</f>
        <v>102.9</v>
      </c>
      <c r="P30" s="199" t="n">
        <v>0</v>
      </c>
      <c r="Q30" s="199" t="n">
        <f aca="false">3.224*1.02</f>
        <v>3.28848</v>
      </c>
      <c r="R30" s="199" t="n">
        <v>4.2</v>
      </c>
      <c r="S30" s="312" t="n">
        <v>4.8</v>
      </c>
      <c r="T30" s="356" t="n">
        <v>0</v>
      </c>
      <c r="U30" s="132" t="n">
        <v>173</v>
      </c>
      <c r="V30" s="132" t="n">
        <v>80</v>
      </c>
      <c r="W30" s="132" t="n">
        <f aca="false">M30-N30-O30-P30-Q30-R30-S30-T30+U30+V30</f>
        <v>500.926723</v>
      </c>
      <c r="X30" s="132" t="n">
        <f aca="false">W30-AO30</f>
        <v>500.926723</v>
      </c>
      <c r="Y30" s="104" t="n">
        <f aca="false">Y29+(X30*1.9835)</f>
        <v>85067.952855064</v>
      </c>
      <c r="Z30" s="104" t="n">
        <f aca="false">Z29+X30*(26300/37500)*1.9835</f>
        <v>59660.9909356849</v>
      </c>
      <c r="AA30" s="104" t="n">
        <f aca="false">AA29-(W30-I30)-Q30-R30-AF30</f>
        <v>680.971862000002</v>
      </c>
      <c r="AB30" s="104"/>
      <c r="AC30" s="104" t="n">
        <f aca="false">AC29-(AQ30/1.9835)+AS30</f>
        <v>1791.33414715353</v>
      </c>
      <c r="AD30" s="134" t="n">
        <f aca="false">AD29</f>
        <v>0</v>
      </c>
      <c r="AE30" s="132" t="n">
        <v>306</v>
      </c>
      <c r="AF30" s="231" t="n">
        <v>1.7</v>
      </c>
      <c r="AG30" s="232" t="n">
        <v>1.3</v>
      </c>
      <c r="AH30" s="132" t="n">
        <v>72</v>
      </c>
      <c r="AI30" s="104" t="n">
        <f aca="false">AI29-AH30</f>
        <v>10425.2578774893</v>
      </c>
      <c r="AJ30" s="104"/>
      <c r="AK30" s="131" t="n">
        <f aca="false">N30+O30+P30+Q30+R30+S30+T30+W30+AE30+AH30</f>
        <v>996</v>
      </c>
      <c r="AL30" s="132" t="n">
        <f aca="false">IF(L30&lt;0,L30*-1,0)</f>
        <v>49.1277388454752</v>
      </c>
      <c r="AM30" s="132" t="n">
        <f aca="false">AK30+AL30</f>
        <v>1045.12773884548</v>
      </c>
      <c r="AN30" s="203" t="n">
        <f aca="false">AN29</f>
        <v>14794.787655</v>
      </c>
      <c r="AO30" s="134"/>
      <c r="AP30" s="93"/>
      <c r="AQ30" s="199" t="n">
        <f aca="false">60.3*(AA29*1.9835+AC29*1.9835+AD29*1.9835)/E30</f>
        <v>1.69427174755056</v>
      </c>
      <c r="AR30" s="199"/>
      <c r="AS30" s="358" t="n">
        <v>20</v>
      </c>
      <c r="AT30" s="5"/>
      <c r="AU30" s="4"/>
      <c r="AV30" s="327" t="n">
        <v>0</v>
      </c>
      <c r="AW30" s="204" t="n">
        <v>91</v>
      </c>
      <c r="AX30" s="134" t="n">
        <v>59</v>
      </c>
      <c r="AY30" s="300"/>
      <c r="AZ30" s="233" t="n">
        <f aca="false">SUM(N30,P30:T30)</f>
        <v>14.173277</v>
      </c>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171" t="n">
        <f aca="false">A30+1</f>
        <v>18</v>
      </c>
      <c r="B31" s="103" t="n">
        <v>6916.59</v>
      </c>
      <c r="C31" s="104" t="n">
        <v>349029</v>
      </c>
      <c r="D31" s="134" t="n">
        <f aca="false">C31-C30</f>
        <v>-1767</v>
      </c>
      <c r="E31" s="104" t="n">
        <f aca="false">C31-152000</f>
        <v>197029</v>
      </c>
      <c r="F31" s="229" t="n">
        <f aca="false">D31/$D$2</f>
        <v>-890.849508444668</v>
      </c>
      <c r="G31" s="132" t="n">
        <v>142</v>
      </c>
      <c r="H31" s="133" t="n">
        <v>0.3</v>
      </c>
      <c r="I31" s="132" t="n">
        <f aca="false">G31+H31</f>
        <v>142.3</v>
      </c>
      <c r="J31" s="133" t="n">
        <f aca="false">IF(L31&gt;0,L31,0)</f>
        <v>0</v>
      </c>
      <c r="K31" s="132" t="n">
        <f aca="false">I31+J31</f>
        <v>142.3</v>
      </c>
      <c r="L31" s="132" t="n">
        <f aca="false">F31-(I31-AK31)</f>
        <v>-35.1495084446684</v>
      </c>
      <c r="M31" s="231" t="n">
        <v>374</v>
      </c>
      <c r="N31" s="199" t="n">
        <f aca="false">1.8299*1.03</f>
        <v>1.884797</v>
      </c>
      <c r="O31" s="132" t="n">
        <f aca="false">(50+51)*1.05</f>
        <v>106.05</v>
      </c>
      <c r="P31" s="199" t="n">
        <v>0</v>
      </c>
      <c r="Q31" s="199" t="n">
        <f aca="false">3.224*1.02</f>
        <v>3.28848</v>
      </c>
      <c r="R31" s="199" t="n">
        <v>4.2</v>
      </c>
      <c r="S31" s="312" t="n">
        <v>4.76</v>
      </c>
      <c r="T31" s="356" t="n">
        <v>0</v>
      </c>
      <c r="U31" s="132" t="n">
        <v>174</v>
      </c>
      <c r="V31" s="132" t="n">
        <v>81</v>
      </c>
      <c r="W31" s="132" t="n">
        <f aca="false">M31-N31-O31-P31-Q31-R31-S31-T31+U31+V31</f>
        <v>508.816723</v>
      </c>
      <c r="X31" s="132" t="n">
        <f aca="false">W31-AO31</f>
        <v>508.816723</v>
      </c>
      <c r="Y31" s="104" t="n">
        <f aca="false">Y30+(X31*1.9835)</f>
        <v>86077.1908251345</v>
      </c>
      <c r="Z31" s="104" t="n">
        <f aca="false">Z30+X31*(26300/37500)*1.9835</f>
        <v>60368.803165361</v>
      </c>
      <c r="AA31" s="104" t="n">
        <f aca="false">AA30-(W31-I31)-Q31-R31-AF31</f>
        <v>305.266659000002</v>
      </c>
      <c r="AB31" s="104"/>
      <c r="AC31" s="104" t="n">
        <f aca="false">AC30-(AQ31/1.9835)+AS31</f>
        <v>1810.57750700232</v>
      </c>
      <c r="AD31" s="134" t="n">
        <f aca="false">AD30</f>
        <v>0</v>
      </c>
      <c r="AE31" s="132" t="n">
        <v>297</v>
      </c>
      <c r="AF31" s="231" t="n">
        <v>1.7</v>
      </c>
      <c r="AG31" s="232" t="n">
        <v>1.3</v>
      </c>
      <c r="AH31" s="132" t="n">
        <v>72</v>
      </c>
      <c r="AI31" s="104" t="n">
        <f aca="false">AI30-AH31</f>
        <v>10353.2578774893</v>
      </c>
      <c r="AJ31" s="104"/>
      <c r="AK31" s="131" t="n">
        <f aca="false">N31+O31+P31+Q31+R31+S31+T31+W31+AE31+AH31</f>
        <v>998</v>
      </c>
      <c r="AL31" s="132" t="n">
        <f aca="false">IF(L31&lt;0,L31*-1,0)</f>
        <v>35.1495084446684</v>
      </c>
      <c r="AM31" s="132" t="n">
        <f aca="false">AK31+AL31</f>
        <v>1033.14950844467</v>
      </c>
      <c r="AN31" s="203" t="n">
        <f aca="false">AN30</f>
        <v>14794.787655</v>
      </c>
      <c r="AO31" s="134"/>
      <c r="AP31" s="93"/>
      <c r="AQ31" s="199" t="n">
        <f aca="false">60.3*(AA30*1.9835+AC30*1.9835+AD30*1.9835)/E31</f>
        <v>1.50079573991701</v>
      </c>
      <c r="AR31" s="199"/>
      <c r="AS31" s="358" t="n">
        <v>20</v>
      </c>
      <c r="AT31" s="5"/>
      <c r="AU31" s="4"/>
      <c r="AV31" s="327" t="n">
        <v>0</v>
      </c>
      <c r="AW31" s="204" t="n">
        <v>94</v>
      </c>
      <c r="AX31" s="134" t="n">
        <v>59</v>
      </c>
      <c r="AY31" s="300"/>
      <c r="AZ31" s="233" t="n">
        <f aca="false">SUM(N31,P31:T31)</f>
        <v>14.133277</v>
      </c>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171" t="n">
        <f aca="false">A31+1</f>
        <v>19</v>
      </c>
      <c r="B32" s="103" t="n">
        <v>6916.19</v>
      </c>
      <c r="C32" s="104" t="n">
        <v>347346</v>
      </c>
      <c r="D32" s="134" t="n">
        <f aca="false">C32-C31</f>
        <v>-1683</v>
      </c>
      <c r="E32" s="104" t="n">
        <f aca="false">C32-152000</f>
        <v>195346</v>
      </c>
      <c r="F32" s="229" t="n">
        <f aca="false">D32/$D$2</f>
        <v>-848.500126039829</v>
      </c>
      <c r="G32" s="132" t="n">
        <v>137</v>
      </c>
      <c r="H32" s="133" t="n">
        <v>0.29</v>
      </c>
      <c r="I32" s="132" t="n">
        <f aca="false">G32+H32</f>
        <v>137.29</v>
      </c>
      <c r="J32" s="133" t="n">
        <f aca="false">IF(L32&gt;0,L32,0)</f>
        <v>0</v>
      </c>
      <c r="K32" s="132" t="n">
        <f aca="false">I32+J32</f>
        <v>137.29</v>
      </c>
      <c r="L32" s="132" t="n">
        <f aca="false">F32-(I32-AK32)</f>
        <v>-27.7901260398285</v>
      </c>
      <c r="M32" s="231" t="n">
        <v>369</v>
      </c>
      <c r="N32" s="199" t="n">
        <f aca="false">1.8299*1.03</f>
        <v>1.884797</v>
      </c>
      <c r="O32" s="132" t="n">
        <f aca="false">(55+56)*1.05</f>
        <v>116.55</v>
      </c>
      <c r="P32" s="199" t="n">
        <v>0</v>
      </c>
      <c r="Q32" s="199" t="n">
        <f aca="false">3.224*1.02</f>
        <v>3.28848</v>
      </c>
      <c r="R32" s="199" t="n">
        <v>4.2</v>
      </c>
      <c r="S32" s="312" t="n">
        <v>4.66</v>
      </c>
      <c r="T32" s="356" t="n">
        <v>0</v>
      </c>
      <c r="U32" s="132" t="n">
        <v>178</v>
      </c>
      <c r="V32" s="132" t="n">
        <v>82</v>
      </c>
      <c r="W32" s="132" t="n">
        <f aca="false">M32-N32-O32-P32-Q32-R32-S32-T32+U32+V32</f>
        <v>498.416723</v>
      </c>
      <c r="X32" s="132" t="n">
        <f aca="false">W32-AO32</f>
        <v>498.416723</v>
      </c>
      <c r="Y32" s="104" t="n">
        <f aca="false">Y31+(X32*1.9835)</f>
        <v>87065.800395205</v>
      </c>
      <c r="Z32" s="104" t="n">
        <f aca="false">Z31+X32*(26300/37500)*1.9835</f>
        <v>61062.1480105038</v>
      </c>
      <c r="AA32" s="104" t="n">
        <f aca="false">AA31-(W32-I32)-Q32-R32-AF32+65</f>
        <v>-0.0485439999978041</v>
      </c>
      <c r="AB32" s="104"/>
      <c r="AC32" s="104" t="n">
        <f aca="false">AC31-(AQ32/1.9835)+AS32-65</f>
        <v>1764.92438176193</v>
      </c>
      <c r="AD32" s="134" t="n">
        <f aca="false">AD31</f>
        <v>0</v>
      </c>
      <c r="AE32" s="132" t="n">
        <v>257</v>
      </c>
      <c r="AF32" s="231" t="n">
        <v>1.7</v>
      </c>
      <c r="AG32" s="232" t="n">
        <v>1.3</v>
      </c>
      <c r="AH32" s="132" t="n">
        <v>72</v>
      </c>
      <c r="AI32" s="104" t="n">
        <f aca="false">AI31-AH32</f>
        <v>10281.2578774893</v>
      </c>
      <c r="AJ32" s="104"/>
      <c r="AK32" s="131" t="n">
        <f aca="false">N32+O32+P32+Q32+R32+S32+T32+W32+AE32+AH32</f>
        <v>958</v>
      </c>
      <c r="AL32" s="132" t="n">
        <f aca="false">IF(L32&lt;0,L32*-1,0)</f>
        <v>27.7901260398285</v>
      </c>
      <c r="AM32" s="132" t="n">
        <f aca="false">AK32+AL32</f>
        <v>985.790126039829</v>
      </c>
      <c r="AN32" s="203" t="n">
        <f aca="false">AN31</f>
        <v>14794.787655</v>
      </c>
      <c r="AO32" s="134"/>
      <c r="AP32" s="93"/>
      <c r="AQ32" s="199" t="n">
        <f aca="false">60.3*(AA31*1.9835+AC31*1.9835+AD31*1.9835)/E32</f>
        <v>1.29547391432083</v>
      </c>
      <c r="AR32" s="199"/>
      <c r="AS32" s="358" t="n">
        <v>20</v>
      </c>
      <c r="AT32" s="5"/>
      <c r="AU32" s="4"/>
      <c r="AV32" s="327" t="n">
        <v>0</v>
      </c>
      <c r="AW32" s="204" t="n">
        <v>92</v>
      </c>
      <c r="AX32" s="134" t="n">
        <v>59</v>
      </c>
      <c r="AY32" s="300"/>
      <c r="AZ32" s="233" t="n">
        <f aca="false">SUM(N32,P32:T32)</f>
        <v>14.033277</v>
      </c>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171" t="n">
        <f aca="false">A32+1</f>
        <v>20</v>
      </c>
      <c r="B33" s="103" t="n">
        <v>6915.77</v>
      </c>
      <c r="C33" s="104" t="n">
        <v>345587</v>
      </c>
      <c r="D33" s="134" t="n">
        <f aca="false">C33-C32</f>
        <v>-1759</v>
      </c>
      <c r="E33" s="104" t="n">
        <f aca="false">C33-152000</f>
        <v>193587</v>
      </c>
      <c r="F33" s="229" t="n">
        <f aca="false">D33/$D$2</f>
        <v>-886.816233929922</v>
      </c>
      <c r="G33" s="132" t="n">
        <v>128</v>
      </c>
      <c r="H33" s="133" t="n">
        <v>0.34</v>
      </c>
      <c r="I33" s="132" t="n">
        <f aca="false">G33+H33</f>
        <v>128.34</v>
      </c>
      <c r="J33" s="133" t="n">
        <f aca="false">IF(L33&gt;0,L33,0)</f>
        <v>0</v>
      </c>
      <c r="K33" s="132" t="n">
        <f aca="false">I33+J33</f>
        <v>128.34</v>
      </c>
      <c r="L33" s="132" t="n">
        <f aca="false">F33-(I33-AK33)</f>
        <v>-27.1562339299219</v>
      </c>
      <c r="M33" s="231" t="n">
        <v>376</v>
      </c>
      <c r="N33" s="199" t="n">
        <f aca="false">1.8299*1.03</f>
        <v>1.884797</v>
      </c>
      <c r="O33" s="132" t="n">
        <f aca="false">(54+55)*1.05</f>
        <v>114.45</v>
      </c>
      <c r="P33" s="199" t="n">
        <v>0</v>
      </c>
      <c r="Q33" s="199" t="n">
        <f aca="false">3.224*1.02</f>
        <v>3.28848</v>
      </c>
      <c r="R33" s="199" t="n">
        <v>4.2</v>
      </c>
      <c r="S33" s="312" t="n">
        <v>5.11</v>
      </c>
      <c r="T33" s="356" t="n">
        <v>0</v>
      </c>
      <c r="U33" s="132" t="n">
        <v>177</v>
      </c>
      <c r="V33" s="132" t="n">
        <v>85</v>
      </c>
      <c r="W33" s="132" t="n">
        <f aca="false">M33-N33-O33-P33-Q33-R33-S33-T33+U33+V33</f>
        <v>509.066723</v>
      </c>
      <c r="X33" s="132" t="n">
        <f aca="false">W33-AO33</f>
        <v>509.066723</v>
      </c>
      <c r="Y33" s="104" t="n">
        <f aca="false">Y32+(X33*1.9835)</f>
        <v>88075.5342402755</v>
      </c>
      <c r="Z33" s="104" t="n">
        <f aca="false">Z32+X33*(26300/37500)*1.9835</f>
        <v>61770.3080138466</v>
      </c>
      <c r="AA33" s="104"/>
      <c r="AB33" s="104"/>
      <c r="AC33" s="104" t="n">
        <f aca="false">AC32-(AQ33/1.9835)+AS33-(W33-I33)-Q33-R33-AF33</f>
        <v>1394.45944136729</v>
      </c>
      <c r="AD33" s="134" t="n">
        <f aca="false">AD32</f>
        <v>0</v>
      </c>
      <c r="AE33" s="132" t="n">
        <v>278</v>
      </c>
      <c r="AF33" s="231" t="n">
        <v>1.7</v>
      </c>
      <c r="AG33" s="232" t="n">
        <v>1.3</v>
      </c>
      <c r="AH33" s="132" t="n">
        <v>72</v>
      </c>
      <c r="AI33" s="104" t="n">
        <f aca="false">AI32-AH33</f>
        <v>10209.2578774893</v>
      </c>
      <c r="AJ33" s="104"/>
      <c r="AK33" s="131" t="n">
        <f aca="false">N33+O33+P33+Q33+R33+S33+T33+W33+AE33+AH33</f>
        <v>988</v>
      </c>
      <c r="AL33" s="132" t="n">
        <f aca="false">IF(L33&lt;0,L33*-1,0)</f>
        <v>27.1562339299219</v>
      </c>
      <c r="AM33" s="132" t="n">
        <f aca="false">AK33+AL33</f>
        <v>1015.15623392992</v>
      </c>
      <c r="AN33" s="203" t="n">
        <f aca="false">AN32</f>
        <v>14794.787655</v>
      </c>
      <c r="AO33" s="134"/>
      <c r="AP33" s="93"/>
      <c r="AQ33" s="199" t="n">
        <f aca="false">60.3*(AA32*1.9835+AC32*1.9835+AD32*1.9835)/E33</f>
        <v>1.09040412227736</v>
      </c>
      <c r="AR33" s="199"/>
      <c r="AS33" s="358" t="n">
        <v>20</v>
      </c>
      <c r="AT33" s="5"/>
      <c r="AU33" s="4"/>
      <c r="AV33" s="327" t="n">
        <v>0</v>
      </c>
      <c r="AW33" s="204" t="n">
        <v>89</v>
      </c>
      <c r="AX33" s="134" t="n">
        <v>56</v>
      </c>
      <c r="AY33" s="300"/>
      <c r="AZ33" s="233" t="n">
        <f aca="false">SUM(N33,P33:T33)</f>
        <v>14.483277</v>
      </c>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171" t="n">
        <f aca="false">A33+1</f>
        <v>21</v>
      </c>
      <c r="B34" s="103" t="n">
        <v>6915.38</v>
      </c>
      <c r="C34" s="104" t="n">
        <v>343959</v>
      </c>
      <c r="D34" s="134" t="n">
        <f aca="false">C34-C33</f>
        <v>-1628</v>
      </c>
      <c r="E34" s="104" t="n">
        <f aca="false">C34-152000</f>
        <v>191959</v>
      </c>
      <c r="F34" s="229" t="n">
        <f aca="false">D34/$D$2</f>
        <v>-820.771363750945</v>
      </c>
      <c r="G34" s="132" t="n">
        <v>125</v>
      </c>
      <c r="H34" s="133" t="n">
        <v>0.28</v>
      </c>
      <c r="I34" s="132" t="n">
        <f aca="false">G34+H34</f>
        <v>125.28</v>
      </c>
      <c r="J34" s="133" t="n">
        <f aca="false">IF(L34&gt;0,L34,0)</f>
        <v>49.9486362490547</v>
      </c>
      <c r="K34" s="132" t="n">
        <f aca="false">I34+J34</f>
        <v>175.228636249055</v>
      </c>
      <c r="L34" s="132" t="n">
        <f aca="false">F34-(I34-AK34)</f>
        <v>49.9486362490547</v>
      </c>
      <c r="M34" s="231" t="n">
        <v>379</v>
      </c>
      <c r="N34" s="199" t="n">
        <f aca="false">1.8299*1.03</f>
        <v>1.884797</v>
      </c>
      <c r="O34" s="132" t="n">
        <f aca="false">(55+56)*1.05</f>
        <v>116.55</v>
      </c>
      <c r="P34" s="199" t="n">
        <v>0</v>
      </c>
      <c r="Q34" s="199" t="n">
        <f aca="false">3.224*1.02</f>
        <v>3.28848</v>
      </c>
      <c r="R34" s="199" t="n">
        <v>4.2</v>
      </c>
      <c r="S34" s="312" t="n">
        <v>4.88</v>
      </c>
      <c r="T34" s="356" t="n">
        <v>0</v>
      </c>
      <c r="U34" s="132" t="n">
        <v>177</v>
      </c>
      <c r="V34" s="132" t="n">
        <v>85</v>
      </c>
      <c r="W34" s="132" t="n">
        <f aca="false">M34-N34-O34-P34-Q34-R34-S34-T34+U34+V34</f>
        <v>510.196723</v>
      </c>
      <c r="X34" s="132" t="n">
        <f aca="false">W34-AO34</f>
        <v>510.196723</v>
      </c>
      <c r="Y34" s="104" t="n">
        <f aca="false">Y33+(X34*1.9835)</f>
        <v>89087.509440346</v>
      </c>
      <c r="Z34" s="104" t="n">
        <f aca="false">Z33+X34*(26300/37500)*1.9835</f>
        <v>62480.0399541627</v>
      </c>
      <c r="AA34" s="104"/>
      <c r="AB34" s="104"/>
      <c r="AC34" s="104" t="n">
        <f aca="false">AC33-(AQ34/1.9835)+AS34-(W34-I34)-Q34-R34-AF34</f>
        <v>1043.91619740899</v>
      </c>
      <c r="AD34" s="134" t="n">
        <f aca="false">AD33</f>
        <v>0</v>
      </c>
      <c r="AE34" s="132" t="n">
        <v>283</v>
      </c>
      <c r="AF34" s="231" t="n">
        <v>1.7</v>
      </c>
      <c r="AG34" s="232" t="n">
        <v>1.3</v>
      </c>
      <c r="AH34" s="132" t="n">
        <v>72</v>
      </c>
      <c r="AI34" s="104" t="n">
        <f aca="false">AI33-AH34</f>
        <v>10137.2578774893</v>
      </c>
      <c r="AJ34" s="104"/>
      <c r="AK34" s="131" t="n">
        <f aca="false">N34+O34+P34+Q34+R34+S34+T34+W34+AE34+AH34</f>
        <v>996</v>
      </c>
      <c r="AL34" s="132" t="n">
        <f aca="false">IF(L34&lt;0,L34*-1,0)</f>
        <v>0</v>
      </c>
      <c r="AM34" s="132" t="n">
        <f aca="false">AK34+AL34</f>
        <v>996</v>
      </c>
      <c r="AN34" s="203" t="n">
        <f aca="false">AN33</f>
        <v>14794.787655</v>
      </c>
      <c r="AO34" s="134"/>
      <c r="AP34" s="93"/>
      <c r="AQ34" s="199" t="n">
        <f aca="false">60.3*(AA33*1.9835+AC33*1.9835+AD33*1.9835)/E34</f>
        <v>0.868854240789472</v>
      </c>
      <c r="AR34" s="199"/>
      <c r="AS34" s="358" t="n">
        <v>44</v>
      </c>
      <c r="AT34" s="5"/>
      <c r="AU34" s="4"/>
      <c r="AV34" s="327" t="n">
        <v>0.07</v>
      </c>
      <c r="AW34" s="134" t="n">
        <v>85</v>
      </c>
      <c r="AX34" s="134" t="n">
        <v>58</v>
      </c>
      <c r="AY34" s="300"/>
      <c r="AZ34" s="233" t="n">
        <f aca="false">SUM(N34,P34:T34)</f>
        <v>14.253277</v>
      </c>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171" t="n">
        <f aca="false">A34+1</f>
        <v>22</v>
      </c>
      <c r="B35" s="103" t="n">
        <v>6915.01</v>
      </c>
      <c r="C35" s="104" t="n">
        <v>342414</v>
      </c>
      <c r="D35" s="134" t="n">
        <f aca="false">C35-C34</f>
        <v>-1545</v>
      </c>
      <c r="E35" s="104" t="n">
        <f aca="false">C35-152000</f>
        <v>190414</v>
      </c>
      <c r="F35" s="229" t="n">
        <f aca="false">D35/$D$2</f>
        <v>-778.926140660449</v>
      </c>
      <c r="G35" s="132" t="n">
        <v>204</v>
      </c>
      <c r="H35" s="133" t="n">
        <v>0.47</v>
      </c>
      <c r="I35" s="132" t="n">
        <f aca="false">G35+H35</f>
        <v>204.47</v>
      </c>
      <c r="J35" s="133" t="n">
        <f aca="false">IF(L35&gt;0,L35,0)</f>
        <v>0</v>
      </c>
      <c r="K35" s="132" t="n">
        <f aca="false">I35+J35</f>
        <v>204.47</v>
      </c>
      <c r="L35" s="132" t="n">
        <f aca="false">F35-(I35-AK35)</f>
        <v>-32.3961406604487</v>
      </c>
      <c r="M35" s="231" t="n">
        <v>377</v>
      </c>
      <c r="N35" s="199" t="n">
        <f aca="false">1.8299*1.03</f>
        <v>1.884797</v>
      </c>
      <c r="O35" s="132" t="n">
        <f aca="false">(57+57)*1.05</f>
        <v>119.7</v>
      </c>
      <c r="P35" s="199" t="n">
        <v>0</v>
      </c>
      <c r="Q35" s="199" t="n">
        <f aca="false">3.224*1.02</f>
        <v>3.28848</v>
      </c>
      <c r="R35" s="199" t="n">
        <v>4.2</v>
      </c>
      <c r="S35" s="312" t="n">
        <v>5.25</v>
      </c>
      <c r="T35" s="356" t="n">
        <v>0</v>
      </c>
      <c r="U35" s="132" t="n">
        <v>129</v>
      </c>
      <c r="V35" s="132" t="n">
        <v>85</v>
      </c>
      <c r="W35" s="132" t="n">
        <f aca="false">M35-N35-O35-P35-Q35-R35-S35-T35+U35+V35</f>
        <v>456.676723</v>
      </c>
      <c r="X35" s="132" t="n">
        <f aca="false">W35-AO35</f>
        <v>456.676723</v>
      </c>
      <c r="Y35" s="104" t="n">
        <f aca="false">Y34+(X35*1.9835)</f>
        <v>89993.3277204165</v>
      </c>
      <c r="Z35" s="104" t="n">
        <f aca="false">Z34+X35*(26300/37500)*1.9835</f>
        <v>63115.3205079188</v>
      </c>
      <c r="AA35" s="104"/>
      <c r="AB35" s="104"/>
      <c r="AC35" s="104" t="n">
        <f aca="false">AC34-(AQ35/1.9835)+AS35-(W35-I35)-Q35-R35-AF35</f>
        <v>858.190408702557</v>
      </c>
      <c r="AD35" s="134" t="n">
        <f aca="false">AD34</f>
        <v>0</v>
      </c>
      <c r="AE35" s="132" t="n">
        <v>288</v>
      </c>
      <c r="AF35" s="231" t="n">
        <v>1.7</v>
      </c>
      <c r="AG35" s="232" t="n">
        <v>1.3</v>
      </c>
      <c r="AH35" s="132" t="n">
        <v>72</v>
      </c>
      <c r="AI35" s="104" t="n">
        <f aca="false">AI34-AH35</f>
        <v>10065.2578774893</v>
      </c>
      <c r="AJ35" s="104"/>
      <c r="AK35" s="131" t="n">
        <f aca="false">N35+O35+P35+Q35+R35+S35+T35+W35+AE35+AH35</f>
        <v>951</v>
      </c>
      <c r="AL35" s="132" t="n">
        <f aca="false">IF(L35&lt;0,L35*-1,0)</f>
        <v>32.3961406604487</v>
      </c>
      <c r="AM35" s="132" t="n">
        <f aca="false">AK35+AL35</f>
        <v>983.396140660449</v>
      </c>
      <c r="AN35" s="203" t="n">
        <f aca="false">AN34</f>
        <v>14794.787655</v>
      </c>
      <c r="AO35" s="134"/>
      <c r="AP35" s="93"/>
      <c r="AQ35" s="199" t="n">
        <f aca="false">60.3*(AA34*1.9835+AC34*1.9835+AD34*1.9835)/E35</f>
        <v>0.655716748699736</v>
      </c>
      <c r="AR35" s="199"/>
      <c r="AS35" s="358" t="n">
        <v>76</v>
      </c>
      <c r="AT35" s="5"/>
      <c r="AU35" s="4"/>
      <c r="AV35" s="327" t="n">
        <v>0</v>
      </c>
      <c r="AW35" s="134" t="n">
        <v>87</v>
      </c>
      <c r="AX35" s="134" t="n">
        <v>52</v>
      </c>
      <c r="AY35" s="300"/>
      <c r="AZ35" s="233" t="n">
        <f aca="false">SUM(N35,P35:T35)</f>
        <v>14.623277</v>
      </c>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171" t="n">
        <f aca="false">A35+1</f>
        <v>23</v>
      </c>
      <c r="B36" s="103" t="n">
        <v>6914.66</v>
      </c>
      <c r="C36" s="104" t="n">
        <v>340964</v>
      </c>
      <c r="D36" s="134" t="n">
        <f aca="false">C36-C35</f>
        <v>-1450</v>
      </c>
      <c r="E36" s="104" t="n">
        <f aca="false">C36-152000</f>
        <v>188964</v>
      </c>
      <c r="F36" s="229" t="n">
        <f aca="false">D36/$D$2</f>
        <v>-731.031005797832</v>
      </c>
      <c r="G36" s="132" t="n">
        <v>178</v>
      </c>
      <c r="H36" s="133" t="n">
        <v>0.59</v>
      </c>
      <c r="I36" s="132" t="n">
        <f aca="false">G36+H36</f>
        <v>178.59</v>
      </c>
      <c r="J36" s="133" t="n">
        <f aca="false">IF(L36&gt;0,L36,0)</f>
        <v>0</v>
      </c>
      <c r="K36" s="132" t="n">
        <f aca="false">I36+J36</f>
        <v>178.59</v>
      </c>
      <c r="L36" s="132" t="n">
        <f aca="false">F36-(I36-AK36)</f>
        <v>-12.6210057978321</v>
      </c>
      <c r="M36" s="231" t="n">
        <v>362</v>
      </c>
      <c r="N36" s="199" t="n">
        <f aca="false">1.8299*1.03</f>
        <v>1.884797</v>
      </c>
      <c r="O36" s="132" t="n">
        <f aca="false">(56+57)*1.05</f>
        <v>118.65</v>
      </c>
      <c r="P36" s="199" t="n">
        <v>0</v>
      </c>
      <c r="Q36" s="199" t="n">
        <f aca="false">3.224*1.02</f>
        <v>3.28848</v>
      </c>
      <c r="R36" s="199" t="n">
        <v>4.2</v>
      </c>
      <c r="S36" s="312" t="n">
        <v>5.2</v>
      </c>
      <c r="T36" s="356" t="n">
        <v>0</v>
      </c>
      <c r="U36" s="132" t="n">
        <v>94</v>
      </c>
      <c r="V36" s="132" t="n">
        <v>85</v>
      </c>
      <c r="W36" s="132" t="n">
        <f aca="false">M36-N36-O36-P36-Q36-R36-S36-T36+U36+V36</f>
        <v>407.776723</v>
      </c>
      <c r="X36" s="132" t="n">
        <f aca="false">W36-AO36</f>
        <v>407.776723</v>
      </c>
      <c r="Y36" s="104" t="n">
        <f aca="false">Y35+(X36*1.9835)</f>
        <v>90802.152850487</v>
      </c>
      <c r="Z36" s="104" t="n">
        <f aca="false">Z35+X36*(26300/37500)*1.9835</f>
        <v>63682.5765324749</v>
      </c>
      <c r="AA36" s="104"/>
      <c r="AB36" s="104"/>
      <c r="AC36" s="104" t="n">
        <f aca="false">AC35-(AQ36/1.9835)+AS36-(W36-I36)-Q36-R36-AF36</f>
        <v>695.541349932967</v>
      </c>
      <c r="AD36" s="134" t="n">
        <f aca="false">AD35</f>
        <v>0</v>
      </c>
      <c r="AE36" s="132" t="n">
        <v>283</v>
      </c>
      <c r="AF36" s="231" t="n">
        <v>1.7</v>
      </c>
      <c r="AG36" s="232" t="n">
        <v>1.3</v>
      </c>
      <c r="AH36" s="132" t="n">
        <v>73</v>
      </c>
      <c r="AI36" s="104" t="n">
        <f aca="false">AI35-AH36</f>
        <v>9992.25787748929</v>
      </c>
      <c r="AJ36" s="104"/>
      <c r="AK36" s="131" t="n">
        <f aca="false">N36+O36+P36+Q36+R36+S36+T36+W36+AE36+AH36</f>
        <v>897</v>
      </c>
      <c r="AL36" s="132" t="n">
        <f aca="false">IF(L36&lt;0,L36*-1,0)</f>
        <v>12.6210057978321</v>
      </c>
      <c r="AM36" s="132" t="n">
        <f aca="false">AK36+AL36</f>
        <v>909.621005797832</v>
      </c>
      <c r="AN36" s="203" t="n">
        <f aca="false">AN35</f>
        <v>14794.787655</v>
      </c>
      <c r="AO36" s="134"/>
      <c r="AP36" s="93"/>
      <c r="AQ36" s="199" t="n">
        <f aca="false">60.3*(AA35*1.9835+AC35*1.9835+AD35*1.9835)/E36</f>
        <v>0.543192918981339</v>
      </c>
      <c r="AR36" s="199"/>
      <c r="AS36" s="358" t="n">
        <v>76</v>
      </c>
      <c r="AT36" s="5"/>
      <c r="AU36" s="4"/>
      <c r="AV36" s="327" t="n">
        <v>0</v>
      </c>
      <c r="AW36" s="134" t="n">
        <v>91</v>
      </c>
      <c r="AX36" s="204" t="n">
        <v>57</v>
      </c>
      <c r="AY36" s="300"/>
      <c r="AZ36" s="233" t="n">
        <f aca="false">SUM(N36,P36:T36)</f>
        <v>14.573277</v>
      </c>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171" t="n">
        <f aca="false">A36+1</f>
        <v>24</v>
      </c>
      <c r="B37" s="103" t="n">
        <v>6914.36</v>
      </c>
      <c r="C37" s="104" t="n">
        <v>339722</v>
      </c>
      <c r="D37" s="134" t="n">
        <f aca="false">C37-C36</f>
        <v>-1242</v>
      </c>
      <c r="E37" s="104" t="n">
        <f aca="false">C37-152000</f>
        <v>187722</v>
      </c>
      <c r="F37" s="229" t="n">
        <f aca="false">D37/$D$2</f>
        <v>-626.165868414419</v>
      </c>
      <c r="G37" s="132" t="n">
        <v>170</v>
      </c>
      <c r="H37" s="133" t="n">
        <v>0.65</v>
      </c>
      <c r="I37" s="132" t="n">
        <f aca="false">G37+H37</f>
        <v>170.65</v>
      </c>
      <c r="J37" s="133" t="n">
        <f aca="false">IF(L37&gt;0,L37,0)</f>
        <v>37.1841315855811</v>
      </c>
      <c r="K37" s="132" t="n">
        <f aca="false">I37+J37</f>
        <v>207.834131585581</v>
      </c>
      <c r="L37" s="132" t="n">
        <f aca="false">F37-(I37-AK37)</f>
        <v>37.1841315855811</v>
      </c>
      <c r="M37" s="231" t="n">
        <v>335</v>
      </c>
      <c r="N37" s="199" t="n">
        <f aca="false">1.8299*1.03</f>
        <v>1.884797</v>
      </c>
      <c r="O37" s="132" t="n">
        <f aca="false">(52+55)*1.05</f>
        <v>112.35</v>
      </c>
      <c r="P37" s="199" t="n">
        <v>0</v>
      </c>
      <c r="Q37" s="199" t="n">
        <f aca="false">3.224*1.02</f>
        <v>3.28848</v>
      </c>
      <c r="R37" s="199" t="n">
        <v>4.2</v>
      </c>
      <c r="S37" s="312" t="n">
        <v>4.92</v>
      </c>
      <c r="T37" s="356" t="n">
        <v>0</v>
      </c>
      <c r="U37" s="132" t="n">
        <v>97</v>
      </c>
      <c r="V37" s="132" t="n">
        <v>84</v>
      </c>
      <c r="W37" s="132" t="n">
        <f aca="false">M37-N37-O37-P37-Q37-R37-S37-T37+U37+V37</f>
        <v>389.356723</v>
      </c>
      <c r="X37" s="132" t="n">
        <f aca="false">W37-AO37</f>
        <v>389.356723</v>
      </c>
      <c r="Y37" s="104" t="n">
        <f aca="false">Y36+(X37*1.9835)</f>
        <v>91574.4419105575</v>
      </c>
      <c r="Z37" s="104" t="n">
        <f aca="false">Z36+X37*(26300/37500)*1.9835</f>
        <v>64224.208593271</v>
      </c>
      <c r="AA37" s="104"/>
      <c r="AB37" s="104"/>
      <c r="AC37" s="104" t="n">
        <f aca="false">AC36-(AQ37/1.9835)+AS37-(W37-I37)-Q37-R37-AF37</f>
        <v>543.422725365964</v>
      </c>
      <c r="AD37" s="134" t="n">
        <f aca="false">AD36</f>
        <v>0</v>
      </c>
      <c r="AE37" s="132" t="n">
        <v>245</v>
      </c>
      <c r="AF37" s="231" t="n">
        <v>1.7</v>
      </c>
      <c r="AG37" s="232" t="n">
        <v>1.3</v>
      </c>
      <c r="AH37" s="132" t="n">
        <v>73</v>
      </c>
      <c r="AI37" s="104" t="n">
        <f aca="false">AI36-AH37</f>
        <v>9919.25787748929</v>
      </c>
      <c r="AJ37" s="104"/>
      <c r="AK37" s="131" t="n">
        <f aca="false">N37+O37+P37+Q37+R37+S37+T37+W37+AE37+AH37</f>
        <v>834</v>
      </c>
      <c r="AL37" s="132" t="n">
        <f aca="false">IF(L37&lt;0,L37*-1,0)</f>
        <v>0</v>
      </c>
      <c r="AM37" s="132" t="n">
        <f aca="false">AK37+AL37</f>
        <v>834</v>
      </c>
      <c r="AN37" s="203" t="n">
        <f aca="false">AN36</f>
        <v>14794.787655</v>
      </c>
      <c r="AO37" s="134"/>
      <c r="AP37" s="93"/>
      <c r="AQ37" s="199" t="n">
        <f aca="false">60.3*(AA36*1.9835+AC36*1.9835+AD36*1.9835+AP36*1.9835)/E37</f>
        <v>0.44315667815067</v>
      </c>
      <c r="AR37" s="199"/>
      <c r="AS37" s="358" t="n">
        <v>76</v>
      </c>
      <c r="AT37" s="5"/>
      <c r="AU37" s="4"/>
      <c r="AV37" s="327" t="n">
        <v>0</v>
      </c>
      <c r="AW37" s="134" t="n">
        <v>92</v>
      </c>
      <c r="AX37" s="204" t="n">
        <v>59</v>
      </c>
      <c r="AY37" s="300"/>
      <c r="AZ37" s="233" t="n">
        <f aca="false">SUM(N37,P37:T37)</f>
        <v>14.293277</v>
      </c>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171" t="n">
        <f aca="false">A37+1</f>
        <v>25</v>
      </c>
      <c r="B38" s="103" t="n">
        <v>6914.03</v>
      </c>
      <c r="C38" s="104" t="n">
        <v>338355</v>
      </c>
      <c r="D38" s="134" t="n">
        <f aca="false">C38-C37</f>
        <v>-1367</v>
      </c>
      <c r="E38" s="104" t="n">
        <f aca="false">C38-152000</f>
        <v>186355</v>
      </c>
      <c r="F38" s="229" t="n">
        <f aca="false">D38/$D$2</f>
        <v>-689.185782707336</v>
      </c>
      <c r="G38" s="132" t="n">
        <v>168</v>
      </c>
      <c r="H38" s="133" t="n">
        <v>0.49</v>
      </c>
      <c r="I38" s="132" t="n">
        <f aca="false">G38+H38</f>
        <v>168.49</v>
      </c>
      <c r="J38" s="133" t="n">
        <f aca="false">IF(L38&gt;0,L38,0)</f>
        <v>0</v>
      </c>
      <c r="K38" s="132" t="n">
        <f aca="false">I38+J38</f>
        <v>168.49</v>
      </c>
      <c r="L38" s="132" t="n">
        <f aca="false">F38-(I38-AK38)</f>
        <v>-13.6757827073355</v>
      </c>
      <c r="M38" s="231" t="n">
        <v>337</v>
      </c>
      <c r="N38" s="199" t="n">
        <f aca="false">1.8299*1.03</f>
        <v>1.884797</v>
      </c>
      <c r="O38" s="132" t="n">
        <f aca="false">(55+58)*1.05</f>
        <v>118.65</v>
      </c>
      <c r="P38" s="199" t="n">
        <v>0</v>
      </c>
      <c r="Q38" s="199" t="n">
        <f aca="false">3.224*1.02</f>
        <v>3.28848</v>
      </c>
      <c r="R38" s="199" t="n">
        <v>4.2</v>
      </c>
      <c r="S38" s="312" t="n">
        <v>4.94</v>
      </c>
      <c r="T38" s="356" t="n">
        <v>0</v>
      </c>
      <c r="U38" s="132" t="n">
        <v>100</v>
      </c>
      <c r="V38" s="132" t="n">
        <v>84</v>
      </c>
      <c r="W38" s="132" t="n">
        <f aca="false">M38-N38-O38-P38-Q38-R38-S38-T38+U38+V38</f>
        <v>388.036723</v>
      </c>
      <c r="X38" s="132" t="n">
        <f aca="false">W38-AO38</f>
        <v>388.036723</v>
      </c>
      <c r="Y38" s="104" t="n">
        <f aca="false">Y37+(X38*1.9835)</f>
        <v>92344.112750628</v>
      </c>
      <c r="Z38" s="104" t="n">
        <f aca="false">Z37+X38*(26300/37500)*1.9835</f>
        <v>64764.0044091071</v>
      </c>
      <c r="AA38" s="104"/>
      <c r="AB38" s="104"/>
      <c r="AC38" s="104" t="n">
        <f aca="false">AC37-(AQ38/1.9835)+AS38-(W38-I38)-Q38-R38-AF38</f>
        <v>390.511683830161</v>
      </c>
      <c r="AD38" s="134" t="n">
        <f aca="false">AD37</f>
        <v>0</v>
      </c>
      <c r="AE38" s="132" t="n">
        <v>250</v>
      </c>
      <c r="AF38" s="231" t="n">
        <v>1.7</v>
      </c>
      <c r="AG38" s="232" t="n">
        <v>1.3</v>
      </c>
      <c r="AH38" s="132" t="n">
        <v>73</v>
      </c>
      <c r="AI38" s="104" t="n">
        <f aca="false">AI37-AH38</f>
        <v>9846.25787748929</v>
      </c>
      <c r="AJ38" s="104"/>
      <c r="AK38" s="131" t="n">
        <f aca="false">N38+O38+P38+Q38+R38+S38+T38+W38+AE38+AH38</f>
        <v>844</v>
      </c>
      <c r="AL38" s="132" t="n">
        <f aca="false">IF(L38&lt;0,L38*-1,0)</f>
        <v>13.6757827073355</v>
      </c>
      <c r="AM38" s="132" t="n">
        <f aca="false">AK38+AL38</f>
        <v>857.675782707336</v>
      </c>
      <c r="AN38" s="203" t="n">
        <f aca="false">AN37</f>
        <v>14794.787655</v>
      </c>
      <c r="AO38" s="134"/>
      <c r="AP38" s="93"/>
      <c r="AQ38" s="199" t="n">
        <f aca="false">60.3*(AA37*1.9835+AC37*1.9835+AD37*1.9835+AP37*1.9835)/E38</f>
        <v>0.348775735765246</v>
      </c>
      <c r="AR38" s="199"/>
      <c r="AS38" s="358" t="n">
        <v>76</v>
      </c>
      <c r="AT38" s="5"/>
      <c r="AU38" s="4"/>
      <c r="AV38" s="327" t="n">
        <v>0.01</v>
      </c>
      <c r="AW38" s="134" t="n">
        <v>89</v>
      </c>
      <c r="AX38" s="204" t="n">
        <v>60</v>
      </c>
      <c r="AY38" s="300"/>
      <c r="AZ38" s="233" t="n">
        <f aca="false">SUM(N38,P38:T38)</f>
        <v>14.313277</v>
      </c>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171" t="n">
        <f aca="false">A38+1</f>
        <v>26</v>
      </c>
      <c r="B39" s="103" t="n">
        <v>6913.76</v>
      </c>
      <c r="C39" s="104" t="n">
        <v>337244</v>
      </c>
      <c r="D39" s="134" t="n">
        <f aca="false">C39-C38</f>
        <v>-1111</v>
      </c>
      <c r="E39" s="104" t="n">
        <f aca="false">C39-152000</f>
        <v>185244</v>
      </c>
      <c r="F39" s="229" t="n">
        <f aca="false">D39/$D$2</f>
        <v>-560.120998235442</v>
      </c>
      <c r="G39" s="132" t="n">
        <v>172</v>
      </c>
      <c r="H39" s="133" t="n">
        <v>0.41</v>
      </c>
      <c r="I39" s="132" t="n">
        <f aca="false">G39+H39</f>
        <v>172.41</v>
      </c>
      <c r="J39" s="133" t="n">
        <f aca="false">IF(L39&gt;0,L39,0)</f>
        <v>11.4690017645578</v>
      </c>
      <c r="K39" s="132" t="n">
        <f aca="false">I39+J39</f>
        <v>183.879001764558</v>
      </c>
      <c r="L39" s="132" t="n">
        <f aca="false">F39-(I39-AK39)</f>
        <v>11.4690017645578</v>
      </c>
      <c r="M39" s="231" t="n">
        <v>291</v>
      </c>
      <c r="N39" s="199" t="n">
        <f aca="false">1.8299*1.03</f>
        <v>1.884797</v>
      </c>
      <c r="O39" s="132" t="n">
        <f aca="false">(48+50)*1.05</f>
        <v>102.9</v>
      </c>
      <c r="P39" s="199" t="n">
        <v>0</v>
      </c>
      <c r="Q39" s="199" t="n">
        <f aca="false">3.224*1.02</f>
        <v>3.28848</v>
      </c>
      <c r="R39" s="199" t="n">
        <v>4.2</v>
      </c>
      <c r="S39" s="312" t="n">
        <v>3.2</v>
      </c>
      <c r="T39" s="356" t="n">
        <v>0</v>
      </c>
      <c r="U39" s="132" t="n">
        <v>99</v>
      </c>
      <c r="V39" s="132" t="n">
        <v>85</v>
      </c>
      <c r="W39" s="132" t="n">
        <f aca="false">M39-N39-O39-P39-Q39-R39-S39-T39+U39+V39</f>
        <v>359.526723</v>
      </c>
      <c r="X39" s="132" t="n">
        <f aca="false">W39-AO39</f>
        <v>359.526723</v>
      </c>
      <c r="Y39" s="104" t="n">
        <f aca="false">Y38+(X39*1.9835)</f>
        <v>93057.2340056985</v>
      </c>
      <c r="Z39" s="104" t="n">
        <f aca="false">Z38+X39*(26300/37500)*1.9835</f>
        <v>65264.1401159965</v>
      </c>
      <c r="AA39" s="104"/>
      <c r="AB39" s="104"/>
      <c r="AC39" s="104" t="n">
        <f aca="false">AC38-(AQ39/1.9835)+AS39-(W39-I39)-Q39-R39-AF39</f>
        <v>249.979362788362</v>
      </c>
      <c r="AD39" s="134" t="n">
        <f aca="false">AD38</f>
        <v>0</v>
      </c>
      <c r="AE39" s="132" t="n">
        <v>197</v>
      </c>
      <c r="AF39" s="231" t="n">
        <v>1.7</v>
      </c>
      <c r="AG39" s="232" t="n">
        <v>1.3</v>
      </c>
      <c r="AH39" s="132" t="n">
        <v>72</v>
      </c>
      <c r="AI39" s="104" t="n">
        <f aca="false">AI38-AH39</f>
        <v>9774.25787748929</v>
      </c>
      <c r="AJ39" s="104"/>
      <c r="AK39" s="131" t="n">
        <f aca="false">N39+O39+P39+Q39+R39+S39+T39+W39+AE39+AH39</f>
        <v>744</v>
      </c>
      <c r="AL39" s="132" t="n">
        <f aca="false">IF(L39&lt;0,L39*-1,0)</f>
        <v>0</v>
      </c>
      <c r="AM39" s="132" t="n">
        <f aca="false">AK39+AL39</f>
        <v>744</v>
      </c>
      <c r="AN39" s="203" t="n">
        <f aca="false">AN38</f>
        <v>14794.787655</v>
      </c>
      <c r="AO39" s="134"/>
      <c r="AP39" s="93"/>
      <c r="AQ39" s="199" t="n">
        <f aca="false">60.3*(AA38*1.9835+AC38*1.9835+AD38*1.9835+AP38*1.9835)/E39</f>
        <v>0.252138635907725</v>
      </c>
      <c r="AR39" s="199"/>
      <c r="AS39" s="358" t="n">
        <v>55.9</v>
      </c>
      <c r="AT39" s="5"/>
      <c r="AU39" s="4"/>
      <c r="AV39" s="327" t="n">
        <v>0.01</v>
      </c>
      <c r="AW39" s="134" t="n">
        <v>84</v>
      </c>
      <c r="AX39" s="134" t="n">
        <v>63</v>
      </c>
      <c r="AY39" s="300"/>
      <c r="AZ39" s="233" t="n">
        <f aca="false">SUM(N39,P39:T39)</f>
        <v>12.573277</v>
      </c>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171" t="n">
        <f aca="false">A39+1</f>
        <v>27</v>
      </c>
      <c r="B40" s="103" t="n">
        <v>6913.47</v>
      </c>
      <c r="C40" s="104" t="n">
        <v>336053</v>
      </c>
      <c r="D40" s="134" t="n">
        <f aca="false">C40-C39</f>
        <v>-1191</v>
      </c>
      <c r="E40" s="104" t="n">
        <f aca="false">C40-152000</f>
        <v>184053</v>
      </c>
      <c r="F40" s="229" t="n">
        <f aca="false">D40/$D$2</f>
        <v>-600.453743382909</v>
      </c>
      <c r="G40" s="132" t="n">
        <v>187</v>
      </c>
      <c r="H40" s="133" t="n">
        <v>0.22</v>
      </c>
      <c r="I40" s="132" t="n">
        <f aca="false">G40+H40</f>
        <v>187.22</v>
      </c>
      <c r="J40" s="133" t="n">
        <f aca="false">IF(L40&gt;0,L40,0)</f>
        <v>0</v>
      </c>
      <c r="K40" s="132" t="n">
        <f aca="false">I40+J40</f>
        <v>187.22</v>
      </c>
      <c r="L40" s="132" t="n">
        <f aca="false">F40-(I40-AK40)</f>
        <v>-29.673743382909</v>
      </c>
      <c r="M40" s="231" t="n">
        <v>312</v>
      </c>
      <c r="N40" s="199" t="n">
        <f aca="false">1.8299*1.03</f>
        <v>1.884797</v>
      </c>
      <c r="O40" s="132" t="n">
        <f aca="false">(48+49)*1.05</f>
        <v>101.85</v>
      </c>
      <c r="P40" s="199" t="n">
        <v>0</v>
      </c>
      <c r="Q40" s="199" t="n">
        <f aca="false">3.224*1.02</f>
        <v>3.28848</v>
      </c>
      <c r="R40" s="199" t="n">
        <v>4.2</v>
      </c>
      <c r="S40" s="312" t="n">
        <v>4.67</v>
      </c>
      <c r="T40" s="356" t="n">
        <v>0</v>
      </c>
      <c r="U40" s="132" t="n">
        <v>80</v>
      </c>
      <c r="V40" s="132" t="n">
        <v>84</v>
      </c>
      <c r="W40" s="132" t="n">
        <f aca="false">M40-N40-O40-P40-Q40-R40-S40-T40+U40+V40</f>
        <v>360.106723</v>
      </c>
      <c r="X40" s="132" t="n">
        <f aca="false">W40-AO40</f>
        <v>360.106723</v>
      </c>
      <c r="Y40" s="104" t="n">
        <f aca="false">Y39+(X40*1.9835)</f>
        <v>93771.505690769</v>
      </c>
      <c r="Z40" s="104" t="n">
        <f aca="false">Z39+X40*(26300/37500)*1.9835</f>
        <v>65765.0826577927</v>
      </c>
      <c r="AA40" s="104"/>
      <c r="AB40" s="104"/>
      <c r="AC40" s="104" t="n">
        <f aca="false">AC39-(AQ40/1.9835)+AS40-(W40-I40)-Q40-R40-AF40</f>
        <v>67.8222607941806</v>
      </c>
      <c r="AD40" s="134" t="n">
        <f aca="false">AD39</f>
        <v>0</v>
      </c>
      <c r="AE40" s="132" t="n">
        <v>210</v>
      </c>
      <c r="AF40" s="231" t="n">
        <v>1.7</v>
      </c>
      <c r="AG40" s="232" t="n">
        <v>1.3</v>
      </c>
      <c r="AH40" s="132" t="n">
        <v>72</v>
      </c>
      <c r="AI40" s="104" t="n">
        <f aca="false">AI39-AH40</f>
        <v>9702.25787748929</v>
      </c>
      <c r="AJ40" s="104"/>
      <c r="AK40" s="131" t="n">
        <f aca="false">N40+O40+P40+Q40+R40+S40+T40+W40+AE40+AH40</f>
        <v>758</v>
      </c>
      <c r="AL40" s="132" t="n">
        <f aca="false">IF(L40&lt;0,L40*-1,0)</f>
        <v>29.673743382909</v>
      </c>
      <c r="AM40" s="132" t="n">
        <f aca="false">AK40+AL40</f>
        <v>787.673743382909</v>
      </c>
      <c r="AN40" s="203" t="n">
        <f aca="false">AN39</f>
        <v>14794.787655</v>
      </c>
      <c r="AO40" s="134"/>
      <c r="AP40" s="93"/>
      <c r="AQ40" s="199" t="n">
        <f aca="false">60.3*(AA39*1.9835+AC39*1.9835+AD39*1.9835+AP39*1.9835)/E40</f>
        <v>0.162446654959551</v>
      </c>
      <c r="AR40" s="199"/>
      <c r="AS40" s="358"/>
      <c r="AT40" s="5"/>
      <c r="AU40" s="4"/>
      <c r="AV40" s="327" t="n">
        <v>0</v>
      </c>
      <c r="AW40" s="134" t="n">
        <v>89</v>
      </c>
      <c r="AX40" s="134" t="n">
        <v>57</v>
      </c>
      <c r="AY40" s="300"/>
      <c r="AZ40" s="233" t="n">
        <f aca="false">SUM(N40,P40:T40)</f>
        <v>14.043277</v>
      </c>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171" t="n">
        <f aca="false">A40+1</f>
        <v>28</v>
      </c>
      <c r="B41" s="103" t="n">
        <v>6913.15</v>
      </c>
      <c r="C41" s="104" t="n">
        <v>334738</v>
      </c>
      <c r="D41" s="134" t="n">
        <f aca="false">C41-C40</f>
        <v>-1315</v>
      </c>
      <c r="E41" s="104" t="n">
        <f aca="false">C41-152000</f>
        <v>182738</v>
      </c>
      <c r="F41" s="229" t="n">
        <f aca="false">D41/$D$2</f>
        <v>-662.969498361482</v>
      </c>
      <c r="G41" s="132" t="n">
        <v>171</v>
      </c>
      <c r="H41" s="133" t="n">
        <v>0.07</v>
      </c>
      <c r="I41" s="132" t="n">
        <f aca="false">G41+H41</f>
        <v>171.07</v>
      </c>
      <c r="J41" s="133" t="n">
        <f aca="false">IF(L41&gt;0,L41,0)</f>
        <v>0</v>
      </c>
      <c r="K41" s="132" t="n">
        <f aca="false">I41+J41</f>
        <v>171.07</v>
      </c>
      <c r="L41" s="132" t="n">
        <f aca="false">F41-(I41-AK41)</f>
        <v>-53.0394983614822</v>
      </c>
      <c r="M41" s="231" t="n">
        <v>325</v>
      </c>
      <c r="N41" s="199" t="n">
        <f aca="false">1.8299*1.03</f>
        <v>1.884797</v>
      </c>
      <c r="O41" s="132" t="n">
        <f aca="false">(51+51)*1.05</f>
        <v>107.1</v>
      </c>
      <c r="P41" s="199" t="n">
        <v>0</v>
      </c>
      <c r="Q41" s="199" t="n">
        <f aca="false">3.224*1.02</f>
        <v>3.28848</v>
      </c>
      <c r="R41" s="199" t="n">
        <v>4.2</v>
      </c>
      <c r="S41" s="312" t="n">
        <v>4.46</v>
      </c>
      <c r="T41" s="356" t="n">
        <v>0</v>
      </c>
      <c r="U41" s="132" t="n">
        <v>80</v>
      </c>
      <c r="V41" s="132" t="n">
        <v>82</v>
      </c>
      <c r="W41" s="132" t="n">
        <f aca="false">M41-N41-O41-P41-Q41-R41-S41-T41+U41+V41</f>
        <v>366.066723</v>
      </c>
      <c r="X41" s="132" t="n">
        <f aca="false">W41-AO41</f>
        <v>366.066723</v>
      </c>
      <c r="Y41" s="104" t="n">
        <f aca="false">Y40+(X41*1.9835)</f>
        <v>94497.5990358395</v>
      </c>
      <c r="Z41" s="104" t="n">
        <f aca="false">Z40+X41*(26300/37500)*1.9835</f>
        <v>66274.3161238021</v>
      </c>
      <c r="AA41" s="104"/>
      <c r="AB41" s="104"/>
      <c r="AC41" s="104" t="n">
        <f aca="false">AC40-(AQ41/1.9835)+AS41-(W41-I41)-Q41-R41-AF41+136</f>
        <v>-0.385322238028863</v>
      </c>
      <c r="AD41" s="134" t="n">
        <v>136</v>
      </c>
      <c r="AE41" s="132" t="n">
        <v>222</v>
      </c>
      <c r="AF41" s="231" t="n">
        <v>1.7</v>
      </c>
      <c r="AG41" s="232" t="n">
        <v>1.3</v>
      </c>
      <c r="AH41" s="132" t="n">
        <v>72</v>
      </c>
      <c r="AI41" s="104" t="n">
        <f aca="false">AI40-AH41</f>
        <v>9630.25787748929</v>
      </c>
      <c r="AJ41" s="104"/>
      <c r="AK41" s="131" t="n">
        <f aca="false">N41+O41+P41+Q41+R41+S41+T41+W41+AE41+AH41</f>
        <v>781</v>
      </c>
      <c r="AL41" s="132" t="n">
        <f aca="false">IF(L41&lt;0,L41*-1,0)</f>
        <v>53.0394983614822</v>
      </c>
      <c r="AM41" s="132" t="n">
        <f aca="false">AK41+AL41</f>
        <v>834.039498361482</v>
      </c>
      <c r="AN41" s="203" t="n">
        <f aca="false">AN40</f>
        <v>14794.787655</v>
      </c>
      <c r="AO41" s="134"/>
      <c r="AP41" s="93"/>
      <c r="AQ41" s="199" t="n">
        <f aca="false">60.3*(AA40*1.9835+AC40*1.9835+AD40*1.9835+AP40*1.9835)/E41</f>
        <v>0.044390793887429</v>
      </c>
      <c r="AR41" s="199"/>
      <c r="AS41" s="358"/>
      <c r="AT41" s="5"/>
      <c r="AU41" s="4"/>
      <c r="AV41" s="327" t="n">
        <v>0</v>
      </c>
      <c r="AW41" s="134" t="n">
        <v>86</v>
      </c>
      <c r="AX41" s="134" t="n">
        <v>58</v>
      </c>
      <c r="AY41" s="300"/>
      <c r="AZ41" s="233" t="n">
        <f aca="false">SUM(N41,P41:T41)</f>
        <v>13.833277</v>
      </c>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95" hidden="false" customHeight="true" outlineLevel="0" collapsed="false">
      <c r="A42" s="171" t="n">
        <f aca="false">A41+1</f>
        <v>29</v>
      </c>
      <c r="B42" s="103" t="n">
        <v>6912.9</v>
      </c>
      <c r="C42" s="104" t="n">
        <v>333714</v>
      </c>
      <c r="D42" s="134" t="n">
        <f aca="false">C42-C41</f>
        <v>-1024</v>
      </c>
      <c r="E42" s="104" t="n">
        <f aca="false">C42-152000</f>
        <v>181714</v>
      </c>
      <c r="F42" s="229" t="n">
        <f aca="false">D42/$D$2</f>
        <v>-516.259137887572</v>
      </c>
      <c r="G42" s="132" t="n">
        <v>169</v>
      </c>
      <c r="H42" s="133" t="n">
        <v>0.07</v>
      </c>
      <c r="I42" s="132" t="n">
        <f aca="false">G42+H42</f>
        <v>169.07</v>
      </c>
      <c r="J42" s="133" t="n">
        <f aca="false">IF(L42&gt;0,L42,0)</f>
        <v>45.6708621124276</v>
      </c>
      <c r="K42" s="132" t="n">
        <f aca="false">I42+J42</f>
        <v>214.740862112428</v>
      </c>
      <c r="L42" s="132" t="n">
        <f aca="false">F42-(I42-AK42)</f>
        <v>45.6708621124276</v>
      </c>
      <c r="M42" s="231" t="n">
        <v>297</v>
      </c>
      <c r="N42" s="199" t="n">
        <f aca="false">1.8299*1.03</f>
        <v>1.884797</v>
      </c>
      <c r="O42" s="132" t="n">
        <f aca="false">(44+43)*1.05</f>
        <v>91.35</v>
      </c>
      <c r="P42" s="199" t="n">
        <v>0</v>
      </c>
      <c r="Q42" s="199" t="n">
        <f aca="false">3.224*1.02</f>
        <v>3.28848</v>
      </c>
      <c r="R42" s="199" t="n">
        <v>4.2</v>
      </c>
      <c r="S42" s="312" t="n">
        <v>2.87</v>
      </c>
      <c r="T42" s="356" t="n">
        <v>0</v>
      </c>
      <c r="U42" s="132" t="n">
        <v>80</v>
      </c>
      <c r="V42" s="132" t="n">
        <v>78</v>
      </c>
      <c r="W42" s="132" t="n">
        <f aca="false">M42-N42-O42-P42-Q42-R42-S42-T42+U42+V42</f>
        <v>351.406723</v>
      </c>
      <c r="X42" s="132" t="n">
        <f aca="false">W42-AO42</f>
        <v>351.406723</v>
      </c>
      <c r="Y42" s="104" t="n">
        <f aca="false">Y41+(X42*1.9835)</f>
        <v>95194.61427091</v>
      </c>
      <c r="Z42" s="104" t="n">
        <f aca="false">Z41+X42*(26300/37500)*1.9835</f>
        <v>66763.1561419982</v>
      </c>
      <c r="AA42" s="104"/>
      <c r="AB42" s="104"/>
      <c r="AC42" s="104"/>
      <c r="AD42" s="134" t="n">
        <f aca="false">W42-(I42-Q42-R42-AF42)</f>
        <v>191.525203</v>
      </c>
      <c r="AE42" s="132" t="n">
        <v>205</v>
      </c>
      <c r="AF42" s="231" t="n">
        <v>1.7</v>
      </c>
      <c r="AG42" s="232" t="n">
        <v>1.3</v>
      </c>
      <c r="AH42" s="132" t="n">
        <v>71</v>
      </c>
      <c r="AI42" s="104" t="n">
        <f aca="false">AI41-AH42</f>
        <v>9559.25787748929</v>
      </c>
      <c r="AJ42" s="104"/>
      <c r="AK42" s="131" t="n">
        <f aca="false">N42+O42+P42+Q42+R42+S42+T42+W42+AE42+AH42</f>
        <v>731</v>
      </c>
      <c r="AL42" s="132" t="n">
        <f aca="false">IF(L42&lt;0,L42*-1,0)</f>
        <v>0</v>
      </c>
      <c r="AM42" s="132" t="n">
        <f aca="false">AK42+AL42</f>
        <v>731</v>
      </c>
      <c r="AN42" s="203" t="n">
        <f aca="false">AN41</f>
        <v>14794.787655</v>
      </c>
      <c r="AO42" s="134"/>
      <c r="AP42" s="93"/>
      <c r="AQ42" s="199" t="n">
        <f aca="false">60.3*(AA41*1.9835+AC41*1.9835+AD41*1.9835+AP41*1.9835)/E42</f>
        <v>0.0892622489981754</v>
      </c>
      <c r="AR42" s="199"/>
      <c r="AS42" s="358"/>
      <c r="AT42" s="5"/>
      <c r="AU42" s="4"/>
      <c r="AV42" s="327" t="n">
        <v>0.01</v>
      </c>
      <c r="AW42" s="204" t="n">
        <v>82</v>
      </c>
      <c r="AX42" s="134" t="n">
        <v>53</v>
      </c>
      <c r="AY42" s="300"/>
      <c r="AZ42" s="233" t="n">
        <f aca="false">SUM(N42,P42:T42)</f>
        <v>12.243277</v>
      </c>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2.95" hidden="false" customHeight="true" outlineLevel="0" collapsed="false">
      <c r="A43" s="171" t="n">
        <v>30</v>
      </c>
      <c r="B43" s="103" t="n">
        <v>6912.64</v>
      </c>
      <c r="C43" s="104" t="n">
        <v>332654</v>
      </c>
      <c r="D43" s="134" t="n">
        <f aca="false">C43-C42</f>
        <v>-1060</v>
      </c>
      <c r="E43" s="104" t="n">
        <f aca="false">C43-152000</f>
        <v>180654</v>
      </c>
      <c r="F43" s="229" t="n">
        <f aca="false">D43/$D$2</f>
        <v>-534.408873203932</v>
      </c>
      <c r="G43" s="132" t="n">
        <v>174</v>
      </c>
      <c r="H43" s="133" t="n">
        <v>0.1</v>
      </c>
      <c r="I43" s="132" t="n">
        <f aca="false">G43+H43</f>
        <v>174.1</v>
      </c>
      <c r="J43" s="133" t="n">
        <f aca="false">IF(L43&gt;0,L43,0)</f>
        <v>0</v>
      </c>
      <c r="K43" s="132" t="n">
        <f aca="false">I43+J43</f>
        <v>174.1</v>
      </c>
      <c r="L43" s="132" t="n">
        <f aca="false">F43-(I43-AK43)</f>
        <v>-14.5088732039325</v>
      </c>
      <c r="M43" s="231" t="n">
        <v>282</v>
      </c>
      <c r="N43" s="199" t="n">
        <f aca="false">1.8299*1.03</f>
        <v>1.884797</v>
      </c>
      <c r="O43" s="132" t="n">
        <f aca="false">(48+44)*1.05</f>
        <v>96.6</v>
      </c>
      <c r="P43" s="199" t="n">
        <v>0</v>
      </c>
      <c r="Q43" s="199" t="n">
        <f aca="false">3.224*1.02</f>
        <v>3.28848</v>
      </c>
      <c r="R43" s="199" t="n">
        <v>4.2</v>
      </c>
      <c r="S43" s="312" t="n">
        <v>2.64</v>
      </c>
      <c r="T43" s="356" t="n">
        <v>0</v>
      </c>
      <c r="U43" s="132" t="n">
        <v>80</v>
      </c>
      <c r="V43" s="132" t="n">
        <v>75</v>
      </c>
      <c r="W43" s="132" t="n">
        <f aca="false">M43-N43-O43-P43-Q43-R43-S43-T43+U43+V43</f>
        <v>328.386723</v>
      </c>
      <c r="X43" s="132" t="n">
        <f aca="false">W43-AO43-AD43</f>
        <v>164.91152</v>
      </c>
      <c r="Y43" s="104" t="n">
        <f aca="false">Y42+(X43*1.9835)</f>
        <v>95521.71627083</v>
      </c>
      <c r="Z43" s="104" t="n">
        <f aca="false">Z42+X43*(26300/37500)*1.9835+(AD43*1.9835)</f>
        <v>67316.8167430926</v>
      </c>
      <c r="AA43" s="104"/>
      <c r="AB43" s="104"/>
      <c r="AC43" s="104"/>
      <c r="AD43" s="134" t="n">
        <f aca="false">W43-(I43-Q43-R43-AF43)</f>
        <v>163.475203</v>
      </c>
      <c r="AE43" s="132" t="n">
        <v>187</v>
      </c>
      <c r="AF43" s="231" t="n">
        <v>1.7</v>
      </c>
      <c r="AG43" s="232" t="n">
        <v>1.3</v>
      </c>
      <c r="AH43" s="132" t="n">
        <v>70</v>
      </c>
      <c r="AI43" s="104" t="n">
        <f aca="false">AI42-AH43</f>
        <v>9489.25787748929</v>
      </c>
      <c r="AJ43" s="104"/>
      <c r="AK43" s="131" t="n">
        <f aca="false">N43+O43+P43+Q43+R43+S43+T43+W43+AE43+AH43</f>
        <v>694</v>
      </c>
      <c r="AL43" s="132" t="n">
        <f aca="false">IF(L43&lt;0,L43*-1,0)</f>
        <v>14.5088732039325</v>
      </c>
      <c r="AM43" s="132" t="n">
        <f aca="false">AK43+AL43</f>
        <v>708.508873203933</v>
      </c>
      <c r="AN43" s="203" t="n">
        <f aca="false">AN42</f>
        <v>14794.787655</v>
      </c>
      <c r="AO43" s="134"/>
      <c r="AP43" s="93"/>
      <c r="AQ43" s="199" t="n">
        <f aca="false">60.3*(AA42*1.9835+AC42*1.9835+AP42*1.9835)/E43</f>
        <v>0</v>
      </c>
      <c r="AR43" s="199"/>
      <c r="AS43" s="358"/>
      <c r="AT43" s="5"/>
      <c r="AU43" s="4"/>
      <c r="AV43" s="327" t="n">
        <v>0.1</v>
      </c>
      <c r="AW43" s="204" t="n">
        <v>83</v>
      </c>
      <c r="AX43" s="134" t="n">
        <v>52</v>
      </c>
      <c r="AY43" s="300"/>
      <c r="AZ43" s="233" t="n">
        <f aca="false">SUM(N43,P43:T43)</f>
        <v>12.013277</v>
      </c>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2.95" hidden="false" customHeight="true" outlineLevel="0" collapsed="false">
      <c r="A44" s="171" t="n">
        <v>31</v>
      </c>
      <c r="B44" s="103" t="n">
        <v>6912.39</v>
      </c>
      <c r="C44" s="104" t="n">
        <v>331634</v>
      </c>
      <c r="D44" s="134" t="n">
        <f aca="false">C44-C43</f>
        <v>-1020</v>
      </c>
      <c r="E44" s="104" t="n">
        <f aca="false">C44-152000</f>
        <v>179634</v>
      </c>
      <c r="F44" s="229" t="n">
        <f aca="false">D44/$D$2</f>
        <v>-514.242500630199</v>
      </c>
      <c r="G44" s="132" t="n">
        <v>179</v>
      </c>
      <c r="H44" s="133" t="n">
        <v>0.05</v>
      </c>
      <c r="I44" s="132" t="n">
        <f aca="false">G44+H44</f>
        <v>179.05</v>
      </c>
      <c r="J44" s="133" t="n">
        <f aca="false">IF(L44&gt;0,L44,0)</f>
        <v>0</v>
      </c>
      <c r="K44" s="132" t="n">
        <f aca="false">I44+J44</f>
        <v>179.05</v>
      </c>
      <c r="L44" s="132" t="n">
        <f aca="false">F44-(I44-AK44)</f>
        <v>-40.2925006301992</v>
      </c>
      <c r="M44" s="231" t="n">
        <v>271</v>
      </c>
      <c r="N44" s="199" t="n">
        <f aca="false">1.8299*1.03</f>
        <v>1.884797</v>
      </c>
      <c r="O44" s="132" t="n">
        <f aca="false">(44+42)*1.05</f>
        <v>90.3</v>
      </c>
      <c r="P44" s="199" t="n">
        <v>0</v>
      </c>
      <c r="Q44" s="199" t="n">
        <f aca="false">3.224*1.02</f>
        <v>3.28848</v>
      </c>
      <c r="R44" s="199" t="n">
        <v>4.2</v>
      </c>
      <c r="S44" s="312" t="n">
        <v>1.99</v>
      </c>
      <c r="T44" s="356" t="n">
        <v>0</v>
      </c>
      <c r="U44" s="132" t="n">
        <v>80</v>
      </c>
      <c r="V44" s="132" t="n">
        <v>76</v>
      </c>
      <c r="W44" s="132" t="n">
        <f aca="false">M44-N44-O44-P44-Q44-R44-S44-T44+U44+V44</f>
        <v>325.336723</v>
      </c>
      <c r="X44" s="132" t="n">
        <f aca="false">W44-AO44-AD44</f>
        <v>169.86152</v>
      </c>
      <c r="Y44" s="104" t="n">
        <f aca="false">Y43+(X44*1.9835)</f>
        <v>95858.63659575</v>
      </c>
      <c r="Z44" s="104" t="n">
        <f aca="false">Z43+X44*(26300/37500)*1.9835+(AD44*1.9835)</f>
        <v>67861.495262787</v>
      </c>
      <c r="AA44" s="104"/>
      <c r="AB44" s="104"/>
      <c r="AC44" s="104"/>
      <c r="AD44" s="134" t="n">
        <f aca="false">W44-(I44-Q44-R44-AF44)</f>
        <v>155.475203</v>
      </c>
      <c r="AE44" s="132" t="n">
        <v>156</v>
      </c>
      <c r="AF44" s="231" t="n">
        <v>1.7</v>
      </c>
      <c r="AG44" s="232" t="n">
        <v>1.3</v>
      </c>
      <c r="AH44" s="132" t="n">
        <v>70</v>
      </c>
      <c r="AI44" s="104" t="n">
        <f aca="false">AI43-AH44</f>
        <v>9419.25787748929</v>
      </c>
      <c r="AJ44" s="104"/>
      <c r="AK44" s="131" t="n">
        <f aca="false">N44+O44+P44+Q44+R44+S44+T44+W44+AE44+AH44</f>
        <v>653</v>
      </c>
      <c r="AL44" s="132" t="n">
        <f aca="false">IF(L44&lt;0,L44*-1,0)</f>
        <v>40.2925006301992</v>
      </c>
      <c r="AM44" s="132" t="n">
        <f aca="false">AK44+AL44</f>
        <v>693.292500630199</v>
      </c>
      <c r="AN44" s="203" t="n">
        <f aca="false">AN43</f>
        <v>14794.787655</v>
      </c>
      <c r="AO44" s="134"/>
      <c r="AP44" s="93"/>
      <c r="AQ44" s="199" t="n">
        <f aca="false">60.3*(AA43*1.9835+AC43*1.9835+AP43*1.9835)/E44</f>
        <v>0</v>
      </c>
      <c r="AR44" s="199"/>
      <c r="AS44" s="358"/>
      <c r="AT44" s="5"/>
      <c r="AU44" s="4"/>
      <c r="AV44" s="327" t="n">
        <v>0</v>
      </c>
      <c r="AW44" s="204" t="n">
        <v>81</v>
      </c>
      <c r="AX44" s="134" t="n">
        <v>54</v>
      </c>
      <c r="AY44" s="300"/>
      <c r="AZ44" s="233" t="n">
        <f aca="false">SUM(N44,P44:T44)</f>
        <v>11.363277</v>
      </c>
    </row>
    <row r="45" customFormat="false" ht="3" hidden="false" customHeight="true" outlineLevel="0" collapsed="false">
      <c r="A45" s="214"/>
      <c r="B45" s="235"/>
      <c r="C45" s="216"/>
      <c r="D45" s="217"/>
      <c r="E45" s="216"/>
      <c r="F45" s="218"/>
      <c r="G45" s="217"/>
      <c r="H45" s="224"/>
      <c r="I45" s="217"/>
      <c r="J45" s="217"/>
      <c r="K45" s="217"/>
      <c r="L45" s="217"/>
      <c r="M45" s="220"/>
      <c r="N45" s="217"/>
      <c r="O45" s="217"/>
      <c r="P45" s="221"/>
      <c r="Q45" s="217"/>
      <c r="R45" s="217"/>
      <c r="S45" s="217"/>
      <c r="T45" s="222"/>
      <c r="U45" s="217"/>
      <c r="V45" s="217"/>
      <c r="W45" s="217"/>
      <c r="X45" s="217"/>
      <c r="Y45" s="217"/>
      <c r="Z45" s="217"/>
      <c r="AA45" s="216"/>
      <c r="AB45" s="216"/>
      <c r="AC45" s="216"/>
      <c r="AD45" s="223"/>
      <c r="AE45" s="217"/>
      <c r="AF45" s="220"/>
      <c r="AG45" s="225"/>
      <c r="AH45" s="217"/>
      <c r="AI45" s="217"/>
      <c r="AJ45" s="217"/>
      <c r="AK45" s="217"/>
      <c r="AL45" s="217"/>
      <c r="AM45" s="217"/>
      <c r="AN45" s="226"/>
      <c r="AO45" s="223"/>
      <c r="AP45" s="224"/>
      <c r="AQ45" s="224"/>
      <c r="AR45" s="224"/>
      <c r="AS45" s="221"/>
      <c r="AT45" s="221"/>
      <c r="AU45" s="224"/>
      <c r="AV45" s="481"/>
      <c r="AW45" s="223"/>
      <c r="AX45" s="223"/>
      <c r="AY45" s="240"/>
      <c r="AZ45" s="323"/>
    </row>
    <row r="46" customFormat="false" ht="12.95" hidden="false" customHeight="true" outlineLevel="0" collapsed="false">
      <c r="A46" s="173" t="s">
        <v>91</v>
      </c>
      <c r="B46" s="196"/>
      <c r="C46" s="104"/>
      <c r="D46" s="104"/>
      <c r="E46" s="104"/>
      <c r="F46" s="197" t="n">
        <f aca="false">SUM(F14:F44)</f>
        <v>-21433.8290899924</v>
      </c>
      <c r="G46" s="104" t="n">
        <f aca="false">SUM(G14:G44)</f>
        <v>6592</v>
      </c>
      <c r="H46" s="134" t="n">
        <f aca="false">SUM(H14:H44)</f>
        <v>14.54</v>
      </c>
      <c r="I46" s="104" t="n">
        <f aca="false">SUM(I14:I44)</f>
        <v>6606.54</v>
      </c>
      <c r="J46" s="104" t="n">
        <f aca="false">SUM(J14:J44)</f>
        <v>177.423892109907</v>
      </c>
      <c r="K46" s="104" t="n">
        <f aca="false">SUM(K14:K44)</f>
        <v>6783.96389210991</v>
      </c>
      <c r="L46" s="104" t="n">
        <f aca="false">SUM(L14:L44)</f>
        <v>-470.369089992437</v>
      </c>
      <c r="M46" s="198" t="n">
        <f aca="false">SUM(M14:M44)</f>
        <v>10469</v>
      </c>
      <c r="N46" s="104" t="n">
        <f aca="false">SUM(N14:N44)</f>
        <v>58.428707</v>
      </c>
      <c r="O46" s="104" t="n">
        <f aca="false">SUM(O14:O44)</f>
        <v>3026.1</v>
      </c>
      <c r="P46" s="199" t="n">
        <f aca="false">SUM(P14:P44)</f>
        <v>0</v>
      </c>
      <c r="Q46" s="104" t="n">
        <f aca="false">SUM(Q14:Q44)</f>
        <v>101.94288</v>
      </c>
      <c r="R46" s="104" t="n">
        <f aca="false">SUM(R15:R44)</f>
        <v>126</v>
      </c>
      <c r="S46" s="104" t="n">
        <f aca="false">SUM(S14:S44)</f>
        <v>137.95</v>
      </c>
      <c r="T46" s="200" t="n">
        <f aca="false">SUM(T14:T44)</f>
        <v>0</v>
      </c>
      <c r="U46" s="104" t="n">
        <f aca="false">SUM(U14:U44)</f>
        <v>4426</v>
      </c>
      <c r="V46" s="104" t="n">
        <f aca="false">SUM(V14:V44)</f>
        <v>2441</v>
      </c>
      <c r="W46" s="104" t="n">
        <f aca="false">SUM(W14:W44)</f>
        <v>13881.378413</v>
      </c>
      <c r="X46" s="104" t="n">
        <f aca="false">SUM(X14:X44)</f>
        <v>13562.428007</v>
      </c>
      <c r="Y46" s="104"/>
      <c r="Z46" s="104"/>
      <c r="AA46" s="104"/>
      <c r="AB46" s="104"/>
      <c r="AC46" s="104"/>
      <c r="AD46" s="104" t="n">
        <f aca="false">SUM(AD14:AD44)</f>
        <v>646.475609</v>
      </c>
      <c r="AE46" s="104" t="n">
        <f aca="false">SUM(AE14:AE44)</f>
        <v>8024</v>
      </c>
      <c r="AF46" s="434" t="n">
        <f aca="false">SUM(AF14:AF44)</f>
        <v>52.7</v>
      </c>
      <c r="AG46" s="435" t="n">
        <f aca="false">SUM(AG14:AG44)</f>
        <v>40.3</v>
      </c>
      <c r="AH46" s="104" t="n">
        <f aca="false">SUM(AH14:AH44)</f>
        <v>2210</v>
      </c>
      <c r="AI46" s="104"/>
      <c r="AJ46" s="104" t="n">
        <f aca="false">SUM(AJ14:AJ44)</f>
        <v>0</v>
      </c>
      <c r="AK46" s="104" t="n">
        <f aca="false">SUM(AK14:AK44)</f>
        <v>27570</v>
      </c>
      <c r="AL46" s="104" t="n">
        <f aca="false">SUM(AL14:AL44)</f>
        <v>647.792982102344</v>
      </c>
      <c r="AM46" s="104" t="n">
        <f aca="false">SUM(AM14:AM44)</f>
        <v>28217.7929821023</v>
      </c>
      <c r="AN46" s="203"/>
      <c r="AO46" s="104" t="n">
        <f aca="false">SUM(AO14:AO44)</f>
        <v>0</v>
      </c>
      <c r="AP46" s="133" t="n">
        <f aca="false">AP44</f>
        <v>0</v>
      </c>
      <c r="AQ46" s="482"/>
      <c r="AR46" s="199"/>
      <c r="AS46" s="199" t="n">
        <f aca="false">SUM(AS14:AS44)</f>
        <v>675.57</v>
      </c>
      <c r="AT46" s="199" t="n">
        <f aca="false">SUM(AT14:AT44)</f>
        <v>0</v>
      </c>
      <c r="AU46" s="133" t="n">
        <f aca="false">SUM(AU14:AU44)</f>
        <v>0</v>
      </c>
      <c r="AV46" s="327" t="n">
        <f aca="false">SUM(AV14:AV45)</f>
        <v>0.35</v>
      </c>
      <c r="AW46" s="134" t="n">
        <f aca="false">AVERAGE(AW14:AW44)</f>
        <v>87.3548387096774</v>
      </c>
      <c r="AX46" s="134" t="n">
        <f aca="false">AVERAGE(AX14:AX44)</f>
        <v>56.7741935483871</v>
      </c>
      <c r="AY46" s="206" t="s">
        <v>113</v>
      </c>
      <c r="AZ46" s="341" t="n">
        <f aca="false">SUM(AZ14:AZ44)</f>
        <v>428.521587</v>
      </c>
    </row>
    <row r="47" customFormat="false" ht="12.95" hidden="false" customHeight="true" outlineLevel="0" collapsed="false">
      <c r="A47" s="173" t="s">
        <v>93</v>
      </c>
      <c r="B47" s="196"/>
      <c r="C47" s="104"/>
      <c r="D47" s="104" t="n">
        <f aca="false">SUM(D14:D44)</f>
        <v>-42514</v>
      </c>
      <c r="E47" s="104"/>
      <c r="F47" s="197" t="n">
        <f aca="false">F46*$D$2</f>
        <v>-42514</v>
      </c>
      <c r="G47" s="104" t="n">
        <f aca="false">G46*$D$2</f>
        <v>13075.232</v>
      </c>
      <c r="H47" s="134" t="n">
        <f aca="false">H46*$D$2</f>
        <v>28.84009</v>
      </c>
      <c r="I47" s="104" t="n">
        <f aca="false">I46*$D$2</f>
        <v>13104.07209</v>
      </c>
      <c r="J47" s="104" t="n">
        <f aca="false">J46*$D$2</f>
        <v>351.920290000001</v>
      </c>
      <c r="K47" s="104" t="n">
        <f aca="false">K46*$D$2</f>
        <v>13455.99238</v>
      </c>
      <c r="L47" s="104" t="n">
        <f aca="false">L46*$D$2</f>
        <v>-932.977089999998</v>
      </c>
      <c r="M47" s="198" t="n">
        <f aca="false">M46*$D$2</f>
        <v>20765.2615</v>
      </c>
      <c r="N47" s="104" t="n">
        <f aca="false">N46*$D$2</f>
        <v>115.8933403345</v>
      </c>
      <c r="O47" s="104" t="n">
        <f aca="false">O46*$D$2</f>
        <v>6002.26935</v>
      </c>
      <c r="P47" s="199" t="n">
        <f aca="false">P46*$D$2</f>
        <v>0</v>
      </c>
      <c r="Q47" s="104" t="n">
        <f aca="false">Q46*$D$2</f>
        <v>202.20370248</v>
      </c>
      <c r="R47" s="104" t="n">
        <f aca="false">R46*$D$2</f>
        <v>249.921</v>
      </c>
      <c r="S47" s="104" t="n">
        <f aca="false">S46*$D$2</f>
        <v>273.623825</v>
      </c>
      <c r="T47" s="200" t="n">
        <f aca="false">T46*$D$2</f>
        <v>0</v>
      </c>
      <c r="U47" s="104" t="n">
        <f aca="false">U46*$D$2</f>
        <v>8778.971</v>
      </c>
      <c r="V47" s="104" t="n">
        <f aca="false">V46*$D$2</f>
        <v>4841.7235</v>
      </c>
      <c r="W47" s="104" t="n">
        <f aca="false">W46*$D$2</f>
        <v>27533.7140821855</v>
      </c>
      <c r="X47" s="104" t="n">
        <f aca="false">X46*$D$2</f>
        <v>26901.0759518845</v>
      </c>
      <c r="Y47" s="104"/>
      <c r="Z47" s="104"/>
      <c r="AA47" s="104"/>
      <c r="AB47" s="104"/>
      <c r="AC47" s="104"/>
      <c r="AD47" s="104" t="n">
        <f aca="false">AD46*$D$2</f>
        <v>1282.2843704515</v>
      </c>
      <c r="AE47" s="104" t="n">
        <f aca="false">AE46*$D$2</f>
        <v>15915.604</v>
      </c>
      <c r="AF47" s="198" t="n">
        <f aca="false">AF46*$D$2</f>
        <v>104.53045</v>
      </c>
      <c r="AG47" s="201" t="n">
        <f aca="false">AG46*$D$2</f>
        <v>79.93505</v>
      </c>
      <c r="AH47" s="104" t="n">
        <f aca="false">AH46*$D$2</f>
        <v>4383.535</v>
      </c>
      <c r="AI47" s="104"/>
      <c r="AJ47" s="104" t="n">
        <f aca="false">AJ46*$D$2</f>
        <v>0</v>
      </c>
      <c r="AK47" s="104" t="n">
        <f aca="false">AK46*$D$2</f>
        <v>54685.095</v>
      </c>
      <c r="AL47" s="104" t="n">
        <f aca="false">AL46*$D$2</f>
        <v>1284.89738</v>
      </c>
      <c r="AM47" s="104" t="n">
        <f aca="false">AM46*$D$2</f>
        <v>55969.99238</v>
      </c>
      <c r="AN47" s="203"/>
      <c r="AO47" s="104" t="n">
        <f aca="false">AO46*$D$2</f>
        <v>0</v>
      </c>
      <c r="AP47" s="133" t="n">
        <f aca="false">AP46*$D$2</f>
        <v>0</v>
      </c>
      <c r="AQ47" s="482" t="n">
        <f aca="false">SUM(AQ14:AQ44)</f>
        <v>54.1212399109414</v>
      </c>
      <c r="AR47" s="199"/>
      <c r="AS47" s="133" t="n">
        <f aca="false">AS46*$D$2</f>
        <v>1339.993095</v>
      </c>
      <c r="AT47" s="199" t="n">
        <f aca="false">AT46*$D$2</f>
        <v>0</v>
      </c>
      <c r="AU47" s="133" t="n">
        <f aca="false">AU46*$D$2</f>
        <v>0</v>
      </c>
      <c r="AV47" s="327"/>
      <c r="AW47" s="134" t="n">
        <f aca="false">MAX(AW14:AW44)</f>
        <v>94</v>
      </c>
      <c r="AX47" s="134" t="n">
        <f aca="false">MAX(AX14:AX44)</f>
        <v>63</v>
      </c>
      <c r="AY47" s="206" t="s">
        <v>94</v>
      </c>
      <c r="AZ47" s="341" t="n">
        <f aca="false">AZ46*$D$2</f>
        <v>849.9725678145</v>
      </c>
    </row>
    <row r="48" customFormat="false" ht="3" hidden="false" customHeight="true" outlineLevel="0" collapsed="false">
      <c r="A48" s="214"/>
      <c r="B48" s="235"/>
      <c r="C48" s="216"/>
      <c r="D48" s="216"/>
      <c r="E48" s="216"/>
      <c r="F48" s="240"/>
      <c r="G48" s="216"/>
      <c r="H48" s="223"/>
      <c r="I48" s="216"/>
      <c r="J48" s="216"/>
      <c r="K48" s="216"/>
      <c r="L48" s="216"/>
      <c r="M48" s="241"/>
      <c r="N48" s="216"/>
      <c r="O48" s="216"/>
      <c r="P48" s="221"/>
      <c r="Q48" s="216"/>
      <c r="R48" s="216"/>
      <c r="S48" s="216"/>
      <c r="T48" s="222"/>
      <c r="U48" s="216"/>
      <c r="V48" s="216"/>
      <c r="W48" s="216"/>
      <c r="X48" s="216"/>
      <c r="Y48" s="216"/>
      <c r="Z48" s="216"/>
      <c r="AA48" s="216"/>
      <c r="AB48" s="216"/>
      <c r="AC48" s="216"/>
      <c r="AD48" s="216"/>
      <c r="AE48" s="216"/>
      <c r="AF48" s="241"/>
      <c r="AG48" s="242"/>
      <c r="AH48" s="216"/>
      <c r="AI48" s="217"/>
      <c r="AJ48" s="216"/>
      <c r="AK48" s="216"/>
      <c r="AL48" s="216"/>
      <c r="AM48" s="216"/>
      <c r="AN48" s="243"/>
      <c r="AO48" s="216"/>
      <c r="AP48" s="224"/>
      <c r="AQ48" s="221"/>
      <c r="AR48" s="221"/>
      <c r="AS48" s="221"/>
      <c r="AT48" s="221"/>
      <c r="AU48" s="224"/>
      <c r="AV48" s="243"/>
      <c r="AW48" s="216"/>
      <c r="AX48" s="216"/>
      <c r="AY48" s="240"/>
      <c r="AZ48" s="323"/>
    </row>
    <row r="49" customFormat="false" ht="12.95" hidden="false" customHeight="true" outlineLevel="0" collapsed="false">
      <c r="A49" s="173" t="s">
        <v>95</v>
      </c>
      <c r="B49" s="196"/>
      <c r="C49" s="104"/>
      <c r="D49" s="104"/>
      <c r="E49" s="104"/>
      <c r="F49" s="197" t="n">
        <f aca="false">F11+F46</f>
        <v>24375.0945298714</v>
      </c>
      <c r="G49" s="104" t="n">
        <f aca="false">G11+G46</f>
        <v>116071</v>
      </c>
      <c r="H49" s="134" t="n">
        <f aca="false">H11+H46</f>
        <v>4354.68</v>
      </c>
      <c r="I49" s="104" t="n">
        <f aca="false">I11+I46</f>
        <v>120425.68</v>
      </c>
      <c r="J49" s="104" t="n">
        <f aca="false">J11+J46</f>
        <v>9786.59950844467</v>
      </c>
      <c r="K49" s="104" t="n">
        <f aca="false">K11+K46</f>
        <v>130212.279508445</v>
      </c>
      <c r="L49" s="104" t="n">
        <f aca="false">L11+L46</f>
        <v>7860.01452987144</v>
      </c>
      <c r="M49" s="198" t="n">
        <f aca="false">M11+M46</f>
        <v>31305.5</v>
      </c>
      <c r="N49" s="104" t="n">
        <f aca="false">N11+N46</f>
        <v>229.945234</v>
      </c>
      <c r="O49" s="104" t="n">
        <f aca="false">O11+O46</f>
        <v>9588.7197</v>
      </c>
      <c r="P49" s="199" t="n">
        <f aca="false">P11+P46</f>
        <v>7.365</v>
      </c>
      <c r="Q49" s="104"/>
      <c r="R49" s="104"/>
      <c r="S49" s="104"/>
      <c r="T49" s="200"/>
      <c r="U49" s="104" t="n">
        <f aca="false">U11+U46</f>
        <v>14814.3</v>
      </c>
      <c r="V49" s="104" t="n">
        <f aca="false">V11+V46</f>
        <v>7207</v>
      </c>
      <c r="W49" s="104" t="n">
        <f aca="false">W11+W46</f>
        <v>42076.623271</v>
      </c>
      <c r="X49" s="104" t="n">
        <f aca="false">X11+X46</f>
        <v>40950.53952</v>
      </c>
      <c r="Y49" s="104"/>
      <c r="Z49" s="104"/>
      <c r="AA49" s="104" t="n">
        <f aca="false">AA44</f>
        <v>0</v>
      </c>
      <c r="AB49" s="104"/>
      <c r="AC49" s="104" t="n">
        <f aca="false">AC44</f>
        <v>0</v>
      </c>
      <c r="AD49" s="104" t="n">
        <f aca="false">AD11+AD46</f>
        <v>646.475609</v>
      </c>
      <c r="AE49" s="104" t="n">
        <f aca="false">AE11+AE46</f>
        <v>18178.8</v>
      </c>
      <c r="AF49" s="198" t="n">
        <f aca="false">AF11+AF46</f>
        <v>207.4</v>
      </c>
      <c r="AG49" s="201" t="n">
        <f aca="false">AG11+AG46</f>
        <v>158.6</v>
      </c>
      <c r="AH49" s="104"/>
      <c r="AI49" s="104"/>
      <c r="AJ49" s="104" t="n">
        <f aca="false">AJ11+AJ46</f>
        <v>25793</v>
      </c>
      <c r="AK49" s="104" t="n">
        <f aca="false">AK11+AK46</f>
        <v>103910.6</v>
      </c>
      <c r="AL49" s="104" t="n">
        <f aca="false">AL11+AL46</f>
        <v>1926.58497857323</v>
      </c>
      <c r="AM49" s="104" t="n">
        <f aca="false">AM11+AM46</f>
        <v>105837.184978573</v>
      </c>
      <c r="AN49" s="203"/>
      <c r="AO49" s="134"/>
      <c r="AP49" s="133" t="n">
        <f aca="false">AP46</f>
        <v>0</v>
      </c>
      <c r="AQ49" s="482"/>
      <c r="AR49" s="199"/>
      <c r="AS49" s="199" t="n">
        <f aca="false">AS11+AS46</f>
        <v>675.57</v>
      </c>
      <c r="AT49" s="199" t="n">
        <f aca="false">AT11+AT46</f>
        <v>411.411015</v>
      </c>
      <c r="AU49" s="133" t="n">
        <f aca="false">AU11+AU46</f>
        <v>0</v>
      </c>
      <c r="AV49" s="327"/>
      <c r="AW49" s="134" t="n">
        <f aca="false">MIN(AW14:AW44)</f>
        <v>81</v>
      </c>
      <c r="AX49" s="134" t="n">
        <f aca="false">MIN(AX14:AX44)</f>
        <v>51</v>
      </c>
      <c r="AY49" s="206" t="s">
        <v>96</v>
      </c>
      <c r="AZ49" s="341" t="n">
        <f aca="false">AZ11+AZ46</f>
        <v>428.521587</v>
      </c>
    </row>
    <row r="50" customFormat="false" ht="12.95" hidden="false" customHeight="true" outlineLevel="0" collapsed="false">
      <c r="A50" s="173" t="s">
        <v>97</v>
      </c>
      <c r="B50" s="196"/>
      <c r="C50" s="104"/>
      <c r="D50" s="104"/>
      <c r="E50" s="104"/>
      <c r="F50" s="197" t="n">
        <f aca="false">F49*$D$2</f>
        <v>48348</v>
      </c>
      <c r="G50" s="104" t="n">
        <f aca="false">G49*$D$2</f>
        <v>230226.8285</v>
      </c>
      <c r="H50" s="134" t="n">
        <f aca="false">H49*$D$2</f>
        <v>8637.50778</v>
      </c>
      <c r="I50" s="104" t="n">
        <f aca="false">I49*$D$2</f>
        <v>238864.33628</v>
      </c>
      <c r="J50" s="104" t="n">
        <f aca="false">J49*$D$2</f>
        <v>19411.720125</v>
      </c>
      <c r="K50" s="104" t="n">
        <f aca="false">K49*$D$2</f>
        <v>258276.056405</v>
      </c>
      <c r="L50" s="104" t="n">
        <f aca="false">L49*$D$2</f>
        <v>15590.33882</v>
      </c>
      <c r="M50" s="198" t="n">
        <f aca="false">M49*$D$2</f>
        <v>62094.45925</v>
      </c>
      <c r="N50" s="104" t="n">
        <f aca="false">N49*$D$2</f>
        <v>456.096371639</v>
      </c>
      <c r="O50" s="104" t="n">
        <f aca="false">O49*$D$2</f>
        <v>19019.22552495</v>
      </c>
      <c r="P50" s="199" t="n">
        <f aca="false">P49*$D$2</f>
        <v>14.6084775</v>
      </c>
      <c r="Q50" s="104"/>
      <c r="R50" s="104"/>
      <c r="S50" s="104"/>
      <c r="T50" s="200"/>
      <c r="U50" s="104" t="n">
        <f aca="false">U49*$D$2</f>
        <v>29384.16405</v>
      </c>
      <c r="V50" s="104" t="n">
        <f aca="false">V49*$D$2</f>
        <v>14295.0845</v>
      </c>
      <c r="W50" s="104" t="n">
        <f aca="false">W49*$D$2</f>
        <v>83458.9822580285</v>
      </c>
      <c r="X50" s="104" t="n">
        <f aca="false">X49*$D$2</f>
        <v>81225.39513792</v>
      </c>
      <c r="Y50" s="104"/>
      <c r="Z50" s="104"/>
      <c r="AA50" s="104" t="n">
        <f aca="false">AA49*$D$2</f>
        <v>0</v>
      </c>
      <c r="AB50" s="104" t="n">
        <f aca="false">AB11</f>
        <v>61575.2275546874</v>
      </c>
      <c r="AC50" s="104" t="n">
        <f aca="false">AC49*$D$2</f>
        <v>0</v>
      </c>
      <c r="AD50" s="104" t="n">
        <f aca="false">AD49*$D$2</f>
        <v>1282.2843704515</v>
      </c>
      <c r="AE50" s="104" t="n">
        <f aca="false">AE49*$D$2</f>
        <v>36057.6498</v>
      </c>
      <c r="AF50" s="198" t="n">
        <f aca="false">AF49*$D$2</f>
        <v>411.3779</v>
      </c>
      <c r="AG50" s="201" t="n">
        <f aca="false">AG49*$D$2</f>
        <v>314.5831</v>
      </c>
      <c r="AH50" s="104"/>
      <c r="AI50" s="104"/>
      <c r="AJ50" s="104" t="n">
        <f aca="false">AJ49*$D$2</f>
        <v>51160.4155</v>
      </c>
      <c r="AK50" s="104" t="n">
        <f aca="false">AK49*$D$2</f>
        <v>206106.6751</v>
      </c>
      <c r="AL50" s="104" t="n">
        <f aca="false">AL49*$D$2</f>
        <v>3821.381305</v>
      </c>
      <c r="AM50" s="104" t="n">
        <f aca="false">AM49*$D$2</f>
        <v>209928.056405</v>
      </c>
      <c r="AN50" s="203"/>
      <c r="AO50" s="134"/>
      <c r="AP50" s="133" t="n">
        <f aca="false">AP49*$D$2</f>
        <v>0</v>
      </c>
      <c r="AQ50" s="482" t="n">
        <f aca="false">AQ11+AQ47</f>
        <v>287.029610244458</v>
      </c>
      <c r="AR50" s="199"/>
      <c r="AS50" s="133" t="n">
        <f aca="false">AS49*$D$2</f>
        <v>1339.993095</v>
      </c>
      <c r="AT50" s="199" t="n">
        <f aca="false">AT49*$D$2</f>
        <v>816.0337482525</v>
      </c>
      <c r="AU50" s="133" t="n">
        <f aca="false">AU49*$D$2</f>
        <v>0</v>
      </c>
      <c r="AV50" s="327"/>
      <c r="AW50" s="134"/>
      <c r="AX50" s="134"/>
      <c r="AY50" s="303"/>
      <c r="AZ50" s="341" t="n">
        <f aca="false">AZ49*$D$2</f>
        <v>849.9725678145</v>
      </c>
    </row>
    <row r="51" customFormat="false" ht="3" hidden="false" customHeight="true" outlineLevel="0" collapsed="false">
      <c r="A51" s="214"/>
      <c r="B51" s="235"/>
      <c r="C51" s="216"/>
      <c r="D51" s="216"/>
      <c r="E51" s="216"/>
      <c r="F51" s="240"/>
      <c r="G51" s="216"/>
      <c r="H51" s="223"/>
      <c r="I51" s="216"/>
      <c r="J51" s="216"/>
      <c r="K51" s="216"/>
      <c r="L51" s="216"/>
      <c r="M51" s="241"/>
      <c r="N51" s="216"/>
      <c r="O51" s="216"/>
      <c r="P51" s="221"/>
      <c r="Q51" s="216"/>
      <c r="R51" s="216"/>
      <c r="S51" s="216"/>
      <c r="T51" s="222"/>
      <c r="U51" s="216"/>
      <c r="V51" s="216"/>
      <c r="W51" s="216"/>
      <c r="X51" s="216"/>
      <c r="Y51" s="216"/>
      <c r="Z51" s="216"/>
      <c r="AA51" s="216"/>
      <c r="AB51" s="216"/>
      <c r="AC51" s="216"/>
      <c r="AD51" s="223"/>
      <c r="AE51" s="216"/>
      <c r="AF51" s="241"/>
      <c r="AG51" s="242"/>
      <c r="AH51" s="216"/>
      <c r="AI51" s="216"/>
      <c r="AJ51" s="216"/>
      <c r="AK51" s="216"/>
      <c r="AL51" s="216"/>
      <c r="AM51" s="216"/>
      <c r="AN51" s="243"/>
      <c r="AO51" s="216"/>
      <c r="AP51" s="224"/>
      <c r="AQ51" s="221"/>
      <c r="AR51" s="221"/>
      <c r="AS51" s="221"/>
      <c r="AT51" s="221"/>
      <c r="AU51" s="224"/>
      <c r="AV51" s="481"/>
      <c r="AW51" s="216"/>
      <c r="AX51" s="216"/>
      <c r="AY51" s="240"/>
      <c r="AZ51" s="323"/>
    </row>
    <row r="52" customFormat="false" ht="12.95" hidden="false" customHeight="true" outlineLevel="0" collapsed="false">
      <c r="A52" s="173" t="s">
        <v>98</v>
      </c>
      <c r="B52" s="196"/>
      <c r="C52" s="104"/>
      <c r="D52" s="104"/>
      <c r="E52" s="104"/>
      <c r="F52" s="197" t="n">
        <f aca="false">F12+F46</f>
        <v>23611.2931686413</v>
      </c>
      <c r="G52" s="104" t="n">
        <f aca="false">G12+G46</f>
        <v>127071</v>
      </c>
      <c r="H52" s="134" t="n">
        <f aca="false">H12+H46</f>
        <v>4894.81</v>
      </c>
      <c r="I52" s="104" t="n">
        <f aca="false">I12+I46</f>
        <v>131965.81</v>
      </c>
      <c r="J52" s="104" t="n">
        <f aca="false">J12+J46</f>
        <v>13092.7333929922</v>
      </c>
      <c r="K52" s="104" t="n">
        <f aca="false">K12+K46</f>
        <v>145058.543392992</v>
      </c>
      <c r="L52" s="104" t="n">
        <f aca="false">L12+L46</f>
        <v>10231.9831686413</v>
      </c>
      <c r="M52" s="198" t="n">
        <f aca="false">M12+M46</f>
        <v>32224.1</v>
      </c>
      <c r="N52" s="104" t="n">
        <f aca="false">N12+N46</f>
        <v>229.945234</v>
      </c>
      <c r="O52" s="104" t="n">
        <f aca="false">O12+O46</f>
        <v>9588.7197</v>
      </c>
      <c r="P52" s="199"/>
      <c r="Q52" s="104" t="n">
        <f aca="false">Q12+Q46</f>
        <v>535.3674</v>
      </c>
      <c r="R52" s="104" t="n">
        <f aca="false">R12+R46</f>
        <v>852.85</v>
      </c>
      <c r="S52" s="104" t="n">
        <f aca="false">S12+S46</f>
        <v>285.98</v>
      </c>
      <c r="T52" s="200" t="n">
        <f aca="false">T12+T46</f>
        <v>-71.5154</v>
      </c>
      <c r="U52" s="104" t="n">
        <f aca="false">U12+U46</f>
        <v>22244.3</v>
      </c>
      <c r="V52" s="104" t="n">
        <f aca="false">V12+V46</f>
        <v>7283.3</v>
      </c>
      <c r="W52" s="104" t="n">
        <f aca="false">W12+W46</f>
        <v>49907.377051</v>
      </c>
      <c r="X52" s="104" t="n">
        <f aca="false">X12+X46</f>
        <v>48328.0245</v>
      </c>
      <c r="Y52" s="104"/>
      <c r="Z52" s="104"/>
      <c r="AA52" s="104"/>
      <c r="AB52" s="104"/>
      <c r="AC52" s="104"/>
      <c r="AD52" s="134"/>
      <c r="AE52" s="104"/>
      <c r="AF52" s="198"/>
      <c r="AG52" s="201"/>
      <c r="AH52" s="104" t="n">
        <f aca="false">AH12+AH46</f>
        <v>38656</v>
      </c>
      <c r="AI52" s="104" t="n">
        <f aca="false">AI44</f>
        <v>9419.25787748929</v>
      </c>
      <c r="AJ52" s="104" t="n">
        <f aca="false">AJ12+AJ46</f>
        <v>25793</v>
      </c>
      <c r="AK52" s="104" t="n">
        <f aca="false">AK12+AK46</f>
        <v>118586.5</v>
      </c>
      <c r="AL52" s="104" t="n">
        <f aca="false">AL12+AL46</f>
        <v>2860.75022435089</v>
      </c>
      <c r="AM52" s="104" t="n">
        <f aca="false">AM12+AM46</f>
        <v>121447.250224351</v>
      </c>
      <c r="AN52" s="203"/>
      <c r="AO52" s="104" t="n">
        <f aca="false">AO12+AO46</f>
        <v>1260.402145</v>
      </c>
      <c r="AP52" s="133"/>
      <c r="AQ52" s="482"/>
      <c r="AR52" s="482"/>
      <c r="AS52" s="482"/>
      <c r="AT52" s="482"/>
      <c r="AV52" s="327" t="n">
        <f aca="false">AV12+AV46</f>
        <v>7</v>
      </c>
      <c r="AW52" s="134"/>
      <c r="AX52" s="134"/>
      <c r="AY52" s="303"/>
      <c r="AZ52" s="341" t="n">
        <f aca="false">AZ12+AZ46</f>
        <v>1844.192234</v>
      </c>
    </row>
    <row r="53" customFormat="false" ht="12.95" hidden="false" customHeight="true" outlineLevel="0" collapsed="false">
      <c r="A53" s="173" t="s">
        <v>99</v>
      </c>
      <c r="B53" s="196"/>
      <c r="C53" s="104"/>
      <c r="D53" s="104" t="n">
        <f aca="false">D12+D47</f>
        <v>46833</v>
      </c>
      <c r="E53" s="104" t="n">
        <f aca="false">E44</f>
        <v>179634</v>
      </c>
      <c r="F53" s="197" t="n">
        <f aca="false">F52*$D$2</f>
        <v>46832.9999999999</v>
      </c>
      <c r="G53" s="104" t="n">
        <f aca="false">G52*$D$2</f>
        <v>252045.3285</v>
      </c>
      <c r="H53" s="134" t="n">
        <f aca="false">H52*$D$2</f>
        <v>9708.855635</v>
      </c>
      <c r="I53" s="104" t="n">
        <f aca="false">I52*$D$2</f>
        <v>261754.184135</v>
      </c>
      <c r="J53" s="104" t="n">
        <f aca="false">J52*$D$2</f>
        <v>25969.436685</v>
      </c>
      <c r="K53" s="104" t="n">
        <f aca="false">K52*$D$2</f>
        <v>287723.62082</v>
      </c>
      <c r="L53" s="104" t="n">
        <f aca="false">L52*$D$2</f>
        <v>20295.138615</v>
      </c>
      <c r="M53" s="198" t="n">
        <f aca="false">M52*$D$2</f>
        <v>63916.50235</v>
      </c>
      <c r="N53" s="104" t="n">
        <f aca="false">N52*$D$2</f>
        <v>456.096371639</v>
      </c>
      <c r="O53" s="104" t="n">
        <f aca="false">O52*$D$2</f>
        <v>19019.22552495</v>
      </c>
      <c r="P53" s="199"/>
      <c r="Q53" s="104" t="n">
        <f aca="false">Q52*$D$2</f>
        <v>1061.9012379</v>
      </c>
      <c r="R53" s="104" t="n">
        <f aca="false">R52*$D$2</f>
        <v>1691.627975</v>
      </c>
      <c r="S53" s="209" t="n">
        <f aca="false">S52*$D$2</f>
        <v>567.24133</v>
      </c>
      <c r="T53" s="483" t="n">
        <f aca="false">T52*$D$2</f>
        <v>-141.8507959</v>
      </c>
      <c r="U53" s="104" t="n">
        <f aca="false">U52*$D$2</f>
        <v>44121.56905</v>
      </c>
      <c r="V53" s="104" t="n">
        <f aca="false">V52*$D$2</f>
        <v>14446.42555</v>
      </c>
      <c r="W53" s="104" t="n">
        <f aca="false">W52*$D$2</f>
        <v>98991.2823806585</v>
      </c>
      <c r="X53" s="104" t="n">
        <f aca="false">X52*$D$2</f>
        <v>95858.63659575</v>
      </c>
      <c r="Y53" s="104"/>
      <c r="Z53" s="104"/>
      <c r="AA53" s="104"/>
      <c r="AB53" s="104"/>
      <c r="AC53" s="104"/>
      <c r="AD53" s="134"/>
      <c r="AE53" s="104"/>
      <c r="AF53" s="249"/>
      <c r="AG53" s="250"/>
      <c r="AH53" s="104" t="n">
        <f aca="false">AH52*$D$2</f>
        <v>76674.176</v>
      </c>
      <c r="AI53" s="104" t="n">
        <f aca="false">AI52*$D$2</f>
        <v>18683.098</v>
      </c>
      <c r="AJ53" s="104" t="n">
        <f aca="false">AJ52*$D$2</f>
        <v>51160.4155</v>
      </c>
      <c r="AK53" s="104" t="n">
        <f aca="false">AK52*$D$2</f>
        <v>235216.32275</v>
      </c>
      <c r="AL53" s="104" t="n">
        <f aca="false">AL52*$D$2</f>
        <v>5674.29807</v>
      </c>
      <c r="AM53" s="104" t="n">
        <f aca="false">AM52*$D$2</f>
        <v>240890.62082</v>
      </c>
      <c r="AN53" s="203" t="n">
        <f aca="false">AN44</f>
        <v>14794.787655</v>
      </c>
      <c r="AO53" s="104" t="n">
        <f aca="false">AO52*$D$2</f>
        <v>2500.0076546075</v>
      </c>
      <c r="AP53" s="133"/>
      <c r="AQ53" s="482" t="n">
        <f aca="false">AQ12+AQ47</f>
        <v>54.1212399109414</v>
      </c>
      <c r="AR53" s="199"/>
      <c r="AS53" s="199"/>
      <c r="AT53" s="199"/>
      <c r="AV53" s="327"/>
      <c r="AW53" s="134"/>
      <c r="AX53" s="134"/>
      <c r="AY53" s="303"/>
      <c r="AZ53" s="341" t="n">
        <f aca="false">AZ52*$D$2</f>
        <v>3657.955296139</v>
      </c>
    </row>
    <row r="54" customFormat="false" ht="3" hidden="false" customHeight="true" outlineLevel="0" collapsed="false">
      <c r="A54" s="214"/>
      <c r="B54" s="288"/>
      <c r="C54" s="276"/>
      <c r="D54" s="214"/>
      <c r="E54" s="276"/>
      <c r="F54" s="277"/>
      <c r="G54" s="214"/>
      <c r="H54" s="484"/>
      <c r="I54" s="214"/>
      <c r="J54" s="214"/>
      <c r="K54" s="214"/>
      <c r="L54" s="214"/>
      <c r="M54" s="485"/>
      <c r="N54" s="214"/>
      <c r="O54" s="214"/>
      <c r="P54" s="280"/>
      <c r="Q54" s="214"/>
      <c r="R54" s="214"/>
      <c r="S54" s="214"/>
      <c r="T54" s="281"/>
      <c r="U54" s="214"/>
      <c r="V54" s="214"/>
      <c r="W54" s="214"/>
      <c r="X54" s="214"/>
      <c r="Y54" s="214"/>
      <c r="Z54" s="214"/>
      <c r="AA54" s="276"/>
      <c r="AB54" s="276"/>
      <c r="AC54" s="276"/>
      <c r="AD54" s="282"/>
      <c r="AE54" s="214"/>
      <c r="AF54" s="220"/>
      <c r="AG54" s="225"/>
      <c r="AH54" s="214"/>
      <c r="AI54" s="276"/>
      <c r="AJ54" s="276"/>
      <c r="AK54" s="214"/>
      <c r="AL54" s="214"/>
      <c r="AM54" s="214"/>
      <c r="AN54" s="235"/>
      <c r="AO54" s="217"/>
      <c r="AP54" s="224"/>
      <c r="AQ54" s="224"/>
      <c r="AR54" s="224"/>
      <c r="AS54" s="221"/>
      <c r="AT54" s="221"/>
      <c r="AU54" s="224"/>
      <c r="AV54" s="288"/>
      <c r="AW54" s="214"/>
      <c r="AX54" s="214"/>
      <c r="AY54" s="240"/>
      <c r="AZ54" s="323"/>
    </row>
    <row r="55" customFormat="false" ht="11.1" hidden="false" customHeight="true" outlineLevel="0" collapsed="false">
      <c r="A55" s="173"/>
      <c r="B55" s="162"/>
      <c r="C55" s="2"/>
      <c r="D55" s="12"/>
      <c r="E55" s="2"/>
      <c r="F55" s="1"/>
      <c r="G55" s="1"/>
      <c r="H55" s="4"/>
      <c r="I55" s="12"/>
      <c r="J55" s="12"/>
      <c r="K55" s="466"/>
      <c r="L55" s="105"/>
      <c r="M55" s="12"/>
      <c r="N55" s="12"/>
      <c r="O55" s="12"/>
      <c r="P55" s="5"/>
      <c r="Q55" s="12"/>
      <c r="R55" s="12"/>
      <c r="S55" s="12"/>
      <c r="T55" s="5"/>
      <c r="U55" s="12"/>
      <c r="V55" s="12"/>
      <c r="W55" s="12"/>
      <c r="X55" s="12"/>
      <c r="Y55" s="12"/>
      <c r="Z55" s="12"/>
      <c r="AA55" s="1"/>
      <c r="AB55" s="1"/>
      <c r="AC55" s="1"/>
      <c r="AD55" s="7"/>
      <c r="AE55" s="12"/>
      <c r="AF55" s="12"/>
      <c r="AG55" s="12"/>
      <c r="AH55" s="12"/>
      <c r="AI55" s="2"/>
      <c r="AJ55" s="102"/>
      <c r="AK55" s="2"/>
      <c r="AL55" s="173"/>
      <c r="AM55" s="173"/>
      <c r="AN55" s="171"/>
      <c r="AO55" s="171"/>
      <c r="AP55" s="330"/>
      <c r="AV55" s="167"/>
      <c r="AX55" s="168"/>
    </row>
    <row r="56" customFormat="false" ht="11.1" hidden="false" customHeight="true" outlineLevel="0" collapsed="false">
      <c r="A56" s="173"/>
      <c r="B56" s="447"/>
      <c r="C56" s="2"/>
      <c r="D56" s="1"/>
      <c r="E56" s="443"/>
      <c r="F56" s="176"/>
      <c r="G56" s="1"/>
      <c r="H56" s="486"/>
      <c r="I56" s="13"/>
      <c r="J56" s="12"/>
      <c r="K56" s="163"/>
      <c r="L56" s="12"/>
      <c r="M56" s="12"/>
      <c r="N56" s="2"/>
      <c r="O56" s="2"/>
      <c r="P56" s="487"/>
      <c r="Q56" s="470"/>
      <c r="R56" s="90"/>
      <c r="S56" s="90"/>
      <c r="T56" s="90"/>
      <c r="U56" s="28"/>
      <c r="V56" s="128"/>
      <c r="W56" s="87"/>
      <c r="X56" s="87"/>
      <c r="Y56" s="87"/>
      <c r="Z56" s="87"/>
      <c r="AA56" s="105"/>
      <c r="AB56" s="105"/>
      <c r="AC56" s="80"/>
      <c r="AD56" s="80"/>
      <c r="AE56" s="2"/>
      <c r="AF56" s="2"/>
      <c r="AG56" s="2"/>
      <c r="AH56" s="12"/>
      <c r="AI56" s="2"/>
      <c r="AJ56" s="102"/>
      <c r="AK56" s="102"/>
      <c r="AL56" s="176"/>
      <c r="AM56" s="444"/>
      <c r="AN56" s="488"/>
      <c r="AO56" s="489"/>
      <c r="AP56" s="330"/>
      <c r="AQ56" s="444"/>
      <c r="AR56" s="444"/>
      <c r="AS56" s="413"/>
      <c r="AT56" s="169"/>
      <c r="AU56" s="297"/>
      <c r="AV56" s="297"/>
      <c r="AW56" s="297"/>
      <c r="AX56" s="297"/>
    </row>
    <row r="57" customFormat="false" ht="11.1" hidden="false" customHeight="true" outlineLevel="0" collapsed="false">
      <c r="D57" s="105"/>
      <c r="E57" s="443"/>
      <c r="F57" s="1"/>
      <c r="G57" s="1"/>
      <c r="I57" s="1"/>
      <c r="J57" s="1"/>
      <c r="K57" s="467"/>
      <c r="L57" s="168"/>
      <c r="M57" s="4"/>
      <c r="N57" s="4"/>
      <c r="O57" s="168"/>
      <c r="Q57" s="168"/>
      <c r="R57" s="168"/>
      <c r="S57" s="28"/>
      <c r="T57" s="90"/>
      <c r="U57" s="28"/>
      <c r="V57" s="28"/>
      <c r="W57" s="87"/>
      <c r="X57" s="87"/>
      <c r="Y57" s="87"/>
      <c r="Z57" s="87"/>
      <c r="AA57" s="168"/>
      <c r="AB57" s="168"/>
      <c r="AC57" s="168"/>
      <c r="AD57" s="168"/>
      <c r="AE57" s="105"/>
      <c r="AF57" s="105"/>
      <c r="AG57" s="105"/>
      <c r="AH57" s="87"/>
      <c r="AI57" s="105"/>
      <c r="AJ57" s="208"/>
      <c r="AK57" s="105"/>
      <c r="AM57" s="443"/>
      <c r="AN57" s="169"/>
      <c r="AO57" s="169"/>
      <c r="AP57" s="330"/>
    </row>
    <row r="58" customFormat="false" ht="11.1" hidden="false" customHeight="true" outlineLevel="0" collapsed="false">
      <c r="G58" s="256"/>
      <c r="AN58" s="169"/>
      <c r="AO58" s="169"/>
      <c r="AP58" s="330"/>
    </row>
  </sheetData>
  <mergeCells count="1">
    <mergeCell ref="M5:T5"/>
  </mergeCells>
  <printOptions headings="true" gridLines="true" gridLinesSet="true" horizontalCentered="true" verticalCentered="true"/>
  <pageMargins left="0.25" right="0.25" top="0.25" bottom="0" header="0.511811023622047" footer="0.511811023622047"/>
  <pageSetup paperSize="3" scale="96"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1"/>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1" ySplit="12" topLeftCell="B40" activePane="bottomRight" state="frozen"/>
      <selection pane="topLeft" activeCell="A1" activeCellId="0" sqref="A1"/>
      <selection pane="topRight" activeCell="B1" activeCellId="0" sqref="B1"/>
      <selection pane="bottomLeft" activeCell="A40" activeCellId="0" sqref="A40"/>
      <selection pane="bottomRight" activeCell="Y7" activeCellId="1" sqref="E20:E43 Y7"/>
    </sheetView>
  </sheetViews>
  <sheetFormatPr defaultColWidth="9.3359375" defaultRowHeight="11.1" zeroHeight="false" outlineLevelRow="0" outlineLevelCol="0"/>
  <cols>
    <col collapsed="false" customWidth="true" hidden="false" outlineLevel="0" max="1" min="1" style="9" width="4.67"/>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174" width="5.67"/>
    <col collapsed="false" customWidth="true" hidden="false" outlineLevel="0" max="11" min="9" style="9" width="6.32"/>
    <col collapsed="false" customWidth="true" hidden="false" outlineLevel="0" max="12" min="12" style="9" width="7.16"/>
    <col collapsed="false" customWidth="true" hidden="false" outlineLevel="0" max="13" min="13" style="166" width="6.99"/>
    <col collapsed="false" customWidth="true" hidden="false" outlineLevel="0" max="14" min="14" style="166" width="4.49"/>
    <col collapsed="false" customWidth="true" hidden="false" outlineLevel="0" max="15" min="15" style="166" width="5.49"/>
    <col collapsed="false" customWidth="true" hidden="false" outlineLevel="0" max="16" min="16" style="167" width="4.82"/>
    <col collapsed="false" customWidth="true" hidden="false" outlineLevel="0" max="19" min="17" style="9" width="4.32"/>
    <col collapsed="false" customWidth="true" hidden="false" outlineLevel="0" max="20" min="20" style="167" width="5.49"/>
    <col collapsed="false" customWidth="true" hidden="false" outlineLevel="0" max="21" min="21" style="9" width="5.49"/>
    <col collapsed="false" customWidth="true" hidden="false" outlineLevel="0" max="22" min="22" style="105" width="5.49"/>
    <col collapsed="false" customWidth="true" hidden="false" outlineLevel="0" max="26" min="23" style="9" width="6.32"/>
    <col collapsed="false" customWidth="true" hidden="false" outlineLevel="0" max="28" min="27" style="9" width="5.49"/>
    <col collapsed="false" customWidth="true" hidden="false" outlineLevel="0" max="30" min="29" style="105" width="6.32"/>
    <col collapsed="false" customWidth="true" hidden="false" outlineLevel="0" max="33" min="31" style="9" width="5.49"/>
    <col collapsed="false" customWidth="true" hidden="false" outlineLevel="0" max="34" min="34" style="9" width="6.32"/>
    <col collapsed="false" customWidth="true" hidden="false" outlineLevel="0" max="35" min="35" style="9" width="5.49"/>
    <col collapsed="false" customWidth="true" hidden="false" outlineLevel="0" max="36" min="36" style="169" width="6.32"/>
    <col collapsed="false" customWidth="true" hidden="false" outlineLevel="0" max="37" min="37" style="167" width="6.32"/>
    <col collapsed="false" customWidth="true" hidden="false" outlineLevel="0" max="38" min="38" style="165" width="6.99"/>
    <col collapsed="false" customWidth="true" hidden="false" outlineLevel="0" max="39" min="39" style="168" width="6.99"/>
    <col collapsed="false" customWidth="true" hidden="false" outlineLevel="0" max="41" min="40" style="444" width="5.49"/>
    <col collapsed="false" customWidth="true" hidden="false" outlineLevel="0" max="42" min="42" style="412" width="6.32"/>
    <col collapsed="false" customWidth="true" hidden="false" outlineLevel="0" max="45" min="43" style="169" width="6.32"/>
    <col collapsed="false" customWidth="true" hidden="false" outlineLevel="0" max="46" min="46" style="169" width="5.82"/>
    <col collapsed="false" customWidth="true" hidden="false" outlineLevel="0" max="47" min="47" style="330" width="4.99"/>
    <col collapsed="false" customWidth="true" hidden="false" outlineLevel="0" max="48" min="48" style="171" width="5.32"/>
    <col collapsed="false" customWidth="true" hidden="false" outlineLevel="0" max="50" min="49" style="9" width="3.82"/>
    <col collapsed="false" customWidth="true" hidden="false" outlineLevel="0" max="51" min="51" style="172" width="4.32"/>
    <col collapsed="false" customWidth="true" hidden="false" outlineLevel="0" max="52" min="52" style="172" width="6.49"/>
    <col collapsed="false" customWidth="false" hidden="false" outlineLevel="0" max="257" min="53" style="172" width="9.32"/>
  </cols>
  <sheetData>
    <row r="1" customFormat="false" ht="14.1" hidden="false" customHeight="true" outlineLevel="0" collapsed="false">
      <c r="A1" s="173"/>
      <c r="B1" s="173"/>
      <c r="D1" s="173"/>
      <c r="F1" s="173"/>
      <c r="G1" s="173"/>
      <c r="I1" s="173"/>
      <c r="J1" s="173"/>
      <c r="K1" s="175" t="s">
        <v>0</v>
      </c>
      <c r="L1" s="173"/>
      <c r="M1" s="173"/>
      <c r="N1" s="173"/>
      <c r="O1" s="173"/>
      <c r="Q1" s="167"/>
      <c r="R1" s="167"/>
      <c r="S1" s="167"/>
      <c r="U1" s="173"/>
      <c r="V1" s="173"/>
      <c r="W1" s="105"/>
      <c r="X1" s="105"/>
      <c r="Y1" s="105"/>
      <c r="Z1" s="105"/>
      <c r="AA1" s="173"/>
      <c r="AB1" s="173"/>
      <c r="AC1" s="173"/>
      <c r="AD1" s="173"/>
      <c r="AE1" s="173"/>
      <c r="AF1" s="173"/>
      <c r="AG1" s="173"/>
      <c r="AH1" s="105"/>
      <c r="AI1" s="173"/>
      <c r="AJ1" s="176"/>
      <c r="AK1" s="173"/>
      <c r="AL1" s="173"/>
      <c r="AM1" s="167"/>
      <c r="AN1" s="176"/>
      <c r="AO1" s="176"/>
      <c r="AQ1" s="444"/>
      <c r="AR1" s="444"/>
      <c r="AS1" s="413"/>
      <c r="AV1" s="165"/>
      <c r="AW1" s="168"/>
      <c r="AX1" s="171"/>
    </row>
    <row r="2" customFormat="false" ht="14.1" hidden="false" customHeight="true" outlineLevel="0" collapsed="false">
      <c r="A2" s="176" t="s">
        <v>1</v>
      </c>
      <c r="B2" s="173"/>
      <c r="D2" s="177" t="n">
        <v>1.9835</v>
      </c>
      <c r="F2" s="173"/>
      <c r="G2" s="173"/>
      <c r="I2" s="173"/>
      <c r="J2" s="173"/>
      <c r="K2" s="178" t="s">
        <v>127</v>
      </c>
      <c r="L2" s="178"/>
      <c r="M2" s="178"/>
      <c r="N2" s="178"/>
      <c r="O2" s="178"/>
      <c r="P2" s="178"/>
      <c r="Q2" s="178"/>
      <c r="R2" s="178"/>
      <c r="S2" s="178"/>
      <c r="T2" s="178"/>
      <c r="U2" s="178"/>
      <c r="V2" s="178"/>
      <c r="W2" s="178"/>
      <c r="X2" s="178"/>
      <c r="Y2" s="178"/>
      <c r="Z2" s="178"/>
      <c r="AA2" s="274" t="s">
        <v>102</v>
      </c>
      <c r="AB2" s="274"/>
      <c r="AC2" s="274"/>
      <c r="AD2" s="274"/>
      <c r="AE2" s="173"/>
      <c r="AF2" s="173"/>
      <c r="AG2" s="173"/>
      <c r="AH2" s="105"/>
      <c r="AI2" s="173"/>
      <c r="AJ2" s="176"/>
      <c r="AK2" s="173"/>
      <c r="AL2" s="173"/>
      <c r="AM2" s="167"/>
      <c r="AN2" s="176"/>
      <c r="AO2" s="176"/>
      <c r="AQ2" s="444"/>
      <c r="AR2" s="444"/>
      <c r="AS2" s="413"/>
      <c r="AV2" s="165"/>
      <c r="AW2" s="168"/>
      <c r="AX2" s="171"/>
    </row>
    <row r="3" customFormat="false" ht="14.1" hidden="false" customHeight="true" outlineLevel="0" collapsed="false">
      <c r="A3" s="179"/>
      <c r="B3" s="179"/>
      <c r="C3" s="180"/>
      <c r="D3" s="181"/>
      <c r="E3" s="180"/>
      <c r="F3" s="179"/>
      <c r="G3" s="179"/>
      <c r="H3" s="182"/>
      <c r="I3" s="179"/>
      <c r="J3" s="179"/>
      <c r="K3" s="179"/>
      <c r="L3" s="179"/>
      <c r="M3" s="179"/>
      <c r="N3" s="179"/>
      <c r="O3" s="180"/>
      <c r="P3" s="183"/>
      <c r="Q3" s="183"/>
      <c r="R3" s="183"/>
      <c r="S3" s="183"/>
      <c r="T3" s="183"/>
      <c r="U3" s="179"/>
      <c r="V3" s="179"/>
      <c r="W3" s="180"/>
      <c r="X3" s="180"/>
      <c r="Y3" s="180"/>
      <c r="Z3" s="180"/>
      <c r="AA3" s="179"/>
      <c r="AB3" s="179"/>
      <c r="AC3" s="179"/>
      <c r="AD3" s="179"/>
      <c r="AE3" s="179"/>
      <c r="AF3" s="179"/>
      <c r="AG3" s="179"/>
      <c r="AH3" s="180"/>
      <c r="AI3" s="179"/>
      <c r="AJ3" s="186"/>
      <c r="AK3" s="179"/>
      <c r="AL3" s="179"/>
      <c r="AM3" s="183"/>
      <c r="AN3" s="186"/>
      <c r="AO3" s="186"/>
      <c r="AP3" s="490"/>
      <c r="AQ3" s="491"/>
      <c r="AR3" s="444"/>
      <c r="AS3" s="413"/>
      <c r="AV3" s="189"/>
      <c r="AW3" s="184"/>
      <c r="AX3" s="190"/>
    </row>
    <row r="4" s="9" customFormat="true" ht="14.1" hidden="false" customHeight="true" outlineLevel="0" collapsed="false">
      <c r="A4" s="173"/>
      <c r="B4" s="389"/>
      <c r="C4" s="390"/>
      <c r="D4" s="391" t="s">
        <v>3</v>
      </c>
      <c r="E4" s="390"/>
      <c r="F4" s="492"/>
      <c r="G4" s="173"/>
      <c r="H4" s="174"/>
      <c r="I4" s="173"/>
      <c r="J4" s="173"/>
      <c r="K4" s="173"/>
      <c r="L4" s="173"/>
      <c r="M4" s="173"/>
      <c r="N4" s="173"/>
      <c r="O4" s="173"/>
      <c r="P4" s="167"/>
      <c r="Q4" s="167"/>
      <c r="R4" s="167"/>
      <c r="S4" s="167"/>
      <c r="T4" s="167"/>
      <c r="U4" s="398" t="s">
        <v>4</v>
      </c>
      <c r="V4" s="173"/>
      <c r="W4" s="105"/>
      <c r="X4" s="105"/>
      <c r="Y4" s="105"/>
      <c r="Z4" s="105"/>
      <c r="AA4" s="173"/>
      <c r="AB4" s="173"/>
      <c r="AC4" s="173"/>
      <c r="AD4" s="173"/>
      <c r="AE4" s="173"/>
      <c r="AF4" s="173"/>
      <c r="AG4" s="173"/>
      <c r="AH4" s="105"/>
      <c r="AI4" s="173"/>
      <c r="AJ4" s="176"/>
      <c r="AK4" s="173"/>
      <c r="AL4" s="173"/>
      <c r="AM4" s="167"/>
      <c r="AN4" s="493"/>
      <c r="AO4" s="176"/>
      <c r="AP4" s="494" t="s">
        <v>5</v>
      </c>
      <c r="AQ4" s="495"/>
      <c r="AR4" s="496"/>
      <c r="AS4" s="497"/>
      <c r="AT4" s="498"/>
      <c r="AU4" s="399"/>
      <c r="AV4" s="400"/>
      <c r="AW4" s="401" t="s">
        <v>6</v>
      </c>
      <c r="AX4" s="402"/>
      <c r="AY4" s="403"/>
      <c r="AZ4" s="404"/>
    </row>
    <row r="5" customFormat="false" ht="12.95" hidden="false" customHeight="true" outlineLevel="0" collapsed="false">
      <c r="A5" s="259" t="s">
        <v>7</v>
      </c>
      <c r="B5" s="405" t="s">
        <v>8</v>
      </c>
      <c r="C5" s="59" t="s">
        <v>8</v>
      </c>
      <c r="D5" s="259" t="s">
        <v>9</v>
      </c>
      <c r="E5" s="59" t="s">
        <v>10</v>
      </c>
      <c r="F5" s="259" t="s">
        <v>11</v>
      </c>
      <c r="G5" s="405" t="s">
        <v>12</v>
      </c>
      <c r="H5" s="413" t="s">
        <v>13</v>
      </c>
      <c r="I5" s="259" t="s">
        <v>14</v>
      </c>
      <c r="J5" s="259" t="s">
        <v>15</v>
      </c>
      <c r="K5" s="259" t="s">
        <v>16</v>
      </c>
      <c r="L5" s="259" t="s">
        <v>15</v>
      </c>
      <c r="M5" s="409" t="s">
        <v>17</v>
      </c>
      <c r="N5" s="409"/>
      <c r="O5" s="409"/>
      <c r="P5" s="409"/>
      <c r="Q5" s="409"/>
      <c r="R5" s="409"/>
      <c r="S5" s="409"/>
      <c r="T5" s="409"/>
      <c r="U5" s="259" t="s">
        <v>18</v>
      </c>
      <c r="V5" s="259" t="s">
        <v>19</v>
      </c>
      <c r="W5" s="259" t="s">
        <v>16</v>
      </c>
      <c r="X5" s="259" t="s">
        <v>16</v>
      </c>
      <c r="Y5" s="59" t="s">
        <v>16</v>
      </c>
      <c r="Z5" s="259" t="s">
        <v>16</v>
      </c>
      <c r="AA5" s="59" t="s">
        <v>21</v>
      </c>
      <c r="AB5" s="59" t="s">
        <v>21</v>
      </c>
      <c r="AC5" s="59" t="s">
        <v>22</v>
      </c>
      <c r="AD5" s="59" t="s">
        <v>21</v>
      </c>
      <c r="AE5" s="259" t="s">
        <v>23</v>
      </c>
      <c r="AF5" s="410" t="s">
        <v>115</v>
      </c>
      <c r="AG5" s="411"/>
      <c r="AH5" s="412" t="s">
        <v>25</v>
      </c>
      <c r="AI5" s="59" t="s">
        <v>116</v>
      </c>
      <c r="AJ5" s="59" t="s">
        <v>27</v>
      </c>
      <c r="AK5" s="259" t="s">
        <v>14</v>
      </c>
      <c r="AL5" s="259" t="s">
        <v>15</v>
      </c>
      <c r="AM5" s="259" t="s">
        <v>16</v>
      </c>
      <c r="AN5" s="451" t="s">
        <v>28</v>
      </c>
      <c r="AO5" s="60" t="s">
        <v>21</v>
      </c>
      <c r="AP5" s="66" t="s">
        <v>29</v>
      </c>
      <c r="AQ5" s="66" t="s">
        <v>29</v>
      </c>
      <c r="AR5" s="61" t="s">
        <v>30</v>
      </c>
      <c r="AS5" s="67" t="s">
        <v>31</v>
      </c>
      <c r="AT5" s="413" t="s">
        <v>32</v>
      </c>
      <c r="AU5" s="68" t="s">
        <v>33</v>
      </c>
      <c r="AV5" s="414" t="s">
        <v>34</v>
      </c>
      <c r="AW5" s="412" t="s">
        <v>35</v>
      </c>
      <c r="AX5" s="412" t="s">
        <v>36</v>
      </c>
      <c r="AY5" s="303"/>
      <c r="AZ5" s="71" t="s">
        <v>16</v>
      </c>
    </row>
    <row r="6" customFormat="false" ht="12.95" hidden="false" customHeight="true" outlineLevel="0" collapsed="false">
      <c r="A6" s="415" t="s">
        <v>128</v>
      </c>
      <c r="B6" s="405" t="s">
        <v>38</v>
      </c>
      <c r="C6" s="59"/>
      <c r="D6" s="259" t="s">
        <v>39</v>
      </c>
      <c r="E6" s="59" t="s">
        <v>40</v>
      </c>
      <c r="F6" s="259" t="s">
        <v>41</v>
      </c>
      <c r="G6" s="405" t="s">
        <v>42</v>
      </c>
      <c r="H6" s="413" t="s">
        <v>43</v>
      </c>
      <c r="I6" s="259" t="s">
        <v>44</v>
      </c>
      <c r="J6" s="259" t="s">
        <v>44</v>
      </c>
      <c r="K6" s="259" t="s">
        <v>44</v>
      </c>
      <c r="L6" s="259" t="s">
        <v>45</v>
      </c>
      <c r="M6" s="416" t="s">
        <v>46</v>
      </c>
      <c r="N6" s="417" t="s">
        <v>47</v>
      </c>
      <c r="O6" s="259" t="s">
        <v>48</v>
      </c>
      <c r="P6" s="417" t="s">
        <v>49</v>
      </c>
      <c r="Q6" s="259" t="s">
        <v>50</v>
      </c>
      <c r="R6" s="259" t="s">
        <v>51</v>
      </c>
      <c r="S6" s="259" t="s">
        <v>52</v>
      </c>
      <c r="T6" s="419" t="s">
        <v>53</v>
      </c>
      <c r="U6" s="259" t="s">
        <v>54</v>
      </c>
      <c r="V6" s="259" t="s">
        <v>55</v>
      </c>
      <c r="W6" s="259" t="s">
        <v>21</v>
      </c>
      <c r="X6" s="259" t="s">
        <v>21</v>
      </c>
      <c r="Y6" s="59" t="s">
        <v>21</v>
      </c>
      <c r="Z6" s="259" t="s">
        <v>21</v>
      </c>
      <c r="AA6" s="59" t="s">
        <v>56</v>
      </c>
      <c r="AB6" s="59" t="s">
        <v>57</v>
      </c>
      <c r="AC6" s="59" t="s">
        <v>58</v>
      </c>
      <c r="AD6" s="59" t="s">
        <v>59</v>
      </c>
      <c r="AE6" s="259" t="s">
        <v>60</v>
      </c>
      <c r="AF6" s="416"/>
      <c r="AG6" s="420"/>
      <c r="AH6" s="412" t="s">
        <v>63</v>
      </c>
      <c r="AI6" s="59" t="s">
        <v>64</v>
      </c>
      <c r="AJ6" s="59"/>
      <c r="AK6" s="259" t="s">
        <v>65</v>
      </c>
      <c r="AL6" s="259" t="s">
        <v>65</v>
      </c>
      <c r="AM6" s="259" t="s">
        <v>65</v>
      </c>
      <c r="AN6" s="451" t="s">
        <v>56</v>
      </c>
      <c r="AO6" s="60" t="s">
        <v>66</v>
      </c>
      <c r="AP6" s="66" t="s">
        <v>67</v>
      </c>
      <c r="AQ6" s="66" t="s">
        <v>67</v>
      </c>
      <c r="AR6" s="61" t="s">
        <v>68</v>
      </c>
      <c r="AS6" s="67" t="s">
        <v>69</v>
      </c>
      <c r="AT6" s="413" t="s">
        <v>70</v>
      </c>
      <c r="AU6" s="68" t="s">
        <v>71</v>
      </c>
      <c r="AV6" s="421"/>
      <c r="AW6" s="412" t="s">
        <v>72</v>
      </c>
      <c r="AX6" s="412" t="s">
        <v>72</v>
      </c>
      <c r="AY6" s="303"/>
      <c r="AZ6" s="71" t="s">
        <v>73</v>
      </c>
    </row>
    <row r="7" customFormat="false" ht="12.95" hidden="false" customHeight="true" outlineLevel="0" collapsed="false">
      <c r="A7" s="259"/>
      <c r="B7" s="405"/>
      <c r="C7" s="59"/>
      <c r="D7" s="259"/>
      <c r="E7" s="59"/>
      <c r="F7" s="259"/>
      <c r="G7" s="405"/>
      <c r="H7" s="413"/>
      <c r="I7" s="259"/>
      <c r="J7" s="259"/>
      <c r="K7" s="259"/>
      <c r="L7" s="259"/>
      <c r="M7" s="416"/>
      <c r="N7" s="417" t="s">
        <v>74</v>
      </c>
      <c r="O7" s="259" t="s">
        <v>75</v>
      </c>
      <c r="P7" s="417"/>
      <c r="Q7" s="259"/>
      <c r="R7" s="259"/>
      <c r="S7" s="259" t="s">
        <v>48</v>
      </c>
      <c r="T7" s="419" t="s">
        <v>27</v>
      </c>
      <c r="U7" s="259"/>
      <c r="V7" s="259"/>
      <c r="W7" s="59" t="s">
        <v>122</v>
      </c>
      <c r="X7" s="59" t="s">
        <v>76</v>
      </c>
      <c r="Y7" s="59" t="s">
        <v>76</v>
      </c>
      <c r="Z7" s="59" t="n">
        <v>105500</v>
      </c>
      <c r="AA7" s="59"/>
      <c r="AB7" s="59" t="s">
        <v>77</v>
      </c>
      <c r="AC7" s="59"/>
      <c r="AD7" s="59"/>
      <c r="AE7" s="259"/>
      <c r="AF7" s="422"/>
      <c r="AG7" s="423"/>
      <c r="AH7" s="412"/>
      <c r="AI7" s="59"/>
      <c r="AJ7" s="59"/>
      <c r="AK7" s="259"/>
      <c r="AL7" s="259"/>
      <c r="AM7" s="259"/>
      <c r="AN7" s="451"/>
      <c r="AO7" s="60" t="s">
        <v>41</v>
      </c>
      <c r="AP7" s="66" t="s">
        <v>78</v>
      </c>
      <c r="AQ7" s="66" t="s">
        <v>79</v>
      </c>
      <c r="AR7" s="61" t="s">
        <v>80</v>
      </c>
      <c r="AS7" s="67" t="s">
        <v>81</v>
      </c>
      <c r="AT7" s="413" t="s">
        <v>82</v>
      </c>
      <c r="AU7" s="68" t="s">
        <v>123</v>
      </c>
      <c r="AV7" s="421"/>
      <c r="AW7" s="412"/>
      <c r="AX7" s="412"/>
      <c r="AY7" s="303"/>
      <c r="AZ7" s="71" t="s">
        <v>88</v>
      </c>
    </row>
    <row r="8" customFormat="false" ht="12.95" hidden="false" customHeight="true" outlineLevel="0" collapsed="false">
      <c r="A8" s="259"/>
      <c r="B8" s="405"/>
      <c r="C8" s="59"/>
      <c r="D8" s="259"/>
      <c r="E8" s="59"/>
      <c r="F8" s="259"/>
      <c r="G8" s="405"/>
      <c r="H8" s="413"/>
      <c r="I8" s="259"/>
      <c r="J8" s="259"/>
      <c r="K8" s="259"/>
      <c r="L8" s="259"/>
      <c r="M8" s="416"/>
      <c r="N8" s="417"/>
      <c r="O8" s="59" t="n">
        <v>24517</v>
      </c>
      <c r="P8" s="417"/>
      <c r="Q8" s="259"/>
      <c r="R8" s="259"/>
      <c r="S8" s="259"/>
      <c r="T8" s="419"/>
      <c r="U8" s="259"/>
      <c r="V8" s="259"/>
      <c r="W8" s="59" t="s">
        <v>124</v>
      </c>
      <c r="X8" s="59" t="s">
        <v>125</v>
      </c>
      <c r="Y8" s="59" t="s">
        <v>125</v>
      </c>
      <c r="Z8" s="59" t="s">
        <v>125</v>
      </c>
      <c r="AA8" s="59"/>
      <c r="AB8" s="59"/>
      <c r="AC8" s="59"/>
      <c r="AD8" s="59"/>
      <c r="AE8" s="259"/>
      <c r="AF8" s="422"/>
      <c r="AG8" s="423"/>
      <c r="AH8" s="412"/>
      <c r="AI8" s="59"/>
      <c r="AJ8" s="59"/>
      <c r="AK8" s="259"/>
      <c r="AL8" s="259"/>
      <c r="AM8" s="259"/>
      <c r="AN8" s="451"/>
      <c r="AO8" s="60"/>
      <c r="AP8" s="66"/>
      <c r="AQ8" s="66"/>
      <c r="AR8" s="61"/>
      <c r="AS8" s="67"/>
      <c r="AT8" s="413"/>
      <c r="AU8" s="68"/>
      <c r="AV8" s="421"/>
      <c r="AW8" s="412"/>
      <c r="AX8" s="412"/>
      <c r="AY8" s="303"/>
      <c r="AZ8" s="71"/>
    </row>
    <row r="9" customFormat="false" ht="12.95" hidden="false" customHeight="true" outlineLevel="0" collapsed="false">
      <c r="A9" s="259"/>
      <c r="B9" s="405"/>
      <c r="C9" s="59" t="s">
        <v>9</v>
      </c>
      <c r="D9" s="259"/>
      <c r="E9" s="59" t="s">
        <v>85</v>
      </c>
      <c r="F9" s="259"/>
      <c r="G9" s="405" t="s">
        <v>41</v>
      </c>
      <c r="H9" s="413" t="s">
        <v>41</v>
      </c>
      <c r="I9" s="413" t="s">
        <v>41</v>
      </c>
      <c r="J9" s="413" t="s">
        <v>41</v>
      </c>
      <c r="K9" s="413" t="s">
        <v>41</v>
      </c>
      <c r="L9" s="413" t="s">
        <v>41</v>
      </c>
      <c r="M9" s="424" t="s">
        <v>41</v>
      </c>
      <c r="N9" s="413" t="s">
        <v>41</v>
      </c>
      <c r="O9" s="413" t="s">
        <v>41</v>
      </c>
      <c r="P9" s="413" t="s">
        <v>41</v>
      </c>
      <c r="Q9" s="413" t="s">
        <v>41</v>
      </c>
      <c r="R9" s="413" t="s">
        <v>41</v>
      </c>
      <c r="S9" s="259" t="s">
        <v>62</v>
      </c>
      <c r="T9" s="425" t="s">
        <v>41</v>
      </c>
      <c r="U9" s="413" t="s">
        <v>41</v>
      </c>
      <c r="V9" s="413" t="s">
        <v>41</v>
      </c>
      <c r="W9" s="413" t="s">
        <v>41</v>
      </c>
      <c r="X9" s="59" t="n">
        <v>150400</v>
      </c>
      <c r="Y9" s="59" t="n">
        <v>150400</v>
      </c>
      <c r="Z9" s="259" t="s">
        <v>126</v>
      </c>
      <c r="AA9" s="413" t="s">
        <v>41</v>
      </c>
      <c r="AB9" s="412" t="n">
        <v>72000</v>
      </c>
      <c r="AC9" s="413" t="s">
        <v>41</v>
      </c>
      <c r="AD9" s="413" t="s">
        <v>41</v>
      </c>
      <c r="AE9" s="413" t="s">
        <v>41</v>
      </c>
      <c r="AF9" s="424" t="s">
        <v>41</v>
      </c>
      <c r="AG9" s="425" t="s">
        <v>41</v>
      </c>
      <c r="AH9" s="413" t="s">
        <v>41</v>
      </c>
      <c r="AI9" s="413" t="s">
        <v>41</v>
      </c>
      <c r="AJ9" s="413" t="s">
        <v>41</v>
      </c>
      <c r="AK9" s="413" t="s">
        <v>41</v>
      </c>
      <c r="AL9" s="413" t="s">
        <v>41</v>
      </c>
      <c r="AM9" s="413" t="s">
        <v>41</v>
      </c>
      <c r="AN9" s="451" t="s">
        <v>85</v>
      </c>
      <c r="AO9" s="60" t="s">
        <v>41</v>
      </c>
      <c r="AP9" s="60" t="s">
        <v>41</v>
      </c>
      <c r="AQ9" s="66" t="s">
        <v>87</v>
      </c>
      <c r="AR9" s="61" t="s">
        <v>41</v>
      </c>
      <c r="AS9" s="60" t="s">
        <v>41</v>
      </c>
      <c r="AT9" s="60" t="s">
        <v>41</v>
      </c>
      <c r="AU9" s="60" t="s">
        <v>41</v>
      </c>
      <c r="AV9" s="421"/>
      <c r="AW9" s="412"/>
      <c r="AX9" s="412"/>
      <c r="AY9" s="303"/>
      <c r="AZ9" s="71" t="s">
        <v>41</v>
      </c>
    </row>
    <row r="10" customFormat="false" ht="12.95" hidden="false" customHeight="true" outlineLevel="0" collapsed="false">
      <c r="A10" s="259"/>
      <c r="B10" s="405"/>
      <c r="C10" s="59"/>
      <c r="D10" s="259"/>
      <c r="E10" s="59"/>
      <c r="F10" s="259"/>
      <c r="G10" s="405"/>
      <c r="H10" s="413"/>
      <c r="I10" s="259"/>
      <c r="J10" s="259"/>
      <c r="K10" s="259"/>
      <c r="L10" s="420"/>
      <c r="M10" s="259"/>
      <c r="N10" s="417" t="n">
        <v>1.03</v>
      </c>
      <c r="O10" s="418" t="n">
        <v>1.05</v>
      </c>
      <c r="P10" s="417" t="n">
        <v>1.02</v>
      </c>
      <c r="Q10" s="418" t="n">
        <v>1.02</v>
      </c>
      <c r="R10" s="418" t="n">
        <v>1.04</v>
      </c>
      <c r="S10" s="413" t="s">
        <v>41</v>
      </c>
      <c r="T10" s="419"/>
      <c r="U10" s="259"/>
      <c r="V10" s="259"/>
      <c r="W10" s="259"/>
      <c r="X10" s="413" t="s">
        <v>41</v>
      </c>
      <c r="Y10" s="59" t="s">
        <v>85</v>
      </c>
      <c r="Z10" s="259" t="s">
        <v>85</v>
      </c>
      <c r="AA10" s="59"/>
      <c r="AB10" s="259" t="s">
        <v>85</v>
      </c>
      <c r="AC10" s="59"/>
      <c r="AD10" s="59"/>
      <c r="AE10" s="420"/>
      <c r="AF10" s="274"/>
      <c r="AG10" s="423"/>
      <c r="AH10" s="412"/>
      <c r="AI10" s="59"/>
      <c r="AJ10" s="59"/>
      <c r="AK10" s="259"/>
      <c r="AL10" s="259"/>
      <c r="AM10" s="259"/>
      <c r="AN10" s="451"/>
      <c r="AO10" s="60"/>
      <c r="AP10" s="66"/>
      <c r="AQ10" s="66"/>
      <c r="AR10" s="61"/>
      <c r="AS10" s="84"/>
      <c r="AT10" s="330"/>
      <c r="AU10" s="169"/>
      <c r="AV10" s="421"/>
      <c r="AW10" s="412"/>
      <c r="AX10" s="412"/>
      <c r="AY10" s="303"/>
      <c r="AZ10" s="337"/>
    </row>
    <row r="11" s="213" customFormat="true" ht="12.95" hidden="false" customHeight="true" outlineLevel="0" collapsed="false">
      <c r="A11" s="176" t="s">
        <v>89</v>
      </c>
      <c r="B11" s="263"/>
      <c r="C11" s="105"/>
      <c r="D11" s="105"/>
      <c r="E11" s="105"/>
      <c r="F11" s="264" t="n">
        <f aca="false">JUL!F49</f>
        <v>24375.0945298714</v>
      </c>
      <c r="G11" s="105" t="n">
        <f aca="false">JUL!G49</f>
        <v>116071</v>
      </c>
      <c r="H11" s="105" t="n">
        <f aca="false">JUL!H49</f>
        <v>4354.68</v>
      </c>
      <c r="I11" s="105" t="n">
        <f aca="false">JUL!I49</f>
        <v>120425.68</v>
      </c>
      <c r="J11" s="105" t="n">
        <f aca="false">JUL!J49</f>
        <v>9786.59950844467</v>
      </c>
      <c r="K11" s="105" t="n">
        <f aca="false">JUL!K49</f>
        <v>130212.279508445</v>
      </c>
      <c r="L11" s="499" t="n">
        <f aca="false">JUL!L49</f>
        <v>7860.01452987144</v>
      </c>
      <c r="M11" s="105" t="n">
        <f aca="false">JUL!M49</f>
        <v>31305.5</v>
      </c>
      <c r="N11" s="105" t="n">
        <f aca="false">JUL!N49</f>
        <v>229.945234</v>
      </c>
      <c r="O11" s="105" t="n">
        <f aca="false">JUL!O49</f>
        <v>9588.7197</v>
      </c>
      <c r="P11" s="105" t="n">
        <f aca="false">JUL!P49</f>
        <v>7.365</v>
      </c>
      <c r="Q11" s="167"/>
      <c r="R11" s="167"/>
      <c r="S11" s="167"/>
      <c r="T11" s="266"/>
      <c r="U11" s="105" t="n">
        <f aca="false">JUL!U49</f>
        <v>14814.3</v>
      </c>
      <c r="V11" s="105" t="n">
        <f aca="false">JUL!V49</f>
        <v>7207</v>
      </c>
      <c r="W11" s="105" t="n">
        <f aca="false">JUL!W49</f>
        <v>42076.623271</v>
      </c>
      <c r="X11" s="105" t="n">
        <f aca="false">JUL!X49</f>
        <v>40950.53952</v>
      </c>
      <c r="Y11" s="105"/>
      <c r="Z11" s="105"/>
      <c r="AA11" s="105" t="n">
        <f aca="false">JUL!AA49</f>
        <v>0</v>
      </c>
      <c r="AB11" s="105" t="n">
        <f aca="false">JUL!AB50</f>
        <v>61575.2275546874</v>
      </c>
      <c r="AC11" s="105" t="n">
        <f aca="false">JUL!AC49</f>
        <v>0</v>
      </c>
      <c r="AD11" s="105" t="n">
        <f aca="false">JUL!AD49</f>
        <v>646.475609</v>
      </c>
      <c r="AE11" s="499" t="n">
        <f aca="false">JUL!AE49</f>
        <v>18178.8</v>
      </c>
      <c r="AF11" s="105" t="n">
        <f aca="false">JUL!AF49</f>
        <v>207.4</v>
      </c>
      <c r="AG11" s="499" t="n">
        <f aca="false">JUL!AG49</f>
        <v>158.6</v>
      </c>
      <c r="AH11" s="105"/>
      <c r="AI11" s="105"/>
      <c r="AJ11" s="105"/>
      <c r="AK11" s="105" t="n">
        <f aca="false">JUL!AK49</f>
        <v>103910.6</v>
      </c>
      <c r="AL11" s="105" t="n">
        <f aca="false">JUL!AL49</f>
        <v>1926.58497857323</v>
      </c>
      <c r="AM11" s="105" t="n">
        <f aca="false">JUL!AM49</f>
        <v>105837.184978573</v>
      </c>
      <c r="AN11" s="267"/>
      <c r="AO11" s="171"/>
      <c r="AP11" s="166" t="n">
        <f aca="false">[1]JUL!AP45</f>
        <v>0</v>
      </c>
      <c r="AQ11" s="167" t="n">
        <f aca="false">JUL!AQ50</f>
        <v>287.029610244458</v>
      </c>
      <c r="AR11" s="167"/>
      <c r="AS11" s="167" t="n">
        <f aca="false">JUL!AS49</f>
        <v>675.57</v>
      </c>
      <c r="AT11" s="167" t="n">
        <f aca="false">JUL!AT49</f>
        <v>411.411015</v>
      </c>
      <c r="AU11" s="167" t="n">
        <f aca="false">JUL!AU49</f>
        <v>0</v>
      </c>
      <c r="AV11" s="268"/>
      <c r="AW11" s="168"/>
      <c r="AX11" s="168"/>
      <c r="AY11" s="303"/>
      <c r="AZ11" s="337"/>
    </row>
    <row r="12" customFormat="false" ht="12.95" hidden="false" customHeight="true" outlineLevel="0" collapsed="false">
      <c r="A12" s="208" t="s">
        <v>90</v>
      </c>
      <c r="B12" s="269" t="n">
        <f aca="false">JUL!B44</f>
        <v>6912.39</v>
      </c>
      <c r="C12" s="500" t="n">
        <f aca="false">JUL!C44</f>
        <v>331634</v>
      </c>
      <c r="D12" s="105" t="n">
        <f aca="false">JUL!D53</f>
        <v>46833</v>
      </c>
      <c r="E12" s="105" t="n">
        <f aca="false">JUL!E53</f>
        <v>179634</v>
      </c>
      <c r="F12" s="264" t="n">
        <f aca="false">JUL!F52</f>
        <v>23611.2931686413</v>
      </c>
      <c r="G12" s="105" t="n">
        <f aca="false">JUL!G52</f>
        <v>127071</v>
      </c>
      <c r="H12" s="105" t="n">
        <f aca="false">JUL!H52</f>
        <v>4894.81</v>
      </c>
      <c r="I12" s="105" t="n">
        <f aca="false">JUL!I52</f>
        <v>131965.81</v>
      </c>
      <c r="J12" s="105" t="n">
        <f aca="false">JUL!J52</f>
        <v>13092.7333929922</v>
      </c>
      <c r="K12" s="105" t="n">
        <f aca="false">JUL!K52</f>
        <v>145058.543392992</v>
      </c>
      <c r="L12" s="499" t="n">
        <f aca="false">JUL!L52</f>
        <v>10231.9831686413</v>
      </c>
      <c r="M12" s="105" t="n">
        <f aca="false">JUL!M50</f>
        <v>62094.45925</v>
      </c>
      <c r="N12" s="105" t="n">
        <f aca="false">JUL!N52</f>
        <v>229.945234</v>
      </c>
      <c r="O12" s="105" t="n">
        <f aca="false">JUL!O52</f>
        <v>9588.7197</v>
      </c>
      <c r="Q12" s="105" t="n">
        <f aca="false">JUL!Q52</f>
        <v>535.3674</v>
      </c>
      <c r="R12" s="105" t="n">
        <f aca="false">JUL!R52</f>
        <v>852.85</v>
      </c>
      <c r="S12" s="105" t="n">
        <f aca="false">JUL!S52</f>
        <v>285.98</v>
      </c>
      <c r="T12" s="499" t="n">
        <f aca="false">JUL!T52</f>
        <v>-71.5154</v>
      </c>
      <c r="U12" s="105" t="n">
        <f aca="false">JUL!U52</f>
        <v>22244.3</v>
      </c>
      <c r="V12" s="105" t="n">
        <f aca="false">JUL!V52</f>
        <v>7283.3</v>
      </c>
      <c r="W12" s="105" t="n">
        <f aca="false">JUL!W52</f>
        <v>49907.377051</v>
      </c>
      <c r="X12" s="105" t="n">
        <f aca="false">JUL!X52</f>
        <v>48328.0245</v>
      </c>
      <c r="Y12" s="105" t="n">
        <f aca="false">JUL!Y44</f>
        <v>95858.63659575</v>
      </c>
      <c r="Z12" s="105" t="n">
        <f aca="false">JUL!Z44</f>
        <v>67861.495262787</v>
      </c>
      <c r="AA12" s="105"/>
      <c r="AB12" s="105"/>
      <c r="AE12" s="501"/>
      <c r="AF12" s="104"/>
      <c r="AG12" s="250"/>
      <c r="AH12" s="105" t="n">
        <f aca="false">JUL!AH52</f>
        <v>38656</v>
      </c>
      <c r="AI12" s="105" t="n">
        <f aca="false">JUL!AI52</f>
        <v>9419.25787748929</v>
      </c>
      <c r="AJ12" s="105" t="n">
        <f aca="false">JUL!AJ52</f>
        <v>25793</v>
      </c>
      <c r="AK12" s="105" t="n">
        <f aca="false">JUL!AK52</f>
        <v>118586.5</v>
      </c>
      <c r="AL12" s="105" t="n">
        <f aca="false">JUL!AL52</f>
        <v>2860.75022435089</v>
      </c>
      <c r="AM12" s="105" t="n">
        <f aca="false">JUL!AM52</f>
        <v>121447.250224351</v>
      </c>
      <c r="AN12" s="500" t="n">
        <f aca="false">JUL!AN53</f>
        <v>14794.787655</v>
      </c>
      <c r="AO12" s="105" t="n">
        <f aca="false">JUL!AO52</f>
        <v>1260.402145</v>
      </c>
      <c r="AP12" s="171"/>
      <c r="AQ12" s="167"/>
      <c r="AR12" s="167"/>
      <c r="AS12" s="168"/>
      <c r="AT12" s="168"/>
      <c r="AU12" s="166"/>
      <c r="AV12" s="205" t="n">
        <f aca="false">JUL!AV52</f>
        <v>7</v>
      </c>
      <c r="AW12" s="168"/>
      <c r="AX12" s="168"/>
      <c r="AY12" s="306"/>
      <c r="AZ12" s="502" t="n">
        <f aca="false">JUL!AZ52</f>
        <v>1844.192234</v>
      </c>
    </row>
    <row r="13" customFormat="false" ht="3" hidden="false" customHeight="true" outlineLevel="0" collapsed="false">
      <c r="A13" s="214"/>
      <c r="B13" s="275"/>
      <c r="C13" s="276"/>
      <c r="D13" s="214"/>
      <c r="E13" s="276"/>
      <c r="F13" s="277"/>
      <c r="G13" s="214"/>
      <c r="H13" s="503"/>
      <c r="I13" s="214"/>
      <c r="J13" s="214"/>
      <c r="K13" s="214"/>
      <c r="L13" s="504"/>
      <c r="M13" s="214"/>
      <c r="N13" s="214"/>
      <c r="O13" s="214"/>
      <c r="P13" s="280"/>
      <c r="Q13" s="280"/>
      <c r="R13" s="280"/>
      <c r="S13" s="280"/>
      <c r="T13" s="281"/>
      <c r="U13" s="214"/>
      <c r="V13" s="214"/>
      <c r="W13" s="214"/>
      <c r="X13" s="214"/>
      <c r="Y13" s="214"/>
      <c r="Z13" s="214"/>
      <c r="AA13" s="276"/>
      <c r="AB13" s="276"/>
      <c r="AC13" s="276"/>
      <c r="AD13" s="276"/>
      <c r="AE13" s="214"/>
      <c r="AF13" s="220"/>
      <c r="AG13" s="225"/>
      <c r="AH13" s="214"/>
      <c r="AI13" s="276"/>
      <c r="AJ13" s="276"/>
      <c r="AK13" s="214"/>
      <c r="AL13" s="214"/>
      <c r="AM13" s="214"/>
      <c r="AN13" s="283"/>
      <c r="AO13" s="284"/>
      <c r="AP13" s="284"/>
      <c r="AQ13" s="505"/>
      <c r="AR13" s="505"/>
      <c r="AS13" s="122"/>
      <c r="AT13" s="122"/>
      <c r="AU13" s="122"/>
      <c r="AV13" s="285"/>
      <c r="AW13" s="282"/>
      <c r="AX13" s="282"/>
      <c r="AY13" s="289"/>
      <c r="AZ13" s="506"/>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row>
    <row r="14" customFormat="false" ht="12.95" hidden="false" customHeight="true" outlineLevel="0" collapsed="false">
      <c r="A14" s="171" t="n">
        <v>1</v>
      </c>
      <c r="B14" s="269" t="n">
        <v>6912.14</v>
      </c>
      <c r="C14" s="105" t="n">
        <v>330615</v>
      </c>
      <c r="D14" s="168" t="n">
        <f aca="false">C14-C12</f>
        <v>-1019</v>
      </c>
      <c r="E14" s="105" t="n">
        <f aca="false">C14-152000</f>
        <v>178615</v>
      </c>
      <c r="F14" s="286" t="n">
        <f aca="false">D14/$D$2</f>
        <v>-513.738341315856</v>
      </c>
      <c r="G14" s="173" t="n">
        <v>170</v>
      </c>
      <c r="H14" s="174" t="n">
        <v>0.04</v>
      </c>
      <c r="I14" s="173" t="n">
        <f aca="false">G14+H14</f>
        <v>170.04</v>
      </c>
      <c r="J14" s="166" t="n">
        <f aca="false">IF(L14&gt;0,L14,0)</f>
        <v>0</v>
      </c>
      <c r="K14" s="173" t="n">
        <f aca="false">I14+J14</f>
        <v>170.04</v>
      </c>
      <c r="L14" s="507" t="n">
        <f aca="false">F14-(I14-AK14)</f>
        <v>-2.77834131585575</v>
      </c>
      <c r="M14" s="173" t="n">
        <v>273</v>
      </c>
      <c r="N14" s="199" t="n">
        <f aca="false">1.8299*1.03</f>
        <v>1.884797</v>
      </c>
      <c r="O14" s="173" t="n">
        <f aca="false">(42+41)*1.05</f>
        <v>87.15</v>
      </c>
      <c r="P14" s="199" t="n">
        <v>0</v>
      </c>
      <c r="Q14" s="199" t="n">
        <f aca="false">3.295*1.02</f>
        <v>3.3609</v>
      </c>
      <c r="R14" s="199" t="n">
        <v>4.2</v>
      </c>
      <c r="S14" s="312" t="n">
        <v>2.8</v>
      </c>
      <c r="T14" s="356" t="n">
        <v>0</v>
      </c>
      <c r="U14" s="173" t="n">
        <v>80</v>
      </c>
      <c r="V14" s="173" t="n">
        <v>77</v>
      </c>
      <c r="W14" s="132" t="n">
        <f aca="false">M14-N14-O14-P14-Q14-R14-S14-T14+U14+V14</f>
        <v>330.604303</v>
      </c>
      <c r="X14" s="132" t="n">
        <f aca="false">W14-AO14-AD14</f>
        <v>160.7791</v>
      </c>
      <c r="Y14" s="104" t="n">
        <f aca="false">Y12+(X14*1.9835)</f>
        <v>96177.5419406</v>
      </c>
      <c r="Z14" s="104" t="n">
        <f aca="false">Z12+X14*(26300/37500)*1.9835+(AD14*1.9835)</f>
        <v>68422.002501459</v>
      </c>
      <c r="AA14" s="104"/>
      <c r="AB14" s="104"/>
      <c r="AC14" s="104"/>
      <c r="AD14" s="134" t="n">
        <f aca="false">W14-(I14-Q14-R14-AF14)</f>
        <v>169.825203</v>
      </c>
      <c r="AE14" s="173" t="n">
        <v>181</v>
      </c>
      <c r="AF14" s="231" t="n">
        <v>1.7</v>
      </c>
      <c r="AG14" s="232" t="n">
        <v>1.3</v>
      </c>
      <c r="AH14" s="173" t="n">
        <v>70</v>
      </c>
      <c r="AI14" s="105" t="n">
        <f aca="false">AI12-AH14</f>
        <v>9349.25787748929</v>
      </c>
      <c r="AJ14" s="105"/>
      <c r="AK14" s="12" t="n">
        <f aca="false">N14+O14+P14+Q14+R14+S14+T14+W14+AE14+AH14</f>
        <v>681</v>
      </c>
      <c r="AL14" s="173" t="n">
        <f aca="false">IF(L14&lt;0,L14*-1,0)</f>
        <v>2.77834131585575</v>
      </c>
      <c r="AM14" s="173" t="n">
        <f aca="false">AK14+AL14</f>
        <v>683.778341315856</v>
      </c>
      <c r="AN14" s="203" t="n">
        <f aca="false">AN12</f>
        <v>14794.787655</v>
      </c>
      <c r="AO14" s="171"/>
      <c r="AP14" s="133"/>
      <c r="AQ14" s="199" t="n">
        <f aca="false">45.4*(AA11*1.9835+AC11*1.9835+AP11*1.9835)/E14</f>
        <v>0</v>
      </c>
      <c r="AR14" s="199"/>
      <c r="AS14" s="161"/>
      <c r="AT14" s="1"/>
      <c r="AU14" s="4"/>
      <c r="AV14" s="268" t="n">
        <v>0</v>
      </c>
      <c r="AW14" s="168" t="n">
        <v>87</v>
      </c>
      <c r="AX14" s="168" t="n">
        <v>53</v>
      </c>
      <c r="AY14" s="300"/>
      <c r="AZ14" s="233" t="n">
        <f aca="false">SUM(N14,P14:T14)</f>
        <v>12.245697</v>
      </c>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2.95" hidden="false" customHeight="true" outlineLevel="0" collapsed="false">
      <c r="A15" s="171" t="n">
        <f aca="false">A14+1</f>
        <v>2</v>
      </c>
      <c r="B15" s="269" t="n">
        <v>6911.88</v>
      </c>
      <c r="C15" s="105" t="n">
        <v>329559</v>
      </c>
      <c r="D15" s="168" t="n">
        <f aca="false">C15-C14</f>
        <v>-1056</v>
      </c>
      <c r="E15" s="105" t="n">
        <f aca="false">C15-152000</f>
        <v>177559</v>
      </c>
      <c r="F15" s="286" t="n">
        <f aca="false">D15/$D$2</f>
        <v>-532.392235946559</v>
      </c>
      <c r="G15" s="173" t="n">
        <v>158</v>
      </c>
      <c r="H15" s="174" t="n">
        <v>0.02</v>
      </c>
      <c r="I15" s="173" t="n">
        <f aca="false">G15+H15</f>
        <v>158.02</v>
      </c>
      <c r="J15" s="166" t="n">
        <f aca="false">IF(L15&gt;0,L15,0)</f>
        <v>0</v>
      </c>
      <c r="K15" s="173" t="n">
        <f aca="false">I15+J15</f>
        <v>158.02</v>
      </c>
      <c r="L15" s="173" t="n">
        <f aca="false">F15-(I15-AK15)</f>
        <v>-39.4122359465591</v>
      </c>
      <c r="M15" s="508" t="n">
        <v>265</v>
      </c>
      <c r="N15" s="199" t="n">
        <f aca="false">1.8299*1.03</f>
        <v>1.884797</v>
      </c>
      <c r="O15" s="173" t="n">
        <f aca="false">(40+41)*1.05</f>
        <v>85.05</v>
      </c>
      <c r="P15" s="199" t="n">
        <v>0</v>
      </c>
      <c r="Q15" s="199" t="n">
        <f aca="false">3.295*1.02</f>
        <v>3.3609</v>
      </c>
      <c r="R15" s="199" t="n">
        <v>4.2</v>
      </c>
      <c r="S15" s="312" t="n">
        <v>4.72</v>
      </c>
      <c r="T15" s="356" t="n">
        <v>0</v>
      </c>
      <c r="U15" s="173" t="n">
        <v>80</v>
      </c>
      <c r="V15" s="173" t="n">
        <v>76</v>
      </c>
      <c r="W15" s="132" t="n">
        <f aca="false">M15-N15-O15-P15-Q15-R15-S15-T15+U15+V15</f>
        <v>321.784303</v>
      </c>
      <c r="X15" s="132" t="n">
        <f aca="false">W15-AO15-AD15</f>
        <v>148.7591</v>
      </c>
      <c r="Y15" s="104" t="n">
        <f aca="false">Y14+(X15*1.9835)</f>
        <v>96472.60561545</v>
      </c>
      <c r="Z15" s="104" t="n">
        <f aca="false">Z14+X15*(26300/37500)*1.9835+(AD15*1.9835)</f>
        <v>68972.1359822376</v>
      </c>
      <c r="AA15" s="104"/>
      <c r="AB15" s="104"/>
      <c r="AC15" s="104"/>
      <c r="AD15" s="134" t="n">
        <f aca="false">W15-(I15-Q15-R15-AF15)</f>
        <v>173.025203</v>
      </c>
      <c r="AE15" s="173" t="n">
        <v>161</v>
      </c>
      <c r="AF15" s="231" t="n">
        <v>1.7</v>
      </c>
      <c r="AG15" s="232" t="n">
        <v>1.3</v>
      </c>
      <c r="AH15" s="173" t="n">
        <v>69</v>
      </c>
      <c r="AI15" s="105" t="n">
        <f aca="false">AI14-AH15</f>
        <v>9280.25787748929</v>
      </c>
      <c r="AJ15" s="105"/>
      <c r="AK15" s="12" t="n">
        <f aca="false">N15+O15+P15+Q15+R15+S15+T15+W15+AE15+AH15</f>
        <v>651</v>
      </c>
      <c r="AL15" s="173" t="n">
        <f aca="false">IF(L15&lt;0,L15*-1,0)</f>
        <v>39.4122359465591</v>
      </c>
      <c r="AM15" s="173" t="n">
        <f aca="false">AK15+AL15</f>
        <v>690.412235946559</v>
      </c>
      <c r="AN15" s="203" t="n">
        <f aca="false">AN14</f>
        <v>14794.787655</v>
      </c>
      <c r="AO15" s="171"/>
      <c r="AP15" s="133"/>
      <c r="AQ15" s="199" t="n">
        <f aca="false">45.4*(AA14*1.9835+AC14*1.9835+AP14*1.9835)/E15</f>
        <v>0</v>
      </c>
      <c r="AR15" s="199"/>
      <c r="AS15" s="161"/>
      <c r="AT15" s="1"/>
      <c r="AU15" s="4"/>
      <c r="AV15" s="268" t="n">
        <v>0</v>
      </c>
      <c r="AW15" s="168" t="n">
        <v>89</v>
      </c>
      <c r="AX15" s="168" t="n">
        <v>57</v>
      </c>
      <c r="AY15" s="300"/>
      <c r="AZ15" s="233" t="n">
        <f aca="false">SUM(N15,P15:T15)</f>
        <v>14.165697</v>
      </c>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171" t="n">
        <f aca="false">A15+1</f>
        <v>3</v>
      </c>
      <c r="B16" s="269" t="n">
        <v>6911.61</v>
      </c>
      <c r="C16" s="105" t="n">
        <v>328467</v>
      </c>
      <c r="D16" s="168" t="n">
        <f aca="false">C16-C15</f>
        <v>-1092</v>
      </c>
      <c r="E16" s="105" t="n">
        <f aca="false">C16-152000</f>
        <v>176467</v>
      </c>
      <c r="F16" s="286" t="n">
        <f aca="false">D16/$D$2</f>
        <v>-550.541971262919</v>
      </c>
      <c r="G16" s="173" t="n">
        <v>149</v>
      </c>
      <c r="H16" s="174" t="n">
        <v>0.01</v>
      </c>
      <c r="I16" s="173" t="n">
        <f aca="false">G16+H16</f>
        <v>149.01</v>
      </c>
      <c r="J16" s="166" t="n">
        <f aca="false">IF(L16&gt;0,L16,0)</f>
        <v>0</v>
      </c>
      <c r="K16" s="173" t="n">
        <f aca="false">I16+J16</f>
        <v>149.01</v>
      </c>
      <c r="L16" s="173" t="n">
        <f aca="false">F16-(I16-AK16)</f>
        <v>-12.5519712629191</v>
      </c>
      <c r="M16" s="508" t="n">
        <v>268</v>
      </c>
      <c r="N16" s="199" t="n">
        <f aca="false">1.8299*1.03</f>
        <v>1.884797</v>
      </c>
      <c r="O16" s="173" t="n">
        <f aca="false">(39+38)*1.05</f>
        <v>80.85</v>
      </c>
      <c r="P16" s="199" t="n">
        <v>0</v>
      </c>
      <c r="Q16" s="199" t="n">
        <f aca="false">3.295*1.02</f>
        <v>3.3609</v>
      </c>
      <c r="R16" s="199" t="n">
        <v>4.2</v>
      </c>
      <c r="S16" s="312" t="n">
        <v>5.39</v>
      </c>
      <c r="T16" s="356" t="n">
        <v>0</v>
      </c>
      <c r="U16" s="173" t="n">
        <v>80</v>
      </c>
      <c r="V16" s="173" t="n">
        <v>76</v>
      </c>
      <c r="W16" s="132" t="n">
        <f aca="false">M16-N16-O16-P16-Q16-R16-S16-T16+U16+V16</f>
        <v>328.314303</v>
      </c>
      <c r="X16" s="132" t="n">
        <f aca="false">W16-AO16-AD16</f>
        <v>139.7491</v>
      </c>
      <c r="Y16" s="104" t="n">
        <f aca="false">Y15+(X16*1.9835)</f>
        <v>96749.7979553</v>
      </c>
      <c r="Z16" s="104" t="n">
        <f aca="false">Z15+X16*(26300/37500)*1.9835+(AD16*1.9835)</f>
        <v>69540.5592900696</v>
      </c>
      <c r="AA16" s="104"/>
      <c r="AB16" s="104"/>
      <c r="AC16" s="104"/>
      <c r="AD16" s="134" t="n">
        <f aca="false">W16-(I16-Q16-R16-AF16)</f>
        <v>188.565203</v>
      </c>
      <c r="AE16" s="173" t="n">
        <v>194</v>
      </c>
      <c r="AF16" s="231" t="n">
        <v>1.7</v>
      </c>
      <c r="AG16" s="232" t="n">
        <v>1.3</v>
      </c>
      <c r="AH16" s="173" t="n">
        <v>69</v>
      </c>
      <c r="AI16" s="105" t="n">
        <f aca="false">AI15-AH16</f>
        <v>9211.25787748929</v>
      </c>
      <c r="AJ16" s="105"/>
      <c r="AK16" s="12" t="n">
        <f aca="false">N16+O16+P16+Q16+R16+S16+T16+W16+AE16+AH16</f>
        <v>687</v>
      </c>
      <c r="AL16" s="173" t="n">
        <f aca="false">IF(L16&lt;0,L16*-1,0)</f>
        <v>12.5519712629191</v>
      </c>
      <c r="AM16" s="173" t="n">
        <f aca="false">AK16+AL16</f>
        <v>699.551971262919</v>
      </c>
      <c r="AN16" s="203" t="n">
        <f aca="false">AN15</f>
        <v>14794.787655</v>
      </c>
      <c r="AO16" s="171"/>
      <c r="AP16" s="133"/>
      <c r="AQ16" s="199" t="n">
        <f aca="false">45.4*(AA15*1.9835+AC15*1.9835+AP15*1.9835)/E16</f>
        <v>0</v>
      </c>
      <c r="AR16" s="199"/>
      <c r="AS16" s="161"/>
      <c r="AT16" s="1"/>
      <c r="AU16" s="4"/>
      <c r="AV16" s="268" t="n">
        <v>0</v>
      </c>
      <c r="AW16" s="168" t="n">
        <v>89</v>
      </c>
      <c r="AX16" s="168" t="n">
        <v>59</v>
      </c>
      <c r="AY16" s="300"/>
      <c r="AZ16" s="233" t="n">
        <f aca="false">SUM(N16,P16:T16)</f>
        <v>14.835697</v>
      </c>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171" t="n">
        <f aca="false">A16+1</f>
        <v>4</v>
      </c>
      <c r="B17" s="269" t="n">
        <v>6911.34</v>
      </c>
      <c r="C17" s="105" t="n">
        <v>327375</v>
      </c>
      <c r="D17" s="168" t="n">
        <f aca="false">C17-C16</f>
        <v>-1092</v>
      </c>
      <c r="E17" s="105" t="n">
        <f aca="false">C17-152000</f>
        <v>175375</v>
      </c>
      <c r="F17" s="286" t="n">
        <f aca="false">D17/$D$2</f>
        <v>-550.541971262919</v>
      </c>
      <c r="G17" s="173" t="n">
        <v>140</v>
      </c>
      <c r="H17" s="174" t="n">
        <v>0</v>
      </c>
      <c r="I17" s="173" t="n">
        <f aca="false">G17+H17</f>
        <v>140</v>
      </c>
      <c r="J17" s="166" t="n">
        <f aca="false">IF(L17&gt;0,L17,0)</f>
        <v>0</v>
      </c>
      <c r="K17" s="173" t="n">
        <f aca="false">I17+J17</f>
        <v>140</v>
      </c>
      <c r="L17" s="173" t="n">
        <f aca="false">F17-(I17-AK17)</f>
        <v>-3.54197126291911</v>
      </c>
      <c r="M17" s="508" t="n">
        <v>267</v>
      </c>
      <c r="N17" s="199" t="n">
        <f aca="false">1.8299*1.03</f>
        <v>1.884797</v>
      </c>
      <c r="O17" s="173" t="n">
        <f aca="false">(38+40)*1.05</f>
        <v>81.9</v>
      </c>
      <c r="P17" s="199" t="n">
        <v>0</v>
      </c>
      <c r="Q17" s="199" t="n">
        <f aca="false">3.295*1.02</f>
        <v>3.3609</v>
      </c>
      <c r="R17" s="199" t="n">
        <v>4.2</v>
      </c>
      <c r="S17" s="312" t="n">
        <v>4.53</v>
      </c>
      <c r="T17" s="356" t="n">
        <v>0</v>
      </c>
      <c r="U17" s="173" t="n">
        <v>80</v>
      </c>
      <c r="V17" s="173" t="n">
        <v>76</v>
      </c>
      <c r="W17" s="132" t="n">
        <f aca="false">M17-N17-O17-P17-Q17-R17-S17-T17+U17+V17</f>
        <v>327.124303</v>
      </c>
      <c r="X17" s="132" t="n">
        <f aca="false">W17-AO17-AD17</f>
        <v>130.7391</v>
      </c>
      <c r="Y17" s="104" t="n">
        <f aca="false">Y16+(X17*1.9835)</f>
        <v>97009.11896015</v>
      </c>
      <c r="Z17" s="104" t="n">
        <f aca="false">Z16+X17*(26300/37500)*1.9835+(AD17*1.9835)</f>
        <v>70111.9598049549</v>
      </c>
      <c r="AA17" s="104"/>
      <c r="AB17" s="104"/>
      <c r="AC17" s="104"/>
      <c r="AD17" s="134" t="n">
        <f aca="false">W17-(I17-Q17-R17-AF17)</f>
        <v>196.385203</v>
      </c>
      <c r="AE17" s="173" t="n">
        <v>195</v>
      </c>
      <c r="AF17" s="231" t="n">
        <v>1.7</v>
      </c>
      <c r="AG17" s="232" t="n">
        <v>1.3</v>
      </c>
      <c r="AH17" s="173" t="n">
        <v>69</v>
      </c>
      <c r="AI17" s="105" t="n">
        <f aca="false">AI16-AH17</f>
        <v>9142.25787748929</v>
      </c>
      <c r="AJ17" s="105"/>
      <c r="AK17" s="12" t="n">
        <f aca="false">N17+O17+P17+Q17+R17+S17+T17+W17+AE17+AH17</f>
        <v>687</v>
      </c>
      <c r="AL17" s="173" t="n">
        <f aca="false">IF(L17&lt;0,L17*-1,0)</f>
        <v>3.54197126291911</v>
      </c>
      <c r="AM17" s="173" t="n">
        <f aca="false">AK17+AL17</f>
        <v>690.541971262919</v>
      </c>
      <c r="AN17" s="203" t="n">
        <f aca="false">AN16</f>
        <v>14794.787655</v>
      </c>
      <c r="AO17" s="171"/>
      <c r="AP17" s="134"/>
      <c r="AQ17" s="199" t="n">
        <f aca="false">45.4*(AA16*1.9835+AC16*1.9835+AP16*1.9835)/E17</f>
        <v>0</v>
      </c>
      <c r="AR17" s="199"/>
      <c r="AS17" s="161"/>
      <c r="AT17" s="1"/>
      <c r="AU17" s="4"/>
      <c r="AV17" s="268" t="n">
        <v>0</v>
      </c>
      <c r="AW17" s="168" t="n">
        <v>90</v>
      </c>
      <c r="AX17" s="168" t="n">
        <v>57</v>
      </c>
      <c r="AY17" s="300"/>
      <c r="AZ17" s="233" t="n">
        <f aca="false">SUM(N17,P17:T17)</f>
        <v>13.975697</v>
      </c>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171" t="n">
        <f aca="false">A17+1</f>
        <v>5</v>
      </c>
      <c r="B18" s="269" t="n">
        <v>6911.05</v>
      </c>
      <c r="C18" s="105" t="n">
        <v>326202</v>
      </c>
      <c r="D18" s="168" t="n">
        <f aca="false">C18-C17</f>
        <v>-1173</v>
      </c>
      <c r="E18" s="105" t="n">
        <f aca="false">C18-152000</f>
        <v>174202</v>
      </c>
      <c r="F18" s="286" t="n">
        <f aca="false">D18/$D$2</f>
        <v>-591.378875724729</v>
      </c>
      <c r="G18" s="173" t="n">
        <v>137</v>
      </c>
      <c r="H18" s="174" t="n">
        <v>0</v>
      </c>
      <c r="I18" s="173" t="n">
        <f aca="false">G18+H18</f>
        <v>137</v>
      </c>
      <c r="J18" s="166" t="n">
        <f aca="false">IF(L18&gt;0,L18,0)</f>
        <v>0</v>
      </c>
      <c r="K18" s="173" t="n">
        <f aca="false">I18+J18</f>
        <v>137</v>
      </c>
      <c r="L18" s="173" t="n">
        <f aca="false">F18-(I18-AK18)</f>
        <v>-33.378875724729</v>
      </c>
      <c r="M18" s="508" t="n">
        <v>272</v>
      </c>
      <c r="N18" s="199" t="n">
        <f aca="false">1.8299*1.03</f>
        <v>1.884797</v>
      </c>
      <c r="O18" s="173" t="n">
        <f aca="false">(42+43)*1.05</f>
        <v>89.25</v>
      </c>
      <c r="P18" s="199" t="n">
        <v>0</v>
      </c>
      <c r="Q18" s="199" t="n">
        <f aca="false">3.295*1.02</f>
        <v>3.3609</v>
      </c>
      <c r="R18" s="199" t="n">
        <v>4.2</v>
      </c>
      <c r="S18" s="312" t="n">
        <v>5.17</v>
      </c>
      <c r="T18" s="356" t="n">
        <v>0</v>
      </c>
      <c r="U18" s="173" t="n">
        <v>80</v>
      </c>
      <c r="V18" s="173" t="n">
        <v>76</v>
      </c>
      <c r="W18" s="132" t="n">
        <f aca="false">M18-N18-O18-P18-Q18-R18-S18-T18+U18+V18</f>
        <v>324.134303</v>
      </c>
      <c r="X18" s="132" t="n">
        <f aca="false">W18-AO18-AD18</f>
        <v>127.7391</v>
      </c>
      <c r="Y18" s="104" t="n">
        <f aca="false">Y17+(X18*1.9835)</f>
        <v>97262.489465</v>
      </c>
      <c r="Z18" s="104" t="n">
        <f aca="false">Z17+X18*(26300/37500)*1.9835+(AD18*1.9835)</f>
        <v>70679.2068708402</v>
      </c>
      <c r="AA18" s="104"/>
      <c r="AB18" s="104"/>
      <c r="AC18" s="104"/>
      <c r="AD18" s="134" t="n">
        <f aca="false">W18-(I18-Q18-R18-AF18)</f>
        <v>196.395203</v>
      </c>
      <c r="AE18" s="173" t="n">
        <v>198</v>
      </c>
      <c r="AF18" s="231" t="n">
        <v>1.7</v>
      </c>
      <c r="AG18" s="232" t="n">
        <v>1.3</v>
      </c>
      <c r="AH18" s="173" t="n">
        <v>69</v>
      </c>
      <c r="AI18" s="105" t="n">
        <f aca="false">AI17-AH18</f>
        <v>9073.25787748929</v>
      </c>
      <c r="AJ18" s="105"/>
      <c r="AK18" s="12" t="n">
        <f aca="false">N18+O18+P18+Q18+R18+S18+T18+W18+AE18+AH18</f>
        <v>695</v>
      </c>
      <c r="AL18" s="173" t="n">
        <f aca="false">IF(L18&lt;0,L18*-1,0)</f>
        <v>33.378875724729</v>
      </c>
      <c r="AM18" s="173" t="n">
        <f aca="false">AK18+AL18</f>
        <v>728.378875724729</v>
      </c>
      <c r="AN18" s="203" t="n">
        <f aca="false">AN17</f>
        <v>14794.787655</v>
      </c>
      <c r="AO18" s="171"/>
      <c r="AP18" s="134"/>
      <c r="AQ18" s="199" t="n">
        <f aca="false">45.4*(AA17*1.9835+AC17*1.9835+AP17*1.9835)/E18</f>
        <v>0</v>
      </c>
      <c r="AR18" s="199"/>
      <c r="AS18" s="161"/>
      <c r="AT18" s="1"/>
      <c r="AU18" s="4"/>
      <c r="AV18" s="268" t="n">
        <v>0</v>
      </c>
      <c r="AW18" s="168" t="n">
        <v>91</v>
      </c>
      <c r="AX18" s="168" t="n">
        <v>59</v>
      </c>
      <c r="AY18" s="300"/>
      <c r="AZ18" s="233" t="n">
        <f aca="false">SUM(N18,P18:T18)</f>
        <v>14.615697</v>
      </c>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171" t="n">
        <f aca="false">A18+1</f>
        <v>6</v>
      </c>
      <c r="B19" s="269" t="n">
        <v>6910.77</v>
      </c>
      <c r="C19" s="105" t="n">
        <v>325076</v>
      </c>
      <c r="D19" s="168" t="n">
        <f aca="false">C19-C18</f>
        <v>-1126</v>
      </c>
      <c r="E19" s="105" t="n">
        <f aca="false">C19-152000</f>
        <v>173076</v>
      </c>
      <c r="F19" s="286" t="n">
        <f aca="false">D19/$D$2</f>
        <v>-567.683387950592</v>
      </c>
      <c r="G19" s="173" t="n">
        <v>138</v>
      </c>
      <c r="H19" s="174" t="n">
        <v>0</v>
      </c>
      <c r="I19" s="173" t="n">
        <f aca="false">G19+H19</f>
        <v>138</v>
      </c>
      <c r="J19" s="166" t="n">
        <f aca="false">IF(L19&gt;0,L19,0)</f>
        <v>0</v>
      </c>
      <c r="K19" s="173" t="n">
        <f aca="false">I19+J19</f>
        <v>138</v>
      </c>
      <c r="L19" s="173" t="n">
        <f aca="false">F19-(I19-AK19)</f>
        <v>-17.6833879505924</v>
      </c>
      <c r="M19" s="508" t="n">
        <v>259</v>
      </c>
      <c r="N19" s="199" t="n">
        <f aca="false">1.8299*1.03</f>
        <v>1.884797</v>
      </c>
      <c r="O19" s="173" t="n">
        <f aca="false">(40+41)*1.05</f>
        <v>85.05</v>
      </c>
      <c r="P19" s="199" t="n">
        <v>0</v>
      </c>
      <c r="Q19" s="199" t="n">
        <f aca="false">3.295*1.02</f>
        <v>3.3609</v>
      </c>
      <c r="R19" s="199" t="n">
        <v>4.2</v>
      </c>
      <c r="S19" s="312" t="n">
        <v>4.12</v>
      </c>
      <c r="T19" s="356" t="n">
        <v>0</v>
      </c>
      <c r="U19" s="173" t="n">
        <v>80</v>
      </c>
      <c r="V19" s="173" t="n">
        <v>77</v>
      </c>
      <c r="W19" s="132" t="n">
        <f aca="false">M19-N19-O19-P19-Q19-R19-S19-T19+U19+V19</f>
        <v>317.384303</v>
      </c>
      <c r="X19" s="132" t="n">
        <f aca="false">W19-AO19-AD19</f>
        <v>128.7391</v>
      </c>
      <c r="Y19" s="104" t="n">
        <f aca="false">Y18+(X19*1.9835)</f>
        <v>97517.84346985</v>
      </c>
      <c r="Z19" s="104" t="n">
        <f aca="false">Z18+X19*(26300/37500)*1.9835+(AD19*1.9835)</f>
        <v>71232.4729063921</v>
      </c>
      <c r="AA19" s="104"/>
      <c r="AB19" s="104"/>
      <c r="AC19" s="104"/>
      <c r="AD19" s="134" t="n">
        <f aca="false">W19-(I19-Q19-R19-AF19)</f>
        <v>188.645203</v>
      </c>
      <c r="AE19" s="173" t="n">
        <v>204</v>
      </c>
      <c r="AF19" s="231" t="n">
        <v>1.7</v>
      </c>
      <c r="AG19" s="232" t="n">
        <v>1.3</v>
      </c>
      <c r="AH19" s="173" t="n">
        <v>68</v>
      </c>
      <c r="AI19" s="105" t="n">
        <f aca="false">AI18-AH19</f>
        <v>9005.25787748929</v>
      </c>
      <c r="AJ19" s="105"/>
      <c r="AK19" s="12" t="n">
        <f aca="false">N19+O19+P19+Q19+R19+S19+T19+W19+AE19+AH19</f>
        <v>688</v>
      </c>
      <c r="AL19" s="173" t="n">
        <f aca="false">IF(L19&lt;0,L19*-1,0)</f>
        <v>17.6833879505924</v>
      </c>
      <c r="AM19" s="173" t="n">
        <f aca="false">AK19+AL19</f>
        <v>705.683387950592</v>
      </c>
      <c r="AN19" s="203" t="n">
        <f aca="false">AN18</f>
        <v>14794.787655</v>
      </c>
      <c r="AO19" s="171"/>
      <c r="AP19" s="134"/>
      <c r="AQ19" s="199" t="n">
        <f aca="false">45.4*(AA18*1.9835+AC18*1.9835+AP18*1.9835)/E19</f>
        <v>0</v>
      </c>
      <c r="AR19" s="199"/>
      <c r="AS19" s="161"/>
      <c r="AT19" s="1"/>
      <c r="AU19" s="4"/>
      <c r="AV19" s="268" t="n">
        <v>0</v>
      </c>
      <c r="AW19" s="168" t="n">
        <v>87</v>
      </c>
      <c r="AX19" s="168" t="n">
        <v>63</v>
      </c>
      <c r="AY19" s="300"/>
      <c r="AZ19" s="233" t="n">
        <f aca="false">SUM(N19,P19:T19)</f>
        <v>13.565697</v>
      </c>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171" t="n">
        <f aca="false">A19+1</f>
        <v>7</v>
      </c>
      <c r="B20" s="269" t="n">
        <v>6910.49</v>
      </c>
      <c r="C20" s="105" t="n">
        <v>323953</v>
      </c>
      <c r="D20" s="168" t="n">
        <f aca="false">C20-C19</f>
        <v>-1123</v>
      </c>
      <c r="E20" s="105" t="n">
        <f aca="false">C20-152000</f>
        <v>171953</v>
      </c>
      <c r="F20" s="286" t="n">
        <f aca="false">D20/$D$2</f>
        <v>-566.170910007562</v>
      </c>
      <c r="G20" s="173" t="n">
        <v>138</v>
      </c>
      <c r="H20" s="174" t="n">
        <v>0</v>
      </c>
      <c r="I20" s="173" t="n">
        <f aca="false">G20+H20</f>
        <v>138</v>
      </c>
      <c r="J20" s="166" t="n">
        <f aca="false">IF(L20&gt;0,L20,0)</f>
        <v>0</v>
      </c>
      <c r="K20" s="173" t="n">
        <f aca="false">I20+J20</f>
        <v>138</v>
      </c>
      <c r="L20" s="173" t="n">
        <f aca="false">F20-(I20-AK20)</f>
        <v>-17.1709100075624</v>
      </c>
      <c r="M20" s="508" t="n">
        <v>287</v>
      </c>
      <c r="N20" s="199" t="n">
        <f aca="false">1.8299*1.03</f>
        <v>1.884797</v>
      </c>
      <c r="O20" s="173" t="n">
        <f aca="false">(40+41)*1.05</f>
        <v>85.05</v>
      </c>
      <c r="P20" s="199" t="n">
        <v>0</v>
      </c>
      <c r="Q20" s="199" t="n">
        <f aca="false">3.295*1.02</f>
        <v>3.3609</v>
      </c>
      <c r="R20" s="199" t="n">
        <v>4.2</v>
      </c>
      <c r="S20" s="312" t="n">
        <v>4.28</v>
      </c>
      <c r="T20" s="356" t="n">
        <v>0</v>
      </c>
      <c r="U20" s="173" t="n">
        <v>80</v>
      </c>
      <c r="V20" s="173" t="n">
        <v>77</v>
      </c>
      <c r="W20" s="132" t="n">
        <f aca="false">M20-N20-O20-P20-Q20-R20-S20-T20+U20+V20</f>
        <v>345.224303</v>
      </c>
      <c r="X20" s="132" t="n">
        <f aca="false">W20-AO20-AD20</f>
        <v>128.7391</v>
      </c>
      <c r="Y20" s="104" t="n">
        <f aca="false">Y19+(X20*1.9835)</f>
        <v>97773.1974747</v>
      </c>
      <c r="Z20" s="104" t="n">
        <f aca="false">Z19+X20*(26300/37500)*1.9835+(AD20*1.9835)</f>
        <v>71840.9595819441</v>
      </c>
      <c r="AA20" s="104"/>
      <c r="AB20" s="104"/>
      <c r="AC20" s="104"/>
      <c r="AD20" s="134" t="n">
        <f aca="false">W20-(I20-Q20-R20-AF20)</f>
        <v>216.485203</v>
      </c>
      <c r="AE20" s="173" t="n">
        <v>174</v>
      </c>
      <c r="AF20" s="231" t="n">
        <v>1.7</v>
      </c>
      <c r="AG20" s="232" t="n">
        <v>1.3</v>
      </c>
      <c r="AH20" s="173" t="n">
        <v>69</v>
      </c>
      <c r="AI20" s="105" t="n">
        <f aca="false">AI19-AH20</f>
        <v>8936.25787748929</v>
      </c>
      <c r="AJ20" s="105"/>
      <c r="AK20" s="12" t="n">
        <f aca="false">N20+O20+P20+Q20+R20+S20+T20+W20+AE20+AH20</f>
        <v>687</v>
      </c>
      <c r="AL20" s="173" t="n">
        <f aca="false">IF(L20&lt;0,L20*-1,0)</f>
        <v>17.1709100075624</v>
      </c>
      <c r="AM20" s="173" t="n">
        <f aca="false">AK20+AL20</f>
        <v>704.170910007562</v>
      </c>
      <c r="AN20" s="203" t="n">
        <f aca="false">AN19</f>
        <v>14794.787655</v>
      </c>
      <c r="AO20" s="171"/>
      <c r="AP20" s="134"/>
      <c r="AQ20" s="199" t="n">
        <f aca="false">45.4*(AA19*1.9835+AC19*1.9835+AP19*1.9835)/E20</f>
        <v>0</v>
      </c>
      <c r="AR20" s="199"/>
      <c r="AS20" s="161"/>
      <c r="AT20" s="1"/>
      <c r="AU20" s="4"/>
      <c r="AV20" s="268" t="n">
        <v>0</v>
      </c>
      <c r="AW20" s="168" t="n">
        <v>84</v>
      </c>
      <c r="AX20" s="168" t="n">
        <v>57</v>
      </c>
      <c r="AY20" s="300"/>
      <c r="AZ20" s="233" t="n">
        <f aca="false">SUM(N20,P20:T20)</f>
        <v>13.725697</v>
      </c>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171" t="n">
        <f aca="false">A20+1</f>
        <v>8</v>
      </c>
      <c r="B21" s="269" t="n">
        <v>6910.2</v>
      </c>
      <c r="C21" s="105" t="n">
        <v>322789</v>
      </c>
      <c r="D21" s="168" t="n">
        <f aca="false">C21-C20</f>
        <v>-1164</v>
      </c>
      <c r="E21" s="105" t="n">
        <f aca="false">C21-152000</f>
        <v>170789</v>
      </c>
      <c r="F21" s="286" t="n">
        <f aca="false">D21/$D$2</f>
        <v>-586.841441895639</v>
      </c>
      <c r="G21" s="173" t="n">
        <v>128</v>
      </c>
      <c r="H21" s="174" t="n">
        <v>0</v>
      </c>
      <c r="I21" s="173" t="n">
        <f aca="false">G21+H21</f>
        <v>128</v>
      </c>
      <c r="J21" s="166" t="n">
        <f aca="false">IF(L21&gt;0,L21,0)</f>
        <v>0</v>
      </c>
      <c r="K21" s="173" t="n">
        <f aca="false">I21+J21</f>
        <v>128</v>
      </c>
      <c r="L21" s="173" t="n">
        <f aca="false">F21-(I21-AK21)</f>
        <v>-35.841441895639</v>
      </c>
      <c r="M21" s="508" t="n">
        <v>264</v>
      </c>
      <c r="N21" s="199" t="n">
        <f aca="false">1.8299*1.03</f>
        <v>1.884797</v>
      </c>
      <c r="O21" s="173" t="n">
        <f aca="false">(40+40)*1.05</f>
        <v>84</v>
      </c>
      <c r="P21" s="199" t="n">
        <v>0</v>
      </c>
      <c r="Q21" s="199" t="n">
        <f aca="false">3.295*1.02</f>
        <v>3.3609</v>
      </c>
      <c r="R21" s="199" t="n">
        <v>4.2</v>
      </c>
      <c r="S21" s="312" t="n">
        <v>3.23</v>
      </c>
      <c r="T21" s="356" t="n">
        <v>0</v>
      </c>
      <c r="U21" s="173" t="n">
        <v>82</v>
      </c>
      <c r="V21" s="173" t="n">
        <v>80</v>
      </c>
      <c r="W21" s="132" t="n">
        <f aca="false">M21-N21-O21-P21-Q21-R21-S21-T21+U21+V21</f>
        <v>329.324303</v>
      </c>
      <c r="X21" s="132" t="n">
        <f aca="false">W21-AO21-AD21</f>
        <v>118.7391</v>
      </c>
      <c r="Y21" s="104" t="n">
        <f aca="false">Y20+(X21*1.9835)</f>
        <v>98008.71647955</v>
      </c>
      <c r="Z21" s="104" t="n">
        <f aca="false">Z20+X21*(26300/37500)*1.9835+(AD21*1.9835)</f>
        <v>72423.8326608294</v>
      </c>
      <c r="AA21" s="104"/>
      <c r="AB21" s="104"/>
      <c r="AC21" s="104"/>
      <c r="AD21" s="134" t="n">
        <f aca="false">W21-(I21-Q21-R21-AF21)</f>
        <v>210.585203</v>
      </c>
      <c r="AE21" s="173" t="n">
        <v>185</v>
      </c>
      <c r="AF21" s="231" t="n">
        <v>1.7</v>
      </c>
      <c r="AG21" s="232" t="n">
        <v>1.3</v>
      </c>
      <c r="AH21" s="173" t="n">
        <v>68</v>
      </c>
      <c r="AI21" s="105" t="n">
        <f aca="false">AI20-AH21</f>
        <v>8868.25787748929</v>
      </c>
      <c r="AJ21" s="105"/>
      <c r="AK21" s="12" t="n">
        <f aca="false">N21+O21+P21+Q21+R21+S21+T21+W21+AE21+AH21</f>
        <v>679</v>
      </c>
      <c r="AL21" s="173" t="n">
        <f aca="false">IF(L21&lt;0,L21*-1,0)</f>
        <v>35.841441895639</v>
      </c>
      <c r="AM21" s="173" t="n">
        <f aca="false">AK21+AL21</f>
        <v>714.841441895639</v>
      </c>
      <c r="AN21" s="203" t="n">
        <f aca="false">AN20</f>
        <v>14794.787655</v>
      </c>
      <c r="AO21" s="171"/>
      <c r="AP21" s="134"/>
      <c r="AQ21" s="199" t="n">
        <f aca="false">45.4*(AA20*1.9835+AC20*1.9835+AP20*1.9835)/E21</f>
        <v>0</v>
      </c>
      <c r="AR21" s="199"/>
      <c r="AS21" s="161"/>
      <c r="AT21" s="1"/>
      <c r="AU21" s="4"/>
      <c r="AV21" s="268" t="n">
        <v>0</v>
      </c>
      <c r="AW21" s="168" t="n">
        <v>77</v>
      </c>
      <c r="AX21" s="168" t="n">
        <v>44</v>
      </c>
      <c r="AY21" s="300"/>
      <c r="AZ21" s="233" t="n">
        <f aca="false">SUM(N21,P21:T21)</f>
        <v>12.675697</v>
      </c>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171" t="n">
        <f aca="false">A21+1</f>
        <v>9</v>
      </c>
      <c r="B22" s="269" t="n">
        <v>6909.9</v>
      </c>
      <c r="C22" s="105" t="n">
        <v>321588</v>
      </c>
      <c r="D22" s="168" t="n">
        <f aca="false">C22-C21</f>
        <v>-1201</v>
      </c>
      <c r="E22" s="105" t="n">
        <f aca="false">C22-152000</f>
        <v>169588</v>
      </c>
      <c r="F22" s="286" t="n">
        <f aca="false">D22/$D$2</f>
        <v>-605.495336526342</v>
      </c>
      <c r="G22" s="173" t="n">
        <v>121</v>
      </c>
      <c r="H22" s="174" t="n">
        <v>0</v>
      </c>
      <c r="I22" s="173" t="n">
        <f aca="false">G22+H22</f>
        <v>121</v>
      </c>
      <c r="J22" s="166" t="n">
        <f aca="false">IF(L22&gt;0,L22,0)</f>
        <v>0</v>
      </c>
      <c r="K22" s="173" t="n">
        <f aca="false">I22+J22</f>
        <v>121</v>
      </c>
      <c r="L22" s="173" t="n">
        <f aca="false">F22-(I22-AK22)</f>
        <v>-23.4953365263423</v>
      </c>
      <c r="M22" s="508" t="n">
        <v>290</v>
      </c>
      <c r="N22" s="199" t="n">
        <f aca="false">1.8299*1.03</f>
        <v>1.884797</v>
      </c>
      <c r="O22" s="173" t="n">
        <f aca="false">(39+41)*1.05</f>
        <v>84</v>
      </c>
      <c r="P22" s="199" t="n">
        <v>0</v>
      </c>
      <c r="Q22" s="199" t="n">
        <f aca="false">3.295*1.02</f>
        <v>3.3609</v>
      </c>
      <c r="R22" s="199" t="n">
        <v>4.2</v>
      </c>
      <c r="S22" s="312" t="n">
        <v>3.81</v>
      </c>
      <c r="T22" s="356" t="n">
        <v>0</v>
      </c>
      <c r="U22" s="173" t="n">
        <v>84</v>
      </c>
      <c r="V22" s="173" t="n">
        <v>81</v>
      </c>
      <c r="W22" s="132" t="n">
        <f aca="false">M22-N22-O22-P22-Q22-R22-S22-T22+U22+V22</f>
        <v>357.744303</v>
      </c>
      <c r="X22" s="132" t="n">
        <f aca="false">W22-AO22-AD22</f>
        <v>111.7391</v>
      </c>
      <c r="Y22" s="104" t="n">
        <f aca="false">Y21+(X22*1.9835)</f>
        <v>98230.3509844</v>
      </c>
      <c r="Z22" s="104" t="n">
        <f aca="false">Z21+X22*(26300/37500)*1.9835+(AD22*1.9835)</f>
        <v>73067.223647048</v>
      </c>
      <c r="AA22" s="104"/>
      <c r="AB22" s="104"/>
      <c r="AC22" s="104"/>
      <c r="AD22" s="134" t="n">
        <f aca="false">W22-(I22-Q22-R22-AF22)</f>
        <v>246.005203</v>
      </c>
      <c r="AE22" s="173" t="n">
        <v>180</v>
      </c>
      <c r="AF22" s="231" t="n">
        <v>1.7</v>
      </c>
      <c r="AG22" s="232" t="n">
        <v>1.3</v>
      </c>
      <c r="AH22" s="173" t="n">
        <v>68</v>
      </c>
      <c r="AI22" s="105" t="n">
        <f aca="false">AI21-AH22</f>
        <v>8800.25787748929</v>
      </c>
      <c r="AJ22" s="105"/>
      <c r="AK22" s="12" t="n">
        <f aca="false">N22+O22+P22+Q22+R22+S22+T22+W22+AE22+AH22</f>
        <v>703</v>
      </c>
      <c r="AL22" s="173" t="n">
        <f aca="false">IF(L22&lt;0,L22*-1,0)</f>
        <v>23.4953365263423</v>
      </c>
      <c r="AM22" s="173" t="n">
        <f aca="false">AK22+AL22</f>
        <v>726.495336526342</v>
      </c>
      <c r="AN22" s="203" t="n">
        <f aca="false">AN21</f>
        <v>14794.787655</v>
      </c>
      <c r="AO22" s="171"/>
      <c r="AP22" s="93"/>
      <c r="AQ22" s="199" t="n">
        <f aca="false">45.4*(AA21*1.9835+AC21*1.9835+AP21*1.9835)/E22</f>
        <v>0</v>
      </c>
      <c r="AR22" s="199"/>
      <c r="AS22" s="161"/>
      <c r="AT22" s="1"/>
      <c r="AU22" s="4"/>
      <c r="AV22" s="268" t="n">
        <v>0</v>
      </c>
      <c r="AW22" s="9" t="n">
        <v>81</v>
      </c>
      <c r="AX22" s="168" t="n">
        <v>47</v>
      </c>
      <c r="AY22" s="300"/>
      <c r="AZ22" s="233" t="n">
        <f aca="false">SUM(N22,P22:T22)</f>
        <v>13.255697</v>
      </c>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171" t="n">
        <f aca="false">A22+1</f>
        <v>10</v>
      </c>
      <c r="B23" s="269" t="n">
        <v>6909.58</v>
      </c>
      <c r="C23" s="105" t="n">
        <v>320314</v>
      </c>
      <c r="D23" s="168" t="n">
        <f aca="false">C23-C22</f>
        <v>-1274</v>
      </c>
      <c r="E23" s="105" t="n">
        <f aca="false">C23-152000</f>
        <v>168314</v>
      </c>
      <c r="F23" s="286" t="n">
        <f aca="false">D23/$D$2</f>
        <v>-642.298966473406</v>
      </c>
      <c r="G23" s="173" t="n">
        <v>118</v>
      </c>
      <c r="H23" s="174" t="n">
        <v>0</v>
      </c>
      <c r="I23" s="173" t="n">
        <f aca="false">G23+H23</f>
        <v>118</v>
      </c>
      <c r="J23" s="166" t="n">
        <f aca="false">IF(L23&gt;0,L23,0)</f>
        <v>0</v>
      </c>
      <c r="K23" s="173" t="n">
        <f aca="false">I23+J23</f>
        <v>118</v>
      </c>
      <c r="L23" s="173" t="n">
        <f aca="false">F23-(I23-AK23)</f>
        <v>-30.2989664734056</v>
      </c>
      <c r="M23" s="508" t="n">
        <v>295</v>
      </c>
      <c r="N23" s="199" t="n">
        <f aca="false">1.8299*1.03</f>
        <v>1.884797</v>
      </c>
      <c r="O23" s="173" t="n">
        <f aca="false">(46+47)*1.05</f>
        <v>97.65</v>
      </c>
      <c r="P23" s="199" t="n">
        <v>0</v>
      </c>
      <c r="Q23" s="199" t="n">
        <f aca="false">3.295*1.02</f>
        <v>3.3609</v>
      </c>
      <c r="R23" s="199" t="n">
        <v>4.2</v>
      </c>
      <c r="S23" s="312" t="n">
        <v>4.75</v>
      </c>
      <c r="T23" s="356" t="n">
        <v>0</v>
      </c>
      <c r="U23" s="173" t="n">
        <v>84</v>
      </c>
      <c r="V23" s="173" t="n">
        <v>81</v>
      </c>
      <c r="W23" s="132" t="n">
        <f aca="false">M23-N23-O23-P23-Q23-R23-S23-T23+U23+V23</f>
        <v>348.154303</v>
      </c>
      <c r="X23" s="132" t="n">
        <f aca="false">W23-AO23-AD23</f>
        <v>108.7391</v>
      </c>
      <c r="Y23" s="104" t="n">
        <f aca="false">Y22+(X23*1.9835)</f>
        <v>98446.03498925</v>
      </c>
      <c r="Z23" s="104" t="n">
        <f aca="false">Z22+X23*(26300/37500)*1.9835+(AD23*1.9835)</f>
        <v>73693.3700842667</v>
      </c>
      <c r="AA23" s="104"/>
      <c r="AB23" s="104"/>
      <c r="AC23" s="104"/>
      <c r="AD23" s="134" t="n">
        <f aca="false">W23-(I23-Q23-R23-AF23)</f>
        <v>239.415203</v>
      </c>
      <c r="AE23" s="173" t="n">
        <v>203</v>
      </c>
      <c r="AF23" s="231" t="n">
        <v>1.7</v>
      </c>
      <c r="AG23" s="232" t="n">
        <v>1.3</v>
      </c>
      <c r="AH23" s="173" t="n">
        <v>67</v>
      </c>
      <c r="AI23" s="105" t="n">
        <f aca="false">AI22-AH23</f>
        <v>8733.25787748929</v>
      </c>
      <c r="AJ23" s="105"/>
      <c r="AK23" s="12" t="n">
        <f aca="false">N23+O23+P23+Q23+R23+S23+T23+W23+AE23+AH23</f>
        <v>730</v>
      </c>
      <c r="AL23" s="173" t="n">
        <f aca="false">IF(L23&lt;0,L23*-1,0)</f>
        <v>30.2989664734056</v>
      </c>
      <c r="AM23" s="173" t="n">
        <f aca="false">AK23+AL23</f>
        <v>760.298966473406</v>
      </c>
      <c r="AN23" s="203" t="n">
        <f aca="false">AN22</f>
        <v>14794.787655</v>
      </c>
      <c r="AO23" s="171"/>
      <c r="AP23" s="93"/>
      <c r="AQ23" s="199" t="n">
        <f aca="false">45.4*(AA22*1.9835+AC22*1.9835+AP22*1.9835)/E23</f>
        <v>0</v>
      </c>
      <c r="AR23" s="199"/>
      <c r="AS23" s="161"/>
      <c r="AT23" s="1"/>
      <c r="AU23" s="4"/>
      <c r="AV23" s="268" t="n">
        <v>0</v>
      </c>
      <c r="AW23" s="168" t="n">
        <v>84</v>
      </c>
      <c r="AX23" s="168" t="n">
        <v>50</v>
      </c>
      <c r="AY23" s="300"/>
      <c r="AZ23" s="233" t="n">
        <f aca="false">SUM(N23,P23:T23)</f>
        <v>14.195697</v>
      </c>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171" t="n">
        <v>11</v>
      </c>
      <c r="B24" s="269" t="n">
        <v>6909.24</v>
      </c>
      <c r="C24" s="105" t="n">
        <v>318961</v>
      </c>
      <c r="D24" s="168" t="n">
        <f aca="false">C24-C23</f>
        <v>-1353</v>
      </c>
      <c r="E24" s="105" t="n">
        <f aca="false">C24-152000</f>
        <v>166961</v>
      </c>
      <c r="F24" s="286" t="n">
        <f aca="false">D24/$D$2</f>
        <v>-682.127552306529</v>
      </c>
      <c r="G24" s="173" t="n">
        <v>114</v>
      </c>
      <c r="H24" s="174" t="n">
        <v>0</v>
      </c>
      <c r="I24" s="173" t="n">
        <f aca="false">G24+H24</f>
        <v>114</v>
      </c>
      <c r="J24" s="166" t="n">
        <f aca="false">IF(L24&gt;0,L24,0)</f>
        <v>0</v>
      </c>
      <c r="K24" s="173" t="n">
        <f aca="false">I24+J24</f>
        <v>114</v>
      </c>
      <c r="L24" s="173" t="n">
        <f aca="false">F24-(I24-AK24)</f>
        <v>-46.1275523065289</v>
      </c>
      <c r="M24" s="508" t="n">
        <v>297</v>
      </c>
      <c r="N24" s="199" t="n">
        <f aca="false">1.8299*1.03</f>
        <v>1.884797</v>
      </c>
      <c r="O24" s="173" t="n">
        <f aca="false">(43+43)*1.05</f>
        <v>90.3</v>
      </c>
      <c r="P24" s="199" t="n">
        <v>0</v>
      </c>
      <c r="Q24" s="199" t="n">
        <f aca="false">3.295*1.02</f>
        <v>3.3609</v>
      </c>
      <c r="R24" s="199" t="n">
        <v>4.2</v>
      </c>
      <c r="S24" s="312" t="n">
        <v>4.13</v>
      </c>
      <c r="T24" s="356" t="n">
        <v>0</v>
      </c>
      <c r="U24" s="173" t="n">
        <v>84</v>
      </c>
      <c r="V24" s="173" t="n">
        <v>80</v>
      </c>
      <c r="W24" s="132" t="n">
        <f aca="false">M24-N24-O24-P24-Q24-R24-S24-T24+U24+V24</f>
        <v>357.124303</v>
      </c>
      <c r="X24" s="132" t="n">
        <f aca="false">W24-AO24-AD24</f>
        <v>104.7391</v>
      </c>
      <c r="Y24" s="104" t="n">
        <f aca="false">Y23+(X24*1.9835)</f>
        <v>98653.7849941</v>
      </c>
      <c r="Z24" s="104" t="n">
        <f aca="false">Z23+X24*(26300/37500)*1.9835+(AD24*1.9835)</f>
        <v>74339.6781378186</v>
      </c>
      <c r="AA24" s="104"/>
      <c r="AB24" s="104"/>
      <c r="AC24" s="104"/>
      <c r="AD24" s="134" t="n">
        <f aca="false">W24-(I24-Q24-R24-AF24)</f>
        <v>252.385203</v>
      </c>
      <c r="AE24" s="173" t="n">
        <v>222</v>
      </c>
      <c r="AF24" s="231" t="n">
        <v>1.7</v>
      </c>
      <c r="AG24" s="232" t="n">
        <v>1.3</v>
      </c>
      <c r="AH24" s="173" t="n">
        <v>67</v>
      </c>
      <c r="AI24" s="105" t="n">
        <f aca="false">AI23-AH24</f>
        <v>8666.25787748929</v>
      </c>
      <c r="AJ24" s="105"/>
      <c r="AK24" s="12" t="n">
        <f aca="false">N24+O24+P24+Q24+R24+S24+T24+W24+AE24+AH24</f>
        <v>750</v>
      </c>
      <c r="AL24" s="173" t="n">
        <f aca="false">IF(L24&lt;0,L24*-1,0)</f>
        <v>46.1275523065289</v>
      </c>
      <c r="AM24" s="173" t="n">
        <f aca="false">AK24+AL24</f>
        <v>796.127552306529</v>
      </c>
      <c r="AN24" s="203" t="n">
        <f aca="false">AN23</f>
        <v>14794.787655</v>
      </c>
      <c r="AO24" s="171"/>
      <c r="AP24" s="133"/>
      <c r="AQ24" s="199" t="n">
        <f aca="false">45.4*(AA23*1.9835+AC23*1.9835+AP23*1.9835)/E24</f>
        <v>0</v>
      </c>
      <c r="AR24" s="199"/>
      <c r="AS24" s="161"/>
      <c r="AT24" s="1"/>
      <c r="AU24" s="4"/>
      <c r="AV24" s="268" t="n">
        <v>0</v>
      </c>
      <c r="AW24" s="168" t="n">
        <v>87</v>
      </c>
      <c r="AX24" s="168" t="n">
        <v>53</v>
      </c>
      <c r="AY24" s="300"/>
      <c r="AZ24" s="233" t="n">
        <f aca="false">SUM(N24,P24:T24)</f>
        <v>13.575697</v>
      </c>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171" t="n">
        <v>12</v>
      </c>
      <c r="B25" s="269" t="n">
        <v>6908.88</v>
      </c>
      <c r="C25" s="105" t="n">
        <v>317531</v>
      </c>
      <c r="D25" s="168" t="n">
        <f aca="false">C25-C24</f>
        <v>-1430</v>
      </c>
      <c r="E25" s="105" t="n">
        <f aca="false">C25-152000</f>
        <v>165531</v>
      </c>
      <c r="F25" s="286" t="n">
        <f aca="false">D25/$D$2</f>
        <v>-720.947819510965</v>
      </c>
      <c r="G25" s="173" t="n">
        <v>112</v>
      </c>
      <c r="H25" s="174" t="n">
        <v>0</v>
      </c>
      <c r="I25" s="173" t="n">
        <f aca="false">G25+H25</f>
        <v>112</v>
      </c>
      <c r="J25" s="166" t="n">
        <f aca="false">IF(L25&gt;0,L25,0)</f>
        <v>0</v>
      </c>
      <c r="K25" s="173" t="n">
        <f aca="false">I25+J25</f>
        <v>112</v>
      </c>
      <c r="L25" s="173" t="n">
        <f aca="false">F25-(I25-AK25)</f>
        <v>-53.9478195109655</v>
      </c>
      <c r="M25" s="508" t="n">
        <v>314</v>
      </c>
      <c r="N25" s="199" t="n">
        <f aca="false">1.8299*1.03</f>
        <v>1.884797</v>
      </c>
      <c r="O25" s="173" t="n">
        <f aca="false">(45+47)*1.05</f>
        <v>96.6</v>
      </c>
      <c r="P25" s="199" t="n">
        <v>0</v>
      </c>
      <c r="Q25" s="199" t="n">
        <f aca="false">3.295*1.02</f>
        <v>3.3609</v>
      </c>
      <c r="R25" s="199" t="n">
        <v>4.2</v>
      </c>
      <c r="S25" s="312" t="n">
        <v>4.45</v>
      </c>
      <c r="T25" s="356" t="n">
        <v>0</v>
      </c>
      <c r="U25" s="173" t="n">
        <v>91</v>
      </c>
      <c r="V25" s="173" t="n">
        <v>81</v>
      </c>
      <c r="W25" s="132" t="n">
        <f aca="false">M25-N25-O25-P25-Q25-R25-S25-T25+U25+V25</f>
        <v>375.504303</v>
      </c>
      <c r="X25" s="132" t="n">
        <f aca="false">W25-AO25-AD25</f>
        <v>102.7391</v>
      </c>
      <c r="Y25" s="104" t="n">
        <f aca="false">Y24+(X25*1.9835)</f>
        <v>98857.56799895</v>
      </c>
      <c r="Z25" s="104" t="n">
        <f aca="false">Z24+X25*(26300/37500)*1.9835+(AD25*1.9835)</f>
        <v>75023.6277320373</v>
      </c>
      <c r="AA25" s="104"/>
      <c r="AB25" s="104"/>
      <c r="AC25" s="104"/>
      <c r="AD25" s="134" t="n">
        <f aca="false">W25-(I25-Q25-R25-AF25)</f>
        <v>272.765203</v>
      </c>
      <c r="AE25" s="173" t="n">
        <v>226</v>
      </c>
      <c r="AF25" s="231" t="n">
        <v>1.7</v>
      </c>
      <c r="AG25" s="232" t="n">
        <v>1.3</v>
      </c>
      <c r="AH25" s="173" t="n">
        <v>67</v>
      </c>
      <c r="AI25" s="105" t="n">
        <f aca="false">AI24-AH25</f>
        <v>8599.25787748929</v>
      </c>
      <c r="AJ25" s="105"/>
      <c r="AK25" s="12" t="n">
        <f aca="false">N25+O25+P25+Q25+R25+S25+T25+W25+AE25+AH25</f>
        <v>779</v>
      </c>
      <c r="AL25" s="173" t="n">
        <f aca="false">IF(L25&lt;0,L25*-1,0)</f>
        <v>53.9478195109655</v>
      </c>
      <c r="AM25" s="173" t="n">
        <f aca="false">AK25+AL25</f>
        <v>832.947819510965</v>
      </c>
      <c r="AN25" s="203" t="n">
        <f aca="false">AN24</f>
        <v>14794.787655</v>
      </c>
      <c r="AO25" s="171"/>
      <c r="AP25" s="133"/>
      <c r="AQ25" s="199" t="n">
        <f aca="false">45.4*(AA24*1.9835+AC24*1.9835+AP24*1.9835)/E25</f>
        <v>0</v>
      </c>
      <c r="AR25" s="199"/>
      <c r="AS25" s="161"/>
      <c r="AT25" s="1"/>
      <c r="AU25" s="4"/>
      <c r="AV25" s="268" t="n">
        <v>0</v>
      </c>
      <c r="AW25" s="168" t="n">
        <v>89</v>
      </c>
      <c r="AX25" s="168" t="n">
        <v>55</v>
      </c>
      <c r="AY25" s="300"/>
      <c r="AZ25" s="233" t="n">
        <f aca="false">SUM(N25,P25:T25)</f>
        <v>13.895697</v>
      </c>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171" t="n">
        <v>13</v>
      </c>
      <c r="B26" s="269" t="n">
        <v>6908.49</v>
      </c>
      <c r="C26" s="105" t="n">
        <v>315991</v>
      </c>
      <c r="D26" s="168" t="n">
        <f aca="false">C26-C25</f>
        <v>-1540</v>
      </c>
      <c r="E26" s="105" t="n">
        <f aca="false">C26-152000</f>
        <v>163991</v>
      </c>
      <c r="F26" s="286" t="n">
        <f aca="false">D26/$D$2</f>
        <v>-776.405344088732</v>
      </c>
      <c r="G26" s="173" t="n">
        <v>85</v>
      </c>
      <c r="H26" s="174" t="n">
        <v>0</v>
      </c>
      <c r="I26" s="173" t="n">
        <f aca="false">G26+H26</f>
        <v>85</v>
      </c>
      <c r="J26" s="166" t="n">
        <f aca="false">IF(L26&gt;0,L26,0)</f>
        <v>0</v>
      </c>
      <c r="K26" s="173" t="n">
        <f aca="false">I26+J26</f>
        <v>85</v>
      </c>
      <c r="L26" s="173" t="n">
        <f aca="false">F26-(I26-AK26)</f>
        <v>-56.405344088732</v>
      </c>
      <c r="M26" s="508" t="n">
        <v>322</v>
      </c>
      <c r="N26" s="199" t="n">
        <f aca="false">1.8299*1.03</f>
        <v>1.884797</v>
      </c>
      <c r="O26" s="173" t="n">
        <f aca="false">(46+47)*1.05</f>
        <v>97.65</v>
      </c>
      <c r="P26" s="199" t="n">
        <v>0</v>
      </c>
      <c r="Q26" s="199" t="n">
        <f aca="false">3.295*1.02</f>
        <v>3.3609</v>
      </c>
      <c r="R26" s="199" t="n">
        <v>4.2</v>
      </c>
      <c r="S26" s="312" t="n">
        <v>4.19</v>
      </c>
      <c r="T26" s="356" t="n">
        <v>0</v>
      </c>
      <c r="U26" s="173" t="n">
        <v>94</v>
      </c>
      <c r="V26" s="173" t="n">
        <v>82</v>
      </c>
      <c r="W26" s="132" t="n">
        <f aca="false">M26-N26-O26-P26-Q26-R26-S26-T26+U26+V26</f>
        <v>386.714303</v>
      </c>
      <c r="X26" s="132" t="n">
        <f aca="false">W26-AO26-AD26</f>
        <v>75.7391</v>
      </c>
      <c r="Y26" s="104" t="n">
        <f aca="false">Y25+(X26*1.9835)</f>
        <v>99007.7965038</v>
      </c>
      <c r="Z26" s="104" t="n">
        <f aca="false">Z25+X26*(26300/37500)*1.9835+(AD26*1.9835)</f>
        <v>75745.8073052559</v>
      </c>
      <c r="AA26" s="104"/>
      <c r="AB26" s="104"/>
      <c r="AC26" s="104"/>
      <c r="AD26" s="134" t="n">
        <f aca="false">W26-(I26-Q26-R26-AF26)</f>
        <v>310.975203</v>
      </c>
      <c r="AE26" s="173" t="n">
        <v>240</v>
      </c>
      <c r="AF26" s="231" t="n">
        <v>1.7</v>
      </c>
      <c r="AG26" s="232" t="n">
        <v>1.3</v>
      </c>
      <c r="AH26" s="173" t="n">
        <v>67</v>
      </c>
      <c r="AI26" s="105" t="n">
        <f aca="false">AI25-AH26</f>
        <v>8532.25787748929</v>
      </c>
      <c r="AJ26" s="105"/>
      <c r="AK26" s="12" t="n">
        <f aca="false">N26+O26+P26+Q26+R26+S26+T26+W26+AE26+AH26</f>
        <v>805</v>
      </c>
      <c r="AL26" s="173" t="n">
        <f aca="false">IF(L26&lt;0,L26*-1,0)</f>
        <v>56.405344088732</v>
      </c>
      <c r="AM26" s="173" t="n">
        <f aca="false">AK26+AL26</f>
        <v>861.405344088732</v>
      </c>
      <c r="AN26" s="203" t="n">
        <f aca="false">AN25</f>
        <v>14794.787655</v>
      </c>
      <c r="AO26" s="171"/>
      <c r="AP26" s="133"/>
      <c r="AQ26" s="199" t="n">
        <f aca="false">45.4*(AA25*1.9835+AC25*1.9835+AP25*1.9835)/E26</f>
        <v>0</v>
      </c>
      <c r="AR26" s="199"/>
      <c r="AS26" s="161"/>
      <c r="AT26" s="1"/>
      <c r="AU26" s="4"/>
      <c r="AV26" s="268" t="n">
        <v>0</v>
      </c>
      <c r="AW26" s="168" t="n">
        <v>82</v>
      </c>
      <c r="AX26" s="168" t="n">
        <v>58</v>
      </c>
      <c r="AY26" s="300"/>
      <c r="AZ26" s="233" t="n">
        <f aca="false">SUM(N26,P26:T26)</f>
        <v>13.635697</v>
      </c>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171" t="n">
        <v>14</v>
      </c>
      <c r="B27" s="269" t="n">
        <v>6908.19</v>
      </c>
      <c r="C27" s="105" t="n">
        <v>314806</v>
      </c>
      <c r="D27" s="168" t="n">
        <f aca="false">C27-C26</f>
        <v>-1185</v>
      </c>
      <c r="E27" s="105" t="n">
        <f aca="false">C27-152000</f>
        <v>162806</v>
      </c>
      <c r="F27" s="286" t="n">
        <f aca="false">D27/$D$2</f>
        <v>-597.428787496849</v>
      </c>
      <c r="G27" s="173" t="n">
        <v>86</v>
      </c>
      <c r="H27" s="174" t="n">
        <v>0</v>
      </c>
      <c r="I27" s="173" t="n">
        <f aca="false">G27+H27</f>
        <v>86</v>
      </c>
      <c r="J27" s="166" t="n">
        <f aca="false">IF(L27&gt;0,L27,0)</f>
        <v>81.5712125031511</v>
      </c>
      <c r="K27" s="173" t="n">
        <f aca="false">I27+J27</f>
        <v>167.571212503151</v>
      </c>
      <c r="L27" s="173" t="n">
        <f aca="false">F27-(I27-AK27)</f>
        <v>81.5712125031511</v>
      </c>
      <c r="M27" s="508" t="n">
        <v>310</v>
      </c>
      <c r="N27" s="199" t="n">
        <f aca="false">1.8299*1.03</f>
        <v>1.884797</v>
      </c>
      <c r="O27" s="173" t="n">
        <f aca="false">(46+48)*1.05</f>
        <v>98.7</v>
      </c>
      <c r="P27" s="199" t="n">
        <v>0</v>
      </c>
      <c r="Q27" s="199" t="n">
        <f aca="false">3.295*1.02</f>
        <v>3.3609</v>
      </c>
      <c r="R27" s="199" t="n">
        <v>4.2</v>
      </c>
      <c r="S27" s="312" t="n">
        <v>2.98</v>
      </c>
      <c r="T27" s="356" t="n">
        <v>0</v>
      </c>
      <c r="U27" s="173" t="n">
        <v>93</v>
      </c>
      <c r="V27" s="173" t="n">
        <v>82</v>
      </c>
      <c r="W27" s="132" t="n">
        <f aca="false">M27-N27-O27-P27-Q27-R27-S27-T27+U27+V27</f>
        <v>373.874303</v>
      </c>
      <c r="X27" s="132" t="n">
        <f aca="false">W27-AO27-AD27</f>
        <v>76.7391</v>
      </c>
      <c r="Y27" s="104" t="n">
        <f aca="false">Y26+(X27*1.9835)</f>
        <v>99160.00850865</v>
      </c>
      <c r="Z27" s="104" t="n">
        <f aca="false">Z26+X27*(26300/37500)*1.9835+(AD27*1.9835)</f>
        <v>76441.9263331412</v>
      </c>
      <c r="AA27" s="104"/>
      <c r="AB27" s="104"/>
      <c r="AC27" s="104"/>
      <c r="AD27" s="134" t="n">
        <f aca="false">W27-(I27-Q27-R27-AF27)</f>
        <v>297.135203</v>
      </c>
      <c r="AE27" s="173" t="n">
        <v>213</v>
      </c>
      <c r="AF27" s="231" t="n">
        <v>1.7</v>
      </c>
      <c r="AG27" s="232" t="n">
        <v>1.3</v>
      </c>
      <c r="AH27" s="173" t="n">
        <v>67</v>
      </c>
      <c r="AI27" s="105" t="n">
        <f aca="false">AI26-AH27</f>
        <v>8465.25787748929</v>
      </c>
      <c r="AJ27" s="105"/>
      <c r="AK27" s="12" t="n">
        <f aca="false">N27+O27+P27+Q27+R27+S27+T27+W27+AE27+AH27</f>
        <v>765</v>
      </c>
      <c r="AL27" s="173" t="n">
        <f aca="false">IF(L27&lt;0,L27*-1,0)</f>
        <v>0</v>
      </c>
      <c r="AM27" s="173" t="n">
        <f aca="false">AK27+AL27</f>
        <v>765</v>
      </c>
      <c r="AN27" s="203" t="n">
        <f aca="false">AN26</f>
        <v>14794.787655</v>
      </c>
      <c r="AO27" s="171"/>
      <c r="AP27" s="134"/>
      <c r="AQ27" s="199" t="n">
        <f aca="false">45.4*(AA26*1.9835+AC26*1.9835+AP26*1.9835)/E27</f>
        <v>0</v>
      </c>
      <c r="AR27" s="199"/>
      <c r="AS27" s="161"/>
      <c r="AT27" s="1"/>
      <c r="AU27" s="4"/>
      <c r="AV27" s="268" t="n">
        <v>0.05</v>
      </c>
      <c r="AW27" s="168" t="n">
        <v>78</v>
      </c>
      <c r="AX27" s="168" t="n">
        <v>55</v>
      </c>
      <c r="AY27" s="300"/>
      <c r="AZ27" s="233" t="n">
        <f aca="false">SUM(N27,P27:T27)</f>
        <v>12.425697</v>
      </c>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171" t="n">
        <v>15</v>
      </c>
      <c r="B28" s="269" t="n">
        <v>6907.88</v>
      </c>
      <c r="C28" s="105" t="n">
        <v>313586</v>
      </c>
      <c r="D28" s="168" t="n">
        <f aca="false">C28-C27</f>
        <v>-1220</v>
      </c>
      <c r="E28" s="105" t="n">
        <f aca="false">C28-152000</f>
        <v>161586</v>
      </c>
      <c r="F28" s="286" t="n">
        <f aca="false">D28/$D$2</f>
        <v>-615.074363498866</v>
      </c>
      <c r="G28" s="173" t="n">
        <v>110</v>
      </c>
      <c r="H28" s="174" t="n">
        <v>0</v>
      </c>
      <c r="I28" s="173" t="n">
        <f aca="false">G28+H28</f>
        <v>110</v>
      </c>
      <c r="J28" s="166" t="n">
        <f aca="false">IF(L28&gt;0,L28,0)</f>
        <v>0</v>
      </c>
      <c r="K28" s="173" t="n">
        <f aca="false">I28+J28</f>
        <v>110</v>
      </c>
      <c r="L28" s="173" t="n">
        <f aca="false">F28-(I28-AK28)</f>
        <v>-6.07436349886564</v>
      </c>
      <c r="M28" s="508" t="n">
        <v>260</v>
      </c>
      <c r="N28" s="199" t="n">
        <f aca="false">1.8299*1.03</f>
        <v>1.884797</v>
      </c>
      <c r="O28" s="173" t="n">
        <f aca="false">(35+36)*1.05</f>
        <v>74.55</v>
      </c>
      <c r="P28" s="199" t="n">
        <v>0</v>
      </c>
      <c r="Q28" s="199" t="n">
        <f aca="false">3.295*1.02</f>
        <v>3.3609</v>
      </c>
      <c r="R28" s="199" t="n">
        <v>4.2</v>
      </c>
      <c r="S28" s="312" t="n">
        <v>2.67</v>
      </c>
      <c r="T28" s="356" t="n">
        <v>0</v>
      </c>
      <c r="U28" s="173" t="n">
        <v>93</v>
      </c>
      <c r="V28" s="173" t="n">
        <v>82</v>
      </c>
      <c r="W28" s="132" t="n">
        <f aca="false">M28-N28-O28-P28-Q28-R28-S28-T28+U28+V28</f>
        <v>348.334303</v>
      </c>
      <c r="X28" s="132" t="n">
        <f aca="false">W28-AO28-AD28</f>
        <v>100.7391</v>
      </c>
      <c r="Y28" s="104" t="n">
        <f aca="false">Y27+(X28*1.9835)</f>
        <v>99359.8245135</v>
      </c>
      <c r="Z28" s="104" t="n">
        <f aca="false">Z27+X28*(26300/37500)*1.9835+(AD28*1.9835)</f>
        <v>77073.1690430265</v>
      </c>
      <c r="AA28" s="104"/>
      <c r="AB28" s="104"/>
      <c r="AC28" s="104"/>
      <c r="AD28" s="134" t="n">
        <f aca="false">W28-(I28-Q28-R28-AF28)</f>
        <v>247.595203</v>
      </c>
      <c r="AE28" s="173" t="n">
        <v>217</v>
      </c>
      <c r="AF28" s="231" t="n">
        <v>1.7</v>
      </c>
      <c r="AG28" s="232" t="n">
        <v>1.3</v>
      </c>
      <c r="AH28" s="173" t="n">
        <v>67</v>
      </c>
      <c r="AI28" s="105" t="n">
        <f aca="false">AI27-AH28</f>
        <v>8398.25787748929</v>
      </c>
      <c r="AJ28" s="105"/>
      <c r="AK28" s="12" t="n">
        <f aca="false">N28+O28+P28+Q28+R28+S28+T28+W28+AE28+AH28</f>
        <v>719</v>
      </c>
      <c r="AL28" s="173" t="n">
        <f aca="false">IF(L28&lt;0,L28*-1,0)</f>
        <v>6.07436349886564</v>
      </c>
      <c r="AM28" s="173" t="n">
        <f aca="false">AK28+AL28</f>
        <v>725.074363498866</v>
      </c>
      <c r="AN28" s="203" t="n">
        <f aca="false">AN27</f>
        <v>14794.787655</v>
      </c>
      <c r="AO28" s="171"/>
      <c r="AP28" s="134"/>
      <c r="AQ28" s="199" t="n">
        <f aca="false">45.4*(AA27*1.9835+AC27*1.9835+AP27*1.9835)/E28</f>
        <v>0</v>
      </c>
      <c r="AR28" s="199"/>
      <c r="AS28" s="161"/>
      <c r="AT28" s="1"/>
      <c r="AU28" s="4"/>
      <c r="AV28" s="268" t="n">
        <v>0</v>
      </c>
      <c r="AW28" s="168" t="n">
        <v>81</v>
      </c>
      <c r="AX28" s="168" t="n">
        <v>54</v>
      </c>
      <c r="AY28" s="300"/>
      <c r="AZ28" s="233" t="n">
        <f aca="false">SUM(N28,P28:T28)</f>
        <v>12.115697</v>
      </c>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171" t="n">
        <v>16</v>
      </c>
      <c r="B29" s="269" t="n">
        <v>6907.56</v>
      </c>
      <c r="C29" s="105" t="n">
        <v>312332</v>
      </c>
      <c r="D29" s="168" t="n">
        <f aca="false">C29-C28</f>
        <v>-1254</v>
      </c>
      <c r="E29" s="105" t="n">
        <f aca="false">C29-152000</f>
        <v>160332</v>
      </c>
      <c r="F29" s="286" t="n">
        <f aca="false">D29/$D$2</f>
        <v>-632.215780186539</v>
      </c>
      <c r="G29" s="173" t="n">
        <v>96</v>
      </c>
      <c r="H29" s="174" t="n">
        <v>0</v>
      </c>
      <c r="I29" s="173" t="n">
        <f aca="false">G29+H29</f>
        <v>96</v>
      </c>
      <c r="J29" s="166" t="n">
        <f aca="false">IF(L29&gt;0,L29,0)</f>
        <v>0</v>
      </c>
      <c r="K29" s="173" t="n">
        <f aca="false">I29+J29</f>
        <v>96</v>
      </c>
      <c r="L29" s="173" t="n">
        <f aca="false">F29-(I29-AK29)</f>
        <v>-34.2157801865389</v>
      </c>
      <c r="M29" s="508" t="n">
        <v>235</v>
      </c>
      <c r="N29" s="199" t="n">
        <f aca="false">1.8299*1.03</f>
        <v>1.884797</v>
      </c>
      <c r="O29" s="173" t="n">
        <f aca="false">(26+24)*1.05</f>
        <v>52.5</v>
      </c>
      <c r="P29" s="199" t="n">
        <v>0</v>
      </c>
      <c r="Q29" s="199" t="n">
        <f aca="false">3.295*1.02</f>
        <v>3.3609</v>
      </c>
      <c r="R29" s="199" t="n">
        <v>4.2</v>
      </c>
      <c r="S29" s="312" t="n">
        <v>3.07</v>
      </c>
      <c r="T29" s="356" t="n">
        <v>0</v>
      </c>
      <c r="U29" s="173" t="n">
        <v>92</v>
      </c>
      <c r="V29" s="173" t="n">
        <v>81</v>
      </c>
      <c r="W29" s="132" t="n">
        <f aca="false">M29-N29-O29-P29-Q29-R29-S29-T29+U29+V29</f>
        <v>342.984303</v>
      </c>
      <c r="X29" s="132" t="n">
        <f aca="false">W29-AO29-AD29</f>
        <v>86.7391</v>
      </c>
      <c r="Y29" s="104" t="n">
        <f aca="false">Y28+(X29*1.9835)</f>
        <v>99531.87151835</v>
      </c>
      <c r="Z29" s="104" t="n">
        <f aca="false">Z28+X29*(26300/37500)*1.9835+(AD29*1.9835)</f>
        <v>77702.0937025785</v>
      </c>
      <c r="AA29" s="104"/>
      <c r="AB29" s="104"/>
      <c r="AC29" s="104"/>
      <c r="AD29" s="134" t="n">
        <f aca="false">W29-(I29-Q29-R29-AF29)</f>
        <v>256.245203</v>
      </c>
      <c r="AE29" s="173" t="n">
        <v>219</v>
      </c>
      <c r="AF29" s="231" t="n">
        <v>1.7</v>
      </c>
      <c r="AG29" s="232" t="n">
        <v>1.3</v>
      </c>
      <c r="AH29" s="173" t="n">
        <v>67</v>
      </c>
      <c r="AI29" s="105" t="n">
        <f aca="false">AI28-AH29</f>
        <v>8331.25787748929</v>
      </c>
      <c r="AJ29" s="105"/>
      <c r="AK29" s="12" t="n">
        <f aca="false">N29+O29+P29+Q29+R29+S29+T29+W29+AE29+AH29</f>
        <v>694</v>
      </c>
      <c r="AL29" s="173" t="n">
        <f aca="false">IF(L29&lt;0,L29*-1,0)</f>
        <v>34.2157801865389</v>
      </c>
      <c r="AM29" s="173" t="n">
        <f aca="false">AK29+AL29</f>
        <v>728.215780186539</v>
      </c>
      <c r="AN29" s="203" t="n">
        <f aca="false">AN28</f>
        <v>14794.787655</v>
      </c>
      <c r="AO29" s="171"/>
      <c r="AP29" s="134"/>
      <c r="AQ29" s="199" t="n">
        <f aca="false">45.4*(AA28*1.9835+AC28*1.9835+AP28*1.9835)/E29</f>
        <v>0</v>
      </c>
      <c r="AR29" s="199"/>
      <c r="AS29" s="161"/>
      <c r="AT29" s="1"/>
      <c r="AU29" s="4"/>
      <c r="AV29" s="268" t="n">
        <v>0</v>
      </c>
      <c r="AW29" s="168" t="n">
        <v>80</v>
      </c>
      <c r="AX29" s="168" t="n">
        <v>48</v>
      </c>
      <c r="AY29" s="300"/>
      <c r="AZ29" s="233" t="n">
        <f aca="false">SUM(N29,P29:T29)</f>
        <v>12.515697</v>
      </c>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95" hidden="false" customHeight="true" outlineLevel="0" collapsed="false">
      <c r="A30" s="171" t="n">
        <v>17</v>
      </c>
      <c r="B30" s="269" t="n">
        <v>6907.2</v>
      </c>
      <c r="C30" s="105" t="n">
        <v>310921</v>
      </c>
      <c r="D30" s="168" t="n">
        <f aca="false">C30-C29</f>
        <v>-1411</v>
      </c>
      <c r="E30" s="105" t="n">
        <f aca="false">C30-152000</f>
        <v>158921</v>
      </c>
      <c r="F30" s="286" t="n">
        <f aca="false">D30/$D$2</f>
        <v>-711.368792538442</v>
      </c>
      <c r="G30" s="173" t="n">
        <v>86</v>
      </c>
      <c r="H30" s="174" t="n">
        <v>0</v>
      </c>
      <c r="I30" s="173" t="n">
        <f aca="false">G30+H30</f>
        <v>86</v>
      </c>
      <c r="J30" s="166" t="n">
        <f aca="false">IF(L30&gt;0,L30,0)</f>
        <v>0</v>
      </c>
      <c r="K30" s="173" t="n">
        <f aca="false">I30+J30</f>
        <v>86</v>
      </c>
      <c r="L30" s="173" t="n">
        <f aca="false">F30-(I30-AK30)</f>
        <v>-23.368792538442</v>
      </c>
      <c r="M30" s="508" t="n">
        <v>302</v>
      </c>
      <c r="N30" s="199" t="n">
        <f aca="false">1.8299*1.03</f>
        <v>1.884797</v>
      </c>
      <c r="O30" s="173" t="n">
        <f aca="false">(37+38)*1.05</f>
        <v>78.75</v>
      </c>
      <c r="P30" s="199" t="n">
        <v>0</v>
      </c>
      <c r="Q30" s="199" t="n">
        <f aca="false">3.295*1.02</f>
        <v>3.3609</v>
      </c>
      <c r="R30" s="199" t="n">
        <v>4.2</v>
      </c>
      <c r="S30" s="312" t="n">
        <v>4.32</v>
      </c>
      <c r="T30" s="356" t="n">
        <v>0</v>
      </c>
      <c r="U30" s="173" t="n">
        <v>91</v>
      </c>
      <c r="V30" s="173" t="n">
        <v>81</v>
      </c>
      <c r="W30" s="132" t="n">
        <f aca="false">M30-N30-O30-P30-Q30-R30-S30-T30+U30+V30</f>
        <v>381.484303</v>
      </c>
      <c r="X30" s="132" t="n">
        <f aca="false">W30-AO30-AD30</f>
        <v>76.7391</v>
      </c>
      <c r="Y30" s="104" t="n">
        <f aca="false">Y29+(X30*1.9835)</f>
        <v>99684.0835232</v>
      </c>
      <c r="Z30" s="104" t="n">
        <f aca="false">Z29+X30*(26300/37500)*1.9835+(AD30*1.9835)</f>
        <v>78413.3071654638</v>
      </c>
      <c r="AA30" s="104"/>
      <c r="AB30" s="104"/>
      <c r="AC30" s="104"/>
      <c r="AD30" s="134" t="n">
        <f aca="false">W30-(I30-Q30-R30-AF30)</f>
        <v>304.745203</v>
      </c>
      <c r="AE30" s="173" t="n">
        <v>237</v>
      </c>
      <c r="AF30" s="231" t="n">
        <v>1.7</v>
      </c>
      <c r="AG30" s="232" t="n">
        <v>1.3</v>
      </c>
      <c r="AH30" s="173" t="n">
        <v>63</v>
      </c>
      <c r="AI30" s="105" t="n">
        <f aca="false">AI29-AH30</f>
        <v>8268.25787748929</v>
      </c>
      <c r="AJ30" s="105"/>
      <c r="AK30" s="12" t="n">
        <f aca="false">N30+O30+P30+Q30+R30+S30+T30+W30+AE30+AH30</f>
        <v>774</v>
      </c>
      <c r="AL30" s="173" t="n">
        <f aca="false">IF(L30&lt;0,L30*-1,0)</f>
        <v>23.368792538442</v>
      </c>
      <c r="AM30" s="173" t="n">
        <f aca="false">AK30+AL30</f>
        <v>797.368792538442</v>
      </c>
      <c r="AN30" s="203" t="n">
        <f aca="false">AN29</f>
        <v>14794.787655</v>
      </c>
      <c r="AO30" s="171"/>
      <c r="AP30" s="134"/>
      <c r="AQ30" s="199" t="n">
        <f aca="false">45.4*(AA29*1.9835+AC29*1.9835+AP29*1.9835)/E30</f>
        <v>0</v>
      </c>
      <c r="AR30" s="199"/>
      <c r="AS30" s="161"/>
      <c r="AT30" s="1"/>
      <c r="AU30" s="4"/>
      <c r="AV30" s="268" t="n">
        <v>0</v>
      </c>
      <c r="AW30" s="168" t="n">
        <v>81</v>
      </c>
      <c r="AX30" s="168" t="n">
        <v>48</v>
      </c>
      <c r="AY30" s="300"/>
      <c r="AZ30" s="233" t="n">
        <f aca="false">SUM(N30,P30:T30)</f>
        <v>13.765697</v>
      </c>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171" t="n">
        <v>18</v>
      </c>
      <c r="B31" s="269" t="n">
        <v>6906.85</v>
      </c>
      <c r="C31" s="105" t="n">
        <v>309555</v>
      </c>
      <c r="D31" s="168" t="n">
        <f aca="false">C31-C30</f>
        <v>-1366</v>
      </c>
      <c r="E31" s="105" t="n">
        <f aca="false">C31-152000</f>
        <v>157555</v>
      </c>
      <c r="F31" s="286" t="n">
        <f aca="false">D31/$D$2</f>
        <v>-688.681623392992</v>
      </c>
      <c r="G31" s="173" t="n">
        <v>81</v>
      </c>
      <c r="H31" s="174" t="n">
        <v>0</v>
      </c>
      <c r="I31" s="173" t="n">
        <f aca="false">G31+H31</f>
        <v>81</v>
      </c>
      <c r="J31" s="166" t="n">
        <f aca="false">IF(L31&gt;0,L31,0)</f>
        <v>0</v>
      </c>
      <c r="K31" s="173" t="n">
        <f aca="false">I31+J31</f>
        <v>81</v>
      </c>
      <c r="L31" s="173" t="n">
        <f aca="false">F31-(I31-AK31)</f>
        <v>-16.6816233929922</v>
      </c>
      <c r="M31" s="508" t="n">
        <v>262</v>
      </c>
      <c r="N31" s="199" t="n">
        <f aca="false">1.8299*1.03</f>
        <v>1.884797</v>
      </c>
      <c r="O31" s="173" t="n">
        <f aca="false">(27+28)*1.05</f>
        <v>57.75</v>
      </c>
      <c r="P31" s="199" t="n">
        <v>0</v>
      </c>
      <c r="Q31" s="199" t="n">
        <f aca="false">3.295*1.02</f>
        <v>3.3609</v>
      </c>
      <c r="R31" s="199" t="n">
        <v>4.2</v>
      </c>
      <c r="S31" s="312" t="n">
        <v>3.43</v>
      </c>
      <c r="T31" s="356" t="n">
        <v>0</v>
      </c>
      <c r="U31" s="173" t="n">
        <v>91</v>
      </c>
      <c r="V31" s="173" t="n">
        <v>82</v>
      </c>
      <c r="W31" s="132" t="n">
        <f aca="false">M31-N31-O31-P31-Q31-R31-S31-T31+U31+V31</f>
        <v>364.374303</v>
      </c>
      <c r="X31" s="132" t="n">
        <f aca="false">W31-AO31-AD31</f>
        <v>71.7391</v>
      </c>
      <c r="Y31" s="104" t="n">
        <f aca="false">Y30+(X31*1.9835)</f>
        <v>99826.37802805</v>
      </c>
      <c r="Z31" s="104" t="n">
        <f aca="false">Z30+X31*(26300/37500)*1.9835+(AD31*1.9835)</f>
        <v>79093.5449700157</v>
      </c>
      <c r="AA31" s="104"/>
      <c r="AB31" s="104"/>
      <c r="AC31" s="104"/>
      <c r="AD31" s="134" t="n">
        <f aca="false">W31-(I31-Q31-R31-AF31)</f>
        <v>292.635203</v>
      </c>
      <c r="AE31" s="173" t="n">
        <v>256</v>
      </c>
      <c r="AF31" s="231" t="n">
        <v>1.7</v>
      </c>
      <c r="AG31" s="232" t="n">
        <v>1.3</v>
      </c>
      <c r="AH31" s="173" t="n">
        <v>62</v>
      </c>
      <c r="AI31" s="105" t="n">
        <f aca="false">AI30-AH31</f>
        <v>8206.25787748929</v>
      </c>
      <c r="AJ31" s="105"/>
      <c r="AK31" s="12" t="n">
        <f aca="false">N31+O31+P31+Q31+R31+S31+T31+W31+AE31+AH31</f>
        <v>753</v>
      </c>
      <c r="AL31" s="173" t="n">
        <f aca="false">IF(L31&lt;0,L31*-1,0)</f>
        <v>16.6816233929922</v>
      </c>
      <c r="AM31" s="173" t="n">
        <f aca="false">AK31+AL31</f>
        <v>769.681623392992</v>
      </c>
      <c r="AN31" s="203" t="n">
        <f aca="false">AN30</f>
        <v>14794.787655</v>
      </c>
      <c r="AO31" s="171"/>
      <c r="AP31" s="134"/>
      <c r="AQ31" s="199" t="n">
        <f aca="false">45.4*(AA30*1.9835+AC30*1.9835+AP30*1.9835)/E31</f>
        <v>0</v>
      </c>
      <c r="AR31" s="199"/>
      <c r="AS31" s="161"/>
      <c r="AT31" s="1"/>
      <c r="AU31" s="4"/>
      <c r="AV31" s="268" t="n">
        <v>0</v>
      </c>
      <c r="AW31" s="168" t="n">
        <v>83</v>
      </c>
      <c r="AX31" s="168" t="n">
        <v>51</v>
      </c>
      <c r="AY31" s="300"/>
      <c r="AZ31" s="233" t="n">
        <f aca="false">SUM(N31,P31:T31)</f>
        <v>12.875697</v>
      </c>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171" t="n">
        <v>19</v>
      </c>
      <c r="B32" s="269" t="n">
        <v>6906.49</v>
      </c>
      <c r="C32" s="105" t="n">
        <v>308156</v>
      </c>
      <c r="D32" s="168" t="n">
        <f aca="false">C32-C31</f>
        <v>-1399</v>
      </c>
      <c r="E32" s="105" t="n">
        <f aca="false">C32-152000</f>
        <v>156156</v>
      </c>
      <c r="F32" s="286" t="n">
        <f aca="false">D32/$D$2</f>
        <v>-705.318880766322</v>
      </c>
      <c r="G32" s="173" t="n">
        <v>76</v>
      </c>
      <c r="H32" s="174" t="n">
        <v>0</v>
      </c>
      <c r="I32" s="173" t="n">
        <f aca="false">G32+H32</f>
        <v>76</v>
      </c>
      <c r="J32" s="166" t="n">
        <f aca="false">IF(L32&gt;0,L32,0)</f>
        <v>0</v>
      </c>
      <c r="K32" s="173" t="n">
        <f aca="false">I32+J32</f>
        <v>76</v>
      </c>
      <c r="L32" s="173" t="n">
        <f aca="false">F32-(I32-AK32)</f>
        <v>-16.3188807663222</v>
      </c>
      <c r="M32" s="508" t="n">
        <v>263</v>
      </c>
      <c r="N32" s="199" t="n">
        <f aca="false">1.8299*1.03</f>
        <v>1.884797</v>
      </c>
      <c r="O32" s="173" t="n">
        <f aca="false">(22+23)*1.05</f>
        <v>47.25</v>
      </c>
      <c r="P32" s="199" t="n">
        <v>0</v>
      </c>
      <c r="Q32" s="199" t="n">
        <f aca="false">3.295*1.02</f>
        <v>3.3609</v>
      </c>
      <c r="R32" s="199" t="n">
        <v>4.2</v>
      </c>
      <c r="S32" s="312" t="n">
        <v>4.32</v>
      </c>
      <c r="T32" s="356" t="n">
        <v>0</v>
      </c>
      <c r="U32" s="173" t="n">
        <v>90</v>
      </c>
      <c r="V32" s="173" t="n">
        <v>82</v>
      </c>
      <c r="W32" s="132" t="n">
        <f aca="false">M32-N32-O32-P32-Q32-R32-S32-T32+U32+V32</f>
        <v>373.984303</v>
      </c>
      <c r="X32" s="132" t="n">
        <f aca="false">W32-AO32-AD32</f>
        <v>66.7391</v>
      </c>
      <c r="Y32" s="104" t="n">
        <f aca="false">Y31+(X32*1.9835)</f>
        <v>99958.7550329</v>
      </c>
      <c r="Z32" s="104" t="n">
        <f aca="false">Z31+X32*(26300/37500)*1.9835+(AD32*1.9835)</f>
        <v>79795.8062362344</v>
      </c>
      <c r="AA32" s="104"/>
      <c r="AB32" s="104"/>
      <c r="AC32" s="104"/>
      <c r="AD32" s="134" t="n">
        <f aca="false">W32-(I32-Q32-R32-AF32)</f>
        <v>307.245203</v>
      </c>
      <c r="AE32" s="173" t="n">
        <v>269</v>
      </c>
      <c r="AF32" s="231" t="n">
        <v>1.7</v>
      </c>
      <c r="AG32" s="232" t="n">
        <v>1.3</v>
      </c>
      <c r="AH32" s="173" t="n">
        <v>61</v>
      </c>
      <c r="AI32" s="105" t="n">
        <f aca="false">AI31-AH32</f>
        <v>8145.25787748929</v>
      </c>
      <c r="AJ32" s="105"/>
      <c r="AK32" s="12" t="n">
        <f aca="false">N32+O32+P32+Q32+R32+S32+T32+W32+AE32+AH32</f>
        <v>765</v>
      </c>
      <c r="AL32" s="173" t="n">
        <f aca="false">IF(L32&lt;0,L32*-1,0)</f>
        <v>16.3188807663222</v>
      </c>
      <c r="AM32" s="173" t="n">
        <f aca="false">AK32+AL32</f>
        <v>781.318880766322</v>
      </c>
      <c r="AN32" s="203" t="n">
        <f aca="false">AN31</f>
        <v>14794.787655</v>
      </c>
      <c r="AO32" s="171"/>
      <c r="AP32" s="134"/>
      <c r="AQ32" s="199" t="n">
        <f aca="false">45.4*(AA31*1.9835+AC31*1.9835+AP31*1.9835)/E32</f>
        <v>0</v>
      </c>
      <c r="AR32" s="199"/>
      <c r="AS32" s="161"/>
      <c r="AT32" s="1"/>
      <c r="AU32" s="4"/>
      <c r="AV32" s="268" t="n">
        <v>0</v>
      </c>
      <c r="AW32" s="168" t="n">
        <v>83</v>
      </c>
      <c r="AX32" s="168" t="n">
        <v>48</v>
      </c>
      <c r="AY32" s="300"/>
      <c r="AZ32" s="233" t="n">
        <f aca="false">SUM(N32,P32:T32)</f>
        <v>13.765697</v>
      </c>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171" t="n">
        <v>20</v>
      </c>
      <c r="B33" s="269" t="n">
        <v>6906.11</v>
      </c>
      <c r="C33" s="105" t="n">
        <v>306679</v>
      </c>
      <c r="D33" s="168" t="n">
        <f aca="false">C33-C32</f>
        <v>-1477</v>
      </c>
      <c r="E33" s="105" t="n">
        <f aca="false">C33-152000</f>
        <v>154679</v>
      </c>
      <c r="F33" s="286" t="n">
        <f aca="false">D33/$D$2</f>
        <v>-744.643307285102</v>
      </c>
      <c r="G33" s="173" t="n">
        <v>75</v>
      </c>
      <c r="H33" s="174" t="n">
        <v>0</v>
      </c>
      <c r="I33" s="173" t="n">
        <f aca="false">G33+H33</f>
        <v>75</v>
      </c>
      <c r="J33" s="166" t="n">
        <f aca="false">IF(L33&gt;0,L33,0)</f>
        <v>0</v>
      </c>
      <c r="K33" s="173" t="n">
        <f aca="false">I33+J33</f>
        <v>75</v>
      </c>
      <c r="L33" s="173" t="n">
        <f aca="false">F33-(I33-AK33)</f>
        <v>-12.6433072851021</v>
      </c>
      <c r="M33" s="508" t="n">
        <v>305</v>
      </c>
      <c r="N33" s="199" t="n">
        <f aca="false">1.8299*1.03</f>
        <v>1.884797</v>
      </c>
      <c r="O33" s="173" t="n">
        <f aca="false">(38+39)*1.05</f>
        <v>80.85</v>
      </c>
      <c r="P33" s="199" t="n">
        <v>0</v>
      </c>
      <c r="Q33" s="199" t="n">
        <f aca="false">3.295*1.02</f>
        <v>3.3609</v>
      </c>
      <c r="R33" s="199" t="n">
        <v>4.2</v>
      </c>
      <c r="S33" s="312" t="n">
        <v>4.16</v>
      </c>
      <c r="T33" s="356" t="n">
        <v>0</v>
      </c>
      <c r="U33" s="173" t="n">
        <v>89</v>
      </c>
      <c r="V33" s="173" t="n">
        <v>85</v>
      </c>
      <c r="W33" s="132" t="n">
        <f aca="false">M33-N33-O33-P33-Q33-R33-S33-T33+U33+V33</f>
        <v>384.544303</v>
      </c>
      <c r="X33" s="132" t="n">
        <f aca="false">W33-AO33-AD33</f>
        <v>65.7391</v>
      </c>
      <c r="Y33" s="104" t="n">
        <f aca="false">Y32+(X33*1.9835)</f>
        <v>100089.14853775</v>
      </c>
      <c r="Z33" s="104" t="n">
        <f aca="false">Z32+X33*(26300/37500)*1.9835+(AD33*1.9835)</f>
        <v>80519.6056677863</v>
      </c>
      <c r="AA33" s="104"/>
      <c r="AB33" s="104"/>
      <c r="AC33" s="104"/>
      <c r="AD33" s="134" t="n">
        <f aca="false">W33-(I33-Q33-R33-AF33)</f>
        <v>318.805203</v>
      </c>
      <c r="AE33" s="173" t="n">
        <v>266</v>
      </c>
      <c r="AF33" s="231" t="n">
        <v>1.7</v>
      </c>
      <c r="AG33" s="232" t="n">
        <v>1.3</v>
      </c>
      <c r="AH33" s="173" t="n">
        <v>62</v>
      </c>
      <c r="AI33" s="105" t="n">
        <f aca="false">AI32-AH33</f>
        <v>8083.25787748929</v>
      </c>
      <c r="AJ33" s="105"/>
      <c r="AK33" s="12" t="n">
        <f aca="false">N33+O33+P33+Q33+R33+S33+T33+W33+AE33+AH33</f>
        <v>807</v>
      </c>
      <c r="AL33" s="173" t="n">
        <f aca="false">IF(L33&lt;0,L33*-1,0)</f>
        <v>12.6433072851021</v>
      </c>
      <c r="AM33" s="173" t="n">
        <f aca="false">AK33+AL33</f>
        <v>819.643307285102</v>
      </c>
      <c r="AN33" s="203" t="n">
        <f aca="false">AN32</f>
        <v>14794.787655</v>
      </c>
      <c r="AO33" s="171"/>
      <c r="AP33" s="134"/>
      <c r="AQ33" s="199" t="n">
        <f aca="false">45.4*(AA32*1.9835+AC32*1.9835+AP32*1.9835)/E33</f>
        <v>0</v>
      </c>
      <c r="AR33" s="199"/>
      <c r="AS33" s="161"/>
      <c r="AT33" s="1"/>
      <c r="AU33" s="4"/>
      <c r="AV33" s="268" t="n">
        <v>0</v>
      </c>
      <c r="AW33" s="168" t="n">
        <v>89</v>
      </c>
      <c r="AX33" s="168" t="n">
        <v>53</v>
      </c>
      <c r="AY33" s="300"/>
      <c r="AZ33" s="233" t="n">
        <f aca="false">SUM(N33,P33:T33)</f>
        <v>13.605697</v>
      </c>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171" t="n">
        <v>21</v>
      </c>
      <c r="B34" s="269" t="n">
        <v>6905.71</v>
      </c>
      <c r="C34" s="105" t="n">
        <v>305133</v>
      </c>
      <c r="D34" s="168" t="n">
        <f aca="false">C34-C33</f>
        <v>-1546</v>
      </c>
      <c r="E34" s="105" t="n">
        <f aca="false">C34-152000</f>
        <v>153133</v>
      </c>
      <c r="F34" s="286" t="n">
        <f aca="false">D34/$D$2</f>
        <v>-779.430299974792</v>
      </c>
      <c r="G34" s="173" t="n">
        <v>71</v>
      </c>
      <c r="H34" s="174" t="n">
        <v>0</v>
      </c>
      <c r="I34" s="173" t="n">
        <f aca="false">G34+H34</f>
        <v>71</v>
      </c>
      <c r="J34" s="166" t="n">
        <f aca="false">IF(L34&gt;0,L34,0)</f>
        <v>0</v>
      </c>
      <c r="K34" s="173" t="n">
        <f aca="false">I34+J34</f>
        <v>71</v>
      </c>
      <c r="L34" s="173" t="n">
        <f aca="false">F34-(I34-AK34)</f>
        <v>-11.4302999747919</v>
      </c>
      <c r="M34" s="508" t="n">
        <v>325</v>
      </c>
      <c r="N34" s="199" t="n">
        <f aca="false">1.8299*1.03</f>
        <v>1.884797</v>
      </c>
      <c r="O34" s="173" t="n">
        <f aca="false">(50+50)*1.05</f>
        <v>105</v>
      </c>
      <c r="P34" s="199" t="n">
        <v>0</v>
      </c>
      <c r="Q34" s="199" t="n">
        <f aca="false">3.295*1.02</f>
        <v>3.3609</v>
      </c>
      <c r="R34" s="199" t="n">
        <v>4.2</v>
      </c>
      <c r="S34" s="312" t="n">
        <v>4.07</v>
      </c>
      <c r="T34" s="356" t="n">
        <v>0</v>
      </c>
      <c r="U34" s="173" t="n">
        <v>89</v>
      </c>
      <c r="V34" s="173" t="n">
        <v>83</v>
      </c>
      <c r="W34" s="132" t="n">
        <f aca="false">M34-N34-O34-P34-Q34-R34-S34-T34+U34+V34</f>
        <v>378.484303</v>
      </c>
      <c r="X34" s="132" t="n">
        <f aca="false">W34-AO34-AD34</f>
        <v>61.7391</v>
      </c>
      <c r="Y34" s="104" t="n">
        <f aca="false">Y33+(X34*1.9835)</f>
        <v>100211.6080426</v>
      </c>
      <c r="Z34" s="104" t="n">
        <f aca="false">Z33+X34*(26300/37500)*1.9835+(AD34*1.9835)</f>
        <v>81233.7547106716</v>
      </c>
      <c r="AA34" s="104"/>
      <c r="AB34" s="104"/>
      <c r="AC34" s="104"/>
      <c r="AD34" s="134" t="n">
        <f aca="false">W34-(I34-Q34-R34-AF34)</f>
        <v>316.745203</v>
      </c>
      <c r="AE34" s="173" t="n">
        <v>280</v>
      </c>
      <c r="AF34" s="231" t="n">
        <v>1.7</v>
      </c>
      <c r="AG34" s="232" t="n">
        <v>1.3</v>
      </c>
      <c r="AH34" s="173" t="n">
        <v>62</v>
      </c>
      <c r="AI34" s="105" t="n">
        <f aca="false">AI33-AH34</f>
        <v>8021.25787748929</v>
      </c>
      <c r="AJ34" s="105"/>
      <c r="AK34" s="12" t="n">
        <f aca="false">N34+O34+P34+Q34+R34+S34+T34+W34+AE34+AH34</f>
        <v>839</v>
      </c>
      <c r="AL34" s="173" t="n">
        <f aca="false">IF(L34&lt;0,L34*-1,0)</f>
        <v>11.4302999747919</v>
      </c>
      <c r="AM34" s="173" t="n">
        <f aca="false">AK34+AL34</f>
        <v>850.430299974792</v>
      </c>
      <c r="AN34" s="203" t="n">
        <f aca="false">AN33</f>
        <v>14794.787655</v>
      </c>
      <c r="AO34" s="171"/>
      <c r="AP34" s="134"/>
      <c r="AQ34" s="199" t="n">
        <f aca="false">45.4*(AA33*1.9835+AC33*1.9835+AP33*1.9835)/E34</f>
        <v>0</v>
      </c>
      <c r="AR34" s="199"/>
      <c r="AS34" s="161"/>
      <c r="AT34" s="1"/>
      <c r="AU34" s="4"/>
      <c r="AV34" s="268" t="n">
        <v>0</v>
      </c>
      <c r="AW34" s="168" t="n">
        <v>90</v>
      </c>
      <c r="AX34" s="168" t="n">
        <v>55</v>
      </c>
      <c r="AY34" s="300"/>
      <c r="AZ34" s="233" t="n">
        <f aca="false">SUM(N34,P34:T34)</f>
        <v>13.515697</v>
      </c>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171" t="n">
        <v>22</v>
      </c>
      <c r="B35" s="269" t="n">
        <v>6905.31</v>
      </c>
      <c r="C35" s="105" t="n">
        <v>303591</v>
      </c>
      <c r="D35" s="168" t="n">
        <f aca="false">C35-C34</f>
        <v>-1542</v>
      </c>
      <c r="E35" s="105" t="n">
        <f aca="false">C35-152000</f>
        <v>151591</v>
      </c>
      <c r="F35" s="286" t="n">
        <f aca="false">D35/$D$2</f>
        <v>-777.413662717419</v>
      </c>
      <c r="G35" s="173" t="n">
        <v>66</v>
      </c>
      <c r="H35" s="174" t="n">
        <v>0</v>
      </c>
      <c r="I35" s="173" t="n">
        <f aca="false">G35+H35</f>
        <v>66</v>
      </c>
      <c r="J35" s="166" t="n">
        <f aca="false">IF(L35&gt;0,L35,0)</f>
        <v>1.58633728258133</v>
      </c>
      <c r="K35" s="173" t="n">
        <f aca="false">I35+J35</f>
        <v>67.5863372825813</v>
      </c>
      <c r="L35" s="173" t="n">
        <f aca="false">F35-(I35-AK35)</f>
        <v>1.58633728258133</v>
      </c>
      <c r="M35" s="508" t="n">
        <v>328</v>
      </c>
      <c r="N35" s="199" t="n">
        <f aca="false">1.8299*1.03</f>
        <v>1.884797</v>
      </c>
      <c r="O35" s="173" t="n">
        <f aca="false">(48+49)*1.05</f>
        <v>101.85</v>
      </c>
      <c r="P35" s="199" t="n">
        <v>0</v>
      </c>
      <c r="Q35" s="199" t="n">
        <f aca="false">3.295*1.02</f>
        <v>3.3609</v>
      </c>
      <c r="R35" s="199" t="n">
        <v>4.2</v>
      </c>
      <c r="S35" s="312" t="n">
        <v>3.9</v>
      </c>
      <c r="T35" s="356" t="n">
        <v>0</v>
      </c>
      <c r="U35" s="173" t="n">
        <v>117</v>
      </c>
      <c r="V35" s="173" t="n">
        <v>85</v>
      </c>
      <c r="W35" s="132" t="n">
        <f aca="false">M35-N35-O35-P35-Q35-R35-S35-T35+U35+V35</f>
        <v>414.804303</v>
      </c>
      <c r="X35" s="132" t="n">
        <f aca="false">W35-AO35-AD35</f>
        <v>56.7391</v>
      </c>
      <c r="Y35" s="104" t="n">
        <f aca="false">Y34+(X35*1.9835)</f>
        <v>100324.15004745</v>
      </c>
      <c r="Z35" s="104" t="n">
        <f aca="false">Z34+X35*(26300/37500)*1.9835+(AD35*1.9835)</f>
        <v>82022.9065002236</v>
      </c>
      <c r="AA35" s="104"/>
      <c r="AB35" s="104"/>
      <c r="AC35" s="104"/>
      <c r="AD35" s="134" t="n">
        <f aca="false">W35-(I35-Q35-R35-AF35)</f>
        <v>358.065203</v>
      </c>
      <c r="AE35" s="173" t="n">
        <v>253</v>
      </c>
      <c r="AF35" s="231" t="n">
        <v>1.7</v>
      </c>
      <c r="AG35" s="232" t="n">
        <v>1.3</v>
      </c>
      <c r="AH35" s="173" t="n">
        <v>62</v>
      </c>
      <c r="AI35" s="105" t="n">
        <f aca="false">AI34-AH35</f>
        <v>7959.25787748929</v>
      </c>
      <c r="AJ35" s="105"/>
      <c r="AK35" s="12" t="n">
        <f aca="false">N35+O35+P35+Q35+R35+S35+T35+W35+AE35+AH35</f>
        <v>845</v>
      </c>
      <c r="AL35" s="173" t="n">
        <f aca="false">IF(L35&lt;0,L35*-1,0)</f>
        <v>0</v>
      </c>
      <c r="AM35" s="173" t="n">
        <f aca="false">AK35+AL35</f>
        <v>845</v>
      </c>
      <c r="AN35" s="203" t="n">
        <f aca="false">AN34</f>
        <v>14794.787655</v>
      </c>
      <c r="AO35" s="171"/>
      <c r="AP35" s="134"/>
      <c r="AQ35" s="199" t="n">
        <f aca="false">45.4*(AA34*1.9835+AC34*1.9835+AP34*1.9835)/E35</f>
        <v>0</v>
      </c>
      <c r="AR35" s="199"/>
      <c r="AS35" s="161"/>
      <c r="AT35" s="1"/>
      <c r="AU35" s="4"/>
      <c r="AV35" s="268" t="n">
        <v>0</v>
      </c>
      <c r="AW35" s="168" t="n">
        <v>89</v>
      </c>
      <c r="AX35" s="168" t="n">
        <v>58</v>
      </c>
      <c r="AY35" s="300"/>
      <c r="AZ35" s="233" t="n">
        <f aca="false">SUM(N35,P35:T35)</f>
        <v>13.345697</v>
      </c>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171" t="n">
        <v>23</v>
      </c>
      <c r="B36" s="269" t="n">
        <v>6904.91</v>
      </c>
      <c r="C36" s="105" t="n">
        <v>302051</v>
      </c>
      <c r="D36" s="168" t="n">
        <f aca="false">C36-C35</f>
        <v>-1540</v>
      </c>
      <c r="E36" s="105" t="n">
        <f aca="false">C36-152000</f>
        <v>150051</v>
      </c>
      <c r="F36" s="286" t="n">
        <f aca="false">D36/$D$2</f>
        <v>-776.405344088732</v>
      </c>
      <c r="G36" s="173" t="n">
        <v>70</v>
      </c>
      <c r="H36" s="174" t="n">
        <v>0</v>
      </c>
      <c r="I36" s="173" t="n">
        <f aca="false">G36+H36</f>
        <v>70</v>
      </c>
      <c r="J36" s="166" t="n">
        <f aca="false">IF(L36&gt;0,L36,0)</f>
        <v>0</v>
      </c>
      <c r="K36" s="173" t="n">
        <f aca="false">I36+J36</f>
        <v>70</v>
      </c>
      <c r="L36" s="173" t="n">
        <f aca="false">F36-(I36-AK36)</f>
        <v>-10.405344088732</v>
      </c>
      <c r="M36" s="508" t="n">
        <v>318</v>
      </c>
      <c r="N36" s="199" t="n">
        <f aca="false">1.8299*1.03</f>
        <v>1.884797</v>
      </c>
      <c r="O36" s="173" t="n">
        <f aca="false">(50+51)*1.05</f>
        <v>106.05</v>
      </c>
      <c r="P36" s="199" t="n">
        <v>0</v>
      </c>
      <c r="Q36" s="199" t="n">
        <f aca="false">3.295*1.02</f>
        <v>3.3609</v>
      </c>
      <c r="R36" s="199" t="n">
        <v>4.2</v>
      </c>
      <c r="S36" s="312" t="n">
        <v>4.02</v>
      </c>
      <c r="T36" s="356" t="n">
        <v>0</v>
      </c>
      <c r="U36" s="173" t="n">
        <v>139</v>
      </c>
      <c r="V36" s="173" t="n">
        <v>87</v>
      </c>
      <c r="W36" s="132" t="n">
        <f aca="false">M36-N36-O36-P36-Q36-R36-S36-T36+U36+V36</f>
        <v>424.484303</v>
      </c>
      <c r="X36" s="132" t="n">
        <f aca="false">W36-AO36-AD36</f>
        <v>60.7391</v>
      </c>
      <c r="Y36" s="104" t="n">
        <f aca="false">Y35+(X36*1.9835)</f>
        <v>100444.6260523</v>
      </c>
      <c r="Z36" s="104" t="n">
        <f aca="false">Z35+X36*(26300/37500)*1.9835+(AD36*1.9835)</f>
        <v>82828.8889484422</v>
      </c>
      <c r="AA36" s="104"/>
      <c r="AB36" s="104"/>
      <c r="AC36" s="104"/>
      <c r="AD36" s="134" t="n">
        <f aca="false">W36-(I36-Q36-R36-AF36)</f>
        <v>363.745203</v>
      </c>
      <c r="AE36" s="173" t="n">
        <v>229</v>
      </c>
      <c r="AF36" s="231" t="n">
        <v>1.7</v>
      </c>
      <c r="AG36" s="232" t="n">
        <v>1.3</v>
      </c>
      <c r="AH36" s="173" t="n">
        <v>63</v>
      </c>
      <c r="AI36" s="105" t="n">
        <f aca="false">AI35-AH36</f>
        <v>7896.25787748929</v>
      </c>
      <c r="AJ36" s="105"/>
      <c r="AK36" s="12" t="n">
        <f aca="false">N36+O36+P36+Q36+R36+S36+T36+W36+AE36+AH36</f>
        <v>836</v>
      </c>
      <c r="AL36" s="173" t="n">
        <f aca="false">IF(L36&lt;0,L36*-1,0)</f>
        <v>10.405344088732</v>
      </c>
      <c r="AM36" s="173" t="n">
        <f aca="false">AK36+AL36</f>
        <v>846.405344088732</v>
      </c>
      <c r="AN36" s="203" t="n">
        <f aca="false">AN35</f>
        <v>14794.787655</v>
      </c>
      <c r="AO36" s="171"/>
      <c r="AP36" s="134"/>
      <c r="AQ36" s="199" t="n">
        <f aca="false">45.4*(AA35*1.9835+AC35*1.9835+AP35*1.9835)/E36</f>
        <v>0</v>
      </c>
      <c r="AR36" s="199"/>
      <c r="AS36" s="161"/>
      <c r="AT36" s="1"/>
      <c r="AU36" s="4"/>
      <c r="AV36" s="268" t="n">
        <v>0</v>
      </c>
      <c r="AW36" s="168" t="n">
        <v>80</v>
      </c>
      <c r="AX36" s="168" t="n">
        <v>58</v>
      </c>
      <c r="AY36" s="300"/>
      <c r="AZ36" s="233" t="n">
        <f aca="false">SUM(N36,P36:T36)</f>
        <v>13.465697</v>
      </c>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171" t="n">
        <v>24</v>
      </c>
      <c r="B37" s="269" t="n">
        <v>6904.51</v>
      </c>
      <c r="C37" s="105" t="n">
        <v>300522</v>
      </c>
      <c r="D37" s="168" t="n">
        <f aca="false">C37-C36</f>
        <v>-1529</v>
      </c>
      <c r="E37" s="105" t="n">
        <f aca="false">C37-152000</f>
        <v>148522</v>
      </c>
      <c r="F37" s="286" t="n">
        <f aca="false">D37/$D$2</f>
        <v>-770.859591630955</v>
      </c>
      <c r="G37" s="173" t="n">
        <v>78</v>
      </c>
      <c r="H37" s="174" t="n">
        <v>0</v>
      </c>
      <c r="I37" s="173" t="n">
        <f aca="false">G37+H37</f>
        <v>78</v>
      </c>
      <c r="J37" s="166" t="n">
        <f aca="false">IF(L37&gt;0,L37,0)</f>
        <v>6.14040836904474</v>
      </c>
      <c r="K37" s="173" t="n">
        <f aca="false">I37+J37</f>
        <v>84.1404083690447</v>
      </c>
      <c r="L37" s="173" t="n">
        <f aca="false">F37-(I37-AK37)</f>
        <v>6.14040836904474</v>
      </c>
      <c r="M37" s="508" t="n">
        <v>313</v>
      </c>
      <c r="N37" s="199" t="n">
        <f aca="false">1.8299*1.03</f>
        <v>1.884797</v>
      </c>
      <c r="O37" s="173" t="n">
        <f aca="false">(49+49)*1.05</f>
        <v>102.9</v>
      </c>
      <c r="P37" s="199" t="n">
        <v>0</v>
      </c>
      <c r="Q37" s="199" t="n">
        <f aca="false">3.295*1.02</f>
        <v>3.3609</v>
      </c>
      <c r="R37" s="199" t="n">
        <v>4.2</v>
      </c>
      <c r="S37" s="312" t="n">
        <v>2.15</v>
      </c>
      <c r="T37" s="356" t="n">
        <v>0</v>
      </c>
      <c r="U37" s="173" t="n">
        <v>142</v>
      </c>
      <c r="V37" s="173" t="n">
        <v>87</v>
      </c>
      <c r="W37" s="132" t="n">
        <f aca="false">M37-N37-O37-P37-Q37-R37-S37-T37+U37+V37</f>
        <v>427.504303</v>
      </c>
      <c r="X37" s="132" t="n">
        <f aca="false">W37-AO37-AD37</f>
        <v>68.7391</v>
      </c>
      <c r="Y37" s="104" t="n">
        <f aca="false">Y36+(X37*1.9835)</f>
        <v>100580.97005715</v>
      </c>
      <c r="Z37" s="104" t="n">
        <f aca="false">Z36+X37*(26300/37500)*1.9835+(AD37*1.9835)</f>
        <v>83636.1223239942</v>
      </c>
      <c r="AA37" s="104"/>
      <c r="AB37" s="104"/>
      <c r="AC37" s="104"/>
      <c r="AD37" s="134" t="n">
        <f aca="false">W37-(I37-Q37-R37-AF37)</f>
        <v>358.765203</v>
      </c>
      <c r="AE37" s="173" t="n">
        <v>249</v>
      </c>
      <c r="AF37" s="231" t="n">
        <v>1.7</v>
      </c>
      <c r="AG37" s="232" t="n">
        <v>1.3</v>
      </c>
      <c r="AH37" s="173" t="n">
        <v>64</v>
      </c>
      <c r="AI37" s="105" t="n">
        <f aca="false">AI36-AH37</f>
        <v>7832.25787748929</v>
      </c>
      <c r="AJ37" s="105"/>
      <c r="AK37" s="12" t="n">
        <f aca="false">N37+O37+P37+Q37+R37+S37+T37+W37+AE37+AH37</f>
        <v>855</v>
      </c>
      <c r="AL37" s="173" t="n">
        <f aca="false">IF(L37&lt;0,L37*-1,0)</f>
        <v>0</v>
      </c>
      <c r="AM37" s="173" t="n">
        <f aca="false">AK37+AL37</f>
        <v>855</v>
      </c>
      <c r="AN37" s="203" t="n">
        <f aca="false">AN36</f>
        <v>14794.787655</v>
      </c>
      <c r="AO37" s="171"/>
      <c r="AP37" s="134"/>
      <c r="AQ37" s="199" t="n">
        <f aca="false">45.4*(AA36*1.9835+AC36*1.9835+AP36*1.9835)/E37</f>
        <v>0</v>
      </c>
      <c r="AR37" s="199"/>
      <c r="AS37" s="161"/>
      <c r="AT37" s="1"/>
      <c r="AU37" s="4"/>
      <c r="AV37" s="268" t="n">
        <v>0.11</v>
      </c>
      <c r="AW37" s="168" t="n">
        <v>75</v>
      </c>
      <c r="AX37" s="168" t="n">
        <v>53</v>
      </c>
      <c r="AY37" s="300"/>
      <c r="AZ37" s="233" t="n">
        <f aca="false">SUM(N37,P37:T37)</f>
        <v>11.595697</v>
      </c>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171" t="n">
        <v>25</v>
      </c>
      <c r="B38" s="269" t="n">
        <v>6904.13</v>
      </c>
      <c r="C38" s="105" t="n">
        <v>299068</v>
      </c>
      <c r="D38" s="168" t="n">
        <f aca="false">C38-C37</f>
        <v>-1454</v>
      </c>
      <c r="E38" s="105" t="n">
        <f aca="false">C38-152000</f>
        <v>147068</v>
      </c>
      <c r="F38" s="286" t="n">
        <f aca="false">D38/$D$2</f>
        <v>-733.047643055205</v>
      </c>
      <c r="G38" s="173" t="n">
        <v>99</v>
      </c>
      <c r="H38" s="174" t="n">
        <v>0</v>
      </c>
      <c r="I38" s="173" t="n">
        <f aca="false">G38+H38</f>
        <v>99</v>
      </c>
      <c r="J38" s="166" t="n">
        <f aca="false">IF(L38&gt;0,L38,0)</f>
        <v>14.9523569447947</v>
      </c>
      <c r="K38" s="173" t="n">
        <f aca="false">I38+J38</f>
        <v>113.952356944795</v>
      </c>
      <c r="L38" s="173" t="n">
        <f aca="false">F38-(I38-AK38)</f>
        <v>14.9523569447947</v>
      </c>
      <c r="M38" s="508" t="n">
        <v>286</v>
      </c>
      <c r="N38" s="199" t="n">
        <f aca="false">1.8299*1.03</f>
        <v>1.884797</v>
      </c>
      <c r="O38" s="173" t="n">
        <f aca="false">(47+47)*1.05</f>
        <v>98.7</v>
      </c>
      <c r="P38" s="199" t="n">
        <v>0</v>
      </c>
      <c r="Q38" s="199" t="n">
        <f aca="false">3.295*1.02</f>
        <v>3.3609</v>
      </c>
      <c r="R38" s="199" t="n">
        <v>4.2</v>
      </c>
      <c r="S38" s="312" t="n">
        <v>1.76</v>
      </c>
      <c r="T38" s="356" t="n">
        <v>0</v>
      </c>
      <c r="U38" s="173" t="n">
        <v>142</v>
      </c>
      <c r="V38" s="173" t="n">
        <v>86</v>
      </c>
      <c r="W38" s="132" t="n">
        <f aca="false">M38-N38-O38-P38-Q38-R38-S38-T38+U38+V38</f>
        <v>404.094303</v>
      </c>
      <c r="X38" s="132" t="n">
        <f aca="false">W38-AO38-AD38</f>
        <v>89.7391</v>
      </c>
      <c r="Y38" s="104" t="n">
        <f aca="false">Y37+(X38*1.9835)</f>
        <v>100758.967562</v>
      </c>
      <c r="Z38" s="104" t="n">
        <f aca="false">Z37+X38*(26300/37500)*1.9835+(AD38*1.9835)</f>
        <v>84384.4814525462</v>
      </c>
      <c r="AA38" s="104"/>
      <c r="AB38" s="104"/>
      <c r="AC38" s="104"/>
      <c r="AD38" s="134" t="n">
        <f aca="false">W38-(I38-Q38-R38-AF38)</f>
        <v>314.355203</v>
      </c>
      <c r="AE38" s="173" t="n">
        <v>268</v>
      </c>
      <c r="AF38" s="231" t="n">
        <v>1.7</v>
      </c>
      <c r="AG38" s="232" t="n">
        <v>1.3</v>
      </c>
      <c r="AH38" s="173" t="n">
        <v>65</v>
      </c>
      <c r="AI38" s="105" t="n">
        <f aca="false">AI37-AH38</f>
        <v>7767.25787748929</v>
      </c>
      <c r="AJ38" s="105"/>
      <c r="AK38" s="12" t="n">
        <f aca="false">N38+O38+P38+Q38+R38+S38+T38+W38+AE38+AH38</f>
        <v>847</v>
      </c>
      <c r="AL38" s="173" t="n">
        <f aca="false">IF(L38&lt;0,L38*-1,0)</f>
        <v>0</v>
      </c>
      <c r="AM38" s="173" t="n">
        <f aca="false">AK38+AL38</f>
        <v>847</v>
      </c>
      <c r="AN38" s="203" t="n">
        <f aca="false">AN37</f>
        <v>14794.787655</v>
      </c>
      <c r="AO38" s="171"/>
      <c r="AP38" s="134"/>
      <c r="AQ38" s="199" t="n">
        <f aca="false">45.4*(AA37*1.9835+AC37*1.9835+AP37*1.9835)/E38</f>
        <v>0</v>
      </c>
      <c r="AR38" s="199"/>
      <c r="AS38" s="161"/>
      <c r="AT38" s="1"/>
      <c r="AU38" s="4"/>
      <c r="AV38" s="268" t="n">
        <v>0</v>
      </c>
      <c r="AW38" s="168" t="n">
        <v>77</v>
      </c>
      <c r="AX38" s="168" t="n">
        <v>51</v>
      </c>
      <c r="AY38" s="300"/>
      <c r="AZ38" s="233" t="n">
        <f aca="false">SUM(N38,P38:T38)</f>
        <v>11.205697</v>
      </c>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171" t="n">
        <v>26</v>
      </c>
      <c r="B39" s="269" t="n">
        <v>6903.75</v>
      </c>
      <c r="C39" s="105" t="n">
        <v>297623</v>
      </c>
      <c r="D39" s="168" t="n">
        <f aca="false">C39-C38</f>
        <v>-1445</v>
      </c>
      <c r="E39" s="105" t="n">
        <f aca="false">C39-152000</f>
        <v>145623</v>
      </c>
      <c r="F39" s="286" t="n">
        <f aca="false">D39/$D$2</f>
        <v>-728.510209226115</v>
      </c>
      <c r="G39" s="173" t="n">
        <v>93</v>
      </c>
      <c r="H39" s="174" t="n">
        <v>0.01</v>
      </c>
      <c r="I39" s="173" t="n">
        <f aca="false">G39+H39</f>
        <v>93.01</v>
      </c>
      <c r="J39" s="166" t="n">
        <f aca="false">IF(L39&gt;0,L39,0)</f>
        <v>27.4797907738847</v>
      </c>
      <c r="K39" s="173" t="n">
        <f aca="false">I39+J39</f>
        <v>120.489790773885</v>
      </c>
      <c r="L39" s="173" t="n">
        <f aca="false">F39-(I39-AK39)</f>
        <v>27.4797907738847</v>
      </c>
      <c r="M39" s="508" t="n">
        <v>291</v>
      </c>
      <c r="N39" s="199" t="n">
        <f aca="false">1.8299*1.03</f>
        <v>1.884797</v>
      </c>
      <c r="O39" s="173" t="n">
        <f aca="false">(46+47)*1.05</f>
        <v>97.65</v>
      </c>
      <c r="P39" s="199" t="n">
        <v>0</v>
      </c>
      <c r="Q39" s="199" t="n">
        <f aca="false">3.295*1.02</f>
        <v>3.3609</v>
      </c>
      <c r="R39" s="199" t="n">
        <v>4.2</v>
      </c>
      <c r="S39" s="312" t="n">
        <v>2.04</v>
      </c>
      <c r="T39" s="356" t="n">
        <v>0</v>
      </c>
      <c r="U39" s="173" t="n">
        <v>146</v>
      </c>
      <c r="V39" s="173" t="n">
        <v>85</v>
      </c>
      <c r="W39" s="132" t="n">
        <f aca="false">M39-N39-O39-P39-Q39-R39-S39-T39+U39+V39</f>
        <v>412.864303</v>
      </c>
      <c r="X39" s="132" t="n">
        <f aca="false">W39-AO39-AD39</f>
        <v>83.7491</v>
      </c>
      <c r="Y39" s="104" t="n">
        <f aca="false">Y38+(X39*1.9835)</f>
        <v>100925.08390185</v>
      </c>
      <c r="Z39" s="104" t="n">
        <f aca="false">Z38+X39*(26300/37500)*1.9835+(AD39*1.9835)</f>
        <v>85153.7843840448</v>
      </c>
      <c r="AA39" s="104"/>
      <c r="AB39" s="104"/>
      <c r="AC39" s="104"/>
      <c r="AD39" s="134" t="n">
        <f aca="false">W39-(I39-Q39-R39-AF39)</f>
        <v>329.115203</v>
      </c>
      <c r="AE39" s="173" t="n">
        <v>262</v>
      </c>
      <c r="AF39" s="231" t="n">
        <v>1.7</v>
      </c>
      <c r="AG39" s="232" t="n">
        <v>1.3</v>
      </c>
      <c r="AH39" s="173" t="n">
        <v>65</v>
      </c>
      <c r="AI39" s="105" t="n">
        <f aca="false">AI38-AH39</f>
        <v>7702.25787748929</v>
      </c>
      <c r="AJ39" s="105"/>
      <c r="AK39" s="12" t="n">
        <f aca="false">N39+O39+P39+Q39+R39+S39+T39+W39+AE39+AH39</f>
        <v>849</v>
      </c>
      <c r="AL39" s="173" t="n">
        <f aca="false">IF(L39&lt;0,L39*-1,0)</f>
        <v>0</v>
      </c>
      <c r="AM39" s="173" t="n">
        <f aca="false">AK39+AL39</f>
        <v>849</v>
      </c>
      <c r="AN39" s="203" t="n">
        <f aca="false">AN38</f>
        <v>14794.787655</v>
      </c>
      <c r="AO39" s="171"/>
      <c r="AP39" s="134"/>
      <c r="AQ39" s="199" t="n">
        <f aca="false">45.4*(AA38*1.9835+AC38*1.9835+AP38*1.9835)/E39</f>
        <v>0</v>
      </c>
      <c r="AR39" s="199"/>
      <c r="AS39" s="161"/>
      <c r="AT39" s="1"/>
      <c r="AU39" s="4"/>
      <c r="AV39" s="268" t="n">
        <v>0</v>
      </c>
      <c r="AW39" s="168" t="n">
        <v>82</v>
      </c>
      <c r="AX39" s="168" t="n">
        <v>51</v>
      </c>
      <c r="AY39" s="300"/>
      <c r="AZ39" s="233" t="n">
        <f aca="false">SUM(N39,P39:T39)</f>
        <v>11.485697</v>
      </c>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171" t="n">
        <v>27</v>
      </c>
      <c r="B40" s="269" t="n">
        <v>6903.36</v>
      </c>
      <c r="C40" s="105" t="n">
        <v>296143</v>
      </c>
      <c r="D40" s="168" t="n">
        <f aca="false">C40-C39</f>
        <v>-1480</v>
      </c>
      <c r="E40" s="105" t="n">
        <f aca="false">C40-152000</f>
        <v>144143</v>
      </c>
      <c r="F40" s="286" t="n">
        <f aca="false">D40/$D$2</f>
        <v>-746.155785228132</v>
      </c>
      <c r="G40" s="173" t="n">
        <v>84</v>
      </c>
      <c r="H40" s="174" t="n">
        <v>0</v>
      </c>
      <c r="I40" s="173" t="n">
        <f aca="false">G40+H40</f>
        <v>84</v>
      </c>
      <c r="J40" s="166" t="n">
        <f aca="false">IF(L40&gt;0,L40,0)</f>
        <v>13.8442147718679</v>
      </c>
      <c r="K40" s="173" t="n">
        <f aca="false">I40+J40</f>
        <v>97.8442147718679</v>
      </c>
      <c r="L40" s="173" t="n">
        <f aca="false">F40-(I40-AK40)</f>
        <v>13.8442147718679</v>
      </c>
      <c r="M40" s="508" t="n">
        <v>293</v>
      </c>
      <c r="N40" s="199" t="n">
        <f aca="false">1.8299*1.03</f>
        <v>1.884797</v>
      </c>
      <c r="O40" s="173" t="n">
        <f aca="false">(48+50)*1.05</f>
        <v>102.9</v>
      </c>
      <c r="P40" s="199" t="n">
        <v>0</v>
      </c>
      <c r="Q40" s="199" t="n">
        <f aca="false">3.295*1.02</f>
        <v>3.3609</v>
      </c>
      <c r="R40" s="199" t="n">
        <v>4.2</v>
      </c>
      <c r="S40" s="312" t="n">
        <v>3.12</v>
      </c>
      <c r="T40" s="356" t="n">
        <v>0</v>
      </c>
      <c r="U40" s="173" t="n">
        <v>148</v>
      </c>
      <c r="V40" s="173" t="n">
        <v>85</v>
      </c>
      <c r="W40" s="132" t="n">
        <f aca="false">M40-N40-O40-P40-Q40-R40-S40-T40+U40+V40</f>
        <v>410.534303</v>
      </c>
      <c r="X40" s="132" t="n">
        <f aca="false">W40-AO40-AD40</f>
        <v>74.7391</v>
      </c>
      <c r="Y40" s="104" t="n">
        <f aca="false">Y39+(X40*1.9835)</f>
        <v>101073.3289067</v>
      </c>
      <c r="Z40" s="104" t="n">
        <f aca="false">Z39+X40*(26300/37500)*1.9835+(AD40*1.9835)</f>
        <v>85923.8033325967</v>
      </c>
      <c r="AA40" s="104"/>
      <c r="AB40" s="104"/>
      <c r="AC40" s="104"/>
      <c r="AD40" s="134" t="n">
        <f aca="false">W40-(I40-Q40-R40-AF40)</f>
        <v>335.795203</v>
      </c>
      <c r="AE40" s="173" t="n">
        <v>253</v>
      </c>
      <c r="AF40" s="231" t="n">
        <v>1.7</v>
      </c>
      <c r="AG40" s="232" t="n">
        <v>1.3</v>
      </c>
      <c r="AH40" s="173" t="n">
        <v>65</v>
      </c>
      <c r="AI40" s="105" t="n">
        <f aca="false">AI39-AH40</f>
        <v>7637.25787748929</v>
      </c>
      <c r="AJ40" s="105"/>
      <c r="AK40" s="12" t="n">
        <f aca="false">N40+O40+P40+Q40+R40+S40+T40+W40+AE40+AH40</f>
        <v>844</v>
      </c>
      <c r="AL40" s="173" t="n">
        <f aca="false">IF(L40&lt;0,L40*-1,0)</f>
        <v>0</v>
      </c>
      <c r="AM40" s="173" t="n">
        <f aca="false">AK40+AL40</f>
        <v>844</v>
      </c>
      <c r="AN40" s="203" t="n">
        <f aca="false">AN39</f>
        <v>14794.787655</v>
      </c>
      <c r="AO40" s="171"/>
      <c r="AP40" s="134"/>
      <c r="AQ40" s="199" t="n">
        <f aca="false">45.4*(AA39*1.9835+AC39*1.9835+AP39*1.9835)/E40</f>
        <v>0</v>
      </c>
      <c r="AR40" s="199"/>
      <c r="AS40" s="161"/>
      <c r="AT40" s="1"/>
      <c r="AU40" s="4"/>
      <c r="AV40" s="268" t="n">
        <v>0</v>
      </c>
      <c r="AW40" s="168" t="n">
        <v>85</v>
      </c>
      <c r="AX40" s="168" t="n">
        <v>55</v>
      </c>
      <c r="AY40" s="300"/>
      <c r="AZ40" s="233" t="n">
        <f aca="false">SUM(N40,P40:T40)</f>
        <v>12.565697</v>
      </c>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171" t="n">
        <v>28</v>
      </c>
      <c r="B41" s="269" t="n">
        <v>6902.94</v>
      </c>
      <c r="C41" s="105" t="n">
        <v>294552</v>
      </c>
      <c r="D41" s="168" t="n">
        <f aca="false">C41-C40</f>
        <v>-1591</v>
      </c>
      <c r="E41" s="105" t="n">
        <f aca="false">C41-152000</f>
        <v>142552</v>
      </c>
      <c r="F41" s="286" t="n">
        <f aca="false">D41/$D$2</f>
        <v>-802.117469120242</v>
      </c>
      <c r="G41" s="173" t="n">
        <v>74</v>
      </c>
      <c r="H41" s="174" t="n">
        <v>0</v>
      </c>
      <c r="I41" s="173" t="n">
        <f aca="false">G41+H41</f>
        <v>74</v>
      </c>
      <c r="J41" s="166" t="n">
        <f aca="false">IF(L41&gt;0,L41,0)</f>
        <v>0</v>
      </c>
      <c r="K41" s="173" t="n">
        <f aca="false">I41+J41</f>
        <v>74</v>
      </c>
      <c r="L41" s="173" t="n">
        <f aca="false">F41-(I41-AK41)</f>
        <v>-44.1174691202418</v>
      </c>
      <c r="M41" s="508" t="n">
        <v>291</v>
      </c>
      <c r="N41" s="199" t="n">
        <f aca="false">1.8299*1.03</f>
        <v>1.884797</v>
      </c>
      <c r="O41" s="173" t="n">
        <f aca="false">(46+49)*1.05</f>
        <v>99.75</v>
      </c>
      <c r="P41" s="199" t="n">
        <v>0</v>
      </c>
      <c r="Q41" s="199" t="n">
        <f aca="false">3.295*1.02</f>
        <v>3.3609</v>
      </c>
      <c r="R41" s="199" t="n">
        <v>4.2</v>
      </c>
      <c r="S41" s="312" t="n">
        <v>3.19</v>
      </c>
      <c r="T41" s="356" t="n">
        <v>0</v>
      </c>
      <c r="U41" s="173" t="n">
        <v>147</v>
      </c>
      <c r="V41" s="173" t="n">
        <v>85</v>
      </c>
      <c r="W41" s="132" t="n">
        <f aca="false">M41-N41-O41-P41-Q41-R41-S41-T41+U41+V41</f>
        <v>410.614303</v>
      </c>
      <c r="X41" s="132" t="n">
        <f aca="false">W41-AO41-AD41</f>
        <v>64.7391</v>
      </c>
      <c r="Y41" s="104" t="n">
        <f aca="false">Y40+(X41*1.9835)</f>
        <v>101201.73891155</v>
      </c>
      <c r="Z41" s="104" t="n">
        <f aca="false">Z40+X41*(26300/37500)*1.9835+(AD41*1.9835)</f>
        <v>86699.905014482</v>
      </c>
      <c r="AA41" s="104"/>
      <c r="AB41" s="104"/>
      <c r="AC41" s="104"/>
      <c r="AD41" s="134" t="n">
        <f aca="false">W41-(I41-Q41-R41-AF41)</f>
        <v>345.875203</v>
      </c>
      <c r="AE41" s="173" t="n">
        <v>244</v>
      </c>
      <c r="AF41" s="231" t="n">
        <v>1.7</v>
      </c>
      <c r="AG41" s="232" t="n">
        <v>1.3</v>
      </c>
      <c r="AH41" s="173" t="n">
        <v>65</v>
      </c>
      <c r="AI41" s="105" t="n">
        <f aca="false">AI40-AH41</f>
        <v>7572.25787748929</v>
      </c>
      <c r="AJ41" s="105"/>
      <c r="AK41" s="12" t="n">
        <f aca="false">N41+O41+P41+Q41+R41+S41+T41+W41+AE41+AH41</f>
        <v>832</v>
      </c>
      <c r="AL41" s="173" t="n">
        <f aca="false">IF(L41&lt;0,L41*-1,0)</f>
        <v>44.1174691202418</v>
      </c>
      <c r="AM41" s="173" t="n">
        <f aca="false">AK41+AL41</f>
        <v>876.117469120242</v>
      </c>
      <c r="AN41" s="203" t="n">
        <f aca="false">AN40</f>
        <v>14794.787655</v>
      </c>
      <c r="AO41" s="171"/>
      <c r="AP41" s="134"/>
      <c r="AQ41" s="199" t="n">
        <f aca="false">45.4*(AA40*1.9835+AC40*1.9835+AP40*1.9835)/E41</f>
        <v>0</v>
      </c>
      <c r="AR41" s="199"/>
      <c r="AS41" s="161"/>
      <c r="AT41" s="1"/>
      <c r="AU41" s="4"/>
      <c r="AV41" s="268" t="n">
        <v>0</v>
      </c>
      <c r="AW41" s="168" t="n">
        <v>84</v>
      </c>
      <c r="AX41" s="168" t="n">
        <v>52</v>
      </c>
      <c r="AY41" s="300"/>
      <c r="AZ41" s="233" t="n">
        <f aca="false">SUM(N41,P41:T41)</f>
        <v>12.635697</v>
      </c>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95" hidden="false" customHeight="true" outlineLevel="0" collapsed="false">
      <c r="A42" s="171" t="n">
        <v>29</v>
      </c>
      <c r="B42" s="269" t="n">
        <v>6902.55</v>
      </c>
      <c r="C42" s="105" t="n">
        <v>293084</v>
      </c>
      <c r="D42" s="168" t="n">
        <f aca="false">C42-C41</f>
        <v>-1468</v>
      </c>
      <c r="E42" s="105" t="n">
        <f aca="false">C42-152000</f>
        <v>141084</v>
      </c>
      <c r="F42" s="286" t="n">
        <f aca="false">D42/$D$2</f>
        <v>-740.105873456012</v>
      </c>
      <c r="G42" s="173" t="n">
        <v>71</v>
      </c>
      <c r="H42" s="174" t="n">
        <v>0</v>
      </c>
      <c r="I42" s="173" t="n">
        <f aca="false">G42+H42</f>
        <v>71</v>
      </c>
      <c r="J42" s="166" t="n">
        <f aca="false">IF(L42&gt;0,L42,0)</f>
        <v>0</v>
      </c>
      <c r="K42" s="173" t="n">
        <f aca="false">I42+J42</f>
        <v>71</v>
      </c>
      <c r="L42" s="173" t="n">
        <f aca="false">F42-(I42-AK42)</f>
        <v>-21.1058734560121</v>
      </c>
      <c r="M42" s="508" t="n">
        <v>263</v>
      </c>
      <c r="N42" s="199" t="n">
        <f aca="false">1.8299*1.03</f>
        <v>1.884797</v>
      </c>
      <c r="O42" s="173" t="n">
        <f aca="false">(45+45)*1.05</f>
        <v>94.5</v>
      </c>
      <c r="P42" s="199" t="n">
        <v>0</v>
      </c>
      <c r="Q42" s="199" t="n">
        <f aca="false">3.295*1.02</f>
        <v>3.3609</v>
      </c>
      <c r="R42" s="199" t="n">
        <v>4.2</v>
      </c>
      <c r="S42" s="312" t="n">
        <v>3.37</v>
      </c>
      <c r="T42" s="356" t="n">
        <v>0</v>
      </c>
      <c r="U42" s="173" t="n">
        <v>147</v>
      </c>
      <c r="V42" s="173" t="n">
        <v>84</v>
      </c>
      <c r="W42" s="132" t="n">
        <f aca="false">M42-N42-O42-P42-Q42-R42-S42-T42+U42+V42</f>
        <v>386.684303</v>
      </c>
      <c r="X42" s="132" t="n">
        <f aca="false">W42-AO42-AD42</f>
        <v>61.7391</v>
      </c>
      <c r="Y42" s="104" t="n">
        <f aca="false">Y41+(X42*1.9835)</f>
        <v>101324.1984164</v>
      </c>
      <c r="Z42" s="104" t="n">
        <f aca="false">Z41+X42*(26300/37500)*1.9835+(AD42*1.9835)</f>
        <v>87430.3187573673</v>
      </c>
      <c r="AA42" s="104"/>
      <c r="AB42" s="104"/>
      <c r="AC42" s="104"/>
      <c r="AD42" s="134" t="n">
        <f aca="false">W42-(I42-Q42-R42-AF42)</f>
        <v>324.945203</v>
      </c>
      <c r="AE42" s="173" t="n">
        <v>231</v>
      </c>
      <c r="AF42" s="231" t="n">
        <v>1.7</v>
      </c>
      <c r="AG42" s="232" t="n">
        <v>1.3</v>
      </c>
      <c r="AH42" s="173" t="n">
        <v>65</v>
      </c>
      <c r="AI42" s="105" t="n">
        <f aca="false">AI41-AH42</f>
        <v>7507.25787748929</v>
      </c>
      <c r="AJ42" s="105"/>
      <c r="AK42" s="12" t="n">
        <f aca="false">N42+O42+P42+Q42+R42+S42+T42+W42+AE42+AH42</f>
        <v>790</v>
      </c>
      <c r="AL42" s="173" t="n">
        <f aca="false">IF(L42&lt;0,L42*-1,0)</f>
        <v>21.1058734560121</v>
      </c>
      <c r="AM42" s="173" t="n">
        <f aca="false">AK42+AL42</f>
        <v>811.105873456012</v>
      </c>
      <c r="AN42" s="203" t="n">
        <f aca="false">AN41</f>
        <v>14794.787655</v>
      </c>
      <c r="AO42" s="171"/>
      <c r="AP42" s="134"/>
      <c r="AQ42" s="199" t="n">
        <f aca="false">45.4*(AA41*1.9835+AC41*1.9835+AP41*1.9835)/E42</f>
        <v>0</v>
      </c>
      <c r="AR42" s="199"/>
      <c r="AS42" s="161"/>
      <c r="AT42" s="1"/>
      <c r="AU42" s="4"/>
      <c r="AV42" s="268" t="n">
        <v>0</v>
      </c>
      <c r="AW42" s="168" t="n">
        <v>86</v>
      </c>
      <c r="AX42" s="168" t="n">
        <v>54</v>
      </c>
      <c r="AY42" s="300"/>
      <c r="AZ42" s="233" t="n">
        <f aca="false">SUM(N42,P42:T42)</f>
        <v>12.815697</v>
      </c>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2.95" hidden="false" customHeight="true" outlineLevel="0" collapsed="false">
      <c r="A43" s="171" t="n">
        <v>30</v>
      </c>
      <c r="B43" s="269" t="n">
        <v>6902.17</v>
      </c>
      <c r="C43" s="105" t="n">
        <v>291654</v>
      </c>
      <c r="D43" s="168" t="n">
        <f aca="false">C43-C42</f>
        <v>-1430</v>
      </c>
      <c r="E43" s="105" t="n">
        <f aca="false">C43-152000</f>
        <v>139654</v>
      </c>
      <c r="F43" s="286" t="n">
        <f aca="false">D43/$D$2</f>
        <v>-720.947819510965</v>
      </c>
      <c r="G43" s="173" t="n">
        <v>70</v>
      </c>
      <c r="H43" s="174" t="n">
        <v>0</v>
      </c>
      <c r="I43" s="173" t="n">
        <f aca="false">G43+H43</f>
        <v>70</v>
      </c>
      <c r="J43" s="166" t="n">
        <f aca="false">IF(L43&gt;0,L43,0)</f>
        <v>0</v>
      </c>
      <c r="K43" s="173" t="n">
        <f aca="false">I43+J43</f>
        <v>70</v>
      </c>
      <c r="L43" s="173" t="n">
        <f aca="false">F43-(I43-AK43)</f>
        <v>-14.9478195109655</v>
      </c>
      <c r="M43" s="508" t="n">
        <v>266</v>
      </c>
      <c r="N43" s="199" t="n">
        <f aca="false">1.8299*1.03</f>
        <v>1.884797</v>
      </c>
      <c r="O43" s="173" t="n">
        <f aca="false">(42+43)*1.05</f>
        <v>89.25</v>
      </c>
      <c r="P43" s="199" t="n">
        <v>0</v>
      </c>
      <c r="Q43" s="199" t="n">
        <f aca="false">3.295*1.02</f>
        <v>3.3609</v>
      </c>
      <c r="R43" s="199" t="n">
        <v>4.2</v>
      </c>
      <c r="S43" s="312" t="n">
        <v>3.12</v>
      </c>
      <c r="T43" s="356" t="n">
        <v>0</v>
      </c>
      <c r="U43" s="173" t="n">
        <v>148</v>
      </c>
      <c r="V43" s="173" t="n">
        <v>83</v>
      </c>
      <c r="W43" s="132" t="n">
        <f aca="false">M43-N43-O43-P43-Q43-R43-S43-T43+U43+V43</f>
        <v>395.184303</v>
      </c>
      <c r="X43" s="132" t="n">
        <f aca="false">W43-AO43-AD43</f>
        <v>60.7391</v>
      </c>
      <c r="Y43" s="104" t="n">
        <f aca="false">Y42+(X43*1.9835)</f>
        <v>101444.67442125</v>
      </c>
      <c r="Z43" s="104" t="n">
        <f aca="false">Z42+X43*(26300/37500)*1.9835+(AD43*1.9835)</f>
        <v>88178.184655586</v>
      </c>
      <c r="AA43" s="104"/>
      <c r="AB43" s="104"/>
      <c r="AC43" s="104"/>
      <c r="AD43" s="134" t="n">
        <f aca="false">W43-(I43-Q43-R43-AF43)</f>
        <v>334.445203</v>
      </c>
      <c r="AE43" s="173" t="n">
        <v>214</v>
      </c>
      <c r="AF43" s="231" t="n">
        <v>1.7</v>
      </c>
      <c r="AG43" s="232" t="n">
        <v>1.3</v>
      </c>
      <c r="AH43" s="173" t="n">
        <v>65</v>
      </c>
      <c r="AI43" s="105" t="n">
        <f aca="false">AI42-AH43</f>
        <v>7442.25787748929</v>
      </c>
      <c r="AJ43" s="105"/>
      <c r="AK43" s="12" t="n">
        <f aca="false">N43+O43+P43+Q43+R43+S43+T43+W43+AE43+AH43</f>
        <v>776</v>
      </c>
      <c r="AL43" s="173" t="n">
        <f aca="false">IF(L43&lt;0,L43*-1,0)</f>
        <v>14.9478195109655</v>
      </c>
      <c r="AM43" s="173" t="n">
        <f aca="false">AK43+AL43</f>
        <v>790.947819510965</v>
      </c>
      <c r="AN43" s="203" t="n">
        <f aca="false">AN42</f>
        <v>14794.787655</v>
      </c>
      <c r="AO43" s="171"/>
      <c r="AP43" s="134"/>
      <c r="AQ43" s="199" t="n">
        <f aca="false">45.4*(AA42*1.9835+AC42*1.9835+AP42*1.9835)/E43</f>
        <v>0</v>
      </c>
      <c r="AR43" s="199"/>
      <c r="AS43" s="161"/>
      <c r="AT43" s="1"/>
      <c r="AU43" s="4"/>
      <c r="AV43" s="268" t="n">
        <v>0</v>
      </c>
      <c r="AW43" s="168" t="n">
        <v>87</v>
      </c>
      <c r="AX43" s="168" t="n">
        <v>61</v>
      </c>
      <c r="AY43" s="300"/>
      <c r="AZ43" s="233" t="n">
        <f aca="false">SUM(N43,P43:T43)</f>
        <v>12.565697</v>
      </c>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2.95" hidden="false" customHeight="true" outlineLevel="0" collapsed="false">
      <c r="A44" s="171" t="n">
        <v>31</v>
      </c>
      <c r="B44" s="269" t="n">
        <v>6901.76</v>
      </c>
      <c r="C44" s="105" t="n">
        <v>290119</v>
      </c>
      <c r="D44" s="168" t="n">
        <f aca="false">C44-C43</f>
        <v>-1535</v>
      </c>
      <c r="E44" s="105" t="n">
        <f aca="false">C44-152000</f>
        <v>138119</v>
      </c>
      <c r="F44" s="286" t="n">
        <f aca="false">D44/$D$2</f>
        <v>-773.884547517015</v>
      </c>
      <c r="G44" s="173" t="n">
        <v>67</v>
      </c>
      <c r="H44" s="174" t="n">
        <v>0</v>
      </c>
      <c r="I44" s="173" t="n">
        <f aca="false">G44+H44</f>
        <v>67</v>
      </c>
      <c r="J44" s="166" t="n">
        <f aca="false">IF(L44&gt;0,L44,0)</f>
        <v>0</v>
      </c>
      <c r="K44" s="173" t="n">
        <f aca="false">I44+J44</f>
        <v>67</v>
      </c>
      <c r="L44" s="173" t="n">
        <f aca="false">F44-(I44-AK44)</f>
        <v>-30.8845475170153</v>
      </c>
      <c r="M44" s="508" t="n">
        <v>262</v>
      </c>
      <c r="N44" s="199" t="n">
        <f aca="false">1.8299*1.03</f>
        <v>1.884797</v>
      </c>
      <c r="O44" s="173" t="n">
        <f aca="false">(42+44)*1.05</f>
        <v>90.3</v>
      </c>
      <c r="P44" s="199" t="n">
        <v>0</v>
      </c>
      <c r="Q44" s="199" t="n">
        <f aca="false">3.295*1.02</f>
        <v>3.3609</v>
      </c>
      <c r="R44" s="199" t="n">
        <v>4.2</v>
      </c>
      <c r="S44" s="312" t="n">
        <v>4.45</v>
      </c>
      <c r="T44" s="356" t="n">
        <v>0</v>
      </c>
      <c r="U44" s="173" t="n">
        <v>147</v>
      </c>
      <c r="V44" s="173" t="n">
        <v>83</v>
      </c>
      <c r="W44" s="132" t="n">
        <f aca="false">M44-N44-O44-P44-Q44-R44-S44-T44+U44+V44</f>
        <v>387.804303</v>
      </c>
      <c r="X44" s="132" t="n">
        <f aca="false">W44-AO44-AD44</f>
        <v>57.7391</v>
      </c>
      <c r="Y44" s="104" t="n">
        <f aca="false">Y43+(X44*1.9835)</f>
        <v>101559.1999261</v>
      </c>
      <c r="Z44" s="104" t="n">
        <f aca="false">Z43+X44*(26300/37500)*1.9835+(AD44*1.9835)</f>
        <v>88913.1895398046</v>
      </c>
      <c r="AA44" s="104"/>
      <c r="AB44" s="104"/>
      <c r="AC44" s="104"/>
      <c r="AD44" s="134" t="n">
        <f aca="false">W44-(I44-Q44-R44-AF44)</f>
        <v>330.065203</v>
      </c>
      <c r="AE44" s="173" t="n">
        <v>253</v>
      </c>
      <c r="AF44" s="231" t="n">
        <v>1.7</v>
      </c>
      <c r="AG44" s="232" t="n">
        <v>1.3</v>
      </c>
      <c r="AH44" s="173" t="n">
        <v>65</v>
      </c>
      <c r="AI44" s="105" t="n">
        <f aca="false">AI43-AH44</f>
        <v>7377.25787748929</v>
      </c>
      <c r="AJ44" s="105"/>
      <c r="AK44" s="12" t="n">
        <f aca="false">N44+O44+P44+Q44+R44+S44+T44+W44+AE44+AH44</f>
        <v>810</v>
      </c>
      <c r="AL44" s="173" t="n">
        <f aca="false">IF(L44&lt;0,L44*-1,0)</f>
        <v>30.8845475170153</v>
      </c>
      <c r="AM44" s="173" t="n">
        <f aca="false">AK44+AL44</f>
        <v>840.884547517015</v>
      </c>
      <c r="AN44" s="203" t="n">
        <f aca="false">AN43</f>
        <v>14794.787655</v>
      </c>
      <c r="AO44" s="171"/>
      <c r="AP44" s="134"/>
      <c r="AQ44" s="199" t="n">
        <f aca="false">45.4*(AA43*1.9835+AC43*1.9835+AP43*1.9835)/E44</f>
        <v>0</v>
      </c>
      <c r="AR44" s="199"/>
      <c r="AS44" s="161"/>
      <c r="AT44" s="1"/>
      <c r="AU44" s="4"/>
      <c r="AV44" s="268" t="n">
        <v>0</v>
      </c>
      <c r="AW44" s="168" t="n">
        <v>84</v>
      </c>
      <c r="AX44" s="168" t="n">
        <v>57</v>
      </c>
      <c r="AY44" s="300"/>
      <c r="AZ44" s="233" t="n">
        <f aca="false">SUM(N44,P44:T44)</f>
        <v>13.895697</v>
      </c>
    </row>
    <row r="45" customFormat="false" ht="3" hidden="false" customHeight="true" outlineLevel="0" collapsed="false">
      <c r="A45" s="214"/>
      <c r="B45" s="288"/>
      <c r="C45" s="276"/>
      <c r="D45" s="214"/>
      <c r="E45" s="276"/>
      <c r="F45" s="277"/>
      <c r="G45" s="214"/>
      <c r="H45" s="503"/>
      <c r="I45" s="214"/>
      <c r="J45" s="214"/>
      <c r="K45" s="214"/>
      <c r="L45" s="214"/>
      <c r="M45" s="485"/>
      <c r="N45" s="214"/>
      <c r="O45" s="214"/>
      <c r="P45" s="280"/>
      <c r="Q45" s="280"/>
      <c r="R45" s="280"/>
      <c r="S45" s="280"/>
      <c r="T45" s="281"/>
      <c r="U45" s="214"/>
      <c r="V45" s="214"/>
      <c r="W45" s="214"/>
      <c r="X45" s="214"/>
      <c r="Y45" s="214"/>
      <c r="Z45" s="214"/>
      <c r="AA45" s="276"/>
      <c r="AB45" s="276"/>
      <c r="AC45" s="276"/>
      <c r="AD45" s="276"/>
      <c r="AE45" s="214"/>
      <c r="AF45" s="220"/>
      <c r="AG45" s="225"/>
      <c r="AH45" s="214"/>
      <c r="AI45" s="214"/>
      <c r="AJ45" s="214"/>
      <c r="AK45" s="214"/>
      <c r="AL45" s="214"/>
      <c r="AM45" s="214"/>
      <c r="AN45" s="283"/>
      <c r="AO45" s="284"/>
      <c r="AP45" s="284"/>
      <c r="AQ45" s="505"/>
      <c r="AR45" s="505"/>
      <c r="AS45" s="122"/>
      <c r="AT45" s="122"/>
      <c r="AU45" s="122"/>
      <c r="AV45" s="285"/>
      <c r="AW45" s="282"/>
      <c r="AX45" s="282"/>
      <c r="AY45" s="289"/>
      <c r="AZ45" s="506"/>
    </row>
    <row r="46" customFormat="false" ht="12.95" hidden="false" customHeight="true" outlineLevel="0" collapsed="false">
      <c r="A46" s="173" t="s">
        <v>91</v>
      </c>
      <c r="B46" s="263"/>
      <c r="D46" s="105"/>
      <c r="F46" s="264" t="n">
        <f aca="false">SUM(F14:F44)</f>
        <v>-20930.1739349634</v>
      </c>
      <c r="G46" s="105" t="n">
        <f aca="false">SUM(G14:G44)</f>
        <v>3161</v>
      </c>
      <c r="H46" s="105" t="n">
        <f aca="false">SUM(H14:H44)</f>
        <v>0.08</v>
      </c>
      <c r="I46" s="105" t="n">
        <f aca="false">SUM(I14:I44)</f>
        <v>3161.08</v>
      </c>
      <c r="J46" s="105" t="n">
        <f aca="false">SUM(J14:J44)</f>
        <v>145.574320645324</v>
      </c>
      <c r="K46" s="105" t="n">
        <f aca="false">SUM(K14:K44)</f>
        <v>3306.65432064532</v>
      </c>
      <c r="L46" s="105" t="n">
        <f aca="false">SUM(L14:L44)</f>
        <v>-469.253934963447</v>
      </c>
      <c r="M46" s="509" t="n">
        <f aca="false">SUM(M14:M44)</f>
        <v>8846</v>
      </c>
      <c r="N46" s="105" t="n">
        <f aca="false">SUM(N14:N44)</f>
        <v>58.428707</v>
      </c>
      <c r="O46" s="105" t="n">
        <f aca="false">SUM(O14:O44)</f>
        <v>2723.7</v>
      </c>
      <c r="P46" s="167" t="n">
        <f aca="false">SUM(P14:P44)</f>
        <v>0</v>
      </c>
      <c r="Q46" s="168" t="n">
        <f aca="false">SUM(Q14:Q44)</f>
        <v>104.1879</v>
      </c>
      <c r="R46" s="168" t="n">
        <f aca="false">SUM(R14:R44)</f>
        <v>130.2</v>
      </c>
      <c r="S46" s="168" t="n">
        <f aca="false">SUM(S14:S44)</f>
        <v>115.71</v>
      </c>
      <c r="T46" s="266" t="n">
        <f aca="false">SUM(T14:T44)</f>
        <v>0</v>
      </c>
      <c r="U46" s="105" t="n">
        <f aca="false">SUM(U14:U45)</f>
        <v>3230</v>
      </c>
      <c r="V46" s="105" t="n">
        <f aca="false">SUM(V14:V44)</f>
        <v>2528</v>
      </c>
      <c r="W46" s="105" t="n">
        <f aca="false">SUM(W14:W44)</f>
        <v>11471.773393</v>
      </c>
      <c r="X46" s="104" t="n">
        <f aca="false">SUM(X14:X44)</f>
        <v>2873.9921</v>
      </c>
      <c r="Y46" s="105"/>
      <c r="Z46" s="105"/>
      <c r="AA46" s="105"/>
      <c r="AB46" s="105"/>
      <c r="AD46" s="105" t="n">
        <f aca="false">SUM(AD14:AD44)</f>
        <v>8597.781293</v>
      </c>
      <c r="AE46" s="105" t="n">
        <f aca="false">SUM(AE14:AE44)</f>
        <v>6976</v>
      </c>
      <c r="AF46" s="509" t="n">
        <f aca="false">SUM(AF14:AF44)</f>
        <v>52.7</v>
      </c>
      <c r="AG46" s="499" t="n">
        <f aca="false">SUM(AG14:AG44)</f>
        <v>40.3</v>
      </c>
      <c r="AH46" s="105" t="n">
        <f aca="false">SUM(AH14:AH44)</f>
        <v>2042</v>
      </c>
      <c r="AI46" s="105"/>
      <c r="AJ46" s="105" t="n">
        <f aca="false">SUM(AJ14:AJ44)</f>
        <v>0</v>
      </c>
      <c r="AK46" s="105" t="n">
        <f aca="false">SUM(AK14:AK44)</f>
        <v>23622</v>
      </c>
      <c r="AL46" s="105" t="n">
        <f aca="false">SUM(AL14:AL44)</f>
        <v>614.828255608772</v>
      </c>
      <c r="AM46" s="105" t="n">
        <f aca="false">SUM(AM14:AM44)</f>
        <v>24236.8282556088</v>
      </c>
      <c r="AN46" s="267"/>
      <c r="AO46" s="105" t="n">
        <f aca="false">SUM(AO14:AO44)</f>
        <v>0</v>
      </c>
      <c r="AP46" s="171"/>
      <c r="AQ46" s="167"/>
      <c r="AR46" s="167"/>
      <c r="AS46" s="134" t="n">
        <f aca="false">SUM(AS14:AS44)</f>
        <v>0</v>
      </c>
      <c r="AT46" s="134" t="n">
        <f aca="false">SUM(AT14:AT44)</f>
        <v>0</v>
      </c>
      <c r="AU46" s="133" t="n">
        <f aca="false">SUM(AU14:AU44)</f>
        <v>0</v>
      </c>
      <c r="AV46" s="268" t="n">
        <f aca="false">SUM(AV14:AV44)</f>
        <v>0.16</v>
      </c>
      <c r="AW46" s="168" t="n">
        <f aca="false">AVERAGE(AW14:AW44)</f>
        <v>84.2258064516129</v>
      </c>
      <c r="AX46" s="168" t="n">
        <f aca="false">AVERAGE(AX14:AX44)</f>
        <v>54</v>
      </c>
      <c r="AY46" s="510" t="s">
        <v>113</v>
      </c>
      <c r="AZ46" s="502" t="n">
        <f aca="false">SUM(AZ14:AZ44)</f>
        <v>408.526607</v>
      </c>
    </row>
    <row r="47" customFormat="false" ht="12.95" hidden="false" customHeight="true" outlineLevel="0" collapsed="false">
      <c r="A47" s="173" t="s">
        <v>93</v>
      </c>
      <c r="B47" s="263"/>
      <c r="D47" s="105" t="n">
        <f aca="false">SUM(D14:D44)</f>
        <v>-41515</v>
      </c>
      <c r="F47" s="264" t="n">
        <f aca="false">F46*$D$2</f>
        <v>-41515</v>
      </c>
      <c r="G47" s="105" t="n">
        <f aca="false">G46*$D$2</f>
        <v>6269.8435</v>
      </c>
      <c r="H47" s="105" t="n">
        <f aca="false">H46*$D$2</f>
        <v>0.15868</v>
      </c>
      <c r="I47" s="105" t="n">
        <f aca="false">I46*$D$2</f>
        <v>6270.00218</v>
      </c>
      <c r="J47" s="105" t="n">
        <f aca="false">J46*$D$2</f>
        <v>288.746665000001</v>
      </c>
      <c r="K47" s="105" t="n">
        <f aca="false">K46*$D$2</f>
        <v>6558.748845</v>
      </c>
      <c r="L47" s="105" t="n">
        <f aca="false">L46*$D$2</f>
        <v>-930.765179999998</v>
      </c>
      <c r="M47" s="509" t="n">
        <f aca="false">M46*$D$2</f>
        <v>17546.041</v>
      </c>
      <c r="N47" s="105" t="n">
        <f aca="false">N46*$D$2</f>
        <v>115.8933403345</v>
      </c>
      <c r="O47" s="105" t="n">
        <f aca="false">O46*$D$2</f>
        <v>5402.45895</v>
      </c>
      <c r="P47" s="167" t="n">
        <f aca="false">P46*$D$2</f>
        <v>0</v>
      </c>
      <c r="Q47" s="168" t="n">
        <f aca="false">Q46*$D$2</f>
        <v>206.65669965</v>
      </c>
      <c r="R47" s="168" t="n">
        <f aca="false">R46*$D$2</f>
        <v>258.2517</v>
      </c>
      <c r="S47" s="168" t="n">
        <f aca="false">S46*$D$2</f>
        <v>229.510785</v>
      </c>
      <c r="T47" s="266" t="n">
        <f aca="false">T46*$D$2</f>
        <v>0</v>
      </c>
      <c r="U47" s="105" t="n">
        <f aca="false">U46*$D$2</f>
        <v>6406.705</v>
      </c>
      <c r="V47" s="105" t="n">
        <f aca="false">V46*$D$2</f>
        <v>5014.288</v>
      </c>
      <c r="W47" s="105" t="n">
        <f aca="false">W46*$D$2</f>
        <v>22754.2625250155</v>
      </c>
      <c r="X47" s="104" t="n">
        <f aca="false">X46*$D$2</f>
        <v>5700.56333035</v>
      </c>
      <c r="Y47" s="105"/>
      <c r="Z47" s="105"/>
      <c r="AA47" s="105"/>
      <c r="AB47" s="105"/>
      <c r="AD47" s="105" t="n">
        <f aca="false">AD46*$D$2</f>
        <v>17053.6991946655</v>
      </c>
      <c r="AE47" s="105" t="n">
        <f aca="false">AE46*$D$2</f>
        <v>13836.896</v>
      </c>
      <c r="AF47" s="509" t="n">
        <f aca="false">AF46*$D$2</f>
        <v>104.53045</v>
      </c>
      <c r="AG47" s="499" t="n">
        <f aca="false">AG46*$D$2</f>
        <v>79.93505</v>
      </c>
      <c r="AH47" s="105" t="n">
        <f aca="false">AH46*$D$2</f>
        <v>4050.307</v>
      </c>
      <c r="AI47" s="105"/>
      <c r="AJ47" s="105" t="n">
        <f aca="false">AJ46*$D$2</f>
        <v>0</v>
      </c>
      <c r="AK47" s="105" t="n">
        <f aca="false">AK46*$D$2</f>
        <v>46854.237</v>
      </c>
      <c r="AL47" s="105" t="n">
        <f aca="false">AL46*$D$2</f>
        <v>1219.511845</v>
      </c>
      <c r="AM47" s="105" t="n">
        <f aca="false">AM46*$D$2</f>
        <v>48073.748845</v>
      </c>
      <c r="AN47" s="267"/>
      <c r="AO47" s="105" t="n">
        <f aca="false">AO46*$D$2</f>
        <v>0</v>
      </c>
      <c r="AP47" s="171"/>
      <c r="AQ47" s="167" t="n">
        <f aca="false">SUM(AQ14:AQ44)</f>
        <v>0</v>
      </c>
      <c r="AR47" s="167"/>
      <c r="AS47" s="134" t="n">
        <f aca="false">AS46*$D$2</f>
        <v>0</v>
      </c>
      <c r="AT47" s="134" t="n">
        <f aca="false">AT46*$D$2</f>
        <v>0</v>
      </c>
      <c r="AU47" s="133" t="n">
        <f aca="false">AU46*$D$2</f>
        <v>0</v>
      </c>
      <c r="AV47" s="268"/>
      <c r="AW47" s="168" t="n">
        <f aca="false">MAX(AW14:AW44)</f>
        <v>91</v>
      </c>
      <c r="AX47" s="168" t="n">
        <f aca="false">MAX(AX14:AX44)</f>
        <v>63</v>
      </c>
      <c r="AY47" s="510" t="s">
        <v>94</v>
      </c>
      <c r="AZ47" s="502" t="n">
        <f aca="false">AZ46*$D$2</f>
        <v>810.3125249845</v>
      </c>
    </row>
    <row r="48" customFormat="false" ht="3" hidden="false" customHeight="true" outlineLevel="0" collapsed="false">
      <c r="A48" s="214"/>
      <c r="B48" s="288"/>
      <c r="C48" s="276"/>
      <c r="D48" s="276"/>
      <c r="E48" s="276"/>
      <c r="F48" s="289"/>
      <c r="G48" s="276"/>
      <c r="H48" s="276"/>
      <c r="I48" s="276"/>
      <c r="J48" s="276"/>
      <c r="K48" s="276"/>
      <c r="L48" s="276"/>
      <c r="M48" s="511"/>
      <c r="N48" s="276"/>
      <c r="O48" s="276"/>
      <c r="P48" s="280"/>
      <c r="Q48" s="282"/>
      <c r="R48" s="282"/>
      <c r="S48" s="282"/>
      <c r="T48" s="281"/>
      <c r="U48" s="276"/>
      <c r="V48" s="276"/>
      <c r="W48" s="276"/>
      <c r="X48" s="216"/>
      <c r="Y48" s="276"/>
      <c r="Z48" s="276"/>
      <c r="AA48" s="276"/>
      <c r="AB48" s="276"/>
      <c r="AC48" s="276"/>
      <c r="AD48" s="276"/>
      <c r="AE48" s="276"/>
      <c r="AF48" s="511"/>
      <c r="AG48" s="512"/>
      <c r="AH48" s="276"/>
      <c r="AI48" s="214"/>
      <c r="AJ48" s="276"/>
      <c r="AK48" s="276"/>
      <c r="AL48" s="276"/>
      <c r="AM48" s="276"/>
      <c r="AN48" s="292"/>
      <c r="AO48" s="276"/>
      <c r="AP48" s="284"/>
      <c r="AQ48" s="280"/>
      <c r="AR48" s="280"/>
      <c r="AS48" s="223"/>
      <c r="AT48" s="223"/>
      <c r="AU48" s="122"/>
      <c r="AV48" s="292"/>
      <c r="AW48" s="276"/>
      <c r="AX48" s="276"/>
      <c r="AY48" s="289"/>
      <c r="AZ48" s="506"/>
    </row>
    <row r="49" customFormat="false" ht="12.95" hidden="false" customHeight="true" outlineLevel="0" collapsed="false">
      <c r="A49" s="173" t="s">
        <v>95</v>
      </c>
      <c r="B49" s="263"/>
      <c r="D49" s="105"/>
      <c r="F49" s="264" t="n">
        <f aca="false">F11+F46</f>
        <v>3444.92059490799</v>
      </c>
      <c r="G49" s="105" t="n">
        <f aca="false">G11+G46</f>
        <v>119232</v>
      </c>
      <c r="H49" s="105" t="n">
        <f aca="false">H11+H46</f>
        <v>4354.76</v>
      </c>
      <c r="I49" s="105" t="n">
        <f aca="false">I11+I46</f>
        <v>123586.76</v>
      </c>
      <c r="J49" s="105" t="n">
        <f aca="false">J11+J46</f>
        <v>9932.17382908999</v>
      </c>
      <c r="K49" s="105" t="n">
        <f aca="false">K11+K46</f>
        <v>133518.93382909</v>
      </c>
      <c r="L49" s="105" t="n">
        <f aca="false">L11+L46</f>
        <v>7390.76059490799</v>
      </c>
      <c r="M49" s="509" t="n">
        <f aca="false">M11+M46</f>
        <v>40151.5</v>
      </c>
      <c r="N49" s="105" t="n">
        <f aca="false">N11+N46</f>
        <v>288.373941</v>
      </c>
      <c r="O49" s="105" t="n">
        <f aca="false">O11+O46</f>
        <v>12312.4197</v>
      </c>
      <c r="P49" s="167" t="n">
        <f aca="false">P11+P46</f>
        <v>7.365</v>
      </c>
      <c r="Q49" s="168"/>
      <c r="R49" s="168"/>
      <c r="S49" s="168"/>
      <c r="T49" s="266"/>
      <c r="U49" s="105" t="n">
        <f aca="false">U11+U46</f>
        <v>18044.3</v>
      </c>
      <c r="V49" s="105" t="n">
        <f aca="false">V11+V46</f>
        <v>9735</v>
      </c>
      <c r="W49" s="105" t="n">
        <f aca="false">W11+W46</f>
        <v>53548.396664</v>
      </c>
      <c r="X49" s="104" t="n">
        <f aca="false">X11+X46</f>
        <v>43824.53162</v>
      </c>
      <c r="Y49" s="105"/>
      <c r="Z49" s="105"/>
      <c r="AA49" s="105"/>
      <c r="AB49" s="105"/>
      <c r="AD49" s="105" t="n">
        <f aca="false">AD11+AD46</f>
        <v>9244.256902</v>
      </c>
      <c r="AE49" s="105" t="n">
        <f aca="false">AE11+AE46</f>
        <v>25154.8</v>
      </c>
      <c r="AF49" s="509" t="n">
        <f aca="false">AF11+AF46</f>
        <v>260.1</v>
      </c>
      <c r="AG49" s="499" t="n">
        <f aca="false">AG11+AG46</f>
        <v>198.9</v>
      </c>
      <c r="AH49" s="105"/>
      <c r="AI49" s="105"/>
      <c r="AJ49" s="105" t="n">
        <f aca="false">AJ11+AJ46</f>
        <v>0</v>
      </c>
      <c r="AK49" s="105" t="n">
        <f aca="false">AK11+AK46</f>
        <v>127532.6</v>
      </c>
      <c r="AL49" s="105" t="n">
        <f aca="false">AL11+AL46</f>
        <v>2541.413234182</v>
      </c>
      <c r="AM49" s="105" t="n">
        <f aca="false">AM11+AM46</f>
        <v>130074.013234182</v>
      </c>
      <c r="AN49" s="267"/>
      <c r="AO49" s="171"/>
      <c r="AP49" s="171"/>
      <c r="AQ49" s="167"/>
      <c r="AR49" s="167"/>
      <c r="AS49" s="134" t="n">
        <f aca="false">AS11+AS46</f>
        <v>675.57</v>
      </c>
      <c r="AT49" s="134" t="n">
        <f aca="false">AT11+AT46</f>
        <v>411.411015</v>
      </c>
      <c r="AU49" s="133" t="n">
        <f aca="false">AU11+AU46</f>
        <v>0</v>
      </c>
      <c r="AV49" s="268"/>
      <c r="AW49" s="168" t="n">
        <f aca="false">MIN(AW14:AW44)</f>
        <v>75</v>
      </c>
      <c r="AX49" s="168" t="n">
        <f aca="false">MIN(AX14:AX44)</f>
        <v>44</v>
      </c>
      <c r="AY49" s="510" t="s">
        <v>96</v>
      </c>
      <c r="AZ49" s="502" t="n">
        <f aca="false">AZ11+AZ46</f>
        <v>408.526607</v>
      </c>
    </row>
    <row r="50" customFormat="false" ht="12.95" hidden="false" customHeight="true" outlineLevel="0" collapsed="false">
      <c r="A50" s="173" t="s">
        <v>97</v>
      </c>
      <c r="B50" s="263"/>
      <c r="D50" s="105"/>
      <c r="F50" s="264" t="n">
        <f aca="false">F49*$D$2</f>
        <v>6833</v>
      </c>
      <c r="G50" s="105" t="n">
        <f aca="false">G49*$D$2</f>
        <v>236496.672</v>
      </c>
      <c r="H50" s="105" t="n">
        <f aca="false">H49*$D$2</f>
        <v>8637.66646</v>
      </c>
      <c r="I50" s="105" t="n">
        <f aca="false">I49*$D$2</f>
        <v>245134.33846</v>
      </c>
      <c r="J50" s="105" t="n">
        <f aca="false">J49*$D$2</f>
        <v>19700.46679</v>
      </c>
      <c r="K50" s="105" t="n">
        <f aca="false">K49*$D$2</f>
        <v>264834.80525</v>
      </c>
      <c r="L50" s="105" t="n">
        <f aca="false">L49*$D$2</f>
        <v>14659.57364</v>
      </c>
      <c r="M50" s="509" t="n">
        <f aca="false">M49*$D$2</f>
        <v>79640.50025</v>
      </c>
      <c r="N50" s="105" t="n">
        <f aca="false">N49*$D$2</f>
        <v>571.9897119735</v>
      </c>
      <c r="O50" s="105" t="n">
        <f aca="false">O49*$D$2</f>
        <v>24421.68447495</v>
      </c>
      <c r="P50" s="167" t="n">
        <f aca="false">P49*$D$2</f>
        <v>14.6084775</v>
      </c>
      <c r="Q50" s="168"/>
      <c r="R50" s="168"/>
      <c r="S50" s="168"/>
      <c r="T50" s="266"/>
      <c r="U50" s="105" t="n">
        <f aca="false">U49*$D$2</f>
        <v>35790.86905</v>
      </c>
      <c r="V50" s="105" t="n">
        <f aca="false">V49*$D$2</f>
        <v>19309.3725</v>
      </c>
      <c r="W50" s="105" t="n">
        <f aca="false">W49*$D$2</f>
        <v>106213.244783044</v>
      </c>
      <c r="X50" s="104" t="n">
        <f aca="false">X49*$D$2</f>
        <v>86925.95846827</v>
      </c>
      <c r="Y50" s="105"/>
      <c r="Z50" s="105"/>
      <c r="AA50" s="105"/>
      <c r="AB50" s="105"/>
      <c r="AD50" s="105" t="n">
        <f aca="false">AD49*$D$2</f>
        <v>18335.983565117</v>
      </c>
      <c r="AE50" s="105" t="n">
        <f aca="false">AE49*$D$2</f>
        <v>49894.5458</v>
      </c>
      <c r="AF50" s="509" t="n">
        <f aca="false">AF49*$D$2</f>
        <v>515.90835</v>
      </c>
      <c r="AG50" s="499" t="n">
        <f aca="false">AG49*$D$2</f>
        <v>394.51815</v>
      </c>
      <c r="AH50" s="105"/>
      <c r="AI50" s="105"/>
      <c r="AJ50" s="105" t="n">
        <f aca="false">AJ49*$D$2</f>
        <v>0</v>
      </c>
      <c r="AK50" s="105" t="n">
        <f aca="false">AK49*$D$2</f>
        <v>252960.9121</v>
      </c>
      <c r="AL50" s="105" t="n">
        <f aca="false">AL49*$D$2</f>
        <v>5040.89315</v>
      </c>
      <c r="AM50" s="105" t="n">
        <f aca="false">AM49*$D$2</f>
        <v>258001.80525</v>
      </c>
      <c r="AN50" s="267"/>
      <c r="AO50" s="171"/>
      <c r="AP50" s="171"/>
      <c r="AQ50" s="167" t="n">
        <f aca="false">AQ11+AQ47</f>
        <v>287.029610244458</v>
      </c>
      <c r="AR50" s="167"/>
      <c r="AS50" s="134" t="n">
        <f aca="false">AS49*$D$2</f>
        <v>1339.993095</v>
      </c>
      <c r="AT50" s="134" t="n">
        <f aca="false">AT49*$D$2</f>
        <v>816.0337482525</v>
      </c>
      <c r="AU50" s="133" t="n">
        <f aca="false">AU49*$D$2</f>
        <v>0</v>
      </c>
      <c r="AV50" s="268"/>
      <c r="AW50" s="168"/>
      <c r="AX50" s="168"/>
      <c r="AY50" s="303"/>
      <c r="AZ50" s="502" t="n">
        <f aca="false">AZ49*$D$2</f>
        <v>810.3125249845</v>
      </c>
    </row>
    <row r="51" customFormat="false" ht="3" hidden="false" customHeight="true" outlineLevel="0" collapsed="false">
      <c r="A51" s="214"/>
      <c r="B51" s="288"/>
      <c r="C51" s="276"/>
      <c r="D51" s="276"/>
      <c r="E51" s="276"/>
      <c r="F51" s="289"/>
      <c r="G51" s="276"/>
      <c r="H51" s="282"/>
      <c r="I51" s="276"/>
      <c r="J51" s="276"/>
      <c r="K51" s="276"/>
      <c r="L51" s="276"/>
      <c r="M51" s="511"/>
      <c r="N51" s="276"/>
      <c r="O51" s="276"/>
      <c r="P51" s="280"/>
      <c r="Q51" s="282"/>
      <c r="R51" s="282"/>
      <c r="S51" s="282"/>
      <c r="T51" s="281"/>
      <c r="U51" s="276"/>
      <c r="V51" s="276"/>
      <c r="W51" s="276"/>
      <c r="X51" s="216"/>
      <c r="Y51" s="276"/>
      <c r="Z51" s="276"/>
      <c r="AA51" s="276"/>
      <c r="AB51" s="276"/>
      <c r="AC51" s="276"/>
      <c r="AD51" s="276"/>
      <c r="AE51" s="276"/>
      <c r="AF51" s="241"/>
      <c r="AG51" s="242"/>
      <c r="AH51" s="276"/>
      <c r="AI51" s="276"/>
      <c r="AJ51" s="276"/>
      <c r="AK51" s="276"/>
      <c r="AL51" s="276"/>
      <c r="AM51" s="276"/>
      <c r="AN51" s="285"/>
      <c r="AO51" s="278"/>
      <c r="AP51" s="284"/>
      <c r="AQ51" s="280"/>
      <c r="AR51" s="280"/>
      <c r="AS51" s="284"/>
      <c r="AT51" s="284"/>
      <c r="AU51" s="122"/>
      <c r="AV51" s="285"/>
      <c r="AW51" s="278"/>
      <c r="AX51" s="278"/>
      <c r="AY51" s="289"/>
      <c r="AZ51" s="506"/>
    </row>
    <row r="52" customFormat="false" ht="12.95" hidden="false" customHeight="true" outlineLevel="0" collapsed="false">
      <c r="A52" s="173" t="s">
        <v>98</v>
      </c>
      <c r="B52" s="263"/>
      <c r="D52" s="105"/>
      <c r="F52" s="264" t="n">
        <f aca="false">F12+F46</f>
        <v>2681.11923367785</v>
      </c>
      <c r="G52" s="105" t="n">
        <f aca="false">G12+G46</f>
        <v>130232</v>
      </c>
      <c r="H52" s="168" t="n">
        <f aca="false">H12+H46</f>
        <v>4894.89</v>
      </c>
      <c r="I52" s="105" t="n">
        <f aca="false">I12+I46</f>
        <v>135126.89</v>
      </c>
      <c r="J52" s="105" t="n">
        <f aca="false">J12+J46</f>
        <v>13238.3077136375</v>
      </c>
      <c r="K52" s="105" t="n">
        <f aca="false">K12+K46</f>
        <v>148365.197713638</v>
      </c>
      <c r="L52" s="105" t="n">
        <f aca="false">L12+L46</f>
        <v>9762.72923367785</v>
      </c>
      <c r="M52" s="509" t="n">
        <f aca="false">M12+M46</f>
        <v>70940.45925</v>
      </c>
      <c r="N52" s="105" t="n">
        <f aca="false">N12+N46</f>
        <v>288.373941</v>
      </c>
      <c r="O52" s="105" t="n">
        <f aca="false">O12+O46</f>
        <v>12312.4197</v>
      </c>
      <c r="Q52" s="168" t="n">
        <f aca="false">Q12+Q46</f>
        <v>639.5553</v>
      </c>
      <c r="R52" s="168" t="n">
        <f aca="false">R12+R46</f>
        <v>983.05</v>
      </c>
      <c r="S52" s="168" t="n">
        <f aca="false">S12+S46</f>
        <v>401.69</v>
      </c>
      <c r="T52" s="266" t="n">
        <f aca="false">T12+T46</f>
        <v>-71.5154</v>
      </c>
      <c r="U52" s="105" t="n">
        <f aca="false">U12+U46</f>
        <v>25474.3</v>
      </c>
      <c r="V52" s="105" t="n">
        <f aca="false">V12+V46</f>
        <v>9811.3</v>
      </c>
      <c r="W52" s="105" t="n">
        <f aca="false">W12+W46</f>
        <v>61379.150444</v>
      </c>
      <c r="X52" s="104" t="n">
        <f aca="false">X12+X46</f>
        <v>51202.0166</v>
      </c>
      <c r="Y52" s="105"/>
      <c r="Z52" s="105"/>
      <c r="AA52" s="105"/>
      <c r="AB52" s="105"/>
      <c r="AE52" s="105"/>
      <c r="AF52" s="198"/>
      <c r="AG52" s="201"/>
      <c r="AH52" s="105" t="n">
        <f aca="false">AH12+AH46</f>
        <v>40698</v>
      </c>
      <c r="AI52" s="105" t="n">
        <f aca="false">AI44</f>
        <v>7377.25787748929</v>
      </c>
      <c r="AJ52" s="105" t="n">
        <f aca="false">AJ12+AJ46</f>
        <v>25793</v>
      </c>
      <c r="AK52" s="105" t="n">
        <f aca="false">AK12+AK46</f>
        <v>142208.5</v>
      </c>
      <c r="AL52" s="105" t="n">
        <f aca="false">AL12+AL46</f>
        <v>3475.57847995967</v>
      </c>
      <c r="AM52" s="105" t="n">
        <f aca="false">AM12+AM46</f>
        <v>145684.07847996</v>
      </c>
      <c r="AN52" s="267"/>
      <c r="AO52" s="105" t="n">
        <f aca="false">AO12+AO46</f>
        <v>1260.402145</v>
      </c>
      <c r="AP52" s="171"/>
      <c r="AQ52" s="167"/>
      <c r="AR52" s="167"/>
      <c r="AS52" s="168"/>
      <c r="AT52" s="168" t="n">
        <f aca="false">AT11+AT46</f>
        <v>411.411015</v>
      </c>
      <c r="AU52" s="166"/>
      <c r="AV52" s="268" t="n">
        <f aca="false">AV12+AV46</f>
        <v>7.16</v>
      </c>
      <c r="AW52" s="168"/>
      <c r="AX52" s="168"/>
      <c r="AY52" s="303"/>
      <c r="AZ52" s="502" t="n">
        <f aca="false">AZ12+AZ46</f>
        <v>2252.718841</v>
      </c>
    </row>
    <row r="53" customFormat="false" ht="12.95" hidden="false" customHeight="true" outlineLevel="0" collapsed="false">
      <c r="A53" s="173" t="s">
        <v>99</v>
      </c>
      <c r="B53" s="263"/>
      <c r="D53" s="105" t="n">
        <f aca="false">D12+D47</f>
        <v>5318</v>
      </c>
      <c r="E53" s="105" t="n">
        <f aca="false">E44</f>
        <v>138119</v>
      </c>
      <c r="F53" s="264" t="n">
        <f aca="false">F52*$D$2</f>
        <v>5318.00000000002</v>
      </c>
      <c r="G53" s="105" t="n">
        <f aca="false">G52*$D$2</f>
        <v>258315.172</v>
      </c>
      <c r="H53" s="168" t="n">
        <f aca="false">H52*$D$2</f>
        <v>9709.014315</v>
      </c>
      <c r="I53" s="105" t="n">
        <f aca="false">I52*$D$2</f>
        <v>268024.186315</v>
      </c>
      <c r="J53" s="105" t="n">
        <f aca="false">J52*$D$2</f>
        <v>26258.18335</v>
      </c>
      <c r="K53" s="105" t="n">
        <f aca="false">K52*$D$2</f>
        <v>294282.369665</v>
      </c>
      <c r="L53" s="105" t="n">
        <f aca="false">L52*$D$2</f>
        <v>19364.373435</v>
      </c>
      <c r="M53" s="509" t="n">
        <f aca="false">M52*$D$2</f>
        <v>140710.400922375</v>
      </c>
      <c r="N53" s="105" t="n">
        <f aca="false">N52*$D$2</f>
        <v>571.9897119735</v>
      </c>
      <c r="O53" s="105" t="n">
        <f aca="false">O52*$D$2</f>
        <v>24421.68447495</v>
      </c>
      <c r="Q53" s="168" t="n">
        <f aca="false">Q52*$D$2</f>
        <v>1268.55793755</v>
      </c>
      <c r="R53" s="168" t="n">
        <f aca="false">R52*$D$2</f>
        <v>1949.879675</v>
      </c>
      <c r="S53" s="513" t="n">
        <f aca="false">S52*$D$2</f>
        <v>796.752115</v>
      </c>
      <c r="T53" s="514" t="n">
        <f aca="false">T52*$D$2</f>
        <v>-141.8507959</v>
      </c>
      <c r="U53" s="105" t="n">
        <f aca="false">U52*$D$2</f>
        <v>50528.27405</v>
      </c>
      <c r="V53" s="105" t="n">
        <f aca="false">V52*$D$2</f>
        <v>19460.71355</v>
      </c>
      <c r="W53" s="105" t="n">
        <f aca="false">W52*$D$2</f>
        <v>121745.544905674</v>
      </c>
      <c r="X53" s="104" t="n">
        <f aca="false">X52*$D$2</f>
        <v>101559.1999261</v>
      </c>
      <c r="Y53" s="105"/>
      <c r="Z53" s="105"/>
      <c r="AA53" s="105"/>
      <c r="AB53" s="105"/>
      <c r="AE53" s="105"/>
      <c r="AF53" s="249"/>
      <c r="AG53" s="250"/>
      <c r="AH53" s="105" t="n">
        <f aca="false">AH52*$D$2</f>
        <v>80724.483</v>
      </c>
      <c r="AI53" s="105" t="n">
        <f aca="false">AI52*$D$2</f>
        <v>14632.791</v>
      </c>
      <c r="AJ53" s="105" t="n">
        <f aca="false">AJ52*$D$2</f>
        <v>51160.4155</v>
      </c>
      <c r="AK53" s="105" t="n">
        <f aca="false">AK52*$D$2</f>
        <v>282070.55975</v>
      </c>
      <c r="AL53" s="105" t="n">
        <f aca="false">AL52*$D$2</f>
        <v>6893.809915</v>
      </c>
      <c r="AM53" s="105" t="n">
        <f aca="false">AM52*$D$2</f>
        <v>288964.369665</v>
      </c>
      <c r="AN53" s="267" t="n">
        <f aca="false">AN44</f>
        <v>14794.787655</v>
      </c>
      <c r="AO53" s="105" t="n">
        <f aca="false">AO52*$D$2</f>
        <v>2500.0076546075</v>
      </c>
      <c r="AP53" s="171"/>
      <c r="AQ53" s="167" t="n">
        <f aca="false">AQ12+AQ47</f>
        <v>0</v>
      </c>
      <c r="AR53" s="167"/>
      <c r="AS53" s="168"/>
      <c r="AT53" s="168" t="n">
        <f aca="false">AT52*$D$2</f>
        <v>816.0337482525</v>
      </c>
      <c r="AU53" s="166"/>
      <c r="AV53" s="268"/>
      <c r="AW53" s="168"/>
      <c r="AX53" s="168"/>
      <c r="AY53" s="303"/>
      <c r="AZ53" s="502" t="n">
        <f aca="false">AZ52*$D$2</f>
        <v>4468.2678211235</v>
      </c>
    </row>
    <row r="54" customFormat="false" ht="3" hidden="false" customHeight="true" outlineLevel="0" collapsed="false">
      <c r="A54" s="214"/>
      <c r="B54" s="288"/>
      <c r="C54" s="276"/>
      <c r="D54" s="214"/>
      <c r="E54" s="276"/>
      <c r="F54" s="277"/>
      <c r="G54" s="214"/>
      <c r="H54" s="503"/>
      <c r="I54" s="214"/>
      <c r="J54" s="214"/>
      <c r="K54" s="515"/>
      <c r="L54" s="214"/>
      <c r="M54" s="485"/>
      <c r="N54" s="214"/>
      <c r="O54" s="214"/>
      <c r="P54" s="280"/>
      <c r="Q54" s="280"/>
      <c r="R54" s="281"/>
      <c r="S54" s="280"/>
      <c r="T54" s="281"/>
      <c r="U54" s="214"/>
      <c r="V54" s="214"/>
      <c r="W54" s="214"/>
      <c r="X54" s="214"/>
      <c r="Y54" s="214"/>
      <c r="Z54" s="214"/>
      <c r="AA54" s="276"/>
      <c r="AB54" s="276"/>
      <c r="AC54" s="276"/>
      <c r="AD54" s="276"/>
      <c r="AE54" s="214"/>
      <c r="AF54" s="220"/>
      <c r="AG54" s="225"/>
      <c r="AH54" s="214"/>
      <c r="AI54" s="276"/>
      <c r="AJ54" s="276"/>
      <c r="AK54" s="214"/>
      <c r="AL54" s="214"/>
      <c r="AM54" s="214"/>
      <c r="AN54" s="288"/>
      <c r="AO54" s="214"/>
      <c r="AP54" s="284"/>
      <c r="AQ54" s="280"/>
      <c r="AR54" s="280"/>
      <c r="AS54" s="122"/>
      <c r="AT54" s="122"/>
      <c r="AU54" s="122"/>
      <c r="AV54" s="288"/>
      <c r="AW54" s="214"/>
      <c r="AX54" s="214"/>
      <c r="AY54" s="289"/>
      <c r="AZ54" s="506"/>
    </row>
    <row r="55" customFormat="false" ht="11.1" hidden="false" customHeight="true" outlineLevel="0" collapsed="false">
      <c r="A55" s="516"/>
      <c r="B55" s="162"/>
      <c r="C55" s="2"/>
      <c r="D55" s="12"/>
      <c r="E55" s="2"/>
      <c r="F55" s="1"/>
      <c r="G55" s="1"/>
      <c r="H55" s="3"/>
      <c r="I55" s="12"/>
      <c r="J55" s="12"/>
      <c r="K55" s="466"/>
      <c r="L55" s="105"/>
      <c r="M55" s="12"/>
      <c r="N55" s="12"/>
      <c r="O55" s="12"/>
      <c r="P55" s="5"/>
      <c r="Q55" s="5"/>
      <c r="R55" s="5"/>
      <c r="S55" s="5"/>
      <c r="T55" s="5"/>
      <c r="U55" s="12"/>
      <c r="V55" s="12"/>
      <c r="W55" s="12"/>
      <c r="X55" s="12"/>
      <c r="Y55" s="12"/>
      <c r="Z55" s="12"/>
      <c r="AA55" s="1"/>
      <c r="AB55" s="1"/>
      <c r="AC55" s="1"/>
      <c r="AD55" s="1"/>
      <c r="AE55" s="12"/>
      <c r="AF55" s="12"/>
      <c r="AG55" s="12"/>
      <c r="AH55" s="12"/>
      <c r="AI55" s="2"/>
      <c r="AJ55" s="102"/>
      <c r="AK55" s="2"/>
      <c r="AL55" s="173"/>
      <c r="AM55" s="173"/>
      <c r="AN55" s="412"/>
      <c r="AO55" s="412"/>
      <c r="AQ55" s="444"/>
      <c r="AR55" s="444"/>
      <c r="AS55" s="413"/>
      <c r="AV55" s="167"/>
      <c r="AW55" s="168"/>
      <c r="AX55" s="168"/>
    </row>
    <row r="56" customFormat="false" ht="11.1" hidden="false" customHeight="true" outlineLevel="0" collapsed="false">
      <c r="B56" s="105"/>
      <c r="E56" s="443"/>
      <c r="F56" s="208"/>
      <c r="G56" s="1"/>
      <c r="H56" s="3"/>
      <c r="I56" s="1"/>
      <c r="J56" s="1"/>
      <c r="K56" s="467"/>
      <c r="L56" s="105"/>
      <c r="M56" s="4"/>
      <c r="N56" s="4"/>
      <c r="O56" s="443"/>
      <c r="P56" s="470"/>
      <c r="Q56" s="470"/>
      <c r="R56" s="90"/>
      <c r="S56" s="90"/>
      <c r="T56" s="90"/>
      <c r="U56" s="28"/>
      <c r="V56" s="128"/>
      <c r="W56" s="87"/>
      <c r="X56" s="87"/>
      <c r="Y56" s="87"/>
      <c r="Z56" s="87"/>
      <c r="AA56" s="105"/>
      <c r="AB56" s="105"/>
      <c r="AE56" s="105"/>
      <c r="AF56" s="105"/>
      <c r="AG56" s="105"/>
      <c r="AH56" s="2"/>
      <c r="AI56" s="28"/>
      <c r="AJ56" s="471"/>
      <c r="AK56" s="28"/>
      <c r="AL56" s="9"/>
      <c r="AM56" s="167"/>
      <c r="AN56" s="169"/>
      <c r="AO56" s="169"/>
      <c r="AQ56" s="444"/>
      <c r="AR56" s="444"/>
      <c r="AS56" s="413"/>
      <c r="AV56" s="168"/>
      <c r="AW56" s="168"/>
      <c r="AX56" s="171"/>
    </row>
    <row r="57" customFormat="false" ht="11.1" hidden="false" customHeight="true" outlineLevel="0" collapsed="false">
      <c r="D57" s="105"/>
      <c r="E57" s="443"/>
      <c r="F57" s="1"/>
      <c r="G57" s="1"/>
      <c r="H57" s="105"/>
      <c r="I57" s="1"/>
      <c r="J57" s="1"/>
      <c r="K57" s="467"/>
      <c r="L57" s="168"/>
      <c r="M57" s="4"/>
      <c r="N57" s="4"/>
      <c r="O57" s="168"/>
      <c r="Q57" s="167"/>
      <c r="R57" s="90"/>
      <c r="S57" s="90"/>
      <c r="T57" s="90"/>
      <c r="U57" s="28"/>
      <c r="V57" s="28"/>
      <c r="W57" s="87"/>
      <c r="X57" s="87"/>
      <c r="Y57" s="87"/>
      <c r="Z57" s="87"/>
      <c r="AA57" s="168"/>
      <c r="AB57" s="168"/>
      <c r="AC57" s="168"/>
      <c r="AD57" s="168"/>
      <c r="AE57" s="105"/>
      <c r="AF57" s="105"/>
      <c r="AG57" s="105"/>
      <c r="AH57" s="2"/>
      <c r="AI57" s="105"/>
      <c r="AJ57" s="208"/>
      <c r="AK57" s="105"/>
      <c r="AL57" s="9"/>
      <c r="AM57" s="443"/>
      <c r="AN57" s="169"/>
      <c r="AO57" s="169"/>
      <c r="AQ57" s="444"/>
      <c r="AR57" s="444"/>
      <c r="AS57" s="413"/>
      <c r="AV57" s="168"/>
      <c r="AW57" s="168"/>
      <c r="AX57" s="171"/>
    </row>
    <row r="58" customFormat="false" ht="11.1" hidden="false" customHeight="true" outlineLevel="0" collapsed="false">
      <c r="G58" s="256"/>
      <c r="Q58" s="167"/>
      <c r="R58" s="167"/>
      <c r="S58" s="167"/>
      <c r="V58" s="9"/>
      <c r="W58" s="1"/>
      <c r="X58" s="1"/>
      <c r="Y58" s="1"/>
      <c r="Z58" s="1"/>
      <c r="AA58" s="105"/>
      <c r="AB58" s="105"/>
      <c r="AH58" s="105"/>
      <c r="AK58" s="9"/>
      <c r="AL58" s="9"/>
      <c r="AM58" s="167"/>
      <c r="AN58" s="169"/>
      <c r="AO58" s="169"/>
      <c r="AQ58" s="444"/>
      <c r="AR58" s="444"/>
      <c r="AS58" s="413"/>
      <c r="AV58" s="165"/>
      <c r="AW58" s="168"/>
      <c r="AX58" s="171"/>
    </row>
    <row r="59" customFormat="false" ht="11.1" hidden="false" customHeight="true" outlineLevel="0" collapsed="false">
      <c r="Q59" s="167"/>
      <c r="R59" s="167"/>
      <c r="S59" s="167"/>
      <c r="V59" s="9"/>
      <c r="W59" s="105"/>
      <c r="X59" s="105"/>
      <c r="Y59" s="105"/>
      <c r="Z59" s="105"/>
      <c r="AA59" s="105"/>
      <c r="AB59" s="105"/>
      <c r="AH59" s="105"/>
      <c r="AK59" s="9"/>
      <c r="AL59" s="9"/>
      <c r="AM59" s="167"/>
      <c r="AN59" s="169"/>
      <c r="AO59" s="169"/>
      <c r="AQ59" s="444"/>
      <c r="AR59" s="444"/>
      <c r="AS59" s="413"/>
      <c r="AV59" s="165"/>
      <c r="AW59" s="168"/>
      <c r="AX59" s="171"/>
    </row>
    <row r="60" customFormat="false" ht="11.1" hidden="false" customHeight="true" outlineLevel="0" collapsed="false">
      <c r="Q60" s="167"/>
      <c r="R60" s="167"/>
      <c r="S60" s="167"/>
      <c r="V60" s="9"/>
      <c r="W60" s="105"/>
      <c r="X60" s="105"/>
      <c r="Y60" s="105"/>
      <c r="Z60" s="105"/>
      <c r="AA60" s="105"/>
      <c r="AB60" s="105"/>
      <c r="AH60" s="105"/>
      <c r="AK60" s="9"/>
      <c r="AL60" s="9"/>
      <c r="AM60" s="167"/>
      <c r="AN60" s="169"/>
      <c r="AO60" s="169"/>
      <c r="AQ60" s="444"/>
      <c r="AR60" s="444"/>
      <c r="AS60" s="413"/>
      <c r="AV60" s="165"/>
      <c r="AW60" s="168"/>
      <c r="AX60" s="171"/>
    </row>
    <row r="61" customFormat="false" ht="11.1" hidden="false" customHeight="true" outlineLevel="0" collapsed="false">
      <c r="W61" s="105"/>
      <c r="X61" s="105"/>
      <c r="Y61" s="105"/>
      <c r="Z61" s="105"/>
    </row>
  </sheetData>
  <mergeCells count="3">
    <mergeCell ref="K2:Z2"/>
    <mergeCell ref="AA2:AD2"/>
    <mergeCell ref="M5:T5"/>
  </mergeCells>
  <printOptions headings="true" gridLines="true" gridLinesSet="true" horizontalCentered="true" verticalCentered="true"/>
  <pageMargins left="0.25" right="0.25" top="0.25" bottom="0" header="0.511811023622047" footer="0.511811023622047"/>
  <pageSetup paperSize="3" scale="99"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59"/>
  <sheetViews>
    <sheetView showFormulas="false" showGridLines="true" showRowColHeaders="true" showZeros="true" rightToLeft="false" tabSelected="true" showOutlineSymbols="true" defaultGridColor="true" view="normal" topLeftCell="A1" colorId="64" zoomScale="160" zoomScaleNormal="16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E20" activeCellId="0" sqref="E20:E43"/>
    </sheetView>
  </sheetViews>
  <sheetFormatPr defaultColWidth="9.3359375" defaultRowHeight="11.1" zeroHeight="false" outlineLevelRow="0" outlineLevelCol="0"/>
  <cols>
    <col collapsed="false" customWidth="true" hidden="false" outlineLevel="0" max="1" min="1" style="9" width="4.67"/>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174" width="5.67"/>
    <col collapsed="false" customWidth="true" hidden="false" outlineLevel="0" max="11" min="9" style="9" width="6.32"/>
    <col collapsed="false" customWidth="true" hidden="false" outlineLevel="0" max="12" min="12" style="9" width="7.16"/>
    <col collapsed="false" customWidth="true" hidden="false" outlineLevel="0" max="13" min="13" style="166" width="6.49"/>
    <col collapsed="false" customWidth="true" hidden="false" outlineLevel="0" max="14" min="14" style="166" width="4.49"/>
    <col collapsed="false" customWidth="true" hidden="false" outlineLevel="0" max="15" min="15" style="166" width="5.49"/>
    <col collapsed="false" customWidth="true" hidden="false" outlineLevel="0" max="16" min="16" style="167" width="4.82"/>
    <col collapsed="false" customWidth="true" hidden="false" outlineLevel="0" max="19" min="17" style="167" width="4.32"/>
    <col collapsed="false" customWidth="true" hidden="false" outlineLevel="0" max="20" min="20" style="167" width="5.49"/>
    <col collapsed="false" customWidth="true" hidden="false" outlineLevel="0" max="21" min="21" style="9" width="5.49"/>
    <col collapsed="false" customWidth="true" hidden="false" outlineLevel="0" max="22" min="22" style="105" width="5.49"/>
    <col collapsed="false" customWidth="true" hidden="false" outlineLevel="0" max="26" min="23" style="9" width="6.32"/>
    <col collapsed="false" customWidth="true" hidden="false" outlineLevel="0" max="28" min="27" style="9" width="5.49"/>
    <col collapsed="false" customWidth="true" hidden="false" outlineLevel="0" max="30" min="29" style="105" width="5.49"/>
    <col collapsed="false" customWidth="true" hidden="false" outlineLevel="0" max="33" min="31" style="9" width="5.49"/>
    <col collapsed="false" customWidth="true" hidden="false" outlineLevel="0" max="34" min="34" style="9" width="6.49"/>
    <col collapsed="false" customWidth="true" hidden="false" outlineLevel="0" max="35" min="35" style="9" width="5.49"/>
    <col collapsed="false" customWidth="true" hidden="false" outlineLevel="0" max="36" min="36" style="169" width="6.32"/>
    <col collapsed="false" customWidth="true" hidden="false" outlineLevel="0" max="37" min="37" style="167" width="6.32"/>
    <col collapsed="false" customWidth="true" hidden="false" outlineLevel="0" max="38" min="38" style="165" width="6.99"/>
    <col collapsed="false" customWidth="true" hidden="false" outlineLevel="0" max="39" min="39" style="168" width="6.99"/>
    <col collapsed="false" customWidth="true" hidden="false" outlineLevel="0" max="41" min="40" style="9" width="5.49"/>
    <col collapsed="false" customWidth="true" hidden="false" outlineLevel="0" max="42" min="42" style="166" width="6.32"/>
    <col collapsed="false" customWidth="true" hidden="false" outlineLevel="0" max="44" min="43" style="167" width="6.32"/>
    <col collapsed="false" customWidth="true" hidden="false" outlineLevel="0" max="45" min="45" style="9" width="6.32"/>
    <col collapsed="false" customWidth="true" hidden="false" outlineLevel="0" max="46" min="46" style="9" width="5.82"/>
    <col collapsed="false" customWidth="true" hidden="false" outlineLevel="0" max="47" min="47" style="166" width="4.99"/>
    <col collapsed="false" customWidth="true" hidden="false" outlineLevel="0" max="48" min="48" style="171" width="5.32"/>
    <col collapsed="false" customWidth="true" hidden="false" outlineLevel="0" max="49" min="49" style="9" width="3.82"/>
    <col collapsed="false" customWidth="true" hidden="false" outlineLevel="0" max="50" min="50" style="167" width="3.82"/>
    <col collapsed="false" customWidth="true" hidden="false" outlineLevel="0" max="51" min="51" style="172" width="4.32"/>
    <col collapsed="false" customWidth="true" hidden="false" outlineLevel="0" max="52" min="52" style="172" width="6.49"/>
    <col collapsed="false" customWidth="false" hidden="false" outlineLevel="0" max="257" min="53" style="172" width="9.32"/>
  </cols>
  <sheetData>
    <row r="1" customFormat="false" ht="14.1" hidden="false" customHeight="true" outlineLevel="0" collapsed="false">
      <c r="A1" s="173"/>
      <c r="B1" s="173"/>
      <c r="D1" s="173"/>
      <c r="F1" s="173"/>
      <c r="G1" s="173"/>
      <c r="I1" s="173"/>
      <c r="J1" s="173"/>
      <c r="K1" s="175" t="s">
        <v>0</v>
      </c>
      <c r="L1" s="173"/>
      <c r="M1" s="173"/>
      <c r="N1" s="173"/>
      <c r="O1" s="173"/>
      <c r="U1" s="173"/>
      <c r="V1" s="173"/>
      <c r="W1" s="105"/>
      <c r="X1" s="105"/>
      <c r="Y1" s="105"/>
      <c r="Z1" s="105"/>
      <c r="AA1" s="173"/>
      <c r="AB1" s="173"/>
      <c r="AC1" s="173"/>
      <c r="AD1" s="173"/>
      <c r="AE1" s="173"/>
      <c r="AF1" s="173"/>
      <c r="AG1" s="173"/>
      <c r="AH1" s="105"/>
      <c r="AI1" s="173"/>
      <c r="AJ1" s="176"/>
      <c r="AK1" s="173"/>
      <c r="AL1" s="173"/>
      <c r="AM1" s="167"/>
      <c r="AN1" s="176"/>
      <c r="AO1" s="176"/>
      <c r="AP1" s="330"/>
      <c r="AQ1" s="329"/>
      <c r="AR1" s="329"/>
      <c r="AV1" s="165"/>
      <c r="AW1" s="168"/>
      <c r="AX1" s="171"/>
    </row>
    <row r="2" customFormat="false" ht="14.1" hidden="false" customHeight="true" outlineLevel="0" collapsed="false">
      <c r="A2" s="176" t="s">
        <v>1</v>
      </c>
      <c r="B2" s="173"/>
      <c r="D2" s="177" t="n">
        <v>1.9835</v>
      </c>
      <c r="F2" s="173"/>
      <c r="G2" s="173"/>
      <c r="I2" s="173"/>
      <c r="J2" s="173"/>
      <c r="K2" s="178" t="s">
        <v>129</v>
      </c>
      <c r="L2" s="178"/>
      <c r="M2" s="178"/>
      <c r="N2" s="178"/>
      <c r="O2" s="178"/>
      <c r="P2" s="178"/>
      <c r="Q2" s="178"/>
      <c r="R2" s="178"/>
      <c r="S2" s="178"/>
      <c r="T2" s="178"/>
      <c r="U2" s="178"/>
      <c r="V2" s="178"/>
      <c r="W2" s="178"/>
      <c r="X2" s="178"/>
      <c r="Y2" s="178"/>
      <c r="Z2" s="178"/>
      <c r="AA2" s="178"/>
      <c r="AB2" s="178"/>
      <c r="AC2" s="178"/>
      <c r="AD2" s="178"/>
      <c r="AE2" s="173"/>
      <c r="AF2" s="173"/>
      <c r="AG2" s="173"/>
      <c r="AH2" s="105"/>
      <c r="AI2" s="173"/>
      <c r="AJ2" s="176"/>
      <c r="AK2" s="173"/>
      <c r="AL2" s="173"/>
      <c r="AM2" s="167"/>
      <c r="AN2" s="176"/>
      <c r="AO2" s="176"/>
      <c r="AP2" s="330"/>
      <c r="AQ2" s="329"/>
      <c r="AR2" s="329"/>
      <c r="AV2" s="165"/>
      <c r="AW2" s="168"/>
      <c r="AX2" s="171"/>
    </row>
    <row r="3" customFormat="false" ht="14.1" hidden="false" customHeight="true" outlineLevel="0" collapsed="false">
      <c r="A3" s="179"/>
      <c r="B3" s="179"/>
      <c r="C3" s="180"/>
      <c r="D3" s="181"/>
      <c r="E3" s="180"/>
      <c r="F3" s="179"/>
      <c r="G3" s="179"/>
      <c r="H3" s="182"/>
      <c r="I3" s="179"/>
      <c r="J3" s="179"/>
      <c r="K3" s="179"/>
      <c r="L3" s="179"/>
      <c r="M3" s="179"/>
      <c r="N3" s="179"/>
      <c r="O3" s="179"/>
      <c r="P3" s="183"/>
      <c r="Q3" s="183"/>
      <c r="R3" s="183"/>
      <c r="S3" s="183"/>
      <c r="T3" s="183"/>
      <c r="U3" s="179"/>
      <c r="V3" s="179"/>
      <c r="W3" s="180"/>
      <c r="X3" s="180"/>
      <c r="Y3" s="180"/>
      <c r="Z3" s="180"/>
      <c r="AA3" s="179"/>
      <c r="AB3" s="179"/>
      <c r="AC3" s="179"/>
      <c r="AD3" s="179"/>
      <c r="AE3" s="179"/>
      <c r="AF3" s="179"/>
      <c r="AG3" s="179"/>
      <c r="AH3" s="180"/>
      <c r="AI3" s="179"/>
      <c r="AJ3" s="186"/>
      <c r="AK3" s="179"/>
      <c r="AL3" s="179"/>
      <c r="AM3" s="183"/>
      <c r="AN3" s="186"/>
      <c r="AO3" s="186"/>
      <c r="AP3" s="332"/>
      <c r="AQ3" s="331"/>
      <c r="AR3" s="329"/>
      <c r="AS3" s="258"/>
      <c r="AV3" s="189"/>
      <c r="AW3" s="184"/>
      <c r="AX3" s="190"/>
    </row>
    <row r="4" s="9" customFormat="true" ht="14.1" hidden="false" customHeight="true" outlineLevel="0" collapsed="false">
      <c r="A4" s="173"/>
      <c r="B4" s="389"/>
      <c r="C4" s="390"/>
      <c r="D4" s="391" t="s">
        <v>3</v>
      </c>
      <c r="E4" s="390"/>
      <c r="F4" s="492"/>
      <c r="G4" s="173"/>
      <c r="H4" s="174"/>
      <c r="I4" s="173"/>
      <c r="J4" s="173"/>
      <c r="K4" s="173"/>
      <c r="L4" s="173"/>
      <c r="M4" s="173"/>
      <c r="N4" s="173"/>
      <c r="O4" s="173"/>
      <c r="P4" s="167"/>
      <c r="Q4" s="167"/>
      <c r="R4" s="167"/>
      <c r="S4" s="167"/>
      <c r="T4" s="167"/>
      <c r="U4" s="398" t="s">
        <v>4</v>
      </c>
      <c r="V4" s="173"/>
      <c r="W4" s="105"/>
      <c r="X4" s="105"/>
      <c r="Y4" s="105"/>
      <c r="Z4" s="105"/>
      <c r="AA4" s="173"/>
      <c r="AB4" s="173"/>
      <c r="AC4" s="173"/>
      <c r="AD4" s="173"/>
      <c r="AE4" s="173"/>
      <c r="AF4" s="173"/>
      <c r="AG4" s="173"/>
      <c r="AH4" s="105"/>
      <c r="AI4" s="173"/>
      <c r="AJ4" s="176"/>
      <c r="AK4" s="173"/>
      <c r="AL4" s="173"/>
      <c r="AM4" s="167"/>
      <c r="AN4" s="389"/>
      <c r="AO4" s="173"/>
      <c r="AP4" s="517" t="s">
        <v>5</v>
      </c>
      <c r="AQ4" s="517"/>
      <c r="AR4" s="518"/>
      <c r="AS4" s="519"/>
      <c r="AT4" s="520"/>
      <c r="AU4" s="392"/>
      <c r="AV4" s="400"/>
      <c r="AW4" s="401" t="s">
        <v>6</v>
      </c>
      <c r="AX4" s="402"/>
      <c r="AY4" s="403"/>
      <c r="AZ4" s="404"/>
    </row>
    <row r="5" customFormat="false" ht="12.95" hidden="false" customHeight="true" outlineLevel="0" collapsed="false">
      <c r="A5" s="259" t="s">
        <v>7</v>
      </c>
      <c r="B5" s="405" t="s">
        <v>8</v>
      </c>
      <c r="C5" s="59" t="s">
        <v>8</v>
      </c>
      <c r="D5" s="259" t="s">
        <v>9</v>
      </c>
      <c r="E5" s="59" t="s">
        <v>10</v>
      </c>
      <c r="F5" s="259" t="s">
        <v>11</v>
      </c>
      <c r="G5" s="405" t="s">
        <v>12</v>
      </c>
      <c r="H5" s="413" t="s">
        <v>13</v>
      </c>
      <c r="I5" s="259" t="s">
        <v>14</v>
      </c>
      <c r="J5" s="259" t="s">
        <v>15</v>
      </c>
      <c r="K5" s="259" t="s">
        <v>16</v>
      </c>
      <c r="L5" s="259" t="s">
        <v>15</v>
      </c>
      <c r="M5" s="409" t="s">
        <v>17</v>
      </c>
      <c r="N5" s="409"/>
      <c r="O5" s="409"/>
      <c r="P5" s="409"/>
      <c r="Q5" s="409"/>
      <c r="R5" s="409"/>
      <c r="S5" s="409"/>
      <c r="T5" s="409"/>
      <c r="U5" s="259" t="s">
        <v>18</v>
      </c>
      <c r="V5" s="259" t="s">
        <v>19</v>
      </c>
      <c r="W5" s="259" t="s">
        <v>16</v>
      </c>
      <c r="X5" s="259" t="s">
        <v>16</v>
      </c>
      <c r="Y5" s="59" t="s">
        <v>16</v>
      </c>
      <c r="Z5" s="259" t="s">
        <v>16</v>
      </c>
      <c r="AA5" s="59" t="s">
        <v>21</v>
      </c>
      <c r="AB5" s="59" t="s">
        <v>21</v>
      </c>
      <c r="AC5" s="59" t="s">
        <v>22</v>
      </c>
      <c r="AD5" s="59" t="s">
        <v>21</v>
      </c>
      <c r="AE5" s="259" t="s">
        <v>23</v>
      </c>
      <c r="AF5" s="410" t="s">
        <v>115</v>
      </c>
      <c r="AG5" s="411"/>
      <c r="AH5" s="412" t="s">
        <v>25</v>
      </c>
      <c r="AI5" s="59" t="s">
        <v>116</v>
      </c>
      <c r="AJ5" s="59" t="s">
        <v>27</v>
      </c>
      <c r="AK5" s="259" t="s">
        <v>14</v>
      </c>
      <c r="AL5" s="259" t="s">
        <v>15</v>
      </c>
      <c r="AM5" s="259" t="s">
        <v>16</v>
      </c>
      <c r="AN5" s="451" t="s">
        <v>28</v>
      </c>
      <c r="AO5" s="60" t="s">
        <v>21</v>
      </c>
      <c r="AP5" s="66" t="s">
        <v>29</v>
      </c>
      <c r="AQ5" s="66" t="s">
        <v>29</v>
      </c>
      <c r="AR5" s="61" t="s">
        <v>30</v>
      </c>
      <c r="AS5" s="67" t="s">
        <v>31</v>
      </c>
      <c r="AT5" s="413" t="s">
        <v>32</v>
      </c>
      <c r="AU5" s="68" t="s">
        <v>33</v>
      </c>
      <c r="AV5" s="414" t="s">
        <v>34</v>
      </c>
      <c r="AW5" s="412" t="s">
        <v>35</v>
      </c>
      <c r="AX5" s="412" t="s">
        <v>36</v>
      </c>
      <c r="AY5" s="303"/>
      <c r="AZ5" s="71" t="s">
        <v>16</v>
      </c>
    </row>
    <row r="6" customFormat="false" ht="12.95" hidden="false" customHeight="true" outlineLevel="0" collapsed="false">
      <c r="A6" s="415" t="s">
        <v>130</v>
      </c>
      <c r="B6" s="405" t="s">
        <v>38</v>
      </c>
      <c r="C6" s="59"/>
      <c r="D6" s="259" t="s">
        <v>39</v>
      </c>
      <c r="E6" s="59" t="s">
        <v>40</v>
      </c>
      <c r="F6" s="259" t="s">
        <v>41</v>
      </c>
      <c r="G6" s="405" t="s">
        <v>42</v>
      </c>
      <c r="H6" s="413" t="s">
        <v>43</v>
      </c>
      <c r="I6" s="259" t="s">
        <v>44</v>
      </c>
      <c r="J6" s="259" t="s">
        <v>44</v>
      </c>
      <c r="K6" s="259" t="s">
        <v>44</v>
      </c>
      <c r="L6" s="259" t="s">
        <v>45</v>
      </c>
      <c r="M6" s="416" t="s">
        <v>46</v>
      </c>
      <c r="N6" s="417" t="s">
        <v>47</v>
      </c>
      <c r="O6" s="259" t="s">
        <v>48</v>
      </c>
      <c r="P6" s="417" t="s">
        <v>49</v>
      </c>
      <c r="Q6" s="259" t="s">
        <v>50</v>
      </c>
      <c r="R6" s="259" t="s">
        <v>51</v>
      </c>
      <c r="S6" s="259" t="s">
        <v>52</v>
      </c>
      <c r="T6" s="419" t="s">
        <v>53</v>
      </c>
      <c r="U6" s="259" t="s">
        <v>54</v>
      </c>
      <c r="V6" s="259" t="s">
        <v>55</v>
      </c>
      <c r="W6" s="259" t="s">
        <v>21</v>
      </c>
      <c r="X6" s="259" t="s">
        <v>21</v>
      </c>
      <c r="Y6" s="59" t="s">
        <v>21</v>
      </c>
      <c r="Z6" s="259" t="s">
        <v>21</v>
      </c>
      <c r="AA6" s="59" t="s">
        <v>56</v>
      </c>
      <c r="AB6" s="59" t="s">
        <v>57</v>
      </c>
      <c r="AC6" s="59" t="s">
        <v>58</v>
      </c>
      <c r="AD6" s="59" t="s">
        <v>59</v>
      </c>
      <c r="AE6" s="259" t="s">
        <v>60</v>
      </c>
      <c r="AF6" s="416"/>
      <c r="AG6" s="420"/>
      <c r="AH6" s="412" t="s">
        <v>63</v>
      </c>
      <c r="AI6" s="59" t="s">
        <v>64</v>
      </c>
      <c r="AJ6" s="59"/>
      <c r="AK6" s="259" t="s">
        <v>65</v>
      </c>
      <c r="AL6" s="259" t="s">
        <v>65</v>
      </c>
      <c r="AM6" s="259" t="s">
        <v>65</v>
      </c>
      <c r="AN6" s="451" t="s">
        <v>56</v>
      </c>
      <c r="AO6" s="60" t="s">
        <v>66</v>
      </c>
      <c r="AP6" s="66" t="s">
        <v>67</v>
      </c>
      <c r="AQ6" s="66" t="s">
        <v>67</v>
      </c>
      <c r="AR6" s="61" t="s">
        <v>68</v>
      </c>
      <c r="AS6" s="67" t="s">
        <v>69</v>
      </c>
      <c r="AT6" s="413" t="s">
        <v>70</v>
      </c>
      <c r="AU6" s="68" t="s">
        <v>71</v>
      </c>
      <c r="AV6" s="421"/>
      <c r="AW6" s="412" t="s">
        <v>72</v>
      </c>
      <c r="AX6" s="412" t="s">
        <v>72</v>
      </c>
      <c r="AY6" s="303"/>
      <c r="AZ6" s="71" t="s">
        <v>73</v>
      </c>
    </row>
    <row r="7" customFormat="false" ht="12.95" hidden="false" customHeight="true" outlineLevel="0" collapsed="false">
      <c r="A7" s="259"/>
      <c r="B7" s="405"/>
      <c r="C7" s="59"/>
      <c r="D7" s="259"/>
      <c r="E7" s="59"/>
      <c r="F7" s="259"/>
      <c r="G7" s="405"/>
      <c r="H7" s="413"/>
      <c r="I7" s="259"/>
      <c r="J7" s="259"/>
      <c r="K7" s="259"/>
      <c r="L7" s="259"/>
      <c r="M7" s="416"/>
      <c r="N7" s="417" t="s">
        <v>74</v>
      </c>
      <c r="O7" s="259" t="s">
        <v>75</v>
      </c>
      <c r="P7" s="417"/>
      <c r="Q7" s="259"/>
      <c r="R7" s="259"/>
      <c r="S7" s="259" t="s">
        <v>48</v>
      </c>
      <c r="T7" s="419" t="s">
        <v>27</v>
      </c>
      <c r="U7" s="259"/>
      <c r="V7" s="259"/>
      <c r="W7" s="59" t="s">
        <v>122</v>
      </c>
      <c r="X7" s="59" t="s">
        <v>76</v>
      </c>
      <c r="Y7" s="59" t="s">
        <v>76</v>
      </c>
      <c r="Z7" s="59" t="n">
        <v>105500</v>
      </c>
      <c r="AA7" s="59"/>
      <c r="AB7" s="59" t="s">
        <v>77</v>
      </c>
      <c r="AC7" s="59"/>
      <c r="AD7" s="59"/>
      <c r="AE7" s="259"/>
      <c r="AF7" s="422"/>
      <c r="AG7" s="423"/>
      <c r="AH7" s="412"/>
      <c r="AI7" s="59"/>
      <c r="AJ7" s="59"/>
      <c r="AK7" s="259"/>
      <c r="AL7" s="259"/>
      <c r="AM7" s="259"/>
      <c r="AN7" s="451"/>
      <c r="AO7" s="60" t="s">
        <v>41</v>
      </c>
      <c r="AP7" s="66" t="s">
        <v>78</v>
      </c>
      <c r="AQ7" s="66" t="s">
        <v>79</v>
      </c>
      <c r="AR7" s="61" t="s">
        <v>80</v>
      </c>
      <c r="AS7" s="67" t="s">
        <v>81</v>
      </c>
      <c r="AT7" s="413" t="s">
        <v>82</v>
      </c>
      <c r="AU7" s="68" t="s">
        <v>123</v>
      </c>
      <c r="AV7" s="421"/>
      <c r="AW7" s="412"/>
      <c r="AX7" s="412"/>
      <c r="AY7" s="303"/>
      <c r="AZ7" s="71" t="s">
        <v>83</v>
      </c>
    </row>
    <row r="8" customFormat="false" ht="12.95" hidden="false" customHeight="true" outlineLevel="0" collapsed="false">
      <c r="A8" s="259"/>
      <c r="B8" s="405"/>
      <c r="C8" s="59"/>
      <c r="D8" s="259"/>
      <c r="E8" s="59"/>
      <c r="F8" s="259"/>
      <c r="G8" s="405"/>
      <c r="H8" s="413"/>
      <c r="I8" s="259"/>
      <c r="J8" s="259"/>
      <c r="K8" s="259"/>
      <c r="L8" s="259"/>
      <c r="M8" s="416"/>
      <c r="N8" s="417"/>
      <c r="O8" s="59" t="n">
        <v>24517</v>
      </c>
      <c r="P8" s="417"/>
      <c r="Q8" s="259"/>
      <c r="R8" s="259"/>
      <c r="S8" s="259"/>
      <c r="T8" s="419"/>
      <c r="U8" s="259"/>
      <c r="V8" s="259"/>
      <c r="W8" s="59" t="s">
        <v>124</v>
      </c>
      <c r="X8" s="59" t="s">
        <v>125</v>
      </c>
      <c r="Y8" s="59" t="s">
        <v>125</v>
      </c>
      <c r="Z8" s="59" t="s">
        <v>125</v>
      </c>
      <c r="AA8" s="59"/>
      <c r="AB8" s="59"/>
      <c r="AC8" s="59"/>
      <c r="AD8" s="59"/>
      <c r="AE8" s="259"/>
      <c r="AF8" s="422"/>
      <c r="AG8" s="423"/>
      <c r="AH8" s="412"/>
      <c r="AI8" s="59"/>
      <c r="AJ8" s="59"/>
      <c r="AK8" s="259"/>
      <c r="AL8" s="259"/>
      <c r="AM8" s="259"/>
      <c r="AN8" s="451"/>
      <c r="AO8" s="60"/>
      <c r="AP8" s="66"/>
      <c r="AQ8" s="66"/>
      <c r="AR8" s="61"/>
      <c r="AS8" s="67"/>
      <c r="AT8" s="413"/>
      <c r="AU8" s="68"/>
      <c r="AV8" s="421"/>
      <c r="AW8" s="412"/>
      <c r="AX8" s="412"/>
      <c r="AY8" s="303"/>
      <c r="AZ8" s="71"/>
    </row>
    <row r="9" customFormat="false" ht="12.95" hidden="false" customHeight="true" outlineLevel="0" collapsed="false">
      <c r="A9" s="259"/>
      <c r="B9" s="405"/>
      <c r="C9" s="59" t="s">
        <v>9</v>
      </c>
      <c r="D9" s="259"/>
      <c r="E9" s="59" t="s">
        <v>85</v>
      </c>
      <c r="F9" s="259"/>
      <c r="G9" s="405" t="s">
        <v>41</v>
      </c>
      <c r="H9" s="413" t="s">
        <v>41</v>
      </c>
      <c r="I9" s="413" t="s">
        <v>41</v>
      </c>
      <c r="J9" s="413" t="s">
        <v>41</v>
      </c>
      <c r="K9" s="413" t="s">
        <v>41</v>
      </c>
      <c r="L9" s="413" t="s">
        <v>41</v>
      </c>
      <c r="M9" s="424" t="s">
        <v>41</v>
      </c>
      <c r="N9" s="413" t="s">
        <v>41</v>
      </c>
      <c r="O9" s="413" t="s">
        <v>41</v>
      </c>
      <c r="P9" s="413" t="s">
        <v>41</v>
      </c>
      <c r="Q9" s="413" t="s">
        <v>41</v>
      </c>
      <c r="R9" s="413" t="s">
        <v>41</v>
      </c>
      <c r="S9" s="259" t="s">
        <v>62</v>
      </c>
      <c r="T9" s="425" t="s">
        <v>41</v>
      </c>
      <c r="U9" s="413" t="s">
        <v>41</v>
      </c>
      <c r="V9" s="413" t="s">
        <v>41</v>
      </c>
      <c r="W9" s="413" t="s">
        <v>41</v>
      </c>
      <c r="X9" s="59" t="n">
        <v>150400</v>
      </c>
      <c r="Y9" s="59" t="n">
        <v>150400</v>
      </c>
      <c r="Z9" s="259" t="s">
        <v>126</v>
      </c>
      <c r="AA9" s="413" t="s">
        <v>41</v>
      </c>
      <c r="AB9" s="412" t="n">
        <v>72000</v>
      </c>
      <c r="AC9" s="413" t="s">
        <v>41</v>
      </c>
      <c r="AD9" s="413" t="s">
        <v>41</v>
      </c>
      <c r="AE9" s="413" t="s">
        <v>41</v>
      </c>
      <c r="AF9" s="424" t="s">
        <v>41</v>
      </c>
      <c r="AG9" s="425" t="s">
        <v>41</v>
      </c>
      <c r="AH9" s="413" t="s">
        <v>41</v>
      </c>
      <c r="AI9" s="413" t="s">
        <v>41</v>
      </c>
      <c r="AJ9" s="413" t="s">
        <v>41</v>
      </c>
      <c r="AK9" s="413" t="s">
        <v>41</v>
      </c>
      <c r="AL9" s="413" t="s">
        <v>41</v>
      </c>
      <c r="AM9" s="413" t="s">
        <v>41</v>
      </c>
      <c r="AN9" s="451" t="s">
        <v>85</v>
      </c>
      <c r="AO9" s="60" t="s">
        <v>41</v>
      </c>
      <c r="AP9" s="60" t="s">
        <v>41</v>
      </c>
      <c r="AQ9" s="66" t="s">
        <v>87</v>
      </c>
      <c r="AR9" s="61" t="s">
        <v>41</v>
      </c>
      <c r="AS9" s="60" t="s">
        <v>41</v>
      </c>
      <c r="AT9" s="60" t="s">
        <v>41</v>
      </c>
      <c r="AU9" s="60" t="s">
        <v>41</v>
      </c>
      <c r="AV9" s="421"/>
      <c r="AW9" s="412"/>
      <c r="AX9" s="412"/>
      <c r="AY9" s="303"/>
      <c r="AZ9" s="71" t="s">
        <v>88</v>
      </c>
    </row>
    <row r="10" customFormat="false" ht="12.95" hidden="false" customHeight="true" outlineLevel="0" collapsed="false">
      <c r="A10" s="259"/>
      <c r="B10" s="405"/>
      <c r="C10" s="59"/>
      <c r="D10" s="259"/>
      <c r="E10" s="59"/>
      <c r="F10" s="259"/>
      <c r="G10" s="405"/>
      <c r="H10" s="413"/>
      <c r="I10" s="259"/>
      <c r="J10" s="259"/>
      <c r="K10" s="259"/>
      <c r="L10" s="259"/>
      <c r="M10" s="416"/>
      <c r="N10" s="417" t="n">
        <v>1.03</v>
      </c>
      <c r="O10" s="418" t="n">
        <v>1.05</v>
      </c>
      <c r="P10" s="417" t="n">
        <v>1.02</v>
      </c>
      <c r="Q10" s="418" t="n">
        <v>1.02</v>
      </c>
      <c r="R10" s="418" t="n">
        <v>1.04</v>
      </c>
      <c r="S10" s="413" t="s">
        <v>41</v>
      </c>
      <c r="T10" s="419"/>
      <c r="U10" s="259"/>
      <c r="V10" s="259"/>
      <c r="W10" s="259"/>
      <c r="X10" s="413" t="s">
        <v>41</v>
      </c>
      <c r="Y10" s="59" t="s">
        <v>85</v>
      </c>
      <c r="Z10" s="259" t="s">
        <v>85</v>
      </c>
      <c r="AA10" s="59"/>
      <c r="AB10" s="259" t="s">
        <v>85</v>
      </c>
      <c r="AC10" s="59"/>
      <c r="AD10" s="59"/>
      <c r="AE10" s="420"/>
      <c r="AF10" s="274"/>
      <c r="AG10" s="423"/>
      <c r="AH10" s="412"/>
      <c r="AI10" s="59"/>
      <c r="AJ10" s="59"/>
      <c r="AK10" s="259"/>
      <c r="AL10" s="259"/>
      <c r="AM10" s="259"/>
      <c r="AN10" s="451"/>
      <c r="AO10" s="60"/>
      <c r="AP10" s="66"/>
      <c r="AQ10" s="66"/>
      <c r="AR10" s="61"/>
      <c r="AS10" s="84"/>
      <c r="AT10" s="330"/>
      <c r="AU10" s="169"/>
      <c r="AV10" s="421"/>
      <c r="AW10" s="412"/>
      <c r="AX10" s="412"/>
      <c r="AY10" s="303"/>
      <c r="AZ10" s="71" t="s">
        <v>41</v>
      </c>
    </row>
    <row r="11" s="213" customFormat="true" ht="12.95" hidden="false" customHeight="true" outlineLevel="0" collapsed="false">
      <c r="A11" s="176" t="s">
        <v>89</v>
      </c>
      <c r="B11" s="196"/>
      <c r="C11" s="521"/>
      <c r="D11" s="104"/>
      <c r="E11" s="104"/>
      <c r="F11" s="197" t="n">
        <f aca="false">AUG!F49</f>
        <v>3444.92059490799</v>
      </c>
      <c r="G11" s="104" t="n">
        <f aca="false">AUG!G49</f>
        <v>119232</v>
      </c>
      <c r="H11" s="104" t="n">
        <f aca="false">AUG!H49</f>
        <v>4354.76</v>
      </c>
      <c r="I11" s="104" t="n">
        <f aca="false">AUG!I49</f>
        <v>123586.76</v>
      </c>
      <c r="J11" s="104" t="n">
        <f aca="false">AUG!J49</f>
        <v>9932.17382908999</v>
      </c>
      <c r="K11" s="104" t="n">
        <f aca="false">AUG!K49</f>
        <v>133518.93382909</v>
      </c>
      <c r="L11" s="197" t="n">
        <f aca="false">AUG!L49</f>
        <v>7390.76059490799</v>
      </c>
      <c r="M11" s="104" t="n">
        <f aca="false">AUG!M49</f>
        <v>40151.5</v>
      </c>
      <c r="N11" s="104" t="n">
        <f aca="false">AUG!N49</f>
        <v>288.373941</v>
      </c>
      <c r="O11" s="104" t="n">
        <f aca="false">AUG!O49</f>
        <v>12312.4197</v>
      </c>
      <c r="P11" s="104" t="n">
        <f aca="false">AUG!P49</f>
        <v>7.365</v>
      </c>
      <c r="Q11" s="199"/>
      <c r="R11" s="199"/>
      <c r="S11" s="199"/>
      <c r="T11" s="200"/>
      <c r="U11" s="104" t="n">
        <f aca="false">AUG!U49</f>
        <v>18044.3</v>
      </c>
      <c r="V11" s="104" t="n">
        <f aca="false">AUG!V49</f>
        <v>9735</v>
      </c>
      <c r="W11" s="104" t="n">
        <f aca="false">AUG!W49</f>
        <v>53548.396664</v>
      </c>
      <c r="X11" s="104" t="n">
        <f aca="false">AUG!X49</f>
        <v>43824.53162</v>
      </c>
      <c r="Y11" s="105"/>
      <c r="Z11" s="105"/>
      <c r="AA11" s="104" t="n">
        <f aca="false">[1]AUG!AA44</f>
        <v>0</v>
      </c>
      <c r="AB11" s="104" t="n">
        <f aca="false">AUG!AB11</f>
        <v>61575.2275546874</v>
      </c>
      <c r="AC11" s="104" t="n">
        <f aca="false">AUG!AC11</f>
        <v>0</v>
      </c>
      <c r="AD11" s="104" t="n">
        <f aca="false">AUG!AD49</f>
        <v>9244.256902</v>
      </c>
      <c r="AE11" s="201" t="n">
        <f aca="false">AUG!AE49</f>
        <v>25154.8</v>
      </c>
      <c r="AF11" s="104" t="n">
        <f aca="false">AUG!AF49</f>
        <v>260.1</v>
      </c>
      <c r="AG11" s="201" t="n">
        <f aca="false">AUG!AG49</f>
        <v>198.9</v>
      </c>
      <c r="AH11" s="104"/>
      <c r="AI11" s="104"/>
      <c r="AJ11" s="104"/>
      <c r="AK11" s="104" t="n">
        <f aca="false">AUG!AK49</f>
        <v>127532.6</v>
      </c>
      <c r="AL11" s="104" t="n">
        <f aca="false">AUG!AL49</f>
        <v>2541.413234182</v>
      </c>
      <c r="AM11" s="104" t="n">
        <f aca="false">AUG!AM49</f>
        <v>130074.013234182</v>
      </c>
      <c r="AN11" s="203"/>
      <c r="AO11" s="134"/>
      <c r="AP11" s="133"/>
      <c r="AQ11" s="104" t="n">
        <f aca="false">AUG!AQ50</f>
        <v>287.029610244458</v>
      </c>
      <c r="AR11" s="199"/>
      <c r="AS11" s="104" t="n">
        <f aca="false">AUG!AS49</f>
        <v>675.57</v>
      </c>
      <c r="AT11" s="104" t="n">
        <f aca="false">AUG!AT49</f>
        <v>411.411015</v>
      </c>
      <c r="AU11" s="197" t="n">
        <f aca="false">AUG!AU49</f>
        <v>0</v>
      </c>
      <c r="AV11" s="334"/>
      <c r="AW11" s="134"/>
      <c r="AX11" s="134"/>
      <c r="AY11" s="303"/>
      <c r="AZ11" s="337"/>
    </row>
    <row r="12" customFormat="false" ht="12.95" hidden="false" customHeight="true" outlineLevel="0" collapsed="false">
      <c r="A12" s="208" t="s">
        <v>90</v>
      </c>
      <c r="B12" s="103" t="n">
        <f aca="false">AUG!B44</f>
        <v>6901.76</v>
      </c>
      <c r="C12" s="209" t="n">
        <f aca="false">AUG!C44</f>
        <v>290119</v>
      </c>
      <c r="D12" s="104" t="n">
        <f aca="false">AUG!D53</f>
        <v>5318</v>
      </c>
      <c r="E12" s="104" t="n">
        <f aca="false">AUG!E53</f>
        <v>138119</v>
      </c>
      <c r="F12" s="197" t="n">
        <f aca="false">AUG!F52</f>
        <v>2681.11923367785</v>
      </c>
      <c r="G12" s="104" t="n">
        <f aca="false">AUG!G52</f>
        <v>130232</v>
      </c>
      <c r="H12" s="209" t="n">
        <f aca="false">AUG!H52</f>
        <v>4894.89</v>
      </c>
      <c r="I12" s="104" t="n">
        <f aca="false">AUG!I52</f>
        <v>135126.89</v>
      </c>
      <c r="J12" s="209" t="n">
        <f aca="false">AUG!J52</f>
        <v>13238.3077136375</v>
      </c>
      <c r="K12" s="104" t="n">
        <f aca="false">AUG!K52</f>
        <v>148365.197713638</v>
      </c>
      <c r="L12" s="522" t="n">
        <f aca="false">AUG!L52</f>
        <v>9762.72923367785</v>
      </c>
      <c r="M12" s="104" t="n">
        <f aca="false">AUG!M52</f>
        <v>70940.45925</v>
      </c>
      <c r="N12" s="209" t="n">
        <f aca="false">AUG!N52</f>
        <v>288.373941</v>
      </c>
      <c r="O12" s="104" t="n">
        <f aca="false">AUG!O52</f>
        <v>12312.4197</v>
      </c>
      <c r="P12" s="523"/>
      <c r="Q12" s="104" t="n">
        <f aca="false">AUG!Q52</f>
        <v>639.5553</v>
      </c>
      <c r="R12" s="104" t="n">
        <f aca="false">AUG!R52</f>
        <v>983.05</v>
      </c>
      <c r="S12" s="104" t="n">
        <f aca="false">AUG!S52</f>
        <v>401.69</v>
      </c>
      <c r="T12" s="201" t="n">
        <f aca="false">AUG!T52</f>
        <v>-71.5154</v>
      </c>
      <c r="U12" s="104" t="n">
        <f aca="false">AUG!U52</f>
        <v>25474.3</v>
      </c>
      <c r="V12" s="104" t="n">
        <f aca="false">AUG!V52</f>
        <v>9811.3</v>
      </c>
      <c r="W12" s="104" t="n">
        <f aca="false">AUG!W52</f>
        <v>61379.150444</v>
      </c>
      <c r="X12" s="104" t="n">
        <f aca="false">AUG!X52</f>
        <v>51202.0166</v>
      </c>
      <c r="Y12" s="104" t="n">
        <f aca="false">AUG!Y44</f>
        <v>101559.1999261</v>
      </c>
      <c r="Z12" s="104" t="n">
        <f aca="false">AUG!Z44</f>
        <v>88913.1895398046</v>
      </c>
      <c r="AA12" s="104"/>
      <c r="AB12" s="104"/>
      <c r="AC12" s="104"/>
      <c r="AD12" s="104"/>
      <c r="AE12" s="250"/>
      <c r="AF12" s="91"/>
      <c r="AG12" s="361"/>
      <c r="AH12" s="104" t="n">
        <f aca="false">AUG!AH52</f>
        <v>40698</v>
      </c>
      <c r="AI12" s="104" t="n">
        <f aca="false">AUG!AI52</f>
        <v>7377.25787748929</v>
      </c>
      <c r="AJ12" s="104" t="n">
        <f aca="false">AUG!AJ52</f>
        <v>25793</v>
      </c>
      <c r="AK12" s="104" t="n">
        <f aca="false">AUG!AK52</f>
        <v>142208.5</v>
      </c>
      <c r="AL12" s="104" t="n">
        <f aca="false">AUG!AL52</f>
        <v>3475.57847995967</v>
      </c>
      <c r="AM12" s="104" t="n">
        <f aca="false">AUG!AM52</f>
        <v>145684.07847996</v>
      </c>
      <c r="AN12" s="203" t="n">
        <f aca="false">AUG!AN53</f>
        <v>14794.787655</v>
      </c>
      <c r="AO12" s="104" t="n">
        <f aca="false">AUG!AO52</f>
        <v>1260.402145</v>
      </c>
      <c r="AP12" s="133"/>
      <c r="AQ12" s="199"/>
      <c r="AR12" s="199"/>
      <c r="AS12" s="134"/>
      <c r="AT12" s="134"/>
      <c r="AU12" s="524"/>
      <c r="AV12" s="340" t="n">
        <f aca="false">AUG!AV52</f>
        <v>7.16</v>
      </c>
      <c r="AW12" s="134"/>
      <c r="AX12" s="134"/>
      <c r="AY12" s="306"/>
      <c r="AZ12" s="341" t="n">
        <f aca="false">AUG!AZ52</f>
        <v>2252.718841</v>
      </c>
    </row>
    <row r="13" customFormat="false" ht="3" hidden="false" customHeight="true" outlineLevel="0" collapsed="false">
      <c r="A13" s="214"/>
      <c r="B13" s="215"/>
      <c r="C13" s="216"/>
      <c r="D13" s="217"/>
      <c r="E13" s="216"/>
      <c r="F13" s="218"/>
      <c r="G13" s="217"/>
      <c r="H13" s="219"/>
      <c r="I13" s="217"/>
      <c r="J13" s="217"/>
      <c r="K13" s="217"/>
      <c r="L13" s="217"/>
      <c r="M13" s="220"/>
      <c r="N13" s="217"/>
      <c r="O13" s="217"/>
      <c r="P13" s="221"/>
      <c r="Q13" s="221"/>
      <c r="R13" s="221"/>
      <c r="S13" s="221"/>
      <c r="T13" s="222"/>
      <c r="U13" s="217"/>
      <c r="V13" s="217"/>
      <c r="W13" s="217"/>
      <c r="X13" s="217"/>
      <c r="Y13" s="217"/>
      <c r="Z13" s="217"/>
      <c r="AA13" s="216"/>
      <c r="AB13" s="216"/>
      <c r="AC13" s="216"/>
      <c r="AD13" s="216"/>
      <c r="AE13" s="217"/>
      <c r="AF13" s="119"/>
      <c r="AG13" s="120"/>
      <c r="AH13" s="217"/>
      <c r="AI13" s="216"/>
      <c r="AJ13" s="216"/>
      <c r="AK13" s="217"/>
      <c r="AL13" s="217"/>
      <c r="AM13" s="217"/>
      <c r="AN13" s="226"/>
      <c r="AO13" s="223"/>
      <c r="AP13" s="224"/>
      <c r="AQ13" s="221" t="s">
        <v>131</v>
      </c>
      <c r="AR13" s="221"/>
      <c r="AS13" s="221" t="s">
        <v>131</v>
      </c>
      <c r="AT13" s="221" t="s">
        <v>131</v>
      </c>
      <c r="AU13" s="525" t="s">
        <v>131</v>
      </c>
      <c r="AV13" s="246"/>
      <c r="AW13" s="223" t="n">
        <v>0</v>
      </c>
      <c r="AX13" s="223"/>
      <c r="AY13" s="240"/>
      <c r="AZ13" s="323"/>
    </row>
    <row r="14" customFormat="false" ht="12.95" hidden="false" customHeight="true" outlineLevel="0" collapsed="false">
      <c r="A14" s="171" t="n">
        <v>1</v>
      </c>
      <c r="B14" s="103" t="n">
        <v>6901.35</v>
      </c>
      <c r="C14" s="104" t="n">
        <v>288588</v>
      </c>
      <c r="D14" s="134" t="n">
        <f aca="false">C14-C12</f>
        <v>-1531</v>
      </c>
      <c r="E14" s="104" t="n">
        <f aca="false">C14-152000</f>
        <v>136588</v>
      </c>
      <c r="F14" s="229" t="n">
        <f aca="false">D14/$D$2</f>
        <v>-771.867910259642</v>
      </c>
      <c r="G14" s="132" t="n">
        <v>67</v>
      </c>
      <c r="H14" s="230" t="n">
        <v>0</v>
      </c>
      <c r="I14" s="132" t="n">
        <f aca="false">G14+H14</f>
        <v>67</v>
      </c>
      <c r="J14" s="133" t="n">
        <f aca="false">IF(L14&gt;0,L14,0)</f>
        <v>0</v>
      </c>
      <c r="K14" s="132" t="n">
        <f aca="false">I14+J14</f>
        <v>67</v>
      </c>
      <c r="L14" s="132" t="n">
        <f aca="false">F14-(I14-AK14)</f>
        <v>-4.86791025964203</v>
      </c>
      <c r="M14" s="231" t="n">
        <v>280</v>
      </c>
      <c r="N14" s="526" t="n">
        <f aca="false">1.8299*1.03</f>
        <v>1.884797</v>
      </c>
      <c r="O14" s="132" t="n">
        <f aca="false">(44+43)*1.05</f>
        <v>91.35</v>
      </c>
      <c r="P14" s="199" t="n">
        <v>0</v>
      </c>
      <c r="Q14" s="167" t="n">
        <f aca="false">2.38*1.02</f>
        <v>2.4276</v>
      </c>
      <c r="R14" s="312" t="n">
        <v>4.2</v>
      </c>
      <c r="S14" s="312" t="n">
        <v>2.44</v>
      </c>
      <c r="T14" s="356" t="n">
        <v>0</v>
      </c>
      <c r="U14" s="132" t="n">
        <v>148</v>
      </c>
      <c r="V14" s="132" t="n">
        <v>84</v>
      </c>
      <c r="W14" s="132" t="n">
        <f aca="false">M14-N14-O14-P14-Q14-R14-S14-T14+U14+V14</f>
        <v>409.697603</v>
      </c>
      <c r="X14" s="132" t="n">
        <f aca="false">W14-AO14-AD14</f>
        <v>58.6724</v>
      </c>
      <c r="Y14" s="104" t="n">
        <f aca="false">Y12+(X14*1.9835)</f>
        <v>101675.5766315</v>
      </c>
      <c r="Z14" s="104" t="n">
        <f aca="false">Z12+X14*(26300/37500)*1.9835+(AD14*1.9835)</f>
        <v>89691.0668926756</v>
      </c>
      <c r="AA14" s="104"/>
      <c r="AB14" s="104"/>
      <c r="AC14" s="104"/>
      <c r="AD14" s="134" t="n">
        <f aca="false">W14-(I14-Q14-R14-AF14)</f>
        <v>351.025203</v>
      </c>
      <c r="AE14" s="132" t="n">
        <v>258</v>
      </c>
      <c r="AF14" s="135" t="n">
        <v>1.7</v>
      </c>
      <c r="AG14" s="136" t="n">
        <v>1.3</v>
      </c>
      <c r="AH14" s="132" t="n">
        <v>64</v>
      </c>
      <c r="AI14" s="104" t="n">
        <f aca="false">AI12-AH14</f>
        <v>7313.25787748929</v>
      </c>
      <c r="AJ14" s="104"/>
      <c r="AK14" s="131" t="n">
        <f aca="false">N14+O14+P14+Q14+R14+S14+T14+W14+AE14+AH14</f>
        <v>834</v>
      </c>
      <c r="AL14" s="132" t="n">
        <f aca="false">IF(L14&lt;0,L14*-1,0)</f>
        <v>4.86791025964203</v>
      </c>
      <c r="AM14" s="132" t="n">
        <f aca="false">AK14+AL14</f>
        <v>838.867910259642</v>
      </c>
      <c r="AN14" s="203" t="n">
        <f aca="false">AN12</f>
        <v>14794.787655</v>
      </c>
      <c r="AO14" s="134"/>
      <c r="AP14" s="133"/>
      <c r="AQ14" s="199" t="n">
        <v>0</v>
      </c>
      <c r="AR14" s="199"/>
      <c r="AS14" s="104"/>
      <c r="AU14" s="527" t="n">
        <v>75.92</v>
      </c>
      <c r="AV14" s="334" t="n">
        <v>0</v>
      </c>
      <c r="AW14" s="134" t="n">
        <v>83</v>
      </c>
      <c r="AX14" s="134" t="n">
        <v>58</v>
      </c>
      <c r="AY14" s="303"/>
      <c r="AZ14" s="233" t="n">
        <f aca="false">SUM(N14,P14:T14)</f>
        <v>10.952397</v>
      </c>
    </row>
    <row r="15" customFormat="false" ht="12.95" hidden="false" customHeight="true" outlineLevel="0" collapsed="false">
      <c r="A15" s="171" t="n">
        <v>2</v>
      </c>
      <c r="B15" s="103" t="n">
        <v>6900.92</v>
      </c>
      <c r="C15" s="104" t="n">
        <v>286986</v>
      </c>
      <c r="D15" s="134" t="n">
        <f aca="false">C15-C14</f>
        <v>-1602</v>
      </c>
      <c r="E15" s="104" t="n">
        <f aca="false">C15-152000</f>
        <v>134986</v>
      </c>
      <c r="F15" s="229" t="n">
        <f aca="false">D15/$D$2</f>
        <v>-807.663221578019</v>
      </c>
      <c r="G15" s="132" t="n">
        <v>66</v>
      </c>
      <c r="H15" s="230" t="n">
        <v>0</v>
      </c>
      <c r="I15" s="132" t="n">
        <f aca="false">G15+H15</f>
        <v>66</v>
      </c>
      <c r="J15" s="133" t="n">
        <f aca="false">IF(L15&gt;0,L15,0)</f>
        <v>0</v>
      </c>
      <c r="K15" s="132" t="n">
        <f aca="false">I15+J15</f>
        <v>66</v>
      </c>
      <c r="L15" s="132" t="n">
        <f aca="false">F15-(I15-AK15)</f>
        <v>-25.6632215780187</v>
      </c>
      <c r="M15" s="231" t="n">
        <v>290</v>
      </c>
      <c r="N15" s="199" t="n">
        <f aca="false">1.8299*1.03</f>
        <v>1.884797</v>
      </c>
      <c r="O15" s="132" t="n">
        <f aca="false">(45+46)*1.05</f>
        <v>95.55</v>
      </c>
      <c r="P15" s="199" t="n">
        <v>0</v>
      </c>
      <c r="Q15" s="167" t="n">
        <f aca="false">2.38*1.02</f>
        <v>2.4276</v>
      </c>
      <c r="R15" s="312" t="n">
        <v>4.2</v>
      </c>
      <c r="S15" s="312" t="n">
        <v>3.21</v>
      </c>
      <c r="T15" s="356" t="n">
        <v>0</v>
      </c>
      <c r="U15" s="132" t="n">
        <v>147</v>
      </c>
      <c r="V15" s="132" t="n">
        <v>84</v>
      </c>
      <c r="W15" s="132" t="n">
        <f aca="false">M15-N15-O15-P15-Q15-R15-S15-T15+U15+V15</f>
        <v>413.727603</v>
      </c>
      <c r="X15" s="132" t="n">
        <f aca="false">W15-AO15-AD15</f>
        <v>57.6724</v>
      </c>
      <c r="Y15" s="104" t="n">
        <f aca="false">Y14+(X15*1.9835)</f>
        <v>101789.9698369</v>
      </c>
      <c r="Z15" s="104" t="n">
        <f aca="false">Z14+X15*(26300/37500)*1.9835+(AD15*1.9835)</f>
        <v>90477.53015588</v>
      </c>
      <c r="AA15" s="104"/>
      <c r="AB15" s="104"/>
      <c r="AC15" s="104"/>
      <c r="AD15" s="134" t="n">
        <f aca="false">W15-(I15-Q15-R15-AF15)</f>
        <v>356.055203</v>
      </c>
      <c r="AE15" s="132" t="n">
        <v>263</v>
      </c>
      <c r="AF15" s="135" t="n">
        <v>1.7</v>
      </c>
      <c r="AG15" s="136" t="n">
        <v>1.3</v>
      </c>
      <c r="AH15" s="132" t="n">
        <v>64</v>
      </c>
      <c r="AI15" s="104" t="n">
        <f aca="false">AI14-AH15</f>
        <v>7249.25787748929</v>
      </c>
      <c r="AJ15" s="104"/>
      <c r="AK15" s="131" t="n">
        <f aca="false">N15+O15+P15+Q15+R15+S15+T15+W15+AE15+AH15</f>
        <v>848</v>
      </c>
      <c r="AL15" s="132" t="n">
        <f aca="false">IF(L15&lt;0,L15*-1,0)</f>
        <v>25.6632215780187</v>
      </c>
      <c r="AM15" s="132" t="n">
        <f aca="false">AK15+AL15</f>
        <v>873.663221578019</v>
      </c>
      <c r="AN15" s="203" t="n">
        <f aca="false">AN14</f>
        <v>14794.787655</v>
      </c>
      <c r="AO15" s="134"/>
      <c r="AP15" s="133"/>
      <c r="AQ15" s="199" t="n">
        <v>0</v>
      </c>
      <c r="AR15" s="199"/>
      <c r="AS15" s="104"/>
      <c r="AU15" s="166" t="n">
        <f aca="false">O15</f>
        <v>95.55</v>
      </c>
      <c r="AV15" s="205" t="n">
        <v>0</v>
      </c>
      <c r="AW15" s="134" t="n">
        <v>84</v>
      </c>
      <c r="AX15" s="134" t="n">
        <v>55</v>
      </c>
      <c r="AY15" s="303"/>
      <c r="AZ15" s="233" t="n">
        <f aca="false">SUM(N15,P15:T15)</f>
        <v>11.722397</v>
      </c>
    </row>
    <row r="16" customFormat="false" ht="12.95" hidden="false" customHeight="true" outlineLevel="0" collapsed="false">
      <c r="A16" s="171" t="n">
        <v>3</v>
      </c>
      <c r="B16" s="103" t="n">
        <v>6900.57</v>
      </c>
      <c r="C16" s="104" t="n">
        <v>285690</v>
      </c>
      <c r="D16" s="134" t="n">
        <f aca="false">C16-C15</f>
        <v>-1296</v>
      </c>
      <c r="E16" s="104" t="n">
        <f aca="false">C16-152000</f>
        <v>133690</v>
      </c>
      <c r="F16" s="229" t="n">
        <f aca="false">D16/$D$2</f>
        <v>-653.390471388959</v>
      </c>
      <c r="G16" s="132" t="n">
        <v>73</v>
      </c>
      <c r="H16" s="230" t="n">
        <v>0</v>
      </c>
      <c r="I16" s="132" t="n">
        <f aca="false">G16+H16</f>
        <v>73</v>
      </c>
      <c r="J16" s="133" t="n">
        <f aca="false">IF(L16&gt;0,L16,0)</f>
        <v>72.6095286110411</v>
      </c>
      <c r="K16" s="132" t="n">
        <f aca="false">I16+J16</f>
        <v>145.609528611041</v>
      </c>
      <c r="L16" s="132" t="n">
        <f aca="false">F16-(I16-AK16)</f>
        <v>72.6095286110411</v>
      </c>
      <c r="M16" s="231" t="n">
        <v>254</v>
      </c>
      <c r="N16" s="199" t="n">
        <f aca="false">1.8299*1.03</f>
        <v>1.884797</v>
      </c>
      <c r="O16" s="132" t="n">
        <f aca="false">(41+41)*1.05</f>
        <v>86.1</v>
      </c>
      <c r="P16" s="199" t="n">
        <v>0</v>
      </c>
      <c r="Q16" s="167" t="n">
        <f aca="false">2.38*1.02</f>
        <v>2.4276</v>
      </c>
      <c r="R16" s="312" t="n">
        <v>4.2</v>
      </c>
      <c r="S16" s="312" t="n">
        <v>2.33</v>
      </c>
      <c r="T16" s="356" t="n">
        <v>0</v>
      </c>
      <c r="U16" s="132" t="n">
        <v>146</v>
      </c>
      <c r="V16" s="132" t="n">
        <v>84</v>
      </c>
      <c r="W16" s="132" t="n">
        <f aca="false">M16-N16-O16-P16-Q16-R16-S16-T16+U16+V16</f>
        <v>387.057603</v>
      </c>
      <c r="X16" s="132" t="n">
        <f aca="false">W16-AO16-AD16</f>
        <v>64.6724</v>
      </c>
      <c r="Y16" s="104" t="n">
        <f aca="false">Y15+(X16*1.9835)</f>
        <v>101918.2475423</v>
      </c>
      <c r="Z16" s="104" t="n">
        <f aca="false">Z15+X16*(26300/37500)*1.9835+(AD16*1.9835)</f>
        <v>91206.946636751</v>
      </c>
      <c r="AA16" s="104"/>
      <c r="AB16" s="104"/>
      <c r="AC16" s="104"/>
      <c r="AD16" s="134" t="n">
        <f aca="false">W16-(I16-Q16-R16-AF16)</f>
        <v>322.385203</v>
      </c>
      <c r="AE16" s="132" t="n">
        <v>252</v>
      </c>
      <c r="AF16" s="135" t="n">
        <v>1.7</v>
      </c>
      <c r="AG16" s="136" t="n">
        <v>1.3</v>
      </c>
      <c r="AH16" s="132" t="n">
        <v>63</v>
      </c>
      <c r="AI16" s="104" t="n">
        <f aca="false">AI15-AH16</f>
        <v>7186.25787748929</v>
      </c>
      <c r="AJ16" s="104"/>
      <c r="AK16" s="131" t="n">
        <f aca="false">N16+O16+P16+Q16+R16+S16+T16+W16+AE16+AH16</f>
        <v>799</v>
      </c>
      <c r="AL16" s="132" t="n">
        <f aca="false">IF(L16&lt;0,L16*-1,0)</f>
        <v>0</v>
      </c>
      <c r="AM16" s="132" t="n">
        <f aca="false">AK16+AL16</f>
        <v>799</v>
      </c>
      <c r="AN16" s="203" t="n">
        <f aca="false">AN15</f>
        <v>14794.787655</v>
      </c>
      <c r="AO16" s="134"/>
      <c r="AP16" s="133"/>
      <c r="AQ16" s="199" t="n">
        <v>0</v>
      </c>
      <c r="AR16" s="199"/>
      <c r="AS16" s="104"/>
      <c r="AU16" s="166" t="n">
        <f aca="false">O16</f>
        <v>86.1</v>
      </c>
      <c r="AV16" s="205" t="n">
        <v>0.19</v>
      </c>
      <c r="AW16" s="134" t="n">
        <v>82</v>
      </c>
      <c r="AX16" s="134" t="n">
        <v>53</v>
      </c>
      <c r="AY16" s="303"/>
      <c r="AZ16" s="233" t="n">
        <f aca="false">SUM(N16,P16:T16)</f>
        <v>10.842397</v>
      </c>
    </row>
    <row r="17" customFormat="false" ht="12.95" hidden="false" customHeight="true" outlineLevel="0" collapsed="false">
      <c r="A17" s="171" t="n">
        <v>4</v>
      </c>
      <c r="B17" s="103" t="n">
        <v>6900.24</v>
      </c>
      <c r="C17" s="104" t="n">
        <v>284468</v>
      </c>
      <c r="D17" s="134" t="n">
        <f aca="false">C17-C16</f>
        <v>-1222</v>
      </c>
      <c r="E17" s="104" t="n">
        <f aca="false">C17-152000</f>
        <v>132468</v>
      </c>
      <c r="F17" s="229" t="n">
        <f aca="false">D17/$D$2</f>
        <v>-616.082682127552</v>
      </c>
      <c r="G17" s="132" t="n">
        <v>105</v>
      </c>
      <c r="H17" s="230" t="n">
        <v>0</v>
      </c>
      <c r="I17" s="132" t="n">
        <f aca="false">G17+H17</f>
        <v>105</v>
      </c>
      <c r="J17" s="133" t="n">
        <f aca="false">IF(L17&gt;0,L17,0)</f>
        <v>52.9173178724477</v>
      </c>
      <c r="K17" s="132" t="n">
        <f aca="false">I17+J17</f>
        <v>157.917317872448</v>
      </c>
      <c r="L17" s="132" t="n">
        <f aca="false">F17-(I17-AK17)</f>
        <v>52.9173178724477</v>
      </c>
      <c r="M17" s="231" t="n">
        <v>239</v>
      </c>
      <c r="N17" s="199" t="n">
        <f aca="false">1.8299*1.03</f>
        <v>1.884797</v>
      </c>
      <c r="O17" s="132" t="n">
        <f aca="false">(31+29)*1.05</f>
        <v>63</v>
      </c>
      <c r="P17" s="199" t="n">
        <v>0</v>
      </c>
      <c r="Q17" s="167" t="n">
        <f aca="false">2.38*1.02</f>
        <v>2.4276</v>
      </c>
      <c r="R17" s="312" t="n">
        <v>4.2</v>
      </c>
      <c r="S17" s="312" t="n">
        <v>1.79</v>
      </c>
      <c r="T17" s="356" t="n">
        <v>0</v>
      </c>
      <c r="U17" s="132" t="n">
        <v>142</v>
      </c>
      <c r="V17" s="132" t="n">
        <v>82</v>
      </c>
      <c r="W17" s="132" t="n">
        <f aca="false">M17-N17-O17-P17-Q17-R17-S17-T17+U17+V17</f>
        <v>389.697603</v>
      </c>
      <c r="X17" s="132" t="n">
        <f aca="false">W17-AO17-AD17</f>
        <v>96.6724</v>
      </c>
      <c r="Y17" s="104" t="n">
        <f aca="false">Y16+(X17*1.9835)</f>
        <v>102109.9972477</v>
      </c>
      <c r="Z17" s="104" t="n">
        <f aca="false">Z16+X17*(26300/37500)*1.9835+(AD17*1.9835)</f>
        <v>91922.6425869554</v>
      </c>
      <c r="AA17" s="104"/>
      <c r="AB17" s="104"/>
      <c r="AC17" s="104"/>
      <c r="AD17" s="134" t="n">
        <f aca="false">W17-(I17-Q17-R17-AF17)</f>
        <v>293.025203</v>
      </c>
      <c r="AE17" s="132" t="n">
        <v>248</v>
      </c>
      <c r="AF17" s="135" t="n">
        <v>1.7</v>
      </c>
      <c r="AG17" s="136" t="n">
        <v>1.3</v>
      </c>
      <c r="AH17" s="132" t="n">
        <v>63</v>
      </c>
      <c r="AI17" s="104" t="n">
        <f aca="false">AI16-AH17</f>
        <v>7123.25787748929</v>
      </c>
      <c r="AJ17" s="104"/>
      <c r="AK17" s="131" t="n">
        <f aca="false">N17+O17+P17+Q17+R17+S17+T17+W17+AE17+AH17</f>
        <v>774</v>
      </c>
      <c r="AL17" s="132" t="n">
        <f aca="false">IF(L17&lt;0,L17*-1,0)</f>
        <v>0</v>
      </c>
      <c r="AM17" s="132" t="n">
        <f aca="false">AK17+AL17</f>
        <v>774</v>
      </c>
      <c r="AN17" s="203" t="n">
        <f aca="false">AN16</f>
        <v>14794.787655</v>
      </c>
      <c r="AO17" s="134"/>
      <c r="AP17" s="133"/>
      <c r="AQ17" s="199" t="n">
        <v>0</v>
      </c>
      <c r="AR17" s="199"/>
      <c r="AS17" s="104"/>
      <c r="AU17" s="166" t="n">
        <f aca="false">O17</f>
        <v>63</v>
      </c>
      <c r="AV17" s="205" t="n">
        <v>0</v>
      </c>
      <c r="AW17" s="134" t="n">
        <v>81</v>
      </c>
      <c r="AX17" s="134" t="n">
        <v>52</v>
      </c>
      <c r="AY17" s="303"/>
      <c r="AZ17" s="233" t="n">
        <f aca="false">SUM(N17,P17:T17)</f>
        <v>10.302397</v>
      </c>
    </row>
    <row r="18" customFormat="false" ht="12.95" hidden="false" customHeight="true" outlineLevel="0" collapsed="false">
      <c r="A18" s="171" t="n">
        <v>5</v>
      </c>
      <c r="B18" s="103" t="n">
        <v>6899.87</v>
      </c>
      <c r="C18" s="104" t="n">
        <v>283102</v>
      </c>
      <c r="D18" s="134" t="n">
        <f aca="false">C18-C17</f>
        <v>-1366</v>
      </c>
      <c r="E18" s="104" t="n">
        <f aca="false">C18-152000</f>
        <v>131102</v>
      </c>
      <c r="F18" s="229" t="n">
        <f aca="false">D18/$D$2</f>
        <v>-688.681623392992</v>
      </c>
      <c r="G18" s="132" t="n">
        <v>116</v>
      </c>
      <c r="H18" s="230" t="n">
        <v>0</v>
      </c>
      <c r="I18" s="132" t="n">
        <f aca="false">G18+H18</f>
        <v>116</v>
      </c>
      <c r="J18" s="133" t="n">
        <f aca="false">IF(L18&gt;0,L18,0)</f>
        <v>0</v>
      </c>
      <c r="K18" s="132" t="n">
        <f aca="false">I18+J18</f>
        <v>116</v>
      </c>
      <c r="L18" s="132" t="n">
        <f aca="false">F18-(I18-AK18)</f>
        <v>-36.6816233929921</v>
      </c>
      <c r="M18" s="231" t="n">
        <v>236</v>
      </c>
      <c r="N18" s="199" t="n">
        <f aca="false">1.8299*1.03</f>
        <v>1.884797</v>
      </c>
      <c r="O18" s="132" t="n">
        <f aca="false">(27+28)*1.05</f>
        <v>57.75</v>
      </c>
      <c r="P18" s="199" t="n">
        <v>0</v>
      </c>
      <c r="Q18" s="167" t="n">
        <f aca="false">2.38*1.02</f>
        <v>2.4276</v>
      </c>
      <c r="R18" s="312" t="n">
        <v>4.2</v>
      </c>
      <c r="S18" s="312" t="n">
        <v>1.98</v>
      </c>
      <c r="T18" s="356" t="n">
        <v>0</v>
      </c>
      <c r="U18" s="132" t="n">
        <v>141</v>
      </c>
      <c r="V18" s="132" t="n">
        <v>82</v>
      </c>
      <c r="W18" s="132" t="n">
        <f aca="false">M18-N18-O18-P18-Q18-R18-S18-T18+U18+V18</f>
        <v>390.757603</v>
      </c>
      <c r="X18" s="132" t="n">
        <f aca="false">W18-AO18-AD18</f>
        <v>107.6724</v>
      </c>
      <c r="Y18" s="104" t="n">
        <f aca="false">Y17+(X18*1.9835)</f>
        <v>102323.5654531</v>
      </c>
      <c r="Z18" s="104" t="n">
        <f aca="false">Z17+X18*(26300/37500)*1.9835+(AD18*1.9835)</f>
        <v>92633.9245884931</v>
      </c>
      <c r="AA18" s="104"/>
      <c r="AB18" s="104"/>
      <c r="AC18" s="104"/>
      <c r="AD18" s="134" t="n">
        <f aca="false">W18-(I18-Q18-R18-AF18)</f>
        <v>283.085203</v>
      </c>
      <c r="AE18" s="132" t="n">
        <v>246</v>
      </c>
      <c r="AF18" s="135" t="n">
        <v>1.7</v>
      </c>
      <c r="AG18" s="136" t="n">
        <v>1.3</v>
      </c>
      <c r="AH18" s="132" t="n">
        <v>63</v>
      </c>
      <c r="AI18" s="104" t="n">
        <f aca="false">AI17-AH18</f>
        <v>7060.25787748929</v>
      </c>
      <c r="AJ18" s="104"/>
      <c r="AK18" s="131" t="n">
        <f aca="false">N18+O18+P18+Q18+R18+S18+T18+W18+AE18+AH18</f>
        <v>768</v>
      </c>
      <c r="AL18" s="132" t="n">
        <f aca="false">IF(L18&lt;0,L18*-1,0)</f>
        <v>36.6816233929921</v>
      </c>
      <c r="AM18" s="132" t="n">
        <f aca="false">AK18+AL18</f>
        <v>804.681623392992</v>
      </c>
      <c r="AN18" s="203" t="n">
        <f aca="false">AN17</f>
        <v>14794.787655</v>
      </c>
      <c r="AO18" s="134"/>
      <c r="AP18" s="133"/>
      <c r="AQ18" s="199" t="n">
        <v>0</v>
      </c>
      <c r="AR18" s="199"/>
      <c r="AS18" s="104"/>
      <c r="AU18" s="166" t="n">
        <f aca="false">O18</f>
        <v>57.75</v>
      </c>
      <c r="AV18" s="205" t="n">
        <v>0.01</v>
      </c>
      <c r="AW18" s="134" t="n">
        <v>79</v>
      </c>
      <c r="AX18" s="134" t="n">
        <v>52</v>
      </c>
      <c r="AY18" s="303"/>
      <c r="AZ18" s="233" t="n">
        <f aca="false">SUM(N18,P18:T18)</f>
        <v>10.492397</v>
      </c>
    </row>
    <row r="19" customFormat="false" ht="12.95" hidden="false" customHeight="true" outlineLevel="0" collapsed="false">
      <c r="A19" s="171" t="n">
        <v>6</v>
      </c>
      <c r="B19" s="103" t="n">
        <v>6899.55</v>
      </c>
      <c r="C19" s="104" t="n">
        <v>281927</v>
      </c>
      <c r="D19" s="134" t="n">
        <f aca="false">C19-C18</f>
        <v>-1175</v>
      </c>
      <c r="E19" s="104" t="n">
        <f aca="false">C19-152000</f>
        <v>129927</v>
      </c>
      <c r="F19" s="229" t="n">
        <f aca="false">D19/$D$2</f>
        <v>-592.387194353416</v>
      </c>
      <c r="G19" s="132" t="n">
        <v>150</v>
      </c>
      <c r="H19" s="230" t="n">
        <v>0</v>
      </c>
      <c r="I19" s="132" t="n">
        <f aca="false">G19+H19</f>
        <v>150</v>
      </c>
      <c r="J19" s="133" t="n">
        <f aca="false">IF(L19&gt;0,L19,0)</f>
        <v>0</v>
      </c>
      <c r="K19" s="132" t="n">
        <f aca="false">I19+J19</f>
        <v>150</v>
      </c>
      <c r="L19" s="132" t="n">
        <f aca="false">F19-(I19-AK19)</f>
        <v>-24.3871943534157</v>
      </c>
      <c r="M19" s="231" t="n">
        <v>234</v>
      </c>
      <c r="N19" s="199" t="n">
        <f aca="false">1.8299*1.03</f>
        <v>1.884797</v>
      </c>
      <c r="O19" s="132" t="n">
        <f aca="false">(28+29)*1.05</f>
        <v>59.85</v>
      </c>
      <c r="P19" s="199" t="n">
        <v>0</v>
      </c>
      <c r="Q19" s="167" t="n">
        <f aca="false">2.38*1.02</f>
        <v>2.4276</v>
      </c>
      <c r="R19" s="312" t="n">
        <v>4.2</v>
      </c>
      <c r="S19" s="312" t="n">
        <v>2.37</v>
      </c>
      <c r="T19" s="356" t="n">
        <v>0</v>
      </c>
      <c r="U19" s="132" t="n">
        <v>141</v>
      </c>
      <c r="V19" s="132" t="n">
        <v>83</v>
      </c>
      <c r="W19" s="132" t="n">
        <f aca="false">M19-N19-O19-P19-Q19-R19-S19-T19+U19+V19</f>
        <v>387.267603</v>
      </c>
      <c r="X19" s="132" t="n">
        <f aca="false">W19-AO19-AD19</f>
        <v>141.6724</v>
      </c>
      <c r="Y19" s="104" t="n">
        <f aca="false">Y18+(X19*1.9835)</f>
        <v>102604.5726585</v>
      </c>
      <c r="Z19" s="104" t="n">
        <f aca="false">Z18+X19*(26300/37500)*1.9835+(AD19*1.9835)</f>
        <v>93318.1423936975</v>
      </c>
      <c r="AA19" s="104"/>
      <c r="AB19" s="104"/>
      <c r="AC19" s="104"/>
      <c r="AD19" s="134" t="n">
        <f aca="false">W19-(I19-Q19-R19-AF19)</f>
        <v>245.595203</v>
      </c>
      <c r="AE19" s="132" t="n">
        <v>198</v>
      </c>
      <c r="AF19" s="135" t="n">
        <v>1.7</v>
      </c>
      <c r="AG19" s="136" t="n">
        <v>1.3</v>
      </c>
      <c r="AH19" s="132" t="n">
        <v>62</v>
      </c>
      <c r="AI19" s="104" t="n">
        <f aca="false">AI18-AH19</f>
        <v>6998.25787748929</v>
      </c>
      <c r="AJ19" s="104"/>
      <c r="AK19" s="131" t="n">
        <f aca="false">N19+O19+P19+Q19+R19+S19+T19+W19+AE19+AH19</f>
        <v>718</v>
      </c>
      <c r="AL19" s="132" t="n">
        <f aca="false">IF(L19&lt;0,L19*-1,0)</f>
        <v>24.3871943534157</v>
      </c>
      <c r="AM19" s="132" t="n">
        <f aca="false">AK19+AL19</f>
        <v>742.387194353416</v>
      </c>
      <c r="AN19" s="203" t="n">
        <f aca="false">AN18</f>
        <v>14794.787655</v>
      </c>
      <c r="AO19" s="134"/>
      <c r="AP19" s="133"/>
      <c r="AQ19" s="199" t="n">
        <v>0</v>
      </c>
      <c r="AR19" s="199"/>
      <c r="AS19" s="104"/>
      <c r="AU19" s="166" t="n">
        <f aca="false">O19</f>
        <v>59.85</v>
      </c>
      <c r="AV19" s="205" t="n">
        <v>0</v>
      </c>
      <c r="AW19" s="134" t="n">
        <v>77</v>
      </c>
      <c r="AX19" s="134" t="n">
        <v>53</v>
      </c>
      <c r="AY19" s="303"/>
      <c r="AZ19" s="233" t="n">
        <f aca="false">SUM(N19,P19:T19)</f>
        <v>10.882397</v>
      </c>
    </row>
    <row r="20" customFormat="false" ht="12.95" hidden="false" customHeight="true" outlineLevel="0" collapsed="false">
      <c r="A20" s="171" t="n">
        <v>7</v>
      </c>
      <c r="B20" s="103" t="n">
        <v>6899.23</v>
      </c>
      <c r="C20" s="104" t="n">
        <v>280751</v>
      </c>
      <c r="D20" s="134" t="n">
        <f aca="false">C20-C19</f>
        <v>-1176</v>
      </c>
      <c r="E20" s="104" t="n">
        <f aca="false">C20-152000</f>
        <v>128751</v>
      </c>
      <c r="F20" s="229" t="n">
        <f aca="false">D20/$D$2</f>
        <v>-592.891353667759</v>
      </c>
      <c r="G20" s="132" t="n">
        <v>145</v>
      </c>
      <c r="H20" s="230" t="n">
        <v>0</v>
      </c>
      <c r="I20" s="132" t="n">
        <f aca="false">G20+H20</f>
        <v>145</v>
      </c>
      <c r="J20" s="133" t="n">
        <f aca="false">IF(L20&gt;0,L20,0)</f>
        <v>0</v>
      </c>
      <c r="K20" s="132" t="n">
        <f aca="false">I20+J20</f>
        <v>145</v>
      </c>
      <c r="L20" s="132" t="n">
        <f aca="false">F20-(I20-AK20)</f>
        <v>-16.8913536677589</v>
      </c>
      <c r="M20" s="231" t="n">
        <v>206</v>
      </c>
      <c r="N20" s="199" t="n">
        <f aca="false">1.8299*1.03</f>
        <v>1.884797</v>
      </c>
      <c r="O20" s="132" t="n">
        <f aca="false">(25+26)*1.05</f>
        <v>53.55</v>
      </c>
      <c r="P20" s="199" t="n">
        <v>0</v>
      </c>
      <c r="Q20" s="167" t="n">
        <f aca="false">2.38*1.02</f>
        <v>2.4276</v>
      </c>
      <c r="R20" s="312" t="n">
        <v>4.2</v>
      </c>
      <c r="S20" s="312" t="n">
        <v>3.5</v>
      </c>
      <c r="T20" s="356" t="n">
        <v>0</v>
      </c>
      <c r="U20" s="132" t="n">
        <v>137</v>
      </c>
      <c r="V20" s="132" t="n">
        <v>83</v>
      </c>
      <c r="W20" s="132" t="n">
        <f aca="false">M20-N20-O20-P20-Q20-R20-S20-T20+U20+V20</f>
        <v>360.437603</v>
      </c>
      <c r="X20" s="132" t="n">
        <f aca="false">W20-AO20-AD20</f>
        <v>136.6724</v>
      </c>
      <c r="Y20" s="104" t="n">
        <f aca="false">Y19+(X20*1.9835)</f>
        <v>102875.6623639</v>
      </c>
      <c r="Z20" s="104" t="n">
        <f aca="false">Z19+X20*(26300/37500)*1.9835+(AD20*1.9835)</f>
        <v>93952.1049205685</v>
      </c>
      <c r="AA20" s="104"/>
      <c r="AB20" s="104"/>
      <c r="AC20" s="104"/>
      <c r="AD20" s="134" t="n">
        <f aca="false">W20-(I20-Q20-R20-AF20)</f>
        <v>223.765203</v>
      </c>
      <c r="AE20" s="132" t="n">
        <v>233</v>
      </c>
      <c r="AF20" s="135" t="n">
        <v>1.7</v>
      </c>
      <c r="AG20" s="136" t="n">
        <v>1.3</v>
      </c>
      <c r="AH20" s="132" t="n">
        <v>62</v>
      </c>
      <c r="AI20" s="104" t="n">
        <f aca="false">AI19-AH20</f>
        <v>6936.25787748929</v>
      </c>
      <c r="AJ20" s="104"/>
      <c r="AK20" s="131" t="n">
        <f aca="false">N20+O20+P20+Q20+R20+S20+T20+W20+AE20+AH20</f>
        <v>721</v>
      </c>
      <c r="AL20" s="132" t="n">
        <f aca="false">IF(L20&lt;0,L20*-1,0)</f>
        <v>16.8913536677589</v>
      </c>
      <c r="AM20" s="132" t="n">
        <f aca="false">AK20+AL20</f>
        <v>737.891353667759</v>
      </c>
      <c r="AN20" s="203" t="n">
        <f aca="false">AN19</f>
        <v>14794.787655</v>
      </c>
      <c r="AO20" s="134"/>
      <c r="AP20" s="133"/>
      <c r="AQ20" s="199" t="n">
        <v>0</v>
      </c>
      <c r="AR20" s="199"/>
      <c r="AS20" s="104"/>
      <c r="AU20" s="166" t="n">
        <f aca="false">O20</f>
        <v>53.55</v>
      </c>
      <c r="AV20" s="205" t="n">
        <v>0</v>
      </c>
      <c r="AW20" s="134" t="n">
        <v>79</v>
      </c>
      <c r="AX20" s="134" t="n">
        <v>51</v>
      </c>
      <c r="AY20" s="303"/>
      <c r="AZ20" s="233" t="n">
        <f aca="false">SUM(N20,P20:T20)</f>
        <v>12.012397</v>
      </c>
    </row>
    <row r="21" customFormat="false" ht="12.95" hidden="false" customHeight="true" outlineLevel="0" collapsed="false">
      <c r="A21" s="171" t="n">
        <v>8</v>
      </c>
      <c r="B21" s="103" t="n">
        <v>6898.91</v>
      </c>
      <c r="C21" s="104" t="n">
        <v>279578</v>
      </c>
      <c r="D21" s="134" t="n">
        <f aca="false">C21-C20</f>
        <v>-1173</v>
      </c>
      <c r="E21" s="104" t="n">
        <f aca="false">C21-152000</f>
        <v>127578</v>
      </c>
      <c r="F21" s="229" t="n">
        <f aca="false">D21/$D$2</f>
        <v>-591.378875724729</v>
      </c>
      <c r="G21" s="132" t="n">
        <v>127</v>
      </c>
      <c r="H21" s="230" t="n">
        <v>0</v>
      </c>
      <c r="I21" s="132" t="n">
        <f aca="false">G21+H21</f>
        <v>127</v>
      </c>
      <c r="J21" s="133" t="n">
        <f aca="false">IF(L21&gt;0,L21,0)</f>
        <v>0</v>
      </c>
      <c r="K21" s="132" t="n">
        <f aca="false">I21+J21</f>
        <v>127</v>
      </c>
      <c r="L21" s="132" t="n">
        <f aca="false">F21-(I21-AK21)</f>
        <v>-11.378875724729</v>
      </c>
      <c r="M21" s="231" t="n">
        <v>202</v>
      </c>
      <c r="N21" s="199" t="n">
        <f aca="false">1.8299*1.03</f>
        <v>1.884797</v>
      </c>
      <c r="O21" s="132" t="n">
        <f aca="false">(20+20)*1.05</f>
        <v>42</v>
      </c>
      <c r="P21" s="199" t="n">
        <v>0</v>
      </c>
      <c r="Q21" s="167" t="n">
        <f aca="false">2.38*1.02</f>
        <v>2.4276</v>
      </c>
      <c r="R21" s="312" t="n">
        <v>4.2</v>
      </c>
      <c r="S21" s="312" t="n">
        <v>2.72</v>
      </c>
      <c r="T21" s="356" t="n">
        <v>0</v>
      </c>
      <c r="U21" s="132" t="n">
        <v>126</v>
      </c>
      <c r="V21" s="132" t="n">
        <v>82</v>
      </c>
      <c r="W21" s="132" t="n">
        <f aca="false">M21-N21-O21-P21-Q21-R21-S21-T21+U21+V21</f>
        <v>356.767603</v>
      </c>
      <c r="X21" s="132" t="n">
        <f aca="false">W21-AO21-AD21</f>
        <v>118.6724</v>
      </c>
      <c r="Y21" s="104" t="n">
        <f aca="false">Y20+(X21*1.9835)</f>
        <v>103111.0490693</v>
      </c>
      <c r="Z21" s="104" t="n">
        <f aca="false">Z20+X21*(26300/37500)*1.9835+(AD21*1.9835)</f>
        <v>94589.4512984395</v>
      </c>
      <c r="AA21" s="104"/>
      <c r="AB21" s="104"/>
      <c r="AC21" s="104"/>
      <c r="AD21" s="134" t="n">
        <f aca="false">W21-(I21-Q21-R21-AF21)</f>
        <v>238.095203</v>
      </c>
      <c r="AE21" s="132" t="n">
        <v>242</v>
      </c>
      <c r="AF21" s="135" t="n">
        <v>1.7</v>
      </c>
      <c r="AG21" s="136" t="n">
        <v>1.3</v>
      </c>
      <c r="AH21" s="132" t="n">
        <v>55</v>
      </c>
      <c r="AI21" s="104" t="n">
        <f aca="false">AI20-AH21</f>
        <v>6881.25787748929</v>
      </c>
      <c r="AJ21" s="104"/>
      <c r="AK21" s="131" t="n">
        <f aca="false">N21+O21+P21+Q21+R21+S21+T21+W21+AE21+AH21</f>
        <v>707</v>
      </c>
      <c r="AL21" s="132" t="n">
        <f aca="false">IF(L21&lt;0,L21*-1,0)</f>
        <v>11.378875724729</v>
      </c>
      <c r="AM21" s="132" t="n">
        <f aca="false">AK21+AL21</f>
        <v>718.378875724729</v>
      </c>
      <c r="AN21" s="203" t="n">
        <f aca="false">AN20</f>
        <v>14794.787655</v>
      </c>
      <c r="AO21" s="134"/>
      <c r="AP21" s="133"/>
      <c r="AQ21" s="199" t="n">
        <v>0</v>
      </c>
      <c r="AR21" s="199"/>
      <c r="AS21" s="104"/>
      <c r="AU21" s="166" t="n">
        <f aca="false">O21</f>
        <v>42</v>
      </c>
      <c r="AV21" s="205" t="n">
        <v>0</v>
      </c>
      <c r="AW21" s="134" t="n">
        <v>80</v>
      </c>
      <c r="AX21" s="134" t="n">
        <v>51</v>
      </c>
      <c r="AY21" s="303"/>
      <c r="AZ21" s="233" t="n">
        <f aca="false">SUM(N21,P21:T21)</f>
        <v>11.232397</v>
      </c>
    </row>
    <row r="22" customFormat="false" ht="12.95" hidden="false" customHeight="true" outlineLevel="0" collapsed="false">
      <c r="A22" s="171" t="n">
        <v>9</v>
      </c>
      <c r="B22" s="103" t="n">
        <v>6898.62</v>
      </c>
      <c r="C22" s="104" t="n">
        <v>278521</v>
      </c>
      <c r="D22" s="134" t="n">
        <f aca="false">C22-C21</f>
        <v>-1057</v>
      </c>
      <c r="E22" s="104" t="n">
        <f aca="false">C22-152000</f>
        <v>126521</v>
      </c>
      <c r="F22" s="229" t="n">
        <f aca="false">D22/$D$2</f>
        <v>-532.896395260902</v>
      </c>
      <c r="G22" s="132" t="n">
        <v>121</v>
      </c>
      <c r="H22" s="230" t="n">
        <v>0</v>
      </c>
      <c r="I22" s="132" t="n">
        <f aca="false">G22+H22</f>
        <v>121</v>
      </c>
      <c r="J22" s="133" t="n">
        <f aca="false">IF(L22&gt;0,L22,0)</f>
        <v>43.1036047390976</v>
      </c>
      <c r="K22" s="132" t="n">
        <f aca="false">I22+J22</f>
        <v>164.103604739098</v>
      </c>
      <c r="L22" s="132" t="n">
        <f aca="false">F22-(I22-AK22)</f>
        <v>43.1036047390976</v>
      </c>
      <c r="M22" s="231" t="n">
        <v>219</v>
      </c>
      <c r="N22" s="199" t="n">
        <f aca="false">1.8299*1.03</f>
        <v>1.884797</v>
      </c>
      <c r="O22" s="132" t="n">
        <f aca="false">(19+19)*1.05</f>
        <v>39.9</v>
      </c>
      <c r="P22" s="199" t="n">
        <v>0</v>
      </c>
      <c r="Q22" s="167" t="n">
        <f aca="false">2.38*1.02</f>
        <v>2.4276</v>
      </c>
      <c r="R22" s="312" t="n">
        <v>4.2</v>
      </c>
      <c r="S22" s="312" t="n">
        <v>2.72</v>
      </c>
      <c r="T22" s="356" t="n">
        <v>0</v>
      </c>
      <c r="U22" s="132" t="n">
        <v>121</v>
      </c>
      <c r="V22" s="132" t="n">
        <v>81</v>
      </c>
      <c r="W22" s="132" t="n">
        <f aca="false">M22-N22-O22-P22-Q22-R22-S22-T22+U22+V22</f>
        <v>369.867603</v>
      </c>
      <c r="X22" s="132" t="n">
        <f aca="false">W22-AO22-AD22</f>
        <v>112.6724</v>
      </c>
      <c r="Y22" s="104" t="n">
        <f aca="false">Y21+(X22*1.9835)</f>
        <v>103334.5347747</v>
      </c>
      <c r="Z22" s="104" t="n">
        <f aca="false">Z21+X22*(26300/37500)*1.9835+(AD22*1.9835)</f>
        <v>95256.3359583106</v>
      </c>
      <c r="AA22" s="104"/>
      <c r="AB22" s="104"/>
      <c r="AC22" s="104"/>
      <c r="AD22" s="134" t="n">
        <f aca="false">W22-(I22-Q22-R22-AF22)</f>
        <v>257.195203</v>
      </c>
      <c r="AE22" s="132" t="n">
        <v>224</v>
      </c>
      <c r="AF22" s="135" t="n">
        <v>1.7</v>
      </c>
      <c r="AG22" s="136" t="n">
        <v>1.3</v>
      </c>
      <c r="AH22" s="132" t="n">
        <v>52</v>
      </c>
      <c r="AI22" s="104" t="n">
        <f aca="false">AI21-AH22</f>
        <v>6829.25787748929</v>
      </c>
      <c r="AJ22" s="104"/>
      <c r="AK22" s="131" t="n">
        <f aca="false">N22+O22+P22+Q22+R22+S22+T22+W22+AE22+AH22</f>
        <v>697</v>
      </c>
      <c r="AL22" s="132" t="n">
        <f aca="false">IF(L22&lt;0,L22*-1,0)</f>
        <v>0</v>
      </c>
      <c r="AM22" s="132" t="n">
        <f aca="false">AK22+AL22</f>
        <v>697</v>
      </c>
      <c r="AN22" s="203" t="n">
        <f aca="false">AN21</f>
        <v>14794.787655</v>
      </c>
      <c r="AO22" s="134"/>
      <c r="AP22" s="133"/>
      <c r="AQ22" s="199" t="n">
        <v>0</v>
      </c>
      <c r="AR22" s="199"/>
      <c r="AS22" s="104"/>
      <c r="AU22" s="166" t="n">
        <f aca="false">O22</f>
        <v>39.9</v>
      </c>
      <c r="AV22" s="205" t="n">
        <v>0.05</v>
      </c>
      <c r="AW22" s="134" t="n">
        <v>82</v>
      </c>
      <c r="AX22" s="134" t="n">
        <v>52</v>
      </c>
      <c r="AY22" s="303"/>
      <c r="AZ22" s="233" t="n">
        <f aca="false">SUM(N22,P22:T22)</f>
        <v>11.232397</v>
      </c>
    </row>
    <row r="23" customFormat="false" ht="12.95" hidden="false" customHeight="true" outlineLevel="0" collapsed="false">
      <c r="A23" s="171" t="n">
        <v>10</v>
      </c>
      <c r="B23" s="103" t="n">
        <v>6898.33</v>
      </c>
      <c r="C23" s="104" t="n">
        <v>277464</v>
      </c>
      <c r="D23" s="134" t="n">
        <f aca="false">C23-C22</f>
        <v>-1057</v>
      </c>
      <c r="E23" s="104" t="n">
        <f aca="false">C23-152000</f>
        <v>125464</v>
      </c>
      <c r="F23" s="229" t="n">
        <f aca="false">D23/$D$2</f>
        <v>-532.896395260902</v>
      </c>
      <c r="G23" s="132" t="n">
        <v>124</v>
      </c>
      <c r="H23" s="230" t="n">
        <v>0</v>
      </c>
      <c r="I23" s="132" t="n">
        <f aca="false">G23+H23</f>
        <v>124</v>
      </c>
      <c r="J23" s="133" t="n">
        <f aca="false">IF(L23&gt;0,L23,0)</f>
        <v>0</v>
      </c>
      <c r="K23" s="132" t="n">
        <f aca="false">I23+J23</f>
        <v>124</v>
      </c>
      <c r="L23" s="132" t="n">
        <f aca="false">F23-(I23-AK23)</f>
        <v>-6.89639526090241</v>
      </c>
      <c r="M23" s="231" t="n">
        <v>197</v>
      </c>
      <c r="N23" s="199" t="n">
        <f aca="false">1.8299*1.03</f>
        <v>1.884797</v>
      </c>
      <c r="O23" s="132" t="n">
        <f aca="false">(15+15)*1.05</f>
        <v>31.5</v>
      </c>
      <c r="P23" s="199" t="n">
        <v>0</v>
      </c>
      <c r="Q23" s="167" t="n">
        <f aca="false">2.38*1.02</f>
        <v>2.4276</v>
      </c>
      <c r="R23" s="312" t="n">
        <v>4.2</v>
      </c>
      <c r="S23" s="312" t="n">
        <v>0.83</v>
      </c>
      <c r="T23" s="356" t="n">
        <v>0</v>
      </c>
      <c r="U23" s="132" t="n">
        <v>121</v>
      </c>
      <c r="V23" s="132" t="n">
        <v>78</v>
      </c>
      <c r="W23" s="132" t="n">
        <f aca="false">M23-N23-O23-P23-Q23-R23-S23-T23+U23+V23</f>
        <v>355.157603</v>
      </c>
      <c r="X23" s="132" t="n">
        <f aca="false">W23-AO23-AD23</f>
        <v>115.6724</v>
      </c>
      <c r="Y23" s="104" t="n">
        <f aca="false">Y22+(X23*1.9835)</f>
        <v>103563.9709801</v>
      </c>
      <c r="Z23" s="104" t="n">
        <f aca="false">Z22+X23*(26300/37500)*1.9835+(AD23*1.9835)</f>
        <v>95892.2661171816</v>
      </c>
      <c r="AA23" s="104"/>
      <c r="AB23" s="104"/>
      <c r="AC23" s="104"/>
      <c r="AD23" s="134" t="n">
        <f aca="false">W23-(I23-Q23-R23-AF23)</f>
        <v>239.485203</v>
      </c>
      <c r="AE23" s="132" t="n">
        <v>201</v>
      </c>
      <c r="AF23" s="135" t="n">
        <v>1.7</v>
      </c>
      <c r="AG23" s="136" t="n">
        <v>1.3</v>
      </c>
      <c r="AH23" s="132" t="n">
        <v>53</v>
      </c>
      <c r="AI23" s="104" t="n">
        <f aca="false">AI22-AH23</f>
        <v>6776.25787748929</v>
      </c>
      <c r="AJ23" s="104"/>
      <c r="AK23" s="131" t="n">
        <f aca="false">N23+O23+P23+Q23+R23+S23+T23+W23+AE23+AH23</f>
        <v>650</v>
      </c>
      <c r="AL23" s="132" t="n">
        <f aca="false">IF(L23&lt;0,L23*-1,0)</f>
        <v>6.89639526090241</v>
      </c>
      <c r="AM23" s="132" t="n">
        <f aca="false">AK23+AL23</f>
        <v>656.896395260902</v>
      </c>
      <c r="AN23" s="203" t="n">
        <f aca="false">AN22</f>
        <v>14794.787655</v>
      </c>
      <c r="AO23" s="134"/>
      <c r="AP23" s="133"/>
      <c r="AQ23" s="199" t="n">
        <v>0</v>
      </c>
      <c r="AR23" s="199"/>
      <c r="AS23" s="104"/>
      <c r="AU23" s="166" t="n">
        <f aca="false">O23</f>
        <v>31.5</v>
      </c>
      <c r="AV23" s="205" t="n">
        <v>0</v>
      </c>
      <c r="AW23" s="134" t="n">
        <v>75</v>
      </c>
      <c r="AX23" s="134" t="n">
        <v>54</v>
      </c>
      <c r="AY23" s="303"/>
      <c r="AZ23" s="233" t="n">
        <f aca="false">SUM(N23,P23:T23)</f>
        <v>9.342397</v>
      </c>
    </row>
    <row r="24" customFormat="false" ht="12.95" hidden="false" customHeight="true" outlineLevel="0" collapsed="false">
      <c r="A24" s="171" t="n">
        <v>11</v>
      </c>
      <c r="B24" s="103" t="n">
        <v>6898.06</v>
      </c>
      <c r="C24" s="104" t="n">
        <v>276479</v>
      </c>
      <c r="D24" s="134" t="n">
        <f aca="false">C24-C23</f>
        <v>-985</v>
      </c>
      <c r="E24" s="104" t="n">
        <f aca="false">C24-152000</f>
        <v>124479</v>
      </c>
      <c r="F24" s="229" t="n">
        <f aca="false">D24/$D$2</f>
        <v>-496.596924628182</v>
      </c>
      <c r="G24" s="132" t="n">
        <v>125</v>
      </c>
      <c r="H24" s="230" t="n">
        <v>0</v>
      </c>
      <c r="I24" s="132" t="n">
        <f aca="false">G24+H24</f>
        <v>125</v>
      </c>
      <c r="J24" s="133" t="n">
        <f aca="false">IF(L24&gt;0,L24,0)</f>
        <v>0</v>
      </c>
      <c r="K24" s="132" t="n">
        <f aca="false">I24+J24</f>
        <v>125</v>
      </c>
      <c r="L24" s="132" t="n">
        <f aca="false">F24-(I24-AK24)</f>
        <v>-0.596924628182478</v>
      </c>
      <c r="M24" s="231" t="n">
        <v>199</v>
      </c>
      <c r="N24" s="199" t="n">
        <f aca="false">1.8299*1.03</f>
        <v>1.884797</v>
      </c>
      <c r="O24" s="132" t="n">
        <f aca="false">(18+18)*1.05</f>
        <v>37.8</v>
      </c>
      <c r="P24" s="199" t="n">
        <v>0</v>
      </c>
      <c r="Q24" s="167" t="n">
        <f aca="false">2.38*1.02</f>
        <v>2.4276</v>
      </c>
      <c r="R24" s="312" t="n">
        <v>4.2</v>
      </c>
      <c r="S24" s="312" t="n">
        <v>2.24</v>
      </c>
      <c r="T24" s="356" t="n">
        <v>0</v>
      </c>
      <c r="U24" s="132" t="n">
        <v>117</v>
      </c>
      <c r="V24" s="132" t="n">
        <v>77</v>
      </c>
      <c r="W24" s="132" t="n">
        <f aca="false">M24-N24-O24-P24-Q24-R24-S24-T24+U24+V24</f>
        <v>344.447603</v>
      </c>
      <c r="X24" s="132" t="n">
        <f aca="false">W24-AO24-AD24</f>
        <v>116.6724</v>
      </c>
      <c r="Y24" s="104" t="n">
        <f aca="false">Y23+(X24*1.9835)</f>
        <v>103795.3906855</v>
      </c>
      <c r="Z24" s="104" t="n">
        <f aca="false">Z23+X24*(26300/37500)*1.9835+(AD24*1.9835)</f>
        <v>96506.3605857193</v>
      </c>
      <c r="AA24" s="104"/>
      <c r="AB24" s="104"/>
      <c r="AC24" s="104"/>
      <c r="AD24" s="134" t="n">
        <f aca="false">W24-(I24-Q24-R24-AF24)</f>
        <v>227.775203</v>
      </c>
      <c r="AE24" s="132" t="n">
        <v>184</v>
      </c>
      <c r="AF24" s="135" t="n">
        <v>1.7</v>
      </c>
      <c r="AG24" s="136" t="n">
        <v>1.3</v>
      </c>
      <c r="AH24" s="132" t="n">
        <v>44</v>
      </c>
      <c r="AI24" s="104" t="n">
        <f aca="false">AI23-AH24</f>
        <v>6732.25787748929</v>
      </c>
      <c r="AJ24" s="104"/>
      <c r="AK24" s="131" t="n">
        <f aca="false">N24+O24+P24+Q24+R24+S24+T24+W24+AE24+AH24</f>
        <v>621</v>
      </c>
      <c r="AL24" s="132" t="n">
        <f aca="false">IF(L24&lt;0,L24*-1,0)</f>
        <v>0.596924628182478</v>
      </c>
      <c r="AM24" s="132" t="n">
        <f aca="false">AK24+AL24</f>
        <v>621.596924628182</v>
      </c>
      <c r="AN24" s="203" t="n">
        <f aca="false">AN23</f>
        <v>14794.787655</v>
      </c>
      <c r="AO24" s="134"/>
      <c r="AP24" s="133"/>
      <c r="AQ24" s="199" t="n">
        <v>0</v>
      </c>
      <c r="AR24" s="199"/>
      <c r="AS24" s="104"/>
      <c r="AU24" s="166" t="n">
        <f aca="false">O24</f>
        <v>37.8</v>
      </c>
      <c r="AV24" s="205" t="n">
        <v>0.06</v>
      </c>
      <c r="AW24" s="134" t="n">
        <v>80</v>
      </c>
      <c r="AX24" s="134" t="n">
        <v>52</v>
      </c>
      <c r="AY24" s="303"/>
      <c r="AZ24" s="233" t="n">
        <f aca="false">SUM(N24,P24:T24)</f>
        <v>10.752397</v>
      </c>
    </row>
    <row r="25" customFormat="false" ht="12.95" hidden="false" customHeight="true" outlineLevel="0" collapsed="false">
      <c r="A25" s="171" t="n">
        <v>12</v>
      </c>
      <c r="B25" s="103" t="n">
        <v>6897.79</v>
      </c>
      <c r="C25" s="104" t="n">
        <v>275501</v>
      </c>
      <c r="D25" s="134" t="n">
        <f aca="false">C25-C24</f>
        <v>-978</v>
      </c>
      <c r="E25" s="104" t="n">
        <f aca="false">C25-152000</f>
        <v>123501</v>
      </c>
      <c r="F25" s="229" t="n">
        <f aca="false">D25/$D$2</f>
        <v>-493.067809427779</v>
      </c>
      <c r="G25" s="132" t="n">
        <v>124</v>
      </c>
      <c r="H25" s="230" t="n">
        <v>0</v>
      </c>
      <c r="I25" s="132" t="n">
        <f aca="false">G25+H25</f>
        <v>124</v>
      </c>
      <c r="J25" s="133" t="n">
        <f aca="false">IF(L25&gt;0,L25,0)</f>
        <v>16.9321905722208</v>
      </c>
      <c r="K25" s="132" t="n">
        <f aca="false">I25+J25</f>
        <v>140.932190572221</v>
      </c>
      <c r="L25" s="132" t="n">
        <f aca="false">F25-(I25-AK25)</f>
        <v>16.9321905722208</v>
      </c>
      <c r="M25" s="231" t="n">
        <v>212</v>
      </c>
      <c r="N25" s="199" t="n">
        <f aca="false">1.8299*1.03</f>
        <v>1.884797</v>
      </c>
      <c r="O25" s="132" t="n">
        <f aca="false">(26+22)*1.05</f>
        <v>50.4</v>
      </c>
      <c r="P25" s="199" t="n">
        <v>0</v>
      </c>
      <c r="Q25" s="167" t="n">
        <f aca="false">2.38*1.02</f>
        <v>2.4276</v>
      </c>
      <c r="R25" s="312" t="n">
        <v>4.2</v>
      </c>
      <c r="S25" s="312" t="n">
        <v>2.33</v>
      </c>
      <c r="T25" s="356" t="n">
        <v>0</v>
      </c>
      <c r="U25" s="132" t="n">
        <v>114</v>
      </c>
      <c r="V25" s="132" t="n">
        <v>76</v>
      </c>
      <c r="W25" s="132" t="n">
        <f aca="false">M25-N25-O25-P25-Q25-R25-S25-T25+U25+V25</f>
        <v>340.757603</v>
      </c>
      <c r="X25" s="132" t="n">
        <f aca="false">W25-AO25-AD25</f>
        <v>115.6724</v>
      </c>
      <c r="Y25" s="104" t="n">
        <f aca="false">Y24+(X25*1.9835)</f>
        <v>104024.8268909</v>
      </c>
      <c r="Z25" s="104" t="n">
        <f aca="false">Z24+X25*(26300/37500)*1.9835+(AD25*1.9835)</f>
        <v>97113.7283445903</v>
      </c>
      <c r="AA25" s="104"/>
      <c r="AB25" s="104"/>
      <c r="AC25" s="104"/>
      <c r="AD25" s="134" t="n">
        <f aca="false">W25-(I25-Q25-R25-AF25)</f>
        <v>225.085203</v>
      </c>
      <c r="AE25" s="132" t="n">
        <v>195</v>
      </c>
      <c r="AF25" s="135" t="n">
        <v>1.7</v>
      </c>
      <c r="AG25" s="136" t="n">
        <v>1.3</v>
      </c>
      <c r="AH25" s="132" t="n">
        <v>37</v>
      </c>
      <c r="AI25" s="104" t="n">
        <f aca="false">AI24-AH25</f>
        <v>6695.25787748929</v>
      </c>
      <c r="AJ25" s="104"/>
      <c r="AK25" s="131" t="n">
        <f aca="false">N25+O25+P25+Q25+R25+S25+T25+W25+AE25+AH25</f>
        <v>634</v>
      </c>
      <c r="AL25" s="132" t="n">
        <f aca="false">IF(L25&lt;0,L25*-1,0)</f>
        <v>0</v>
      </c>
      <c r="AM25" s="132" t="n">
        <f aca="false">AK25+AL25</f>
        <v>634</v>
      </c>
      <c r="AN25" s="203" t="n">
        <f aca="false">AN24</f>
        <v>14794.787655</v>
      </c>
      <c r="AO25" s="134"/>
      <c r="AP25" s="133"/>
      <c r="AQ25" s="199" t="n">
        <v>0</v>
      </c>
      <c r="AR25" s="199"/>
      <c r="AS25" s="104"/>
      <c r="AU25" s="166" t="n">
        <f aca="false">O25</f>
        <v>50.4</v>
      </c>
      <c r="AV25" s="205" t="n">
        <v>0</v>
      </c>
      <c r="AW25" s="134" t="n">
        <v>77</v>
      </c>
      <c r="AX25" s="134" t="n">
        <v>50</v>
      </c>
      <c r="AY25" s="303"/>
      <c r="AZ25" s="233" t="n">
        <f aca="false">SUM(N25,P25:T25)</f>
        <v>10.842397</v>
      </c>
    </row>
    <row r="26" customFormat="false" ht="12.95" hidden="false" customHeight="true" outlineLevel="0" collapsed="false">
      <c r="A26" s="171" t="n">
        <v>13</v>
      </c>
      <c r="B26" s="103" t="n">
        <v>6897.56</v>
      </c>
      <c r="C26" s="104" t="n">
        <v>274669</v>
      </c>
      <c r="D26" s="134" t="n">
        <f aca="false">C26-C25</f>
        <v>-832</v>
      </c>
      <c r="E26" s="104" t="n">
        <f aca="false">C26-152000</f>
        <v>122669</v>
      </c>
      <c r="F26" s="229" t="n">
        <f aca="false">D26/$D$2</f>
        <v>-419.460549533653</v>
      </c>
      <c r="G26" s="132" t="n">
        <v>118</v>
      </c>
      <c r="H26" s="230" t="n">
        <v>0</v>
      </c>
      <c r="I26" s="132" t="n">
        <f aca="false">G26+H26</f>
        <v>118</v>
      </c>
      <c r="J26" s="133" t="n">
        <f aca="false">IF(L26&gt;0,L26,0)</f>
        <v>16.5394504663474</v>
      </c>
      <c r="K26" s="132" t="n">
        <f aca="false">I26+J26</f>
        <v>134.539450466347</v>
      </c>
      <c r="L26" s="132" t="n">
        <f aca="false">F26-(I26-AK26)</f>
        <v>16.5394504663474</v>
      </c>
      <c r="M26" s="231" t="n">
        <v>177</v>
      </c>
      <c r="N26" s="199" t="n">
        <f aca="false">1.8299*1.03</f>
        <v>1.884797</v>
      </c>
      <c r="O26" s="132" t="n">
        <f aca="false">(22+16)*1.05</f>
        <v>39.9</v>
      </c>
      <c r="P26" s="199" t="n">
        <v>0</v>
      </c>
      <c r="Q26" s="167" t="n">
        <f aca="false">2.38*1.02</f>
        <v>2.4276</v>
      </c>
      <c r="R26" s="312" t="n">
        <v>4.2</v>
      </c>
      <c r="S26" s="312" t="n">
        <v>1.21</v>
      </c>
      <c r="T26" s="356" t="n">
        <v>0</v>
      </c>
      <c r="U26" s="132" t="n">
        <v>115</v>
      </c>
      <c r="V26" s="132" t="n">
        <v>76</v>
      </c>
      <c r="W26" s="132" t="n">
        <f aca="false">M26-N26-O26-P26-Q26-R26-S26-T26+U26+V26</f>
        <v>318.377603</v>
      </c>
      <c r="X26" s="132" t="n">
        <f aca="false">W26-AO26-AD26</f>
        <v>109.6724</v>
      </c>
      <c r="Y26" s="104" t="n">
        <f aca="false">Y25+(X26*1.9835)</f>
        <v>104242.3620963</v>
      </c>
      <c r="Z26" s="104" t="n">
        <f aca="false">Z25+X26*(26300/37500)*1.9835+(AD26*1.9835)</f>
        <v>97680.2598054614</v>
      </c>
      <c r="AA26" s="104"/>
      <c r="AB26" s="104"/>
      <c r="AC26" s="104"/>
      <c r="AD26" s="134" t="n">
        <f aca="false">W26-(I26-Q26-R26-AF26)</f>
        <v>208.705203</v>
      </c>
      <c r="AE26" s="132" t="n">
        <v>149</v>
      </c>
      <c r="AF26" s="135" t="n">
        <v>1.7</v>
      </c>
      <c r="AG26" s="136" t="n">
        <v>1.3</v>
      </c>
      <c r="AH26" s="132" t="n">
        <v>37</v>
      </c>
      <c r="AI26" s="104" t="n">
        <f aca="false">AI25-AH26</f>
        <v>6658.25787748929</v>
      </c>
      <c r="AJ26" s="104"/>
      <c r="AK26" s="131" t="n">
        <f aca="false">N26+O26+P26+Q26+R26+S26+T26+W26+AE26+AH26</f>
        <v>554</v>
      </c>
      <c r="AL26" s="132" t="n">
        <f aca="false">IF(L26&lt;0,L26*-1,0)</f>
        <v>0</v>
      </c>
      <c r="AM26" s="132" t="n">
        <f aca="false">AK26+AL26</f>
        <v>554</v>
      </c>
      <c r="AN26" s="203" t="n">
        <f aca="false">AN25</f>
        <v>14794.787655</v>
      </c>
      <c r="AO26" s="134"/>
      <c r="AP26" s="133"/>
      <c r="AQ26" s="199" t="n">
        <v>0</v>
      </c>
      <c r="AR26" s="199"/>
      <c r="AS26" s="104"/>
      <c r="AU26" s="166" t="n">
        <f aca="false">O26</f>
        <v>39.9</v>
      </c>
      <c r="AV26" s="205" t="n">
        <v>0</v>
      </c>
      <c r="AW26" s="134" t="n">
        <v>76</v>
      </c>
      <c r="AX26" s="134" t="n">
        <v>54</v>
      </c>
      <c r="AY26" s="303"/>
      <c r="AZ26" s="233" t="n">
        <f aca="false">SUM(N26,P26:T26)</f>
        <v>9.722397</v>
      </c>
    </row>
    <row r="27" customFormat="false" ht="12.95" hidden="false" customHeight="true" outlineLevel="0" collapsed="false">
      <c r="A27" s="171" t="n">
        <v>14</v>
      </c>
      <c r="B27" s="103" t="n">
        <v>6897.27</v>
      </c>
      <c r="C27" s="104" t="n">
        <v>273620</v>
      </c>
      <c r="D27" s="134" t="n">
        <f aca="false">C27-C26</f>
        <v>-1049</v>
      </c>
      <c r="E27" s="104" t="n">
        <f aca="false">C27-152000</f>
        <v>121620</v>
      </c>
      <c r="F27" s="229" t="n">
        <f aca="false">D27/$D$2</f>
        <v>-528.863120746156</v>
      </c>
      <c r="G27" s="132" t="n">
        <v>124</v>
      </c>
      <c r="H27" s="230" t="n">
        <v>0</v>
      </c>
      <c r="I27" s="132" t="n">
        <f aca="false">G27+H27</f>
        <v>124</v>
      </c>
      <c r="J27" s="133" t="n">
        <f aca="false">IF(L27&gt;0,L27,0)</f>
        <v>0</v>
      </c>
      <c r="K27" s="132" t="n">
        <f aca="false">I27+J27</f>
        <v>124</v>
      </c>
      <c r="L27" s="132" t="n">
        <f aca="false">F27-(I27-AK27)</f>
        <v>-63.8631207461558</v>
      </c>
      <c r="M27" s="231" t="n">
        <v>204</v>
      </c>
      <c r="N27" s="199" t="n">
        <f aca="false">1.8299*1.03</f>
        <v>1.884797</v>
      </c>
      <c r="O27" s="132" t="n">
        <f aca="false">(22+22)*1.05</f>
        <v>46.2</v>
      </c>
      <c r="P27" s="199" t="n">
        <v>0</v>
      </c>
      <c r="Q27" s="167" t="n">
        <f aca="false">2.38*1.02</f>
        <v>2.4276</v>
      </c>
      <c r="R27" s="312" t="n">
        <v>4.2</v>
      </c>
      <c r="S27" s="312" t="n">
        <v>2.21</v>
      </c>
      <c r="T27" s="356" t="n">
        <v>0</v>
      </c>
      <c r="U27" s="132" t="n">
        <v>113</v>
      </c>
      <c r="V27" s="132" t="n">
        <v>76</v>
      </c>
      <c r="W27" s="132" t="n">
        <f aca="false">M27-N27-O27-P27-Q27-R27-S27-T27+U27+V27</f>
        <v>336.077603</v>
      </c>
      <c r="X27" s="132" t="n">
        <f aca="false">W27-AO27-AD27</f>
        <v>115.6724</v>
      </c>
      <c r="Y27" s="104" t="n">
        <f aca="false">Y26+(X27*1.9835)</f>
        <v>104471.7983017</v>
      </c>
      <c r="Z27" s="104" t="n">
        <f aca="false">Z26+X27*(26300/37500)*1.9835+(AD27*1.9835)</f>
        <v>98278.3447843324</v>
      </c>
      <c r="AA27" s="104"/>
      <c r="AB27" s="104"/>
      <c r="AC27" s="104"/>
      <c r="AD27" s="134" t="n">
        <f aca="false">W27-(I27-Q27-R27-AF27)</f>
        <v>220.405203</v>
      </c>
      <c r="AE27" s="132" t="n">
        <v>159</v>
      </c>
      <c r="AF27" s="135" t="n">
        <v>1.7</v>
      </c>
      <c r="AG27" s="136" t="n">
        <v>1.3</v>
      </c>
      <c r="AH27" s="132" t="n">
        <v>37</v>
      </c>
      <c r="AI27" s="104" t="n">
        <f aca="false">AI26-AH27</f>
        <v>6621.25787748929</v>
      </c>
      <c r="AJ27" s="104"/>
      <c r="AK27" s="131" t="n">
        <f aca="false">N27+O27+P27+Q27+R27+S27+T27+W27+AE27+AH27</f>
        <v>589</v>
      </c>
      <c r="AL27" s="132" t="n">
        <f aca="false">IF(L27&lt;0,L27*-1,0)</f>
        <v>63.8631207461558</v>
      </c>
      <c r="AM27" s="132" t="n">
        <f aca="false">AK27+AL27</f>
        <v>652.863120746156</v>
      </c>
      <c r="AN27" s="203" t="n">
        <f aca="false">AN26</f>
        <v>14794.787655</v>
      </c>
      <c r="AO27" s="134"/>
      <c r="AP27" s="133"/>
      <c r="AQ27" s="199" t="n">
        <v>0</v>
      </c>
      <c r="AR27" s="199"/>
      <c r="AS27" s="104"/>
      <c r="AU27" s="166" t="n">
        <f aca="false">O27</f>
        <v>46.2</v>
      </c>
      <c r="AV27" s="205" t="n">
        <v>0</v>
      </c>
      <c r="AW27" s="134" t="n">
        <v>75</v>
      </c>
      <c r="AX27" s="134" t="n">
        <v>51</v>
      </c>
      <c r="AY27" s="303"/>
      <c r="AZ27" s="233" t="n">
        <f aca="false">SUM(N27,P27:T27)</f>
        <v>10.722397</v>
      </c>
    </row>
    <row r="28" customFormat="false" ht="12.95" hidden="false" customHeight="true" outlineLevel="0" collapsed="false">
      <c r="A28" s="171" t="n">
        <v>15</v>
      </c>
      <c r="B28" s="103" t="n">
        <v>6897.02</v>
      </c>
      <c r="C28" s="104" t="n">
        <v>272716</v>
      </c>
      <c r="D28" s="134" t="n">
        <f aca="false">C28-C27</f>
        <v>-904</v>
      </c>
      <c r="E28" s="104" t="n">
        <f aca="false">C28-152000</f>
        <v>120716</v>
      </c>
      <c r="F28" s="229" t="n">
        <f aca="false">D28/$D$2</f>
        <v>-455.760020166373</v>
      </c>
      <c r="G28" s="132" t="n">
        <v>131</v>
      </c>
      <c r="H28" s="230" t="n">
        <v>0</v>
      </c>
      <c r="I28" s="132" t="n">
        <f aca="false">G28+H28</f>
        <v>131</v>
      </c>
      <c r="J28" s="133" t="n">
        <f aca="false">IF(L28&gt;0,L28,0)</f>
        <v>5.23997983362744</v>
      </c>
      <c r="K28" s="132" t="n">
        <f aca="false">I28+J28</f>
        <v>136.239979833627</v>
      </c>
      <c r="L28" s="132" t="n">
        <f aca="false">F28-(I28-AK28)</f>
        <v>5.23997983362744</v>
      </c>
      <c r="M28" s="231" t="n">
        <v>199</v>
      </c>
      <c r="N28" s="199" t="n">
        <f aca="false">1.8299*1.03</f>
        <v>1.884797</v>
      </c>
      <c r="O28" s="132" t="n">
        <f aca="false">(25+25)*1.05</f>
        <v>52.5</v>
      </c>
      <c r="P28" s="199" t="n">
        <v>0</v>
      </c>
      <c r="Q28" s="167" t="n">
        <f aca="false">2.38*1.02</f>
        <v>2.4276</v>
      </c>
      <c r="R28" s="312" t="n">
        <v>4.2</v>
      </c>
      <c r="S28" s="312" t="n">
        <v>2.31</v>
      </c>
      <c r="T28" s="356" t="n">
        <v>0</v>
      </c>
      <c r="U28" s="132" t="n">
        <v>108</v>
      </c>
      <c r="V28" s="132" t="n">
        <v>76</v>
      </c>
      <c r="W28" s="132" t="n">
        <f aca="false">M28-N28-O28-P28-Q28-R28-S28-T28+U28+V28</f>
        <v>319.677603</v>
      </c>
      <c r="X28" s="132" t="n">
        <f aca="false">W28-AO28-AD28</f>
        <v>122.6724</v>
      </c>
      <c r="Y28" s="104" t="n">
        <f aca="false">Y27+(X28*1.9835)</f>
        <v>104715.1190071</v>
      </c>
      <c r="Z28" s="104" t="n">
        <f aca="false">Z27+X28*(26300/37500)*1.9835+(AD28*1.9835)</f>
        <v>98839.7535258701</v>
      </c>
      <c r="AA28" s="104"/>
      <c r="AB28" s="104"/>
      <c r="AC28" s="104"/>
      <c r="AD28" s="134" t="n">
        <f aca="false">W28-(I28-Q28-R28-AF28)</f>
        <v>197.005203</v>
      </c>
      <c r="AE28" s="132" t="n">
        <v>171</v>
      </c>
      <c r="AF28" s="135" t="n">
        <v>1.7</v>
      </c>
      <c r="AG28" s="136" t="n">
        <v>1.3</v>
      </c>
      <c r="AH28" s="132" t="n">
        <v>38</v>
      </c>
      <c r="AI28" s="104" t="n">
        <f aca="false">AI27-AH28</f>
        <v>6583.25787748929</v>
      </c>
      <c r="AJ28" s="104"/>
      <c r="AK28" s="131" t="n">
        <f aca="false">N28+O28+P28+Q28+R28+S28+T28+W28+AE28+AH28</f>
        <v>592</v>
      </c>
      <c r="AL28" s="132" t="n">
        <f aca="false">IF(L28&lt;0,L28*-1,0)</f>
        <v>0</v>
      </c>
      <c r="AM28" s="132" t="n">
        <f aca="false">AK28+AL28</f>
        <v>592</v>
      </c>
      <c r="AN28" s="203" t="n">
        <f aca="false">AN27</f>
        <v>14794.787655</v>
      </c>
      <c r="AO28" s="134"/>
      <c r="AP28" s="133"/>
      <c r="AQ28" s="199" t="n">
        <v>0</v>
      </c>
      <c r="AR28" s="199"/>
      <c r="AS28" s="104"/>
      <c r="AU28" s="166" t="n">
        <f aca="false">O28</f>
        <v>52.5</v>
      </c>
      <c r="AV28" s="205" t="n">
        <v>0</v>
      </c>
      <c r="AW28" s="134" t="n">
        <v>73</v>
      </c>
      <c r="AX28" s="134" t="n">
        <v>49</v>
      </c>
      <c r="AY28" s="303"/>
      <c r="AZ28" s="233" t="n">
        <f aca="false">SUM(N28,P28:T28)</f>
        <v>10.822397</v>
      </c>
    </row>
    <row r="29" customFormat="false" ht="12.95" hidden="false" customHeight="true" outlineLevel="0" collapsed="false">
      <c r="A29" s="171" t="n">
        <v>16</v>
      </c>
      <c r="B29" s="103" t="n">
        <v>6896.83</v>
      </c>
      <c r="C29" s="104" t="n">
        <v>272033</v>
      </c>
      <c r="D29" s="134" t="n">
        <f aca="false">C29-C28</f>
        <v>-683</v>
      </c>
      <c r="E29" s="104" t="n">
        <f aca="false">C29-152000</f>
        <v>120033</v>
      </c>
      <c r="F29" s="229" t="n">
        <f aca="false">D29/$D$2</f>
        <v>-344.340811696496</v>
      </c>
      <c r="G29" s="132" t="n">
        <v>136</v>
      </c>
      <c r="H29" s="230" t="n">
        <v>0</v>
      </c>
      <c r="I29" s="132" t="n">
        <f aca="false">G29+H29</f>
        <v>136</v>
      </c>
      <c r="J29" s="133" t="n">
        <f aca="false">IF(L29&gt;0,L29,0)</f>
        <v>88.6591883035039</v>
      </c>
      <c r="K29" s="132" t="n">
        <f aca="false">I29+J29</f>
        <v>224.659188303504</v>
      </c>
      <c r="L29" s="132" t="n">
        <f aca="false">F29-(I29-AK29)</f>
        <v>88.6591883035039</v>
      </c>
      <c r="M29" s="231" t="n">
        <v>179</v>
      </c>
      <c r="N29" s="199" t="n">
        <f aca="false">1.8299*1.03</f>
        <v>1.884797</v>
      </c>
      <c r="O29" s="132" t="n">
        <f aca="false">(23+23)*1.05</f>
        <v>48.3</v>
      </c>
      <c r="P29" s="199" t="n">
        <v>0</v>
      </c>
      <c r="Q29" s="167" t="n">
        <f aca="false">2.38*1.02</f>
        <v>2.4276</v>
      </c>
      <c r="R29" s="312" t="n">
        <v>4.2</v>
      </c>
      <c r="S29" s="312" t="n">
        <v>2.22</v>
      </c>
      <c r="T29" s="356" t="n">
        <v>0</v>
      </c>
      <c r="U29" s="132" t="n">
        <v>105</v>
      </c>
      <c r="V29" s="132" t="n">
        <v>76</v>
      </c>
      <c r="W29" s="132" t="n">
        <f aca="false">M29-N29-O29-P29-Q29-R29-S29-T29+U29+V29</f>
        <v>300.967603</v>
      </c>
      <c r="X29" s="132" t="n">
        <f aca="false">W29-AO29-AD29</f>
        <v>127.6724</v>
      </c>
      <c r="Y29" s="104" t="n">
        <f aca="false">Y28+(X29*1.9835)</f>
        <v>104968.3572125</v>
      </c>
      <c r="Z29" s="104" t="n">
        <f aca="false">Z28+X29*(26300/37500)*1.9835+(AD29*1.9835)</f>
        <v>99361.0889557411</v>
      </c>
      <c r="AA29" s="104"/>
      <c r="AB29" s="104"/>
      <c r="AC29" s="104"/>
      <c r="AD29" s="134" t="n">
        <f aca="false">W29-(I29-Q29-R29-AF29)</f>
        <v>173.295203</v>
      </c>
      <c r="AE29" s="132" t="n">
        <v>169</v>
      </c>
      <c r="AF29" s="135" t="n">
        <v>1.7</v>
      </c>
      <c r="AG29" s="136" t="n">
        <v>1.3</v>
      </c>
      <c r="AH29" s="132" t="n">
        <v>40</v>
      </c>
      <c r="AI29" s="104" t="n">
        <f aca="false">AI28-AH29</f>
        <v>6543.25787748929</v>
      </c>
      <c r="AJ29" s="104"/>
      <c r="AK29" s="131" t="n">
        <f aca="false">N29+O29+P29+Q29+R29+S29+T29+W29+AE29+AH29</f>
        <v>569</v>
      </c>
      <c r="AL29" s="132" t="n">
        <f aca="false">IF(L29&lt;0,L29*-1,0)</f>
        <v>0</v>
      </c>
      <c r="AM29" s="132" t="n">
        <f aca="false">AK29+AL29</f>
        <v>569</v>
      </c>
      <c r="AN29" s="203" t="n">
        <f aca="false">AN28</f>
        <v>14794.787655</v>
      </c>
      <c r="AO29" s="134"/>
      <c r="AP29" s="133"/>
      <c r="AQ29" s="199" t="n">
        <v>0</v>
      </c>
      <c r="AR29" s="199"/>
      <c r="AS29" s="104"/>
      <c r="AU29" s="166" t="n">
        <f aca="false">O29</f>
        <v>48.3</v>
      </c>
      <c r="AV29" s="205" t="n">
        <v>0.15</v>
      </c>
      <c r="AW29" s="134" t="n">
        <v>73</v>
      </c>
      <c r="AX29" s="134" t="n">
        <v>49</v>
      </c>
      <c r="AY29" s="303"/>
      <c r="AZ29" s="233" t="n">
        <f aca="false">SUM(N29,P29:T29)</f>
        <v>10.732397</v>
      </c>
    </row>
    <row r="30" customFormat="false" ht="12.95" hidden="false" customHeight="true" outlineLevel="0" collapsed="false">
      <c r="A30" s="171" t="n">
        <v>17</v>
      </c>
      <c r="B30" s="103" t="n">
        <v>6896.63</v>
      </c>
      <c r="C30" s="104" t="n">
        <v>271315</v>
      </c>
      <c r="D30" s="134" t="n">
        <f aca="false">C30-C29</f>
        <v>-718</v>
      </c>
      <c r="E30" s="104" t="n">
        <f aca="false">C30-152000</f>
        <v>119315</v>
      </c>
      <c r="F30" s="229" t="n">
        <f aca="false">D30/$D$2</f>
        <v>-361.986387698513</v>
      </c>
      <c r="G30" s="132" t="n">
        <v>151</v>
      </c>
      <c r="H30" s="230" t="n">
        <v>0</v>
      </c>
      <c r="I30" s="132" t="n">
        <f aca="false">G30+H30</f>
        <v>151</v>
      </c>
      <c r="J30" s="133" t="n">
        <f aca="false">IF(L30&gt;0,L30,0)</f>
        <v>27.0136123014873</v>
      </c>
      <c r="K30" s="132" t="n">
        <f aca="false">I30+J30</f>
        <v>178.013612301487</v>
      </c>
      <c r="L30" s="132" t="n">
        <f aca="false">F30-(I30-AK30)</f>
        <v>27.0136123014873</v>
      </c>
      <c r="M30" s="231" t="n">
        <v>158</v>
      </c>
      <c r="N30" s="199" t="n">
        <f aca="false">1.8299*1.03</f>
        <v>1.884797</v>
      </c>
      <c r="O30" s="132" t="n">
        <f aca="false">(20+20)*1.05</f>
        <v>42</v>
      </c>
      <c r="P30" s="199" t="n">
        <v>0</v>
      </c>
      <c r="Q30" s="167" t="n">
        <f aca="false">2.38*1.02</f>
        <v>2.4276</v>
      </c>
      <c r="R30" s="312" t="n">
        <v>4.2</v>
      </c>
      <c r="S30" s="312" t="n">
        <v>0.72</v>
      </c>
      <c r="T30" s="356" t="n">
        <v>0</v>
      </c>
      <c r="U30" s="132" t="n">
        <v>99</v>
      </c>
      <c r="V30" s="132" t="n">
        <v>74</v>
      </c>
      <c r="W30" s="132" t="n">
        <f aca="false">M30-N30-O30-P30-Q30-R30-S30-T30+U30+V30</f>
        <v>279.767603</v>
      </c>
      <c r="X30" s="132" t="n">
        <f aca="false">W30-AO30-AD30</f>
        <v>142.6724</v>
      </c>
      <c r="Y30" s="104" t="n">
        <f aca="false">Y29+(X30*1.9835)</f>
        <v>105251.3479179</v>
      </c>
      <c r="Z30" s="104" t="n">
        <f aca="false">Z29+X30*(26300/37500)*1.9835+(AD30*1.9835)</f>
        <v>99831.4881056121</v>
      </c>
      <c r="AA30" s="104"/>
      <c r="AB30" s="104"/>
      <c r="AC30" s="104"/>
      <c r="AD30" s="134" t="n">
        <f aca="false">W30-(I30-Q30-R30-AF30)</f>
        <v>137.095203</v>
      </c>
      <c r="AE30" s="132" t="n">
        <v>169</v>
      </c>
      <c r="AF30" s="135" t="n">
        <v>1.7</v>
      </c>
      <c r="AG30" s="136" t="n">
        <v>1.3</v>
      </c>
      <c r="AH30" s="132" t="n">
        <v>40</v>
      </c>
      <c r="AI30" s="104" t="n">
        <f aca="false">AI29-AH30</f>
        <v>6503.25787748929</v>
      </c>
      <c r="AJ30" s="104"/>
      <c r="AK30" s="131" t="n">
        <f aca="false">N30+O30+P30+Q30+R30+S30+T30+W30+AE30+AH30</f>
        <v>540</v>
      </c>
      <c r="AL30" s="132" t="n">
        <f aca="false">IF(L30&lt;0,L30*-1,0)</f>
        <v>0</v>
      </c>
      <c r="AM30" s="132" t="n">
        <f aca="false">AK30+AL30</f>
        <v>540</v>
      </c>
      <c r="AN30" s="203" t="n">
        <f aca="false">AN29</f>
        <v>14794.787655</v>
      </c>
      <c r="AO30" s="134"/>
      <c r="AP30" s="133"/>
      <c r="AQ30" s="199" t="n">
        <v>0</v>
      </c>
      <c r="AR30" s="199"/>
      <c r="AS30" s="104"/>
      <c r="AU30" s="166" t="n">
        <f aca="false">O30</f>
        <v>42</v>
      </c>
      <c r="AV30" s="205" t="n">
        <v>0.01</v>
      </c>
      <c r="AW30" s="134" t="n">
        <v>68</v>
      </c>
      <c r="AX30" s="134" t="n">
        <v>49</v>
      </c>
      <c r="AY30" s="303"/>
      <c r="AZ30" s="233" t="n">
        <f aca="false">SUM(N30,P30:T30)</f>
        <v>9.232397</v>
      </c>
    </row>
    <row r="31" customFormat="false" ht="12.95" hidden="false" customHeight="true" outlineLevel="0" collapsed="false">
      <c r="A31" s="171" t="n">
        <v>18</v>
      </c>
      <c r="B31" s="103" t="n">
        <v>6896.51</v>
      </c>
      <c r="C31" s="104" t="n">
        <v>270885</v>
      </c>
      <c r="D31" s="134" t="n">
        <f aca="false">C31-C30</f>
        <v>-430</v>
      </c>
      <c r="E31" s="104" t="n">
        <f aca="false">C31-152000</f>
        <v>118885</v>
      </c>
      <c r="F31" s="229" t="n">
        <f aca="false">D31/$D$2</f>
        <v>-216.788505167633</v>
      </c>
      <c r="G31" s="132" t="n">
        <v>160</v>
      </c>
      <c r="H31" s="230" t="n">
        <v>0</v>
      </c>
      <c r="I31" s="132" t="n">
        <f aca="false">G31+H31</f>
        <v>160</v>
      </c>
      <c r="J31" s="133" t="n">
        <f aca="false">IF(L31&gt;0,L31,0)</f>
        <v>21.211494832367</v>
      </c>
      <c r="K31" s="132" t="n">
        <f aca="false">I31+J31</f>
        <v>181.211494832367</v>
      </c>
      <c r="L31" s="132" t="n">
        <f aca="false">F31-(I31-AK31)</f>
        <v>21.211494832367</v>
      </c>
      <c r="M31" s="231" t="n">
        <v>152</v>
      </c>
      <c r="N31" s="199" t="n">
        <f aca="false">1.8299*1.03</f>
        <v>1.884797</v>
      </c>
      <c r="O31" s="132" t="n">
        <f aca="false">(23+23)*1.05</f>
        <v>48.3</v>
      </c>
      <c r="P31" s="199" t="n">
        <v>0</v>
      </c>
      <c r="Q31" s="167" t="n">
        <f aca="false">2.38*1.02</f>
        <v>2.4276</v>
      </c>
      <c r="R31" s="312" t="n">
        <v>4.2</v>
      </c>
      <c r="S31" s="312" t="n">
        <v>0.83</v>
      </c>
      <c r="T31" s="356" t="n">
        <v>0</v>
      </c>
      <c r="U31" s="132" t="n">
        <v>98</v>
      </c>
      <c r="V31" s="132" t="n">
        <v>75</v>
      </c>
      <c r="W31" s="132" t="n">
        <f aca="false">M31-N31-O31-P31-Q31-R31-S31-T31+U31+V31</f>
        <v>267.357603</v>
      </c>
      <c r="X31" s="132" t="n">
        <f aca="false">W31-AO31-AD31</f>
        <v>151.6724</v>
      </c>
      <c r="Y31" s="104" t="n">
        <f aca="false">Y30+(X31*1.9835)</f>
        <v>105552.1901233</v>
      </c>
      <c r="Z31" s="104" t="n">
        <f aca="false">Z30+X31*(26300/37500)*1.9835+(AD31*1.9835)</f>
        <v>100271.940372483</v>
      </c>
      <c r="AA31" s="104"/>
      <c r="AB31" s="104"/>
      <c r="AC31" s="104"/>
      <c r="AD31" s="134" t="n">
        <f aca="false">W31-(I31-Q31-R31-AF31)</f>
        <v>115.685203</v>
      </c>
      <c r="AE31" s="132" t="n">
        <v>33</v>
      </c>
      <c r="AF31" s="135" t="n">
        <v>1.7</v>
      </c>
      <c r="AG31" s="136" t="n">
        <v>1.3</v>
      </c>
      <c r="AH31" s="132" t="n">
        <v>40</v>
      </c>
      <c r="AI31" s="104" t="n">
        <f aca="false">AI30-AH31</f>
        <v>6463.25787748929</v>
      </c>
      <c r="AJ31" s="104"/>
      <c r="AK31" s="131" t="n">
        <f aca="false">N31+O31+P31+Q31+R31+S31+T31+W31+AE31+AH31</f>
        <v>398</v>
      </c>
      <c r="AL31" s="132" t="n">
        <f aca="false">IF(L31&lt;0,L31*-1,0)</f>
        <v>0</v>
      </c>
      <c r="AM31" s="132" t="n">
        <f aca="false">AK31+AL31</f>
        <v>398</v>
      </c>
      <c r="AN31" s="203" t="n">
        <f aca="false">AN30</f>
        <v>14794.787655</v>
      </c>
      <c r="AO31" s="134"/>
      <c r="AP31" s="133"/>
      <c r="AQ31" s="199" t="n">
        <v>0</v>
      </c>
      <c r="AR31" s="199"/>
      <c r="AS31" s="104"/>
      <c r="AU31" s="166" t="n">
        <f aca="false">O31</f>
        <v>48.3</v>
      </c>
      <c r="AV31" s="205" t="n">
        <v>0.01</v>
      </c>
      <c r="AW31" s="134" t="n">
        <v>72</v>
      </c>
      <c r="AX31" s="134" t="n">
        <v>44</v>
      </c>
      <c r="AY31" s="303"/>
      <c r="AZ31" s="233" t="n">
        <f aca="false">SUM(N31,P31:T31)</f>
        <v>9.342397</v>
      </c>
    </row>
    <row r="32" customFormat="false" ht="12.95" hidden="false" customHeight="true" outlineLevel="0" collapsed="false">
      <c r="A32" s="171" t="n">
        <v>19</v>
      </c>
      <c r="B32" s="103" t="n">
        <v>6896.4</v>
      </c>
      <c r="C32" s="104" t="n">
        <v>270490</v>
      </c>
      <c r="D32" s="134" t="n">
        <f aca="false">C32-C31</f>
        <v>-395</v>
      </c>
      <c r="E32" s="104" t="n">
        <f aca="false">C32-152000</f>
        <v>118490</v>
      </c>
      <c r="F32" s="229" t="n">
        <f aca="false">D32/$D$2</f>
        <v>-199.142929165616</v>
      </c>
      <c r="G32" s="132" t="n">
        <v>163</v>
      </c>
      <c r="H32" s="230" t="n">
        <v>0</v>
      </c>
      <c r="I32" s="132" t="n">
        <f aca="false">G32+H32</f>
        <v>163</v>
      </c>
      <c r="J32" s="133" t="n">
        <f aca="false">IF(L32&gt;0,L32,0)</f>
        <v>0</v>
      </c>
      <c r="K32" s="132" t="n">
        <f aca="false">I32+J32</f>
        <v>163</v>
      </c>
      <c r="L32" s="132" t="n">
        <f aca="false">F32-(I32-AK32)</f>
        <v>-4.14292916561627</v>
      </c>
      <c r="M32" s="231" t="n">
        <v>147</v>
      </c>
      <c r="N32" s="199" t="n">
        <f aca="false">1.8299*1.03</f>
        <v>1.884797</v>
      </c>
      <c r="O32" s="132" t="n">
        <f aca="false">(18+14)*1.05</f>
        <v>33.6</v>
      </c>
      <c r="P32" s="199" t="n">
        <v>0</v>
      </c>
      <c r="Q32" s="167" t="n">
        <f aca="false">2.38*1.02</f>
        <v>2.4276</v>
      </c>
      <c r="R32" s="312" t="n">
        <v>4.2</v>
      </c>
      <c r="S32" s="312" t="n">
        <v>1.71</v>
      </c>
      <c r="T32" s="356" t="n">
        <v>0</v>
      </c>
      <c r="U32" s="132" t="n">
        <v>98</v>
      </c>
      <c r="V32" s="132" t="n">
        <v>73</v>
      </c>
      <c r="W32" s="132" t="n">
        <f aca="false">M32-N32-O32-P32-Q32-R32-S32-T32+U32+V32</f>
        <v>274.177603</v>
      </c>
      <c r="X32" s="132" t="n">
        <f aca="false">W32-AO32-AD32</f>
        <v>154.6724</v>
      </c>
      <c r="Y32" s="104" t="n">
        <f aca="false">Y31+(X32*1.9835)</f>
        <v>105858.9828287</v>
      </c>
      <c r="Z32" s="104" t="n">
        <f aca="false">Z31+X32*(26300/37500)*1.9835+(AD32*1.9835)</f>
        <v>100724.142893354</v>
      </c>
      <c r="AA32" s="104"/>
      <c r="AB32" s="104"/>
      <c r="AC32" s="104"/>
      <c r="AD32" s="134" t="n">
        <f aca="false">W32-(I32-Q32-R32-AF32)</f>
        <v>119.505203</v>
      </c>
      <c r="AE32" s="132" t="n">
        <v>0</v>
      </c>
      <c r="AF32" s="135" t="n">
        <v>1.7</v>
      </c>
      <c r="AG32" s="136" t="n">
        <v>1.3</v>
      </c>
      <c r="AH32" s="132" t="n">
        <v>40</v>
      </c>
      <c r="AI32" s="104" t="n">
        <f aca="false">AI31-AH32</f>
        <v>6423.25787748929</v>
      </c>
      <c r="AJ32" s="104"/>
      <c r="AK32" s="131" t="n">
        <f aca="false">N32+O32+P32+Q32+R32+S32+T32+W32+AE32+AH32</f>
        <v>358</v>
      </c>
      <c r="AL32" s="132" t="n">
        <f aca="false">IF(L32&lt;0,L32*-1,0)</f>
        <v>4.14292916561627</v>
      </c>
      <c r="AM32" s="132" t="n">
        <f aca="false">AK32+AL32</f>
        <v>362.142929165616</v>
      </c>
      <c r="AN32" s="203" t="n">
        <f aca="false">AN31</f>
        <v>14794.787655</v>
      </c>
      <c r="AO32" s="134"/>
      <c r="AP32" s="133"/>
      <c r="AQ32" s="199" t="n">
        <v>0</v>
      </c>
      <c r="AR32" s="199"/>
      <c r="AS32" s="104"/>
      <c r="AU32" s="166" t="n">
        <f aca="false">O32</f>
        <v>33.6</v>
      </c>
      <c r="AV32" s="205" t="n">
        <v>0.03</v>
      </c>
      <c r="AW32" s="134" t="n">
        <v>71</v>
      </c>
      <c r="AX32" s="134" t="n">
        <v>49</v>
      </c>
      <c r="AY32" s="303"/>
      <c r="AZ32" s="233" t="n">
        <f aca="false">SUM(N32,P32:T32)</f>
        <v>10.222397</v>
      </c>
    </row>
    <row r="33" customFormat="false" ht="12.95" hidden="false" customHeight="true" outlineLevel="0" collapsed="false">
      <c r="A33" s="171" t="n">
        <v>20</v>
      </c>
      <c r="B33" s="103" t="n">
        <v>6896.3</v>
      </c>
      <c r="C33" s="104" t="n">
        <v>270131</v>
      </c>
      <c r="D33" s="134" t="n">
        <f aca="false">C33-C32</f>
        <v>-359</v>
      </c>
      <c r="E33" s="104" t="n">
        <f aca="false">C33-152000</f>
        <v>118131</v>
      </c>
      <c r="F33" s="229" t="n">
        <f aca="false">D33/$D$2</f>
        <v>-180.993193849256</v>
      </c>
      <c r="G33" s="132" t="n">
        <v>163</v>
      </c>
      <c r="H33" s="230" t="n">
        <v>0</v>
      </c>
      <c r="I33" s="132" t="n">
        <f aca="false">G33+H33</f>
        <v>163</v>
      </c>
      <c r="J33" s="133" t="n">
        <f aca="false">IF(L33&gt;0,L33,0)</f>
        <v>3.00680615074364</v>
      </c>
      <c r="K33" s="132" t="n">
        <f aca="false">I33+J33</f>
        <v>166.006806150744</v>
      </c>
      <c r="L33" s="132" t="n">
        <f aca="false">F33-(I33-AK33)</f>
        <v>3.00680615074364</v>
      </c>
      <c r="M33" s="231" t="n">
        <v>136</v>
      </c>
      <c r="N33" s="199" t="n">
        <f aca="false">1.8299*1.03</f>
        <v>1.884797</v>
      </c>
      <c r="O33" s="132" t="n">
        <f aca="false">(14+12)*1.05</f>
        <v>27.3</v>
      </c>
      <c r="P33" s="199" t="n">
        <v>0</v>
      </c>
      <c r="Q33" s="167" t="n">
        <f aca="false">2.38*1.02</f>
        <v>2.4276</v>
      </c>
      <c r="R33" s="312" t="n">
        <v>4.2</v>
      </c>
      <c r="S33" s="312" t="n">
        <v>0.24</v>
      </c>
      <c r="T33" s="356" t="n">
        <v>0</v>
      </c>
      <c r="U33" s="132" t="n">
        <v>98</v>
      </c>
      <c r="V33" s="132" t="n">
        <v>73</v>
      </c>
      <c r="W33" s="132" t="n">
        <f aca="false">M33-N33-O33-P33-Q33-R33-S33-T33+U33+V33</f>
        <v>270.947603</v>
      </c>
      <c r="X33" s="132" t="n">
        <f aca="false">W33-AO33-AD33</f>
        <v>154.6724</v>
      </c>
      <c r="Y33" s="104" t="n">
        <f aca="false">Y32+(X33*1.9835)</f>
        <v>106165.7755341</v>
      </c>
      <c r="Z33" s="104" t="n">
        <f aca="false">Z32+X33*(26300/37500)*1.9835+(AD33*1.9835)</f>
        <v>101169.938709225</v>
      </c>
      <c r="AA33" s="104"/>
      <c r="AB33" s="104"/>
      <c r="AC33" s="104"/>
      <c r="AD33" s="134" t="n">
        <f aca="false">W33-(I33-Q33-R33-AF33)</f>
        <v>116.275203</v>
      </c>
      <c r="AE33" s="132" t="n">
        <v>0</v>
      </c>
      <c r="AF33" s="135" t="n">
        <v>1.7</v>
      </c>
      <c r="AG33" s="136" t="n">
        <v>1.3</v>
      </c>
      <c r="AH33" s="132" t="n">
        <v>40</v>
      </c>
      <c r="AI33" s="104" t="n">
        <f aca="false">AI32-AH33</f>
        <v>6383.25787748929</v>
      </c>
      <c r="AJ33" s="104"/>
      <c r="AK33" s="131" t="n">
        <f aca="false">N33+O33+P33+Q33+R33+S33+T33+W33+AE33+AH33</f>
        <v>347</v>
      </c>
      <c r="AL33" s="132" t="n">
        <f aca="false">IF(L33&lt;0,L33*-1,0)</f>
        <v>0</v>
      </c>
      <c r="AM33" s="132" t="n">
        <f aca="false">AK33+AL33</f>
        <v>347</v>
      </c>
      <c r="AN33" s="203" t="n">
        <f aca="false">AN32</f>
        <v>14794.787655</v>
      </c>
      <c r="AO33" s="134"/>
      <c r="AP33" s="133"/>
      <c r="AQ33" s="199" t="n">
        <v>0</v>
      </c>
      <c r="AR33" s="199"/>
      <c r="AS33" s="104"/>
      <c r="AU33" s="166" t="n">
        <f aca="false">O33</f>
        <v>27.3</v>
      </c>
      <c r="AV33" s="205" t="n">
        <v>0.03</v>
      </c>
      <c r="AW33" s="134" t="n">
        <v>72</v>
      </c>
      <c r="AX33" s="134" t="n">
        <v>46</v>
      </c>
      <c r="AY33" s="303"/>
      <c r="AZ33" s="233" t="n">
        <f aca="false">SUM(N33,P33:T33)</f>
        <v>8.752397</v>
      </c>
    </row>
    <row r="34" customFormat="false" ht="12.95" hidden="false" customHeight="true" outlineLevel="0" collapsed="false">
      <c r="A34" s="171" t="n">
        <v>21</v>
      </c>
      <c r="B34" s="103" t="n">
        <v>6896.18</v>
      </c>
      <c r="C34" s="104" t="n">
        <v>269701</v>
      </c>
      <c r="D34" s="134" t="n">
        <f aca="false">C34-C33</f>
        <v>-430</v>
      </c>
      <c r="E34" s="104" t="n">
        <f aca="false">C34-152000</f>
        <v>117701</v>
      </c>
      <c r="F34" s="229" t="n">
        <f aca="false">D34/$D$2</f>
        <v>-216.788505167633</v>
      </c>
      <c r="G34" s="132" t="n">
        <v>158</v>
      </c>
      <c r="H34" s="230" t="n">
        <v>0</v>
      </c>
      <c r="I34" s="132" t="n">
        <f aca="false">G34+H34</f>
        <v>158</v>
      </c>
      <c r="J34" s="133" t="n">
        <f aca="false">IF(L34&gt;0,L34,0)</f>
        <v>0</v>
      </c>
      <c r="K34" s="132" t="n">
        <f aca="false">I34+J34</f>
        <v>158</v>
      </c>
      <c r="L34" s="132" t="n">
        <f aca="false">F34-(I34-AK34)</f>
        <v>-24.088505167633</v>
      </c>
      <c r="M34" s="231" t="n">
        <v>132</v>
      </c>
      <c r="N34" s="199" t="n">
        <f aca="false">1.8299*1.03</f>
        <v>1.884797</v>
      </c>
      <c r="O34" s="132" t="n">
        <f aca="false">(14+13)*1.05</f>
        <v>28.35</v>
      </c>
      <c r="P34" s="199" t="n">
        <v>0</v>
      </c>
      <c r="Q34" s="167" t="n">
        <f aca="false">2.38*1.02</f>
        <v>2.4276</v>
      </c>
      <c r="R34" s="312" t="n">
        <v>4.2</v>
      </c>
      <c r="S34" s="312" t="n">
        <v>1.34</v>
      </c>
      <c r="T34" s="356" t="n">
        <v>0</v>
      </c>
      <c r="U34" s="132" t="n">
        <v>98</v>
      </c>
      <c r="V34" s="132" t="n">
        <v>73</v>
      </c>
      <c r="W34" s="132" t="n">
        <f aca="false">M34-N34-O34-P34-Q34-R34-S34-T34+U34+V34</f>
        <v>264.797603</v>
      </c>
      <c r="X34" s="132" t="n">
        <f aca="false">W34-AO34-AD34</f>
        <v>149.6724</v>
      </c>
      <c r="Y34" s="104" t="n">
        <f aca="false">Y33+(X34*1.9835)</f>
        <v>106462.6507395</v>
      </c>
      <c r="Z34" s="104" t="n">
        <f aca="false">Z33+X34*(26300/37500)*1.9835+(AD34*1.9835)</f>
        <v>101606.498026763</v>
      </c>
      <c r="AA34" s="104"/>
      <c r="AB34" s="104"/>
      <c r="AC34" s="104"/>
      <c r="AD34" s="134" t="n">
        <f aca="false">W34-(I34-Q34-R34-AF34)</f>
        <v>115.125203</v>
      </c>
      <c r="AE34" s="132" t="n">
        <v>7.7</v>
      </c>
      <c r="AF34" s="135" t="n">
        <v>1.7</v>
      </c>
      <c r="AG34" s="136" t="n">
        <v>1.3</v>
      </c>
      <c r="AH34" s="132" t="n">
        <v>40</v>
      </c>
      <c r="AI34" s="104" t="n">
        <f aca="false">AI33-AH34</f>
        <v>6343.25787748929</v>
      </c>
      <c r="AJ34" s="104"/>
      <c r="AK34" s="131" t="n">
        <f aca="false">N34+O34+P34+Q34+R34+S34+T34+W34+AE34+AH34</f>
        <v>350.7</v>
      </c>
      <c r="AL34" s="132" t="n">
        <f aca="false">IF(L34&lt;0,L34*-1,0)</f>
        <v>24.088505167633</v>
      </c>
      <c r="AM34" s="132" t="n">
        <f aca="false">AK34+AL34</f>
        <v>374.788505167633</v>
      </c>
      <c r="AN34" s="203" t="n">
        <f aca="false">AN33</f>
        <v>14794.787655</v>
      </c>
      <c r="AO34" s="134"/>
      <c r="AP34" s="133"/>
      <c r="AQ34" s="199" t="n">
        <v>0</v>
      </c>
      <c r="AR34" s="199"/>
      <c r="AS34" s="104"/>
      <c r="AU34" s="166" t="n">
        <f aca="false">O34</f>
        <v>28.35</v>
      </c>
      <c r="AV34" s="205" t="n">
        <v>0</v>
      </c>
      <c r="AW34" s="134" t="n">
        <v>64</v>
      </c>
      <c r="AX34" s="134" t="n">
        <v>42</v>
      </c>
      <c r="AY34" s="303"/>
      <c r="AZ34" s="233" t="n">
        <f aca="false">SUM(N34,P34:T34)</f>
        <v>9.852397</v>
      </c>
    </row>
    <row r="35" customFormat="false" ht="12.95" hidden="false" customHeight="true" outlineLevel="0" collapsed="false">
      <c r="A35" s="171" t="n">
        <v>22</v>
      </c>
      <c r="B35" s="103" t="n">
        <v>6896.03</v>
      </c>
      <c r="C35" s="104" t="n">
        <v>269162</v>
      </c>
      <c r="D35" s="134" t="n">
        <f aca="false">C35-C34</f>
        <v>-539</v>
      </c>
      <c r="E35" s="104" t="n">
        <f aca="false">C35-152000</f>
        <v>117162</v>
      </c>
      <c r="F35" s="229" t="n">
        <f aca="false">D35/$D$2</f>
        <v>-271.741870431056</v>
      </c>
      <c r="G35" s="132" t="n">
        <v>98</v>
      </c>
      <c r="H35" s="230" t="n">
        <v>0</v>
      </c>
      <c r="I35" s="132" t="n">
        <f aca="false">G35+H35</f>
        <v>98</v>
      </c>
      <c r="J35" s="133" t="n">
        <f aca="false">IF(L35&gt;0,L35,0)</f>
        <v>0</v>
      </c>
      <c r="K35" s="132" t="n">
        <f aca="false">I35+J35</f>
        <v>98</v>
      </c>
      <c r="L35" s="132" t="n">
        <f aca="false">F35-(I35-AK35)</f>
        <v>-46.7418704310562</v>
      </c>
      <c r="M35" s="231" t="n">
        <v>117</v>
      </c>
      <c r="N35" s="199" t="n">
        <f aca="false">1.8299*1.03</f>
        <v>1.884797</v>
      </c>
      <c r="O35" s="132" t="n">
        <f aca="false">(11+9.9)*1.05</f>
        <v>21.945</v>
      </c>
      <c r="P35" s="199" t="n">
        <v>0</v>
      </c>
      <c r="Q35" s="167" t="n">
        <f aca="false">2.38*1.02</f>
        <v>2.4276</v>
      </c>
      <c r="R35" s="312" t="n">
        <v>4.2</v>
      </c>
      <c r="S35" s="312" t="n">
        <v>0.31</v>
      </c>
      <c r="T35" s="356" t="n">
        <v>0</v>
      </c>
      <c r="U35" s="132" t="n">
        <v>96</v>
      </c>
      <c r="V35" s="132" t="n">
        <v>70</v>
      </c>
      <c r="W35" s="132" t="n">
        <f aca="false">M35-N35-O35-P35-Q35-R35-S35-T35+U35+V35</f>
        <v>252.232603</v>
      </c>
      <c r="X35" s="132" t="n">
        <f aca="false">W35-AO35-AD35</f>
        <v>89.6724</v>
      </c>
      <c r="Y35" s="104" t="n">
        <f aca="false">Y34+(X35*1.9835)</f>
        <v>106640.5159449</v>
      </c>
      <c r="Z35" s="104" t="n">
        <f aca="false">Z34+X35*(26300/37500)*1.9835+(AD35*1.9835)</f>
        <v>102053.678986801</v>
      </c>
      <c r="AA35" s="104"/>
      <c r="AB35" s="104"/>
      <c r="AC35" s="104"/>
      <c r="AD35" s="134" t="n">
        <f aca="false">W35-(I35-Q35-R35-AF35)</f>
        <v>162.560203</v>
      </c>
      <c r="AE35" s="132" t="n">
        <v>0</v>
      </c>
      <c r="AF35" s="135" t="n">
        <v>1.7</v>
      </c>
      <c r="AG35" s="136" t="n">
        <v>1.3</v>
      </c>
      <c r="AH35" s="132" t="n">
        <v>40</v>
      </c>
      <c r="AI35" s="104" t="n">
        <f aca="false">AI34-AH35</f>
        <v>6303.25787748929</v>
      </c>
      <c r="AJ35" s="104"/>
      <c r="AK35" s="131" t="n">
        <f aca="false">N35+O35+P35+Q35+R35+S35+T35+W35+AE35+AH35</f>
        <v>323</v>
      </c>
      <c r="AL35" s="132" t="n">
        <f aca="false">IF(L35&lt;0,L35*-1,0)</f>
        <v>46.7418704310562</v>
      </c>
      <c r="AM35" s="132" t="n">
        <f aca="false">AK35+AL35</f>
        <v>369.741870431056</v>
      </c>
      <c r="AN35" s="203" t="n">
        <f aca="false">AN34</f>
        <v>14794.787655</v>
      </c>
      <c r="AO35" s="134"/>
      <c r="AP35" s="133"/>
      <c r="AQ35" s="199" t="n">
        <v>0</v>
      </c>
      <c r="AR35" s="199"/>
      <c r="AS35" s="104"/>
      <c r="AU35" s="166" t="n">
        <f aca="false">O35</f>
        <v>21.945</v>
      </c>
      <c r="AV35" s="205" t="n">
        <v>0</v>
      </c>
      <c r="AW35" s="134" t="n">
        <v>59</v>
      </c>
      <c r="AX35" s="134" t="n">
        <v>32</v>
      </c>
      <c r="AY35" s="303"/>
      <c r="AZ35" s="233" t="n">
        <f aca="false">SUM(N35,P35:T35)</f>
        <v>8.822397</v>
      </c>
    </row>
    <row r="36" customFormat="false" ht="12.95" hidden="false" customHeight="true" outlineLevel="0" collapsed="false">
      <c r="A36" s="171" t="n">
        <v>23</v>
      </c>
      <c r="B36" s="103" t="n">
        <v>6895.89</v>
      </c>
      <c r="C36" s="104" t="n">
        <v>268663</v>
      </c>
      <c r="D36" s="134" t="n">
        <f aca="false">C36-C35</f>
        <v>-499</v>
      </c>
      <c r="E36" s="104" t="n">
        <f aca="false">C36-152000</f>
        <v>116663</v>
      </c>
      <c r="F36" s="229" t="n">
        <f aca="false">D36/$D$2</f>
        <v>-251.575497857323</v>
      </c>
      <c r="G36" s="132" t="n">
        <v>76</v>
      </c>
      <c r="H36" s="230" t="n">
        <v>0</v>
      </c>
      <c r="I36" s="132" t="n">
        <f aca="false">G36+H36</f>
        <v>76</v>
      </c>
      <c r="J36" s="133" t="n">
        <f aca="false">IF(L36&gt;0,L36,0)</f>
        <v>0</v>
      </c>
      <c r="K36" s="132" t="n">
        <f aca="false">I36+J36</f>
        <v>76</v>
      </c>
      <c r="L36" s="132" t="n">
        <f aca="false">F36-(I36-AK36)</f>
        <v>-3.57549785732292</v>
      </c>
      <c r="M36" s="231" t="n">
        <v>114</v>
      </c>
      <c r="N36" s="199" t="n">
        <f aca="false">1.8299*1.03</f>
        <v>1.884797</v>
      </c>
      <c r="O36" s="132" t="n">
        <f aca="false">(8.3+5)*1.05</f>
        <v>13.965</v>
      </c>
      <c r="P36" s="199" t="n">
        <v>0</v>
      </c>
      <c r="Q36" s="167" t="n">
        <f aca="false">2.38*1.02</f>
        <v>2.4276</v>
      </c>
      <c r="R36" s="312" t="n">
        <v>4.2</v>
      </c>
      <c r="S36" s="312" t="n">
        <v>0.85</v>
      </c>
      <c r="T36" s="356" t="n">
        <v>0</v>
      </c>
      <c r="U36" s="132" t="n">
        <v>92</v>
      </c>
      <c r="V36" s="132" t="n">
        <v>65</v>
      </c>
      <c r="W36" s="132" t="n">
        <f aca="false">M36-N36-O36-P36-Q36-R36-S36-T36+U36+V36</f>
        <v>247.672603</v>
      </c>
      <c r="X36" s="132" t="n">
        <f aca="false">W36-AO36-AD36</f>
        <v>67.6724</v>
      </c>
      <c r="Y36" s="104" t="n">
        <f aca="false">Y35+(X36*1.9835)</f>
        <v>106774.7441503</v>
      </c>
      <c r="Z36" s="104" t="n">
        <f aca="false">Z35+X36*(26300/37500)*1.9835+(AD36*1.9835)</f>
        <v>102504.848104172</v>
      </c>
      <c r="AA36" s="104"/>
      <c r="AB36" s="104"/>
      <c r="AC36" s="104"/>
      <c r="AD36" s="134" t="n">
        <f aca="false">W36-(I36-Q36-R36-AF36)</f>
        <v>180.000203</v>
      </c>
      <c r="AE36" s="132" t="n">
        <v>13</v>
      </c>
      <c r="AF36" s="135" t="n">
        <v>1.7</v>
      </c>
      <c r="AG36" s="136" t="n">
        <v>1.3</v>
      </c>
      <c r="AH36" s="132" t="n">
        <v>40</v>
      </c>
      <c r="AI36" s="104" t="n">
        <f aca="false">AI35-AH36</f>
        <v>6263.25787748929</v>
      </c>
      <c r="AJ36" s="104"/>
      <c r="AK36" s="131" t="n">
        <f aca="false">N36+O36+P36+Q36+R36+S36+T36+W36+AE36+AH36</f>
        <v>324</v>
      </c>
      <c r="AL36" s="132" t="n">
        <f aca="false">IF(L36&lt;0,L36*-1,0)</f>
        <v>3.57549785732292</v>
      </c>
      <c r="AM36" s="132" t="n">
        <f aca="false">AK36+AL36</f>
        <v>327.575497857323</v>
      </c>
      <c r="AN36" s="203" t="n">
        <f aca="false">AN35</f>
        <v>14794.787655</v>
      </c>
      <c r="AO36" s="134"/>
      <c r="AP36" s="133"/>
      <c r="AQ36" s="199" t="n">
        <v>0</v>
      </c>
      <c r="AR36" s="199"/>
      <c r="AS36" s="104"/>
      <c r="AU36" s="166" t="n">
        <f aca="false">O36</f>
        <v>13.965</v>
      </c>
      <c r="AV36" s="205" t="n">
        <v>0</v>
      </c>
      <c r="AW36" s="134" t="n">
        <v>65</v>
      </c>
      <c r="AX36" s="134" t="n">
        <v>36</v>
      </c>
      <c r="AY36" s="303"/>
      <c r="AZ36" s="233" t="n">
        <f aca="false">SUM(N36,P36:T36)</f>
        <v>9.362397</v>
      </c>
    </row>
    <row r="37" customFormat="false" ht="12.95" hidden="false" customHeight="true" outlineLevel="0" collapsed="false">
      <c r="A37" s="171" t="n">
        <v>24</v>
      </c>
      <c r="B37" s="103" t="n">
        <v>6895.75</v>
      </c>
      <c r="C37" s="104" t="n">
        <v>268165</v>
      </c>
      <c r="D37" s="134" t="n">
        <f aca="false">C37-C36</f>
        <v>-498</v>
      </c>
      <c r="E37" s="104" t="n">
        <f aca="false">C37-152000</f>
        <v>116165</v>
      </c>
      <c r="F37" s="229" t="n">
        <f aca="false">D37/$D$2</f>
        <v>-251.07133854298</v>
      </c>
      <c r="G37" s="132" t="n">
        <v>63</v>
      </c>
      <c r="H37" s="230" t="n">
        <v>0</v>
      </c>
      <c r="I37" s="132" t="n">
        <f aca="false">G37+H37</f>
        <v>63</v>
      </c>
      <c r="J37" s="133" t="n">
        <f aca="false">IF(L37&gt;0,L37,0)</f>
        <v>0</v>
      </c>
      <c r="K37" s="132" t="n">
        <f aca="false">I37+J37</f>
        <v>63</v>
      </c>
      <c r="L37" s="132" t="n">
        <f aca="false">F37-(I37-AK37)</f>
        <v>-12.6713385429796</v>
      </c>
      <c r="M37" s="231" t="n">
        <v>104</v>
      </c>
      <c r="N37" s="199" t="n">
        <f aca="false">1.8299*1.03</f>
        <v>1.884797</v>
      </c>
      <c r="O37" s="132" t="n">
        <f aca="false">(8+6)*1.05</f>
        <v>14.7</v>
      </c>
      <c r="P37" s="199" t="n">
        <v>0</v>
      </c>
      <c r="Q37" s="167" t="n">
        <f aca="false">2.38*1.02</f>
        <v>2.4276</v>
      </c>
      <c r="R37" s="312" t="n">
        <v>4.2</v>
      </c>
      <c r="S37" s="312" t="n">
        <v>0.91</v>
      </c>
      <c r="T37" s="356" t="n">
        <v>0</v>
      </c>
      <c r="U37" s="132" t="n">
        <v>88</v>
      </c>
      <c r="V37" s="132" t="n">
        <v>60</v>
      </c>
      <c r="W37" s="132" t="n">
        <f aca="false">M37-N37-O37-P37-Q37-R37-S37-T37+U37+V37</f>
        <v>227.877603</v>
      </c>
      <c r="X37" s="132" t="n">
        <f aca="false">W37-AO37-AD37</f>
        <v>54.6724</v>
      </c>
      <c r="Y37" s="104" t="n">
        <f aca="false">Y36+(X37*1.9835)</f>
        <v>106883.1868557</v>
      </c>
      <c r="Z37" s="104" t="n">
        <f aca="false">Z36+X37*(26300/37500)*1.9835+(AD37*1.9835)</f>
        <v>102924.455108376</v>
      </c>
      <c r="AA37" s="104"/>
      <c r="AB37" s="104"/>
      <c r="AC37" s="104"/>
      <c r="AD37" s="134" t="n">
        <f aca="false">W37-(I37-Q37-R37-AF37)</f>
        <v>173.205203</v>
      </c>
      <c r="AE37" s="132" t="n">
        <v>9.4</v>
      </c>
      <c r="AF37" s="135" t="n">
        <v>1.7</v>
      </c>
      <c r="AG37" s="136" t="n">
        <v>1.3</v>
      </c>
      <c r="AH37" s="132" t="n">
        <v>40</v>
      </c>
      <c r="AI37" s="104" t="n">
        <f aca="false">AI36-AH37</f>
        <v>6223.25787748929</v>
      </c>
      <c r="AJ37" s="104"/>
      <c r="AK37" s="131" t="n">
        <f aca="false">N37+O37+P37+Q37+R37+S37+T37+W37+AE37+AH37</f>
        <v>301.4</v>
      </c>
      <c r="AL37" s="132" t="n">
        <f aca="false">IF(L37&lt;0,L37*-1,0)</f>
        <v>12.6713385429796</v>
      </c>
      <c r="AM37" s="132" t="n">
        <f aca="false">AK37+AL37</f>
        <v>314.07133854298</v>
      </c>
      <c r="AN37" s="203" t="n">
        <f aca="false">AN36</f>
        <v>14794.787655</v>
      </c>
      <c r="AO37" s="134"/>
      <c r="AP37" s="133"/>
      <c r="AQ37" s="199" t="n">
        <v>0</v>
      </c>
      <c r="AR37" s="199"/>
      <c r="AS37" s="104"/>
      <c r="AU37" s="166" t="n">
        <f aca="false">O37</f>
        <v>14.7</v>
      </c>
      <c r="AV37" s="205" t="n">
        <v>0</v>
      </c>
      <c r="AW37" s="134" t="n">
        <v>66</v>
      </c>
      <c r="AX37" s="134" t="n">
        <v>37</v>
      </c>
      <c r="AY37" s="303"/>
      <c r="AZ37" s="233" t="n">
        <f aca="false">SUM(N37,P37:T37)</f>
        <v>9.422397</v>
      </c>
    </row>
    <row r="38" customFormat="false" ht="12.95" hidden="false" customHeight="true" outlineLevel="0" collapsed="false">
      <c r="A38" s="171" t="n">
        <v>25</v>
      </c>
      <c r="B38" s="103" t="n">
        <v>6895.61</v>
      </c>
      <c r="C38" s="104" t="n">
        <v>267667</v>
      </c>
      <c r="D38" s="134" t="n">
        <f aca="false">C38-C37</f>
        <v>-498</v>
      </c>
      <c r="E38" s="104" t="n">
        <f aca="false">C38-152000</f>
        <v>115667</v>
      </c>
      <c r="F38" s="229" t="n">
        <f aca="false">D38/$D$2</f>
        <v>-251.07133854298</v>
      </c>
      <c r="G38" s="132" t="n">
        <v>60</v>
      </c>
      <c r="H38" s="230" t="n">
        <v>0</v>
      </c>
      <c r="I38" s="132" t="n">
        <f aca="false">G38+H38</f>
        <v>60</v>
      </c>
      <c r="J38" s="133" t="n">
        <f aca="false">IF(L38&gt;0,L38,0)</f>
        <v>0</v>
      </c>
      <c r="K38" s="132" t="n">
        <f aca="false">I38+J38</f>
        <v>60</v>
      </c>
      <c r="L38" s="132" t="n">
        <f aca="false">F38-(I38-AK38)</f>
        <v>-17.1513385429796</v>
      </c>
      <c r="M38" s="231" t="n">
        <v>111</v>
      </c>
      <c r="N38" s="199" t="n">
        <f aca="false">1.8299*1.03</f>
        <v>1.884797</v>
      </c>
      <c r="O38" s="132" t="n">
        <f aca="false">(11+12)*1.05</f>
        <v>24.15</v>
      </c>
      <c r="P38" s="199" t="n">
        <v>0</v>
      </c>
      <c r="Q38" s="167" t="n">
        <f aca="false">2.38*1.02</f>
        <v>2.4276</v>
      </c>
      <c r="R38" s="312" t="n">
        <v>4.2</v>
      </c>
      <c r="S38" s="312" t="n">
        <v>1.5</v>
      </c>
      <c r="T38" s="356" t="n">
        <v>0</v>
      </c>
      <c r="U38" s="132" t="n">
        <v>87</v>
      </c>
      <c r="V38" s="132" t="n">
        <v>55</v>
      </c>
      <c r="W38" s="132" t="n">
        <f aca="false">M38-N38-O38-P38-Q38-R38-S38-T38+U38+V38</f>
        <v>218.837603</v>
      </c>
      <c r="X38" s="132" t="n">
        <f aca="false">W38-AO38-AD38</f>
        <v>51.6724</v>
      </c>
      <c r="Y38" s="104" t="n">
        <f aca="false">Y37+(X38*1.9835)</f>
        <v>106985.6790611</v>
      </c>
      <c r="Z38" s="104" t="n">
        <f aca="false">Z37+X38*(26300/37500)*1.9835+(AD38*1.9835)</f>
        <v>103327.90848858</v>
      </c>
      <c r="AA38" s="104"/>
      <c r="AB38" s="104"/>
      <c r="AC38" s="104"/>
      <c r="AD38" s="134" t="n">
        <f aca="false">W38-(I38-Q38-R38-AF38)</f>
        <v>167.165203</v>
      </c>
      <c r="AE38" s="132" t="n">
        <v>0.92</v>
      </c>
      <c r="AF38" s="135" t="n">
        <v>1.7</v>
      </c>
      <c r="AG38" s="136" t="n">
        <v>1.3</v>
      </c>
      <c r="AH38" s="132" t="n">
        <v>40</v>
      </c>
      <c r="AI38" s="104" t="n">
        <f aca="false">AI37-AH38</f>
        <v>6183.25787748929</v>
      </c>
      <c r="AJ38" s="104"/>
      <c r="AK38" s="131" t="n">
        <f aca="false">N38+O38+P38+Q38+R38+S38+T38+W38+AE38+AH38</f>
        <v>293.92</v>
      </c>
      <c r="AL38" s="132" t="n">
        <f aca="false">IF(L38&lt;0,L38*-1,0)</f>
        <v>17.1513385429796</v>
      </c>
      <c r="AM38" s="132" t="n">
        <f aca="false">AK38+AL38</f>
        <v>311.07133854298</v>
      </c>
      <c r="AN38" s="203" t="n">
        <f aca="false">AN37</f>
        <v>14794.787655</v>
      </c>
      <c r="AO38" s="134"/>
      <c r="AP38" s="133"/>
      <c r="AQ38" s="199" t="n">
        <v>0</v>
      </c>
      <c r="AR38" s="199"/>
      <c r="AS38" s="104"/>
      <c r="AU38" s="166" t="n">
        <f aca="false">O38</f>
        <v>24.15</v>
      </c>
      <c r="AV38" s="205" t="n">
        <v>0</v>
      </c>
      <c r="AW38" s="134" t="n">
        <v>74</v>
      </c>
      <c r="AX38" s="134" t="n">
        <v>40</v>
      </c>
      <c r="AY38" s="303"/>
      <c r="AZ38" s="233" t="n">
        <f aca="false">SUM(N38,P38:T38)</f>
        <v>10.012397</v>
      </c>
    </row>
    <row r="39" customFormat="false" ht="12.95" hidden="false" customHeight="true" outlineLevel="0" collapsed="false">
      <c r="A39" s="171" t="n">
        <v>26</v>
      </c>
      <c r="B39" s="103" t="n">
        <v>6895.47</v>
      </c>
      <c r="C39" s="104" t="n">
        <v>267168</v>
      </c>
      <c r="D39" s="134" t="n">
        <f aca="false">C39-C38</f>
        <v>-499</v>
      </c>
      <c r="E39" s="104" t="n">
        <f aca="false">C39-152000</f>
        <v>115168</v>
      </c>
      <c r="F39" s="229" t="n">
        <f aca="false">D39/$D$2</f>
        <v>-251.575497857323</v>
      </c>
      <c r="G39" s="132" t="n">
        <v>57</v>
      </c>
      <c r="H39" s="230" t="n">
        <v>0</v>
      </c>
      <c r="I39" s="132" t="n">
        <f aca="false">G39+H39</f>
        <v>57</v>
      </c>
      <c r="J39" s="133" t="n">
        <f aca="false">IF(L39&gt;0,L39,0)</f>
        <v>0</v>
      </c>
      <c r="K39" s="132" t="n">
        <f aca="false">I39+J39</f>
        <v>57</v>
      </c>
      <c r="L39" s="132" t="n">
        <f aca="false">F39-(I39-AK39)</f>
        <v>-21.5754978573229</v>
      </c>
      <c r="M39" s="231" t="n">
        <v>107</v>
      </c>
      <c r="N39" s="199" t="n">
        <f aca="false">1.8299*1.03</f>
        <v>1.884797</v>
      </c>
      <c r="O39" s="132" t="n">
        <f aca="false">(15+14)*1.05</f>
        <v>30.45</v>
      </c>
      <c r="P39" s="199" t="n">
        <v>0</v>
      </c>
      <c r="Q39" s="167" t="n">
        <f aca="false">2.38*1.02</f>
        <v>2.4276</v>
      </c>
      <c r="R39" s="312" t="n">
        <v>4.2</v>
      </c>
      <c r="S39" s="312" t="n">
        <v>1.3</v>
      </c>
      <c r="T39" s="356" t="n">
        <v>0</v>
      </c>
      <c r="U39" s="132" t="n">
        <v>87</v>
      </c>
      <c r="V39" s="132" t="n">
        <v>54</v>
      </c>
      <c r="W39" s="132" t="n">
        <f aca="false">M39-N39-O39-P39-Q39-R39-S39-T39+U39+V39</f>
        <v>207.737603</v>
      </c>
      <c r="X39" s="132" t="n">
        <f aca="false">W39-AO39-AD39</f>
        <v>48.6724</v>
      </c>
      <c r="Y39" s="104" t="n">
        <f aca="false">Y38+(X39*1.9835)</f>
        <v>107082.2207665</v>
      </c>
      <c r="Z39" s="104" t="n">
        <f aca="false">Z38+X39*(26300/37500)*1.9835+(AD39*1.9835)</f>
        <v>103711.122234785</v>
      </c>
      <c r="AA39" s="104"/>
      <c r="AB39" s="104"/>
      <c r="AC39" s="104"/>
      <c r="AD39" s="134" t="n">
        <f aca="false">W39-(I39-Q39-R39-AF39)</f>
        <v>159.065203</v>
      </c>
      <c r="AE39" s="132" t="n">
        <v>0</v>
      </c>
      <c r="AF39" s="135" t="n">
        <v>1.7</v>
      </c>
      <c r="AG39" s="136" t="n">
        <v>1.3</v>
      </c>
      <c r="AH39" s="132" t="n">
        <v>39</v>
      </c>
      <c r="AI39" s="104" t="n">
        <f aca="false">AI38-AH39</f>
        <v>6144.25787748929</v>
      </c>
      <c r="AJ39" s="104"/>
      <c r="AK39" s="131" t="n">
        <f aca="false">N39+O39+P39+Q39+R39+S39+T39+W39+AE39+AH39</f>
        <v>287</v>
      </c>
      <c r="AL39" s="132" t="n">
        <f aca="false">IF(L39&lt;0,L39*-1,0)</f>
        <v>21.5754978573229</v>
      </c>
      <c r="AM39" s="132" t="n">
        <f aca="false">AK39+AL39</f>
        <v>308.575497857323</v>
      </c>
      <c r="AN39" s="203" t="n">
        <f aca="false">AN38</f>
        <v>14794.787655</v>
      </c>
      <c r="AO39" s="134"/>
      <c r="AP39" s="133"/>
      <c r="AQ39" s="199" t="n">
        <v>0</v>
      </c>
      <c r="AR39" s="199"/>
      <c r="AS39" s="104"/>
      <c r="AU39" s="166" t="n">
        <f aca="false">O39</f>
        <v>30.45</v>
      </c>
      <c r="AV39" s="205" t="n">
        <v>0</v>
      </c>
      <c r="AW39" s="134" t="n">
        <v>80</v>
      </c>
      <c r="AX39" s="134" t="n">
        <v>44</v>
      </c>
      <c r="AY39" s="303"/>
      <c r="AZ39" s="233" t="n">
        <f aca="false">SUM(N39,P39:T39)</f>
        <v>9.812397</v>
      </c>
    </row>
    <row r="40" customFormat="false" ht="12.95" hidden="false" customHeight="true" outlineLevel="0" collapsed="false">
      <c r="A40" s="171" t="n">
        <v>27</v>
      </c>
      <c r="B40" s="103" t="n">
        <v>6895.32</v>
      </c>
      <c r="C40" s="104" t="n">
        <v>266635</v>
      </c>
      <c r="D40" s="134" t="n">
        <f aca="false">C40-C39</f>
        <v>-533</v>
      </c>
      <c r="E40" s="104" t="n">
        <f aca="false">C40-152000</f>
        <v>114635</v>
      </c>
      <c r="F40" s="229" t="n">
        <f aca="false">D40/$D$2</f>
        <v>-268.716914544996</v>
      </c>
      <c r="G40" s="132" t="n">
        <v>53</v>
      </c>
      <c r="H40" s="230" t="n">
        <v>0</v>
      </c>
      <c r="I40" s="132" t="n">
        <f aca="false">G40+H40</f>
        <v>53</v>
      </c>
      <c r="J40" s="133" t="n">
        <f aca="false">IF(L40&gt;0,L40,0)</f>
        <v>0</v>
      </c>
      <c r="K40" s="132" t="n">
        <f aca="false">I40+J40</f>
        <v>53</v>
      </c>
      <c r="L40" s="132" t="n">
        <f aca="false">F40-(I40-AK40)</f>
        <v>-28.7169145449962</v>
      </c>
      <c r="M40" s="231" t="n">
        <v>114</v>
      </c>
      <c r="N40" s="199" t="n">
        <f aca="false">1.8299*1.03</f>
        <v>1.884797</v>
      </c>
      <c r="O40" s="132" t="n">
        <f aca="false">(13+14)*1.05</f>
        <v>28.35</v>
      </c>
      <c r="P40" s="199" t="n">
        <v>0</v>
      </c>
      <c r="Q40" s="167" t="n">
        <f aca="false">2.38*1.02</f>
        <v>2.4276</v>
      </c>
      <c r="R40" s="312" t="n">
        <v>4.2</v>
      </c>
      <c r="S40" s="312" t="n">
        <v>1.21</v>
      </c>
      <c r="T40" s="356" t="n">
        <v>0</v>
      </c>
      <c r="U40" s="132" t="n">
        <v>87</v>
      </c>
      <c r="V40" s="132" t="n">
        <v>53</v>
      </c>
      <c r="W40" s="132" t="n">
        <f aca="false">M40-N40-O40-P40-Q40-R40-S40-T40+U40+V40</f>
        <v>215.927603</v>
      </c>
      <c r="X40" s="132" t="n">
        <f aca="false">W40-AO40-AD40</f>
        <v>44.6724</v>
      </c>
      <c r="Y40" s="104" t="n">
        <f aca="false">Y39+(X40*1.9835)</f>
        <v>107170.8284719</v>
      </c>
      <c r="Z40" s="104" t="n">
        <f aca="false">Z39+X40*(26300/37500)*1.9835+(AD40*1.9835)</f>
        <v>104112.950467323</v>
      </c>
      <c r="AA40" s="104"/>
      <c r="AB40" s="104"/>
      <c r="AC40" s="104"/>
      <c r="AD40" s="134" t="n">
        <f aca="false">W40-(I40-Q40-R40-AF40)</f>
        <v>171.255203</v>
      </c>
      <c r="AE40" s="132" t="n">
        <v>0</v>
      </c>
      <c r="AF40" s="135" t="n">
        <v>1.7</v>
      </c>
      <c r="AG40" s="136" t="n">
        <v>1.3</v>
      </c>
      <c r="AH40" s="132" t="n">
        <v>39</v>
      </c>
      <c r="AI40" s="104" t="n">
        <f aca="false">AI39-AH40</f>
        <v>6105.25787748929</v>
      </c>
      <c r="AJ40" s="104"/>
      <c r="AK40" s="131" t="n">
        <f aca="false">N40+O40+P40+Q40+R40+S40+T40+W40+AE40+AH40</f>
        <v>293</v>
      </c>
      <c r="AL40" s="132" t="n">
        <f aca="false">IF(L40&lt;0,L40*-1,0)</f>
        <v>28.7169145449962</v>
      </c>
      <c r="AM40" s="132" t="n">
        <f aca="false">AK40+AL40</f>
        <v>321.716914544996</v>
      </c>
      <c r="AN40" s="203" t="n">
        <f aca="false">AN39</f>
        <v>14794.787655</v>
      </c>
      <c r="AO40" s="134"/>
      <c r="AP40" s="133"/>
      <c r="AQ40" s="199" t="n">
        <v>0</v>
      </c>
      <c r="AR40" s="199"/>
      <c r="AS40" s="104"/>
      <c r="AU40" s="166" t="n">
        <f aca="false">O40</f>
        <v>28.35</v>
      </c>
      <c r="AV40" s="205" t="n">
        <v>0</v>
      </c>
      <c r="AW40" s="134" t="n">
        <v>82</v>
      </c>
      <c r="AX40" s="134" t="n">
        <v>47</v>
      </c>
      <c r="AY40" s="303"/>
      <c r="AZ40" s="233" t="n">
        <f aca="false">SUM(N40,P40:T40)</f>
        <v>9.722397</v>
      </c>
    </row>
    <row r="41" customFormat="false" ht="12.95" hidden="false" customHeight="true" outlineLevel="0" collapsed="false">
      <c r="A41" s="171" t="n">
        <v>28</v>
      </c>
      <c r="B41" s="103" t="n">
        <v>6895.16</v>
      </c>
      <c r="C41" s="104" t="n">
        <v>266065</v>
      </c>
      <c r="D41" s="134" t="n">
        <f aca="false">C41-C40</f>
        <v>-570</v>
      </c>
      <c r="E41" s="104" t="n">
        <f aca="false">C41-152000</f>
        <v>114065</v>
      </c>
      <c r="F41" s="229" t="n">
        <f aca="false">D41/$D$2</f>
        <v>-287.370809175699</v>
      </c>
      <c r="G41" s="132" t="n">
        <v>50</v>
      </c>
      <c r="H41" s="230" t="n">
        <v>0</v>
      </c>
      <c r="I41" s="132" t="n">
        <f aca="false">G41+H41</f>
        <v>50</v>
      </c>
      <c r="J41" s="133" t="n">
        <f aca="false">IF(L41&gt;0,L41,0)</f>
        <v>0</v>
      </c>
      <c r="K41" s="132" t="n">
        <f aca="false">I41+J41</f>
        <v>50</v>
      </c>
      <c r="L41" s="132" t="n">
        <f aca="false">F41-(I41-AK41)</f>
        <v>-22.2708091756995</v>
      </c>
      <c r="M41" s="231" t="n">
        <v>129</v>
      </c>
      <c r="N41" s="199" t="n">
        <f aca="false">1.8299*1.03</f>
        <v>1.884797</v>
      </c>
      <c r="O41" s="132" t="n">
        <f aca="false">(10+11)*1.05</f>
        <v>22.05</v>
      </c>
      <c r="P41" s="199" t="n">
        <v>0</v>
      </c>
      <c r="Q41" s="167" t="n">
        <f aca="false">2.38*1.02</f>
        <v>2.4276</v>
      </c>
      <c r="R41" s="312" t="n">
        <v>4.2</v>
      </c>
      <c r="S41" s="312" t="n">
        <v>1.69</v>
      </c>
      <c r="T41" s="356" t="n">
        <v>0</v>
      </c>
      <c r="U41" s="132" t="n">
        <v>87</v>
      </c>
      <c r="V41" s="132" t="n">
        <v>53</v>
      </c>
      <c r="W41" s="132" t="n">
        <f aca="false">M41-N41-O41-P41-Q41-R41-S41-T41+U41+V41</f>
        <v>236.747603</v>
      </c>
      <c r="X41" s="132" t="n">
        <f aca="false">W41-AO41-AD41</f>
        <v>41.6724</v>
      </c>
      <c r="Y41" s="104" t="n">
        <f aca="false">Y40+(X41*1.9835)</f>
        <v>107253.4856773</v>
      </c>
      <c r="Z41" s="104" t="n">
        <f aca="false">Z40+X41*(26300/37500)*1.9835+(AD41*1.9835)</f>
        <v>104557.85238586</v>
      </c>
      <c r="AA41" s="104"/>
      <c r="AB41" s="104"/>
      <c r="AC41" s="104"/>
      <c r="AD41" s="134" t="n">
        <f aca="false">W41-(I41-Q41-R41-AF41)</f>
        <v>195.075203</v>
      </c>
      <c r="AE41" s="132" t="n">
        <v>7.1</v>
      </c>
      <c r="AF41" s="135" t="n">
        <v>1.7</v>
      </c>
      <c r="AG41" s="136" t="n">
        <v>1.3</v>
      </c>
      <c r="AH41" s="132" t="n">
        <v>39</v>
      </c>
      <c r="AI41" s="104" t="n">
        <f aca="false">AI40-AH41</f>
        <v>6066.25787748929</v>
      </c>
      <c r="AJ41" s="104"/>
      <c r="AK41" s="131" t="n">
        <f aca="false">N41+O41+P41+Q41+R41+S41+T41+W41+AE41+AH41</f>
        <v>315.1</v>
      </c>
      <c r="AL41" s="132" t="n">
        <f aca="false">IF(L41&lt;0,L41*-1,0)</f>
        <v>22.2708091756995</v>
      </c>
      <c r="AM41" s="132" t="n">
        <f aca="false">AK41+AL41</f>
        <v>337.370809175699</v>
      </c>
      <c r="AN41" s="203" t="n">
        <f aca="false">AN40</f>
        <v>14794.787655</v>
      </c>
      <c r="AO41" s="134"/>
      <c r="AP41" s="133"/>
      <c r="AQ41" s="199" t="n">
        <v>0</v>
      </c>
      <c r="AR41" s="199"/>
      <c r="AS41" s="104"/>
      <c r="AU41" s="166" t="n">
        <f aca="false">O41</f>
        <v>22.05</v>
      </c>
      <c r="AV41" s="205" t="n">
        <v>0</v>
      </c>
      <c r="AW41" s="134" t="n">
        <v>79</v>
      </c>
      <c r="AX41" s="134" t="n">
        <v>45</v>
      </c>
      <c r="AY41" s="303"/>
      <c r="AZ41" s="233" t="n">
        <f aca="false">SUM(N41,P41:T41)</f>
        <v>10.202397</v>
      </c>
    </row>
    <row r="42" customFormat="false" ht="12.95" hidden="false" customHeight="true" outlineLevel="0" collapsed="false">
      <c r="A42" s="171" t="n">
        <v>29</v>
      </c>
      <c r="B42" s="103" t="n">
        <v>6894.99</v>
      </c>
      <c r="C42" s="104" t="n">
        <v>265460</v>
      </c>
      <c r="D42" s="134" t="n">
        <f aca="false">C42-C41</f>
        <v>-605</v>
      </c>
      <c r="E42" s="104" t="n">
        <f aca="false">C42-152000</f>
        <v>113460</v>
      </c>
      <c r="F42" s="229" t="n">
        <f aca="false">D42/$D$2</f>
        <v>-305.016385177716</v>
      </c>
      <c r="G42" s="132" t="n">
        <v>44</v>
      </c>
      <c r="H42" s="230" t="n">
        <v>0</v>
      </c>
      <c r="I42" s="132" t="n">
        <f aca="false">G42+H42</f>
        <v>44</v>
      </c>
      <c r="J42" s="133" t="n">
        <f aca="false">IF(L42&gt;0,L42,0)</f>
        <v>0</v>
      </c>
      <c r="K42" s="132" t="n">
        <f aca="false">I42+J42</f>
        <v>44</v>
      </c>
      <c r="L42" s="132" t="n">
        <f aca="false">F42-(I42-AK42)</f>
        <v>-29.0163851777161</v>
      </c>
      <c r="M42" s="231" t="n">
        <v>121</v>
      </c>
      <c r="N42" s="199" t="n">
        <f aca="false">1.8299*1.03</f>
        <v>1.884797</v>
      </c>
      <c r="O42" s="132" t="n">
        <f aca="false">(10+9.8)*1.05</f>
        <v>20.79</v>
      </c>
      <c r="P42" s="199" t="n">
        <v>0</v>
      </c>
      <c r="Q42" s="167" t="n">
        <f aca="false">2.38*1.02</f>
        <v>2.4276</v>
      </c>
      <c r="R42" s="312" t="n">
        <v>4.2</v>
      </c>
      <c r="S42" s="312" t="n">
        <v>1.65</v>
      </c>
      <c r="T42" s="356" t="n">
        <v>0</v>
      </c>
      <c r="U42" s="132" t="n">
        <v>92</v>
      </c>
      <c r="V42" s="132" t="n">
        <v>53</v>
      </c>
      <c r="W42" s="132" t="n">
        <f aca="false">M42-N42-O42-P42-Q42-R42-S42-T42+U42+V42</f>
        <v>235.047603</v>
      </c>
      <c r="X42" s="132" t="n">
        <f aca="false">W42-AO42-AD42</f>
        <v>35.6724</v>
      </c>
      <c r="Y42" s="104" t="n">
        <f aca="false">Y41+(X42*1.9835)</f>
        <v>107324.2418827</v>
      </c>
      <c r="Z42" s="104" t="n">
        <f aca="false">Z41+X42*(26300/37500)*1.9835+(AD42*1.9835)</f>
        <v>105002.936786398</v>
      </c>
      <c r="AA42" s="104"/>
      <c r="AB42" s="104"/>
      <c r="AC42" s="104"/>
      <c r="AD42" s="134" t="n">
        <f aca="false">W42-(I42-Q42-R42-AF42)</f>
        <v>199.375203</v>
      </c>
      <c r="AE42" s="132" t="n">
        <v>15</v>
      </c>
      <c r="AF42" s="135" t="n">
        <v>1.7</v>
      </c>
      <c r="AG42" s="136" t="n">
        <v>1.3</v>
      </c>
      <c r="AH42" s="132" t="n">
        <v>39</v>
      </c>
      <c r="AI42" s="104" t="n">
        <f aca="false">AI41-AH42</f>
        <v>6027.25787748929</v>
      </c>
      <c r="AJ42" s="104"/>
      <c r="AK42" s="131" t="n">
        <f aca="false">N42+O42+P42+Q42+R42+S42+T42+W42+AE42+AH42</f>
        <v>320</v>
      </c>
      <c r="AL42" s="132" t="n">
        <f aca="false">IF(L42&lt;0,L42*-1,0)</f>
        <v>29.0163851777161</v>
      </c>
      <c r="AM42" s="132" t="n">
        <f aca="false">AK42+AL42</f>
        <v>349.016385177716</v>
      </c>
      <c r="AN42" s="203" t="n">
        <f aca="false">AN41</f>
        <v>14794.787655</v>
      </c>
      <c r="AO42" s="134"/>
      <c r="AP42" s="133"/>
      <c r="AQ42" s="199" t="n">
        <v>0</v>
      </c>
      <c r="AR42" s="199"/>
      <c r="AS42" s="104"/>
      <c r="AU42" s="166" t="n">
        <f aca="false">O42</f>
        <v>20.79</v>
      </c>
      <c r="AV42" s="205" t="n">
        <v>0</v>
      </c>
      <c r="AW42" s="134" t="n">
        <v>78</v>
      </c>
      <c r="AX42" s="134" t="n">
        <v>50</v>
      </c>
      <c r="AY42" s="303"/>
      <c r="AZ42" s="233" t="n">
        <f aca="false">SUM(N42,P42:T42)</f>
        <v>10.162397</v>
      </c>
    </row>
    <row r="43" customFormat="false" ht="12.95" hidden="false" customHeight="true" outlineLevel="0" collapsed="false">
      <c r="A43" s="171" t="n">
        <v>30</v>
      </c>
      <c r="B43" s="103" t="n">
        <v>6894.79</v>
      </c>
      <c r="C43" s="104" t="n">
        <v>264755</v>
      </c>
      <c r="D43" s="134" t="n">
        <f aca="false">C43-C42</f>
        <v>-705</v>
      </c>
      <c r="E43" s="104" t="n">
        <f aca="false">C43-152000</f>
        <v>112755</v>
      </c>
      <c r="F43" s="229" t="n">
        <f aca="false">D43/$D$2</f>
        <v>-355.432316612049</v>
      </c>
      <c r="G43" s="132" t="n">
        <v>42</v>
      </c>
      <c r="H43" s="230" t="n">
        <v>0</v>
      </c>
      <c r="I43" s="132" t="n">
        <f aca="false">G43+H43</f>
        <v>42</v>
      </c>
      <c r="J43" s="133" t="n">
        <f aca="false">IF(L43&gt;0,L43,0)</f>
        <v>0</v>
      </c>
      <c r="K43" s="132" t="n">
        <f aca="false">I43+J43</f>
        <v>42</v>
      </c>
      <c r="L43" s="132" t="n">
        <f aca="false">F43-(I43-AK43)</f>
        <v>-70.4323166120494</v>
      </c>
      <c r="M43" s="231" t="n">
        <v>142</v>
      </c>
      <c r="N43" s="199" t="n">
        <f aca="false">1.8299*1.03</f>
        <v>1.884797</v>
      </c>
      <c r="O43" s="132" t="n">
        <f aca="false">(7.5+8.3)*1.05</f>
        <v>16.59</v>
      </c>
      <c r="P43" s="199" t="n">
        <v>0</v>
      </c>
      <c r="Q43" s="167" t="n">
        <f aca="false">2.38*1.02</f>
        <v>2.4276</v>
      </c>
      <c r="R43" s="312" t="n">
        <v>4.2</v>
      </c>
      <c r="S43" s="312" t="n">
        <v>1.43</v>
      </c>
      <c r="T43" s="356" t="n">
        <v>0</v>
      </c>
      <c r="U43" s="132" t="n">
        <v>93</v>
      </c>
      <c r="V43" s="132" t="n">
        <v>53</v>
      </c>
      <c r="W43" s="132" t="n">
        <f aca="false">M43-N43-O43-P43-Q43-R43-S43-T43+U43+V43</f>
        <v>261.467603</v>
      </c>
      <c r="X43" s="132" t="n">
        <f aca="false">W43-AO43-AD43</f>
        <v>33.6724</v>
      </c>
      <c r="Y43" s="104" t="n">
        <f aca="false">Y42+(X43*1.9835)</f>
        <v>107391.0310881</v>
      </c>
      <c r="Z43" s="104" t="n">
        <f aca="false">Z42+X43*(26300/37500)*1.9835+(AD43*1.9835)</f>
        <v>105501.610067602</v>
      </c>
      <c r="AA43" s="104"/>
      <c r="AB43" s="104"/>
      <c r="AC43" s="104"/>
      <c r="AD43" s="134" t="n">
        <f aca="false">W43-(I43-Q43-R43-AF43)</f>
        <v>227.795203</v>
      </c>
      <c r="AE43" s="132" t="n">
        <v>0</v>
      </c>
      <c r="AF43" s="135" t="n">
        <v>1.7</v>
      </c>
      <c r="AG43" s="136" t="n">
        <v>1.3</v>
      </c>
      <c r="AH43" s="132" t="n">
        <v>39</v>
      </c>
      <c r="AI43" s="104" t="n">
        <f aca="false">AI42-AH43</f>
        <v>5988.25787748929</v>
      </c>
      <c r="AJ43" s="104"/>
      <c r="AK43" s="131" t="n">
        <f aca="false">N43+O43+P43+Q43+R43+S43+T43+W43+AE43+AH43</f>
        <v>327</v>
      </c>
      <c r="AL43" s="132" t="n">
        <f aca="false">IF(L43&lt;0,L43*-1,0)</f>
        <v>70.4323166120494</v>
      </c>
      <c r="AM43" s="132" t="n">
        <f aca="false">AK43+AL43</f>
        <v>397.432316612049</v>
      </c>
      <c r="AN43" s="203" t="n">
        <f aca="false">AN42</f>
        <v>14794.787655</v>
      </c>
      <c r="AO43" s="134"/>
      <c r="AP43" s="133"/>
      <c r="AQ43" s="199" t="n">
        <v>0</v>
      </c>
      <c r="AR43" s="199"/>
      <c r="AS43" s="104"/>
      <c r="AU43" s="166" t="n">
        <f aca="false">O43</f>
        <v>16.59</v>
      </c>
      <c r="AV43" s="205" t="n">
        <v>0</v>
      </c>
      <c r="AW43" s="134" t="n">
        <v>68</v>
      </c>
      <c r="AX43" s="134" t="n">
        <v>38</v>
      </c>
      <c r="AY43" s="303"/>
      <c r="AZ43" s="233" t="n">
        <f aca="false">SUM(N43,P43:T43)</f>
        <v>9.942397</v>
      </c>
    </row>
    <row r="44" customFormat="false" ht="3" hidden="false" customHeight="true" outlineLevel="0" collapsed="false">
      <c r="A44" s="214"/>
      <c r="B44" s="235"/>
      <c r="C44" s="216"/>
      <c r="D44" s="217"/>
      <c r="E44" s="216"/>
      <c r="F44" s="218"/>
      <c r="G44" s="217"/>
      <c r="H44" s="219"/>
      <c r="I44" s="217"/>
      <c r="J44" s="217"/>
      <c r="K44" s="217"/>
      <c r="L44" s="217"/>
      <c r="M44" s="220"/>
      <c r="N44" s="217"/>
      <c r="O44" s="217"/>
      <c r="P44" s="221"/>
      <c r="Q44" s="221"/>
      <c r="R44" s="221"/>
      <c r="S44" s="221"/>
      <c r="T44" s="222"/>
      <c r="U44" s="217"/>
      <c r="V44" s="217"/>
      <c r="W44" s="217"/>
      <c r="X44" s="217"/>
      <c r="Y44" s="217"/>
      <c r="Z44" s="217"/>
      <c r="AA44" s="216"/>
      <c r="AB44" s="216"/>
      <c r="AC44" s="216"/>
      <c r="AD44" s="216"/>
      <c r="AE44" s="217"/>
      <c r="AF44" s="119"/>
      <c r="AG44" s="120"/>
      <c r="AH44" s="217"/>
      <c r="AI44" s="217"/>
      <c r="AJ44" s="217"/>
      <c r="AK44" s="217"/>
      <c r="AL44" s="217"/>
      <c r="AM44" s="217"/>
      <c r="AN44" s="226"/>
      <c r="AO44" s="223"/>
      <c r="AP44" s="224"/>
      <c r="AQ44" s="221"/>
      <c r="AR44" s="221"/>
      <c r="AS44" s="221"/>
      <c r="AT44" s="221"/>
      <c r="AU44" s="224"/>
      <c r="AV44" s="228"/>
      <c r="AW44" s="223"/>
      <c r="AX44" s="223"/>
      <c r="AY44" s="240"/>
      <c r="AZ44" s="323"/>
    </row>
    <row r="45" customFormat="false" ht="12.95" hidden="false" customHeight="true" outlineLevel="0" collapsed="false">
      <c r="A45" s="173" t="s">
        <v>91</v>
      </c>
      <c r="B45" s="196"/>
      <c r="C45" s="104"/>
      <c r="D45" s="104"/>
      <c r="E45" s="104"/>
      <c r="F45" s="197" t="n">
        <f aca="false">SUM(F14:F43)</f>
        <v>-12787.4968490043</v>
      </c>
      <c r="G45" s="104" t="n">
        <f aca="false">SUM(G14:G43)</f>
        <v>3190</v>
      </c>
      <c r="H45" s="104" t="n">
        <f aca="false">SUM(H14:H43)</f>
        <v>0</v>
      </c>
      <c r="I45" s="104" t="n">
        <f aca="false">SUM(I14:I43)</f>
        <v>3190</v>
      </c>
      <c r="J45" s="104" t="n">
        <f aca="false">SUM(J14:J43)</f>
        <v>347.233173682884</v>
      </c>
      <c r="K45" s="104" t="n">
        <f aca="false">SUM(K14:K43)</f>
        <v>3537.23317368288</v>
      </c>
      <c r="L45" s="104" t="n">
        <f aca="false">SUM(L14:L43)</f>
        <v>-124.376849004285</v>
      </c>
      <c r="M45" s="198" t="n">
        <f aca="false">SUM(M14:M43)</f>
        <v>5311</v>
      </c>
      <c r="N45" s="104" t="n">
        <f aca="false">SUM(N14:N43)</f>
        <v>56.54391</v>
      </c>
      <c r="O45" s="104" t="n">
        <f aca="false">SUM(O14:O43)</f>
        <v>1268.19</v>
      </c>
      <c r="P45" s="199" t="n">
        <f aca="false">SUM(P14:P43)</f>
        <v>0</v>
      </c>
      <c r="Q45" s="134" t="n">
        <f aca="false">SUM(Q14:Q43)</f>
        <v>72.828</v>
      </c>
      <c r="R45" s="134" t="n">
        <f aca="false">SUM(R14:R43)</f>
        <v>126</v>
      </c>
      <c r="S45" s="134" t="n">
        <f aca="false">SUM(S14:S43)</f>
        <v>52.1</v>
      </c>
      <c r="T45" s="200" t="n">
        <f aca="false">SUM(T14:T43)</f>
        <v>0</v>
      </c>
      <c r="U45" s="104" t="n">
        <f aca="false">SUM(U14:U43)</f>
        <v>3342</v>
      </c>
      <c r="V45" s="104" t="n">
        <f aca="false">SUM(V14:V43)</f>
        <v>2164</v>
      </c>
      <c r="W45" s="104" t="n">
        <f aca="false">SUM(W14:W43)</f>
        <v>9241.33809</v>
      </c>
      <c r="X45" s="104" t="n">
        <f aca="false">SUM(X14:X43)</f>
        <v>2940.172</v>
      </c>
      <c r="Y45" s="104"/>
      <c r="Z45" s="104"/>
      <c r="AA45" s="104"/>
      <c r="AB45" s="104"/>
      <c r="AC45" s="104"/>
      <c r="AD45" s="105" t="n">
        <f aca="false">SUM(AD13:AD43)</f>
        <v>6301.16609</v>
      </c>
      <c r="AE45" s="104" t="n">
        <f aca="false">SUM(AE14:AE43)</f>
        <v>3647.12</v>
      </c>
      <c r="AF45" s="198" t="n">
        <f aca="false">SUM(AF14:AF43)</f>
        <v>51</v>
      </c>
      <c r="AG45" s="201" t="n">
        <f aca="false">SUM(AG14:AG43)</f>
        <v>39</v>
      </c>
      <c r="AH45" s="104" t="n">
        <f aca="false">SUM(AH14:AH43)</f>
        <v>1389</v>
      </c>
      <c r="AI45" s="104"/>
      <c r="AJ45" s="104" t="n">
        <f aca="false">SUM(AJ14:AJ43)</f>
        <v>0</v>
      </c>
      <c r="AK45" s="104" t="n">
        <f aca="false">SUM(AK14:AK43)</f>
        <v>15853.12</v>
      </c>
      <c r="AL45" s="104" t="n">
        <f aca="false">SUM(AL14:AL43)</f>
        <v>471.610022687169</v>
      </c>
      <c r="AM45" s="104" t="n">
        <f aca="false">SUM(AM14:AM43)</f>
        <v>16324.7300226872</v>
      </c>
      <c r="AN45" s="203" t="s">
        <v>113</v>
      </c>
      <c r="AO45" s="104" t="n">
        <f aca="false">SUM(AO14:AO43)</f>
        <v>0</v>
      </c>
      <c r="AP45" s="133"/>
      <c r="AQ45" s="199"/>
      <c r="AR45" s="199"/>
      <c r="AS45" s="134" t="n">
        <f aca="false">SUM(AS14:AS43)</f>
        <v>0</v>
      </c>
      <c r="AT45" s="134" t="n">
        <f aca="false">SUM(AT14:AT43)</f>
        <v>0</v>
      </c>
      <c r="AU45" s="134" t="n">
        <f aca="false">SUM(AU14:AU43)</f>
        <v>1252.76</v>
      </c>
      <c r="AV45" s="205" t="n">
        <f aca="false">SUM(AV14:AV43)</f>
        <v>0.54</v>
      </c>
      <c r="AW45" s="134" t="n">
        <f aca="false">AVERAGE(AW14:AW43)</f>
        <v>75.1333333333333</v>
      </c>
      <c r="AX45" s="134" t="n">
        <f aca="false">AVERAGE(AX14:AX43)</f>
        <v>47.8333333333333</v>
      </c>
      <c r="AY45" s="206" t="s">
        <v>113</v>
      </c>
      <c r="AZ45" s="341" t="n">
        <f aca="false">SUM(AZ14:AZ43)</f>
        <v>307.47191</v>
      </c>
    </row>
    <row r="46" customFormat="false" ht="12.95" hidden="false" customHeight="true" outlineLevel="0" collapsed="false">
      <c r="A46" s="173" t="s">
        <v>93</v>
      </c>
      <c r="B46" s="196"/>
      <c r="C46" s="104"/>
      <c r="D46" s="104" t="n">
        <f aca="false">SUM(D14:D43)</f>
        <v>-25364</v>
      </c>
      <c r="E46" s="104"/>
      <c r="F46" s="197" t="n">
        <f aca="false">F45*$D$2</f>
        <v>-25364</v>
      </c>
      <c r="G46" s="104" t="n">
        <f aca="false">G45*$D$2</f>
        <v>6327.365</v>
      </c>
      <c r="H46" s="104" t="n">
        <f aca="false">H45*$D$2</f>
        <v>0</v>
      </c>
      <c r="I46" s="104" t="n">
        <f aca="false">I45*$D$2</f>
        <v>6327.365</v>
      </c>
      <c r="J46" s="104" t="n">
        <f aca="false">J45*$D$2</f>
        <v>688.737</v>
      </c>
      <c r="K46" s="104" t="n">
        <f aca="false">K45*$D$2</f>
        <v>7016.102</v>
      </c>
      <c r="L46" s="104" t="n">
        <f aca="false">L45*$D$2</f>
        <v>-246.701479999999</v>
      </c>
      <c r="M46" s="198" t="n">
        <f aca="false">M45*$D$2</f>
        <v>10534.3685</v>
      </c>
      <c r="N46" s="104" t="n">
        <f aca="false">N45*$D$2</f>
        <v>112.154845485</v>
      </c>
      <c r="O46" s="104" t="n">
        <f aca="false">O45*$D$2</f>
        <v>2515.454865</v>
      </c>
      <c r="P46" s="199" t="n">
        <f aca="false">P45*$D$2</f>
        <v>0</v>
      </c>
      <c r="Q46" s="134" t="n">
        <f aca="false">Q45*$D$2</f>
        <v>144.454338</v>
      </c>
      <c r="R46" s="134" t="n">
        <f aca="false">R45*$D$2</f>
        <v>249.921</v>
      </c>
      <c r="S46" s="134" t="n">
        <f aca="false">S45*$D$2</f>
        <v>103.34035</v>
      </c>
      <c r="T46" s="200" t="n">
        <f aca="false">T45*$D$2</f>
        <v>0</v>
      </c>
      <c r="U46" s="104" t="n">
        <f aca="false">U45*$D$2</f>
        <v>6628.857</v>
      </c>
      <c r="V46" s="104" t="n">
        <f aca="false">V45*$D$2</f>
        <v>4292.294</v>
      </c>
      <c r="W46" s="104" t="n">
        <f aca="false">W45*$D$2</f>
        <v>18330.194101515</v>
      </c>
      <c r="X46" s="104" t="n">
        <f aca="false">X45*$D$2</f>
        <v>5831.831162</v>
      </c>
      <c r="Y46" s="104"/>
      <c r="Z46" s="104"/>
      <c r="AA46" s="104"/>
      <c r="AB46" s="104"/>
      <c r="AC46" s="104"/>
      <c r="AD46" s="105" t="n">
        <f aca="false">AD45*$D$2</f>
        <v>12498.362939515</v>
      </c>
      <c r="AE46" s="104" t="n">
        <f aca="false">AE45*$D$2</f>
        <v>7234.06252</v>
      </c>
      <c r="AF46" s="198" t="n">
        <f aca="false">AF45*$D$2</f>
        <v>101.1585</v>
      </c>
      <c r="AG46" s="201" t="n">
        <f aca="false">AG45*$D$2</f>
        <v>77.3565</v>
      </c>
      <c r="AH46" s="104" t="n">
        <f aca="false">AH45*$D$2</f>
        <v>2755.0815</v>
      </c>
      <c r="AI46" s="104"/>
      <c r="AJ46" s="104" t="n">
        <f aca="false">AJ45*$D$2</f>
        <v>0</v>
      </c>
      <c r="AK46" s="104" t="n">
        <f aca="false">AK45*$D$2</f>
        <v>31444.66352</v>
      </c>
      <c r="AL46" s="104" t="n">
        <f aca="false">AL45*$D$2</f>
        <v>935.43848</v>
      </c>
      <c r="AM46" s="104" t="n">
        <f aca="false">AM45*$D$2</f>
        <v>32380.102</v>
      </c>
      <c r="AN46" s="203" t="s">
        <v>94</v>
      </c>
      <c r="AO46" s="104" t="n">
        <f aca="false">AO45*$D$2</f>
        <v>0</v>
      </c>
      <c r="AP46" s="133"/>
      <c r="AQ46" s="199" t="n">
        <f aca="false">SUM(AQ14:AQ43)</f>
        <v>0</v>
      </c>
      <c r="AR46" s="199"/>
      <c r="AS46" s="134" t="n">
        <f aca="false">AS45*$D$2</f>
        <v>0</v>
      </c>
      <c r="AT46" s="134" t="n">
        <f aca="false">AT45*$D$2</f>
        <v>0</v>
      </c>
      <c r="AU46" s="134" t="n">
        <f aca="false">AU45*$D$2</f>
        <v>2484.84946</v>
      </c>
      <c r="AV46" s="205"/>
      <c r="AW46" s="134" t="n">
        <f aca="false">MAX(AW14:AW43)</f>
        <v>84</v>
      </c>
      <c r="AX46" s="134" t="n">
        <f aca="false">MAX(AX14:AX43)</f>
        <v>58</v>
      </c>
      <c r="AY46" s="206" t="s">
        <v>94</v>
      </c>
      <c r="AZ46" s="341" t="n">
        <f aca="false">AZ45*$D$2</f>
        <v>609.870533485</v>
      </c>
    </row>
    <row r="47" customFormat="false" ht="3" hidden="false" customHeight="true" outlineLevel="0" collapsed="false">
      <c r="A47" s="214"/>
      <c r="B47" s="235"/>
      <c r="C47" s="216"/>
      <c r="D47" s="216"/>
      <c r="E47" s="216"/>
      <c r="F47" s="240"/>
      <c r="G47" s="216"/>
      <c r="H47" s="216"/>
      <c r="I47" s="216"/>
      <c r="J47" s="216"/>
      <c r="K47" s="216"/>
      <c r="L47" s="216"/>
      <c r="M47" s="241"/>
      <c r="N47" s="216"/>
      <c r="O47" s="216"/>
      <c r="P47" s="221"/>
      <c r="Q47" s="223"/>
      <c r="R47" s="223"/>
      <c r="S47" s="223"/>
      <c r="T47" s="222"/>
      <c r="U47" s="216"/>
      <c r="V47" s="216"/>
      <c r="W47" s="216"/>
      <c r="X47" s="216"/>
      <c r="Y47" s="216"/>
      <c r="Z47" s="216"/>
      <c r="AA47" s="216"/>
      <c r="AB47" s="216"/>
      <c r="AC47" s="216"/>
      <c r="AD47" s="276"/>
      <c r="AE47" s="216"/>
      <c r="AF47" s="241"/>
      <c r="AG47" s="242"/>
      <c r="AH47" s="216"/>
      <c r="AI47" s="217"/>
      <c r="AJ47" s="216"/>
      <c r="AK47" s="216"/>
      <c r="AL47" s="216"/>
      <c r="AM47" s="216"/>
      <c r="AN47" s="243"/>
      <c r="AO47" s="216"/>
      <c r="AP47" s="224"/>
      <c r="AQ47" s="221"/>
      <c r="AR47" s="221"/>
      <c r="AS47" s="223"/>
      <c r="AT47" s="223"/>
      <c r="AU47" s="224"/>
      <c r="AV47" s="243"/>
      <c r="AW47" s="216"/>
      <c r="AX47" s="216"/>
      <c r="AY47" s="240"/>
      <c r="AZ47" s="323"/>
    </row>
    <row r="48" customFormat="false" ht="12.95" hidden="false" customHeight="true" outlineLevel="0" collapsed="false">
      <c r="A48" s="173" t="s">
        <v>95</v>
      </c>
      <c r="B48" s="196"/>
      <c r="C48" s="104"/>
      <c r="D48" s="104"/>
      <c r="E48" s="104"/>
      <c r="F48" s="197" t="n">
        <f aca="false">F11+F45</f>
        <v>-9342.57625409629</v>
      </c>
      <c r="G48" s="104" t="n">
        <f aca="false">G11+G45</f>
        <v>122422</v>
      </c>
      <c r="H48" s="104" t="n">
        <f aca="false">H11+H45</f>
        <v>4354.76</v>
      </c>
      <c r="I48" s="104" t="n">
        <f aca="false">I11+I45</f>
        <v>126776.76</v>
      </c>
      <c r="J48" s="104" t="n">
        <f aca="false">J11+J45</f>
        <v>10279.4070027729</v>
      </c>
      <c r="K48" s="104" t="n">
        <f aca="false">K11+K45</f>
        <v>137056.167002773</v>
      </c>
      <c r="L48" s="104" t="n">
        <f aca="false">L11+L45</f>
        <v>7266.38374590371</v>
      </c>
      <c r="M48" s="198" t="n">
        <f aca="false">M11+M45</f>
        <v>45462.5</v>
      </c>
      <c r="N48" s="104" t="n">
        <f aca="false">N11+N45</f>
        <v>344.917851</v>
      </c>
      <c r="O48" s="104" t="n">
        <f aca="false">O11+O45</f>
        <v>13580.6097</v>
      </c>
      <c r="P48" s="199" t="n">
        <f aca="false">P11+P45</f>
        <v>7.365</v>
      </c>
      <c r="Q48" s="134"/>
      <c r="R48" s="134"/>
      <c r="S48" s="134"/>
      <c r="T48" s="200"/>
      <c r="U48" s="104" t="n">
        <f aca="false">U11+U45</f>
        <v>21386.3</v>
      </c>
      <c r="V48" s="104" t="n">
        <f aca="false">V11+V45</f>
        <v>11899</v>
      </c>
      <c r="W48" s="104" t="n">
        <f aca="false">W11+W45</f>
        <v>62789.734754</v>
      </c>
      <c r="X48" s="104" t="n">
        <f aca="false">X11+X45</f>
        <v>46764.70362</v>
      </c>
      <c r="Y48" s="104"/>
      <c r="Z48" s="104"/>
      <c r="AA48" s="104"/>
      <c r="AB48" s="104"/>
      <c r="AC48" s="104"/>
      <c r="AD48" s="105" t="n">
        <f aca="false">AD11+AD45</f>
        <v>15545.422992</v>
      </c>
      <c r="AE48" s="104" t="n">
        <f aca="false">AE11+AE45</f>
        <v>28801.92</v>
      </c>
      <c r="AF48" s="198" t="n">
        <f aca="false">AF11+AF45</f>
        <v>311.1</v>
      </c>
      <c r="AG48" s="201" t="n">
        <f aca="false">AG11+AG45</f>
        <v>237.9</v>
      </c>
      <c r="AH48" s="104"/>
      <c r="AI48" s="104"/>
      <c r="AJ48" s="104" t="n">
        <f aca="false">AJ11+AJ45</f>
        <v>0</v>
      </c>
      <c r="AK48" s="104" t="n">
        <f aca="false">AK11+AK45</f>
        <v>143385.72</v>
      </c>
      <c r="AL48" s="104" t="n">
        <f aca="false">AL11+AL45</f>
        <v>3013.02325686917</v>
      </c>
      <c r="AM48" s="104" t="n">
        <f aca="false">AM11+AM45</f>
        <v>146398.743256869</v>
      </c>
      <c r="AN48" s="203" t="s">
        <v>96</v>
      </c>
      <c r="AO48" s="134"/>
      <c r="AP48" s="133"/>
      <c r="AQ48" s="199"/>
      <c r="AR48" s="199"/>
      <c r="AS48" s="134" t="n">
        <f aca="false">AS11+AS45</f>
        <v>675.57</v>
      </c>
      <c r="AT48" s="134" t="n">
        <f aca="false">AT11+AT45</f>
        <v>411.411015</v>
      </c>
      <c r="AU48" s="134" t="n">
        <f aca="false">AU11+AU45</f>
        <v>1252.76</v>
      </c>
      <c r="AV48" s="205"/>
      <c r="AW48" s="134" t="n">
        <f aca="false">MIN(AW14:AW43)</f>
        <v>59</v>
      </c>
      <c r="AX48" s="134" t="n">
        <f aca="false">MIN(AX14:AX43)</f>
        <v>32</v>
      </c>
      <c r="AY48" s="206" t="s">
        <v>96</v>
      </c>
      <c r="AZ48" s="341" t="n">
        <f aca="false">AZ11+AZ45</f>
        <v>307.47191</v>
      </c>
    </row>
    <row r="49" customFormat="false" ht="12.95" hidden="false" customHeight="true" outlineLevel="0" collapsed="false">
      <c r="A49" s="173" t="s">
        <v>97</v>
      </c>
      <c r="B49" s="196"/>
      <c r="C49" s="104"/>
      <c r="D49" s="104"/>
      <c r="E49" s="104"/>
      <c r="F49" s="197" t="n">
        <f aca="false">F48*$D$2</f>
        <v>-18531</v>
      </c>
      <c r="G49" s="104" t="n">
        <f aca="false">G48*$D$2</f>
        <v>242824.037</v>
      </c>
      <c r="H49" s="104" t="n">
        <f aca="false">H48*$D$2</f>
        <v>8637.66646</v>
      </c>
      <c r="I49" s="104" t="n">
        <f aca="false">I48*$D$2</f>
        <v>251461.70346</v>
      </c>
      <c r="J49" s="104" t="n">
        <f aca="false">J48*$D$2</f>
        <v>20389.20379</v>
      </c>
      <c r="K49" s="104" t="n">
        <f aca="false">K48*$D$2</f>
        <v>271850.90725</v>
      </c>
      <c r="L49" s="104" t="n">
        <f aca="false">L48*$D$2</f>
        <v>14412.87216</v>
      </c>
      <c r="M49" s="198" t="n">
        <f aca="false">M48*$D$2</f>
        <v>90174.86875</v>
      </c>
      <c r="N49" s="104" t="n">
        <f aca="false">N48*$D$2</f>
        <v>684.1445574585</v>
      </c>
      <c r="O49" s="104" t="n">
        <f aca="false">O48*$D$2</f>
        <v>26937.13933995</v>
      </c>
      <c r="P49" s="199" t="n">
        <f aca="false">P48*$D$2</f>
        <v>14.6084775</v>
      </c>
      <c r="Q49" s="134"/>
      <c r="R49" s="134"/>
      <c r="S49" s="134"/>
      <c r="T49" s="200"/>
      <c r="U49" s="104" t="n">
        <f aca="false">U48*$D$2</f>
        <v>42419.72605</v>
      </c>
      <c r="V49" s="104" t="n">
        <f aca="false">V48*$D$2</f>
        <v>23601.6665</v>
      </c>
      <c r="W49" s="104" t="n">
        <f aca="false">W48*$D$2</f>
        <v>124543.438884559</v>
      </c>
      <c r="X49" s="104" t="n">
        <f aca="false">X48*$D$2</f>
        <v>92757.78963027</v>
      </c>
      <c r="Y49" s="104"/>
      <c r="Z49" s="104"/>
      <c r="AA49" s="104"/>
      <c r="AB49" s="104"/>
      <c r="AC49" s="104"/>
      <c r="AD49" s="105" t="n">
        <f aca="false">AD48*$D$2</f>
        <v>30834.346504632</v>
      </c>
      <c r="AE49" s="104" t="n">
        <f aca="false">AE48*$D$2</f>
        <v>57128.60832</v>
      </c>
      <c r="AF49" s="198" t="n">
        <f aca="false">AF48*$D$2</f>
        <v>617.06685</v>
      </c>
      <c r="AG49" s="201" t="n">
        <f aca="false">AG48*$D$2</f>
        <v>471.87465</v>
      </c>
      <c r="AH49" s="104"/>
      <c r="AI49" s="104"/>
      <c r="AJ49" s="104" t="n">
        <f aca="false">AJ48*$D$2</f>
        <v>0</v>
      </c>
      <c r="AK49" s="104" t="n">
        <f aca="false">AK48*$D$2</f>
        <v>284405.57562</v>
      </c>
      <c r="AL49" s="104" t="n">
        <f aca="false">AL48*$D$2</f>
        <v>5976.33163</v>
      </c>
      <c r="AM49" s="104" t="n">
        <f aca="false">AM48*$D$2</f>
        <v>290381.90725</v>
      </c>
      <c r="AN49" s="203"/>
      <c r="AO49" s="134"/>
      <c r="AP49" s="133"/>
      <c r="AQ49" s="199" t="n">
        <f aca="false">AQ11+AQ46</f>
        <v>287.029610244458</v>
      </c>
      <c r="AR49" s="199"/>
      <c r="AS49" s="134" t="n">
        <f aca="false">AS48*$D$2</f>
        <v>1339.993095</v>
      </c>
      <c r="AT49" s="134" t="n">
        <f aca="false">AT48*$D$2</f>
        <v>816.0337482525</v>
      </c>
      <c r="AU49" s="134" t="n">
        <f aca="false">AU48*$D$2</f>
        <v>2484.84946</v>
      </c>
      <c r="AV49" s="205"/>
      <c r="AW49" s="134"/>
      <c r="AX49" s="134"/>
      <c r="AY49" s="303"/>
      <c r="AZ49" s="341" t="n">
        <f aca="false">AZ48*$D$2</f>
        <v>609.870533485</v>
      </c>
    </row>
    <row r="50" customFormat="false" ht="3" hidden="false" customHeight="true" outlineLevel="0" collapsed="false">
      <c r="A50" s="214"/>
      <c r="B50" s="235"/>
      <c r="C50" s="216"/>
      <c r="D50" s="216"/>
      <c r="E50" s="216"/>
      <c r="F50" s="240"/>
      <c r="G50" s="216"/>
      <c r="H50" s="223"/>
      <c r="I50" s="216"/>
      <c r="J50" s="216"/>
      <c r="K50" s="216"/>
      <c r="L50" s="216"/>
      <c r="M50" s="241"/>
      <c r="N50" s="216"/>
      <c r="O50" s="216"/>
      <c r="P50" s="221"/>
      <c r="Q50" s="223"/>
      <c r="R50" s="223"/>
      <c r="S50" s="223"/>
      <c r="T50" s="222"/>
      <c r="U50" s="216"/>
      <c r="V50" s="216"/>
      <c r="W50" s="216"/>
      <c r="X50" s="216"/>
      <c r="Y50" s="216"/>
      <c r="Z50" s="216"/>
      <c r="AA50" s="216"/>
      <c r="AB50" s="216"/>
      <c r="AC50" s="216"/>
      <c r="AD50" s="216"/>
      <c r="AE50" s="216"/>
      <c r="AF50" s="146"/>
      <c r="AG50" s="147"/>
      <c r="AH50" s="216"/>
      <c r="AI50" s="216"/>
      <c r="AJ50" s="216"/>
      <c r="AK50" s="216"/>
      <c r="AL50" s="216"/>
      <c r="AM50" s="216"/>
      <c r="AN50" s="228"/>
      <c r="AO50" s="246"/>
      <c r="AP50" s="224"/>
      <c r="AQ50" s="221"/>
      <c r="AR50" s="221"/>
      <c r="AS50" s="223"/>
      <c r="AT50" s="223"/>
      <c r="AU50" s="224"/>
      <c r="AV50" s="228"/>
      <c r="AW50" s="246"/>
      <c r="AX50" s="246"/>
      <c r="AY50" s="240"/>
      <c r="AZ50" s="323"/>
    </row>
    <row r="51" customFormat="false" ht="12.95" hidden="false" customHeight="true" outlineLevel="0" collapsed="false">
      <c r="A51" s="173" t="s">
        <v>98</v>
      </c>
      <c r="B51" s="196"/>
      <c r="C51" s="104"/>
      <c r="D51" s="104"/>
      <c r="E51" s="104"/>
      <c r="F51" s="197" t="n">
        <f aca="false">F12+F45</f>
        <v>-10106.3776153264</v>
      </c>
      <c r="G51" s="104" t="n">
        <f aca="false">G12+G45</f>
        <v>133422</v>
      </c>
      <c r="H51" s="134" t="n">
        <f aca="false">H12+H45</f>
        <v>4894.89</v>
      </c>
      <c r="I51" s="104" t="n">
        <f aca="false">I12+I45</f>
        <v>138316.89</v>
      </c>
      <c r="J51" s="104" t="n">
        <f aca="false">J12+J45</f>
        <v>13585.5408873204</v>
      </c>
      <c r="K51" s="104" t="n">
        <f aca="false">K12+K45</f>
        <v>151902.43088732</v>
      </c>
      <c r="L51" s="104" t="n">
        <f aca="false">L12+L45</f>
        <v>9638.35238467356</v>
      </c>
      <c r="M51" s="198" t="n">
        <f aca="false">M12+M45</f>
        <v>76251.45925</v>
      </c>
      <c r="N51" s="104" t="n">
        <f aca="false">N12+N45</f>
        <v>344.917851</v>
      </c>
      <c r="O51" s="104" t="n">
        <f aca="false">O12+O45</f>
        <v>13580.6097</v>
      </c>
      <c r="P51" s="199"/>
      <c r="Q51" s="134" t="n">
        <f aca="false">Q12+Q45</f>
        <v>712.3833</v>
      </c>
      <c r="R51" s="134" t="n">
        <f aca="false">R12+R45</f>
        <v>1109.05</v>
      </c>
      <c r="S51" s="134" t="n">
        <f aca="false">S12+S45</f>
        <v>453.79</v>
      </c>
      <c r="T51" s="200" t="n">
        <f aca="false">T12+T45</f>
        <v>-71.5154</v>
      </c>
      <c r="U51" s="104" t="n">
        <f aca="false">U12+U45</f>
        <v>28816.3</v>
      </c>
      <c r="V51" s="104" t="n">
        <f aca="false">V12+V45</f>
        <v>11975.3</v>
      </c>
      <c r="W51" s="104" t="n">
        <f aca="false">W12+W45</f>
        <v>70620.488534</v>
      </c>
      <c r="X51" s="104" t="n">
        <f aca="false">X12+X45</f>
        <v>54142.1886</v>
      </c>
      <c r="Y51" s="104"/>
      <c r="Z51" s="104"/>
      <c r="AA51" s="104"/>
      <c r="AB51" s="104"/>
      <c r="AC51" s="104"/>
      <c r="AD51" s="104"/>
      <c r="AE51" s="104"/>
      <c r="AF51" s="95"/>
      <c r="AG51" s="96"/>
      <c r="AH51" s="104" t="n">
        <f aca="false">AH12+AH45</f>
        <v>42087</v>
      </c>
      <c r="AI51" s="104" t="n">
        <f aca="false">AI43</f>
        <v>5988.25787748929</v>
      </c>
      <c r="AJ51" s="104" t="n">
        <f aca="false">AJ12+AJ45</f>
        <v>25793</v>
      </c>
      <c r="AK51" s="104" t="n">
        <f aca="false">AK12+AK45</f>
        <v>158061.62</v>
      </c>
      <c r="AL51" s="104" t="n">
        <f aca="false">AL12+AL45</f>
        <v>3947.18850264684</v>
      </c>
      <c r="AM51" s="104" t="n">
        <f aca="false">AM12+AM45</f>
        <v>162008.808502647</v>
      </c>
      <c r="AN51" s="203"/>
      <c r="AO51" s="104" t="n">
        <f aca="false">AO12+AO45</f>
        <v>1260.402145</v>
      </c>
      <c r="AP51" s="133"/>
      <c r="AQ51" s="199"/>
      <c r="AR51" s="199"/>
      <c r="AS51" s="134" t="n">
        <f aca="false">AS12+AS45</f>
        <v>0</v>
      </c>
      <c r="AT51" s="134"/>
      <c r="AV51" s="205" t="n">
        <f aca="false">AV12+AV45</f>
        <v>7.7</v>
      </c>
      <c r="AW51" s="134"/>
      <c r="AX51" s="134"/>
      <c r="AY51" s="303"/>
      <c r="AZ51" s="341" t="n">
        <f aca="false">AZ12+AZ45</f>
        <v>2560.190751</v>
      </c>
    </row>
    <row r="52" customFormat="false" ht="12.95" hidden="false" customHeight="true" outlineLevel="0" collapsed="false">
      <c r="A52" s="173" t="s">
        <v>99</v>
      </c>
      <c r="B52" s="196"/>
      <c r="C52" s="104"/>
      <c r="D52" s="104" t="n">
        <f aca="false">D12+D46</f>
        <v>-20046</v>
      </c>
      <c r="E52" s="104" t="n">
        <f aca="false">E43</f>
        <v>112755</v>
      </c>
      <c r="F52" s="197" t="n">
        <f aca="false">F51*$D$2</f>
        <v>-20046</v>
      </c>
      <c r="G52" s="104" t="n">
        <f aca="false">G51*$D$2</f>
        <v>264642.537</v>
      </c>
      <c r="H52" s="134" t="n">
        <f aca="false">H51*$D$2</f>
        <v>9709.014315</v>
      </c>
      <c r="I52" s="104" t="n">
        <f aca="false">I51*$D$2</f>
        <v>274351.551315</v>
      </c>
      <c r="J52" s="104" t="n">
        <f aca="false">J51*$D$2</f>
        <v>26946.92035</v>
      </c>
      <c r="K52" s="104" t="n">
        <f aca="false">K51*$D$2</f>
        <v>301298.471665</v>
      </c>
      <c r="L52" s="104" t="n">
        <f aca="false">L51*$D$2</f>
        <v>19117.671955</v>
      </c>
      <c r="M52" s="198" t="n">
        <f aca="false">M51*$D$2</f>
        <v>151244.769422375</v>
      </c>
      <c r="N52" s="104" t="n">
        <f aca="false">N51*$D$2</f>
        <v>684.1445574585</v>
      </c>
      <c r="O52" s="104" t="n">
        <f aca="false">O51*$D$2</f>
        <v>26937.13933995</v>
      </c>
      <c r="P52" s="199"/>
      <c r="Q52" s="134" t="n">
        <f aca="false">Q51*$D$2</f>
        <v>1413.01227555</v>
      </c>
      <c r="R52" s="134" t="n">
        <f aca="false">R51*$D$2</f>
        <v>2199.800675</v>
      </c>
      <c r="S52" s="134" t="n">
        <f aca="false">S51*$D$2</f>
        <v>900.092465</v>
      </c>
      <c r="T52" s="321" t="n">
        <f aca="false">T51*$D$2</f>
        <v>-141.8507959</v>
      </c>
      <c r="U52" s="104" t="n">
        <f aca="false">U51*$D$2</f>
        <v>57157.13105</v>
      </c>
      <c r="V52" s="104" t="n">
        <f aca="false">V51*$D$2</f>
        <v>23753.00755</v>
      </c>
      <c r="W52" s="104" t="n">
        <f aca="false">W51*$D$2</f>
        <v>140075.739007189</v>
      </c>
      <c r="X52" s="104" t="n">
        <f aca="false">X51*$D$2</f>
        <v>107391.0310881</v>
      </c>
      <c r="Y52" s="104"/>
      <c r="Z52" s="104"/>
      <c r="AA52" s="104"/>
      <c r="AB52" s="104"/>
      <c r="AC52" s="104"/>
      <c r="AD52" s="104"/>
      <c r="AE52" s="104"/>
      <c r="AF52" s="95"/>
      <c r="AG52" s="96"/>
      <c r="AH52" s="104" t="n">
        <f aca="false">AH51*$D$2</f>
        <v>83479.5645</v>
      </c>
      <c r="AI52" s="104" t="n">
        <f aca="false">AI51*$D$2</f>
        <v>11877.7095</v>
      </c>
      <c r="AJ52" s="104" t="n">
        <f aca="false">AJ51*$D$2</f>
        <v>51160.4155</v>
      </c>
      <c r="AK52" s="104" t="n">
        <f aca="false">AK51*$D$2</f>
        <v>313515.22327</v>
      </c>
      <c r="AL52" s="104" t="n">
        <f aca="false">AL51*$D$2</f>
        <v>7829.248395</v>
      </c>
      <c r="AM52" s="104" t="n">
        <f aca="false">AM51*$D$2</f>
        <v>321344.471665</v>
      </c>
      <c r="AN52" s="203" t="n">
        <f aca="false">AN43</f>
        <v>14794.787655</v>
      </c>
      <c r="AO52" s="104" t="n">
        <f aca="false">AO51*$D$2</f>
        <v>2500.0076546075</v>
      </c>
      <c r="AP52" s="133"/>
      <c r="AQ52" s="199" t="n">
        <f aca="false">AQ12+AQ46</f>
        <v>0</v>
      </c>
      <c r="AR52" s="199"/>
      <c r="AS52" s="134" t="n">
        <f aca="false">AS51*$D$2</f>
        <v>0</v>
      </c>
      <c r="AT52" s="134"/>
      <c r="AV52" s="205"/>
      <c r="AW52" s="134"/>
      <c r="AX52" s="134"/>
      <c r="AY52" s="303"/>
      <c r="AZ52" s="341" t="n">
        <f aca="false">AZ51*$D$2</f>
        <v>5078.1383546085</v>
      </c>
    </row>
    <row r="53" customFormat="false" ht="3" hidden="false" customHeight="true" outlineLevel="0" collapsed="false">
      <c r="A53" s="214"/>
      <c r="B53" s="235"/>
      <c r="C53" s="216"/>
      <c r="D53" s="217"/>
      <c r="E53" s="216"/>
      <c r="F53" s="218"/>
      <c r="G53" s="217"/>
      <c r="H53" s="219"/>
      <c r="I53" s="217"/>
      <c r="J53" s="217"/>
      <c r="K53" s="217"/>
      <c r="L53" s="217"/>
      <c r="M53" s="220"/>
      <c r="N53" s="217"/>
      <c r="O53" s="217"/>
      <c r="P53" s="221"/>
      <c r="Q53" s="221"/>
      <c r="R53" s="221"/>
      <c r="S53" s="221"/>
      <c r="T53" s="222"/>
      <c r="U53" s="217"/>
      <c r="V53" s="217"/>
      <c r="W53" s="217"/>
      <c r="X53" s="217"/>
      <c r="Y53" s="217"/>
      <c r="Z53" s="217"/>
      <c r="AA53" s="216"/>
      <c r="AB53" s="216"/>
      <c r="AC53" s="216"/>
      <c r="AD53" s="216"/>
      <c r="AE53" s="217"/>
      <c r="AF53" s="112"/>
      <c r="AG53" s="153"/>
      <c r="AH53" s="217"/>
      <c r="AI53" s="216"/>
      <c r="AJ53" s="308"/>
      <c r="AK53" s="217"/>
      <c r="AL53" s="217"/>
      <c r="AM53" s="217"/>
      <c r="AN53" s="235"/>
      <c r="AO53" s="217"/>
      <c r="AP53" s="224"/>
      <c r="AQ53" s="221"/>
      <c r="AR53" s="221"/>
      <c r="AS53" s="221"/>
      <c r="AT53" s="221"/>
      <c r="AU53" s="224"/>
      <c r="AV53" s="235"/>
      <c r="AW53" s="217"/>
      <c r="AX53" s="217"/>
      <c r="AY53" s="240"/>
      <c r="AZ53" s="323"/>
    </row>
    <row r="54" customFormat="false" ht="11.1" hidden="false" customHeight="true" outlineLevel="0" collapsed="false">
      <c r="G54" s="174"/>
      <c r="I54" s="163"/>
      <c r="N54" s="2"/>
      <c r="V54" s="9"/>
      <c r="W54" s="1"/>
      <c r="X54" s="1"/>
      <c r="Y54" s="1"/>
      <c r="Z54" s="1"/>
      <c r="AA54" s="105"/>
      <c r="AB54" s="105"/>
      <c r="AE54" s="166"/>
      <c r="AF54" s="166"/>
      <c r="AG54" s="166"/>
      <c r="AH54" s="105"/>
      <c r="AK54" s="9"/>
      <c r="AL54" s="9"/>
      <c r="AM54" s="167"/>
      <c r="AN54" s="169"/>
      <c r="AO54" s="169"/>
      <c r="AP54" s="330"/>
      <c r="AQ54" s="329"/>
      <c r="AR54" s="329"/>
      <c r="AV54" s="165"/>
      <c r="AW54" s="168"/>
      <c r="AX54" s="171"/>
    </row>
    <row r="55" customFormat="false" ht="11.1" hidden="false" customHeight="true" outlineLevel="0" collapsed="false">
      <c r="A55" s="173"/>
      <c r="B55" s="447"/>
      <c r="C55" s="2"/>
      <c r="D55" s="1"/>
      <c r="E55" s="443"/>
      <c r="F55" s="176"/>
      <c r="G55" s="1"/>
      <c r="H55" s="3"/>
      <c r="I55" s="13"/>
      <c r="J55" s="12"/>
      <c r="K55" s="163"/>
      <c r="L55" s="166"/>
      <c r="M55" s="12"/>
      <c r="N55" s="0"/>
      <c r="O55" s="2"/>
      <c r="P55" s="470"/>
      <c r="Q55" s="470"/>
      <c r="R55" s="90"/>
      <c r="S55" s="90"/>
      <c r="T55" s="90"/>
      <c r="U55" s="28"/>
      <c r="V55" s="128"/>
      <c r="W55" s="87"/>
      <c r="X55" s="87"/>
      <c r="Y55" s="87"/>
      <c r="Z55" s="87"/>
      <c r="AA55" s="105"/>
      <c r="AB55" s="105"/>
      <c r="AC55" s="80"/>
      <c r="AD55" s="80"/>
      <c r="AE55" s="2"/>
      <c r="AF55" s="2"/>
      <c r="AG55" s="2"/>
      <c r="AH55" s="12"/>
      <c r="AI55" s="2"/>
      <c r="AJ55" s="102"/>
      <c r="AK55" s="2"/>
      <c r="AL55" s="173"/>
      <c r="AM55" s="167"/>
      <c r="AN55" s="528"/>
      <c r="AO55" s="528"/>
      <c r="AP55" s="330"/>
      <c r="AQ55" s="444"/>
      <c r="AR55" s="444"/>
      <c r="AS55" s="254"/>
      <c r="AV55" s="168"/>
      <c r="AW55" s="168"/>
      <c r="AX55" s="168"/>
    </row>
    <row r="56" customFormat="false" ht="11.1" hidden="false" customHeight="true" outlineLevel="0" collapsed="false">
      <c r="D56" s="105"/>
      <c r="E56" s="443"/>
      <c r="F56" s="1"/>
      <c r="G56" s="1"/>
      <c r="H56" s="105"/>
      <c r="I56" s="1"/>
      <c r="J56" s="1"/>
      <c r="K56" s="467"/>
      <c r="L56" s="168"/>
      <c r="M56" s="4"/>
      <c r="N56" s="4"/>
      <c r="O56" s="168"/>
      <c r="V56" s="9"/>
      <c r="W56" s="1"/>
      <c r="X56" s="1"/>
      <c r="Y56" s="1"/>
      <c r="Z56" s="1"/>
      <c r="AA56" s="168"/>
      <c r="AB56" s="168"/>
      <c r="AC56" s="168"/>
      <c r="AD56" s="168"/>
      <c r="AE56" s="105"/>
      <c r="AF56" s="105"/>
      <c r="AG56" s="105"/>
      <c r="AH56" s="2"/>
      <c r="AI56" s="105"/>
      <c r="AJ56" s="208"/>
      <c r="AK56" s="105"/>
      <c r="AL56" s="9"/>
      <c r="AM56" s="443"/>
      <c r="AN56" s="169"/>
      <c r="AO56" s="169"/>
      <c r="AP56" s="330"/>
      <c r="AS56" s="254"/>
      <c r="AV56" s="168"/>
      <c r="AW56" s="168"/>
      <c r="AX56" s="171"/>
    </row>
    <row r="57" customFormat="false" ht="11.1" hidden="false" customHeight="true" outlineLevel="0" collapsed="false">
      <c r="G57" s="256"/>
      <c r="O57" s="168"/>
      <c r="V57" s="9"/>
      <c r="W57" s="1"/>
      <c r="X57" s="1"/>
      <c r="Y57" s="1"/>
      <c r="Z57" s="1"/>
      <c r="AA57" s="105"/>
      <c r="AB57" s="105"/>
      <c r="AH57" s="105"/>
      <c r="AK57" s="9"/>
      <c r="AL57" s="9"/>
      <c r="AM57" s="167"/>
      <c r="AN57" s="169"/>
      <c r="AO57" s="169"/>
      <c r="AP57" s="330"/>
      <c r="AS57" s="254"/>
      <c r="AV57" s="165"/>
      <c r="AW57" s="168"/>
      <c r="AX57" s="171"/>
    </row>
    <row r="58" customFormat="false" ht="11.1" hidden="false" customHeight="true" outlineLevel="0" collapsed="false">
      <c r="V58" s="9"/>
      <c r="W58" s="105"/>
      <c r="X58" s="105"/>
      <c r="Y58" s="105"/>
      <c r="Z58" s="105"/>
      <c r="AA58" s="105"/>
      <c r="AB58" s="105"/>
      <c r="AH58" s="105"/>
      <c r="AK58" s="9"/>
      <c r="AL58" s="9"/>
      <c r="AM58" s="167"/>
      <c r="AN58" s="169"/>
      <c r="AO58" s="169"/>
      <c r="AS58" s="254"/>
      <c r="AV58" s="165"/>
      <c r="AW58" s="168"/>
      <c r="AX58" s="171"/>
    </row>
    <row r="59" customFormat="false" ht="11.1" hidden="false" customHeight="true" outlineLevel="0" collapsed="false">
      <c r="V59" s="9"/>
      <c r="W59" s="105"/>
      <c r="X59" s="105"/>
      <c r="Y59" s="105"/>
      <c r="Z59" s="105"/>
      <c r="AC59" s="9"/>
      <c r="AD59" s="9"/>
      <c r="AH59" s="105"/>
      <c r="AK59" s="9"/>
      <c r="AL59" s="9"/>
      <c r="AM59" s="167"/>
      <c r="AQ59" s="329"/>
      <c r="AR59" s="329"/>
      <c r="AV59" s="165"/>
      <c r="AW59" s="168"/>
      <c r="AX59" s="171"/>
    </row>
  </sheetData>
  <mergeCells count="2">
    <mergeCell ref="K2:AD2"/>
    <mergeCell ref="M5:T5"/>
  </mergeCells>
  <printOptions headings="true" gridLines="true" gridLinesSet="true" horizontalCentered="true" verticalCentered="true"/>
  <pageMargins left="0.25" right="0.25" top="0.25" bottom="0" header="0.511811023622047" footer="0.511811023622047"/>
  <pageSetup paperSize="3" scale="99"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61"/>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1" ySplit="12" topLeftCell="AG37" activePane="bottomRight" state="frozen"/>
      <selection pane="topLeft" activeCell="A1" activeCellId="0" sqref="A1"/>
      <selection pane="topRight" activeCell="AG1" activeCellId="0" sqref="AG1"/>
      <selection pane="bottomLeft" activeCell="A37" activeCellId="0" sqref="A37"/>
      <selection pane="bottomRight" activeCell="AV52" activeCellId="1" sqref="E20:E43 AV52"/>
    </sheetView>
  </sheetViews>
  <sheetFormatPr defaultColWidth="9.3359375" defaultRowHeight="11.1" zeroHeight="false" outlineLevelRow="0" outlineLevelCol="0"/>
  <cols>
    <col collapsed="false" customWidth="true" hidden="false" outlineLevel="0" max="1" min="1" style="9" width="4.67"/>
    <col collapsed="false" customWidth="true" hidden="false" outlineLevel="0" max="2" min="2" style="9" width="6.99"/>
    <col collapsed="false" customWidth="true" hidden="false" outlineLevel="0" max="3" min="3" style="105" width="6.32"/>
    <col collapsed="false" customWidth="true" hidden="false" outlineLevel="0" max="4" min="4" style="9" width="6.99"/>
    <col collapsed="false" customWidth="true" hidden="false" outlineLevel="0" max="5" min="5" style="105" width="6.99"/>
    <col collapsed="false" customWidth="true" hidden="false" outlineLevel="0" max="6" min="6" style="9" width="7.32"/>
    <col collapsed="false" customWidth="true" hidden="false" outlineLevel="0" max="7" min="7" style="9" width="6.82"/>
    <col collapsed="false" customWidth="true" hidden="false" outlineLevel="0" max="8" min="8" style="529" width="5.67"/>
    <col collapsed="false" customWidth="true" hidden="false" outlineLevel="0" max="11" min="9" style="9" width="6.32"/>
    <col collapsed="false" customWidth="true" hidden="false" outlineLevel="0" max="12" min="12" style="9" width="7.16"/>
    <col collapsed="false" customWidth="true" hidden="false" outlineLevel="0" max="13" min="13" style="166" width="6.32"/>
    <col collapsed="false" customWidth="true" hidden="false" outlineLevel="0" max="14" min="14" style="166" width="4.49"/>
    <col collapsed="false" customWidth="true" hidden="false" outlineLevel="0" max="15" min="15" style="166" width="5.49"/>
    <col collapsed="false" customWidth="true" hidden="false" outlineLevel="0" max="16" min="16" style="167" width="4.82"/>
    <col collapsed="false" customWidth="true" hidden="false" outlineLevel="0" max="19" min="17" style="9" width="4.32"/>
    <col collapsed="false" customWidth="true" hidden="false" outlineLevel="0" max="20" min="20" style="167" width="5.49"/>
    <col collapsed="false" customWidth="true" hidden="false" outlineLevel="0" max="21" min="21" style="9" width="5.49"/>
    <col collapsed="false" customWidth="true" hidden="false" outlineLevel="0" max="22" min="22" style="105" width="5.49"/>
    <col collapsed="false" customWidth="true" hidden="false" outlineLevel="0" max="26" min="23" style="9" width="6.32"/>
    <col collapsed="false" customWidth="true" hidden="false" outlineLevel="0" max="28" min="27" style="9" width="5.49"/>
    <col collapsed="false" customWidth="true" hidden="false" outlineLevel="0" max="30" min="29" style="105" width="5.49"/>
    <col collapsed="false" customWidth="true" hidden="false" outlineLevel="0" max="33" min="31" style="9" width="5.49"/>
    <col collapsed="false" customWidth="true" hidden="false" outlineLevel="0" max="34" min="34" style="9" width="6.32"/>
    <col collapsed="false" customWidth="true" hidden="false" outlineLevel="0" max="35" min="35" style="9" width="5.49"/>
    <col collapsed="false" customWidth="true" hidden="false" outlineLevel="0" max="36" min="36" style="169" width="6.32"/>
    <col collapsed="false" customWidth="true" hidden="false" outlineLevel="0" max="37" min="37" style="444" width="6.32"/>
    <col collapsed="false" customWidth="true" hidden="false" outlineLevel="0" max="39" min="38" style="297" width="6.99"/>
    <col collapsed="false" customWidth="true" hidden="false" outlineLevel="0" max="40" min="40" style="169" width="5.49"/>
    <col collapsed="false" customWidth="true" hidden="false" outlineLevel="0" max="41" min="41" style="330" width="5.49"/>
    <col collapsed="false" customWidth="true" hidden="false" outlineLevel="0" max="42" min="42" style="330" width="6.32"/>
    <col collapsed="false" customWidth="true" hidden="false" outlineLevel="0" max="44" min="43" style="444" width="6.32"/>
    <col collapsed="false" customWidth="true" hidden="false" outlineLevel="0" max="45" min="45" style="169" width="6.32"/>
    <col collapsed="false" customWidth="true" hidden="false" outlineLevel="0" max="46" min="46" style="169" width="5.82"/>
    <col collapsed="false" customWidth="true" hidden="false" outlineLevel="0" max="47" min="47" style="297" width="4.99"/>
    <col collapsed="false" customWidth="true" hidden="false" outlineLevel="0" max="48" min="48" style="412" width="5.82"/>
    <col collapsed="false" customWidth="true" hidden="false" outlineLevel="0" max="49" min="49" style="169" width="3.82"/>
    <col collapsed="false" customWidth="true" hidden="false" outlineLevel="0" max="50" min="50" style="444" width="3.82"/>
    <col collapsed="false" customWidth="true" hidden="false" outlineLevel="0" max="51" min="51" style="172" width="4.32"/>
    <col collapsed="false" customWidth="true" hidden="false" outlineLevel="0" max="52" min="52" style="172" width="6.49"/>
    <col collapsed="false" customWidth="false" hidden="false" outlineLevel="0" max="257" min="53" style="172" width="9.32"/>
  </cols>
  <sheetData>
    <row r="1" customFormat="false" ht="14.1" hidden="false" customHeight="true" outlineLevel="0" collapsed="false">
      <c r="A1" s="173"/>
      <c r="B1" s="173"/>
      <c r="D1" s="173"/>
      <c r="F1" s="173"/>
      <c r="G1" s="173"/>
      <c r="I1" s="173"/>
      <c r="J1" s="173"/>
      <c r="K1" s="175" t="s">
        <v>0</v>
      </c>
      <c r="L1" s="173"/>
      <c r="M1" s="173"/>
      <c r="N1" s="173"/>
      <c r="O1" s="173"/>
      <c r="Q1" s="173"/>
      <c r="R1" s="173"/>
      <c r="S1" s="173"/>
      <c r="U1" s="173"/>
      <c r="V1" s="173"/>
      <c r="W1" s="105"/>
      <c r="X1" s="105"/>
      <c r="Y1" s="105"/>
      <c r="Z1" s="105"/>
      <c r="AA1" s="173"/>
      <c r="AB1" s="173"/>
      <c r="AC1" s="173"/>
      <c r="AD1" s="173"/>
      <c r="AE1" s="173"/>
      <c r="AF1" s="173"/>
      <c r="AG1" s="173"/>
      <c r="AH1" s="105"/>
      <c r="AI1" s="173"/>
      <c r="AJ1" s="176"/>
      <c r="AK1" s="176"/>
      <c r="AL1" s="176"/>
      <c r="AM1" s="444"/>
      <c r="AN1" s="176"/>
      <c r="AV1" s="297"/>
      <c r="AW1" s="297"/>
      <c r="AX1" s="412"/>
    </row>
    <row r="2" customFormat="false" ht="14.1" hidden="false" customHeight="true" outlineLevel="0" collapsed="false">
      <c r="A2" s="176" t="s">
        <v>1</v>
      </c>
      <c r="B2" s="173"/>
      <c r="D2" s="177" t="n">
        <v>1.9835</v>
      </c>
      <c r="F2" s="173"/>
      <c r="G2" s="173"/>
      <c r="I2" s="173"/>
      <c r="J2" s="173"/>
      <c r="K2" s="178" t="s">
        <v>132</v>
      </c>
      <c r="L2" s="178"/>
      <c r="M2" s="178"/>
      <c r="N2" s="178"/>
      <c r="O2" s="178"/>
      <c r="P2" s="178"/>
      <c r="Q2" s="178"/>
      <c r="R2" s="178"/>
      <c r="S2" s="178"/>
      <c r="T2" s="178"/>
      <c r="U2" s="178"/>
      <c r="V2" s="178"/>
      <c r="W2" s="178"/>
      <c r="X2" s="178"/>
      <c r="Y2" s="178"/>
      <c r="Z2" s="178"/>
      <c r="AA2" s="178"/>
      <c r="AB2" s="178"/>
      <c r="AC2" s="178"/>
      <c r="AD2" s="178"/>
      <c r="AE2" s="173"/>
      <c r="AF2" s="173"/>
      <c r="AG2" s="173"/>
      <c r="AH2" s="105"/>
      <c r="AI2" s="173"/>
      <c r="AJ2" s="176"/>
      <c r="AK2" s="176"/>
      <c r="AL2" s="176"/>
      <c r="AM2" s="444"/>
      <c r="AN2" s="176"/>
      <c r="AV2" s="297"/>
      <c r="AW2" s="297"/>
      <c r="AX2" s="412"/>
    </row>
    <row r="3" customFormat="false" ht="14.1" hidden="false" customHeight="true" outlineLevel="0" collapsed="false">
      <c r="A3" s="179"/>
      <c r="B3" s="179"/>
      <c r="C3" s="180"/>
      <c r="D3" s="181"/>
      <c r="E3" s="180"/>
      <c r="F3" s="179"/>
      <c r="G3" s="179"/>
      <c r="H3" s="530"/>
      <c r="I3" s="179"/>
      <c r="J3" s="179"/>
      <c r="K3" s="179"/>
      <c r="L3" s="179"/>
      <c r="M3" s="179"/>
      <c r="N3" s="179"/>
      <c r="O3" s="179"/>
      <c r="P3" s="183"/>
      <c r="Q3" s="179"/>
      <c r="R3" s="179"/>
      <c r="S3" s="179"/>
      <c r="T3" s="183"/>
      <c r="U3" s="179"/>
      <c r="V3" s="179"/>
      <c r="W3" s="180"/>
      <c r="X3" s="180"/>
      <c r="Y3" s="180"/>
      <c r="Z3" s="180"/>
      <c r="AA3" s="179"/>
      <c r="AB3" s="179"/>
      <c r="AC3" s="179"/>
      <c r="AD3" s="179"/>
      <c r="AE3" s="179"/>
      <c r="AF3" s="179"/>
      <c r="AG3" s="179"/>
      <c r="AH3" s="180"/>
      <c r="AI3" s="179"/>
      <c r="AJ3" s="186"/>
      <c r="AK3" s="186"/>
      <c r="AL3" s="186"/>
      <c r="AM3" s="491"/>
      <c r="AN3" s="186"/>
      <c r="AO3" s="332"/>
      <c r="AP3" s="332"/>
      <c r="AQ3" s="491"/>
      <c r="AV3" s="298"/>
      <c r="AW3" s="298"/>
      <c r="AX3" s="490"/>
    </row>
    <row r="4" s="9" customFormat="true" ht="14.1" hidden="false" customHeight="true" outlineLevel="0" collapsed="false">
      <c r="A4" s="173"/>
      <c r="B4" s="389"/>
      <c r="C4" s="390"/>
      <c r="D4" s="391" t="s">
        <v>3</v>
      </c>
      <c r="E4" s="390"/>
      <c r="F4" s="492"/>
      <c r="G4" s="173"/>
      <c r="H4" s="174"/>
      <c r="I4" s="173"/>
      <c r="J4" s="173"/>
      <c r="K4" s="173"/>
      <c r="L4" s="173"/>
      <c r="M4" s="173"/>
      <c r="N4" s="173"/>
      <c r="O4" s="173"/>
      <c r="P4" s="167"/>
      <c r="Q4" s="167"/>
      <c r="R4" s="167"/>
      <c r="S4" s="167"/>
      <c r="T4" s="167"/>
      <c r="U4" s="398" t="s">
        <v>4</v>
      </c>
      <c r="V4" s="173"/>
      <c r="W4" s="105"/>
      <c r="X4" s="105"/>
      <c r="Y4" s="105"/>
      <c r="Z4" s="105"/>
      <c r="AA4" s="173"/>
      <c r="AB4" s="173"/>
      <c r="AC4" s="173"/>
      <c r="AD4" s="173"/>
      <c r="AE4" s="173"/>
      <c r="AF4" s="173"/>
      <c r="AG4" s="173"/>
      <c r="AH4" s="105"/>
      <c r="AI4" s="173"/>
      <c r="AJ4" s="176"/>
      <c r="AK4" s="176"/>
      <c r="AL4" s="176"/>
      <c r="AM4" s="444"/>
      <c r="AN4" s="493"/>
      <c r="AO4" s="330"/>
      <c r="AP4" s="495" t="s">
        <v>5</v>
      </c>
      <c r="AQ4" s="495"/>
      <c r="AR4" s="496"/>
      <c r="AS4" s="497"/>
      <c r="AT4" s="498"/>
      <c r="AU4" s="531"/>
      <c r="AV4" s="532"/>
      <c r="AW4" s="533" t="s">
        <v>6</v>
      </c>
      <c r="AX4" s="534"/>
      <c r="AY4" s="403"/>
      <c r="AZ4" s="404"/>
    </row>
    <row r="5" customFormat="false" ht="12.95" hidden="false" customHeight="true" outlineLevel="0" collapsed="false">
      <c r="A5" s="259" t="s">
        <v>7</v>
      </c>
      <c r="B5" s="405" t="s">
        <v>8</v>
      </c>
      <c r="C5" s="59" t="s">
        <v>8</v>
      </c>
      <c r="D5" s="259" t="s">
        <v>9</v>
      </c>
      <c r="E5" s="59" t="s">
        <v>10</v>
      </c>
      <c r="F5" s="259" t="s">
        <v>11</v>
      </c>
      <c r="G5" s="405" t="s">
        <v>12</v>
      </c>
      <c r="H5" s="413" t="s">
        <v>13</v>
      </c>
      <c r="I5" s="259" t="s">
        <v>14</v>
      </c>
      <c r="J5" s="259" t="s">
        <v>15</v>
      </c>
      <c r="K5" s="259" t="s">
        <v>16</v>
      </c>
      <c r="L5" s="259" t="s">
        <v>15</v>
      </c>
      <c r="M5" s="409" t="s">
        <v>17</v>
      </c>
      <c r="N5" s="409"/>
      <c r="O5" s="409"/>
      <c r="P5" s="409"/>
      <c r="Q5" s="409"/>
      <c r="R5" s="409"/>
      <c r="S5" s="409"/>
      <c r="T5" s="409"/>
      <c r="U5" s="259" t="s">
        <v>18</v>
      </c>
      <c r="V5" s="259" t="s">
        <v>19</v>
      </c>
      <c r="W5" s="259" t="s">
        <v>16</v>
      </c>
      <c r="X5" s="259" t="s">
        <v>16</v>
      </c>
      <c r="Y5" s="59" t="s">
        <v>16</v>
      </c>
      <c r="Z5" s="259" t="s">
        <v>16</v>
      </c>
      <c r="AA5" s="59" t="s">
        <v>21</v>
      </c>
      <c r="AB5" s="59" t="s">
        <v>21</v>
      </c>
      <c r="AC5" s="59" t="s">
        <v>22</v>
      </c>
      <c r="AD5" s="59" t="s">
        <v>21</v>
      </c>
      <c r="AE5" s="259" t="s">
        <v>23</v>
      </c>
      <c r="AF5" s="410" t="s">
        <v>115</v>
      </c>
      <c r="AG5" s="411"/>
      <c r="AH5" s="412" t="s">
        <v>25</v>
      </c>
      <c r="AI5" s="59" t="s">
        <v>116</v>
      </c>
      <c r="AJ5" s="59" t="s">
        <v>27</v>
      </c>
      <c r="AK5" s="259" t="s">
        <v>14</v>
      </c>
      <c r="AL5" s="259" t="s">
        <v>15</v>
      </c>
      <c r="AM5" s="259" t="s">
        <v>16</v>
      </c>
      <c r="AN5" s="451" t="s">
        <v>28</v>
      </c>
      <c r="AO5" s="60" t="s">
        <v>21</v>
      </c>
      <c r="AP5" s="66" t="s">
        <v>29</v>
      </c>
      <c r="AQ5" s="66" t="s">
        <v>29</v>
      </c>
      <c r="AR5" s="61" t="s">
        <v>30</v>
      </c>
      <c r="AS5" s="67" t="s">
        <v>31</v>
      </c>
      <c r="AT5" s="413" t="s">
        <v>32</v>
      </c>
      <c r="AU5" s="68" t="s">
        <v>33</v>
      </c>
      <c r="AV5" s="414" t="s">
        <v>34</v>
      </c>
      <c r="AW5" s="412" t="s">
        <v>35</v>
      </c>
      <c r="AX5" s="412" t="s">
        <v>36</v>
      </c>
      <c r="AY5" s="303"/>
      <c r="AZ5" s="71" t="s">
        <v>16</v>
      </c>
    </row>
    <row r="6" customFormat="false" ht="12.95" hidden="false" customHeight="true" outlineLevel="0" collapsed="false">
      <c r="A6" s="415" t="s">
        <v>133</v>
      </c>
      <c r="B6" s="405" t="s">
        <v>38</v>
      </c>
      <c r="C6" s="59"/>
      <c r="D6" s="259" t="s">
        <v>39</v>
      </c>
      <c r="E6" s="59" t="s">
        <v>40</v>
      </c>
      <c r="F6" s="259" t="s">
        <v>41</v>
      </c>
      <c r="G6" s="405" t="s">
        <v>42</v>
      </c>
      <c r="H6" s="413" t="s">
        <v>43</v>
      </c>
      <c r="I6" s="259" t="s">
        <v>44</v>
      </c>
      <c r="J6" s="259" t="s">
        <v>44</v>
      </c>
      <c r="K6" s="259" t="s">
        <v>44</v>
      </c>
      <c r="L6" s="259" t="s">
        <v>45</v>
      </c>
      <c r="M6" s="416" t="s">
        <v>46</v>
      </c>
      <c r="N6" s="417" t="s">
        <v>47</v>
      </c>
      <c r="O6" s="259" t="s">
        <v>48</v>
      </c>
      <c r="P6" s="417" t="s">
        <v>49</v>
      </c>
      <c r="Q6" s="259" t="s">
        <v>50</v>
      </c>
      <c r="R6" s="259" t="s">
        <v>51</v>
      </c>
      <c r="S6" s="259" t="s">
        <v>52</v>
      </c>
      <c r="T6" s="419" t="s">
        <v>53</v>
      </c>
      <c r="U6" s="259" t="s">
        <v>54</v>
      </c>
      <c r="V6" s="259" t="s">
        <v>55</v>
      </c>
      <c r="W6" s="259" t="s">
        <v>21</v>
      </c>
      <c r="X6" s="259" t="s">
        <v>21</v>
      </c>
      <c r="Y6" s="59" t="s">
        <v>21</v>
      </c>
      <c r="Z6" s="259" t="s">
        <v>21</v>
      </c>
      <c r="AA6" s="59" t="s">
        <v>56</v>
      </c>
      <c r="AB6" s="59" t="s">
        <v>57</v>
      </c>
      <c r="AC6" s="59" t="s">
        <v>58</v>
      </c>
      <c r="AD6" s="59" t="s">
        <v>59</v>
      </c>
      <c r="AE6" s="259" t="s">
        <v>60</v>
      </c>
      <c r="AF6" s="416"/>
      <c r="AG6" s="420"/>
      <c r="AH6" s="412" t="s">
        <v>63</v>
      </c>
      <c r="AI6" s="59" t="s">
        <v>64</v>
      </c>
      <c r="AJ6" s="59"/>
      <c r="AK6" s="259" t="s">
        <v>65</v>
      </c>
      <c r="AL6" s="259" t="s">
        <v>65</v>
      </c>
      <c r="AM6" s="259" t="s">
        <v>65</v>
      </c>
      <c r="AN6" s="451" t="s">
        <v>56</v>
      </c>
      <c r="AO6" s="60" t="s">
        <v>66</v>
      </c>
      <c r="AP6" s="66" t="s">
        <v>67</v>
      </c>
      <c r="AQ6" s="66" t="s">
        <v>67</v>
      </c>
      <c r="AR6" s="61" t="s">
        <v>68</v>
      </c>
      <c r="AS6" s="67" t="s">
        <v>69</v>
      </c>
      <c r="AT6" s="413" t="s">
        <v>70</v>
      </c>
      <c r="AU6" s="68" t="s">
        <v>71</v>
      </c>
      <c r="AV6" s="421"/>
      <c r="AW6" s="412" t="s">
        <v>72</v>
      </c>
      <c r="AX6" s="412" t="s">
        <v>72</v>
      </c>
      <c r="AY6" s="303"/>
      <c r="AZ6" s="71" t="s">
        <v>73</v>
      </c>
    </row>
    <row r="7" customFormat="false" ht="12.95" hidden="false" customHeight="true" outlineLevel="0" collapsed="false">
      <c r="A7" s="259"/>
      <c r="B7" s="405"/>
      <c r="C7" s="59"/>
      <c r="D7" s="259"/>
      <c r="E7" s="59"/>
      <c r="F7" s="259"/>
      <c r="G7" s="405"/>
      <c r="H7" s="413"/>
      <c r="I7" s="259"/>
      <c r="J7" s="259"/>
      <c r="K7" s="259"/>
      <c r="L7" s="259"/>
      <c r="M7" s="416"/>
      <c r="N7" s="417" t="s">
        <v>74</v>
      </c>
      <c r="O7" s="259" t="s">
        <v>75</v>
      </c>
      <c r="P7" s="417"/>
      <c r="Q7" s="259"/>
      <c r="R7" s="259"/>
      <c r="S7" s="259" t="s">
        <v>48</v>
      </c>
      <c r="T7" s="419" t="s">
        <v>27</v>
      </c>
      <c r="U7" s="259"/>
      <c r="V7" s="259"/>
      <c r="W7" s="59" t="s">
        <v>122</v>
      </c>
      <c r="X7" s="59" t="s">
        <v>76</v>
      </c>
      <c r="Y7" s="59" t="s">
        <v>76</v>
      </c>
      <c r="Z7" s="59" t="n">
        <v>105500</v>
      </c>
      <c r="AA7" s="59"/>
      <c r="AB7" s="59" t="s">
        <v>77</v>
      </c>
      <c r="AC7" s="59"/>
      <c r="AD7" s="59"/>
      <c r="AE7" s="259"/>
      <c r="AF7" s="422"/>
      <c r="AG7" s="423"/>
      <c r="AH7" s="412"/>
      <c r="AI7" s="59"/>
      <c r="AJ7" s="59"/>
      <c r="AK7" s="259"/>
      <c r="AL7" s="259"/>
      <c r="AM7" s="259"/>
      <c r="AN7" s="451"/>
      <c r="AO7" s="60" t="s">
        <v>41</v>
      </c>
      <c r="AP7" s="66" t="s">
        <v>78</v>
      </c>
      <c r="AQ7" s="66" t="s">
        <v>79</v>
      </c>
      <c r="AR7" s="61" t="s">
        <v>80</v>
      </c>
      <c r="AS7" s="67" t="s">
        <v>81</v>
      </c>
      <c r="AT7" s="413" t="s">
        <v>82</v>
      </c>
      <c r="AU7" s="68" t="s">
        <v>123</v>
      </c>
      <c r="AV7" s="421"/>
      <c r="AW7" s="412"/>
      <c r="AX7" s="412"/>
      <c r="AY7" s="303"/>
      <c r="AZ7" s="71" t="s">
        <v>83</v>
      </c>
    </row>
    <row r="8" customFormat="false" ht="12.95" hidden="false" customHeight="true" outlineLevel="0" collapsed="false">
      <c r="A8" s="259"/>
      <c r="B8" s="405"/>
      <c r="C8" s="59"/>
      <c r="D8" s="259"/>
      <c r="E8" s="59"/>
      <c r="F8" s="259"/>
      <c r="G8" s="405"/>
      <c r="H8" s="413"/>
      <c r="I8" s="259"/>
      <c r="J8" s="259"/>
      <c r="K8" s="259"/>
      <c r="L8" s="259"/>
      <c r="M8" s="416"/>
      <c r="N8" s="417"/>
      <c r="O8" s="259"/>
      <c r="P8" s="417"/>
      <c r="Q8" s="259"/>
      <c r="R8" s="259"/>
      <c r="S8" s="259"/>
      <c r="T8" s="419"/>
      <c r="U8" s="259"/>
      <c r="V8" s="259"/>
      <c r="W8" s="59" t="s">
        <v>124</v>
      </c>
      <c r="X8" s="59" t="s">
        <v>125</v>
      </c>
      <c r="Y8" s="59" t="s">
        <v>125</v>
      </c>
      <c r="Z8" s="59" t="s">
        <v>125</v>
      </c>
      <c r="AA8" s="59"/>
      <c r="AB8" s="59"/>
      <c r="AC8" s="59"/>
      <c r="AD8" s="59"/>
      <c r="AE8" s="259"/>
      <c r="AF8" s="422"/>
      <c r="AG8" s="423"/>
      <c r="AH8" s="412"/>
      <c r="AI8" s="59"/>
      <c r="AJ8" s="59"/>
      <c r="AK8" s="259"/>
      <c r="AL8" s="259"/>
      <c r="AM8" s="259"/>
      <c r="AN8" s="451"/>
      <c r="AO8" s="60"/>
      <c r="AP8" s="66"/>
      <c r="AQ8" s="66"/>
      <c r="AR8" s="61"/>
      <c r="AS8" s="67"/>
      <c r="AT8" s="413"/>
      <c r="AU8" s="68"/>
      <c r="AV8" s="421"/>
      <c r="AW8" s="412"/>
      <c r="AX8" s="412"/>
      <c r="AY8" s="303"/>
      <c r="AZ8" s="71"/>
    </row>
    <row r="9" customFormat="false" ht="12.95" hidden="false" customHeight="true" outlineLevel="0" collapsed="false">
      <c r="A9" s="259"/>
      <c r="B9" s="405"/>
      <c r="C9" s="59" t="s">
        <v>9</v>
      </c>
      <c r="D9" s="259"/>
      <c r="E9" s="59" t="s">
        <v>85</v>
      </c>
      <c r="F9" s="259"/>
      <c r="G9" s="405" t="s">
        <v>41</v>
      </c>
      <c r="H9" s="413" t="s">
        <v>41</v>
      </c>
      <c r="I9" s="413" t="s">
        <v>41</v>
      </c>
      <c r="J9" s="413" t="s">
        <v>41</v>
      </c>
      <c r="K9" s="413" t="s">
        <v>41</v>
      </c>
      <c r="L9" s="413" t="s">
        <v>41</v>
      </c>
      <c r="M9" s="424" t="s">
        <v>41</v>
      </c>
      <c r="N9" s="413" t="s">
        <v>41</v>
      </c>
      <c r="O9" s="413" t="s">
        <v>41</v>
      </c>
      <c r="P9" s="413" t="s">
        <v>41</v>
      </c>
      <c r="Q9" s="413" t="s">
        <v>41</v>
      </c>
      <c r="R9" s="413" t="s">
        <v>41</v>
      </c>
      <c r="S9" s="259" t="s">
        <v>62</v>
      </c>
      <c r="T9" s="425" t="s">
        <v>41</v>
      </c>
      <c r="U9" s="413" t="s">
        <v>41</v>
      </c>
      <c r="V9" s="413" t="s">
        <v>41</v>
      </c>
      <c r="W9" s="413" t="s">
        <v>41</v>
      </c>
      <c r="X9" s="59" t="n">
        <v>150400</v>
      </c>
      <c r="Y9" s="59" t="n">
        <v>150400</v>
      </c>
      <c r="Z9" s="259" t="s">
        <v>126</v>
      </c>
      <c r="AA9" s="413" t="s">
        <v>41</v>
      </c>
      <c r="AB9" s="412" t="n">
        <v>72000</v>
      </c>
      <c r="AC9" s="413" t="s">
        <v>41</v>
      </c>
      <c r="AD9" s="413" t="s">
        <v>41</v>
      </c>
      <c r="AE9" s="413" t="s">
        <v>41</v>
      </c>
      <c r="AF9" s="424" t="s">
        <v>41</v>
      </c>
      <c r="AG9" s="425" t="s">
        <v>41</v>
      </c>
      <c r="AH9" s="413" t="s">
        <v>41</v>
      </c>
      <c r="AI9" s="413" t="s">
        <v>41</v>
      </c>
      <c r="AJ9" s="413" t="s">
        <v>41</v>
      </c>
      <c r="AK9" s="413" t="s">
        <v>41</v>
      </c>
      <c r="AL9" s="413" t="s">
        <v>41</v>
      </c>
      <c r="AM9" s="413" t="s">
        <v>41</v>
      </c>
      <c r="AN9" s="451" t="s">
        <v>85</v>
      </c>
      <c r="AO9" s="60" t="s">
        <v>41</v>
      </c>
      <c r="AP9" s="60" t="s">
        <v>41</v>
      </c>
      <c r="AQ9" s="66" t="s">
        <v>87</v>
      </c>
      <c r="AR9" s="61" t="s">
        <v>41</v>
      </c>
      <c r="AS9" s="60" t="s">
        <v>41</v>
      </c>
      <c r="AT9" s="60" t="s">
        <v>41</v>
      </c>
      <c r="AU9" s="60" t="s">
        <v>41</v>
      </c>
      <c r="AV9" s="421"/>
      <c r="AW9" s="412"/>
      <c r="AX9" s="412"/>
      <c r="AY9" s="303"/>
      <c r="AZ9" s="71" t="s">
        <v>88</v>
      </c>
    </row>
    <row r="10" customFormat="false" ht="12.95" hidden="false" customHeight="true" outlineLevel="0" collapsed="false">
      <c r="A10" s="259"/>
      <c r="B10" s="405"/>
      <c r="C10" s="59"/>
      <c r="D10" s="259"/>
      <c r="E10" s="59"/>
      <c r="F10" s="259"/>
      <c r="G10" s="405"/>
      <c r="H10" s="413"/>
      <c r="I10" s="259"/>
      <c r="J10" s="259"/>
      <c r="K10" s="259"/>
      <c r="L10" s="259"/>
      <c r="M10" s="416"/>
      <c r="N10" s="417" t="n">
        <v>1.03</v>
      </c>
      <c r="O10" s="418" t="n">
        <v>1.05</v>
      </c>
      <c r="P10" s="417" t="n">
        <v>1.02</v>
      </c>
      <c r="Q10" s="418" t="n">
        <v>1.02</v>
      </c>
      <c r="R10" s="418" t="n">
        <v>1.04</v>
      </c>
      <c r="S10" s="413" t="s">
        <v>41</v>
      </c>
      <c r="T10" s="419"/>
      <c r="U10" s="259"/>
      <c r="V10" s="259"/>
      <c r="W10" s="259"/>
      <c r="X10" s="413" t="s">
        <v>41</v>
      </c>
      <c r="Y10" s="59" t="s">
        <v>85</v>
      </c>
      <c r="Z10" s="259" t="s">
        <v>85</v>
      </c>
      <c r="AA10" s="59"/>
      <c r="AB10" s="259" t="s">
        <v>85</v>
      </c>
      <c r="AC10" s="59"/>
      <c r="AD10" s="59"/>
      <c r="AE10" s="259"/>
      <c r="AF10" s="422"/>
      <c r="AG10" s="423"/>
      <c r="AH10" s="412"/>
      <c r="AI10" s="59"/>
      <c r="AJ10" s="59"/>
      <c r="AK10" s="259"/>
      <c r="AL10" s="259"/>
      <c r="AM10" s="259"/>
      <c r="AN10" s="451"/>
      <c r="AO10" s="60"/>
      <c r="AP10" s="66"/>
      <c r="AQ10" s="66"/>
      <c r="AR10" s="61"/>
      <c r="AS10" s="84"/>
      <c r="AT10" s="330"/>
      <c r="AU10" s="169"/>
      <c r="AV10" s="421"/>
      <c r="AW10" s="412"/>
      <c r="AX10" s="412"/>
      <c r="AY10" s="303"/>
      <c r="AZ10" s="71" t="s">
        <v>41</v>
      </c>
    </row>
    <row r="11" s="213" customFormat="true" ht="12.95" hidden="false" customHeight="true" outlineLevel="0" collapsed="false">
      <c r="A11" s="176" t="s">
        <v>89</v>
      </c>
      <c r="B11" s="196"/>
      <c r="C11" s="104"/>
      <c r="D11" s="104"/>
      <c r="E11" s="104"/>
      <c r="F11" s="197" t="n">
        <f aca="false">SEP!F48</f>
        <v>-9342.57625409629</v>
      </c>
      <c r="G11" s="104" t="n">
        <f aca="false">SEP!G48</f>
        <v>122422</v>
      </c>
      <c r="H11" s="104" t="n">
        <f aca="false">SEP!H48</f>
        <v>4354.76</v>
      </c>
      <c r="I11" s="104" t="n">
        <f aca="false">SEP!I48</f>
        <v>126776.76</v>
      </c>
      <c r="J11" s="104" t="n">
        <f aca="false">SEP!J48</f>
        <v>10279.4070027729</v>
      </c>
      <c r="K11" s="104" t="n">
        <f aca="false">SEP!K48</f>
        <v>137056.167002773</v>
      </c>
      <c r="L11" s="197" t="n">
        <f aca="false">SEP!L48</f>
        <v>7266.38374590371</v>
      </c>
      <c r="M11" s="104" t="n">
        <f aca="false">SEP!M48</f>
        <v>45462.5</v>
      </c>
      <c r="N11" s="104" t="n">
        <f aca="false">SEP!N48</f>
        <v>344.917851</v>
      </c>
      <c r="O11" s="104" t="n">
        <f aca="false">SEP!O48</f>
        <v>13580.6097</v>
      </c>
      <c r="P11" s="104" t="n">
        <f aca="false">SEP!P48</f>
        <v>7.365</v>
      </c>
      <c r="Q11" s="104"/>
      <c r="R11" s="104"/>
      <c r="S11" s="104"/>
      <c r="T11" s="200"/>
      <c r="U11" s="104" t="n">
        <f aca="false">SEP!U48</f>
        <v>21386.3</v>
      </c>
      <c r="V11" s="104" t="n">
        <f aca="false">SEP!V48</f>
        <v>11899</v>
      </c>
      <c r="W11" s="104" t="n">
        <f aca="false">SEP!W48</f>
        <v>62789.734754</v>
      </c>
      <c r="X11" s="104" t="n">
        <f aca="false">SEP!X48</f>
        <v>46764.70362</v>
      </c>
      <c r="Y11" s="104"/>
      <c r="Z11" s="104"/>
      <c r="AA11" s="104" t="n">
        <f aca="false">SEP!AA48</f>
        <v>0</v>
      </c>
      <c r="AB11" s="104" t="n">
        <f aca="false">SEP!AB11</f>
        <v>61575.2275546874</v>
      </c>
      <c r="AC11" s="104"/>
      <c r="AD11" s="104" t="n">
        <f aca="false">SEP!AD48</f>
        <v>15545.422992</v>
      </c>
      <c r="AE11" s="104" t="n">
        <f aca="false">SEP!AE48</f>
        <v>28801.92</v>
      </c>
      <c r="AF11" s="198" t="n">
        <f aca="false">SEP!AF48</f>
        <v>311.1</v>
      </c>
      <c r="AG11" s="201" t="n">
        <f aca="false">SEP!AG48</f>
        <v>237.9</v>
      </c>
      <c r="AH11" s="104"/>
      <c r="AI11" s="104"/>
      <c r="AJ11" s="104"/>
      <c r="AK11" s="104" t="n">
        <f aca="false">SEP!AK48</f>
        <v>143385.72</v>
      </c>
      <c r="AL11" s="104" t="n">
        <f aca="false">SEP!AL48</f>
        <v>3013.02325686917</v>
      </c>
      <c r="AM11" s="104" t="n">
        <f aca="false">SEP!AM48</f>
        <v>146398.743256869</v>
      </c>
      <c r="AN11" s="203"/>
      <c r="AO11" s="133"/>
      <c r="AP11" s="133"/>
      <c r="AQ11" s="199" t="n">
        <f aca="false">SEP!AQ49</f>
        <v>287.029610244458</v>
      </c>
      <c r="AR11" s="199"/>
      <c r="AS11" s="134" t="n">
        <f aca="false">[1]SEP!AS48</f>
        <v>675.57</v>
      </c>
      <c r="AT11" s="134" t="n">
        <f aca="false">[1]SEP!AT48</f>
        <v>411.411015</v>
      </c>
      <c r="AU11" s="134" t="n">
        <f aca="false">SEP!AU48</f>
        <v>1252.76</v>
      </c>
      <c r="AV11" s="327"/>
      <c r="AW11" s="134"/>
      <c r="AX11" s="134"/>
      <c r="AY11" s="303"/>
      <c r="AZ11" s="337"/>
    </row>
    <row r="12" customFormat="false" ht="12.95" hidden="false" customHeight="true" outlineLevel="0" collapsed="false">
      <c r="A12" s="105" t="s">
        <v>90</v>
      </c>
      <c r="B12" s="103" t="n">
        <f aca="false">SEP!B43</f>
        <v>6894.79</v>
      </c>
      <c r="C12" s="209" t="n">
        <f aca="false">SEP!C43</f>
        <v>264755</v>
      </c>
      <c r="D12" s="104" t="n">
        <f aca="false">SEP!D52</f>
        <v>-20046</v>
      </c>
      <c r="E12" s="104" t="n">
        <f aca="false">SEP!E52</f>
        <v>112755</v>
      </c>
      <c r="F12" s="197" t="n">
        <f aca="false">SEP!F51</f>
        <v>-10106.3776153264</v>
      </c>
      <c r="G12" s="104" t="n">
        <f aca="false">SEP!G51</f>
        <v>133422</v>
      </c>
      <c r="H12" s="209" t="n">
        <f aca="false">SEP!H51</f>
        <v>4894.89</v>
      </c>
      <c r="I12" s="104" t="n">
        <f aca="false">SEP!I51</f>
        <v>138316.89</v>
      </c>
      <c r="J12" s="209" t="n">
        <f aca="false">SEP!J51</f>
        <v>13585.5408873204</v>
      </c>
      <c r="K12" s="104" t="n">
        <f aca="false">SEP!K51</f>
        <v>151902.43088732</v>
      </c>
      <c r="L12" s="522" t="n">
        <f aca="false">SEP!L51</f>
        <v>9638.35238467356</v>
      </c>
      <c r="M12" s="104" t="n">
        <f aca="false">SEP!M51</f>
        <v>76251.45925</v>
      </c>
      <c r="N12" s="209" t="n">
        <f aca="false">SEP!N51</f>
        <v>344.917851</v>
      </c>
      <c r="O12" s="209" t="n">
        <f aca="false">SEP!O51</f>
        <v>13580.6097</v>
      </c>
      <c r="P12" s="523"/>
      <c r="Q12" s="209" t="n">
        <f aca="false">SEP!Q51</f>
        <v>712.3833</v>
      </c>
      <c r="R12" s="535" t="n">
        <f aca="false">SEP!R51</f>
        <v>1109.05</v>
      </c>
      <c r="S12" s="209" t="n">
        <f aca="false">SEP!S51</f>
        <v>453.79</v>
      </c>
      <c r="T12" s="250" t="n">
        <f aca="false">SEP!T51</f>
        <v>-71.5154</v>
      </c>
      <c r="U12" s="209" t="n">
        <f aca="false">SEP!U51</f>
        <v>28816.3</v>
      </c>
      <c r="V12" s="209" t="n">
        <f aca="false">SEP!V51</f>
        <v>11975.3</v>
      </c>
      <c r="W12" s="209" t="n">
        <f aca="false">SEP!W51</f>
        <v>70620.488534</v>
      </c>
      <c r="X12" s="209" t="n">
        <f aca="false">SEP!X51</f>
        <v>54142.1886</v>
      </c>
      <c r="Y12" s="209" t="n">
        <f aca="false">SEP!Y43</f>
        <v>107391.0310881</v>
      </c>
      <c r="Z12" s="209" t="n">
        <f aca="false">SEP!Z43</f>
        <v>105501.610067602</v>
      </c>
      <c r="AA12" s="104"/>
      <c r="AB12" s="104"/>
      <c r="AC12" s="209"/>
      <c r="AD12" s="104"/>
      <c r="AE12" s="104"/>
      <c r="AF12" s="249"/>
      <c r="AG12" s="250"/>
      <c r="AH12" s="209" t="n">
        <f aca="false">SEP!AH51</f>
        <v>42087</v>
      </c>
      <c r="AI12" s="209" t="n">
        <f aca="false">SEP!AI51</f>
        <v>5988.25787748929</v>
      </c>
      <c r="AJ12" s="209" t="n">
        <f aca="false">SEP!AJ51</f>
        <v>25793</v>
      </c>
      <c r="AK12" s="209" t="n">
        <f aca="false">SEP!AK51</f>
        <v>158061.62</v>
      </c>
      <c r="AL12" s="209" t="n">
        <f aca="false">SEP!AL51</f>
        <v>3947.18850264684</v>
      </c>
      <c r="AM12" s="209" t="n">
        <f aca="false">SEP!AM51</f>
        <v>162008.808502647</v>
      </c>
      <c r="AN12" s="203" t="n">
        <f aca="false">SEP!AN52</f>
        <v>14794.787655</v>
      </c>
      <c r="AO12" s="133" t="n">
        <f aca="false">SEP!AO51</f>
        <v>1260.402145</v>
      </c>
      <c r="AP12" s="133"/>
      <c r="AQ12" s="199"/>
      <c r="AR12" s="199"/>
      <c r="AS12" s="134"/>
      <c r="AT12" s="134"/>
      <c r="AU12" s="134"/>
      <c r="AV12" s="536" t="n">
        <f aca="false">SEP!AV51</f>
        <v>7.7</v>
      </c>
      <c r="AW12" s="134"/>
      <c r="AX12" s="134"/>
      <c r="AY12" s="306"/>
      <c r="AZ12" s="239" t="n">
        <f aca="false">SEP!AZ51</f>
        <v>2560.190751</v>
      </c>
    </row>
    <row r="13" customFormat="false" ht="3" hidden="false" customHeight="true" outlineLevel="0" collapsed="false">
      <c r="A13" s="214"/>
      <c r="B13" s="215"/>
      <c r="C13" s="216"/>
      <c r="D13" s="217"/>
      <c r="E13" s="216"/>
      <c r="F13" s="218"/>
      <c r="G13" s="217"/>
      <c r="H13" s="537"/>
      <c r="I13" s="217"/>
      <c r="J13" s="217"/>
      <c r="K13" s="217"/>
      <c r="L13" s="217"/>
      <c r="M13" s="220"/>
      <c r="N13" s="217"/>
      <c r="O13" s="217"/>
      <c r="P13" s="221"/>
      <c r="Q13" s="217"/>
      <c r="R13" s="217"/>
      <c r="S13" s="217"/>
      <c r="T13" s="222"/>
      <c r="U13" s="217"/>
      <c r="V13" s="217"/>
      <c r="W13" s="217"/>
      <c r="X13" s="217"/>
      <c r="Y13" s="217"/>
      <c r="Z13" s="217"/>
      <c r="AA13" s="216"/>
      <c r="AB13" s="216"/>
      <c r="AC13" s="216"/>
      <c r="AD13" s="216"/>
      <c r="AE13" s="217"/>
      <c r="AF13" s="220"/>
      <c r="AG13" s="225"/>
      <c r="AH13" s="217"/>
      <c r="AI13" s="216"/>
      <c r="AJ13" s="216"/>
      <c r="AK13" s="217"/>
      <c r="AL13" s="217"/>
      <c r="AM13" s="217"/>
      <c r="AN13" s="226"/>
      <c r="AO13" s="224"/>
      <c r="AP13" s="224"/>
      <c r="AQ13" s="221"/>
      <c r="AR13" s="221"/>
      <c r="AS13" s="221"/>
      <c r="AT13" s="221"/>
      <c r="AU13" s="223" t="s">
        <v>131</v>
      </c>
      <c r="AV13" s="481"/>
      <c r="AW13" s="223"/>
      <c r="AX13" s="223"/>
      <c r="AY13" s="240"/>
      <c r="AZ13" s="323"/>
    </row>
    <row r="14" customFormat="false" ht="12.95" hidden="false" customHeight="true" outlineLevel="0" collapsed="false">
      <c r="A14" s="171" t="n">
        <v>1</v>
      </c>
      <c r="B14" s="103" t="n">
        <v>6894.59</v>
      </c>
      <c r="C14" s="104" t="n">
        <v>264049</v>
      </c>
      <c r="D14" s="134" t="n">
        <f aca="false">C14-C12</f>
        <v>-706</v>
      </c>
      <c r="E14" s="104" t="n">
        <f aca="false">C14-152000</f>
        <v>112049</v>
      </c>
      <c r="F14" s="229" t="n">
        <f aca="false">D14/$D$2</f>
        <v>-355.936475926393</v>
      </c>
      <c r="G14" s="132" t="n">
        <v>47</v>
      </c>
      <c r="H14" s="538" t="n">
        <v>0</v>
      </c>
      <c r="I14" s="132" t="n">
        <f aca="false">G14+H14</f>
        <v>47</v>
      </c>
      <c r="J14" s="133" t="n">
        <f aca="false">IF(L14&gt;0,L14,0)</f>
        <v>35.0635240736073</v>
      </c>
      <c r="K14" s="132" t="n">
        <f aca="false">I14+J14</f>
        <v>82.0635240736073</v>
      </c>
      <c r="L14" s="132" t="n">
        <f aca="false">F14-(I14-AK14)</f>
        <v>35.0635240736073</v>
      </c>
      <c r="M14" s="231" t="n">
        <v>101</v>
      </c>
      <c r="N14" s="199" t="n">
        <f aca="false">1.8299*1.03</f>
        <v>1.884797</v>
      </c>
      <c r="O14" s="132" t="n">
        <f aca="false">(6.3+6.1)*1.05</f>
        <v>13.02</v>
      </c>
      <c r="P14" s="199" t="n">
        <v>0</v>
      </c>
      <c r="Q14" s="167" t="n">
        <f aca="false">1.75*1.02</f>
        <v>1.785</v>
      </c>
      <c r="R14" s="312" t="n">
        <v>4.2</v>
      </c>
      <c r="S14" s="312" t="n">
        <v>0.38</v>
      </c>
      <c r="T14" s="356" t="n">
        <v>0</v>
      </c>
      <c r="U14" s="132" t="n">
        <v>93</v>
      </c>
      <c r="V14" s="132" t="n">
        <v>53</v>
      </c>
      <c r="W14" s="132" t="n">
        <f aca="false">M14-N14-O14-P14-Q14-R14-S14-T14+U14+V14</f>
        <v>225.730203</v>
      </c>
      <c r="X14" s="132" t="n">
        <f aca="false">W14-AO14-AD14</f>
        <v>39.315</v>
      </c>
      <c r="Y14" s="104" t="n">
        <f aca="false">Y12+(X14*1.9835)</f>
        <v>107469.0123906</v>
      </c>
      <c r="Z14" s="104" t="n">
        <f aca="false">Z12+X14*(26300/37500)*1.9835+(AD14*1.9835)</f>
        <v>105926.055509573</v>
      </c>
      <c r="AA14" s="104"/>
      <c r="AB14" s="104"/>
      <c r="AC14" s="104"/>
      <c r="AD14" s="134" t="n">
        <f aca="false">W14-(I14-Q14-R14-AF14)</f>
        <v>186.415203</v>
      </c>
      <c r="AE14" s="132" t="n">
        <v>0</v>
      </c>
      <c r="AF14" s="135" t="n">
        <v>1.7</v>
      </c>
      <c r="AG14" s="136" t="n">
        <v>1.3</v>
      </c>
      <c r="AH14" s="132" t="n">
        <v>191</v>
      </c>
      <c r="AI14" s="104" t="n">
        <f aca="false">AI12-AH14</f>
        <v>5797.25787748929</v>
      </c>
      <c r="AJ14" s="104"/>
      <c r="AK14" s="131" t="n">
        <f aca="false">N14+O14+P14+Q14+R14+S14+T14+W14+AE14+AH14</f>
        <v>438</v>
      </c>
      <c r="AL14" s="132" t="n">
        <f aca="false">IF(L14&lt;0,L14*-1,0)</f>
        <v>0</v>
      </c>
      <c r="AM14" s="132" t="n">
        <f aca="false">AK14+AL14</f>
        <v>438</v>
      </c>
      <c r="AN14" s="203" t="n">
        <f aca="false">AN12</f>
        <v>14794.787655</v>
      </c>
      <c r="AO14" s="133"/>
      <c r="AP14" s="133"/>
      <c r="AQ14" s="199" t="n">
        <f aca="false">20*(AA11*1.9835+AC11*1.9835+AD11*1.9835)/E14</f>
        <v>5.50372542452534</v>
      </c>
      <c r="AR14" s="199"/>
      <c r="AS14" s="104"/>
      <c r="AT14" s="9"/>
      <c r="AU14" s="166" t="n">
        <f aca="false">O14</f>
        <v>13.02</v>
      </c>
      <c r="AV14" s="327" t="n">
        <v>0</v>
      </c>
      <c r="AW14" s="134" t="n">
        <v>54</v>
      </c>
      <c r="AX14" s="134" t="n">
        <v>30</v>
      </c>
      <c r="AY14" s="303"/>
      <c r="AZ14" s="233" t="n">
        <f aca="false">SUM(N14,P14:T14)</f>
        <v>8.249797</v>
      </c>
    </row>
    <row r="15" customFormat="false" ht="12.95" hidden="false" customHeight="true" outlineLevel="0" collapsed="false">
      <c r="A15" s="171" t="n">
        <f aca="false">A14+1</f>
        <v>2</v>
      </c>
      <c r="B15" s="103" t="n">
        <v>6894.45</v>
      </c>
      <c r="C15" s="104" t="n">
        <v>263555</v>
      </c>
      <c r="D15" s="134" t="n">
        <f aca="false">C15-C14</f>
        <v>-494</v>
      </c>
      <c r="E15" s="104" t="n">
        <f aca="false">C15-152000</f>
        <v>111555</v>
      </c>
      <c r="F15" s="229" t="n">
        <f aca="false">D15/$D$2</f>
        <v>-249.054701285606</v>
      </c>
      <c r="G15" s="132" t="n">
        <v>50</v>
      </c>
      <c r="H15" s="538" t="n">
        <v>0</v>
      </c>
      <c r="I15" s="132" t="n">
        <f aca="false">G15+H15</f>
        <v>50</v>
      </c>
      <c r="J15" s="133" t="n">
        <f aca="false">IF(L15&gt;0,L15,0)</f>
        <v>0</v>
      </c>
      <c r="K15" s="132" t="n">
        <f aca="false">I15+J15</f>
        <v>50</v>
      </c>
      <c r="L15" s="132" t="n">
        <f aca="false">F15-(I15-AK15)</f>
        <v>-26.0547012856063</v>
      </c>
      <c r="M15" s="231" t="n">
        <v>93</v>
      </c>
      <c r="N15" s="199" t="n">
        <f aca="false">1.8299*1.03</f>
        <v>1.884797</v>
      </c>
      <c r="O15" s="132" t="n">
        <f aca="false">(5.8+0)*1.05</f>
        <v>6.09</v>
      </c>
      <c r="P15" s="199" t="n">
        <v>0</v>
      </c>
      <c r="Q15" s="167" t="n">
        <f aca="false">1.75*1.02</f>
        <v>1.785</v>
      </c>
      <c r="R15" s="312" t="n">
        <v>3.94</v>
      </c>
      <c r="S15" s="312" t="n">
        <v>0</v>
      </c>
      <c r="T15" s="356" t="n">
        <v>0</v>
      </c>
      <c r="U15" s="132" t="n">
        <v>91</v>
      </c>
      <c r="V15" s="132" t="n">
        <v>53</v>
      </c>
      <c r="W15" s="132" t="n">
        <f aca="false">M15-N15-O15-P15-Q15-R15-S15-T15+U15+V15</f>
        <v>223.300203</v>
      </c>
      <c r="X15" s="132" t="n">
        <f aca="false">W15-AO15-AD15</f>
        <v>42.575</v>
      </c>
      <c r="Y15" s="104" t="n">
        <f aca="false">Y14+(X15*1.9835)</f>
        <v>107553.4599031</v>
      </c>
      <c r="Z15" s="104" t="n">
        <f aca="false">Z14+X15*(26300/37500)*1.9835+(AD15*1.9835)</f>
        <v>106343.749805157</v>
      </c>
      <c r="AA15" s="104"/>
      <c r="AB15" s="104"/>
      <c r="AC15" s="104"/>
      <c r="AD15" s="134" t="n">
        <f aca="false">W15-(I15-Q15-R15-AF15)</f>
        <v>180.725203</v>
      </c>
      <c r="AE15" s="132" t="n">
        <v>0</v>
      </c>
      <c r="AF15" s="135" t="n">
        <v>1.7</v>
      </c>
      <c r="AG15" s="136" t="n">
        <v>1.3</v>
      </c>
      <c r="AH15" s="132" t="n">
        <v>36</v>
      </c>
      <c r="AI15" s="104" t="n">
        <f aca="false">AI14-AH15</f>
        <v>5761.25787748929</v>
      </c>
      <c r="AJ15" s="104"/>
      <c r="AK15" s="131" t="n">
        <f aca="false">N15+O15+P15+Q15+R15+S15+T15+W15+AE15+AH15</f>
        <v>273</v>
      </c>
      <c r="AL15" s="132" t="n">
        <f aca="false">IF(L15&lt;0,L15*-1,0)</f>
        <v>26.0547012856063</v>
      </c>
      <c r="AM15" s="132" t="n">
        <f aca="false">AK15+AL15</f>
        <v>299.054701285606</v>
      </c>
      <c r="AN15" s="203" t="n">
        <f aca="false">AN14</f>
        <v>14794.787655</v>
      </c>
      <c r="AO15" s="133"/>
      <c r="AP15" s="133"/>
      <c r="AQ15" s="199" t="n">
        <f aca="false">20*(AA14*1.9835+AC14*1.9835+AD14*1.9835)/E15</f>
        <v>0.066290987432298</v>
      </c>
      <c r="AR15" s="199"/>
      <c r="AS15" s="104"/>
      <c r="AT15" s="9"/>
      <c r="AU15" s="166" t="n">
        <f aca="false">O15</f>
        <v>6.09</v>
      </c>
      <c r="AV15" s="327" t="n">
        <v>0</v>
      </c>
      <c r="AW15" s="134" t="n">
        <v>61</v>
      </c>
      <c r="AX15" s="134" t="n">
        <v>29</v>
      </c>
      <c r="AY15" s="303"/>
      <c r="AZ15" s="233" t="n">
        <f aca="false">SUM(N15,P15:T15)</f>
        <v>7.609797</v>
      </c>
    </row>
    <row r="16" customFormat="false" ht="12.95" hidden="false" customHeight="true" outlineLevel="0" collapsed="false">
      <c r="A16" s="171" t="n">
        <f aca="false">A15+1</f>
        <v>3</v>
      </c>
      <c r="B16" s="103" t="n">
        <v>6894.32</v>
      </c>
      <c r="C16" s="104" t="n">
        <v>263096</v>
      </c>
      <c r="D16" s="134" t="n">
        <f aca="false">C16-C15</f>
        <v>-459</v>
      </c>
      <c r="E16" s="104" t="n">
        <f aca="false">C16-152000</f>
        <v>111096</v>
      </c>
      <c r="F16" s="229" t="n">
        <f aca="false">D16/$D$2</f>
        <v>-231.40912528359</v>
      </c>
      <c r="G16" s="132" t="n">
        <v>49</v>
      </c>
      <c r="H16" s="538" t="n">
        <v>0</v>
      </c>
      <c r="I16" s="132" t="n">
        <f aca="false">G16+H16</f>
        <v>49</v>
      </c>
      <c r="J16" s="133" t="n">
        <f aca="false">IF(L16&gt;0,L16,0)</f>
        <v>4.59087471641038</v>
      </c>
      <c r="K16" s="132" t="n">
        <f aca="false">I16+J16</f>
        <v>53.5908747164104</v>
      </c>
      <c r="L16" s="132" t="n">
        <f aca="false">F16-(I16-AK16)</f>
        <v>4.59087471641038</v>
      </c>
      <c r="M16" s="231" t="n">
        <v>108</v>
      </c>
      <c r="N16" s="199" t="n">
        <f aca="false">1.8299*1.03</f>
        <v>1.884797</v>
      </c>
      <c r="O16" s="132" t="n">
        <f aca="false">(10+0)*1.05</f>
        <v>10.5</v>
      </c>
      <c r="P16" s="199" t="n">
        <v>0</v>
      </c>
      <c r="Q16" s="167" t="n">
        <f aca="false">1.75*1.02</f>
        <v>1.785</v>
      </c>
      <c r="R16" s="312" t="n">
        <v>3.94</v>
      </c>
      <c r="S16" s="312" t="n">
        <v>0</v>
      </c>
      <c r="T16" s="356" t="n">
        <v>0</v>
      </c>
      <c r="U16" s="132" t="n">
        <v>89</v>
      </c>
      <c r="V16" s="132" t="n">
        <v>53</v>
      </c>
      <c r="W16" s="132" t="n">
        <f aca="false">M16-N16-O16-P16-Q16-R16-S16-T16+U16+V16</f>
        <v>231.890203</v>
      </c>
      <c r="X16" s="132" t="n">
        <f aca="false">W16-AO16-AD16</f>
        <v>41.575</v>
      </c>
      <c r="Y16" s="104" t="n">
        <f aca="false">Y15+(X16*1.9835)</f>
        <v>107635.9239156</v>
      </c>
      <c r="Z16" s="104" t="n">
        <f aca="false">Z15+X16*(26300/37500)*1.9835+(AD16*1.9835)</f>
        <v>106779.074771074</v>
      </c>
      <c r="AA16" s="104"/>
      <c r="AB16" s="104"/>
      <c r="AC16" s="104"/>
      <c r="AD16" s="134" t="n">
        <f aca="false">W16-(I16-Q16-R16-AF16)</f>
        <v>190.315203</v>
      </c>
      <c r="AE16" s="132" t="n">
        <v>0</v>
      </c>
      <c r="AF16" s="135" t="n">
        <v>1.7</v>
      </c>
      <c r="AG16" s="136" t="n">
        <v>1.3</v>
      </c>
      <c r="AH16" s="132" t="n">
        <v>35</v>
      </c>
      <c r="AI16" s="104" t="n">
        <f aca="false">AI15-AH16</f>
        <v>5726.25787748929</v>
      </c>
      <c r="AJ16" s="104"/>
      <c r="AK16" s="131" t="n">
        <f aca="false">N16+O16+P16+Q16+R16+S16+T16+W16+AE16+AH16</f>
        <v>285</v>
      </c>
      <c r="AL16" s="132" t="n">
        <f aca="false">IF(L16&lt;0,L16*-1,0)</f>
        <v>0</v>
      </c>
      <c r="AM16" s="132" t="n">
        <f aca="false">AK16+AL16</f>
        <v>285</v>
      </c>
      <c r="AN16" s="203" t="n">
        <f aca="false">AN15</f>
        <v>14794.787655</v>
      </c>
      <c r="AO16" s="133"/>
      <c r="AP16" s="133"/>
      <c r="AQ16" s="199" t="n">
        <f aca="false">20*(AA15*1.9835+AC15*1.9835+AD15*1.9835)/E16</f>
        <v>0.064533095728109</v>
      </c>
      <c r="AR16" s="199"/>
      <c r="AS16" s="104"/>
      <c r="AT16" s="9"/>
      <c r="AU16" s="166" t="n">
        <f aca="false">O16</f>
        <v>10.5</v>
      </c>
      <c r="AV16" s="327" t="n">
        <v>0</v>
      </c>
      <c r="AW16" s="134" t="n">
        <v>64</v>
      </c>
      <c r="AX16" s="134" t="n">
        <v>35</v>
      </c>
      <c r="AY16" s="303"/>
      <c r="AZ16" s="233" t="n">
        <f aca="false">SUM(N16,P16:T16)</f>
        <v>7.609797</v>
      </c>
    </row>
    <row r="17" customFormat="false" ht="12.95" hidden="false" customHeight="true" outlineLevel="0" collapsed="false">
      <c r="A17" s="171" t="n">
        <f aca="false">A16+1</f>
        <v>4</v>
      </c>
      <c r="B17" s="103" t="n">
        <v>6894.17</v>
      </c>
      <c r="C17" s="104" t="n">
        <v>262567</v>
      </c>
      <c r="D17" s="134" t="n">
        <f aca="false">C17-C16</f>
        <v>-529</v>
      </c>
      <c r="E17" s="104" t="n">
        <f aca="false">C17-152000</f>
        <v>110567</v>
      </c>
      <c r="F17" s="229" t="n">
        <f aca="false">D17/$D$2</f>
        <v>-266.700277287623</v>
      </c>
      <c r="G17" s="132" t="n">
        <v>51</v>
      </c>
      <c r="H17" s="538" t="n">
        <v>0</v>
      </c>
      <c r="I17" s="132" t="n">
        <f aca="false">G17+H17</f>
        <v>51</v>
      </c>
      <c r="J17" s="133" t="n">
        <f aca="false">IF(L17&gt;0,L17,0)</f>
        <v>0</v>
      </c>
      <c r="K17" s="132" t="n">
        <f aca="false">I17+J17</f>
        <v>51</v>
      </c>
      <c r="L17" s="132" t="n">
        <f aca="false">F17-(I17-AK17)</f>
        <v>-22.7002772876229</v>
      </c>
      <c r="M17" s="231" t="n">
        <v>122</v>
      </c>
      <c r="N17" s="199" t="n">
        <f aca="false">1.8299*1.03</f>
        <v>1.884797</v>
      </c>
      <c r="O17" s="132" t="n">
        <f aca="false">(8.6+4.8)*1.05</f>
        <v>14.07</v>
      </c>
      <c r="P17" s="199" t="n">
        <v>0</v>
      </c>
      <c r="Q17" s="167" t="n">
        <f aca="false">1.75*1.02</f>
        <v>1.785</v>
      </c>
      <c r="R17" s="312" t="n">
        <v>3.94</v>
      </c>
      <c r="S17" s="312" t="n">
        <v>0</v>
      </c>
      <c r="T17" s="356" t="n">
        <v>0</v>
      </c>
      <c r="U17" s="132" t="n">
        <v>85</v>
      </c>
      <c r="V17" s="132" t="n">
        <v>53</v>
      </c>
      <c r="W17" s="132" t="n">
        <f aca="false">M17-N17-O17-P17-Q17-R17-S17-T17+U17+V17</f>
        <v>238.320203</v>
      </c>
      <c r="X17" s="132" t="n">
        <f aca="false">W17-AO17-AD17</f>
        <v>43.575</v>
      </c>
      <c r="Y17" s="104" t="n">
        <f aca="false">Y16+(X17*1.9835)</f>
        <v>107722.3549281</v>
      </c>
      <c r="Z17" s="104" t="n">
        <f aca="false">Z16+X17*(26300/37500)*1.9835+(AD17*1.9835)</f>
        <v>107225.968831324</v>
      </c>
      <c r="AA17" s="104"/>
      <c r="AB17" s="104"/>
      <c r="AC17" s="104"/>
      <c r="AD17" s="134" t="n">
        <f aca="false">W17-(I17-Q17-R17-AF17)</f>
        <v>194.745203</v>
      </c>
      <c r="AE17" s="132" t="n">
        <v>0</v>
      </c>
      <c r="AF17" s="135" t="n">
        <v>1.7</v>
      </c>
      <c r="AG17" s="136" t="n">
        <v>1.3</v>
      </c>
      <c r="AH17" s="132" t="n">
        <v>35</v>
      </c>
      <c r="AI17" s="104" t="n">
        <f aca="false">AI16-AH17</f>
        <v>5691.25787748929</v>
      </c>
      <c r="AJ17" s="104"/>
      <c r="AK17" s="131" t="n">
        <f aca="false">N17+O17+P17+Q17+R17+S17+T17+W17+AE17+AH17</f>
        <v>295</v>
      </c>
      <c r="AL17" s="132" t="n">
        <f aca="false">IF(L17&lt;0,L17*-1,0)</f>
        <v>22.7002772876229</v>
      </c>
      <c r="AM17" s="132" t="n">
        <f aca="false">AK17+AL17</f>
        <v>317.700277287623</v>
      </c>
      <c r="AN17" s="203" t="n">
        <f aca="false">AN16</f>
        <v>14794.787655</v>
      </c>
      <c r="AO17" s="133"/>
      <c r="AP17" s="133"/>
      <c r="AQ17" s="199" t="n">
        <f aca="false">20*(AA16*1.9835+AC16*1.9835+AD16*1.9835)/E17</f>
        <v>0.0682826169020594</v>
      </c>
      <c r="AR17" s="199"/>
      <c r="AS17" s="104"/>
      <c r="AT17" s="9"/>
      <c r="AU17" s="166" t="n">
        <f aca="false">O17</f>
        <v>14.07</v>
      </c>
      <c r="AV17" s="327" t="n">
        <v>0.04</v>
      </c>
      <c r="AW17" s="134" t="n">
        <v>60</v>
      </c>
      <c r="AX17" s="134" t="n">
        <v>46</v>
      </c>
      <c r="AY17" s="303"/>
      <c r="AZ17" s="233" t="n">
        <f aca="false">SUM(N17,P17:T17)</f>
        <v>7.609797</v>
      </c>
    </row>
    <row r="18" customFormat="false" ht="12.95" hidden="false" customHeight="true" outlineLevel="0" collapsed="false">
      <c r="A18" s="171" t="n">
        <f aca="false">A17+1</f>
        <v>5</v>
      </c>
      <c r="B18" s="103" t="n">
        <v>6894.03</v>
      </c>
      <c r="C18" s="104" t="n">
        <v>262073</v>
      </c>
      <c r="D18" s="134" t="n">
        <f aca="false">C18-C17</f>
        <v>-494</v>
      </c>
      <c r="E18" s="104" t="n">
        <f aca="false">C18-152000</f>
        <v>110073</v>
      </c>
      <c r="F18" s="229" t="n">
        <f aca="false">D18/$D$2</f>
        <v>-249.054701285606</v>
      </c>
      <c r="G18" s="132" t="n">
        <v>55</v>
      </c>
      <c r="H18" s="538" t="n">
        <v>0</v>
      </c>
      <c r="I18" s="132" t="n">
        <f aca="false">G18+H18</f>
        <v>55</v>
      </c>
      <c r="J18" s="133" t="n">
        <f aca="false">IF(L18&gt;0,L18,0)</f>
        <v>0</v>
      </c>
      <c r="K18" s="132" t="n">
        <f aca="false">I18+J18</f>
        <v>55</v>
      </c>
      <c r="L18" s="132" t="n">
        <f aca="false">F18-(I18-AK18)</f>
        <v>-23.0547012856063</v>
      </c>
      <c r="M18" s="231" t="n">
        <v>115</v>
      </c>
      <c r="N18" s="199" t="n">
        <f aca="false">1.8299*1.03</f>
        <v>1.884797</v>
      </c>
      <c r="O18" s="132" t="n">
        <f aca="false">(9.6+10)*1.05</f>
        <v>20.58</v>
      </c>
      <c r="P18" s="199" t="n">
        <v>0</v>
      </c>
      <c r="Q18" s="167" t="n">
        <f aca="false">1.75*1.02</f>
        <v>1.785</v>
      </c>
      <c r="R18" s="312" t="n">
        <v>3.95</v>
      </c>
      <c r="S18" s="312" t="n">
        <v>0</v>
      </c>
      <c r="T18" s="356" t="n">
        <v>0</v>
      </c>
      <c r="U18" s="132" t="n">
        <v>78</v>
      </c>
      <c r="V18" s="132" t="n">
        <v>53</v>
      </c>
      <c r="W18" s="132" t="n">
        <f aca="false">M18-N18-O18-P18-Q18-R18-S18-T18+U18+V18</f>
        <v>217.800203</v>
      </c>
      <c r="X18" s="132" t="n">
        <f aca="false">W18-AO18-AD18</f>
        <v>47.565</v>
      </c>
      <c r="Y18" s="104" t="n">
        <f aca="false">Y17+(X18*1.9835)</f>
        <v>107816.7001056</v>
      </c>
      <c r="Z18" s="104" t="n">
        <f aca="false">Z17+X18*(26300/37500)*1.9835+(AD18*1.9835)</f>
        <v>107629.797774295</v>
      </c>
      <c r="AA18" s="104"/>
      <c r="AB18" s="104"/>
      <c r="AC18" s="104"/>
      <c r="AD18" s="134" t="n">
        <f aca="false">W18-(I18-Q18-R18-AF18)</f>
        <v>170.235203</v>
      </c>
      <c r="AE18" s="132" t="n">
        <v>0</v>
      </c>
      <c r="AF18" s="135" t="n">
        <v>1.7</v>
      </c>
      <c r="AG18" s="136" t="n">
        <v>1.3</v>
      </c>
      <c r="AH18" s="132" t="n">
        <v>35</v>
      </c>
      <c r="AI18" s="104" t="n">
        <f aca="false">AI17-AH18</f>
        <v>5656.25787748929</v>
      </c>
      <c r="AJ18" s="104"/>
      <c r="AK18" s="131" t="n">
        <f aca="false">N18+O18+P18+Q18+R18+S18+T18+W18+AE18+AH18</f>
        <v>281</v>
      </c>
      <c r="AL18" s="132" t="n">
        <f aca="false">IF(L18&lt;0,L18*-1,0)</f>
        <v>23.0547012856063</v>
      </c>
      <c r="AM18" s="132" t="n">
        <f aca="false">AK18+AL18</f>
        <v>304.054701285606</v>
      </c>
      <c r="AN18" s="203" t="n">
        <f aca="false">AN17</f>
        <v>14794.787655</v>
      </c>
      <c r="AO18" s="133"/>
      <c r="AP18" s="133"/>
      <c r="AQ18" s="199" t="n">
        <f aca="false">20*(AA17*1.9835+AC17*1.9835+AD17*1.9835)/E18</f>
        <v>0.0701856241131794</v>
      </c>
      <c r="AR18" s="199"/>
      <c r="AS18" s="104"/>
      <c r="AT18" s="9"/>
      <c r="AU18" s="166" t="n">
        <f aca="false">O18</f>
        <v>20.58</v>
      </c>
      <c r="AV18" s="327" t="n">
        <v>0</v>
      </c>
      <c r="AW18" s="134" t="n">
        <v>56</v>
      </c>
      <c r="AX18" s="134" t="n">
        <v>33</v>
      </c>
      <c r="AY18" s="303"/>
      <c r="AZ18" s="233" t="n">
        <f aca="false">SUM(N18,P18:T18)</f>
        <v>7.619797</v>
      </c>
    </row>
    <row r="19" customFormat="false" ht="12.95" hidden="false" customHeight="true" outlineLevel="0" collapsed="false">
      <c r="A19" s="171" t="n">
        <f aca="false">A18+1</f>
        <v>6</v>
      </c>
      <c r="B19" s="103" t="n">
        <v>6893.95</v>
      </c>
      <c r="C19" s="104" t="n">
        <v>261792</v>
      </c>
      <c r="D19" s="134" t="n">
        <f aca="false">C19-C18</f>
        <v>-281</v>
      </c>
      <c r="E19" s="104" t="n">
        <f aca="false">C19-152000</f>
        <v>109792</v>
      </c>
      <c r="F19" s="229" t="n">
        <f aca="false">D19/$D$2</f>
        <v>-141.668767330476</v>
      </c>
      <c r="G19" s="132" t="n">
        <v>62</v>
      </c>
      <c r="H19" s="538" t="n">
        <v>0</v>
      </c>
      <c r="I19" s="132" t="n">
        <f aca="false">G19+H19</f>
        <v>62</v>
      </c>
      <c r="J19" s="133" t="n">
        <f aca="false">IF(L19&gt;0,L19,0)</f>
        <v>0</v>
      </c>
      <c r="K19" s="132" t="n">
        <f aca="false">I19+J19</f>
        <v>62</v>
      </c>
      <c r="L19" s="132" t="n">
        <f aca="false">F19-(I19-AK19)</f>
        <v>-13.6687673304764</v>
      </c>
      <c r="M19" s="231" t="n">
        <v>76</v>
      </c>
      <c r="N19" s="199" t="n">
        <f aca="false">1.8299*1.03</f>
        <v>1.884797</v>
      </c>
      <c r="O19" s="132" t="n">
        <f aca="false">(12+12)*1.05</f>
        <v>25.2</v>
      </c>
      <c r="P19" s="199" t="n">
        <v>0</v>
      </c>
      <c r="Q19" s="167" t="n">
        <f aca="false">1.75*1.02</f>
        <v>1.785</v>
      </c>
      <c r="R19" s="312" t="n">
        <v>3.95</v>
      </c>
      <c r="S19" s="312" t="n">
        <v>0</v>
      </c>
      <c r="T19" s="356" t="n">
        <v>0</v>
      </c>
      <c r="U19" s="132" t="n">
        <v>61</v>
      </c>
      <c r="V19" s="132" t="n">
        <v>18</v>
      </c>
      <c r="W19" s="132" t="n">
        <f aca="false">M19-N19-O19-P19-Q19-R19-S19-T19+U19+V19</f>
        <v>122.180203</v>
      </c>
      <c r="X19" s="132" t="n">
        <f aca="false">W19-AO19-AD19</f>
        <v>54.565</v>
      </c>
      <c r="Y19" s="104" t="n">
        <f aca="false">Y18+(X19*1.9835)</f>
        <v>107924.9297831</v>
      </c>
      <c r="Z19" s="104" t="n">
        <f aca="false">Z18+X19*(26300/37500)*1.9835+(AD19*1.9835)</f>
        <v>107839.817609932</v>
      </c>
      <c r="AA19" s="104"/>
      <c r="AB19" s="104"/>
      <c r="AC19" s="104"/>
      <c r="AD19" s="134" t="n">
        <f aca="false">W19-(I19-Q19-R19-AF19)</f>
        <v>67.615203</v>
      </c>
      <c r="AE19" s="132" t="n">
        <v>0</v>
      </c>
      <c r="AF19" s="135" t="n">
        <v>1.7</v>
      </c>
      <c r="AG19" s="136" t="n">
        <v>1.3</v>
      </c>
      <c r="AH19" s="132" t="n">
        <v>35</v>
      </c>
      <c r="AI19" s="104" t="n">
        <f aca="false">AI18-AH19</f>
        <v>5621.25787748929</v>
      </c>
      <c r="AJ19" s="104"/>
      <c r="AK19" s="131" t="n">
        <f aca="false">N19+O19+P19+Q19+R19+S19+T19+W19+AE19+AH19</f>
        <v>190</v>
      </c>
      <c r="AL19" s="132" t="n">
        <f aca="false">IF(L19&lt;0,L19*-1,0)</f>
        <v>13.6687673304764</v>
      </c>
      <c r="AM19" s="132" t="n">
        <f aca="false">AK19+AL19</f>
        <v>203.668767330476</v>
      </c>
      <c r="AN19" s="203" t="n">
        <f aca="false">AN18</f>
        <v>14794.787655</v>
      </c>
      <c r="AO19" s="133"/>
      <c r="AP19" s="133"/>
      <c r="AQ19" s="199" t="n">
        <f aca="false">20*(AA18*1.9835+AC18*1.9835+AD18*1.9835)/E19</f>
        <v>0.0615093130921196</v>
      </c>
      <c r="AR19" s="199"/>
      <c r="AS19" s="104"/>
      <c r="AT19" s="9"/>
      <c r="AU19" s="166" t="n">
        <f aca="false">O19</f>
        <v>25.2</v>
      </c>
      <c r="AV19" s="327" t="n">
        <v>0</v>
      </c>
      <c r="AW19" s="134" t="n">
        <v>60</v>
      </c>
      <c r="AX19" s="134" t="n">
        <v>32</v>
      </c>
      <c r="AY19" s="303"/>
      <c r="AZ19" s="233" t="n">
        <f aca="false">SUM(N19,P19:T19)</f>
        <v>7.619797</v>
      </c>
    </row>
    <row r="20" customFormat="false" ht="12.95" hidden="false" customHeight="true" outlineLevel="0" collapsed="false">
      <c r="A20" s="171" t="n">
        <f aca="false">A19+1</f>
        <v>7</v>
      </c>
      <c r="B20" s="103" t="n">
        <v>6893.91</v>
      </c>
      <c r="C20" s="104" t="n">
        <v>261652</v>
      </c>
      <c r="D20" s="134" t="n">
        <f aca="false">C20-C19</f>
        <v>-140</v>
      </c>
      <c r="E20" s="104" t="n">
        <f aca="false">C20-152000</f>
        <v>109652</v>
      </c>
      <c r="F20" s="229" t="n">
        <f aca="false">D20/$D$2</f>
        <v>-70.5823040080665</v>
      </c>
      <c r="G20" s="132" t="n">
        <v>57</v>
      </c>
      <c r="H20" s="538" t="n">
        <v>0</v>
      </c>
      <c r="I20" s="132" t="n">
        <f aca="false">G20+H20</f>
        <v>57</v>
      </c>
      <c r="J20" s="133" t="n">
        <f aca="false">IF(L20&gt;0,L20,0)</f>
        <v>0</v>
      </c>
      <c r="K20" s="132" t="n">
        <f aca="false">I20+J20</f>
        <v>57</v>
      </c>
      <c r="L20" s="132" t="n">
        <f aca="false">F20-(I20-AK20)</f>
        <v>-19.5823040080665</v>
      </c>
      <c r="M20" s="231" t="n">
        <v>22</v>
      </c>
      <c r="N20" s="199" t="n">
        <f aca="false">1.8299*1.03</f>
        <v>1.884797</v>
      </c>
      <c r="O20" s="132" t="n">
        <f aca="false">(15+16)*1.05</f>
        <v>32.55</v>
      </c>
      <c r="P20" s="199" t="n">
        <v>0</v>
      </c>
      <c r="Q20" s="167" t="n">
        <f aca="false">1.75*1.02</f>
        <v>1.785</v>
      </c>
      <c r="R20" s="312" t="n">
        <v>3.95</v>
      </c>
      <c r="S20" s="312" t="n">
        <v>0</v>
      </c>
      <c r="T20" s="356" t="n">
        <v>0</v>
      </c>
      <c r="U20" s="539" t="n">
        <v>51</v>
      </c>
      <c r="V20" s="132" t="n">
        <v>0</v>
      </c>
      <c r="W20" s="132" t="n">
        <f aca="false">M20-N20-O20-P20-Q20-R20-S20-T20+U20+V20</f>
        <v>32.830203</v>
      </c>
      <c r="X20" s="132" t="n">
        <f aca="false">W20-AO20-AD20</f>
        <v>32.830203</v>
      </c>
      <c r="Y20" s="104" t="n">
        <f aca="false">Y19+(X20*1.9835)</f>
        <v>107990.048490751</v>
      </c>
      <c r="Z20" s="104" t="n">
        <f aca="false">Z19+X20*(26300/37500)*1.9835+(AD20*1.9835)</f>
        <v>107885.487530231</v>
      </c>
      <c r="AA20" s="104"/>
      <c r="AB20" s="104"/>
      <c r="AC20" s="104"/>
      <c r="AD20" s="134" t="n">
        <v>0</v>
      </c>
      <c r="AE20" s="132" t="n">
        <v>0</v>
      </c>
      <c r="AF20" s="135" t="n">
        <v>1.7</v>
      </c>
      <c r="AG20" s="136" t="n">
        <v>1.3</v>
      </c>
      <c r="AH20" s="132" t="n">
        <v>35</v>
      </c>
      <c r="AI20" s="104" t="n">
        <f aca="false">AI19-AH20</f>
        <v>5586.25787748929</v>
      </c>
      <c r="AJ20" s="104"/>
      <c r="AK20" s="131" t="n">
        <f aca="false">N20+O20+P20+Q20+R20+S20+T20+W20+AE20+AH20</f>
        <v>108</v>
      </c>
      <c r="AL20" s="132" t="n">
        <f aca="false">IF(L20&lt;0,L20*-1,0)</f>
        <v>19.5823040080665</v>
      </c>
      <c r="AM20" s="132" t="n">
        <f aca="false">AK20+AL20</f>
        <v>127.582304008067</v>
      </c>
      <c r="AN20" s="203" t="n">
        <f aca="false">AN19</f>
        <v>14794.787655</v>
      </c>
      <c r="AO20" s="133"/>
      <c r="AP20" s="133"/>
      <c r="AQ20" s="199" t="n">
        <f aca="false">20*(AA19*1.9835+AC19*1.9835+AD19*1.9835)/E20</f>
        <v>0.0244618894594718</v>
      </c>
      <c r="AR20" s="199"/>
      <c r="AS20" s="104"/>
      <c r="AT20" s="9"/>
      <c r="AU20" s="166" t="n">
        <f aca="false">O20</f>
        <v>32.55</v>
      </c>
      <c r="AV20" s="327" t="n">
        <v>0.02</v>
      </c>
      <c r="AW20" s="134" t="n">
        <v>62</v>
      </c>
      <c r="AX20" s="134" t="n">
        <v>40</v>
      </c>
      <c r="AY20" s="303"/>
      <c r="AZ20" s="233" t="n">
        <f aca="false">SUM(N20,P20:T20)</f>
        <v>7.619797</v>
      </c>
    </row>
    <row r="21" customFormat="false" ht="12.95" hidden="false" customHeight="true" outlineLevel="0" collapsed="false">
      <c r="A21" s="171" t="n">
        <f aca="false">A20+1</f>
        <v>8</v>
      </c>
      <c r="B21" s="103" t="n">
        <v>6893.87</v>
      </c>
      <c r="C21" s="104" t="n">
        <v>261512</v>
      </c>
      <c r="D21" s="134" t="n">
        <f aca="false">C21-C20</f>
        <v>-140</v>
      </c>
      <c r="E21" s="104" t="n">
        <f aca="false">C21-152000</f>
        <v>109512</v>
      </c>
      <c r="F21" s="229" t="n">
        <f aca="false">D21/$D$2</f>
        <v>-70.5823040080665</v>
      </c>
      <c r="G21" s="132" t="n">
        <v>64</v>
      </c>
      <c r="H21" s="538" t="n">
        <v>0</v>
      </c>
      <c r="I21" s="132" t="n">
        <f aca="false">G21+H21</f>
        <v>64</v>
      </c>
      <c r="J21" s="133" t="n">
        <f aca="false">IF(L21&gt;0,L21,0)</f>
        <v>0</v>
      </c>
      <c r="K21" s="132" t="n">
        <f aca="false">I21+J21</f>
        <v>64</v>
      </c>
      <c r="L21" s="132" t="n">
        <f aca="false">F21-(I21-AK21)</f>
        <v>-30.5823040080665</v>
      </c>
      <c r="M21" s="231" t="n">
        <v>42</v>
      </c>
      <c r="N21" s="199" t="n">
        <f aca="false">1.8299*1.03</f>
        <v>1.884797</v>
      </c>
      <c r="O21" s="132" t="n">
        <f aca="false">(13+14)*1.05</f>
        <v>28.35</v>
      </c>
      <c r="P21" s="199" t="n">
        <v>0</v>
      </c>
      <c r="Q21" s="167" t="n">
        <f aca="false">1.75*1.02</f>
        <v>1.785</v>
      </c>
      <c r="R21" s="312" t="n">
        <v>3.95</v>
      </c>
      <c r="S21" s="312" t="n">
        <v>0</v>
      </c>
      <c r="T21" s="356" t="n">
        <v>0</v>
      </c>
      <c r="U21" s="132" t="n">
        <v>28</v>
      </c>
      <c r="V21" s="132" t="n">
        <v>0</v>
      </c>
      <c r="W21" s="132" t="n">
        <f aca="false">M21-N21-O21-P21-Q21-R21-S21-T21+U21+V21</f>
        <v>34.030203</v>
      </c>
      <c r="X21" s="132" t="n">
        <f aca="false">W21-AO21-AD21</f>
        <v>34.030203</v>
      </c>
      <c r="Y21" s="104" t="n">
        <f aca="false">Y20+(X21*1.9835)</f>
        <v>108057.547398401</v>
      </c>
      <c r="Z21" s="104" t="n">
        <f aca="false">Z20+X21*(26300/37500)*1.9835+(AD21*1.9835)</f>
        <v>107932.82676413</v>
      </c>
      <c r="AA21" s="104"/>
      <c r="AB21" s="104"/>
      <c r="AC21" s="104"/>
      <c r="AD21" s="134" t="n">
        <v>0</v>
      </c>
      <c r="AE21" s="132" t="n">
        <v>0</v>
      </c>
      <c r="AF21" s="135" t="n">
        <v>1.7</v>
      </c>
      <c r="AG21" s="136" t="n">
        <v>1.3</v>
      </c>
      <c r="AH21" s="132" t="n">
        <v>34</v>
      </c>
      <c r="AI21" s="104" t="n">
        <f aca="false">AI20-AH21</f>
        <v>5552.25787748929</v>
      </c>
      <c r="AJ21" s="104"/>
      <c r="AK21" s="131" t="n">
        <f aca="false">N21+O21+P21+Q21+R21+S21+T21+W21+AE21+AH21</f>
        <v>104</v>
      </c>
      <c r="AL21" s="132" t="n">
        <f aca="false">IF(L21&lt;0,L21*-1,0)</f>
        <v>30.5823040080665</v>
      </c>
      <c r="AM21" s="132" t="n">
        <f aca="false">AK21+AL21</f>
        <v>134.582304008067</v>
      </c>
      <c r="AN21" s="203" t="n">
        <f aca="false">AN20</f>
        <v>14794.787655</v>
      </c>
      <c r="AO21" s="133"/>
      <c r="AP21" s="133"/>
      <c r="AQ21" s="199" t="n">
        <f aca="false">20*(AA20*1.9835+AC20*1.9835+AD20*1.9835)/E21</f>
        <v>0</v>
      </c>
      <c r="AR21" s="199"/>
      <c r="AS21" s="104"/>
      <c r="AT21" s="9"/>
      <c r="AU21" s="166" t="n">
        <f aca="false">O21</f>
        <v>28.35</v>
      </c>
      <c r="AV21" s="327" t="n">
        <v>0</v>
      </c>
      <c r="AW21" s="134" t="n">
        <v>57</v>
      </c>
      <c r="AX21" s="134" t="n">
        <v>35</v>
      </c>
      <c r="AY21" s="303"/>
      <c r="AZ21" s="233" t="n">
        <f aca="false">SUM(N21,P21:T21)</f>
        <v>7.619797</v>
      </c>
    </row>
    <row r="22" customFormat="false" ht="12.95" hidden="false" customHeight="true" outlineLevel="0" collapsed="false">
      <c r="A22" s="171" t="n">
        <f aca="false">A21+1</f>
        <v>9</v>
      </c>
      <c r="B22" s="103" t="n">
        <v>6893.83</v>
      </c>
      <c r="C22" s="104" t="n">
        <v>261372</v>
      </c>
      <c r="D22" s="134" t="n">
        <f aca="false">C22-C21</f>
        <v>-140</v>
      </c>
      <c r="E22" s="104" t="n">
        <f aca="false">C22-152000</f>
        <v>109372</v>
      </c>
      <c r="F22" s="229" t="n">
        <f aca="false">D22/$D$2</f>
        <v>-70.5823040080665</v>
      </c>
      <c r="G22" s="132" t="n">
        <v>62</v>
      </c>
      <c r="H22" s="538" t="n">
        <v>0</v>
      </c>
      <c r="I22" s="132" t="n">
        <f aca="false">G22+H22</f>
        <v>62</v>
      </c>
      <c r="J22" s="133" t="n">
        <f aca="false">IF(L22&gt;0,L22,0)</f>
        <v>0</v>
      </c>
      <c r="K22" s="132" t="n">
        <f aca="false">I22+J22</f>
        <v>62</v>
      </c>
      <c r="L22" s="132" t="n">
        <f aca="false">F22-(I22-AK22)</f>
        <v>-5.58230400806654</v>
      </c>
      <c r="M22" s="231" t="n">
        <v>93</v>
      </c>
      <c r="N22" s="199" t="n">
        <f aca="false">1.8299*1.03</f>
        <v>1.884797</v>
      </c>
      <c r="O22" s="132" t="n">
        <f aca="false">(12+13)*1.05</f>
        <v>26.25</v>
      </c>
      <c r="P22" s="199" t="n">
        <v>0</v>
      </c>
      <c r="Q22" s="167" t="n">
        <f aca="false">1.75*1.02</f>
        <v>1.785</v>
      </c>
      <c r="R22" s="312" t="n">
        <v>3.95</v>
      </c>
      <c r="S22" s="312" t="n">
        <v>0</v>
      </c>
      <c r="T22" s="356" t="n">
        <v>0</v>
      </c>
      <c r="U22" s="132" t="n">
        <v>0</v>
      </c>
      <c r="V22" s="132" t="n">
        <v>0</v>
      </c>
      <c r="W22" s="132" t="n">
        <f aca="false">M22-N22-O22-P22-Q22-R22-S22-T22+U22+V22</f>
        <v>59.130203</v>
      </c>
      <c r="X22" s="132" t="n">
        <f aca="false">W22-AO22-AD22</f>
        <v>54.565</v>
      </c>
      <c r="Y22" s="104" t="n">
        <f aca="false">Y21+(X22*1.9835)</f>
        <v>108165.777075901</v>
      </c>
      <c r="Z22" s="104" t="n">
        <f aca="false">Z21+X22*(26300/37500)*1.9835+(AD22*1.9835)</f>
        <v>108017.786924767</v>
      </c>
      <c r="AA22" s="104"/>
      <c r="AB22" s="104"/>
      <c r="AC22" s="104"/>
      <c r="AD22" s="134" t="n">
        <f aca="false">W22-(I22-Q22-R22-AF22)</f>
        <v>4.565203</v>
      </c>
      <c r="AE22" s="132" t="n">
        <v>0</v>
      </c>
      <c r="AF22" s="135" t="n">
        <v>1.7</v>
      </c>
      <c r="AG22" s="136" t="n">
        <v>1.3</v>
      </c>
      <c r="AH22" s="132" t="n">
        <v>34</v>
      </c>
      <c r="AI22" s="104" t="n">
        <f aca="false">AI21-AH22</f>
        <v>5518.25787748929</v>
      </c>
      <c r="AJ22" s="104"/>
      <c r="AK22" s="131" t="n">
        <f aca="false">N22+O22+P22+Q22+R22+S22+T22+W22+AE22+AH22</f>
        <v>127</v>
      </c>
      <c r="AL22" s="132" t="n">
        <f aca="false">IF(L22&lt;0,L22*-1,0)</f>
        <v>5.58230400806654</v>
      </c>
      <c r="AM22" s="132" t="n">
        <f aca="false">AK22+AL22</f>
        <v>132.582304008067</v>
      </c>
      <c r="AN22" s="203" t="n">
        <f aca="false">AN21</f>
        <v>14794.787655</v>
      </c>
      <c r="AO22" s="133"/>
      <c r="AP22" s="133"/>
      <c r="AQ22" s="199" t="n">
        <f aca="false">20*(AA21*1.9835+AC21*1.9835+AD21*1.9835)/E22</f>
        <v>0</v>
      </c>
      <c r="AR22" s="199"/>
      <c r="AS22" s="104"/>
      <c r="AT22" s="9"/>
      <c r="AU22" s="166" t="n">
        <f aca="false">O22</f>
        <v>26.25</v>
      </c>
      <c r="AV22" s="327" t="n">
        <v>0</v>
      </c>
      <c r="AW22" s="204" t="n">
        <v>60</v>
      </c>
      <c r="AX22" s="134" t="n">
        <v>30</v>
      </c>
      <c r="AY22" s="303"/>
      <c r="AZ22" s="233" t="n">
        <f aca="false">SUM(N22,P22:T22)</f>
        <v>7.619797</v>
      </c>
    </row>
    <row r="23" customFormat="false" ht="12.95" hidden="false" customHeight="true" outlineLevel="0" collapsed="false">
      <c r="A23" s="171" t="n">
        <f aca="false">A22+1</f>
        <v>10</v>
      </c>
      <c r="B23" s="103" t="n">
        <v>6893.8</v>
      </c>
      <c r="C23" s="104" t="n">
        <v>261267</v>
      </c>
      <c r="D23" s="134" t="n">
        <f aca="false">C23-C22</f>
        <v>-105</v>
      </c>
      <c r="E23" s="104" t="n">
        <f aca="false">C23-152000</f>
        <v>109267</v>
      </c>
      <c r="F23" s="229" t="n">
        <f aca="false">D23/$D$2</f>
        <v>-52.9367280060499</v>
      </c>
      <c r="G23" s="132" t="n">
        <v>58</v>
      </c>
      <c r="H23" s="538" t="n">
        <v>0</v>
      </c>
      <c r="I23" s="132" t="n">
        <f aca="false">G23+H23</f>
        <v>58</v>
      </c>
      <c r="J23" s="133" t="n">
        <f aca="false">IF(L23&gt;0,L23,0)</f>
        <v>0</v>
      </c>
      <c r="K23" s="132" t="n">
        <f aca="false">I23+J23</f>
        <v>58</v>
      </c>
      <c r="L23" s="132" t="n">
        <f aca="false">F23-(I23-AK23)</f>
        <v>-14.9367280060499</v>
      </c>
      <c r="M23" s="231" t="n">
        <v>36</v>
      </c>
      <c r="N23" s="199" t="n">
        <f aca="false">1.8299*1.03</f>
        <v>1.884797</v>
      </c>
      <c r="O23" s="132" t="n">
        <f aca="false">(8.3+6.5)*1.05</f>
        <v>15.54</v>
      </c>
      <c r="P23" s="199" t="n">
        <v>0</v>
      </c>
      <c r="Q23" s="167" t="n">
        <f aca="false">1.75*1.02</f>
        <v>1.785</v>
      </c>
      <c r="R23" s="312" t="n">
        <v>3.95</v>
      </c>
      <c r="S23" s="312" t="n">
        <v>0</v>
      </c>
      <c r="T23" s="356" t="n">
        <v>0</v>
      </c>
      <c r="U23" s="132" t="n">
        <v>26</v>
      </c>
      <c r="V23" s="132" t="n">
        <v>0</v>
      </c>
      <c r="W23" s="132" t="n">
        <f aca="false">M23-N23-O23-P23-Q23-R23-S23-T23+U23+V23</f>
        <v>38.840203</v>
      </c>
      <c r="X23" s="132" t="n">
        <f aca="false">W23-AO23-AD23</f>
        <v>38.840203</v>
      </c>
      <c r="Y23" s="104" t="n">
        <f aca="false">Y22+(X23*1.9835)</f>
        <v>108242.816618552</v>
      </c>
      <c r="Z23" s="104" t="n">
        <f aca="false">Z22+X23*(26300/37500)*1.9835+(AD23*1.9835)</f>
        <v>108071.817324012</v>
      </c>
      <c r="AA23" s="104"/>
      <c r="AB23" s="104"/>
      <c r="AC23" s="104"/>
      <c r="AD23" s="134" t="n">
        <v>0</v>
      </c>
      <c r="AE23" s="132" t="n">
        <v>0</v>
      </c>
      <c r="AF23" s="135" t="n">
        <v>1.7</v>
      </c>
      <c r="AG23" s="136" t="n">
        <v>1.3</v>
      </c>
      <c r="AH23" s="132" t="n">
        <v>34</v>
      </c>
      <c r="AI23" s="104" t="n">
        <f aca="false">AI22-AH23</f>
        <v>5484.25787748929</v>
      </c>
      <c r="AJ23" s="104"/>
      <c r="AK23" s="131" t="n">
        <f aca="false">N23+O23+P23+Q23+R23+S23+T23+W23+AE23+AH23</f>
        <v>96</v>
      </c>
      <c r="AL23" s="132" t="n">
        <f aca="false">IF(L23&lt;0,L23*-1,0)</f>
        <v>14.9367280060499</v>
      </c>
      <c r="AM23" s="132" t="n">
        <f aca="false">AK23+AL23</f>
        <v>110.93672800605</v>
      </c>
      <c r="AN23" s="203" t="n">
        <f aca="false">AN22+U23</f>
        <v>14820.787655</v>
      </c>
      <c r="AO23" s="133"/>
      <c r="AP23" s="133"/>
      <c r="AQ23" s="199" t="n">
        <f aca="false">20*(AA22*1.9835+AC22*1.9835+AD22*1.9835)/E23</f>
        <v>0.0016574226711633</v>
      </c>
      <c r="AR23" s="199"/>
      <c r="AS23" s="104"/>
      <c r="AT23" s="9"/>
      <c r="AU23" s="166" t="n">
        <f aca="false">O23</f>
        <v>15.54</v>
      </c>
      <c r="AV23" s="327" t="n">
        <v>0</v>
      </c>
      <c r="AW23" s="134" t="n">
        <v>64</v>
      </c>
      <c r="AX23" s="134" t="n">
        <v>34</v>
      </c>
      <c r="AY23" s="303"/>
      <c r="AZ23" s="233" t="n">
        <f aca="false">SUM(N23,P23:T23)</f>
        <v>7.619797</v>
      </c>
    </row>
    <row r="24" customFormat="false" ht="12.95" hidden="false" customHeight="true" outlineLevel="0" collapsed="false">
      <c r="A24" s="171" t="n">
        <f aca="false">A23+1</f>
        <v>11</v>
      </c>
      <c r="B24" s="103" t="n">
        <v>6893.77</v>
      </c>
      <c r="C24" s="104" t="n">
        <v>261162</v>
      </c>
      <c r="D24" s="134" t="n">
        <f aca="false">C24-C23</f>
        <v>-105</v>
      </c>
      <c r="E24" s="104" t="n">
        <f aca="false">C24-152000</f>
        <v>109162</v>
      </c>
      <c r="F24" s="229" t="n">
        <f aca="false">D24/$D$2</f>
        <v>-52.9367280060499</v>
      </c>
      <c r="G24" s="132" t="n">
        <v>56</v>
      </c>
      <c r="H24" s="538" t="n">
        <v>0</v>
      </c>
      <c r="I24" s="132" t="n">
        <f aca="false">G24+H24</f>
        <v>56</v>
      </c>
      <c r="J24" s="133" t="n">
        <f aca="false">IF(L24&gt;0,L24,0)</f>
        <v>0</v>
      </c>
      <c r="K24" s="132" t="n">
        <f aca="false">I24+J24</f>
        <v>56</v>
      </c>
      <c r="L24" s="132" t="n">
        <f aca="false">F24-(I24-AK24)</f>
        <v>-10.9367280060499</v>
      </c>
      <c r="M24" s="231" t="n">
        <v>22</v>
      </c>
      <c r="N24" s="199" t="n">
        <f aca="false">1.8299*1.03</f>
        <v>1.884797</v>
      </c>
      <c r="O24" s="132" t="n">
        <f aca="false">(8.2+6.4)*1.05</f>
        <v>15.33</v>
      </c>
      <c r="P24" s="199" t="n">
        <v>0</v>
      </c>
      <c r="Q24" s="167" t="n">
        <f aca="false">1.75*1.02</f>
        <v>1.785</v>
      </c>
      <c r="R24" s="312" t="n">
        <v>3.95</v>
      </c>
      <c r="S24" s="312" t="n">
        <v>0</v>
      </c>
      <c r="T24" s="356" t="n">
        <v>0</v>
      </c>
      <c r="U24" s="132" t="n">
        <v>42</v>
      </c>
      <c r="V24" s="132" t="n">
        <v>0</v>
      </c>
      <c r="W24" s="132" t="n">
        <f aca="false">M24-N24-O24-P24-Q24-R24-S24-T24+U24+V24</f>
        <v>41.050203</v>
      </c>
      <c r="X24" s="132" t="n">
        <f aca="false">W24-AO24-AD24</f>
        <v>41.050203</v>
      </c>
      <c r="Y24" s="104" t="n">
        <f aca="false">Y23+(X24*1.9835)</f>
        <v>108324.239696202</v>
      </c>
      <c r="Z24" s="104" t="n">
        <f aca="false">Z23+X24*(26300/37500)*1.9835+(AD24*1.9835)</f>
        <v>108128.922042471</v>
      </c>
      <c r="AA24" s="104"/>
      <c r="AB24" s="104"/>
      <c r="AC24" s="104"/>
      <c r="AD24" s="134" t="n">
        <v>0</v>
      </c>
      <c r="AE24" s="132" t="n">
        <v>0</v>
      </c>
      <c r="AF24" s="135" t="n">
        <v>1.7</v>
      </c>
      <c r="AG24" s="136" t="n">
        <v>1.3</v>
      </c>
      <c r="AH24" s="132" t="n">
        <v>34</v>
      </c>
      <c r="AI24" s="104" t="n">
        <f aca="false">AI23-AH24</f>
        <v>5450.25787748929</v>
      </c>
      <c r="AJ24" s="104"/>
      <c r="AK24" s="131" t="n">
        <f aca="false">N24+O24+P24+Q24+R24+S24+T24+W24+AE24+AH24</f>
        <v>98</v>
      </c>
      <c r="AL24" s="132" t="n">
        <f aca="false">IF(L24&lt;0,L24*-1,0)</f>
        <v>10.9367280060499</v>
      </c>
      <c r="AM24" s="132" t="n">
        <f aca="false">AK24+AL24</f>
        <v>108.93672800605</v>
      </c>
      <c r="AN24" s="203" t="n">
        <f aca="false">AN23+U24</f>
        <v>14862.787655</v>
      </c>
      <c r="AO24" s="133"/>
      <c r="AP24" s="133"/>
      <c r="AQ24" s="199" t="n">
        <f aca="false">20*(AA23*1.9835+AC23*1.9835+AD23*1.9835)/E24</f>
        <v>0</v>
      </c>
      <c r="AR24" s="199"/>
      <c r="AS24" s="104"/>
      <c r="AT24" s="9"/>
      <c r="AU24" s="166" t="n">
        <f aca="false">O24</f>
        <v>15.33</v>
      </c>
      <c r="AV24" s="327" t="n">
        <v>0</v>
      </c>
      <c r="AW24" s="134" t="n">
        <v>63</v>
      </c>
      <c r="AX24" s="134" t="n">
        <v>35</v>
      </c>
      <c r="AY24" s="303"/>
      <c r="AZ24" s="233" t="n">
        <f aca="false">SUM(N24,P24:T24)</f>
        <v>7.619797</v>
      </c>
    </row>
    <row r="25" customFormat="false" ht="12.95" hidden="false" customHeight="true" outlineLevel="0" collapsed="false">
      <c r="A25" s="171" t="n">
        <f aca="false">A24+1</f>
        <v>12</v>
      </c>
      <c r="B25" s="103" t="n">
        <v>6893.73</v>
      </c>
      <c r="C25" s="104" t="n">
        <v>261022</v>
      </c>
      <c r="D25" s="134" t="n">
        <f aca="false">C25-C24</f>
        <v>-140</v>
      </c>
      <c r="E25" s="104" t="n">
        <f aca="false">C25-152000</f>
        <v>109022</v>
      </c>
      <c r="F25" s="229" t="n">
        <f aca="false">D25/$D$2</f>
        <v>-70.5823040080665</v>
      </c>
      <c r="G25" s="132" t="n">
        <v>55</v>
      </c>
      <c r="H25" s="538" t="n">
        <v>0</v>
      </c>
      <c r="I25" s="132" t="n">
        <f aca="false">G25+H25</f>
        <v>55</v>
      </c>
      <c r="J25" s="133" t="n">
        <f aca="false">IF(L25&gt;0,L25,0)</f>
        <v>0</v>
      </c>
      <c r="K25" s="132" t="n">
        <f aca="false">I25+J25</f>
        <v>55</v>
      </c>
      <c r="L25" s="132" t="n">
        <f aca="false">F25-(I25-AK25)</f>
        <v>-22.5823040080665</v>
      </c>
      <c r="M25" s="231" t="n">
        <v>27</v>
      </c>
      <c r="N25" s="199" t="n">
        <f aca="false">1.8299*1.03</f>
        <v>1.884797</v>
      </c>
      <c r="O25" s="132" t="n">
        <f aca="false">(7.9+7.5)*1.05</f>
        <v>16.17</v>
      </c>
      <c r="P25" s="199" t="n">
        <v>0</v>
      </c>
      <c r="Q25" s="167" t="n">
        <f aca="false">1.75*1.02</f>
        <v>1.785</v>
      </c>
      <c r="R25" s="312" t="n">
        <v>3.95</v>
      </c>
      <c r="S25" s="312" t="n">
        <v>0</v>
      </c>
      <c r="T25" s="356" t="n">
        <v>0</v>
      </c>
      <c r="U25" s="132" t="n">
        <v>42</v>
      </c>
      <c r="V25" s="132" t="n">
        <v>0</v>
      </c>
      <c r="W25" s="132" t="n">
        <f aca="false">M25-N25-O25-P25-Q25-R25-S25-T25+U25+V25</f>
        <v>45.210203</v>
      </c>
      <c r="X25" s="132" t="n">
        <f aca="false">W25-AO25-AD25</f>
        <v>45.210203</v>
      </c>
      <c r="Y25" s="104" t="n">
        <f aca="false">Y24+(X25*1.9835)</f>
        <v>108413.914133853</v>
      </c>
      <c r="Z25" s="104" t="n">
        <f aca="false">Z24+X25*(26300/37500)*1.9835+(AD25*1.9835)</f>
        <v>108191.813714744</v>
      </c>
      <c r="AA25" s="104"/>
      <c r="AB25" s="104"/>
      <c r="AC25" s="104"/>
      <c r="AD25" s="134" t="n">
        <v>0</v>
      </c>
      <c r="AE25" s="132" t="n">
        <v>0</v>
      </c>
      <c r="AF25" s="135" t="n">
        <v>1.7</v>
      </c>
      <c r="AG25" s="136" t="n">
        <v>1.3</v>
      </c>
      <c r="AH25" s="132" t="n">
        <v>34</v>
      </c>
      <c r="AI25" s="104" t="n">
        <f aca="false">AI24-AH25</f>
        <v>5416.25787748929</v>
      </c>
      <c r="AJ25" s="104"/>
      <c r="AK25" s="131" t="n">
        <f aca="false">N25+O25+P25+Q25+R25+S25+T25+W25+AE25+AH25</f>
        <v>103</v>
      </c>
      <c r="AL25" s="132" t="n">
        <f aca="false">IF(L25&lt;0,L25*-1,0)</f>
        <v>22.5823040080665</v>
      </c>
      <c r="AM25" s="132" t="n">
        <f aca="false">AK25+AL25</f>
        <v>125.582304008067</v>
      </c>
      <c r="AN25" s="203" t="n">
        <f aca="false">AN24+U25</f>
        <v>14904.787655</v>
      </c>
      <c r="AO25" s="133"/>
      <c r="AP25" s="133"/>
      <c r="AQ25" s="199" t="n">
        <f aca="false">20*(AA24*1.9835+AC24*1.9835+AD24*1.9835)/E25</f>
        <v>0</v>
      </c>
      <c r="AR25" s="199"/>
      <c r="AS25" s="104"/>
      <c r="AT25" s="9"/>
      <c r="AU25" s="166" t="n">
        <f aca="false">O25</f>
        <v>16.17</v>
      </c>
      <c r="AV25" s="327" t="n">
        <v>0</v>
      </c>
      <c r="AW25" s="134" t="n">
        <v>60</v>
      </c>
      <c r="AX25" s="134" t="n">
        <v>35</v>
      </c>
      <c r="AY25" s="303"/>
      <c r="AZ25" s="233" t="n">
        <f aca="false">SUM(N25,P25:T25)</f>
        <v>7.619797</v>
      </c>
    </row>
    <row r="26" customFormat="false" ht="12.95" hidden="false" customHeight="true" outlineLevel="0" collapsed="false">
      <c r="A26" s="171" t="n">
        <f aca="false">A25+1</f>
        <v>13</v>
      </c>
      <c r="B26" s="103" t="n">
        <v>6893.71</v>
      </c>
      <c r="C26" s="104" t="n">
        <v>260953</v>
      </c>
      <c r="D26" s="134" t="n">
        <f aca="false">C26-C25</f>
        <v>-69</v>
      </c>
      <c r="E26" s="104" t="n">
        <f aca="false">C26-152000</f>
        <v>108953</v>
      </c>
      <c r="F26" s="229" t="n">
        <f aca="false">D26/$D$2</f>
        <v>-34.7869926896899</v>
      </c>
      <c r="G26" s="132" t="n">
        <v>61</v>
      </c>
      <c r="H26" s="538" t="n">
        <v>0</v>
      </c>
      <c r="I26" s="132" t="n">
        <f aca="false">G26+H26</f>
        <v>61</v>
      </c>
      <c r="J26" s="133" t="n">
        <f aca="false">IF(L26&gt;0,L26,0)</f>
        <v>7.21300731031006</v>
      </c>
      <c r="K26" s="132" t="n">
        <f aca="false">I26+J26</f>
        <v>68.2130073103101</v>
      </c>
      <c r="L26" s="132" t="n">
        <f aca="false">F26-(I26-AK26)</f>
        <v>7.21300731031006</v>
      </c>
      <c r="M26" s="231" t="n">
        <v>24</v>
      </c>
      <c r="N26" s="199" t="n">
        <f aca="false">1.8299*1.03</f>
        <v>1.884797</v>
      </c>
      <c r="O26" s="132" t="n">
        <f aca="false">(8.2+8.9)*1.05</f>
        <v>17.955</v>
      </c>
      <c r="P26" s="199" t="n">
        <v>0</v>
      </c>
      <c r="Q26" s="167" t="n">
        <f aca="false">1.75*1.02</f>
        <v>1.785</v>
      </c>
      <c r="R26" s="312" t="n">
        <v>3.95</v>
      </c>
      <c r="S26" s="312" t="n">
        <v>0</v>
      </c>
      <c r="T26" s="356" t="n">
        <v>0</v>
      </c>
      <c r="U26" s="132" t="n">
        <v>42</v>
      </c>
      <c r="V26" s="132" t="n">
        <v>0</v>
      </c>
      <c r="W26" s="132" t="n">
        <f aca="false">M26-N26-O26-P26-Q26-R26-S26-T26+U26+V26</f>
        <v>40.425203</v>
      </c>
      <c r="X26" s="132" t="n">
        <f aca="false">W26-AO26-AD26</f>
        <v>40.425203</v>
      </c>
      <c r="Y26" s="104" t="n">
        <f aca="false">Y25+(X26*1.9835)</f>
        <v>108494.097524003</v>
      </c>
      <c r="Z26" s="104" t="n">
        <f aca="false">Z25+X26*(26300/37500)*1.9835+(AD26*1.9835)</f>
        <v>108248.048999036</v>
      </c>
      <c r="AA26" s="104"/>
      <c r="AB26" s="104"/>
      <c r="AC26" s="104"/>
      <c r="AD26" s="134" t="n">
        <v>0</v>
      </c>
      <c r="AE26" s="132" t="n">
        <v>0</v>
      </c>
      <c r="AF26" s="135" t="n">
        <v>1.7</v>
      </c>
      <c r="AG26" s="136" t="n">
        <v>1.3</v>
      </c>
      <c r="AH26" s="132" t="n">
        <v>37</v>
      </c>
      <c r="AI26" s="104" t="n">
        <f aca="false">AI25-AH26</f>
        <v>5379.25787748929</v>
      </c>
      <c r="AJ26" s="104"/>
      <c r="AK26" s="131" t="n">
        <f aca="false">N26+O26+P26+Q26+R26+S26+T26+W26+AE26+AH26</f>
        <v>103</v>
      </c>
      <c r="AL26" s="132" t="n">
        <f aca="false">IF(L26&lt;0,L26*-1,0)</f>
        <v>0</v>
      </c>
      <c r="AM26" s="132" t="n">
        <f aca="false">AK26+AL26</f>
        <v>103</v>
      </c>
      <c r="AN26" s="203" t="n">
        <f aca="false">AN25</f>
        <v>14904.787655</v>
      </c>
      <c r="AO26" s="133"/>
      <c r="AP26" s="133"/>
      <c r="AQ26" s="199" t="n">
        <f aca="false">20*(AA25*1.9835+AC25*1.9835+AD25*1.9835)/E26</f>
        <v>0</v>
      </c>
      <c r="AR26" s="199"/>
      <c r="AS26" s="104"/>
      <c r="AT26" s="9"/>
      <c r="AU26" s="166" t="n">
        <f aca="false">O26</f>
        <v>17.955</v>
      </c>
      <c r="AV26" s="327" t="n">
        <v>0.09</v>
      </c>
      <c r="AW26" s="134" t="n">
        <v>59</v>
      </c>
      <c r="AX26" s="134" t="n">
        <v>43</v>
      </c>
      <c r="AY26" s="303"/>
      <c r="AZ26" s="233" t="n">
        <f aca="false">SUM(N26,P26:T26)</f>
        <v>7.619797</v>
      </c>
    </row>
    <row r="27" customFormat="false" ht="12.95" hidden="false" customHeight="true" outlineLevel="0" collapsed="false">
      <c r="A27" s="171" t="n">
        <f aca="false">A26+1</f>
        <v>14</v>
      </c>
      <c r="B27" s="103" t="n">
        <v>6893.69</v>
      </c>
      <c r="C27" s="104" t="n">
        <v>260883</v>
      </c>
      <c r="D27" s="134" t="n">
        <f aca="false">C27-C26</f>
        <v>-70</v>
      </c>
      <c r="E27" s="104" t="n">
        <f aca="false">C27-152000</f>
        <v>108883</v>
      </c>
      <c r="F27" s="229" t="n">
        <f aca="false">D27/$D$2</f>
        <v>-35.2911520040333</v>
      </c>
      <c r="G27" s="132" t="n">
        <v>76</v>
      </c>
      <c r="H27" s="538" t="n">
        <v>0</v>
      </c>
      <c r="I27" s="132" t="n">
        <f aca="false">G27+H27</f>
        <v>76</v>
      </c>
      <c r="J27" s="133" t="n">
        <f aca="false">IF(L27&gt;0,L27,0)</f>
        <v>0</v>
      </c>
      <c r="K27" s="132" t="n">
        <f aca="false">I27+J27</f>
        <v>76</v>
      </c>
      <c r="L27" s="132" t="n">
        <f aca="false">F27-(I27-AK27)</f>
        <v>-22.2911520040333</v>
      </c>
      <c r="M27" s="231" t="n">
        <v>8</v>
      </c>
      <c r="N27" s="199" t="n">
        <f aca="false">1.8299*1.03</f>
        <v>1.884797</v>
      </c>
      <c r="O27" s="132" t="n">
        <f aca="false">(6.5+1.9)*1.05</f>
        <v>8.82</v>
      </c>
      <c r="P27" s="199" t="n">
        <v>0</v>
      </c>
      <c r="Q27" s="167" t="n">
        <f aca="false">1.75*1.02</f>
        <v>1.785</v>
      </c>
      <c r="R27" s="312" t="n">
        <v>3.95</v>
      </c>
      <c r="S27" s="312" t="n">
        <v>0</v>
      </c>
      <c r="T27" s="356" t="n">
        <v>0</v>
      </c>
      <c r="U27" s="132" t="n">
        <v>42</v>
      </c>
      <c r="V27" s="132" t="n">
        <v>0</v>
      </c>
      <c r="W27" s="132" t="n">
        <f aca="false">M27-N27-O27-P27-Q27-R27-S27-T27+U27+V27</f>
        <v>33.560203</v>
      </c>
      <c r="X27" s="132" t="n">
        <f aca="false">W27-AO27-AD27</f>
        <v>33.560203</v>
      </c>
      <c r="Y27" s="104" t="n">
        <f aca="false">Y26+(X27*1.9835)</f>
        <v>108560.664186654</v>
      </c>
      <c r="Z27" s="104" t="n">
        <f aca="false">Z26+X27*(26300/37500)*1.9835+(AD27*1.9835)</f>
        <v>108294.734418441</v>
      </c>
      <c r="AA27" s="104"/>
      <c r="AB27" s="104"/>
      <c r="AC27" s="104"/>
      <c r="AD27" s="104" t="n">
        <v>0</v>
      </c>
      <c r="AE27" s="132" t="n">
        <v>0</v>
      </c>
      <c r="AF27" s="135" t="n">
        <v>1.7</v>
      </c>
      <c r="AG27" s="136" t="n">
        <v>1.3</v>
      </c>
      <c r="AH27" s="132" t="n">
        <v>39</v>
      </c>
      <c r="AI27" s="104" t="n">
        <f aca="false">AI26-AH27</f>
        <v>5340.25787748929</v>
      </c>
      <c r="AJ27" s="104"/>
      <c r="AK27" s="131" t="n">
        <f aca="false">N27+O27+P27+Q27+R27+S27+T27+W27+AE27+AH27</f>
        <v>89</v>
      </c>
      <c r="AL27" s="132" t="n">
        <f aca="false">IF(L27&lt;0,L27*-1,0)</f>
        <v>22.2911520040333</v>
      </c>
      <c r="AM27" s="132" t="n">
        <f aca="false">AK27+AL27</f>
        <v>111.291152004033</v>
      </c>
      <c r="AN27" s="203" t="n">
        <f aca="false">AN26</f>
        <v>14904.787655</v>
      </c>
      <c r="AO27" s="133"/>
      <c r="AP27" s="133"/>
      <c r="AQ27" s="199" t="n">
        <f aca="false">20*(AA26*1.9835+AC26*1.9835+AD26*1.9835)/E27</f>
        <v>0</v>
      </c>
      <c r="AR27" s="199"/>
      <c r="AS27" s="104"/>
      <c r="AT27" s="9"/>
      <c r="AU27" s="166" t="n">
        <f aca="false">O27</f>
        <v>8.82</v>
      </c>
      <c r="AV27" s="327" t="n">
        <v>0</v>
      </c>
      <c r="AW27" s="204" t="n">
        <v>64</v>
      </c>
      <c r="AX27" s="134" t="n">
        <v>41</v>
      </c>
      <c r="AY27" s="303"/>
      <c r="AZ27" s="233" t="n">
        <f aca="false">SUM(N27,P27:T27)</f>
        <v>7.619797</v>
      </c>
    </row>
    <row r="28" customFormat="false" ht="12.95" hidden="false" customHeight="true" outlineLevel="0" collapsed="false">
      <c r="A28" s="171" t="n">
        <f aca="false">A27+1</f>
        <v>15</v>
      </c>
      <c r="B28" s="103" t="n">
        <v>6893.66</v>
      </c>
      <c r="C28" s="104" t="n">
        <v>260778</v>
      </c>
      <c r="D28" s="134" t="n">
        <f aca="false">C28-C27</f>
        <v>-105</v>
      </c>
      <c r="E28" s="104" t="n">
        <f aca="false">C28-152000</f>
        <v>108778</v>
      </c>
      <c r="F28" s="229" t="n">
        <f aca="false">D28/$D$2</f>
        <v>-52.9367280060499</v>
      </c>
      <c r="G28" s="132" t="n">
        <v>71</v>
      </c>
      <c r="H28" s="538" t="n">
        <v>0</v>
      </c>
      <c r="I28" s="132" t="n">
        <f aca="false">G28+H28</f>
        <v>71</v>
      </c>
      <c r="J28" s="133" t="n">
        <f aca="false">IF(L28&gt;0,L28,0)</f>
        <v>0</v>
      </c>
      <c r="K28" s="132" t="n">
        <f aca="false">I28+J28</f>
        <v>71</v>
      </c>
      <c r="L28" s="132" t="n">
        <f aca="false">F28-(I28-AK28)</f>
        <v>-23.9367280060499</v>
      </c>
      <c r="M28" s="231" t="n">
        <v>21</v>
      </c>
      <c r="N28" s="199" t="n">
        <f aca="false">1.8299*1.03</f>
        <v>1.884797</v>
      </c>
      <c r="O28" s="132" t="n">
        <f aca="false">(9.6+0)*1.05</f>
        <v>10.08</v>
      </c>
      <c r="P28" s="199" t="n">
        <v>0</v>
      </c>
      <c r="Q28" s="167" t="n">
        <f aca="false">1.75*1.02</f>
        <v>1.785</v>
      </c>
      <c r="R28" s="312" t="n">
        <v>3.95</v>
      </c>
      <c r="S28" s="312" t="n">
        <v>0</v>
      </c>
      <c r="T28" s="356" t="n">
        <v>0</v>
      </c>
      <c r="U28" s="132" t="n">
        <v>42</v>
      </c>
      <c r="V28" s="132" t="n">
        <v>0</v>
      </c>
      <c r="W28" s="132" t="n">
        <f aca="false">M28-N28-O28-P28-Q28-R28-S28-T28+U28+V28</f>
        <v>45.300203</v>
      </c>
      <c r="X28" s="132" t="n">
        <f aca="false">W28-AO28-AD28</f>
        <v>45.300203</v>
      </c>
      <c r="Y28" s="104" t="n">
        <f aca="false">Y27+(X28*1.9835)</f>
        <v>108650.517139304</v>
      </c>
      <c r="Z28" s="104" t="n">
        <f aca="false">Z27+X28*(26300/37500)*1.9835+(AD28*1.9835)</f>
        <v>108357.751289234</v>
      </c>
      <c r="AA28" s="104"/>
      <c r="AB28" s="104"/>
      <c r="AC28" s="104"/>
      <c r="AD28" s="104" t="n">
        <v>0</v>
      </c>
      <c r="AE28" s="132" t="n">
        <v>0</v>
      </c>
      <c r="AF28" s="135" t="n">
        <v>1.7</v>
      </c>
      <c r="AG28" s="136" t="n">
        <v>1.3</v>
      </c>
      <c r="AH28" s="132" t="n">
        <v>37</v>
      </c>
      <c r="AI28" s="104" t="n">
        <f aca="false">AI27-AH28</f>
        <v>5303.25787748929</v>
      </c>
      <c r="AJ28" s="104"/>
      <c r="AK28" s="131" t="n">
        <f aca="false">N28+O28+P28+Q28+R28+S28+T28+W28+AE28+AH28</f>
        <v>100</v>
      </c>
      <c r="AL28" s="132" t="n">
        <f aca="false">IF(L28&lt;0,L28*-1,0)</f>
        <v>23.9367280060499</v>
      </c>
      <c r="AM28" s="132" t="n">
        <f aca="false">AK28+AL28</f>
        <v>123.93672800605</v>
      </c>
      <c r="AN28" s="203" t="n">
        <f aca="false">AN27</f>
        <v>14904.787655</v>
      </c>
      <c r="AO28" s="133"/>
      <c r="AP28" s="133"/>
      <c r="AQ28" s="199" t="n">
        <f aca="false">20*(AA27*1.9835+AC27*1.9835+AD27*1.9835)/E28</f>
        <v>0</v>
      </c>
      <c r="AR28" s="199"/>
      <c r="AS28" s="104"/>
      <c r="AT28" s="9"/>
      <c r="AU28" s="166" t="n">
        <f aca="false">O28</f>
        <v>10.08</v>
      </c>
      <c r="AV28" s="327" t="n">
        <v>0</v>
      </c>
      <c r="AW28" s="204" t="n">
        <v>66</v>
      </c>
      <c r="AX28" s="134" t="n">
        <v>38</v>
      </c>
      <c r="AY28" s="303"/>
      <c r="AZ28" s="233" t="n">
        <f aca="false">SUM(N28,P28:T28)</f>
        <v>7.619797</v>
      </c>
    </row>
    <row r="29" customFormat="false" ht="12.95" hidden="false" customHeight="true" outlineLevel="0" collapsed="false">
      <c r="A29" s="171" t="n">
        <f aca="false">A28+1</f>
        <v>16</v>
      </c>
      <c r="B29" s="103" t="n">
        <v>6893.64</v>
      </c>
      <c r="C29" s="104" t="n">
        <v>260708</v>
      </c>
      <c r="D29" s="134" t="n">
        <f aca="false">C29-C28</f>
        <v>-70</v>
      </c>
      <c r="E29" s="104" t="n">
        <f aca="false">C29-152000</f>
        <v>108708</v>
      </c>
      <c r="F29" s="229" t="n">
        <f aca="false">D29/$D$2</f>
        <v>-35.2911520040333</v>
      </c>
      <c r="G29" s="132" t="n">
        <v>68</v>
      </c>
      <c r="H29" s="538" t="n">
        <v>0</v>
      </c>
      <c r="I29" s="132" t="n">
        <f aca="false">G29+H29</f>
        <v>68</v>
      </c>
      <c r="J29" s="133" t="n">
        <f aca="false">IF(L29&gt;0,L29,0)</f>
        <v>0</v>
      </c>
      <c r="K29" s="132" t="n">
        <f aca="false">I29+J29</f>
        <v>68</v>
      </c>
      <c r="L29" s="132" t="n">
        <f aca="false">F29-(I29-AK29)</f>
        <v>-18.0111520040333</v>
      </c>
      <c r="M29" s="231" t="n">
        <v>48</v>
      </c>
      <c r="N29" s="199" t="n">
        <f aca="false">1.8299*1.03</f>
        <v>1.884797</v>
      </c>
      <c r="O29" s="132" t="n">
        <f aca="false">(15+15)*1.05</f>
        <v>31.5</v>
      </c>
      <c r="P29" s="199" t="n">
        <v>0</v>
      </c>
      <c r="Q29" s="167" t="n">
        <f aca="false">1.75*1.02</f>
        <v>1.785</v>
      </c>
      <c r="R29" s="312" t="n">
        <v>3.95</v>
      </c>
      <c r="S29" s="312" t="n">
        <v>0</v>
      </c>
      <c r="T29" s="356" t="n">
        <v>0</v>
      </c>
      <c r="U29" s="132" t="n">
        <v>0.28</v>
      </c>
      <c r="V29" s="132" t="n">
        <v>0</v>
      </c>
      <c r="W29" s="132" t="n">
        <f aca="false">M29-N29-O29-P29-Q29-R29-S29-T29+U29+V29</f>
        <v>9.160203</v>
      </c>
      <c r="X29" s="132" t="n">
        <f aca="false">W29-AO29-AD29</f>
        <v>9.160203</v>
      </c>
      <c r="Y29" s="104" t="n">
        <f aca="false">Y28+(X29*1.9835)</f>
        <v>108668.686401955</v>
      </c>
      <c r="Z29" s="104" t="n">
        <f aca="false">Z28+X29*(26300/37500)*1.9835+(AD29*1.9835)</f>
        <v>108370.493998772</v>
      </c>
      <c r="AA29" s="104"/>
      <c r="AB29" s="104"/>
      <c r="AC29" s="104"/>
      <c r="AD29" s="104" t="n">
        <v>0</v>
      </c>
      <c r="AE29" s="132" t="n">
        <v>0</v>
      </c>
      <c r="AF29" s="135" t="n">
        <v>1.7</v>
      </c>
      <c r="AG29" s="136" t="n">
        <v>1.3</v>
      </c>
      <c r="AH29" s="132" t="n">
        <v>37</v>
      </c>
      <c r="AI29" s="104" t="n">
        <f aca="false">AI28-AH29</f>
        <v>5266.25787748929</v>
      </c>
      <c r="AJ29" s="104"/>
      <c r="AK29" s="131" t="n">
        <f aca="false">N29+O29+P29+Q29+R29+S29+T29+W29+AE29+AH29</f>
        <v>85.28</v>
      </c>
      <c r="AL29" s="132" t="n">
        <f aca="false">IF(L29&lt;0,L29*-1,0)</f>
        <v>18.0111520040333</v>
      </c>
      <c r="AM29" s="132" t="n">
        <f aca="false">AK29+AL29</f>
        <v>103.291152004033</v>
      </c>
      <c r="AN29" s="203" t="n">
        <f aca="false">AN28</f>
        <v>14904.787655</v>
      </c>
      <c r="AO29" s="133"/>
      <c r="AP29" s="133"/>
      <c r="AQ29" s="199" t="n">
        <f aca="false">20*(AA28*1.9835+AC28*1.9835+AD28*1.9835)/E29</f>
        <v>0</v>
      </c>
      <c r="AR29" s="199"/>
      <c r="AS29" s="104"/>
      <c r="AT29" s="9"/>
      <c r="AU29" s="166" t="n">
        <f aca="false">O29</f>
        <v>31.5</v>
      </c>
      <c r="AV29" s="327" t="n">
        <v>0</v>
      </c>
      <c r="AW29" s="204" t="n">
        <v>71</v>
      </c>
      <c r="AX29" s="134" t="n">
        <v>35</v>
      </c>
      <c r="AY29" s="303"/>
      <c r="AZ29" s="233" t="n">
        <f aca="false">SUM(N29,P29:T29)</f>
        <v>7.619797</v>
      </c>
    </row>
    <row r="30" customFormat="false" ht="12.95" hidden="false" customHeight="true" outlineLevel="0" collapsed="false">
      <c r="A30" s="171" t="n">
        <f aca="false">A29+1</f>
        <v>17</v>
      </c>
      <c r="B30" s="103" t="n">
        <v>6893.62</v>
      </c>
      <c r="C30" s="104" t="n">
        <v>260638</v>
      </c>
      <c r="D30" s="134" t="n">
        <f aca="false">C30-C29</f>
        <v>-70</v>
      </c>
      <c r="E30" s="104" t="n">
        <f aca="false">C30-152000</f>
        <v>108638</v>
      </c>
      <c r="F30" s="229" t="n">
        <f aca="false">D30/$D$2</f>
        <v>-35.2911520040333</v>
      </c>
      <c r="G30" s="132" t="n">
        <v>67</v>
      </c>
      <c r="H30" s="538" t="n">
        <v>0</v>
      </c>
      <c r="I30" s="132" t="n">
        <f aca="false">G30+H30</f>
        <v>67</v>
      </c>
      <c r="J30" s="133" t="n">
        <f aca="false">IF(L30&gt;0,L30,0)</f>
        <v>0</v>
      </c>
      <c r="K30" s="132" t="n">
        <f aca="false">I30+J30</f>
        <v>67</v>
      </c>
      <c r="L30" s="132" t="n">
        <f aca="false">F30-(I30-AK30)</f>
        <v>-23.2911520040333</v>
      </c>
      <c r="M30" s="231" t="n">
        <v>42</v>
      </c>
      <c r="N30" s="199" t="n">
        <f aca="false">1.8299*1.03</f>
        <v>1.884797</v>
      </c>
      <c r="O30" s="132" t="n">
        <f aca="false">(19+19)*1.05</f>
        <v>39.9</v>
      </c>
      <c r="P30" s="199" t="n">
        <v>0</v>
      </c>
      <c r="Q30" s="167" t="n">
        <f aca="false">1.75*1.02</f>
        <v>1.785</v>
      </c>
      <c r="R30" s="312" t="n">
        <v>3.95</v>
      </c>
      <c r="S30" s="312" t="n">
        <v>0</v>
      </c>
      <c r="T30" s="356" t="n">
        <v>0</v>
      </c>
      <c r="U30" s="132" t="n">
        <v>0</v>
      </c>
      <c r="V30" s="132" t="n">
        <v>0</v>
      </c>
      <c r="W30" s="132" t="n">
        <f aca="false">M30-N30-O30-P30-Q30-R30-S30-T30+U30+V30</f>
        <v>-5.519797</v>
      </c>
      <c r="X30" s="132" t="n">
        <f aca="false">W30-AO30-AD30</f>
        <v>-5.519797</v>
      </c>
      <c r="Y30" s="104" t="n">
        <f aca="false">Y29+(X30*1.9835)</f>
        <v>108657.737884605</v>
      </c>
      <c r="Z30" s="104" t="n">
        <f aca="false">Z29+X30*(26300/37500)*1.9835+(AD30*1.9835)</f>
        <v>108362.815438605</v>
      </c>
      <c r="AA30" s="104"/>
      <c r="AB30" s="104"/>
      <c r="AC30" s="104"/>
      <c r="AD30" s="104" t="n">
        <v>0</v>
      </c>
      <c r="AE30" s="132" t="n">
        <v>0</v>
      </c>
      <c r="AF30" s="135" t="n">
        <v>1.7</v>
      </c>
      <c r="AG30" s="136" t="n">
        <v>1.3</v>
      </c>
      <c r="AH30" s="132" t="n">
        <v>37</v>
      </c>
      <c r="AI30" s="104" t="n">
        <f aca="false">AI29-AH30</f>
        <v>5229.25787748929</v>
      </c>
      <c r="AJ30" s="104"/>
      <c r="AK30" s="131" t="n">
        <f aca="false">N30+O30+P30+Q30+R30+S30+T30+W30+AE30+AH30</f>
        <v>79</v>
      </c>
      <c r="AL30" s="132" t="n">
        <f aca="false">IF(L30&lt;0,L30*-1,0)</f>
        <v>23.2911520040333</v>
      </c>
      <c r="AM30" s="132" t="n">
        <f aca="false">AK30+AL30</f>
        <v>102.291152004033</v>
      </c>
      <c r="AN30" s="203" t="n">
        <f aca="false">AN29</f>
        <v>14904.787655</v>
      </c>
      <c r="AO30" s="133"/>
      <c r="AP30" s="133"/>
      <c r="AQ30" s="199" t="n">
        <f aca="false">20*(AA29*1.9835+AC29*1.9835+AD29*1.9835)/E30</f>
        <v>0</v>
      </c>
      <c r="AR30" s="199"/>
      <c r="AS30" s="104"/>
      <c r="AT30" s="9"/>
      <c r="AU30" s="166" t="n">
        <f aca="false">O30</f>
        <v>39.9</v>
      </c>
      <c r="AV30" s="327" t="n">
        <v>0</v>
      </c>
      <c r="AW30" s="204" t="n">
        <v>70</v>
      </c>
      <c r="AX30" s="134" t="n">
        <v>41</v>
      </c>
      <c r="AY30" s="303"/>
      <c r="AZ30" s="233" t="n">
        <f aca="false">SUM(N30,P30:T30)</f>
        <v>7.619797</v>
      </c>
    </row>
    <row r="31" customFormat="false" ht="12.95" hidden="false" customHeight="true" outlineLevel="0" collapsed="false">
      <c r="A31" s="171" t="n">
        <f aca="false">A30+1</f>
        <v>18</v>
      </c>
      <c r="B31" s="103" t="n">
        <v>6893.61</v>
      </c>
      <c r="C31" s="104" t="n">
        <v>260603</v>
      </c>
      <c r="D31" s="134" t="n">
        <f aca="false">C31-C30</f>
        <v>-35</v>
      </c>
      <c r="E31" s="104" t="n">
        <f aca="false">C31-152000</f>
        <v>108603</v>
      </c>
      <c r="F31" s="229" t="n">
        <f aca="false">D31/$D$2</f>
        <v>-17.6455760020166</v>
      </c>
      <c r="G31" s="132" t="n">
        <v>63</v>
      </c>
      <c r="H31" s="538" t="n">
        <v>0</v>
      </c>
      <c r="I31" s="132" t="n">
        <f aca="false">G31+H31</f>
        <v>63</v>
      </c>
      <c r="J31" s="133" t="n">
        <f aca="false">IF(L31&gt;0,L31,0)</f>
        <v>0</v>
      </c>
      <c r="K31" s="132" t="n">
        <f aca="false">I31+J31</f>
        <v>63</v>
      </c>
      <c r="L31" s="132" t="n">
        <f aca="false">F31-(I31-AK31)</f>
        <v>-9.64557600201664</v>
      </c>
      <c r="M31" s="231" t="n">
        <v>34</v>
      </c>
      <c r="N31" s="199" t="n">
        <f aca="false">1.8299*1.03</f>
        <v>1.884797</v>
      </c>
      <c r="O31" s="132" t="n">
        <f aca="false">(18+16)*1.05</f>
        <v>35.7</v>
      </c>
      <c r="P31" s="199" t="n">
        <v>0</v>
      </c>
      <c r="Q31" s="167" t="n">
        <f aca="false">1.75*1.02</f>
        <v>1.785</v>
      </c>
      <c r="R31" s="312" t="n">
        <v>3.95</v>
      </c>
      <c r="S31" s="312" t="n">
        <v>0</v>
      </c>
      <c r="T31" s="356" t="n">
        <v>0</v>
      </c>
      <c r="U31" s="132" t="n">
        <v>0</v>
      </c>
      <c r="V31" s="132" t="n">
        <v>0</v>
      </c>
      <c r="W31" s="132" t="n">
        <f aca="false">M31-N31-O31-P31-Q31-R31-S31-T31+U31+V31</f>
        <v>-9.319797</v>
      </c>
      <c r="X31" s="132" t="n">
        <f aca="false">W31-AO31-AD31</f>
        <v>-9.319797</v>
      </c>
      <c r="Y31" s="104" t="n">
        <f aca="false">Y30+(X31*1.9835)</f>
        <v>108639.252067256</v>
      </c>
      <c r="Z31" s="104" t="n">
        <f aca="false">Z30+X31*(26300/37500)*1.9835+(AD31*1.9835)</f>
        <v>108349.850718703</v>
      </c>
      <c r="AA31" s="104"/>
      <c r="AB31" s="104"/>
      <c r="AC31" s="104"/>
      <c r="AD31" s="104" t="n">
        <v>0</v>
      </c>
      <c r="AE31" s="132" t="n">
        <v>0</v>
      </c>
      <c r="AF31" s="135" t="n">
        <v>1.7</v>
      </c>
      <c r="AG31" s="136" t="n">
        <v>1.3</v>
      </c>
      <c r="AH31" s="132" t="n">
        <v>37</v>
      </c>
      <c r="AI31" s="104" t="n">
        <f aca="false">AI30-AH31</f>
        <v>5192.25787748929</v>
      </c>
      <c r="AJ31" s="104"/>
      <c r="AK31" s="131" t="n">
        <f aca="false">N31+O31+P31+Q31+R31+S31+T31+W31+AE31+AH31</f>
        <v>71</v>
      </c>
      <c r="AL31" s="132" t="n">
        <f aca="false">IF(L31&lt;0,L31*-1,0)</f>
        <v>9.64557600201664</v>
      </c>
      <c r="AM31" s="132" t="n">
        <f aca="false">AK31+AL31</f>
        <v>80.6455760020166</v>
      </c>
      <c r="AN31" s="203" t="n">
        <f aca="false">AN30</f>
        <v>14904.787655</v>
      </c>
      <c r="AO31" s="133"/>
      <c r="AP31" s="133"/>
      <c r="AQ31" s="199" t="n">
        <f aca="false">20*(AA30*1.9835+AC30*1.9835+AD30*1.9835)/E31</f>
        <v>0</v>
      </c>
      <c r="AR31" s="199"/>
      <c r="AS31" s="104"/>
      <c r="AT31" s="9"/>
      <c r="AU31" s="166" t="n">
        <f aca="false">O31</f>
        <v>35.7</v>
      </c>
      <c r="AV31" s="327" t="n">
        <v>0</v>
      </c>
      <c r="AW31" s="204" t="n">
        <v>72</v>
      </c>
      <c r="AX31" s="134" t="n">
        <v>43</v>
      </c>
      <c r="AY31" s="303"/>
      <c r="AZ31" s="233" t="n">
        <f aca="false">SUM(N31,P31:T31)</f>
        <v>7.619797</v>
      </c>
    </row>
    <row r="32" customFormat="false" ht="12.95" hidden="false" customHeight="true" outlineLevel="0" collapsed="false">
      <c r="A32" s="171" t="n">
        <f aca="false">A31+1</f>
        <v>19</v>
      </c>
      <c r="B32" s="103" t="n">
        <v>6893.59</v>
      </c>
      <c r="C32" s="104" t="n">
        <v>260533</v>
      </c>
      <c r="D32" s="134" t="n">
        <f aca="false">C32-C31</f>
        <v>-70</v>
      </c>
      <c r="E32" s="104" t="n">
        <f aca="false">C32-152000</f>
        <v>108533</v>
      </c>
      <c r="F32" s="229" t="n">
        <f aca="false">D32/$D$2</f>
        <v>-35.2911520040333</v>
      </c>
      <c r="G32" s="132" t="n">
        <v>59</v>
      </c>
      <c r="H32" s="538" t="n">
        <v>0</v>
      </c>
      <c r="I32" s="132" t="n">
        <f aca="false">G32+H32</f>
        <v>59</v>
      </c>
      <c r="J32" s="133" t="n">
        <f aca="false">IF(L32&gt;0,L32,0)</f>
        <v>0</v>
      </c>
      <c r="K32" s="132" t="n">
        <f aca="false">I32+J32</f>
        <v>59</v>
      </c>
      <c r="L32" s="132" t="n">
        <f aca="false">F32-(I32-AK32)</f>
        <v>-29.2911520040333</v>
      </c>
      <c r="M32" s="231" t="n">
        <v>28</v>
      </c>
      <c r="N32" s="199" t="n">
        <f aca="false">1.8299*1.03</f>
        <v>1.884797</v>
      </c>
      <c r="O32" s="132" t="n">
        <f aca="false">(15+15)*1.05</f>
        <v>31.5</v>
      </c>
      <c r="P32" s="199" t="n">
        <v>0</v>
      </c>
      <c r="Q32" s="167" t="n">
        <f aca="false">1.75*1.02</f>
        <v>1.785</v>
      </c>
      <c r="R32" s="312" t="n">
        <v>3.95</v>
      </c>
      <c r="S32" s="312" t="n">
        <v>0</v>
      </c>
      <c r="T32" s="356" t="n">
        <v>0</v>
      </c>
      <c r="U32" s="132" t="n">
        <v>0</v>
      </c>
      <c r="V32" s="132" t="n">
        <v>0</v>
      </c>
      <c r="W32" s="132" t="n">
        <f aca="false">M32-N32-O32-P32-Q32-R32-S32-T32+U32+V32</f>
        <v>-11.119797</v>
      </c>
      <c r="X32" s="132" t="n">
        <f aca="false">W32-AO32-AD32</f>
        <v>-11.119797</v>
      </c>
      <c r="Y32" s="104" t="n">
        <f aca="false">Y31+(X32*1.9835)</f>
        <v>108617.195949906</v>
      </c>
      <c r="Z32" s="104" t="n">
        <f aca="false">Z31+X32*(26300/37500)*1.9835+(AD32*1.9835)</f>
        <v>108334.382028402</v>
      </c>
      <c r="AA32" s="104"/>
      <c r="AB32" s="104"/>
      <c r="AC32" s="104"/>
      <c r="AD32" s="104" t="n">
        <v>0</v>
      </c>
      <c r="AE32" s="132" t="n">
        <v>0</v>
      </c>
      <c r="AF32" s="135" t="n">
        <v>1.7</v>
      </c>
      <c r="AG32" s="136" t="n">
        <v>1.3</v>
      </c>
      <c r="AH32" s="132" t="n">
        <v>37</v>
      </c>
      <c r="AI32" s="104" t="n">
        <f aca="false">AI31-AH32</f>
        <v>5155.25787748929</v>
      </c>
      <c r="AJ32" s="104"/>
      <c r="AK32" s="131" t="n">
        <f aca="false">N32+O32+P32+Q32+R32+S32+T32+W32+AE32+AH32</f>
        <v>65</v>
      </c>
      <c r="AL32" s="132" t="n">
        <f aca="false">IF(L32&lt;0,L32*-1,0)</f>
        <v>29.2911520040333</v>
      </c>
      <c r="AM32" s="132" t="n">
        <f aca="false">AK32+AL32</f>
        <v>94.2911520040333</v>
      </c>
      <c r="AN32" s="203" t="n">
        <f aca="false">AN31</f>
        <v>14904.787655</v>
      </c>
      <c r="AO32" s="133"/>
      <c r="AP32" s="133"/>
      <c r="AQ32" s="199" t="n">
        <f aca="false">20*(AA31*1.9835+AC31*1.9835+AD31*1.9835)/E32</f>
        <v>0</v>
      </c>
      <c r="AR32" s="199"/>
      <c r="AS32" s="104"/>
      <c r="AT32" s="9"/>
      <c r="AU32" s="166" t="n">
        <f aca="false">O32</f>
        <v>31.5</v>
      </c>
      <c r="AV32" s="327" t="n">
        <v>0</v>
      </c>
      <c r="AW32" s="204" t="n">
        <v>70</v>
      </c>
      <c r="AX32" s="134" t="n">
        <v>48</v>
      </c>
      <c r="AY32" s="303"/>
      <c r="AZ32" s="233" t="n">
        <f aca="false">SUM(N32,P32:T32)</f>
        <v>7.619797</v>
      </c>
    </row>
    <row r="33" customFormat="false" ht="12.95" hidden="false" customHeight="true" outlineLevel="0" collapsed="false">
      <c r="A33" s="171" t="n">
        <f aca="false">A32+1</f>
        <v>20</v>
      </c>
      <c r="B33" s="103" t="n">
        <v>6893.57</v>
      </c>
      <c r="C33" s="104" t="n">
        <v>260463</v>
      </c>
      <c r="D33" s="134" t="n">
        <f aca="false">C33-C32</f>
        <v>-70</v>
      </c>
      <c r="E33" s="104" t="n">
        <f aca="false">C33-152000</f>
        <v>108463</v>
      </c>
      <c r="F33" s="229" t="n">
        <f aca="false">D33/$D$2</f>
        <v>-35.2911520040333</v>
      </c>
      <c r="G33" s="132" t="n">
        <v>60</v>
      </c>
      <c r="H33" s="538" t="n">
        <v>0</v>
      </c>
      <c r="I33" s="132" t="n">
        <f aca="false">G33+H33</f>
        <v>60</v>
      </c>
      <c r="J33" s="133" t="n">
        <f aca="false">IF(L33&gt;0,L33,0)</f>
        <v>0</v>
      </c>
      <c r="K33" s="132" t="n">
        <f aca="false">I33+J33</f>
        <v>60</v>
      </c>
      <c r="L33" s="132" t="n">
        <f aca="false">F33-(I33-AK33)</f>
        <v>-17.2911520040333</v>
      </c>
      <c r="M33" s="231" t="n">
        <v>41</v>
      </c>
      <c r="N33" s="199" t="n">
        <f aca="false">1.8299*1.03</f>
        <v>1.884797</v>
      </c>
      <c r="O33" s="132" t="n">
        <f aca="false">(18+18)*1.05</f>
        <v>37.8</v>
      </c>
      <c r="P33" s="199" t="n">
        <v>0</v>
      </c>
      <c r="Q33" s="167" t="n">
        <f aca="false">1.75*1.02</f>
        <v>1.785</v>
      </c>
      <c r="R33" s="312" t="n">
        <v>3.95</v>
      </c>
      <c r="S33" s="312" t="n">
        <v>0</v>
      </c>
      <c r="T33" s="356" t="n">
        <v>0</v>
      </c>
      <c r="U33" s="132" t="n">
        <v>0</v>
      </c>
      <c r="V33" s="132" t="n">
        <v>0</v>
      </c>
      <c r="W33" s="132" t="n">
        <f aca="false">M33-N33-O33-P33-Q33-R33-S33-T33+U33+V33</f>
        <v>-4.419797</v>
      </c>
      <c r="X33" s="132" t="n">
        <f aca="false">W33-AO33-AD33</f>
        <v>-4.419797</v>
      </c>
      <c r="Y33" s="104" t="n">
        <f aca="false">Y32+(X33*1.9835)</f>
        <v>108608.429282557</v>
      </c>
      <c r="Z33" s="104" t="n">
        <f aca="false">Z32+X33*(26300/37500)*1.9835+(AD33*1.9835)</f>
        <v>108328.233672368</v>
      </c>
      <c r="AA33" s="104"/>
      <c r="AB33" s="104"/>
      <c r="AC33" s="104"/>
      <c r="AD33" s="104" t="n">
        <v>0</v>
      </c>
      <c r="AE33" s="132" t="n">
        <v>0</v>
      </c>
      <c r="AF33" s="135" t="n">
        <v>1.7</v>
      </c>
      <c r="AG33" s="136" t="n">
        <v>1.3</v>
      </c>
      <c r="AH33" s="132" t="n">
        <v>37</v>
      </c>
      <c r="AI33" s="104" t="n">
        <f aca="false">AI32-AH33</f>
        <v>5118.25787748929</v>
      </c>
      <c r="AJ33" s="104"/>
      <c r="AK33" s="131" t="n">
        <f aca="false">N33+O33+P33+Q33+R33+S33+T33+W33+AE33+AH33</f>
        <v>78</v>
      </c>
      <c r="AL33" s="132" t="n">
        <f aca="false">IF(L33&lt;0,L33*-1,0)</f>
        <v>17.2911520040333</v>
      </c>
      <c r="AM33" s="132" t="n">
        <f aca="false">AK33+AL33</f>
        <v>95.2911520040333</v>
      </c>
      <c r="AN33" s="203" t="n">
        <f aca="false">AN32</f>
        <v>14904.787655</v>
      </c>
      <c r="AO33" s="133"/>
      <c r="AP33" s="133"/>
      <c r="AQ33" s="199" t="n">
        <f aca="false">20*(AA32*1.9835+AC32*1.9835+AD32*1.9835)/E33</f>
        <v>0</v>
      </c>
      <c r="AR33" s="199"/>
      <c r="AS33" s="104"/>
      <c r="AT33" s="9"/>
      <c r="AU33" s="166" t="n">
        <f aca="false">O33</f>
        <v>37.8</v>
      </c>
      <c r="AV33" s="327" t="n">
        <v>0</v>
      </c>
      <c r="AW33" s="204" t="n">
        <v>59</v>
      </c>
      <c r="AX33" s="134" t="n">
        <v>41</v>
      </c>
      <c r="AY33" s="303"/>
      <c r="AZ33" s="233" t="n">
        <f aca="false">SUM(N33,P33:T33)</f>
        <v>7.619797</v>
      </c>
    </row>
    <row r="34" customFormat="false" ht="12.95" hidden="false" customHeight="true" outlineLevel="0" collapsed="false">
      <c r="A34" s="171" t="n">
        <f aca="false">A33+1</f>
        <v>21</v>
      </c>
      <c r="B34" s="103" t="n">
        <v>6893.56</v>
      </c>
      <c r="C34" s="104" t="n">
        <v>260428</v>
      </c>
      <c r="D34" s="134" t="n">
        <f aca="false">C34-C33</f>
        <v>-35</v>
      </c>
      <c r="E34" s="104" t="n">
        <f aca="false">C34-152000</f>
        <v>108428</v>
      </c>
      <c r="F34" s="229" t="n">
        <f aca="false">D34/$D$2</f>
        <v>-17.6455760020166</v>
      </c>
      <c r="G34" s="132" t="n">
        <v>60</v>
      </c>
      <c r="H34" s="538" t="n">
        <v>0</v>
      </c>
      <c r="I34" s="132" t="n">
        <f aca="false">G34+H34</f>
        <v>60</v>
      </c>
      <c r="J34" s="133" t="n">
        <f aca="false">IF(L34&gt;0,L34,0)</f>
        <v>15.3544239979834</v>
      </c>
      <c r="K34" s="132" t="n">
        <f aca="false">I34+J34</f>
        <v>75.3544239979834</v>
      </c>
      <c r="L34" s="132" t="n">
        <f aca="false">F34-(I34-AK34)</f>
        <v>15.3544239979834</v>
      </c>
      <c r="M34" s="231" t="n">
        <v>56</v>
      </c>
      <c r="N34" s="199" t="n">
        <f aca="false">1.8299*1.03</f>
        <v>1.884797</v>
      </c>
      <c r="O34" s="132" t="n">
        <f aca="false">(24+22)*1.05</f>
        <v>48.3</v>
      </c>
      <c r="P34" s="199" t="n">
        <v>0</v>
      </c>
      <c r="Q34" s="167" t="n">
        <f aca="false">1.75*1.02</f>
        <v>1.785</v>
      </c>
      <c r="R34" s="312" t="n">
        <v>3.95</v>
      </c>
      <c r="S34" s="312" t="n">
        <v>0</v>
      </c>
      <c r="T34" s="356" t="n">
        <v>0</v>
      </c>
      <c r="U34" s="132" t="n">
        <v>0</v>
      </c>
      <c r="V34" s="132" t="n">
        <v>0</v>
      </c>
      <c r="W34" s="132" t="n">
        <f aca="false">M34-N34-O34-P34-Q34-R34-S34-T34+U34+V34</f>
        <v>0.0802029999999965</v>
      </c>
      <c r="X34" s="132" t="n">
        <f aca="false">W34-AO34-AD34</f>
        <v>0.0802029999999965</v>
      </c>
      <c r="Y34" s="104" t="n">
        <f aca="false">Y33+(X34*1.9835)</f>
        <v>108608.588365207</v>
      </c>
      <c r="Z34" s="104" t="n">
        <f aca="false">Z33+X34*(26300/37500)*1.9835+(AD34*1.9835)</f>
        <v>108328.345242333</v>
      </c>
      <c r="AA34" s="104"/>
      <c r="AB34" s="104"/>
      <c r="AC34" s="104"/>
      <c r="AD34" s="104" t="n">
        <v>0</v>
      </c>
      <c r="AE34" s="132" t="n">
        <v>0</v>
      </c>
      <c r="AF34" s="135" t="n">
        <v>1.7</v>
      </c>
      <c r="AG34" s="136" t="n">
        <v>1.3</v>
      </c>
      <c r="AH34" s="132" t="n">
        <v>37</v>
      </c>
      <c r="AI34" s="104" t="n">
        <f aca="false">AI33-AH34</f>
        <v>5081.25787748929</v>
      </c>
      <c r="AJ34" s="104"/>
      <c r="AK34" s="131" t="n">
        <f aca="false">N34+O34+P34+Q34+R34+S34+T34+W34+AE34+AH34</f>
        <v>93</v>
      </c>
      <c r="AL34" s="132" t="n">
        <f aca="false">IF(L34&lt;0,L34*-1,0)</f>
        <v>0</v>
      </c>
      <c r="AM34" s="132" t="n">
        <f aca="false">AK34+AL34</f>
        <v>93</v>
      </c>
      <c r="AN34" s="203" t="n">
        <f aca="false">AN33</f>
        <v>14904.787655</v>
      </c>
      <c r="AO34" s="133"/>
      <c r="AP34" s="133"/>
      <c r="AQ34" s="199" t="n">
        <f aca="false">20*(AA33*1.9835+AC33*1.9835+AD33*1.9835)/E34</f>
        <v>0</v>
      </c>
      <c r="AR34" s="199"/>
      <c r="AS34" s="104"/>
      <c r="AT34" s="9"/>
      <c r="AU34" s="166" t="n">
        <f aca="false">O34</f>
        <v>48.3</v>
      </c>
      <c r="AV34" s="327" t="n">
        <v>0</v>
      </c>
      <c r="AW34" s="134" t="n">
        <v>55</v>
      </c>
      <c r="AX34" s="134" t="n">
        <v>39</v>
      </c>
      <c r="AY34" s="303"/>
      <c r="AZ34" s="233" t="n">
        <f aca="false">SUM(N34,P34:T34)</f>
        <v>7.619797</v>
      </c>
    </row>
    <row r="35" customFormat="false" ht="12.95" hidden="false" customHeight="true" outlineLevel="0" collapsed="false">
      <c r="A35" s="171" t="n">
        <f aca="false">A34+1</f>
        <v>22</v>
      </c>
      <c r="B35" s="103" t="n">
        <v>6893.53</v>
      </c>
      <c r="C35" s="104" t="n">
        <v>260323</v>
      </c>
      <c r="D35" s="134" t="n">
        <f aca="false">C35-C34</f>
        <v>-105</v>
      </c>
      <c r="E35" s="104" t="n">
        <f aca="false">C35-152000</f>
        <v>108323</v>
      </c>
      <c r="F35" s="229" t="n">
        <f aca="false">D35/$D$2</f>
        <v>-52.9367280060499</v>
      </c>
      <c r="G35" s="132" t="n">
        <v>60</v>
      </c>
      <c r="H35" s="538" t="n">
        <v>0</v>
      </c>
      <c r="I35" s="132" t="n">
        <f aca="false">G35+H35</f>
        <v>60</v>
      </c>
      <c r="J35" s="133" t="n">
        <f aca="false">IF(L35&gt;0,L35,0)</f>
        <v>0</v>
      </c>
      <c r="K35" s="132" t="n">
        <f aca="false">I35+J35</f>
        <v>60</v>
      </c>
      <c r="L35" s="132" t="n">
        <f aca="false">F35-(I35-AK35)</f>
        <v>-28.9367280060499</v>
      </c>
      <c r="M35" s="231" t="n">
        <v>47</v>
      </c>
      <c r="N35" s="199" t="n">
        <f aca="false">1.8299*1.03</f>
        <v>1.884797</v>
      </c>
      <c r="O35" s="132" t="n">
        <f aca="false">(21+20)*1.05</f>
        <v>43.05</v>
      </c>
      <c r="P35" s="199" t="n">
        <v>0</v>
      </c>
      <c r="Q35" s="167" t="n">
        <f aca="false">1.75*1.02</f>
        <v>1.785</v>
      </c>
      <c r="R35" s="312" t="n">
        <v>3.95</v>
      </c>
      <c r="S35" s="312" t="n">
        <v>0</v>
      </c>
      <c r="T35" s="356" t="n">
        <v>0</v>
      </c>
      <c r="U35" s="132" t="n">
        <v>0</v>
      </c>
      <c r="V35" s="132" t="n">
        <v>0</v>
      </c>
      <c r="W35" s="132" t="n">
        <f aca="false">M35-N35-O35-P35-Q35-R35-S35-T35+U35+V35</f>
        <v>-3.669797</v>
      </c>
      <c r="X35" s="132" t="n">
        <f aca="false">W35-AO35-AD35</f>
        <v>-3.669797</v>
      </c>
      <c r="Y35" s="104" t="n">
        <f aca="false">Y34+(X35*1.9835)</f>
        <v>108601.309322858</v>
      </c>
      <c r="Z35" s="104" t="n">
        <f aca="false">Z34+X35*(26300/37500)*1.9835+(AD35*1.9835)</f>
        <v>108323.240207299</v>
      </c>
      <c r="AA35" s="104"/>
      <c r="AB35" s="104"/>
      <c r="AC35" s="104"/>
      <c r="AD35" s="104" t="n">
        <v>0</v>
      </c>
      <c r="AE35" s="132" t="n">
        <v>0</v>
      </c>
      <c r="AF35" s="135" t="n">
        <v>1.7</v>
      </c>
      <c r="AG35" s="136" t="n">
        <v>1.3</v>
      </c>
      <c r="AH35" s="132" t="n">
        <v>37</v>
      </c>
      <c r="AI35" s="104" t="n">
        <f aca="false">AI34-AH35</f>
        <v>5044.25787748929</v>
      </c>
      <c r="AJ35" s="104"/>
      <c r="AK35" s="131" t="n">
        <f aca="false">N35+O35+P35+Q35+R35+S35+T35+W35+AE35+AH35</f>
        <v>84</v>
      </c>
      <c r="AL35" s="132" t="n">
        <f aca="false">IF(L35&lt;0,L35*-1,0)</f>
        <v>28.9367280060499</v>
      </c>
      <c r="AM35" s="132" t="n">
        <f aca="false">AK35+AL35</f>
        <v>112.93672800605</v>
      </c>
      <c r="AN35" s="203" t="n">
        <f aca="false">AN34</f>
        <v>14904.787655</v>
      </c>
      <c r="AO35" s="133"/>
      <c r="AP35" s="133"/>
      <c r="AQ35" s="199" t="n">
        <f aca="false">20*(AA34*1.9835+AC34*1.9835+AD34*1.9835)/E35</f>
        <v>0</v>
      </c>
      <c r="AR35" s="199"/>
      <c r="AS35" s="104"/>
      <c r="AT35" s="9"/>
      <c r="AU35" s="166" t="n">
        <f aca="false">O35</f>
        <v>43.05</v>
      </c>
      <c r="AV35" s="327" t="n">
        <v>0</v>
      </c>
      <c r="AW35" s="134" t="n">
        <v>55</v>
      </c>
      <c r="AX35" s="134" t="n">
        <v>34</v>
      </c>
      <c r="AY35" s="303"/>
      <c r="AZ35" s="233" t="n">
        <f aca="false">SUM(N35,P35:T35)</f>
        <v>7.619797</v>
      </c>
    </row>
    <row r="36" customFormat="false" ht="12.95" hidden="false" customHeight="true" outlineLevel="0" collapsed="false">
      <c r="A36" s="171" t="n">
        <f aca="false">A35+1</f>
        <v>23</v>
      </c>
      <c r="B36" s="103" t="n">
        <v>6893.5</v>
      </c>
      <c r="C36" s="104" t="n">
        <v>260218</v>
      </c>
      <c r="D36" s="134" t="n">
        <f aca="false">C36-C35</f>
        <v>-105</v>
      </c>
      <c r="E36" s="104" t="n">
        <f aca="false">C36-152000</f>
        <v>108218</v>
      </c>
      <c r="F36" s="229" t="n">
        <f aca="false">D36/$D$2</f>
        <v>-52.9367280060499</v>
      </c>
      <c r="G36" s="132" t="n">
        <v>58</v>
      </c>
      <c r="H36" s="538" t="n">
        <v>0</v>
      </c>
      <c r="I36" s="132" t="n">
        <f aca="false">G36+H36</f>
        <v>58</v>
      </c>
      <c r="J36" s="133" t="n">
        <f aca="false">IF(L36&gt;0,L36,0)</f>
        <v>0</v>
      </c>
      <c r="K36" s="132" t="n">
        <f aca="false">I36+J36</f>
        <v>58</v>
      </c>
      <c r="L36" s="132" t="n">
        <f aca="false">F36-(I36-AK36)</f>
        <v>-17.9367280060499</v>
      </c>
      <c r="M36" s="231" t="n">
        <v>56</v>
      </c>
      <c r="N36" s="199" t="n">
        <f aca="false">1.8299*1.03</f>
        <v>1.884797</v>
      </c>
      <c r="O36" s="132" t="n">
        <f aca="false">(22+20)*1.05</f>
        <v>44.1</v>
      </c>
      <c r="P36" s="199" t="n">
        <v>0</v>
      </c>
      <c r="Q36" s="167" t="n">
        <f aca="false">1.75*1.02</f>
        <v>1.785</v>
      </c>
      <c r="R36" s="312" t="n">
        <v>3.95</v>
      </c>
      <c r="S36" s="312" t="n">
        <v>0</v>
      </c>
      <c r="T36" s="356" t="n">
        <v>0</v>
      </c>
      <c r="U36" s="132" t="n">
        <v>0</v>
      </c>
      <c r="V36" s="132" t="n">
        <v>0</v>
      </c>
      <c r="W36" s="132" t="n">
        <f aca="false">M36-N36-O36-P36-Q36-R36-S36-T36+U36+V36</f>
        <v>4.280203</v>
      </c>
      <c r="X36" s="132" t="n">
        <f aca="false">W36-AO36-AD36</f>
        <v>4.280203</v>
      </c>
      <c r="Y36" s="104" t="n">
        <f aca="false">Y35+(X36*1.9835)</f>
        <v>108609.799105508</v>
      </c>
      <c r="Z36" s="104" t="n">
        <f aca="false">Z35+X36*(26300/37500)*1.9835+(AD36*1.9835)</f>
        <v>108329.194374865</v>
      </c>
      <c r="AA36" s="104"/>
      <c r="AB36" s="104"/>
      <c r="AC36" s="104"/>
      <c r="AD36" s="104" t="n">
        <v>0</v>
      </c>
      <c r="AE36" s="132" t="n">
        <v>0</v>
      </c>
      <c r="AF36" s="135" t="n">
        <v>1.7</v>
      </c>
      <c r="AG36" s="136" t="n">
        <v>1.3</v>
      </c>
      <c r="AH36" s="132" t="n">
        <v>37</v>
      </c>
      <c r="AI36" s="104" t="n">
        <f aca="false">AI35-AH36</f>
        <v>5007.25787748929</v>
      </c>
      <c r="AJ36" s="104"/>
      <c r="AK36" s="131" t="n">
        <f aca="false">N36+O36+P36+Q36+R36+S36+T36+W36+AE36+AH36</f>
        <v>93</v>
      </c>
      <c r="AL36" s="132" t="n">
        <f aca="false">IF(L36&lt;0,L36*-1,0)</f>
        <v>17.9367280060499</v>
      </c>
      <c r="AM36" s="132" t="n">
        <f aca="false">AK36+AL36</f>
        <v>110.93672800605</v>
      </c>
      <c r="AN36" s="203" t="n">
        <f aca="false">AN35</f>
        <v>14904.787655</v>
      </c>
      <c r="AO36" s="133"/>
      <c r="AP36" s="133"/>
      <c r="AQ36" s="199" t="n">
        <f aca="false">20*(AA35*1.9835+AC35*1.9835+AD35*1.9835)/E36</f>
        <v>0</v>
      </c>
      <c r="AR36" s="199"/>
      <c r="AS36" s="104"/>
      <c r="AT36" s="9"/>
      <c r="AU36" s="166" t="n">
        <f aca="false">O36</f>
        <v>44.1</v>
      </c>
      <c r="AV36" s="327" t="n">
        <v>0</v>
      </c>
      <c r="AW36" s="134" t="n">
        <v>60</v>
      </c>
      <c r="AX36" s="204" t="n">
        <v>32</v>
      </c>
      <c r="AY36" s="303"/>
      <c r="AZ36" s="233" t="n">
        <f aca="false">SUM(N36,P36:T36)</f>
        <v>7.619797</v>
      </c>
    </row>
    <row r="37" customFormat="false" ht="12.95" hidden="false" customHeight="true" outlineLevel="0" collapsed="false">
      <c r="A37" s="171" t="n">
        <f aca="false">A36+1</f>
        <v>24</v>
      </c>
      <c r="B37" s="103" t="n">
        <v>6893.47</v>
      </c>
      <c r="C37" s="104" t="n">
        <v>260113</v>
      </c>
      <c r="D37" s="134" t="n">
        <f aca="false">C37-C36</f>
        <v>-105</v>
      </c>
      <c r="E37" s="104" t="n">
        <f aca="false">C37-152000</f>
        <v>108113</v>
      </c>
      <c r="F37" s="229" t="n">
        <f aca="false">D37/$D$2</f>
        <v>-52.9367280060499</v>
      </c>
      <c r="G37" s="132" t="n">
        <v>54</v>
      </c>
      <c r="H37" s="538" t="n">
        <v>0</v>
      </c>
      <c r="I37" s="132" t="n">
        <f aca="false">G37+H37</f>
        <v>54</v>
      </c>
      <c r="J37" s="133" t="n">
        <f aca="false">IF(L37&gt;0,L37,0)</f>
        <v>0</v>
      </c>
      <c r="K37" s="132" t="n">
        <f aca="false">I37+J37</f>
        <v>54</v>
      </c>
      <c r="L37" s="132" t="n">
        <f aca="false">F37-(I37-AK37)</f>
        <v>-15.9367280060499</v>
      </c>
      <c r="M37" s="231" t="n">
        <v>54</v>
      </c>
      <c r="N37" s="199" t="n">
        <f aca="false">1.8299*1.03</f>
        <v>1.884797</v>
      </c>
      <c r="O37" s="132" t="n">
        <f aca="false">(22+21)*1.05</f>
        <v>45.15</v>
      </c>
      <c r="P37" s="199" t="n">
        <v>0</v>
      </c>
      <c r="Q37" s="167" t="n">
        <f aca="false">1.75*1.02</f>
        <v>1.785</v>
      </c>
      <c r="R37" s="312" t="n">
        <v>3.95</v>
      </c>
      <c r="S37" s="312" t="n">
        <v>0</v>
      </c>
      <c r="T37" s="356" t="n">
        <v>0</v>
      </c>
      <c r="U37" s="132" t="n">
        <v>0</v>
      </c>
      <c r="V37" s="132" t="n">
        <v>0</v>
      </c>
      <c r="W37" s="132" t="n">
        <f aca="false">M37-N37-O37-P37-Q37-R37-S37-T37+U37+V37</f>
        <v>1.230203</v>
      </c>
      <c r="X37" s="132" t="n">
        <f aca="false">W37-AO37-AD37</f>
        <v>1.230203</v>
      </c>
      <c r="Y37" s="104" t="n">
        <f aca="false">Y36+(X37*1.9835)</f>
        <v>108612.239213159</v>
      </c>
      <c r="Z37" s="104" t="n">
        <f aca="false">Z36+X37*(26300/37500)*1.9835+(AD37*1.9835)</f>
        <v>108330.905703697</v>
      </c>
      <c r="AA37" s="104"/>
      <c r="AB37" s="104"/>
      <c r="AC37" s="104"/>
      <c r="AD37" s="104" t="n">
        <v>0</v>
      </c>
      <c r="AE37" s="132" t="n">
        <v>0</v>
      </c>
      <c r="AF37" s="135" t="n">
        <v>1.7</v>
      </c>
      <c r="AG37" s="136" t="n">
        <v>1.3</v>
      </c>
      <c r="AH37" s="132" t="n">
        <v>37</v>
      </c>
      <c r="AI37" s="104" t="n">
        <f aca="false">AI36-AH37</f>
        <v>4970.25787748929</v>
      </c>
      <c r="AJ37" s="104"/>
      <c r="AK37" s="131" t="n">
        <f aca="false">N37+O37+P37+Q37+R37+S37+T37+W37+AE37+AH37</f>
        <v>91</v>
      </c>
      <c r="AL37" s="132" t="n">
        <f aca="false">IF(L37&lt;0,L37*-1,0)</f>
        <v>15.9367280060499</v>
      </c>
      <c r="AM37" s="132" t="n">
        <f aca="false">AK37+AL37</f>
        <v>106.93672800605</v>
      </c>
      <c r="AN37" s="203" t="n">
        <f aca="false">AN36</f>
        <v>14904.787655</v>
      </c>
      <c r="AO37" s="133"/>
      <c r="AP37" s="133"/>
      <c r="AQ37" s="199" t="n">
        <f aca="false">20*(AA36*1.9835+AC36*1.9835+AD36*1.9835)/E37</f>
        <v>0</v>
      </c>
      <c r="AR37" s="199"/>
      <c r="AS37" s="104"/>
      <c r="AT37" s="9"/>
      <c r="AU37" s="166" t="n">
        <f aca="false">O37</f>
        <v>45.15</v>
      </c>
      <c r="AV37" s="327" t="n">
        <v>0</v>
      </c>
      <c r="AW37" s="134" t="n">
        <v>59</v>
      </c>
      <c r="AX37" s="204" t="n">
        <v>35</v>
      </c>
      <c r="AY37" s="303"/>
      <c r="AZ37" s="233" t="n">
        <f aca="false">SUM(N37,P37:T37)</f>
        <v>7.619797</v>
      </c>
    </row>
    <row r="38" customFormat="false" ht="12.95" hidden="false" customHeight="true" outlineLevel="0" collapsed="false">
      <c r="A38" s="171" t="n">
        <v>25</v>
      </c>
      <c r="B38" s="103" t="n">
        <v>6893.44</v>
      </c>
      <c r="C38" s="104" t="n">
        <v>260008</v>
      </c>
      <c r="D38" s="134" t="n">
        <f aca="false">C38-C37</f>
        <v>-105</v>
      </c>
      <c r="E38" s="104" t="n">
        <f aca="false">C38-152000</f>
        <v>108008</v>
      </c>
      <c r="F38" s="229" t="n">
        <f aca="false">D38/$D$2</f>
        <v>-52.9367280060499</v>
      </c>
      <c r="G38" s="132" t="n">
        <v>52</v>
      </c>
      <c r="H38" s="538" t="n">
        <v>0</v>
      </c>
      <c r="I38" s="132" t="n">
        <f aca="false">G38+H38</f>
        <v>52</v>
      </c>
      <c r="J38" s="133" t="n">
        <f aca="false">IF(L38&gt;0,L38,0)</f>
        <v>0</v>
      </c>
      <c r="K38" s="132" t="n">
        <f aca="false">I38+J38</f>
        <v>52</v>
      </c>
      <c r="L38" s="132" t="n">
        <f aca="false">F38-(I38-AK38)</f>
        <v>-22.8367280060499</v>
      </c>
      <c r="M38" s="231" t="n">
        <v>42</v>
      </c>
      <c r="N38" s="199" t="n">
        <f aca="false">1.8299*1.03</f>
        <v>1.884797</v>
      </c>
      <c r="O38" s="132" t="n">
        <f aca="false">(16+16)*1.05</f>
        <v>33.6</v>
      </c>
      <c r="P38" s="199" t="n">
        <v>0</v>
      </c>
      <c r="Q38" s="167" t="n">
        <f aca="false">1.75*1.02</f>
        <v>1.785</v>
      </c>
      <c r="R38" s="312" t="n">
        <v>3.95</v>
      </c>
      <c r="S38" s="312" t="n">
        <v>0</v>
      </c>
      <c r="T38" s="356" t="n">
        <v>0</v>
      </c>
      <c r="U38" s="132" t="n">
        <v>3.1</v>
      </c>
      <c r="V38" s="132" t="n">
        <v>0</v>
      </c>
      <c r="W38" s="132" t="n">
        <f aca="false">M38-N38-O38-P38-Q38-R38-S38-T38+U38+V38</f>
        <v>3.880203</v>
      </c>
      <c r="X38" s="132" t="n">
        <f aca="false">W38-AO38-AD38</f>
        <v>-0.419797</v>
      </c>
      <c r="Y38" s="104" t="n">
        <f aca="false">Y37+(X38*1.9835)</f>
        <v>108611.406545809</v>
      </c>
      <c r="Z38" s="104" t="n">
        <f aca="false">Z37+X38*(26300/37500)*1.9835+(AD38*1.9835)</f>
        <v>108330.321726329</v>
      </c>
      <c r="AA38" s="104"/>
      <c r="AB38" s="104"/>
      <c r="AC38" s="104"/>
      <c r="AD38" s="104" t="n">
        <v>0</v>
      </c>
      <c r="AE38" s="132" t="n">
        <v>0</v>
      </c>
      <c r="AF38" s="135" t="n">
        <v>1.7</v>
      </c>
      <c r="AG38" s="136" t="n">
        <v>1.3</v>
      </c>
      <c r="AH38" s="132" t="n">
        <v>37</v>
      </c>
      <c r="AI38" s="104" t="n">
        <f aca="false">AI37-AH38</f>
        <v>4933.25787748929</v>
      </c>
      <c r="AJ38" s="104"/>
      <c r="AK38" s="131" t="n">
        <f aca="false">N38+O38+P38+Q38+R38+S38+T38+W38+AE38+AH38</f>
        <v>82.1</v>
      </c>
      <c r="AL38" s="132" t="n">
        <f aca="false">IF(L38&lt;0,L38*-1,0)</f>
        <v>22.8367280060499</v>
      </c>
      <c r="AM38" s="132" t="n">
        <f aca="false">AK38+AL38</f>
        <v>104.93672800605</v>
      </c>
      <c r="AN38" s="203" t="n">
        <f aca="false">AN37</f>
        <v>14904.787655</v>
      </c>
      <c r="AO38" s="133" t="n">
        <v>4.3</v>
      </c>
      <c r="AP38" s="133"/>
      <c r="AQ38" s="199" t="n">
        <f aca="false">20*(AA37*1.9835+AC37*1.9835+AD37*1.9835)/E38</f>
        <v>0</v>
      </c>
      <c r="AR38" s="199"/>
      <c r="AS38" s="104"/>
      <c r="AT38" s="9"/>
      <c r="AU38" s="166" t="n">
        <f aca="false">O38</f>
        <v>33.6</v>
      </c>
      <c r="AV38" s="327" t="n">
        <v>0</v>
      </c>
      <c r="AW38" s="134" t="n">
        <v>53</v>
      </c>
      <c r="AX38" s="204" t="n">
        <v>31</v>
      </c>
      <c r="AY38" s="303"/>
      <c r="AZ38" s="233" t="n">
        <f aca="false">SUM(N38,P38:T38)</f>
        <v>7.619797</v>
      </c>
    </row>
    <row r="39" customFormat="false" ht="12.95" hidden="false" customHeight="true" outlineLevel="0" collapsed="false">
      <c r="A39" s="171" t="n">
        <v>26</v>
      </c>
      <c r="B39" s="103" t="n">
        <v>6893.4</v>
      </c>
      <c r="C39" s="104" t="n">
        <v>259868</v>
      </c>
      <c r="D39" s="134" t="n">
        <f aca="false">C39-C38</f>
        <v>-140</v>
      </c>
      <c r="E39" s="104" t="n">
        <f aca="false">C39-152000</f>
        <v>107868</v>
      </c>
      <c r="F39" s="229" t="n">
        <f aca="false">D39/$D$2</f>
        <v>-70.5823040080665</v>
      </c>
      <c r="G39" s="132" t="n">
        <v>51</v>
      </c>
      <c r="H39" s="538" t="n">
        <v>0</v>
      </c>
      <c r="I39" s="132" t="n">
        <f aca="false">G39+H39</f>
        <v>51</v>
      </c>
      <c r="J39" s="133" t="n">
        <f aca="false">IF(L39&gt;0,L39,0)</f>
        <v>0</v>
      </c>
      <c r="K39" s="132" t="n">
        <f aca="false">I39+J39</f>
        <v>51</v>
      </c>
      <c r="L39" s="132" t="n">
        <f aca="false">F39-(I39-AK39)</f>
        <v>-26.0823040080665</v>
      </c>
      <c r="M39" s="231" t="n">
        <v>53</v>
      </c>
      <c r="N39" s="199" t="n">
        <f aca="false">1.8299*1.03</f>
        <v>1.884797</v>
      </c>
      <c r="O39" s="132" t="n">
        <f aca="false">(15+14)*1.05</f>
        <v>30.45</v>
      </c>
      <c r="P39" s="199" t="n">
        <v>0</v>
      </c>
      <c r="Q39" s="167" t="n">
        <f aca="false">1.75*1.02</f>
        <v>1.785</v>
      </c>
      <c r="R39" s="312" t="n">
        <v>3.95</v>
      </c>
      <c r="S39" s="312" t="n">
        <v>0</v>
      </c>
      <c r="T39" s="356" t="n">
        <v>0</v>
      </c>
      <c r="U39" s="132" t="n">
        <v>5.5</v>
      </c>
      <c r="V39" s="132" t="n">
        <v>0</v>
      </c>
      <c r="W39" s="132" t="n">
        <f aca="false">M39-N39-O39-P39-Q39-R39-S39-T39+U39+V39</f>
        <v>20.430203</v>
      </c>
      <c r="X39" s="132" t="n">
        <f aca="false">W39-AO39-AD39</f>
        <v>-8.369797</v>
      </c>
      <c r="Y39" s="104" t="n">
        <f aca="false">Y38+(X39*1.9835)</f>
        <v>108594.80505346</v>
      </c>
      <c r="Z39" s="104" t="n">
        <f aca="false">Z38+X39*(26300/37500)*1.9835+(AD39*1.9835)</f>
        <v>108318.678546361</v>
      </c>
      <c r="AA39" s="104"/>
      <c r="AB39" s="104"/>
      <c r="AC39" s="104"/>
      <c r="AD39" s="104" t="n">
        <v>0</v>
      </c>
      <c r="AE39" s="132" t="n">
        <v>0</v>
      </c>
      <c r="AF39" s="135" t="n">
        <v>1.7</v>
      </c>
      <c r="AG39" s="136" t="n">
        <v>1.3</v>
      </c>
      <c r="AH39" s="132" t="n">
        <v>37</v>
      </c>
      <c r="AI39" s="104" t="n">
        <f aca="false">AI38-AH39</f>
        <v>4896.25787748929</v>
      </c>
      <c r="AJ39" s="104"/>
      <c r="AK39" s="131" t="n">
        <f aca="false">N39+O39+P39+Q39+R39+S39+T39+W39+AE39+AH39</f>
        <v>95.5</v>
      </c>
      <c r="AL39" s="132" t="n">
        <f aca="false">IF(L39&lt;0,L39*-1,0)</f>
        <v>26.0823040080665</v>
      </c>
      <c r="AM39" s="132" t="n">
        <f aca="false">AK39+AL39</f>
        <v>121.582304008067</v>
      </c>
      <c r="AN39" s="203" t="n">
        <f aca="false">AN38</f>
        <v>14904.787655</v>
      </c>
      <c r="AO39" s="133" t="n">
        <f aca="false">4.9+23.9</f>
        <v>28.8</v>
      </c>
      <c r="AP39" s="133"/>
      <c r="AQ39" s="199" t="n">
        <f aca="false">20*(AA38*1.9835+AC38*1.9835+AD38*1.9835)/E39</f>
        <v>0</v>
      </c>
      <c r="AR39" s="199"/>
      <c r="AS39" s="104"/>
      <c r="AT39" s="9"/>
      <c r="AU39" s="166" t="n">
        <f aca="false">O39</f>
        <v>30.45</v>
      </c>
      <c r="AV39" s="327" t="n">
        <v>0</v>
      </c>
      <c r="AW39" s="134" t="n">
        <v>52</v>
      </c>
      <c r="AX39" s="204" t="n">
        <v>22</v>
      </c>
      <c r="AY39" s="303"/>
      <c r="AZ39" s="233" t="n">
        <f aca="false">SUM(N39,P39:T39)</f>
        <v>7.619797</v>
      </c>
    </row>
    <row r="40" customFormat="false" ht="12.95" hidden="false" customHeight="true" outlineLevel="0" collapsed="false">
      <c r="A40" s="171" t="n">
        <v>27</v>
      </c>
      <c r="B40" s="103" t="n">
        <v>6893.37</v>
      </c>
      <c r="C40" s="104" t="n">
        <v>259763</v>
      </c>
      <c r="D40" s="134" t="n">
        <f aca="false">C40-C39</f>
        <v>-105</v>
      </c>
      <c r="E40" s="104" t="n">
        <f aca="false">C40-152000</f>
        <v>107763</v>
      </c>
      <c r="F40" s="229" t="n">
        <f aca="false">D40/$D$2</f>
        <v>-52.9367280060499</v>
      </c>
      <c r="G40" s="132" t="n">
        <v>46</v>
      </c>
      <c r="H40" s="538" t="n">
        <v>0</v>
      </c>
      <c r="I40" s="132" t="n">
        <f aca="false">G40+H40</f>
        <v>46</v>
      </c>
      <c r="J40" s="133" t="n">
        <f aca="false">IF(L40&gt;0,L40,0)</f>
        <v>0</v>
      </c>
      <c r="K40" s="132" t="n">
        <f aca="false">I40+J40</f>
        <v>46</v>
      </c>
      <c r="L40" s="132" t="n">
        <f aca="false">F40-(I40-AK40)</f>
        <v>-19.9367280060499</v>
      </c>
      <c r="M40" s="231" t="n">
        <v>42</v>
      </c>
      <c r="N40" s="199" t="n">
        <f aca="false">1.8299*1.03</f>
        <v>1.884797</v>
      </c>
      <c r="O40" s="132" t="n">
        <f aca="false">(11+9.4)*1.05</f>
        <v>21.42</v>
      </c>
      <c r="P40" s="199" t="n">
        <v>0</v>
      </c>
      <c r="Q40" s="167" t="n">
        <f aca="false">1.75*1.02</f>
        <v>1.785</v>
      </c>
      <c r="R40" s="312" t="n">
        <v>3.95</v>
      </c>
      <c r="S40" s="312" t="n">
        <v>0</v>
      </c>
      <c r="T40" s="356" t="n">
        <v>0</v>
      </c>
      <c r="U40" s="132" t="n">
        <v>0</v>
      </c>
      <c r="V40" s="132" t="n">
        <v>0</v>
      </c>
      <c r="W40" s="132" t="n">
        <f aca="false">M40-N40-O40-P40-Q40-R40-S40-T40+U40+V40</f>
        <v>12.960203</v>
      </c>
      <c r="X40" s="132" t="n">
        <f aca="false">W40-AO40-AD40</f>
        <v>-14.839797</v>
      </c>
      <c r="Y40" s="104" t="n">
        <f aca="false">Y39+(X40*1.9835)</f>
        <v>108565.37031611</v>
      </c>
      <c r="Z40" s="104" t="n">
        <f aca="false">Z39+X40*(26300/37500)*1.9835+(AD40*1.9835)</f>
        <v>108298.0349839</v>
      </c>
      <c r="AA40" s="104"/>
      <c r="AB40" s="104"/>
      <c r="AC40" s="104"/>
      <c r="AD40" s="104" t="n">
        <v>0</v>
      </c>
      <c r="AE40" s="132" t="n">
        <v>0</v>
      </c>
      <c r="AF40" s="135" t="n">
        <v>1.7</v>
      </c>
      <c r="AG40" s="136" t="n">
        <v>1.3</v>
      </c>
      <c r="AH40" s="132" t="n">
        <v>37</v>
      </c>
      <c r="AI40" s="104" t="n">
        <f aca="false">AI39-AH40</f>
        <v>4859.25787748929</v>
      </c>
      <c r="AJ40" s="104"/>
      <c r="AK40" s="131" t="n">
        <f aca="false">N40+O40+P40+Q40+R40+S40+T40+W40+AE40+AH40</f>
        <v>79</v>
      </c>
      <c r="AL40" s="132" t="n">
        <f aca="false">IF(L40&lt;0,L40*-1,0)</f>
        <v>19.9367280060499</v>
      </c>
      <c r="AM40" s="132" t="n">
        <f aca="false">AK40+AL40</f>
        <v>98.9367280060499</v>
      </c>
      <c r="AN40" s="203" t="n">
        <f aca="false">AN39</f>
        <v>14904.787655</v>
      </c>
      <c r="AO40" s="133" t="n">
        <v>27.8</v>
      </c>
      <c r="AP40" s="133"/>
      <c r="AQ40" s="199" t="n">
        <f aca="false">20*(AA39*1.9835+AC39*1.9835+AD39*1.9835)/E40</f>
        <v>0</v>
      </c>
      <c r="AR40" s="199"/>
      <c r="AS40" s="104"/>
      <c r="AT40" s="9"/>
      <c r="AU40" s="166" t="n">
        <f aca="false">O40</f>
        <v>21.42</v>
      </c>
      <c r="AV40" s="327" t="n">
        <v>0</v>
      </c>
      <c r="AW40" s="134" t="n">
        <v>53</v>
      </c>
      <c r="AX40" s="204" t="n">
        <v>28</v>
      </c>
      <c r="AY40" s="303"/>
      <c r="AZ40" s="233" t="n">
        <f aca="false">SUM(N40,P40:T40)</f>
        <v>7.619797</v>
      </c>
    </row>
    <row r="41" customFormat="false" ht="12.95" hidden="false" customHeight="true" outlineLevel="0" collapsed="false">
      <c r="A41" s="171" t="n">
        <v>28</v>
      </c>
      <c r="B41" s="103" t="n">
        <v>6893.4</v>
      </c>
      <c r="C41" s="104" t="n">
        <v>259868</v>
      </c>
      <c r="D41" s="134" t="n">
        <f aca="false">C41-C40</f>
        <v>105</v>
      </c>
      <c r="E41" s="104" t="n">
        <f aca="false">C41-152000</f>
        <v>107868</v>
      </c>
      <c r="F41" s="229" t="n">
        <f aca="false">D41/$D$2</f>
        <v>52.9367280060499</v>
      </c>
      <c r="G41" s="132" t="n">
        <v>51</v>
      </c>
      <c r="H41" s="538" t="n">
        <v>0</v>
      </c>
      <c r="I41" s="132" t="n">
        <f aca="false">G41+H41</f>
        <v>51</v>
      </c>
      <c r="J41" s="133" t="n">
        <f aca="false">IF(L41&gt;0,L41,0)</f>
        <v>72.9367280060499</v>
      </c>
      <c r="K41" s="132" t="n">
        <f aca="false">I41+J41</f>
        <v>123.93672800605</v>
      </c>
      <c r="L41" s="132" t="n">
        <f aca="false">F41-(I41-AK41)</f>
        <v>72.9367280060499</v>
      </c>
      <c r="M41" s="231" t="n">
        <v>34</v>
      </c>
      <c r="N41" s="199" t="n">
        <f aca="false">1.8299*1.03</f>
        <v>1.884797</v>
      </c>
      <c r="O41" s="132" t="n">
        <f aca="false">(4.5+4.7)*1.05</f>
        <v>9.66</v>
      </c>
      <c r="P41" s="199" t="n">
        <v>0</v>
      </c>
      <c r="Q41" s="167" t="n">
        <f aca="false">1.75*1.02</f>
        <v>1.785</v>
      </c>
      <c r="R41" s="312" t="n">
        <v>3.95</v>
      </c>
      <c r="S41" s="312" t="n">
        <v>0</v>
      </c>
      <c r="T41" s="356" t="n">
        <v>0</v>
      </c>
      <c r="U41" s="132" t="n">
        <v>0</v>
      </c>
      <c r="V41" s="132" t="n">
        <v>0</v>
      </c>
      <c r="W41" s="132" t="n">
        <f aca="false">M41-N41-O41-P41-Q41-R41-S41-T41+U41+V41</f>
        <v>16.720203</v>
      </c>
      <c r="X41" s="132" t="n">
        <f aca="false">W41-AO41-AD41</f>
        <v>-12.279797</v>
      </c>
      <c r="Y41" s="104" t="n">
        <f aca="false">Y40+(X41*1.9835)</f>
        <v>108541.013338761</v>
      </c>
      <c r="Z41" s="104" t="n">
        <f aca="false">Z40+X41*(26300/37500)*1.9835+(AD41*1.9835)</f>
        <v>108280.952623786</v>
      </c>
      <c r="AA41" s="104"/>
      <c r="AB41" s="104"/>
      <c r="AC41" s="104"/>
      <c r="AD41" s="104" t="n">
        <v>0</v>
      </c>
      <c r="AE41" s="132" t="n">
        <v>0</v>
      </c>
      <c r="AF41" s="135" t="n">
        <v>1.7</v>
      </c>
      <c r="AG41" s="136" t="n">
        <v>1.3</v>
      </c>
      <c r="AH41" s="132" t="n">
        <v>37</v>
      </c>
      <c r="AI41" s="104" t="n">
        <f aca="false">AI40-AH41</f>
        <v>4822.25787748929</v>
      </c>
      <c r="AJ41" s="104"/>
      <c r="AK41" s="131" t="n">
        <f aca="false">N41+O41+P41+Q41+R41+S41+T41+W41+AE41+AH41</f>
        <v>71</v>
      </c>
      <c r="AL41" s="132" t="n">
        <f aca="false">IF(L41&lt;0,L41*-1,0)</f>
        <v>0</v>
      </c>
      <c r="AM41" s="132" t="n">
        <f aca="false">AK41+AL41</f>
        <v>71</v>
      </c>
      <c r="AN41" s="203" t="n">
        <f aca="false">AN40</f>
        <v>14904.787655</v>
      </c>
      <c r="AO41" s="133" t="n">
        <v>29</v>
      </c>
      <c r="AP41" s="133"/>
      <c r="AQ41" s="199" t="n">
        <f aca="false">20*(AA40*1.9835+AC40*1.9835+AD40*1.9835)/E41</f>
        <v>0</v>
      </c>
      <c r="AR41" s="199"/>
      <c r="AS41" s="104"/>
      <c r="AT41" s="9"/>
      <c r="AU41" s="166" t="n">
        <f aca="false">O41</f>
        <v>9.66</v>
      </c>
      <c r="AV41" s="327" t="n">
        <v>0.08</v>
      </c>
      <c r="AW41" s="134" t="n">
        <v>33</v>
      </c>
      <c r="AX41" s="204" t="n">
        <v>19</v>
      </c>
      <c r="AY41" s="303"/>
      <c r="AZ41" s="233" t="n">
        <f aca="false">SUM(N41,P41:T41)</f>
        <v>7.619797</v>
      </c>
    </row>
    <row r="42" customFormat="false" ht="12.95" hidden="false" customHeight="true" outlineLevel="0" collapsed="false">
      <c r="A42" s="171" t="n">
        <v>29</v>
      </c>
      <c r="B42" s="103" t="n">
        <v>6893.35</v>
      </c>
      <c r="C42" s="104" t="n">
        <v>259693</v>
      </c>
      <c r="D42" s="134" t="n">
        <f aca="false">C42-C41</f>
        <v>-175</v>
      </c>
      <c r="E42" s="104" t="n">
        <f aca="false">C42-152000</f>
        <v>107693</v>
      </c>
      <c r="F42" s="229" t="n">
        <f aca="false">D42/$D$2</f>
        <v>-88.2278800100832</v>
      </c>
      <c r="G42" s="132" t="n">
        <v>44</v>
      </c>
      <c r="H42" s="538" t="n">
        <v>0</v>
      </c>
      <c r="I42" s="132" t="n">
        <f aca="false">G42+H42</f>
        <v>44</v>
      </c>
      <c r="J42" s="133" t="n">
        <f aca="false">IF(L42&gt;0,L42,0)</f>
        <v>0</v>
      </c>
      <c r="K42" s="132" t="n">
        <f aca="false">I42+J42</f>
        <v>44</v>
      </c>
      <c r="L42" s="132" t="n">
        <f aca="false">F42-(I42-AK42)</f>
        <v>-55.2278800100832</v>
      </c>
      <c r="M42" s="231" t="n">
        <v>19</v>
      </c>
      <c r="N42" s="199" t="n">
        <v>0.95</v>
      </c>
      <c r="O42" s="132" t="n">
        <f aca="false">(0+0)*1.05</f>
        <v>0</v>
      </c>
      <c r="P42" s="199" t="n">
        <v>0</v>
      </c>
      <c r="Q42" s="167" t="n">
        <f aca="false">1.75*1.02</f>
        <v>1.785</v>
      </c>
      <c r="R42" s="312" t="n">
        <v>3.95</v>
      </c>
      <c r="S42" s="312" t="n">
        <v>0</v>
      </c>
      <c r="T42" s="356" t="n">
        <v>0</v>
      </c>
      <c r="U42" s="132" t="n">
        <v>21</v>
      </c>
      <c r="V42" s="132" t="n">
        <v>0</v>
      </c>
      <c r="W42" s="132" t="n">
        <f aca="false">M42-N42-O42-P42-Q42-R42-S42-T42+U42+V42</f>
        <v>33.315</v>
      </c>
      <c r="X42" s="132" t="n">
        <f aca="false">W42-AO42-AD42</f>
        <v>-7.685</v>
      </c>
      <c r="Y42" s="104" t="n">
        <f aca="false">Y41+(X42*1.9835)</f>
        <v>108525.770141261</v>
      </c>
      <c r="Z42" s="104" t="n">
        <f aca="false">Z41+X42*(26300/37500)*1.9835+(AD42*1.9835)</f>
        <v>108270.262061272</v>
      </c>
      <c r="AA42" s="104"/>
      <c r="AB42" s="104"/>
      <c r="AC42" s="104"/>
      <c r="AD42" s="104" t="n">
        <v>0</v>
      </c>
      <c r="AE42" s="132" t="n">
        <v>0</v>
      </c>
      <c r="AF42" s="135" t="n">
        <v>1.7</v>
      </c>
      <c r="AG42" s="136" t="n">
        <v>1.3</v>
      </c>
      <c r="AH42" s="132" t="n">
        <v>37</v>
      </c>
      <c r="AI42" s="104" t="n">
        <f aca="false">AI41-AH42</f>
        <v>4785.25787748929</v>
      </c>
      <c r="AJ42" s="104"/>
      <c r="AK42" s="131" t="n">
        <f aca="false">N42+O42+P42+Q42+R42+S42+T42+W42+AE42+AH42</f>
        <v>77</v>
      </c>
      <c r="AL42" s="132" t="n">
        <f aca="false">IF(L42&lt;0,L42*-1,0)</f>
        <v>55.2278800100832</v>
      </c>
      <c r="AM42" s="132" t="n">
        <f aca="false">AK42+AL42</f>
        <v>132.227880010083</v>
      </c>
      <c r="AN42" s="203" t="n">
        <f aca="false">AN41</f>
        <v>14904.787655</v>
      </c>
      <c r="AO42" s="133" t="n">
        <v>41</v>
      </c>
      <c r="AP42" s="133"/>
      <c r="AQ42" s="199" t="n">
        <f aca="false">20*(AA41*1.9835+AC41*1.9835+AD41*1.9835)/E42</f>
        <v>0</v>
      </c>
      <c r="AR42" s="199"/>
      <c r="AS42" s="104"/>
      <c r="AT42" s="9"/>
      <c r="AU42" s="166" t="n">
        <f aca="false">O42</f>
        <v>0</v>
      </c>
      <c r="AV42" s="327" t="n">
        <v>0</v>
      </c>
      <c r="AW42" s="134" t="n">
        <v>31</v>
      </c>
      <c r="AX42" s="204" t="n">
        <v>18</v>
      </c>
      <c r="AY42" s="303"/>
      <c r="AZ42" s="233" t="n">
        <f aca="false">SUM(N42,P42:T42)</f>
        <v>6.685</v>
      </c>
    </row>
    <row r="43" customFormat="false" ht="12.95" hidden="false" customHeight="true" outlineLevel="0" collapsed="false">
      <c r="A43" s="171" t="n">
        <v>30</v>
      </c>
      <c r="B43" s="103" t="n">
        <v>6893.29</v>
      </c>
      <c r="C43" s="104" t="n">
        <v>259483</v>
      </c>
      <c r="D43" s="134" t="n">
        <f aca="false">C43-C42</f>
        <v>-210</v>
      </c>
      <c r="E43" s="104" t="n">
        <f aca="false">C43-152000</f>
        <v>107483</v>
      </c>
      <c r="F43" s="229" t="n">
        <f aca="false">D43/$D$2</f>
        <v>-105.8734560121</v>
      </c>
      <c r="G43" s="132" t="n">
        <v>37</v>
      </c>
      <c r="H43" s="538" t="n">
        <v>0</v>
      </c>
      <c r="I43" s="132" t="n">
        <f aca="false">G43+H43</f>
        <v>37</v>
      </c>
      <c r="J43" s="133" t="n">
        <f aca="false">IF(L43&gt;0,L43,0)</f>
        <v>0</v>
      </c>
      <c r="K43" s="132" t="n">
        <f aca="false">I43+J43</f>
        <v>37</v>
      </c>
      <c r="L43" s="132" t="n">
        <f aca="false">F43-(I43-AK43)</f>
        <v>-45.1734560120998</v>
      </c>
      <c r="M43" s="231" t="n">
        <v>5.7</v>
      </c>
      <c r="N43" s="199" t="n">
        <v>0</v>
      </c>
      <c r="O43" s="132" t="n">
        <v>0</v>
      </c>
      <c r="P43" s="199" t="n">
        <v>0</v>
      </c>
      <c r="Q43" s="167" t="n">
        <f aca="false">1.75*1.02</f>
        <v>1.785</v>
      </c>
      <c r="R43" s="312" t="n">
        <v>3.95</v>
      </c>
      <c r="S43" s="312" t="n">
        <v>0</v>
      </c>
      <c r="T43" s="356" t="n">
        <f aca="false">M43-(Q43+R43+S43)</f>
        <v>-0.0350000000000001</v>
      </c>
      <c r="U43" s="132" t="n">
        <v>55</v>
      </c>
      <c r="V43" s="132" t="n">
        <v>0</v>
      </c>
      <c r="W43" s="132" t="n">
        <f aca="false">M43-N43-O43-P43-Q43-R43-S43-T43+U43+V43</f>
        <v>55</v>
      </c>
      <c r="X43" s="132" t="n">
        <f aca="false">W43-AO43-AD43</f>
        <v>0</v>
      </c>
      <c r="Y43" s="104" t="n">
        <f aca="false">Y42+(X43*1.9835)</f>
        <v>108525.770141261</v>
      </c>
      <c r="Z43" s="104" t="n">
        <f aca="false">Z42+X43*(26300/37500)*1.9835+(AD43*1.9835)</f>
        <v>108270.262061272</v>
      </c>
      <c r="AA43" s="104"/>
      <c r="AB43" s="104"/>
      <c r="AC43" s="104"/>
      <c r="AD43" s="104" t="n">
        <v>0</v>
      </c>
      <c r="AE43" s="132" t="n">
        <v>0</v>
      </c>
      <c r="AF43" s="135" t="n">
        <v>1.7</v>
      </c>
      <c r="AG43" s="136" t="n">
        <v>1.3</v>
      </c>
      <c r="AH43" s="132" t="n">
        <v>37</v>
      </c>
      <c r="AI43" s="104" t="n">
        <f aca="false">AI42-AH43</f>
        <v>4748.25787748929</v>
      </c>
      <c r="AJ43" s="104"/>
      <c r="AK43" s="131" t="n">
        <f aca="false">N43+O43+P43+Q43+R43+S43+T43+W43+AE43+AH43</f>
        <v>97.7</v>
      </c>
      <c r="AL43" s="132" t="n">
        <f aca="false">IF(L43&lt;0,L43*-1,0)</f>
        <v>45.1734560120998</v>
      </c>
      <c r="AM43" s="132" t="n">
        <f aca="false">AK43+AL43</f>
        <v>142.8734560121</v>
      </c>
      <c r="AN43" s="203" t="n">
        <f aca="false">AN42</f>
        <v>14904.787655</v>
      </c>
      <c r="AO43" s="133" t="n">
        <f aca="false">W43</f>
        <v>55</v>
      </c>
      <c r="AP43" s="133"/>
      <c r="AQ43" s="199" t="n">
        <f aca="false">20*(AA42*1.9835+AC42*1.9835+AD42*1.9835)/E43</f>
        <v>0</v>
      </c>
      <c r="AR43" s="199"/>
      <c r="AS43" s="104"/>
      <c r="AT43" s="9"/>
      <c r="AU43" s="166" t="n">
        <f aca="false">O43</f>
        <v>0</v>
      </c>
      <c r="AV43" s="327" t="n">
        <v>0</v>
      </c>
      <c r="AW43" s="134" t="n">
        <v>45</v>
      </c>
      <c r="AX43" s="204" t="n">
        <v>20</v>
      </c>
      <c r="AY43" s="303"/>
      <c r="AZ43" s="233" t="n">
        <f aca="false">SUM(N43,P43:T43)</f>
        <v>5.7</v>
      </c>
    </row>
    <row r="44" customFormat="false" ht="12.95" hidden="false" customHeight="true" outlineLevel="0" collapsed="false">
      <c r="A44" s="171" t="n">
        <v>31</v>
      </c>
      <c r="B44" s="103" t="n">
        <v>6893.25</v>
      </c>
      <c r="C44" s="104" t="n">
        <v>259343</v>
      </c>
      <c r="D44" s="134" t="n">
        <f aca="false">C44-C43</f>
        <v>-140</v>
      </c>
      <c r="E44" s="104" t="n">
        <f aca="false">C44-152000</f>
        <v>107343</v>
      </c>
      <c r="F44" s="229" t="n">
        <f aca="false">D44/$D$2</f>
        <v>-70.5823040080665</v>
      </c>
      <c r="G44" s="132" t="n">
        <v>57</v>
      </c>
      <c r="H44" s="538" t="n">
        <v>0</v>
      </c>
      <c r="I44" s="132" t="n">
        <f aca="false">G44+H44</f>
        <v>57</v>
      </c>
      <c r="J44" s="133" t="n">
        <f aca="false">IF(L44&gt;0,L44,0)</f>
        <v>0</v>
      </c>
      <c r="K44" s="132" t="n">
        <f aca="false">I44+J44</f>
        <v>57</v>
      </c>
      <c r="L44" s="132" t="n">
        <f aca="false">F44-(I44-AK44)</f>
        <v>-30.6023040080666</v>
      </c>
      <c r="M44" s="231" t="n">
        <v>4.08</v>
      </c>
      <c r="N44" s="199" t="n">
        <v>0</v>
      </c>
      <c r="O44" s="132" t="n">
        <v>0</v>
      </c>
      <c r="P44" s="199" t="n">
        <v>0</v>
      </c>
      <c r="Q44" s="167" t="n">
        <f aca="false">1.75*1.02</f>
        <v>1.785</v>
      </c>
      <c r="R44" s="312" t="n">
        <v>3.95</v>
      </c>
      <c r="S44" s="312" t="n">
        <v>0</v>
      </c>
      <c r="T44" s="356" t="n">
        <f aca="false">M44-(Q44+R44+S44)</f>
        <v>-1.655</v>
      </c>
      <c r="U44" s="132" t="n">
        <v>51</v>
      </c>
      <c r="V44" s="132" t="n">
        <v>4.9</v>
      </c>
      <c r="W44" s="132" t="n">
        <f aca="false">M44-N44-O44-P44-Q44-R44-S44-T44+U44+V44</f>
        <v>55.9</v>
      </c>
      <c r="X44" s="132" t="n">
        <f aca="false">W44-AO44-AD44</f>
        <v>0</v>
      </c>
      <c r="Y44" s="104" t="n">
        <f aca="false">Y43+(X44*1.9835)</f>
        <v>108525.770141261</v>
      </c>
      <c r="Z44" s="104" t="n">
        <f aca="false">Z43+X44*(26300/37500)*1.9835+(AD44*1.9835)</f>
        <v>108270.262061272</v>
      </c>
      <c r="AA44" s="104"/>
      <c r="AB44" s="104"/>
      <c r="AC44" s="104"/>
      <c r="AD44" s="104" t="n">
        <v>0</v>
      </c>
      <c r="AE44" s="132" t="n">
        <v>0</v>
      </c>
      <c r="AF44" s="135" t="n">
        <v>1.7</v>
      </c>
      <c r="AG44" s="136" t="n">
        <v>1.3</v>
      </c>
      <c r="AH44" s="132" t="n">
        <v>37</v>
      </c>
      <c r="AI44" s="104" t="n">
        <f aca="false">AI43-AH44</f>
        <v>4711.25787748929</v>
      </c>
      <c r="AJ44" s="104"/>
      <c r="AK44" s="131" t="n">
        <f aca="false">N44+O44+P44+Q44+R44+S44+T44+W44+AE44+AH44</f>
        <v>96.98</v>
      </c>
      <c r="AL44" s="132" t="n">
        <f aca="false">IF(L44&lt;0,L44*-1,0)</f>
        <v>30.6023040080666</v>
      </c>
      <c r="AM44" s="132" t="n">
        <f aca="false">AK44+AL44</f>
        <v>127.582304008067</v>
      </c>
      <c r="AN44" s="203" t="n">
        <f aca="false">AN43</f>
        <v>14904.787655</v>
      </c>
      <c r="AO44" s="133" t="n">
        <f aca="false">W44</f>
        <v>55.9</v>
      </c>
      <c r="AP44" s="133"/>
      <c r="AQ44" s="199" t="n">
        <f aca="false">20*(AA43*1.9835+AC43*1.9835+AD43*1.9835)/E44</f>
        <v>0</v>
      </c>
      <c r="AR44" s="199"/>
      <c r="AS44" s="104"/>
      <c r="AT44" s="9"/>
      <c r="AU44" s="166" t="n">
        <f aca="false">O44</f>
        <v>0</v>
      </c>
      <c r="AV44" s="327" t="n">
        <v>0</v>
      </c>
      <c r="AW44" s="134" t="n">
        <v>56</v>
      </c>
      <c r="AX44" s="204" t="n">
        <v>25</v>
      </c>
      <c r="AY44" s="303"/>
      <c r="AZ44" s="233" t="n">
        <f aca="false">SUM(N44,P44:T44)</f>
        <v>4.08</v>
      </c>
    </row>
    <row r="45" customFormat="false" ht="3" hidden="false" customHeight="true" outlineLevel="0" collapsed="false">
      <c r="A45" s="214"/>
      <c r="B45" s="235"/>
      <c r="C45" s="216"/>
      <c r="D45" s="217"/>
      <c r="E45" s="216"/>
      <c r="F45" s="218"/>
      <c r="G45" s="217"/>
      <c r="H45" s="537"/>
      <c r="I45" s="217"/>
      <c r="J45" s="217"/>
      <c r="K45" s="217"/>
      <c r="L45" s="217"/>
      <c r="M45" s="220" t="n">
        <v>0</v>
      </c>
      <c r="N45" s="217"/>
      <c r="O45" s="217"/>
      <c r="P45" s="221"/>
      <c r="Q45" s="217"/>
      <c r="R45" s="217"/>
      <c r="S45" s="217"/>
      <c r="T45" s="222"/>
      <c r="U45" s="217"/>
      <c r="V45" s="217" t="n">
        <v>0</v>
      </c>
      <c r="W45" s="217"/>
      <c r="X45" s="217"/>
      <c r="Y45" s="217"/>
      <c r="Z45" s="217"/>
      <c r="AA45" s="216"/>
      <c r="AB45" s="216"/>
      <c r="AC45" s="216"/>
      <c r="AD45" s="216"/>
      <c r="AE45" s="217"/>
      <c r="AF45" s="220"/>
      <c r="AG45" s="225"/>
      <c r="AH45" s="217"/>
      <c r="AI45" s="217"/>
      <c r="AJ45" s="217"/>
      <c r="AK45" s="217"/>
      <c r="AL45" s="217"/>
      <c r="AM45" s="217"/>
      <c r="AN45" s="226"/>
      <c r="AO45" s="224"/>
      <c r="AP45" s="224"/>
      <c r="AQ45" s="221"/>
      <c r="AR45" s="221"/>
      <c r="AS45" s="223"/>
      <c r="AT45" s="223"/>
      <c r="AU45" s="223"/>
      <c r="AV45" s="481"/>
      <c r="AW45" s="223"/>
      <c r="AX45" s="223"/>
      <c r="AY45" s="240"/>
      <c r="AZ45" s="323"/>
    </row>
    <row r="46" customFormat="false" ht="12.95" hidden="false" customHeight="true" outlineLevel="0" collapsed="false">
      <c r="A46" s="173" t="s">
        <v>91</v>
      </c>
      <c r="B46" s="196"/>
      <c r="C46" s="104"/>
      <c r="D46" s="104"/>
      <c r="E46" s="104"/>
      <c r="F46" s="197" t="n">
        <f aca="false">SUM(F14:F44)</f>
        <v>-2728.51020922612</v>
      </c>
      <c r="G46" s="104" t="n">
        <f aca="false">SUM(G14:G44)</f>
        <v>1761</v>
      </c>
      <c r="H46" s="134" t="n">
        <f aca="false">SUM(H14:H44)</f>
        <v>0</v>
      </c>
      <c r="I46" s="104" t="n">
        <f aca="false">SUM(I14:I44)</f>
        <v>1761</v>
      </c>
      <c r="J46" s="104" t="n">
        <f aca="false">SUM(J14:J44)</f>
        <v>135.158558104361</v>
      </c>
      <c r="K46" s="104" t="n">
        <f aca="false">SUM(K14:K44)</f>
        <v>1896.15855810436</v>
      </c>
      <c r="L46" s="104" t="n">
        <f aca="false">SUM(L14:L44)</f>
        <v>-460.950209226115</v>
      </c>
      <c r="M46" s="198" t="n">
        <f aca="false">SUM(M14:M44)</f>
        <v>1515.78</v>
      </c>
      <c r="N46" s="104" t="n">
        <f aca="false">SUM(N14:N44)</f>
        <v>53.724316</v>
      </c>
      <c r="O46" s="104" t="n">
        <f aca="false">SUM(O14:O44)</f>
        <v>712.635</v>
      </c>
      <c r="P46" s="199" t="n">
        <f aca="false">SUM(P14:P44)</f>
        <v>0</v>
      </c>
      <c r="Q46" s="104" t="n">
        <f aca="false">SUM(Q14:Q44)</f>
        <v>55.335</v>
      </c>
      <c r="R46" s="104" t="n">
        <f aca="false">SUM(R14:R44)</f>
        <v>122.67</v>
      </c>
      <c r="S46" s="104" t="n">
        <f aca="false">SUM(S14:S44)</f>
        <v>0.38</v>
      </c>
      <c r="T46" s="200" t="n">
        <f aca="false">SUM(T14:T44)</f>
        <v>-1.69</v>
      </c>
      <c r="U46" s="104" t="n">
        <f aca="false">SUM(U14:U44)</f>
        <v>947.88</v>
      </c>
      <c r="V46" s="104" t="n">
        <f aca="false">SUM(V14:V44)</f>
        <v>287.9</v>
      </c>
      <c r="W46" s="104" t="n">
        <f aca="false">SUM(W14:W44)</f>
        <v>1808.505684</v>
      </c>
      <c r="X46" s="104" t="n">
        <f aca="false">SUM(X14:X44)</f>
        <v>572.089263</v>
      </c>
      <c r="Y46" s="104"/>
      <c r="Z46" s="104"/>
      <c r="AA46" s="104"/>
      <c r="AB46" s="104"/>
      <c r="AC46" s="104"/>
      <c r="AD46" s="105" t="n">
        <f aca="false">SUM(AD14:AD44)</f>
        <v>994.616421</v>
      </c>
      <c r="AE46" s="104" t="n">
        <f aca="false">SUM(AE14:AE44)</f>
        <v>0</v>
      </c>
      <c r="AF46" s="198"/>
      <c r="AG46" s="201"/>
      <c r="AH46" s="104" t="n">
        <f aca="false">SUM(AH14:AH44)</f>
        <v>1277</v>
      </c>
      <c r="AI46" s="104"/>
      <c r="AJ46" s="104" t="n">
        <f aca="false">SUM(AJ14:AJ44)</f>
        <v>0</v>
      </c>
      <c r="AK46" s="104" t="n">
        <f aca="false">SUM(AK14:AK44)</f>
        <v>4028.56</v>
      </c>
      <c r="AL46" s="104" t="n">
        <f aca="false">SUM(AL14:AL44)</f>
        <v>596.108767330476</v>
      </c>
      <c r="AM46" s="104" t="n">
        <f aca="false">SUM(AM14:AM44)</f>
        <v>4624.66876733048</v>
      </c>
      <c r="AN46" s="203"/>
      <c r="AO46" s="133" t="n">
        <f aca="false">SUM(AO14:AO44)</f>
        <v>241.8</v>
      </c>
      <c r="AP46" s="133"/>
      <c r="AQ46" s="199"/>
      <c r="AR46" s="199"/>
      <c r="AS46" s="134" t="n">
        <f aca="false">SUM(AS14:AS44)</f>
        <v>0</v>
      </c>
      <c r="AT46" s="9"/>
      <c r="AU46" s="134" t="n">
        <f aca="false">SUM(AU14:AU44)</f>
        <v>712.635</v>
      </c>
      <c r="AV46" s="327" t="n">
        <f aca="false">SUM(AV14:AV44)</f>
        <v>0.23</v>
      </c>
      <c r="AW46" s="134" t="n">
        <f aca="false">AVERAGE(AW14:AW44)</f>
        <v>58.1935483870968</v>
      </c>
      <c r="AX46" s="134" t="n">
        <f aca="false">AVERAGE(AX14:AX44)</f>
        <v>33.7741935483871</v>
      </c>
      <c r="AY46" s="206" t="s">
        <v>113</v>
      </c>
      <c r="AZ46" s="341" t="n">
        <f aca="false">SUM(AZ14:AZ44)</f>
        <v>230.419316</v>
      </c>
    </row>
    <row r="47" customFormat="false" ht="12.95" hidden="false" customHeight="true" outlineLevel="0" collapsed="false">
      <c r="A47" s="173" t="s">
        <v>93</v>
      </c>
      <c r="B47" s="196"/>
      <c r="C47" s="104"/>
      <c r="D47" s="104" t="n">
        <f aca="false">SUM(D14:D44)</f>
        <v>-5412</v>
      </c>
      <c r="E47" s="104"/>
      <c r="F47" s="197" t="n">
        <f aca="false">F46*$D$2</f>
        <v>-5412</v>
      </c>
      <c r="G47" s="104" t="n">
        <f aca="false">G46*$D$2</f>
        <v>3492.9435</v>
      </c>
      <c r="H47" s="134" t="n">
        <f aca="false">H46*$D$2</f>
        <v>0</v>
      </c>
      <c r="I47" s="104" t="n">
        <f aca="false">I46*$D$2</f>
        <v>3492.9435</v>
      </c>
      <c r="J47" s="104" t="n">
        <f aca="false">J46*$D$2</f>
        <v>268.087</v>
      </c>
      <c r="K47" s="104" t="n">
        <f aca="false">K46*$D$2</f>
        <v>3761.0305</v>
      </c>
      <c r="L47" s="104" t="n">
        <f aca="false">L46*$D$2</f>
        <v>-914.29474</v>
      </c>
      <c r="M47" s="198" t="n">
        <f aca="false">M46*$D$2</f>
        <v>3006.54963</v>
      </c>
      <c r="N47" s="104" t="n">
        <f aca="false">N46*$D$2</f>
        <v>106.562180786</v>
      </c>
      <c r="O47" s="104" t="n">
        <f aca="false">O46*$D$2</f>
        <v>1413.5115225</v>
      </c>
      <c r="P47" s="199" t="n">
        <f aca="false">P46*$D$2</f>
        <v>0</v>
      </c>
      <c r="Q47" s="104" t="n">
        <f aca="false">Q46*$D$2</f>
        <v>109.7569725</v>
      </c>
      <c r="R47" s="104" t="n">
        <f aca="false">R46*$D$2</f>
        <v>243.315945</v>
      </c>
      <c r="S47" s="104" t="n">
        <f aca="false">S46*$D$2</f>
        <v>0.75373</v>
      </c>
      <c r="T47" s="200" t="n">
        <f aca="false">T46*$D$2</f>
        <v>-3.352115</v>
      </c>
      <c r="U47" s="104" t="n">
        <f aca="false">U46*$D$2</f>
        <v>1880.11998</v>
      </c>
      <c r="V47" s="104" t="n">
        <f aca="false">V46*$D$2</f>
        <v>571.04965</v>
      </c>
      <c r="W47" s="104" t="n">
        <f aca="false">W46*$D$2</f>
        <v>3587.171024214</v>
      </c>
      <c r="X47" s="104" t="n">
        <f aca="false">X46*$D$2</f>
        <v>1134.7390531605</v>
      </c>
      <c r="Y47" s="104"/>
      <c r="Z47" s="104"/>
      <c r="AA47" s="104"/>
      <c r="AB47" s="104"/>
      <c r="AC47" s="104"/>
      <c r="AD47" s="105" t="n">
        <f aca="false">AD46*$D$2</f>
        <v>1972.8216710535</v>
      </c>
      <c r="AE47" s="104" t="n">
        <f aca="false">AE46*$D$2</f>
        <v>0</v>
      </c>
      <c r="AF47" s="198"/>
      <c r="AG47" s="201"/>
      <c r="AH47" s="104" t="n">
        <f aca="false">AH46*$D$2</f>
        <v>2532.9295</v>
      </c>
      <c r="AI47" s="104"/>
      <c r="AJ47" s="104" t="n">
        <f aca="false">AJ46*$D$2</f>
        <v>0</v>
      </c>
      <c r="AK47" s="104" t="n">
        <f aca="false">AK46*$D$2</f>
        <v>7990.64876</v>
      </c>
      <c r="AL47" s="104" t="n">
        <f aca="false">AL46*$D$2</f>
        <v>1182.38174</v>
      </c>
      <c r="AM47" s="104" t="n">
        <f aca="false">AM46*$D$2</f>
        <v>9173.0305</v>
      </c>
      <c r="AN47" s="203"/>
      <c r="AO47" s="133"/>
      <c r="AP47" s="133"/>
      <c r="AQ47" s="199" t="n">
        <f aca="false">SUM(AQ14:AQ44)</f>
        <v>5.86064637392374</v>
      </c>
      <c r="AR47" s="199"/>
      <c r="AS47" s="134" t="n">
        <f aca="false">AS46*$D$2</f>
        <v>0</v>
      </c>
      <c r="AT47" s="9"/>
      <c r="AU47" s="134" t="n">
        <f aca="false">AU46*$D$2</f>
        <v>1413.5115225</v>
      </c>
      <c r="AV47" s="327"/>
      <c r="AW47" s="134" t="n">
        <f aca="false">MAX(AW14:AW44)</f>
        <v>72</v>
      </c>
      <c r="AX47" s="134" t="n">
        <f aca="false">MAX(AX14:AX44)</f>
        <v>48</v>
      </c>
      <c r="AY47" s="206" t="s">
        <v>94</v>
      </c>
      <c r="AZ47" s="341" t="n">
        <f aca="false">AZ46*$D$2</f>
        <v>457.036713286</v>
      </c>
    </row>
    <row r="48" customFormat="false" ht="3" hidden="false" customHeight="true" outlineLevel="0" collapsed="false">
      <c r="A48" s="214"/>
      <c r="B48" s="235"/>
      <c r="C48" s="216"/>
      <c r="D48" s="216"/>
      <c r="E48" s="216"/>
      <c r="F48" s="240"/>
      <c r="G48" s="216"/>
      <c r="H48" s="223"/>
      <c r="I48" s="216"/>
      <c r="J48" s="216"/>
      <c r="K48" s="216"/>
      <c r="L48" s="216"/>
      <c r="M48" s="241"/>
      <c r="N48" s="216"/>
      <c r="O48" s="216"/>
      <c r="P48" s="221"/>
      <c r="Q48" s="216"/>
      <c r="R48" s="216"/>
      <c r="S48" s="216"/>
      <c r="T48" s="222"/>
      <c r="U48" s="216"/>
      <c r="V48" s="216"/>
      <c r="W48" s="216"/>
      <c r="X48" s="216"/>
      <c r="Y48" s="216"/>
      <c r="Z48" s="216"/>
      <c r="AA48" s="216"/>
      <c r="AB48" s="216"/>
      <c r="AC48" s="216"/>
      <c r="AD48" s="276"/>
      <c r="AE48" s="216"/>
      <c r="AF48" s="241"/>
      <c r="AG48" s="242"/>
      <c r="AH48" s="216"/>
      <c r="AI48" s="217"/>
      <c r="AJ48" s="216"/>
      <c r="AK48" s="216"/>
      <c r="AL48" s="216"/>
      <c r="AM48" s="216"/>
      <c r="AN48" s="243"/>
      <c r="AO48" s="224"/>
      <c r="AP48" s="224"/>
      <c r="AQ48" s="221"/>
      <c r="AR48" s="221"/>
      <c r="AS48" s="223"/>
      <c r="AT48" s="223"/>
      <c r="AU48" s="223"/>
      <c r="AV48" s="243"/>
      <c r="AW48" s="216"/>
      <c r="AX48" s="216"/>
      <c r="AY48" s="240"/>
      <c r="AZ48" s="323"/>
    </row>
    <row r="49" customFormat="false" ht="12.95" hidden="false" customHeight="true" outlineLevel="0" collapsed="false">
      <c r="A49" s="173" t="s">
        <v>95</v>
      </c>
      <c r="B49" s="196"/>
      <c r="C49" s="104"/>
      <c r="D49" s="104"/>
      <c r="E49" s="104"/>
      <c r="F49" s="197" t="n">
        <f aca="false">F11+F46</f>
        <v>-12071.0864633224</v>
      </c>
      <c r="G49" s="104" t="n">
        <f aca="false">G11+G46</f>
        <v>124183</v>
      </c>
      <c r="H49" s="134" t="n">
        <f aca="false">H11+H46</f>
        <v>4354.76</v>
      </c>
      <c r="I49" s="104" t="n">
        <f aca="false">I11+I46</f>
        <v>128537.76</v>
      </c>
      <c r="J49" s="104" t="n">
        <f aca="false">J11+J46</f>
        <v>10414.5655608772</v>
      </c>
      <c r="K49" s="104" t="n">
        <f aca="false">K11+K46</f>
        <v>138952.325560877</v>
      </c>
      <c r="L49" s="104" t="n">
        <f aca="false">L11+L46</f>
        <v>6805.43353667759</v>
      </c>
      <c r="M49" s="198" t="n">
        <f aca="false">M11+M46</f>
        <v>46978.28</v>
      </c>
      <c r="N49" s="104" t="n">
        <f aca="false">N11+N46</f>
        <v>398.642167</v>
      </c>
      <c r="O49" s="104" t="n">
        <f aca="false">O11+O46</f>
        <v>14293.2447</v>
      </c>
      <c r="P49" s="199" t="n">
        <f aca="false">P11+P46</f>
        <v>7.365</v>
      </c>
      <c r="Q49" s="104"/>
      <c r="R49" s="104"/>
      <c r="S49" s="104"/>
      <c r="T49" s="200"/>
      <c r="U49" s="104" t="n">
        <f aca="false">U11+U46</f>
        <v>22334.18</v>
      </c>
      <c r="V49" s="104" t="n">
        <f aca="false">V11+V46</f>
        <v>12186.9</v>
      </c>
      <c r="W49" s="104" t="n">
        <f aca="false">W11+W46</f>
        <v>64598.240438</v>
      </c>
      <c r="X49" s="104" t="n">
        <f aca="false">X11+X46</f>
        <v>47336.792883</v>
      </c>
      <c r="Y49" s="104"/>
      <c r="Z49" s="104"/>
      <c r="AA49" s="104" t="n">
        <f aca="false">AA28</f>
        <v>0</v>
      </c>
      <c r="AB49" s="104"/>
      <c r="AC49" s="104"/>
      <c r="AD49" s="105" t="n">
        <f aca="false">AD11+AD46</f>
        <v>16540.039413</v>
      </c>
      <c r="AE49" s="104" t="n">
        <f aca="false">AE11+AE46</f>
        <v>28801.92</v>
      </c>
      <c r="AF49" s="198"/>
      <c r="AG49" s="201"/>
      <c r="AH49" s="104"/>
      <c r="AI49" s="104"/>
      <c r="AJ49" s="104" t="n">
        <f aca="false">AJ11+AJ46</f>
        <v>0</v>
      </c>
      <c r="AK49" s="104" t="n">
        <f aca="false">AK11+AK46</f>
        <v>147414.28</v>
      </c>
      <c r="AL49" s="104" t="n">
        <f aca="false">AL11+AL46</f>
        <v>3609.13202419965</v>
      </c>
      <c r="AM49" s="104" t="n">
        <f aca="false">AM11+AM46</f>
        <v>151023.4120242</v>
      </c>
      <c r="AN49" s="203"/>
      <c r="AO49" s="133"/>
      <c r="AP49" s="133"/>
      <c r="AQ49" s="199"/>
      <c r="AR49" s="199"/>
      <c r="AS49" s="134" t="n">
        <f aca="false">AS11+AS46</f>
        <v>675.57</v>
      </c>
      <c r="AT49" s="134" t="n">
        <f aca="false">AT11+AT46</f>
        <v>411.411015</v>
      </c>
      <c r="AU49" s="134" t="n">
        <f aca="false">AU11+AU46</f>
        <v>1965.395</v>
      </c>
      <c r="AV49" s="327"/>
      <c r="AW49" s="134" t="n">
        <f aca="false">MIN(AW14:AW44)</f>
        <v>31</v>
      </c>
      <c r="AX49" s="134" t="n">
        <f aca="false">MIN(AX14:AX44)</f>
        <v>18</v>
      </c>
      <c r="AY49" s="206" t="s">
        <v>96</v>
      </c>
      <c r="AZ49" s="341" t="n">
        <f aca="false">AZ11+AZ46</f>
        <v>230.419316</v>
      </c>
    </row>
    <row r="50" customFormat="false" ht="12.95" hidden="false" customHeight="true" outlineLevel="0" collapsed="false">
      <c r="A50" s="173" t="s">
        <v>97</v>
      </c>
      <c r="B50" s="196"/>
      <c r="C50" s="104"/>
      <c r="D50" s="104"/>
      <c r="E50" s="104"/>
      <c r="F50" s="197" t="n">
        <f aca="false">F49*$D$2</f>
        <v>-23943</v>
      </c>
      <c r="G50" s="104" t="n">
        <f aca="false">G49*$D$2</f>
        <v>246316.9805</v>
      </c>
      <c r="H50" s="134" t="n">
        <f aca="false">H49*$D$2</f>
        <v>8637.66646</v>
      </c>
      <c r="I50" s="104" t="n">
        <f aca="false">I49*$D$2</f>
        <v>254954.64696</v>
      </c>
      <c r="J50" s="104" t="n">
        <f aca="false">J49*$D$2</f>
        <v>20657.29079</v>
      </c>
      <c r="K50" s="104" t="n">
        <f aca="false">K49*$D$2</f>
        <v>275611.93775</v>
      </c>
      <c r="L50" s="104" t="n">
        <f aca="false">L49*$D$2</f>
        <v>13498.57742</v>
      </c>
      <c r="M50" s="198" t="n">
        <f aca="false">M49*$D$2</f>
        <v>93181.41838</v>
      </c>
      <c r="N50" s="104" t="n">
        <f aca="false">N49*$D$2</f>
        <v>790.7067382445</v>
      </c>
      <c r="O50" s="104" t="n">
        <f aca="false">O49*$D$2</f>
        <v>28350.65086245</v>
      </c>
      <c r="P50" s="199" t="n">
        <f aca="false">P49*$D$2</f>
        <v>14.6084775</v>
      </c>
      <c r="Q50" s="104"/>
      <c r="R50" s="104"/>
      <c r="S50" s="104"/>
      <c r="T50" s="200"/>
      <c r="U50" s="104" t="n">
        <f aca="false">U49*$D$2</f>
        <v>44299.84603</v>
      </c>
      <c r="V50" s="104" t="n">
        <f aca="false">V49*$D$2</f>
        <v>24172.71615</v>
      </c>
      <c r="W50" s="104" t="n">
        <f aca="false">W49*$D$2</f>
        <v>128130.609908773</v>
      </c>
      <c r="X50" s="104" t="n">
        <f aca="false">X49*$D$2</f>
        <v>93892.5286834305</v>
      </c>
      <c r="Y50" s="104"/>
      <c r="Z50" s="104"/>
      <c r="AA50" s="104" t="n">
        <f aca="false">AA49*$D$2</f>
        <v>0</v>
      </c>
      <c r="AB50" s="104"/>
      <c r="AC50" s="104"/>
      <c r="AD50" s="105" t="n">
        <f aca="false">AD49*$D$2</f>
        <v>32807.1681756855</v>
      </c>
      <c r="AE50" s="104" t="n">
        <f aca="false">AE49*$D$2</f>
        <v>57128.60832</v>
      </c>
      <c r="AF50" s="198"/>
      <c r="AG50" s="201"/>
      <c r="AH50" s="104"/>
      <c r="AI50" s="104"/>
      <c r="AJ50" s="104" t="n">
        <f aca="false">AJ49*$D$2</f>
        <v>0</v>
      </c>
      <c r="AK50" s="104" t="n">
        <f aca="false">AK49*$D$2</f>
        <v>292396.22438</v>
      </c>
      <c r="AL50" s="104" t="n">
        <f aca="false">AL49*$D$2</f>
        <v>7158.71337</v>
      </c>
      <c r="AM50" s="104" t="n">
        <f aca="false">AM49*$D$2</f>
        <v>299554.93775</v>
      </c>
      <c r="AN50" s="203"/>
      <c r="AO50" s="133"/>
      <c r="AP50" s="133"/>
      <c r="AQ50" s="199" t="n">
        <f aca="false">AQ11+AQ47</f>
        <v>292.890256618382</v>
      </c>
      <c r="AR50" s="199"/>
      <c r="AS50" s="134" t="n">
        <f aca="false">AS49*$D$2</f>
        <v>1339.993095</v>
      </c>
      <c r="AT50" s="134" t="n">
        <f aca="false">AT49*$D$2</f>
        <v>816.0337482525</v>
      </c>
      <c r="AU50" s="134" t="n">
        <f aca="false">AU49*$D$2</f>
        <v>3898.3609825</v>
      </c>
      <c r="AV50" s="327"/>
      <c r="AW50" s="134"/>
      <c r="AX50" s="134"/>
      <c r="AY50" s="303"/>
      <c r="AZ50" s="341" t="n">
        <f aca="false">AZ49*$D$2</f>
        <v>457.036713286</v>
      </c>
    </row>
    <row r="51" customFormat="false" ht="3" hidden="false" customHeight="true" outlineLevel="0" collapsed="false">
      <c r="A51" s="214"/>
      <c r="B51" s="235"/>
      <c r="C51" s="216"/>
      <c r="D51" s="216"/>
      <c r="E51" s="216"/>
      <c r="F51" s="240"/>
      <c r="G51" s="216"/>
      <c r="H51" s="223"/>
      <c r="I51" s="216"/>
      <c r="J51" s="216"/>
      <c r="K51" s="216"/>
      <c r="L51" s="216"/>
      <c r="M51" s="241"/>
      <c r="N51" s="216"/>
      <c r="O51" s="216"/>
      <c r="P51" s="221"/>
      <c r="Q51" s="216"/>
      <c r="R51" s="216"/>
      <c r="S51" s="216"/>
      <c r="T51" s="222"/>
      <c r="U51" s="216"/>
      <c r="V51" s="216"/>
      <c r="W51" s="216"/>
      <c r="X51" s="216"/>
      <c r="Y51" s="216"/>
      <c r="Z51" s="216"/>
      <c r="AA51" s="216"/>
      <c r="AB51" s="216"/>
      <c r="AC51" s="216"/>
      <c r="AD51" s="216"/>
      <c r="AE51" s="216"/>
      <c r="AF51" s="241"/>
      <c r="AG51" s="242"/>
      <c r="AH51" s="216"/>
      <c r="AI51" s="216"/>
      <c r="AJ51" s="216"/>
      <c r="AK51" s="216"/>
      <c r="AL51" s="216"/>
      <c r="AM51" s="216"/>
      <c r="AN51" s="481"/>
      <c r="AO51" s="224"/>
      <c r="AP51" s="224"/>
      <c r="AQ51" s="221"/>
      <c r="AR51" s="221"/>
      <c r="AS51" s="223"/>
      <c r="AT51" s="223"/>
      <c r="AU51" s="223"/>
      <c r="AV51" s="481"/>
      <c r="AW51" s="221"/>
      <c r="AX51" s="221"/>
      <c r="AY51" s="240"/>
      <c r="AZ51" s="323"/>
    </row>
    <row r="52" customFormat="false" ht="12.95" hidden="false" customHeight="true" outlineLevel="0" collapsed="false">
      <c r="A52" s="173" t="s">
        <v>98</v>
      </c>
      <c r="B52" s="196"/>
      <c r="C52" s="104"/>
      <c r="D52" s="104"/>
      <c r="E52" s="104"/>
      <c r="F52" s="197" t="n">
        <f aca="false">F12+F46</f>
        <v>-12834.8878245526</v>
      </c>
      <c r="G52" s="104" t="n">
        <f aca="false">G12+G46</f>
        <v>135183</v>
      </c>
      <c r="H52" s="134" t="n">
        <f aca="false">H12+H46</f>
        <v>4894.89</v>
      </c>
      <c r="I52" s="104" t="n">
        <f aca="false">I12+I46</f>
        <v>140077.89</v>
      </c>
      <c r="J52" s="104" t="n">
        <f aca="false">J12+J46</f>
        <v>13720.6994454247</v>
      </c>
      <c r="K52" s="104" t="n">
        <f aca="false">K12+K46</f>
        <v>153798.589445425</v>
      </c>
      <c r="L52" s="104" t="n">
        <f aca="false">L12+L46</f>
        <v>9177.40217544744</v>
      </c>
      <c r="M52" s="198" t="n">
        <f aca="false">M12+M46</f>
        <v>77767.23925</v>
      </c>
      <c r="N52" s="104" t="n">
        <f aca="false">N12+N46</f>
        <v>398.642167</v>
      </c>
      <c r="O52" s="104" t="n">
        <f aca="false">O12+O46</f>
        <v>14293.2447</v>
      </c>
      <c r="P52" s="199"/>
      <c r="Q52" s="104" t="n">
        <f aca="false">Q12+Q46</f>
        <v>767.7183</v>
      </c>
      <c r="R52" s="134" t="n">
        <f aca="false">R12+R46</f>
        <v>1231.72</v>
      </c>
      <c r="S52" s="104" t="n">
        <f aca="false">S12+S46</f>
        <v>454.17</v>
      </c>
      <c r="T52" s="200" t="n">
        <f aca="false">T12+T46</f>
        <v>-73.2054</v>
      </c>
      <c r="U52" s="104" t="n">
        <f aca="false">U12+U46</f>
        <v>29764.18</v>
      </c>
      <c r="V52" s="104" t="n">
        <f aca="false">V12+V46</f>
        <v>12263.2</v>
      </c>
      <c r="W52" s="104" t="n">
        <f aca="false">W12+W46</f>
        <v>72428.994218</v>
      </c>
      <c r="X52" s="104" t="n">
        <f aca="false">X12+X46</f>
        <v>54714.277863</v>
      </c>
      <c r="Y52" s="104"/>
      <c r="Z52" s="104"/>
      <c r="AA52" s="104"/>
      <c r="AB52" s="104"/>
      <c r="AC52" s="104"/>
      <c r="AD52" s="104"/>
      <c r="AE52" s="104"/>
      <c r="AF52" s="198"/>
      <c r="AG52" s="201"/>
      <c r="AH52" s="104" t="n">
        <f aca="false">AH12+AH46</f>
        <v>43364</v>
      </c>
      <c r="AI52" s="104" t="n">
        <f aca="false">AI44</f>
        <v>4711.25787748929</v>
      </c>
      <c r="AJ52" s="104" t="n">
        <f aca="false">AJ12+AJ46</f>
        <v>25793</v>
      </c>
      <c r="AK52" s="104" t="n">
        <f aca="false">AK12+AK46</f>
        <v>162090.18</v>
      </c>
      <c r="AL52" s="104" t="n">
        <f aca="false">AL12+AL46</f>
        <v>4543.29726997731</v>
      </c>
      <c r="AM52" s="104" t="n">
        <f aca="false">AM12+AM46</f>
        <v>166633.477269977</v>
      </c>
      <c r="AN52" s="203"/>
      <c r="AO52" s="133" t="n">
        <f aca="false">AO12+AO46</f>
        <v>1502.202145</v>
      </c>
      <c r="AP52" s="133"/>
      <c r="AQ52" s="199"/>
      <c r="AR52" s="199"/>
      <c r="AS52" s="134" t="n">
        <f aca="false">AS12+AS46</f>
        <v>0</v>
      </c>
      <c r="AT52" s="134"/>
      <c r="AU52" s="168"/>
      <c r="AV52" s="327" t="n">
        <f aca="false">AV12+AV46</f>
        <v>7.93</v>
      </c>
      <c r="AW52" s="134"/>
      <c r="AX52" s="134"/>
      <c r="AY52" s="303"/>
      <c r="AZ52" s="341" t="n">
        <f aca="false">AZ12+AZ46</f>
        <v>2790.610067</v>
      </c>
    </row>
    <row r="53" customFormat="false" ht="12.75" hidden="false" customHeight="true" outlineLevel="0" collapsed="false">
      <c r="A53" s="173" t="s">
        <v>99</v>
      </c>
      <c r="B53" s="196"/>
      <c r="C53" s="104"/>
      <c r="D53" s="104" t="n">
        <f aca="false">D12+D47</f>
        <v>-25458</v>
      </c>
      <c r="E53" s="104" t="n">
        <f aca="false">E44</f>
        <v>107343</v>
      </c>
      <c r="F53" s="197" t="n">
        <f aca="false">F52*$D$2</f>
        <v>-25458</v>
      </c>
      <c r="G53" s="104" t="n">
        <f aca="false">G52*$D$2</f>
        <v>268135.4805</v>
      </c>
      <c r="H53" s="134" t="n">
        <f aca="false">H52*$D$2</f>
        <v>9709.014315</v>
      </c>
      <c r="I53" s="104" t="n">
        <f aca="false">I52*$D$2</f>
        <v>277844.494815</v>
      </c>
      <c r="J53" s="104" t="n">
        <f aca="false">J52*$D$2</f>
        <v>27215.00735</v>
      </c>
      <c r="K53" s="104" t="n">
        <f aca="false">K52*$D$2</f>
        <v>305059.502165</v>
      </c>
      <c r="L53" s="104" t="n">
        <f aca="false">L52*$D$2</f>
        <v>18203.377215</v>
      </c>
      <c r="M53" s="198" t="n">
        <f aca="false">M52*$D$2</f>
        <v>154251.319052375</v>
      </c>
      <c r="N53" s="104" t="n">
        <f aca="false">N52*$D$2</f>
        <v>790.7067382445</v>
      </c>
      <c r="O53" s="104" t="n">
        <f aca="false">O52*$D$2</f>
        <v>28350.65086245</v>
      </c>
      <c r="P53" s="199"/>
      <c r="Q53" s="134" t="n">
        <f aca="false">Q52*$D$2</f>
        <v>1522.76924805</v>
      </c>
      <c r="R53" s="134" t="n">
        <f aca="false">R52*$D$2</f>
        <v>2443.11662</v>
      </c>
      <c r="S53" s="209" t="n">
        <f aca="false">S52*$D$2</f>
        <v>900.846195</v>
      </c>
      <c r="T53" s="483" t="n">
        <f aca="false">T52*$D$2</f>
        <v>-145.2029109</v>
      </c>
      <c r="U53" s="104" t="n">
        <f aca="false">U52*$D$2</f>
        <v>59037.25103</v>
      </c>
      <c r="V53" s="104" t="n">
        <f aca="false">V52*$D$2</f>
        <v>24324.0572</v>
      </c>
      <c r="W53" s="104" t="n">
        <f aca="false">W52*$D$2</f>
        <v>143662.910031403</v>
      </c>
      <c r="X53" s="104" t="n">
        <f aca="false">X52*$D$2</f>
        <v>108525.770141261</v>
      </c>
      <c r="Y53" s="104"/>
      <c r="Z53" s="104"/>
      <c r="AA53" s="104"/>
      <c r="AB53" s="104"/>
      <c r="AC53" s="104"/>
      <c r="AD53" s="104"/>
      <c r="AE53" s="104"/>
      <c r="AF53" s="249"/>
      <c r="AG53" s="250"/>
      <c r="AH53" s="104" t="n">
        <f aca="false">AH52*$D$2</f>
        <v>86012.494</v>
      </c>
      <c r="AI53" s="104" t="n">
        <f aca="false">AI52*$D$2</f>
        <v>9344.78</v>
      </c>
      <c r="AJ53" s="104" t="n">
        <f aca="false">AJ52*$D$2</f>
        <v>51160.4155</v>
      </c>
      <c r="AK53" s="104" t="n">
        <f aca="false">AK52*$D$2</f>
        <v>321505.87203</v>
      </c>
      <c r="AL53" s="104" t="n">
        <f aca="false">AL52*$D$2</f>
        <v>9011.630135</v>
      </c>
      <c r="AM53" s="104" t="n">
        <f aca="false">AM52*$D$2</f>
        <v>330517.502165</v>
      </c>
      <c r="AN53" s="203" t="n">
        <f aca="false">AN44</f>
        <v>14904.787655</v>
      </c>
      <c r="AO53" s="133" t="n">
        <f aca="false">AO52*$D$2</f>
        <v>2979.6179546075</v>
      </c>
      <c r="AP53" s="133"/>
      <c r="AQ53" s="199" t="n">
        <f aca="false">AQ12+AQ47</f>
        <v>5.86064637392374</v>
      </c>
      <c r="AR53" s="199"/>
      <c r="AS53" s="134" t="n">
        <f aca="false">AS52*$D$2</f>
        <v>0</v>
      </c>
      <c r="AT53" s="134"/>
      <c r="AU53" s="168"/>
      <c r="AV53" s="327"/>
      <c r="AW53" s="134"/>
      <c r="AX53" s="134"/>
      <c r="AY53" s="303"/>
      <c r="AZ53" s="341" t="n">
        <f aca="false">AZ52*$D$2</f>
        <v>5535.1750678945</v>
      </c>
    </row>
    <row r="54" customFormat="false" ht="3" hidden="false" customHeight="true" outlineLevel="0" collapsed="false">
      <c r="A54" s="214"/>
      <c r="B54" s="288"/>
      <c r="C54" s="276"/>
      <c r="D54" s="214"/>
      <c r="E54" s="276"/>
      <c r="F54" s="277"/>
      <c r="G54" s="214"/>
      <c r="H54" s="540"/>
      <c r="I54" s="214"/>
      <c r="J54" s="214"/>
      <c r="K54" s="214"/>
      <c r="L54" s="214"/>
      <c r="M54" s="485"/>
      <c r="N54" s="214"/>
      <c r="O54" s="214"/>
      <c r="P54" s="280"/>
      <c r="Q54" s="214"/>
      <c r="R54" s="541"/>
      <c r="S54" s="214"/>
      <c r="T54" s="281"/>
      <c r="U54" s="214"/>
      <c r="V54" s="214"/>
      <c r="W54" s="214"/>
      <c r="X54" s="214"/>
      <c r="Y54" s="214"/>
      <c r="Z54" s="214"/>
      <c r="AA54" s="276"/>
      <c r="AB54" s="276"/>
      <c r="AC54" s="276"/>
      <c r="AD54" s="276"/>
      <c r="AE54" s="214"/>
      <c r="AF54" s="220"/>
      <c r="AG54" s="225"/>
      <c r="AH54" s="214"/>
      <c r="AI54" s="276"/>
      <c r="AJ54" s="276"/>
      <c r="AK54" s="214"/>
      <c r="AL54" s="214"/>
      <c r="AM54" s="214"/>
      <c r="AN54" s="288"/>
      <c r="AO54" s="484"/>
      <c r="AP54" s="484"/>
      <c r="AQ54" s="280"/>
      <c r="AR54" s="280"/>
      <c r="AS54" s="214"/>
      <c r="AT54" s="214"/>
      <c r="AU54" s="214"/>
      <c r="AV54" s="288"/>
      <c r="AW54" s="214"/>
      <c r="AX54" s="214"/>
      <c r="AY54" s="240"/>
      <c r="AZ54" s="323"/>
    </row>
    <row r="55" customFormat="false" ht="11.1" hidden="false" customHeight="true" outlineLevel="0" collapsed="false">
      <c r="G55" s="174"/>
      <c r="H55" s="542"/>
      <c r="I55" s="163"/>
      <c r="N55" s="2"/>
      <c r="Q55" s="166"/>
      <c r="V55" s="9"/>
      <c r="W55" s="1"/>
      <c r="X55" s="1"/>
      <c r="Y55" s="1"/>
      <c r="Z55" s="1"/>
      <c r="AA55" s="105"/>
      <c r="AB55" s="105"/>
      <c r="AE55" s="166"/>
      <c r="AF55" s="166"/>
      <c r="AG55" s="166"/>
      <c r="AH55" s="105"/>
      <c r="AK55" s="169"/>
      <c r="AL55" s="169"/>
      <c r="AM55" s="444"/>
      <c r="AQ55" s="417"/>
      <c r="AR55" s="417"/>
      <c r="AV55" s="543"/>
      <c r="AW55" s="297"/>
      <c r="AX55" s="412"/>
    </row>
    <row r="56" customFormat="false" ht="11.1" hidden="false" customHeight="true" outlineLevel="0" collapsed="false">
      <c r="A56" s="173"/>
      <c r="B56" s="447"/>
      <c r="C56" s="2"/>
      <c r="D56" s="1"/>
      <c r="E56" s="443"/>
      <c r="F56" s="176"/>
      <c r="G56" s="1"/>
      <c r="H56" s="486"/>
      <c r="I56" s="13"/>
      <c r="J56" s="12"/>
      <c r="K56" s="163"/>
      <c r="L56" s="12"/>
      <c r="M56" s="12"/>
      <c r="N56" s="2"/>
      <c r="O56" s="2"/>
      <c r="P56" s="487"/>
      <c r="Q56" s="470"/>
      <c r="R56" s="90"/>
      <c r="S56" s="90"/>
      <c r="T56" s="90"/>
      <c r="U56" s="128" t="s">
        <v>134</v>
      </c>
      <c r="V56" s="128"/>
      <c r="W56" s="87" t="n">
        <f aca="false">W52-58.5</f>
        <v>72370.494218</v>
      </c>
      <c r="X56" s="87" t="n">
        <f aca="false">X52-58.5</f>
        <v>54655.777863</v>
      </c>
      <c r="Y56" s="87" t="n">
        <f aca="false">Y44-116</f>
        <v>108409.770141261</v>
      </c>
      <c r="Z56" s="87" t="n">
        <f aca="false">Z44-58.5*(26300/37500)*1.9835</f>
        <v>108188.883023272</v>
      </c>
      <c r="AA56" s="105"/>
      <c r="AB56" s="105"/>
      <c r="AC56" s="80"/>
      <c r="AD56" s="80"/>
      <c r="AE56" s="2"/>
      <c r="AF56" s="2"/>
      <c r="AG56" s="2"/>
      <c r="AH56" s="12"/>
      <c r="AI56" s="2"/>
      <c r="AJ56" s="102"/>
      <c r="AK56" s="102"/>
      <c r="AL56" s="176"/>
      <c r="AM56" s="444"/>
      <c r="AN56" s="488"/>
      <c r="AO56" s="489"/>
      <c r="AS56" s="413"/>
      <c r="AU56" s="297" t="n">
        <f aca="false">AU50+116</f>
        <v>4014.3609825</v>
      </c>
      <c r="AV56" s="297"/>
      <c r="AW56" s="297"/>
      <c r="AX56" s="297"/>
    </row>
    <row r="57" customFormat="false" ht="11.1" hidden="false" customHeight="true" outlineLevel="0" collapsed="false">
      <c r="B57" s="105"/>
      <c r="E57" s="443"/>
      <c r="F57" s="208"/>
      <c r="G57" s="1"/>
      <c r="H57" s="486"/>
      <c r="I57" s="1"/>
      <c r="J57" s="1"/>
      <c r="K57" s="467"/>
      <c r="L57" s="4"/>
      <c r="M57" s="4"/>
      <c r="N57" s="4"/>
      <c r="O57" s="105"/>
      <c r="P57" s="444"/>
      <c r="Q57" s="167"/>
      <c r="R57" s="90"/>
      <c r="S57" s="90"/>
      <c r="T57" s="90"/>
      <c r="U57" s="28"/>
      <c r="V57" s="128"/>
      <c r="W57" s="87" t="n">
        <f aca="false">W56*1.9835</f>
        <v>143546.875281403</v>
      </c>
      <c r="X57" s="87" t="n">
        <f aca="false">X56*1.9835</f>
        <v>108409.735391261</v>
      </c>
      <c r="Y57" s="87"/>
      <c r="Z57" s="87"/>
      <c r="AA57" s="105"/>
      <c r="AB57" s="105"/>
      <c r="AE57" s="105"/>
      <c r="AF57" s="105"/>
      <c r="AG57" s="105"/>
      <c r="AH57" s="2"/>
      <c r="AI57" s="28"/>
      <c r="AJ57" s="471"/>
      <c r="AK57" s="471"/>
      <c r="AL57" s="169"/>
      <c r="AM57" s="444"/>
      <c r="AS57" s="413"/>
      <c r="AV57" s="297"/>
      <c r="AW57" s="297"/>
      <c r="AX57" s="412"/>
    </row>
    <row r="58" customFormat="false" ht="11.1" hidden="false" customHeight="true" outlineLevel="0" collapsed="false">
      <c r="D58" s="105"/>
      <c r="E58" s="443"/>
      <c r="F58" s="1"/>
      <c r="G58" s="1"/>
      <c r="H58" s="80"/>
      <c r="I58" s="1"/>
      <c r="J58" s="1"/>
      <c r="K58" s="467"/>
      <c r="L58" s="168"/>
      <c r="M58" s="4"/>
      <c r="N58" s="4"/>
      <c r="O58" s="168"/>
      <c r="P58" s="444"/>
      <c r="Q58" s="167"/>
      <c r="R58" s="90"/>
      <c r="S58" s="90"/>
      <c r="T58" s="90"/>
      <c r="U58" s="28"/>
      <c r="V58" s="28"/>
      <c r="W58" s="87"/>
      <c r="X58" s="87"/>
      <c r="Y58" s="87"/>
      <c r="Z58" s="87"/>
      <c r="AA58" s="168"/>
      <c r="AB58" s="168"/>
      <c r="AC58" s="168"/>
      <c r="AD58" s="168"/>
      <c r="AE58" s="105"/>
      <c r="AF58" s="105"/>
      <c r="AG58" s="105"/>
      <c r="AH58" s="2"/>
      <c r="AI58" s="105"/>
      <c r="AJ58" s="208"/>
      <c r="AK58" s="208"/>
      <c r="AL58" s="169"/>
      <c r="AM58" s="544"/>
      <c r="AS58" s="413"/>
      <c r="AV58" s="297"/>
      <c r="AW58" s="297"/>
      <c r="AX58" s="412"/>
    </row>
    <row r="59" customFormat="false" ht="11.1" hidden="false" customHeight="true" outlineLevel="0" collapsed="false">
      <c r="G59" s="256"/>
      <c r="H59" s="542"/>
      <c r="Q59" s="167"/>
      <c r="R59" s="167"/>
      <c r="S59" s="167"/>
      <c r="V59" s="9"/>
      <c r="W59" s="1"/>
      <c r="X59" s="1"/>
      <c r="Y59" s="1"/>
      <c r="Z59" s="1"/>
      <c r="AA59" s="105"/>
      <c r="AB59" s="105"/>
      <c r="AH59" s="105"/>
      <c r="AK59" s="169"/>
      <c r="AL59" s="169"/>
      <c r="AM59" s="444"/>
      <c r="AS59" s="413"/>
      <c r="AV59" s="543"/>
      <c r="AW59" s="297"/>
      <c r="AX59" s="412"/>
    </row>
    <row r="60" customFormat="false" ht="11.1" hidden="false" customHeight="true" outlineLevel="0" collapsed="false">
      <c r="H60" s="542"/>
      <c r="Q60" s="167"/>
      <c r="R60" s="167"/>
      <c r="S60" s="167"/>
      <c r="V60" s="9"/>
      <c r="W60" s="105"/>
      <c r="X60" s="105"/>
      <c r="Y60" s="105"/>
      <c r="Z60" s="105"/>
      <c r="AA60" s="105"/>
      <c r="AB60" s="105"/>
      <c r="AH60" s="105"/>
      <c r="AK60" s="169"/>
      <c r="AL60" s="169"/>
      <c r="AM60" s="444"/>
      <c r="AS60" s="413"/>
      <c r="AV60" s="543"/>
      <c r="AW60" s="297"/>
      <c r="AX60" s="412"/>
    </row>
    <row r="61" customFormat="false" ht="11.1" hidden="false" customHeight="true" outlineLevel="0" collapsed="false">
      <c r="H61" s="542"/>
      <c r="Q61" s="166"/>
      <c r="V61" s="9"/>
      <c r="W61" s="105"/>
      <c r="X61" s="105"/>
      <c r="Y61" s="105"/>
      <c r="Z61" s="105"/>
      <c r="AC61" s="9"/>
      <c r="AD61" s="9"/>
      <c r="AH61" s="105"/>
      <c r="AK61" s="169"/>
      <c r="AL61" s="169"/>
      <c r="AM61" s="444"/>
      <c r="AQ61" s="417"/>
      <c r="AR61" s="417"/>
      <c r="AV61" s="543"/>
      <c r="AW61" s="297"/>
      <c r="AX61" s="412"/>
    </row>
  </sheetData>
  <mergeCells count="2">
    <mergeCell ref="K2:AD2"/>
    <mergeCell ref="M5:T5"/>
  </mergeCells>
  <printOptions headings="true" gridLines="true" gridLinesSet="true" horizontalCentered="true" verticalCentered="false"/>
  <pageMargins left="0.25" right="0.25" top="0.25" bottom="0" header="0.511811023622047" footer="0.511811023622047"/>
  <pageSetup paperSize="5" scale="90"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58" man="true" max="16383" min="0"/>
  </rowBreaks>
  <legacyDrawing r:id="rId2"/>
</worksheet>
</file>

<file path=docProps/app.xml><?xml version="1.0" encoding="utf-8"?>
<Properties xmlns="http://schemas.openxmlformats.org/officeDocument/2006/extended-properties" xmlns:vt="http://schemas.openxmlformats.org/officeDocument/2006/docPropsVTypes">
  <Template/>
  <TotalTime>1736</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1997-11-03T15:03:40Z</dcterms:created>
  <dc:creator>JOHN PORTER</dc:creator>
  <dc:description/>
  <dc:language>en-US</dc:language>
  <cp:lastModifiedBy/>
  <cp:lastPrinted>2012-12-02T13:44:17Z</cp:lastPrinted>
  <dcterms:modified xsi:type="dcterms:W3CDTF">2025-11-21T19:50:08Z</dcterms:modified>
  <cp:revision>3</cp:revision>
  <dc:subject>MCPHEE IN/OUT FLOW</dc:subject>
  <dc:title>RIVER</dc:title>
</cp:coreProperties>
</file>

<file path=docProps/custom.xml><?xml version="1.0" encoding="utf-8"?>
<Properties xmlns="http://schemas.openxmlformats.org/officeDocument/2006/custom-properties" xmlns:vt="http://schemas.openxmlformats.org/officeDocument/2006/docPropsVTypes"/>
</file>