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9.xml.rels" ContentType="application/vnd.openxmlformats-package.relationships+xml"/>
  <Override PartName="/xl/worksheets/_rels/sheet6.xml.rels" ContentType="application/vnd.openxmlformats-package.relationships+xml"/>
  <Override PartName="/xl/worksheets/_rels/sheet8.xml.rels" ContentType="application/vnd.openxmlformats-package.relationships+xml"/>
  <Override PartName="/xl/worksheets/_rels/sheet5.xml.rels" ContentType="application/vnd.openxmlformats-package.relationship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9"/>
  </bookViews>
  <sheets>
    <sheet name="NOV" sheetId="1" state="visible" r:id="rId2"/>
    <sheet name="DEC" sheetId="2" state="visible" r:id="rId3"/>
    <sheet name="JAN" sheetId="3" state="visible" r:id="rId4"/>
    <sheet name="FEB" sheetId="4" state="visible" r:id="rId5"/>
    <sheet name="MAR" sheetId="5" state="visible" r:id="rId6"/>
    <sheet name="APR" sheetId="6" state="visible" r:id="rId7"/>
    <sheet name="MAY" sheetId="7" state="visible" r:id="rId8"/>
    <sheet name="JUN" sheetId="8" state="visible" r:id="rId9"/>
    <sheet name="JUL" sheetId="9" state="visible" r:id="rId10"/>
    <sheet name="AUG" sheetId="10" state="visible" r:id="rId11"/>
    <sheet name="SEP" sheetId="11" state="visible" r:id="rId12"/>
    <sheet name="OCT" sheetId="12" state="visible" r:id="rId13"/>
  </sheets>
  <definedNames>
    <definedName function="false" hidden="false" localSheetId="5" name="_xlnm.Print_Area" vbProcedure="false">APR!$A$1:$AD$55</definedName>
    <definedName function="false" hidden="false" localSheetId="9" name="_xlnm.Print_Area" vbProcedure="false">AUG!$A$1:$AD$57</definedName>
    <definedName function="false" hidden="false" localSheetId="1" name="_xlnm.Print_Area" vbProcedure="false">DEC!$A$1:$AC$52</definedName>
    <definedName function="false" hidden="false" localSheetId="3" name="_xlnm.Print_Area" vbProcedure="false">FEB!$A$1:$AC$52</definedName>
    <definedName function="false" hidden="false" localSheetId="2" name="_xlnm.Print_Area" vbProcedure="false">JAN!$A$1:$AC$55</definedName>
    <definedName function="false" hidden="false" localSheetId="8" name="_xlnm.Print_Area" vbProcedure="false">JUL!$A$1:$AD$55</definedName>
    <definedName function="false" hidden="false" localSheetId="7" name="_xlnm.Print_Area" vbProcedure="false">JUN!$A$1:$AD$55</definedName>
    <definedName function="false" hidden="false" localSheetId="4" name="_xlnm.Print_Area" vbProcedure="false">MAR!$A$1:$AC$55</definedName>
    <definedName function="false" hidden="false" localSheetId="6" name="_xlnm.Print_Area" vbProcedure="false">MAY!$A$1:$AD$55</definedName>
    <definedName function="false" hidden="false" localSheetId="0" name="_xlnm.Print_Area" vbProcedure="false">NOV!$A$1:$AC$54</definedName>
    <definedName function="false" hidden="false" localSheetId="11" name="_xlnm.Print_Area" vbProcedure="false">OCT!$A$1:$AD$50</definedName>
    <definedName function="false" hidden="false" localSheetId="10" name="_xlnm.Print_Area" vbProcedure="false">SEP!$A$1:$AD$57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comments9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1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comments10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1" authorId="0">
      <text>
        <r>
          <rPr>
            <sz val="8"/>
            <color rgb="FF000000"/>
            <rFont val="Tahoma"/>
            <family val="2"/>
          </rPr>
          <t xml:space="preserve">3,500 is the portion of the evap off a low reservoir during Apr - Oct
 + 2932 for 2002 M&amp;I use.</t>
        </r>
      </text>
    </comment>
    <comment ref="L53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3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3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comments1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L50" authorId="0">
      <text>
        <r>
          <rPr>
            <sz val="8"/>
            <color rgb="FF000000"/>
            <rFont val="Tahoma"/>
            <family val="2"/>
          </rPr>
          <t xml:space="preserve">7,308 is the portion of the evap off a low reservoir during Apr - Oct
 + 2932 for 2002 M&amp;I use.</t>
        </r>
      </text>
    </comment>
    <comment ref="L52" authorId="0">
      <text>
        <r>
          <rPr>
            <sz val="8"/>
            <color rgb="FF000000"/>
            <rFont val="Tahoma"/>
            <family val="2"/>
          </rPr>
          <t xml:space="preserve">This is the number of days left until Oct 31</t>
        </r>
      </text>
    </comment>
    <comment ref="T52" authorId="0">
      <text>
        <r>
          <rPr>
            <sz val="8"/>
            <color rgb="FF000000"/>
            <rFont val="Tahoma"/>
            <family val="2"/>
          </rPr>
          <t xml:space="preserve">This adds back to MVIC the accumulated daily Ctz &amp; MWC diversion.</t>
        </r>
      </text>
    </comment>
    <comment ref="U52" authorId="0">
      <text>
        <r>
          <rPr>
            <sz val="8"/>
            <color rgb="FF000000"/>
            <rFont val="Tahoma"/>
            <family val="2"/>
          </rPr>
          <t xml:space="preserve">Since the DC Canal is to be charged for the entire season, M&amp;I will be used to cover the Evap &amp; Seep this year.  This number is the amount of water to be diverted at Gr Cut.  The components are: 14,562 FS allocation + 1,962 canal evap + 600 M&amp;I for DvCR &amp; M&amp;I users + 15 for B Mmanning + 25 for D Hancock</t>
        </r>
      </text>
    </comment>
  </commentList>
</comments>
</file>

<file path=xl/sharedStrings.xml><?xml version="1.0" encoding="utf-8"?>
<sst xmlns="http://schemas.openxmlformats.org/spreadsheetml/2006/main" count="881" uniqueCount="103">
  <si>
    <t xml:space="preserve">MC  PHEE  RESERVOIR  IN/OUT  FLOW  TABULATION</t>
  </si>
  <si>
    <t xml:space="preserve">AF/cfs  CONVERT FACTOR</t>
  </si>
  <si>
    <t xml:space="preserve">           NOVEMBER  "1985"</t>
  </si>
  <si>
    <t xml:space="preserve">DATE</t>
  </si>
  <si>
    <t xml:space="preserve">RESERV</t>
  </si>
  <si>
    <t xml:space="preserve">AC  FT</t>
  </si>
  <si>
    <t xml:space="preserve">ACTIVE</t>
  </si>
  <si>
    <t xml:space="preserve">CONV  TO</t>
  </si>
  <si>
    <t xml:space="preserve">DOLORES</t>
  </si>
  <si>
    <t xml:space="preserve">LOST</t>
  </si>
  <si>
    <t xml:space="preserve">RECORDED</t>
  </si>
  <si>
    <t xml:space="preserve">CALC</t>
  </si>
  <si>
    <t xml:space="preserve">TOTAL</t>
  </si>
  <si>
    <t xml:space="preserve">TUNNEL</t>
  </si>
  <si>
    <t xml:space="preserve">LONE</t>
  </si>
  <si>
    <t xml:space="preserve">U</t>
  </si>
  <si>
    <t xml:space="preserve">MVI</t>
  </si>
  <si>
    <t xml:space="preserve">DV  CR</t>
  </si>
  <si>
    <t xml:space="preserve">BELOW</t>
  </si>
  <si>
    <t xml:space="preserve">RAIN</t>
  </si>
  <si>
    <t xml:space="preserve">MAX</t>
  </si>
  <si>
    <t xml:space="preserve">MIN</t>
  </si>
  <si>
    <t xml:space="preserve">"NOV"</t>
  </si>
  <si>
    <t xml:space="preserve">ELEV</t>
  </si>
  <si>
    <t xml:space="preserve">CHANGE</t>
  </si>
  <si>
    <t xml:space="preserve">CAP</t>
  </si>
  <si>
    <t xml:space="preserve">CFS</t>
  </si>
  <si>
    <t xml:space="preserve">RIVER</t>
  </si>
  <si>
    <t xml:space="preserve">CANYON</t>
  </si>
  <si>
    <t xml:space="preserve">INFLOW</t>
  </si>
  <si>
    <t xml:space="preserve">INF/OTF</t>
  </si>
  <si>
    <t xml:space="preserve">TOT DIV</t>
  </si>
  <si>
    <t xml:space="preserve">WETLAND</t>
  </si>
  <si>
    <t xml:space="preserve">UTE F&amp;R</t>
  </si>
  <si>
    <t xml:space="preserve">MVI,CTZ</t>
  </si>
  <si>
    <t xml:space="preserve">PINE</t>
  </si>
  <si>
    <t xml:space="preserve">LAT</t>
  </si>
  <si>
    <t xml:space="preserve">CALL</t>
  </si>
  <si>
    <t xml:space="preserve">CANAL</t>
  </si>
  <si>
    <t xml:space="preserve">MC  PHEE</t>
  </si>
  <si>
    <t xml:space="preserve">OUTFLOW</t>
  </si>
  <si>
    <t xml:space="preserve">TMP</t>
  </si>
  <si>
    <t xml:space="preserve">SEASON BAL</t>
  </si>
  <si>
    <t xml:space="preserve">YTD</t>
  </si>
  <si>
    <t xml:space="preserve">MONTH / CFS</t>
  </si>
  <si>
    <t xml:space="preserve">Avg</t>
  </si>
  <si>
    <t xml:space="preserve">MONTH / AF</t>
  </si>
  <si>
    <t xml:space="preserve">HI</t>
  </si>
  <si>
    <t xml:space="preserve">SEASON / CFS</t>
  </si>
  <si>
    <t xml:space="preserve">LO</t>
  </si>
  <si>
    <t xml:space="preserve">SEASON / AF</t>
  </si>
  <si>
    <t xml:space="preserve">YTD / CFS</t>
  </si>
  <si>
    <t xml:space="preserve">YTD / AF</t>
  </si>
  <si>
    <t xml:space="preserve">DECEMBER  "1985"</t>
  </si>
  <si>
    <t xml:space="preserve">"DEC"</t>
  </si>
  <si>
    <t xml:space="preserve">JANUARY  "1986"</t>
  </si>
  <si>
    <t xml:space="preserve">"JAN"</t>
  </si>
  <si>
    <t xml:space="preserve">AVE</t>
  </si>
  <si>
    <t xml:space="preserve">FEBRUARY  "1986"</t>
  </si>
  <si>
    <t xml:space="preserve">FEB</t>
  </si>
  <si>
    <t xml:space="preserve">MARCH  "1986"</t>
  </si>
  <si>
    <t xml:space="preserve">MAR</t>
  </si>
  <si>
    <t xml:space="preserve">APRIL  "1986"</t>
  </si>
  <si>
    <t xml:space="preserve">MVI CALL</t>
  </si>
  <si>
    <t xml:space="preserve">"APR"</t>
  </si>
  <si>
    <t xml:space="preserve">MVI/CTZ/MWC</t>
  </si>
  <si>
    <t xml:space="preserve">Apr - Jun</t>
  </si>
  <si>
    <t xml:space="preserve">hi</t>
  </si>
  <si>
    <t xml:space="preserve">lo</t>
  </si>
  <si>
    <t xml:space="preserve">MAY  "1986"</t>
  </si>
  <si>
    <t xml:space="preserve">"MAY"</t>
  </si>
  <si>
    <t xml:space="preserve">AVG</t>
  </si>
  <si>
    <t xml:space="preserve">Slack (to cover evap &amp; M&amp;I)</t>
  </si>
  <si>
    <t xml:space="preserve">Should be </t>
  </si>
  <si>
    <t xml:space="preserve">Remaining  / based on 44,000 runoff</t>
  </si>
  <si>
    <t xml:space="preserve">Diff</t>
  </si>
  <si>
    <t xml:space="preserve">Daily M&amp;I &amp; Evap</t>
  </si>
  <si>
    <t xml:space="preserve">JUNE  "1986"</t>
  </si>
  <si>
    <t xml:space="preserve">MVIC</t>
  </si>
  <si>
    <t xml:space="preserve">"JUN"</t>
  </si>
  <si>
    <t xml:space="preserve">Daily Call</t>
  </si>
  <si>
    <t xml:space="preserve">Active Storage</t>
  </si>
  <si>
    <t xml:space="preserve">Apr 1 thru Oct 31 evap &amp; M&amp;I</t>
  </si>
  <si>
    <t xml:space="preserve">Users Balance</t>
  </si>
  <si>
    <t xml:space="preserve">AF / day</t>
  </si>
  <si>
    <t xml:space="preserve">Days since 4/1</t>
  </si>
  <si>
    <t xml:space="preserve">Day left to Oct 31</t>
  </si>
  <si>
    <t xml:space="preserve">M&amp;I thru MVIC sys / day</t>
  </si>
  <si>
    <t xml:space="preserve">Slack</t>
  </si>
  <si>
    <t xml:space="preserve">JULY  "1986"</t>
  </si>
  <si>
    <t xml:space="preserve">"JUL"</t>
  </si>
  <si>
    <t xml:space="preserve"> </t>
  </si>
  <si>
    <t xml:space="preserve"># days to Mar 31</t>
  </si>
  <si>
    <t xml:space="preserve">AUGUST  "1986"</t>
  </si>
  <si>
    <t xml:space="preserve">"AUG"</t>
  </si>
  <si>
    <t xml:space="preserve">DAILY</t>
  </si>
  <si>
    <t xml:space="preserve">SEPTEMBER  "1986"</t>
  </si>
  <si>
    <t xml:space="preserve">"SEP"</t>
  </si>
  <si>
    <t xml:space="preserve">APR/OCT</t>
  </si>
  <si>
    <t xml:space="preserve">Ute Avail</t>
  </si>
  <si>
    <t xml:space="preserve">Ute Left</t>
  </si>
  <si>
    <t xml:space="preserve">OCTOBER  "1986"</t>
  </si>
  <si>
    <t xml:space="preserve">"OCT"</t>
  </si>
</sst>
</file>

<file path=xl/styles.xml><?xml version="1.0" encoding="utf-8"?>
<styleSheet xmlns="http://schemas.openxmlformats.org/spreadsheetml/2006/main">
  <numFmts count="19">
    <numFmt numFmtId="164" formatCode="General"/>
    <numFmt numFmtId="165" formatCode="#,##0"/>
    <numFmt numFmtId="166" formatCode="0.00_);\(0.00\)"/>
    <numFmt numFmtId="167" formatCode="0.0"/>
    <numFmt numFmtId="168" formatCode="0"/>
    <numFmt numFmtId="169" formatCode="#,##0.0"/>
    <numFmt numFmtId="170" formatCode="##0.0"/>
    <numFmt numFmtId="171" formatCode="0.00"/>
    <numFmt numFmtId="172" formatCode="0.0000"/>
    <numFmt numFmtId="173" formatCode="0.000"/>
    <numFmt numFmtId="174" formatCode="#,##0.00"/>
    <numFmt numFmtId="175" formatCode="[$-409]d\-mmm"/>
    <numFmt numFmtId="176" formatCode="0%"/>
    <numFmt numFmtId="177" formatCode="0.0_);\(0.0\)"/>
    <numFmt numFmtId="178" formatCode="[$-409]mmm\-yy"/>
    <numFmt numFmtId="179" formatCode="General"/>
    <numFmt numFmtId="180" formatCode="#,##0.00000"/>
    <numFmt numFmtId="181" formatCode="#,##0.0000"/>
    <numFmt numFmtId="182" formatCode="0.0_);[RED]\(0.0\)"/>
  </numFmts>
  <fonts count="18">
    <font>
      <sz val="8"/>
      <name val="LinePrinter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 Narrow"/>
      <family val="0"/>
    </font>
    <font>
      <b val="true"/>
      <i val="true"/>
      <sz val="12"/>
      <name val="Arial Narrow"/>
      <family val="0"/>
    </font>
    <font>
      <sz val="6"/>
      <name val="Arial Narrow"/>
      <family val="0"/>
    </font>
    <font>
      <b val="true"/>
      <sz val="6"/>
      <name val="Arial Narrow"/>
      <family val="0"/>
    </font>
    <font>
      <sz val="6"/>
      <name val="Arial Narrow"/>
      <family val="2"/>
    </font>
    <font>
      <b val="true"/>
      <sz val="9"/>
      <name val="Arial Narrow"/>
      <family val="0"/>
    </font>
    <font>
      <sz val="6"/>
      <name val="Arial"/>
      <family val="0"/>
    </font>
    <font>
      <sz val="8"/>
      <name val="Arial"/>
      <family val="0"/>
    </font>
    <font>
      <b val="true"/>
      <sz val="12"/>
      <name val="Arial Narrow"/>
      <family val="0"/>
    </font>
    <font>
      <sz val="4"/>
      <name val="LinePrinter"/>
      <family val="3"/>
    </font>
    <font>
      <sz val="8"/>
      <name val="Arial Narrow"/>
      <family val="2"/>
    </font>
    <font>
      <sz val="6"/>
      <name val="LinePrinter"/>
      <family val="0"/>
    </font>
    <font>
      <b val="true"/>
      <sz val="8"/>
      <name val="Arial Narrow"/>
      <family val="0"/>
    </font>
    <font>
      <sz val="8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464648"/>
        <bgColor rgb="FF333300"/>
      </patternFill>
    </fill>
    <fill>
      <patternFill patternType="solid">
        <fgColor rgb="FF1EFC1E"/>
        <bgColor rgb="FF33CCCC"/>
      </patternFill>
    </fill>
    <fill>
      <patternFill patternType="solid">
        <fgColor rgb="FFCC9CCC"/>
        <bgColor rgb="FFFF99CC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thin">
        <color rgb="FFEEEEEC"/>
      </top>
      <bottom style="thin">
        <color rgb="FFEEEEEC"/>
      </bottom>
      <diagonal/>
    </border>
    <border diagonalUp="false" diagonalDown="false">
      <left style="thin">
        <color rgb="FFEEEEEC"/>
      </left>
      <right style="thin">
        <color rgb="FFEEEEEC"/>
      </right>
      <top style="thin">
        <color rgb="FFEEEEEC"/>
      </top>
      <bottom style="thin">
        <color rgb="FFEEEEEC"/>
      </bottom>
      <diagonal/>
    </border>
    <border diagonalUp="false" diagonalDown="false">
      <left/>
      <right/>
      <top style="thin">
        <color rgb="FFEEEEEC"/>
      </top>
      <bottom/>
      <diagonal/>
    </border>
    <border diagonalUp="false" diagonalDown="false">
      <left style="thin">
        <color rgb="FFEEEEEC"/>
      </left>
      <right/>
      <top style="thin">
        <color rgb="FFEEEEEC"/>
      </top>
      <bottom/>
      <diagonal/>
    </border>
    <border diagonalUp="false" diagonalDown="false">
      <left/>
      <right style="thin">
        <color rgb="FFEEEEEC"/>
      </right>
      <top style="thin">
        <color rgb="FFEEEEEC"/>
      </top>
      <bottom/>
      <diagonal/>
    </border>
    <border diagonalUp="false" diagonalDown="false">
      <left style="thin">
        <color rgb="FFEEEEEC"/>
      </left>
      <right/>
      <top/>
      <bottom/>
      <diagonal/>
    </border>
    <border diagonalUp="false" diagonalDown="false">
      <left/>
      <right style="thin">
        <color rgb="FFEEEEEC"/>
      </right>
      <top/>
      <bottom/>
      <diagonal/>
    </border>
    <border diagonalUp="false" diagonalDown="false">
      <left/>
      <right/>
      <top/>
      <bottom style="thin">
        <color rgb="FFEEEEEC"/>
      </bottom>
      <diagonal/>
    </border>
    <border diagonalUp="false" diagonalDown="false">
      <left style="thin">
        <color rgb="FFEEEEEC"/>
      </left>
      <right/>
      <top/>
      <bottom style="thin">
        <color rgb="FFEEEEEC"/>
      </bottom>
      <diagonal/>
    </border>
    <border diagonalUp="false" diagonalDown="false">
      <left/>
      <right style="thin">
        <color rgb="FFEEEEEC"/>
      </right>
      <top/>
      <bottom style="thin">
        <color rgb="FFEEEEEC"/>
      </bottom>
      <diagonal/>
    </border>
    <border diagonalUp="false" diagonalDown="false">
      <left/>
      <right/>
      <top style="thin">
        <color rgb="FFEEEEEC"/>
      </top>
      <bottom style="double">
        <color rgb="FFEEEEE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74" fontId="0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6" fontId="0" fillId="0" borderId="0" applyFont="true" applyBorder="false" applyAlignment="false" applyProtection="false"/>
    <xf numFmtId="164" fontId="0" fillId="0" border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StyleXfs>
  <cellXfs count="1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7" fontId="4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4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6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9" fontId="6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7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6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5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9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1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2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4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8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11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1" fontId="4" fillId="0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82" fontId="0" fillId="0" borderId="0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6" fillId="0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2" fontId="4" fillId="0" borderId="0" xfId="2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82" fontId="4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_RIVER054" xfId="20"/>
  </cellStyles>
  <colors>
    <indexedColors>
      <rgbColor rgb="FF000000"/>
      <rgbColor rgb="FFEEEEEC"/>
      <rgbColor rgb="FFFF0000"/>
      <rgbColor rgb="FF1EFC1E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CCC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6464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485280</xdr:colOff>
      <xdr:row>28</xdr:row>
      <xdr:rowOff>0</xdr:rowOff>
    </xdr:from>
    <xdr:to>
      <xdr:col>7</xdr:col>
      <xdr:colOff>21960</xdr:colOff>
      <xdr:row>29</xdr:row>
      <xdr:rowOff>28440</xdr:rowOff>
    </xdr:to>
    <xdr:sp>
      <xdr:nvSpPr>
        <xdr:cNvPr id="0" name="Text 1"/>
        <xdr:cNvSpPr/>
      </xdr:nvSpPr>
      <xdr:spPr>
        <a:xfrm>
          <a:off x="2802960" y="3920400"/>
          <a:ext cx="496080" cy="16956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800" spc="-1" strike="noStrike">
              <a:latin typeface="LinePrinter"/>
            </a:rPr>
            <a:t>thawed</a:t>
          </a:r>
          <a:endParaRPr b="0" lang="en-US" sz="800" spc="-1" strike="noStrike">
            <a:latin typeface="Times New Roman"/>
          </a:endParaRPr>
        </a:p>
        <a:p>
          <a:endParaRPr b="0" lang="en-US" sz="800" spc="-1" strike="noStrike">
            <a:latin typeface="Times New Roman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22</xdr:col>
      <xdr:colOff>0</xdr:colOff>
      <xdr:row>9</xdr:row>
      <xdr:rowOff>57240</xdr:rowOff>
    </xdr:from>
    <xdr:to>
      <xdr:col>22</xdr:col>
      <xdr:colOff>216000</xdr:colOff>
      <xdr:row>11</xdr:row>
      <xdr:rowOff>19440</xdr:rowOff>
    </xdr:to>
    <xdr:sp>
      <xdr:nvSpPr>
        <xdr:cNvPr id="1" name="Text 2"/>
        <xdr:cNvSpPr/>
      </xdr:nvSpPr>
      <xdr:spPr>
        <a:xfrm>
          <a:off x="8494560" y="1299240"/>
          <a:ext cx="216000" cy="244080"/>
        </a:xfrm>
        <a:custGeom>
          <a:avLst/>
          <a:gdLst/>
          <a:ahLst/>
          <a:rect l="l" t="t" r="r" b="b"/>
          <a:pathLst>
            <a:path w="21600" h="21600">
              <a:moveTo>
                <a:pt x="0" y="0"/>
              </a:moveTo>
              <a:lnTo>
                <a:pt x="21600" y="0"/>
              </a:lnTo>
              <a:lnTo>
                <a:pt x="21600" y="21600"/>
              </a:lnTo>
              <a:lnTo>
                <a:pt x="0" y="21600"/>
              </a:lnTo>
              <a:lnTo>
                <a:pt x="0" y="0"/>
              </a:lnTo>
              <a:close/>
            </a:path>
          </a:pathLst>
        </a:custGeom>
        <a:solidFill>
          <a:srgbClr val="ffffff"/>
        </a:solidFill>
        <a:ln w="9360">
          <a:solidFill>
            <a:srgbClr val="eeeeec"/>
          </a:solidFill>
          <a:miter/>
        </a:ln>
      </xdr:spPr>
      <xdr:style>
        <a:lnRef idx="0"/>
        <a:fillRef idx="0"/>
        <a:effectRef idx="0"/>
        <a:fontRef idx="minor"/>
      </xdr:style>
      <xdr:txBody>
        <a:bodyPr lIns="20160" rIns="20160" tIns="20160" bIns="20160" anchor="t">
          <a:noAutofit/>
        </a:bodyPr>
        <a:p>
          <a:r>
            <a:rPr b="0" lang="en-US" sz="400" spc="-1" strike="noStrike">
              <a:latin typeface="LinePrinter"/>
            </a:rPr>
            <a:t>SPILL STARTED</a:t>
          </a:r>
          <a:endParaRPr b="0" lang="en-US" sz="400" spc="-1" strike="noStrike">
            <a:latin typeface="Times New Roman"/>
          </a:endParaRPr>
        </a:p>
        <a:p>
          <a:r>
            <a:rPr b="0" lang="en-US" sz="400" spc="-1" strike="noStrike">
              <a:latin typeface="LinePrinter"/>
            </a:rPr>
            <a:t>NO DEBIT</a:t>
          </a:r>
          <a:endParaRPr b="0" lang="en-US" sz="400" spc="-1" strike="noStrike">
            <a:latin typeface="Times New Roman"/>
          </a:endParaRPr>
        </a:p>
      </xdr:txBody>
    </xdr:sp>
    <xdr:clientData/>
  </xdr:twoCellAnchor>
</xdr:wsDr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vmlDrawing" Target="../drawings/vmlDrawing2.v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vmlDrawing" Target="../drawings/vmlDrawing3.v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L2" activeCellId="0" sqref="L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49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2" width="6.66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2" width="8.16"/>
    <col collapsed="false" customWidth="true" hidden="false" outlineLevel="0" max="26" min="26" style="2" width="4.6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6"/>
      <c r="L2" s="9" t="s">
        <v>2</v>
      </c>
      <c r="M2" s="6"/>
      <c r="N2" s="6"/>
      <c r="O2" s="6"/>
      <c r="P2" s="6"/>
      <c r="Q2" s="6"/>
      <c r="R2" s="6"/>
      <c r="S2" s="7"/>
      <c r="T2" s="6"/>
      <c r="U2" s="6"/>
      <c r="V2" s="7"/>
      <c r="W2" s="6"/>
      <c r="X2" s="6"/>
      <c r="Y2" s="10"/>
      <c r="Z2" s="11"/>
      <c r="AA2" s="12"/>
      <c r="AB2" s="13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</row>
    <row r="5" customFormat="false" ht="11.1" hidden="false" customHeight="true" outlineLevel="0" collapsed="false">
      <c r="A5" s="22" t="s">
        <v>22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23" t="s">
        <v>34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22</v>
      </c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</row>
    <row r="8" s="1" customFormat="true" ht="11.1" hidden="false" customHeight="true" outlineLevel="0" collapsed="false">
      <c r="A8" s="7" t="s">
        <v>43</v>
      </c>
      <c r="B8" s="29" t="n">
        <v>6855.03</v>
      </c>
      <c r="C8" s="7" t="n">
        <v>152044</v>
      </c>
      <c r="D8" s="7"/>
      <c r="E8" s="7"/>
      <c r="F8" s="7"/>
      <c r="G8" s="7"/>
      <c r="H8" s="12"/>
      <c r="I8" s="7"/>
      <c r="J8" s="7"/>
      <c r="K8" s="7"/>
      <c r="L8" s="7"/>
      <c r="M8" s="7"/>
      <c r="N8" s="7"/>
      <c r="O8" s="7" t="n">
        <v>402.2</v>
      </c>
      <c r="P8" s="7"/>
      <c r="Q8" s="7"/>
      <c r="R8" s="7"/>
      <c r="S8" s="7"/>
      <c r="T8" s="7"/>
      <c r="U8" s="7"/>
      <c r="V8" s="7"/>
      <c r="W8" s="7"/>
      <c r="X8" s="7"/>
      <c r="Y8" s="7"/>
      <c r="Z8" s="11"/>
      <c r="AA8" s="12"/>
      <c r="AB8" s="12"/>
      <c r="AC8" s="13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</row>
    <row r="10" customFormat="false" ht="11.1" hidden="false" customHeight="true" outlineLevel="0" collapsed="false">
      <c r="A10" s="13" t="n">
        <v>1</v>
      </c>
      <c r="B10" s="29" t="n">
        <v>6855.07</v>
      </c>
      <c r="C10" s="7" t="n">
        <v>152131</v>
      </c>
      <c r="D10" s="12" t="n">
        <f aca="false">C10-C8</f>
        <v>87</v>
      </c>
      <c r="E10" s="7" t="n">
        <f aca="false">C10-152000</f>
        <v>131</v>
      </c>
      <c r="F10" s="6" t="n">
        <f aca="false">D10/$D$2</f>
        <v>43.8618603478699</v>
      </c>
      <c r="G10" s="6" t="n">
        <v>175</v>
      </c>
      <c r="H10" s="8" t="n">
        <v>3.2</v>
      </c>
      <c r="I10" s="6" t="n">
        <f aca="false">G10+H10</f>
        <v>178.2</v>
      </c>
      <c r="J10" s="37" t="n">
        <f aca="false">IF(L10&gt;0,L10,0)</f>
        <v>25.9845223090497</v>
      </c>
      <c r="K10" s="6" t="n">
        <f aca="false">I10+J10</f>
        <v>204.18452230905</v>
      </c>
      <c r="L10" s="6" t="n">
        <f aca="false">F10-(I10-W10)</f>
        <v>25.9845223090497</v>
      </c>
      <c r="M10" s="6"/>
      <c r="N10" s="6"/>
      <c r="O10" s="6"/>
      <c r="P10" s="6"/>
      <c r="Q10" s="6"/>
      <c r="R10" s="6"/>
      <c r="S10" s="6" t="n">
        <f aca="false">217/1.9835</f>
        <v>109.402571212503</v>
      </c>
      <c r="T10" s="7"/>
      <c r="U10" s="6"/>
      <c r="V10" s="6" t="n">
        <f aca="false">101/1.9835</f>
        <v>50.9200907486766</v>
      </c>
      <c r="W10" s="6" t="n">
        <f aca="false">N10+O10+S10+U10+V10</f>
        <v>160.32266196118</v>
      </c>
      <c r="X10" s="6" t="n">
        <f aca="false">IF(L10&lt;0,L10*-1,0)</f>
        <v>0</v>
      </c>
      <c r="Y10" s="6" t="n">
        <f aca="false">W10+X10</f>
        <v>160.32266196118</v>
      </c>
      <c r="Z10" s="11" t="n">
        <v>0.04</v>
      </c>
      <c r="AA10" s="12" t="n">
        <v>52</v>
      </c>
      <c r="AB10" s="12" t="n">
        <v>23</v>
      </c>
      <c r="AC10" s="13" t="n">
        <v>1</v>
      </c>
    </row>
    <row r="11" customFormat="false" ht="11.1" hidden="false" customHeight="true" outlineLevel="0" collapsed="false">
      <c r="A11" s="13" t="n">
        <f aca="false">A10+1</f>
        <v>2</v>
      </c>
      <c r="B11" s="38" t="n">
        <v>6855.08</v>
      </c>
      <c r="C11" s="7" t="n">
        <v>152152</v>
      </c>
      <c r="D11" s="12" t="n">
        <f aca="false">C11-C10</f>
        <v>21</v>
      </c>
      <c r="E11" s="7" t="n">
        <f aca="false">C11-152000</f>
        <v>152</v>
      </c>
      <c r="F11" s="6" t="n">
        <f aca="false">D11/$D$2</f>
        <v>10.58734560121</v>
      </c>
      <c r="G11" s="6" t="n">
        <v>157</v>
      </c>
      <c r="H11" s="8" t="n">
        <v>2.9</v>
      </c>
      <c r="I11" s="6" t="n">
        <f aca="false">G11+H11</f>
        <v>159.9</v>
      </c>
      <c r="J11" s="37" t="n">
        <f aca="false">IF(L11&gt;0,L11,0)</f>
        <v>10.0016889337031</v>
      </c>
      <c r="K11" s="6" t="n">
        <f aca="false">I11+J11</f>
        <v>169.901688933703</v>
      </c>
      <c r="L11" s="6" t="n">
        <f aca="false">F11-(I11-W11)</f>
        <v>10.0016889337031</v>
      </c>
      <c r="M11" s="6"/>
      <c r="N11" s="6"/>
      <c r="O11" s="6"/>
      <c r="P11" s="6"/>
      <c r="Q11" s="6"/>
      <c r="R11" s="6"/>
      <c r="S11" s="6" t="n">
        <f aca="false">216/1.9835</f>
        <v>108.89841189816</v>
      </c>
      <c r="T11" s="7"/>
      <c r="U11" s="6"/>
      <c r="V11" s="6" t="n">
        <f aca="false">100/1.9835</f>
        <v>50.4159314343332</v>
      </c>
      <c r="W11" s="6" t="n">
        <f aca="false">N11+O11+S11+U11+V11</f>
        <v>159.314343332493</v>
      </c>
      <c r="X11" s="6" t="n">
        <f aca="false">IF(L11&lt;0,L11*-1,0)</f>
        <v>0</v>
      </c>
      <c r="Y11" s="6" t="n">
        <f aca="false">W11+X11</f>
        <v>159.314343332493</v>
      </c>
      <c r="Z11" s="11" t="n">
        <v>0</v>
      </c>
      <c r="AA11" s="12"/>
      <c r="AB11" s="12"/>
      <c r="AC11" s="13" t="n">
        <f aca="false">AC10+1</f>
        <v>2</v>
      </c>
    </row>
    <row r="12" customFormat="false" ht="11.1" hidden="false" customHeight="true" outlineLevel="0" collapsed="false">
      <c r="A12" s="13" t="n">
        <f aca="false">A11+1</f>
        <v>3</v>
      </c>
      <c r="B12" s="29" t="n">
        <v>6855.12</v>
      </c>
      <c r="C12" s="7" t="n">
        <v>152239</v>
      </c>
      <c r="D12" s="12" t="n">
        <f aca="false">C12-C11</f>
        <v>87</v>
      </c>
      <c r="E12" s="7" t="n">
        <f aca="false">C12-152000</f>
        <v>239</v>
      </c>
      <c r="F12" s="6" t="n">
        <f aca="false">D12/$D$2</f>
        <v>43.8618603478699</v>
      </c>
      <c r="G12" s="6" t="n">
        <v>166</v>
      </c>
      <c r="H12" s="8" t="n">
        <v>2.4</v>
      </c>
      <c r="I12" s="6" t="n">
        <f aca="false">G12+H12</f>
        <v>168.4</v>
      </c>
      <c r="J12" s="37" t="n">
        <f aca="false">IF(L12&gt;0,L12,0)</f>
        <v>34.776203680363</v>
      </c>
      <c r="K12" s="6" t="n">
        <f aca="false">I12+J12</f>
        <v>203.176203680363</v>
      </c>
      <c r="L12" s="6" t="n">
        <f aca="false">F12-(I12-W12)</f>
        <v>34.776203680363</v>
      </c>
      <c r="M12" s="6"/>
      <c r="N12" s="6"/>
      <c r="O12" s="6"/>
      <c r="P12" s="6"/>
      <c r="Q12" s="6"/>
      <c r="R12" s="6"/>
      <c r="S12" s="6" t="n">
        <f aca="false">216/1.9835</f>
        <v>108.89841189816</v>
      </c>
      <c r="T12" s="7"/>
      <c r="U12" s="6"/>
      <c r="V12" s="6" t="n">
        <f aca="false">100/1.9835</f>
        <v>50.4159314343332</v>
      </c>
      <c r="W12" s="6" t="n">
        <f aca="false">N12+O12+S12+U12+V12</f>
        <v>159.314343332493</v>
      </c>
      <c r="X12" s="6" t="n">
        <f aca="false">IF(L12&lt;0,L12*-1,0)</f>
        <v>0</v>
      </c>
      <c r="Y12" s="6" t="n">
        <f aca="false">W12+X12</f>
        <v>159.314343332493</v>
      </c>
      <c r="Z12" s="11" t="n">
        <v>0</v>
      </c>
      <c r="AA12" s="12"/>
      <c r="AB12" s="12"/>
      <c r="AC12" s="13" t="n">
        <f aca="false">AC11+1</f>
        <v>3</v>
      </c>
    </row>
    <row r="13" customFormat="false" ht="11.1" hidden="false" customHeight="true" outlineLevel="0" collapsed="false">
      <c r="A13" s="13" t="n">
        <f aca="false">A12+1</f>
        <v>4</v>
      </c>
      <c r="B13" s="29" t="n">
        <v>6855.16</v>
      </c>
      <c r="C13" s="7" t="n">
        <v>152326</v>
      </c>
      <c r="D13" s="12" t="n">
        <f aca="false">C13-C12</f>
        <v>87</v>
      </c>
      <c r="E13" s="7" t="n">
        <f aca="false">C13-152000</f>
        <v>326</v>
      </c>
      <c r="F13" s="6" t="n">
        <f aca="false">D13/$D$2</f>
        <v>43.8618603478699</v>
      </c>
      <c r="G13" s="6" t="n">
        <v>157</v>
      </c>
      <c r="H13" s="8" t="n">
        <v>2.4</v>
      </c>
      <c r="I13" s="6" t="n">
        <f aca="false">G13+H13</f>
        <v>159.4</v>
      </c>
      <c r="J13" s="37" t="n">
        <f aca="false">IF(L13&gt;0,L13,0)</f>
        <v>43.776203680363</v>
      </c>
      <c r="K13" s="6" t="n">
        <f aca="false">I13+J13</f>
        <v>203.176203680363</v>
      </c>
      <c r="L13" s="6" t="n">
        <f aca="false">F13-(I13-W13)</f>
        <v>43.776203680363</v>
      </c>
      <c r="M13" s="6"/>
      <c r="N13" s="6"/>
      <c r="O13" s="6"/>
      <c r="P13" s="6"/>
      <c r="Q13" s="6"/>
      <c r="R13" s="6"/>
      <c r="S13" s="6" t="n">
        <f aca="false">216/1.9835</f>
        <v>108.89841189816</v>
      </c>
      <c r="T13" s="7"/>
      <c r="U13" s="6"/>
      <c r="V13" s="6" t="n">
        <f aca="false">100/1.9835</f>
        <v>50.4159314343332</v>
      </c>
      <c r="W13" s="6" t="n">
        <f aca="false">N13+O13+S13+U13+V13</f>
        <v>159.314343332493</v>
      </c>
      <c r="X13" s="6" t="n">
        <f aca="false">IF(L13&lt;0,L13*-1,0)</f>
        <v>0</v>
      </c>
      <c r="Y13" s="6" t="n">
        <f aca="false">W13+X13</f>
        <v>159.314343332493</v>
      </c>
      <c r="Z13" s="11" t="n">
        <v>0</v>
      </c>
      <c r="AA13" s="12" t="n">
        <v>61</v>
      </c>
      <c r="AB13" s="12" t="n">
        <v>28</v>
      </c>
      <c r="AC13" s="13" t="n">
        <f aca="false">AC12+1</f>
        <v>4</v>
      </c>
    </row>
    <row r="14" customFormat="false" ht="11.1" hidden="false" customHeight="true" outlineLevel="0" collapsed="false">
      <c r="A14" s="13" t="n">
        <f aca="false">A13+1</f>
        <v>5</v>
      </c>
      <c r="B14" s="29" t="n">
        <v>6855.21</v>
      </c>
      <c r="C14" s="7" t="n">
        <v>152435</v>
      </c>
      <c r="D14" s="12" t="n">
        <f aca="false">C14-C13</f>
        <v>109</v>
      </c>
      <c r="E14" s="7" t="n">
        <f aca="false">C14-152000</f>
        <v>435</v>
      </c>
      <c r="F14" s="6" t="n">
        <f aca="false">D14/$D$2</f>
        <v>54.9533652634232</v>
      </c>
      <c r="G14" s="6" t="n">
        <v>157</v>
      </c>
      <c r="H14" s="8" t="n">
        <v>2.3</v>
      </c>
      <c r="I14" s="6" t="n">
        <f aca="false">G14+H14</f>
        <v>159.3</v>
      </c>
      <c r="J14" s="37" t="n">
        <f aca="false">IF(L14&gt;0,L14,0)</f>
        <v>55.4718679102596</v>
      </c>
      <c r="K14" s="6" t="n">
        <f aca="false">I14+J14</f>
        <v>214.77186791026</v>
      </c>
      <c r="L14" s="6" t="n">
        <f aca="false">F14-(I14-W14)</f>
        <v>55.4718679102596</v>
      </c>
      <c r="M14" s="6"/>
      <c r="N14" s="6"/>
      <c r="O14" s="6"/>
      <c r="P14" s="6"/>
      <c r="Q14" s="6"/>
      <c r="R14" s="6"/>
      <c r="S14" s="6" t="n">
        <f aca="false">217/1.9835</f>
        <v>109.402571212503</v>
      </c>
      <c r="T14" s="7"/>
      <c r="U14" s="6"/>
      <c r="V14" s="6" t="n">
        <f aca="false">100/1.9835</f>
        <v>50.4159314343332</v>
      </c>
      <c r="W14" s="6" t="n">
        <f aca="false">N14+O14+S14+U14+V14</f>
        <v>159.818502646836</v>
      </c>
      <c r="X14" s="6" t="n">
        <f aca="false">IF(L14&lt;0,L14*-1,0)</f>
        <v>0</v>
      </c>
      <c r="Y14" s="6" t="n">
        <f aca="false">W14+X14</f>
        <v>159.818502646836</v>
      </c>
      <c r="Z14" s="11" t="n">
        <v>0</v>
      </c>
      <c r="AA14" s="12" t="n">
        <v>65</v>
      </c>
      <c r="AB14" s="12" t="n">
        <v>36</v>
      </c>
      <c r="AC14" s="13" t="n">
        <f aca="false">AC13+1</f>
        <v>5</v>
      </c>
    </row>
    <row r="15" customFormat="false" ht="11.1" hidden="false" customHeight="true" outlineLevel="0" collapsed="false">
      <c r="A15" s="13" t="n">
        <f aca="false">A14+1</f>
        <v>6</v>
      </c>
      <c r="B15" s="29" t="n">
        <v>6855.18</v>
      </c>
      <c r="C15" s="7" t="n">
        <v>152369</v>
      </c>
      <c r="D15" s="12" t="n">
        <f aca="false">C15-C14</f>
        <v>-66</v>
      </c>
      <c r="E15" s="7" t="n">
        <f aca="false">C15-152000</f>
        <v>369</v>
      </c>
      <c r="F15" s="6" t="n">
        <f aca="false">D15/$D$2</f>
        <v>-33.2745147466599</v>
      </c>
      <c r="G15" s="6" t="n">
        <v>145</v>
      </c>
      <c r="H15" s="8" t="n">
        <v>2.2</v>
      </c>
      <c r="I15" s="6" t="n">
        <f aca="false">G15+H15</f>
        <v>147.2</v>
      </c>
      <c r="J15" s="37" t="n">
        <f aca="false">IF(L15&gt;0,L15,0)</f>
        <v>0</v>
      </c>
      <c r="K15" s="6" t="n">
        <f aca="false">I15+J15</f>
        <v>147.2</v>
      </c>
      <c r="L15" s="6" t="n">
        <f aca="false">F15-(I15-W15)</f>
        <v>-20.1518527854802</v>
      </c>
      <c r="M15" s="6"/>
      <c r="N15" s="6"/>
      <c r="O15" s="6"/>
      <c r="P15" s="6"/>
      <c r="Q15" s="6"/>
      <c r="R15" s="6"/>
      <c r="S15" s="6" t="n">
        <f aca="false">218/1.9835</f>
        <v>109.906730526847</v>
      </c>
      <c r="T15" s="7"/>
      <c r="U15" s="6"/>
      <c r="V15" s="6" t="n">
        <f aca="false">100/1.9835</f>
        <v>50.4159314343332</v>
      </c>
      <c r="W15" s="6" t="n">
        <f aca="false">N15+O15+S15+U15+V15</f>
        <v>160.32266196118</v>
      </c>
      <c r="X15" s="6" t="n">
        <f aca="false">IF(L15&lt;0,L15*-1,0)</f>
        <v>20.1518527854802</v>
      </c>
      <c r="Y15" s="6" t="n">
        <f aca="false">W15+X15</f>
        <v>180.47451474666</v>
      </c>
      <c r="Z15" s="11" t="n">
        <v>0</v>
      </c>
      <c r="AA15" s="12" t="n">
        <v>54</v>
      </c>
      <c r="AB15" s="12" t="n">
        <v>24</v>
      </c>
      <c r="AC15" s="13" t="n">
        <f aca="false">AC14+1</f>
        <v>6</v>
      </c>
    </row>
    <row r="16" customFormat="false" ht="11.1" hidden="false" customHeight="true" outlineLevel="0" collapsed="false">
      <c r="A16" s="13" t="n">
        <f aca="false">A15+1</f>
        <v>7</v>
      </c>
      <c r="B16" s="29" t="n">
        <v>6855.15</v>
      </c>
      <c r="C16" s="7" t="n">
        <v>152304</v>
      </c>
      <c r="D16" s="12" t="n">
        <f aca="false">C16-C15</f>
        <v>-65</v>
      </c>
      <c r="E16" s="7" t="n">
        <f aca="false">C16-152000</f>
        <v>304</v>
      </c>
      <c r="F16" s="6" t="n">
        <f aca="false">D16/$D$2</f>
        <v>-32.7703554323166</v>
      </c>
      <c r="G16" s="6" t="n">
        <v>122</v>
      </c>
      <c r="H16" s="8" t="n">
        <v>2</v>
      </c>
      <c r="I16" s="6" t="n">
        <f aca="false">G16+H16</f>
        <v>124</v>
      </c>
      <c r="J16" s="37" t="n">
        <f aca="false">IF(L16&gt;0,L16,0)</f>
        <v>4.05646584320645</v>
      </c>
      <c r="K16" s="6" t="n">
        <f aca="false">I16+J16</f>
        <v>128.056465843206</v>
      </c>
      <c r="L16" s="6" t="n">
        <f aca="false">F16-(I16-W16)</f>
        <v>4.05646584320645</v>
      </c>
      <c r="M16" s="6"/>
      <c r="N16" s="6"/>
      <c r="O16" s="6"/>
      <c r="P16" s="6"/>
      <c r="Q16" s="6"/>
      <c r="R16" s="6"/>
      <c r="S16" s="6" t="n">
        <f aca="false">219/1.9835</f>
        <v>110.41088984119</v>
      </c>
      <c r="T16" s="7"/>
      <c r="U16" s="6"/>
      <c r="V16" s="6" t="n">
        <f aca="false">100/1.9835</f>
        <v>50.4159314343332</v>
      </c>
      <c r="W16" s="6" t="n">
        <f aca="false">N16+O16+S16+U16+V16</f>
        <v>160.826821275523</v>
      </c>
      <c r="X16" s="6" t="n">
        <f aca="false">IF(L16&lt;0,L16*-1,0)</f>
        <v>0</v>
      </c>
      <c r="Y16" s="6" t="n">
        <f aca="false">W16+X16</f>
        <v>160.826821275523</v>
      </c>
      <c r="Z16" s="11" t="n">
        <v>0</v>
      </c>
      <c r="AA16" s="12" t="n">
        <v>53</v>
      </c>
      <c r="AB16" s="12" t="n">
        <v>22</v>
      </c>
      <c r="AC16" s="13" t="n">
        <f aca="false">AC15+1</f>
        <v>7</v>
      </c>
    </row>
    <row r="17" customFormat="false" ht="11.1" hidden="false" customHeight="true" outlineLevel="0" collapsed="false">
      <c r="A17" s="13" t="n">
        <f aca="false">A16+1</f>
        <v>8</v>
      </c>
      <c r="B17" s="29" t="n">
        <v>6855.11</v>
      </c>
      <c r="C17" s="7" t="n">
        <v>152217</v>
      </c>
      <c r="D17" s="12" t="n">
        <f aca="false">C17-C16</f>
        <v>-87</v>
      </c>
      <c r="E17" s="7" t="n">
        <f aca="false">C17-152000</f>
        <v>217</v>
      </c>
      <c r="F17" s="6" t="n">
        <f aca="false">D17/$D$2</f>
        <v>-43.8618603478699</v>
      </c>
      <c r="G17" s="6" t="n">
        <v>130</v>
      </c>
      <c r="H17" s="8" t="n">
        <v>1.5</v>
      </c>
      <c r="I17" s="6" t="n">
        <f aca="false">G17+H17</f>
        <v>131.5</v>
      </c>
      <c r="J17" s="37" t="n">
        <f aca="false">IF(L17&gt;0,L17,0)</f>
        <v>0</v>
      </c>
      <c r="K17" s="6" t="n">
        <f aca="false">I17+J17</f>
        <v>131.5</v>
      </c>
      <c r="L17" s="6" t="n">
        <f aca="false">F17-(I17-W17)</f>
        <v>-15.0391983866902</v>
      </c>
      <c r="M17" s="6"/>
      <c r="N17" s="6"/>
      <c r="O17" s="6"/>
      <c r="P17" s="6"/>
      <c r="Q17" s="6"/>
      <c r="R17" s="6"/>
      <c r="S17" s="6" t="n">
        <f aca="false">218/1.9835</f>
        <v>109.906730526847</v>
      </c>
      <c r="T17" s="7"/>
      <c r="U17" s="6"/>
      <c r="V17" s="6" t="n">
        <f aca="false">100/1.9835</f>
        <v>50.4159314343332</v>
      </c>
      <c r="W17" s="6" t="n">
        <f aca="false">N17+O17+S17+U17+V17</f>
        <v>160.32266196118</v>
      </c>
      <c r="X17" s="6" t="n">
        <f aca="false">IF(L17&lt;0,L17*-1,0)</f>
        <v>15.0391983866902</v>
      </c>
      <c r="Y17" s="6" t="n">
        <f aca="false">W17+X17</f>
        <v>175.36186034787</v>
      </c>
      <c r="Z17" s="11" t="n">
        <v>0.03</v>
      </c>
      <c r="AA17" s="12" t="n">
        <v>54</v>
      </c>
      <c r="AB17" s="12" t="n">
        <v>26</v>
      </c>
      <c r="AC17" s="13" t="n">
        <f aca="false">AC16+1</f>
        <v>8</v>
      </c>
    </row>
    <row r="18" customFormat="false" ht="11.1" hidden="false" customHeight="true" outlineLevel="0" collapsed="false">
      <c r="A18" s="13" t="n">
        <f aca="false">A17+1</f>
        <v>9</v>
      </c>
      <c r="B18" s="29" t="n">
        <v>6855.11</v>
      </c>
      <c r="C18" s="7" t="n">
        <v>152217</v>
      </c>
      <c r="D18" s="12" t="n">
        <f aca="false">C18-C17</f>
        <v>0</v>
      </c>
      <c r="E18" s="7" t="n">
        <f aca="false">C18-152000</f>
        <v>217</v>
      </c>
      <c r="F18" s="6" t="n">
        <f aca="false">D18/$D$2</f>
        <v>0</v>
      </c>
      <c r="G18" s="6" t="n">
        <v>135</v>
      </c>
      <c r="H18" s="8" t="n">
        <v>1.7</v>
      </c>
      <c r="I18" s="6" t="n">
        <f aca="false">G18+H18</f>
        <v>136.7</v>
      </c>
      <c r="J18" s="37" t="n">
        <f aca="false">IF(L18&gt;0,L18,0)</f>
        <v>24.1268212755231</v>
      </c>
      <c r="K18" s="6" t="n">
        <f aca="false">I18+J18</f>
        <v>160.826821275523</v>
      </c>
      <c r="L18" s="6" t="n">
        <f aca="false">F18-(I18-W18)</f>
        <v>24.1268212755231</v>
      </c>
      <c r="M18" s="6"/>
      <c r="N18" s="6"/>
      <c r="O18" s="6"/>
      <c r="P18" s="6"/>
      <c r="Q18" s="6"/>
      <c r="R18" s="6"/>
      <c r="S18" s="6" t="n">
        <f aca="false">219/1.9835</f>
        <v>110.41088984119</v>
      </c>
      <c r="T18" s="7"/>
      <c r="U18" s="6"/>
      <c r="V18" s="6" t="n">
        <f aca="false">100/1.9835</f>
        <v>50.4159314343332</v>
      </c>
      <c r="W18" s="6" t="n">
        <f aca="false">N18+O18+S18+U18+V18</f>
        <v>160.826821275523</v>
      </c>
      <c r="X18" s="6" t="n">
        <f aca="false">IF(L18&lt;0,L18*-1,0)</f>
        <v>0</v>
      </c>
      <c r="Y18" s="6" t="n">
        <f aca="false">W18+X18</f>
        <v>160.826821275523</v>
      </c>
      <c r="Z18" s="11" t="n">
        <v>0</v>
      </c>
      <c r="AA18" s="39"/>
      <c r="AB18" s="12"/>
      <c r="AC18" s="13" t="n">
        <f aca="false">AC17+1</f>
        <v>9</v>
      </c>
    </row>
    <row r="19" customFormat="false" ht="11.1" hidden="false" customHeight="true" outlineLevel="0" collapsed="false">
      <c r="A19" s="13" t="n">
        <f aca="false">A18+1</f>
        <v>10</v>
      </c>
      <c r="B19" s="29" t="n">
        <v>6855.07</v>
      </c>
      <c r="C19" s="7" t="n">
        <v>152131</v>
      </c>
      <c r="D19" s="12" t="n">
        <f aca="false">C19-C18</f>
        <v>-86</v>
      </c>
      <c r="E19" s="7" t="n">
        <f aca="false">C19-152000</f>
        <v>131</v>
      </c>
      <c r="F19" s="6" t="n">
        <f aca="false">D19/$D$2</f>
        <v>-43.3577010335266</v>
      </c>
      <c r="G19" s="6" t="n">
        <v>125</v>
      </c>
      <c r="H19" s="8" t="n">
        <v>2.1</v>
      </c>
      <c r="I19" s="6" t="n">
        <f aca="false">G19+H19</f>
        <v>127.1</v>
      </c>
      <c r="J19" s="37" t="n">
        <f aca="false">IF(L19&gt;0,L19,0)</f>
        <v>0</v>
      </c>
      <c r="K19" s="6" t="n">
        <f aca="false">I19+J19</f>
        <v>127.1</v>
      </c>
      <c r="L19" s="6" t="n">
        <f aca="false">F19-(I19-W19)</f>
        <v>-9.1267204436602</v>
      </c>
      <c r="M19" s="6"/>
      <c r="N19" s="6"/>
      <c r="O19" s="6"/>
      <c r="P19" s="6"/>
      <c r="Q19" s="6"/>
      <c r="R19" s="6"/>
      <c r="S19" s="6" t="n">
        <f aca="false">219/1.9835</f>
        <v>110.41088984119</v>
      </c>
      <c r="T19" s="7"/>
      <c r="U19" s="6"/>
      <c r="V19" s="6" t="n">
        <f aca="false">101/1.9835</f>
        <v>50.9200907486766</v>
      </c>
      <c r="W19" s="6" t="n">
        <f aca="false">N19+O19+S19+U19+V19</f>
        <v>161.330980589866</v>
      </c>
      <c r="X19" s="6" t="n">
        <f aca="false">IF(L19&lt;0,L19*-1,0)</f>
        <v>9.1267204436602</v>
      </c>
      <c r="Y19" s="6" t="n">
        <f aca="false">W19+X19</f>
        <v>170.457701033527</v>
      </c>
      <c r="Z19" s="11" t="n">
        <v>0</v>
      </c>
      <c r="AA19" s="12"/>
      <c r="AB19" s="12"/>
      <c r="AC19" s="13" t="n">
        <f aca="false">AC18+1</f>
        <v>10</v>
      </c>
    </row>
    <row r="20" customFormat="false" ht="11.1" hidden="false" customHeight="true" outlineLevel="0" collapsed="false">
      <c r="A20" s="13" t="n">
        <f aca="false">A19+1</f>
        <v>11</v>
      </c>
      <c r="B20" s="29" t="n">
        <v>6855.03</v>
      </c>
      <c r="C20" s="7" t="n">
        <v>152044</v>
      </c>
      <c r="D20" s="12" t="n">
        <f aca="false">C20-C19</f>
        <v>-87</v>
      </c>
      <c r="E20" s="7" t="n">
        <f aca="false">C20-152000</f>
        <v>44</v>
      </c>
      <c r="F20" s="6" t="n">
        <f aca="false">D20/$D$2</f>
        <v>-43.8618603478699</v>
      </c>
      <c r="G20" s="6" t="n">
        <v>125</v>
      </c>
      <c r="H20" s="8" t="n">
        <v>1.7</v>
      </c>
      <c r="I20" s="6" t="n">
        <f aca="false">G20+H20</f>
        <v>126.7</v>
      </c>
      <c r="J20" s="37" t="n">
        <f aca="false">IF(L20&gt;0,L20,0)</f>
        <v>0</v>
      </c>
      <c r="K20" s="6" t="n">
        <f aca="false">I20+J20</f>
        <v>126.7</v>
      </c>
      <c r="L20" s="6" t="n">
        <f aca="false">F20-(I20-W20)</f>
        <v>-60.6551298210235</v>
      </c>
      <c r="M20" s="6"/>
      <c r="N20" s="6"/>
      <c r="O20" s="6"/>
      <c r="P20" s="6"/>
      <c r="Q20" s="6"/>
      <c r="R20" s="6"/>
      <c r="S20" s="6" t="n">
        <f aca="false">118/1.9835</f>
        <v>59.4907990925132</v>
      </c>
      <c r="T20" s="7"/>
      <c r="U20" s="6"/>
      <c r="V20" s="6" t="n">
        <f aca="false">100/1.9835</f>
        <v>50.4159314343332</v>
      </c>
      <c r="W20" s="6" t="n">
        <f aca="false">N20+O20+S20+U20+V20</f>
        <v>109.906730526846</v>
      </c>
      <c r="X20" s="6" t="n">
        <f aca="false">IF(L20&lt;0,L20*-1,0)</f>
        <v>60.6551298210235</v>
      </c>
      <c r="Y20" s="6" t="n">
        <f aca="false">W20+X20</f>
        <v>170.56186034787</v>
      </c>
      <c r="Z20" s="11" t="n">
        <v>0</v>
      </c>
      <c r="AA20" s="12" t="n">
        <v>54</v>
      </c>
      <c r="AB20" s="12" t="n">
        <v>28</v>
      </c>
      <c r="AC20" s="13" t="n">
        <f aca="false">AC19+1</f>
        <v>11</v>
      </c>
    </row>
    <row r="21" customFormat="false" ht="11.1" hidden="false" customHeight="true" outlineLevel="0" collapsed="false">
      <c r="A21" s="13" t="n">
        <f aca="false">A20+1</f>
        <v>12</v>
      </c>
      <c r="B21" s="29" t="n">
        <v>6855.01</v>
      </c>
      <c r="C21" s="7" t="n">
        <v>152000</v>
      </c>
      <c r="D21" s="12" t="n">
        <f aca="false">C21-C20</f>
        <v>-44</v>
      </c>
      <c r="E21" s="7" t="n">
        <f aca="false">C21-152000</f>
        <v>0</v>
      </c>
      <c r="F21" s="6" t="n">
        <f aca="false">D21/$D$2</f>
        <v>-22.1830098311066</v>
      </c>
      <c r="G21" s="6" t="n">
        <v>132</v>
      </c>
      <c r="H21" s="8" t="n">
        <v>1.9</v>
      </c>
      <c r="I21" s="6" t="n">
        <f aca="false">G21+H21</f>
        <v>133.9</v>
      </c>
      <c r="J21" s="37" t="n">
        <f aca="false">IF(L21&gt;0,L21,0)</f>
        <v>0</v>
      </c>
      <c r="K21" s="6" t="n">
        <f aca="false">I21+J21</f>
        <v>133.9</v>
      </c>
      <c r="L21" s="6" t="n">
        <f aca="false">F21-(I21-W21)</f>
        <v>-42.1430047895135</v>
      </c>
      <c r="M21" s="6"/>
      <c r="N21" s="6"/>
      <c r="O21" s="6"/>
      <c r="P21" s="6"/>
      <c r="Q21" s="6"/>
      <c r="R21" s="6"/>
      <c r="S21" s="6" t="n">
        <f aca="false">126/1.9835</f>
        <v>63.5240736072599</v>
      </c>
      <c r="T21" s="7"/>
      <c r="U21" s="6"/>
      <c r="V21" s="6" t="n">
        <f aca="false">100/1.9835</f>
        <v>50.4159314343332</v>
      </c>
      <c r="W21" s="6" t="n">
        <f aca="false">N21+O21+S21+U21+V21</f>
        <v>113.940005041593</v>
      </c>
      <c r="X21" s="6" t="n">
        <f aca="false">IF(L21&lt;0,L21*-1,0)</f>
        <v>42.1430047895135</v>
      </c>
      <c r="Y21" s="6" t="n">
        <f aca="false">W21+X21</f>
        <v>156.083009831107</v>
      </c>
      <c r="Z21" s="11" t="n">
        <v>0.1</v>
      </c>
      <c r="AA21" s="12" t="n">
        <v>52</v>
      </c>
      <c r="AB21" s="12" t="n">
        <v>24</v>
      </c>
      <c r="AC21" s="13" t="n">
        <f aca="false">AC20+1</f>
        <v>12</v>
      </c>
    </row>
    <row r="22" customFormat="false" ht="11.1" hidden="false" customHeight="true" outlineLevel="0" collapsed="false">
      <c r="A22" s="13" t="n">
        <f aca="false">A21+1</f>
        <v>13</v>
      </c>
      <c r="B22" s="29" t="n">
        <v>6855.1</v>
      </c>
      <c r="C22" s="7" t="n">
        <v>152196</v>
      </c>
      <c r="D22" s="12" t="n">
        <f aca="false">C22-C21</f>
        <v>196</v>
      </c>
      <c r="E22" s="7" t="n">
        <f aca="false">C22-152000</f>
        <v>196</v>
      </c>
      <c r="F22" s="6" t="n">
        <f aca="false">D22/$D$2</f>
        <v>98.8152256112932</v>
      </c>
      <c r="G22" s="6" t="n">
        <v>112</v>
      </c>
      <c r="H22" s="8" t="n">
        <v>1.9</v>
      </c>
      <c r="I22" s="6" t="n">
        <f aca="false">G22+H22</f>
        <v>113.9</v>
      </c>
      <c r="J22" s="37" t="n">
        <f aca="false">IF(L22&gt;0,L22,0)</f>
        <v>83.226291908243</v>
      </c>
      <c r="K22" s="6" t="n">
        <f aca="false">I22+J22</f>
        <v>197.126291908243</v>
      </c>
      <c r="L22" s="6" t="n">
        <f aca="false">F22-(I22-W22)</f>
        <v>83.226291908243</v>
      </c>
      <c r="M22" s="6"/>
      <c r="N22" s="6"/>
      <c r="O22" s="6"/>
      <c r="P22" s="6"/>
      <c r="Q22" s="6"/>
      <c r="R22" s="6"/>
      <c r="S22" s="6" t="n">
        <f aca="false">95/1.9835</f>
        <v>47.8951348626166</v>
      </c>
      <c r="T22" s="7"/>
      <c r="U22" s="6"/>
      <c r="V22" s="6" t="n">
        <f aca="false">100/1.9835</f>
        <v>50.4159314343332</v>
      </c>
      <c r="W22" s="6" t="n">
        <f aca="false">N22+O22+S22+U22+V22</f>
        <v>98.3110662969498</v>
      </c>
      <c r="X22" s="6" t="n">
        <f aca="false">IF(L22&lt;0,L22*-1,0)</f>
        <v>0</v>
      </c>
      <c r="Y22" s="6" t="n">
        <f aca="false">W22+X22</f>
        <v>98.3110662969498</v>
      </c>
      <c r="Z22" s="11" t="n">
        <v>0.02</v>
      </c>
      <c r="AA22" s="12" t="n">
        <v>50</v>
      </c>
      <c r="AB22" s="12" t="n">
        <v>17</v>
      </c>
      <c r="AC22" s="13" t="n">
        <f aca="false">AC21+1</f>
        <v>13</v>
      </c>
    </row>
    <row r="23" customFormat="false" ht="11.1" hidden="false" customHeight="true" outlineLevel="0" collapsed="false">
      <c r="A23" s="13" t="n">
        <f aca="false">A22+1</f>
        <v>14</v>
      </c>
      <c r="B23" s="29" t="n">
        <v>6855.21</v>
      </c>
      <c r="C23" s="7" t="n">
        <v>152435</v>
      </c>
      <c r="D23" s="12" t="n">
        <f aca="false">C23-C22</f>
        <v>239</v>
      </c>
      <c r="E23" s="7" t="n">
        <f aca="false">C23-152000</f>
        <v>435</v>
      </c>
      <c r="F23" s="6" t="n">
        <f aca="false">D23/$D$2</f>
        <v>120.494076128056</v>
      </c>
      <c r="G23" s="6" t="n">
        <v>91</v>
      </c>
      <c r="H23" s="8" t="n">
        <v>1.3</v>
      </c>
      <c r="I23" s="6" t="n">
        <f aca="false">G23+H23</f>
        <v>92.3</v>
      </c>
      <c r="J23" s="37" t="n">
        <f aca="false">IF(L23&gt;0,L23,0)</f>
        <v>103.817973279556</v>
      </c>
      <c r="K23" s="6" t="n">
        <f aca="false">I23+J23</f>
        <v>196.117973279556</v>
      </c>
      <c r="L23" s="6" t="n">
        <f aca="false">F23-(I23-W23)</f>
        <v>103.817973279556</v>
      </c>
      <c r="M23" s="6"/>
      <c r="N23" s="6"/>
      <c r="O23" s="6"/>
      <c r="P23" s="6"/>
      <c r="Q23" s="6"/>
      <c r="R23" s="6"/>
      <c r="S23" s="6" t="n">
        <f aca="false">50/1.9835</f>
        <v>25.2079657171666</v>
      </c>
      <c r="T23" s="7"/>
      <c r="U23" s="6"/>
      <c r="V23" s="6" t="n">
        <f aca="false">100/1.9835</f>
        <v>50.4159314343332</v>
      </c>
      <c r="W23" s="6" t="n">
        <f aca="false">N23+O23+S23+U23+V23</f>
        <v>75.6238971514999</v>
      </c>
      <c r="X23" s="6" t="n">
        <f aca="false">IF(L23&lt;0,L23*-1,0)</f>
        <v>0</v>
      </c>
      <c r="Y23" s="6" t="n">
        <f aca="false">W23+X23</f>
        <v>75.6238971514999</v>
      </c>
      <c r="Z23" s="11" t="n">
        <v>0</v>
      </c>
      <c r="AA23" s="39" t="n">
        <v>41</v>
      </c>
      <c r="AB23" s="12" t="n">
        <v>10</v>
      </c>
      <c r="AC23" s="13" t="n">
        <f aca="false">AC22+1</f>
        <v>14</v>
      </c>
    </row>
    <row r="24" customFormat="false" ht="11.1" hidden="false" customHeight="true" outlineLevel="0" collapsed="false">
      <c r="A24" s="13" t="n">
        <f aca="false">A23+1</f>
        <v>15</v>
      </c>
      <c r="B24" s="29" t="n">
        <v>6855.2</v>
      </c>
      <c r="C24" s="7" t="n">
        <v>152413</v>
      </c>
      <c r="D24" s="12" t="n">
        <f aca="false">C24-C23</f>
        <v>-22</v>
      </c>
      <c r="E24" s="7" t="n">
        <f aca="false">C24-152000</f>
        <v>413</v>
      </c>
      <c r="F24" s="6" t="n">
        <f aca="false">D24/$D$2</f>
        <v>-11.0915049155533</v>
      </c>
      <c r="G24" s="6" t="n">
        <v>87</v>
      </c>
      <c r="H24" s="8" t="n">
        <v>1.4</v>
      </c>
      <c r="I24" s="6" t="n">
        <f aca="false">G24+H24</f>
        <v>88.4</v>
      </c>
      <c r="J24" s="37" t="n">
        <f aca="false">IF(L24&gt;0,L24,0)</f>
        <v>0</v>
      </c>
      <c r="K24" s="6" t="n">
        <f aca="false">I24+J24</f>
        <v>88.4</v>
      </c>
      <c r="L24" s="6" t="n">
        <f aca="false">F24-(I24-W24)</f>
        <v>-42.0173430804134</v>
      </c>
      <c r="M24" s="6"/>
      <c r="N24" s="6"/>
      <c r="O24" s="6"/>
      <c r="P24" s="6"/>
      <c r="Q24" s="6"/>
      <c r="R24" s="6"/>
      <c r="S24" s="6" t="n">
        <f aca="false">14/1.9835</f>
        <v>7.05823040080665</v>
      </c>
      <c r="T24" s="7"/>
      <c r="U24" s="6"/>
      <c r="V24" s="6" t="n">
        <f aca="false">100/1.9835</f>
        <v>50.4159314343332</v>
      </c>
      <c r="W24" s="6" t="n">
        <f aca="false">N24+O24+S24+U24+V24</f>
        <v>57.4741618351399</v>
      </c>
      <c r="X24" s="6" t="n">
        <f aca="false">IF(L24&lt;0,L24*-1,0)</f>
        <v>42.0173430804134</v>
      </c>
      <c r="Y24" s="6" t="n">
        <f aca="false">W24+X24</f>
        <v>99.4915049155533</v>
      </c>
      <c r="Z24" s="11" t="n">
        <v>0</v>
      </c>
      <c r="AA24" s="39" t="n">
        <v>31</v>
      </c>
      <c r="AB24" s="12" t="n">
        <v>-2</v>
      </c>
      <c r="AC24" s="13" t="n">
        <f aca="false">AC23+1</f>
        <v>15</v>
      </c>
    </row>
    <row r="25" customFormat="false" ht="11.1" hidden="false" customHeight="true" outlineLevel="0" collapsed="false">
      <c r="A25" s="13" t="n">
        <f aca="false">A24+1</f>
        <v>16</v>
      </c>
      <c r="B25" s="29" t="n">
        <v>6855.18</v>
      </c>
      <c r="C25" s="7" t="n">
        <v>152369</v>
      </c>
      <c r="D25" s="12" t="n">
        <f aca="false">C25-C24</f>
        <v>-44</v>
      </c>
      <c r="E25" s="7" t="n">
        <f aca="false">C25-152000</f>
        <v>369</v>
      </c>
      <c r="F25" s="6" t="n">
        <f aca="false">D25/$D$2</f>
        <v>-22.1830098311066</v>
      </c>
      <c r="G25" s="6" t="n">
        <v>117</v>
      </c>
      <c r="H25" s="8" t="n">
        <v>1.5</v>
      </c>
      <c r="I25" s="6" t="n">
        <f aca="false">G25+H25</f>
        <v>118.5</v>
      </c>
      <c r="J25" s="37" t="n">
        <f aca="false">IF(L25&gt;0,L25,0)</f>
        <v>0</v>
      </c>
      <c r="K25" s="6" t="n">
        <f aca="false">I25+J25</f>
        <v>118.5</v>
      </c>
      <c r="L25" s="6" t="n">
        <f aca="false">F25-(I25-W25)</f>
        <v>-82.7046886816234</v>
      </c>
      <c r="M25" s="6"/>
      <c r="N25" s="6"/>
      <c r="O25" s="6"/>
      <c r="P25" s="6"/>
      <c r="Q25" s="6"/>
      <c r="R25" s="6"/>
      <c r="S25" s="6" t="n">
        <f aca="false">15/1.9835</f>
        <v>7.56238971514999</v>
      </c>
      <c r="T25" s="7"/>
      <c r="U25" s="6"/>
      <c r="V25" s="6" t="n">
        <f aca="false">100/1.9835</f>
        <v>50.4159314343332</v>
      </c>
      <c r="W25" s="6" t="n">
        <f aca="false">N25+O25+S25+U25+V25</f>
        <v>57.9783211494832</v>
      </c>
      <c r="X25" s="6" t="n">
        <f aca="false">IF(L25&lt;0,L25*-1,0)</f>
        <v>82.7046886816234</v>
      </c>
      <c r="Y25" s="6" t="n">
        <f aca="false">W25+X25</f>
        <v>140.683009831107</v>
      </c>
      <c r="Z25" s="11" t="n">
        <v>0</v>
      </c>
      <c r="AA25" s="39" t="n">
        <v>41</v>
      </c>
      <c r="AB25" s="12" t="n">
        <v>18</v>
      </c>
      <c r="AC25" s="13" t="n">
        <f aca="false">AC24+1</f>
        <v>16</v>
      </c>
    </row>
    <row r="26" customFormat="false" ht="11.1" hidden="false" customHeight="true" outlineLevel="0" collapsed="false">
      <c r="A26" s="13" t="n">
        <f aca="false">A25+1</f>
        <v>17</v>
      </c>
      <c r="B26" s="29" t="n">
        <v>6855.19</v>
      </c>
      <c r="C26" s="7" t="n">
        <v>152391</v>
      </c>
      <c r="D26" s="12" t="n">
        <f aca="false">C26-C25</f>
        <v>22</v>
      </c>
      <c r="E26" s="7" t="n">
        <f aca="false">C26-152000</f>
        <v>391</v>
      </c>
      <c r="F26" s="6" t="n">
        <f aca="false">D26/$D$2</f>
        <v>11.0915049155533</v>
      </c>
      <c r="G26" s="6" t="n">
        <v>144</v>
      </c>
      <c r="H26" s="8" t="n">
        <v>1.5</v>
      </c>
      <c r="I26" s="6" t="n">
        <f aca="false">G26+H26</f>
        <v>145.5</v>
      </c>
      <c r="J26" s="37" t="n">
        <f aca="false">IF(L26&gt;0,L26,0)</f>
        <v>0</v>
      </c>
      <c r="K26" s="6" t="n">
        <f aca="false">I26+J26</f>
        <v>145.5</v>
      </c>
      <c r="L26" s="6" t="n">
        <f aca="false">F26-(I26-W26)</f>
        <v>-76.4301739349635</v>
      </c>
      <c r="M26" s="6"/>
      <c r="N26" s="6"/>
      <c r="O26" s="6"/>
      <c r="P26" s="6"/>
      <c r="Q26" s="6"/>
      <c r="R26" s="6"/>
      <c r="S26" s="6" t="n">
        <f aca="false">15/1.9835</f>
        <v>7.56238971514999</v>
      </c>
      <c r="T26" s="7"/>
      <c r="U26" s="6"/>
      <c r="V26" s="6" t="n">
        <f aca="false">100/1.9835</f>
        <v>50.4159314343332</v>
      </c>
      <c r="W26" s="6" t="n">
        <f aca="false">N26+O26+S26+U26+V26</f>
        <v>57.9783211494832</v>
      </c>
      <c r="X26" s="6" t="n">
        <f aca="false">IF(L26&lt;0,L26*-1,0)</f>
        <v>76.4301739349635</v>
      </c>
      <c r="Y26" s="6" t="n">
        <f aca="false">W26+X26</f>
        <v>134.408495084447</v>
      </c>
      <c r="Z26" s="11" t="n">
        <v>0</v>
      </c>
      <c r="AA26" s="39"/>
      <c r="AB26" s="12"/>
      <c r="AC26" s="13" t="n">
        <f aca="false">AC25+1</f>
        <v>17</v>
      </c>
    </row>
    <row r="27" customFormat="false" ht="11.1" hidden="false" customHeight="true" outlineLevel="0" collapsed="false">
      <c r="A27" s="13" t="n">
        <f aca="false">A26+1</f>
        <v>18</v>
      </c>
      <c r="B27" s="29" t="n">
        <v>6855.21</v>
      </c>
      <c r="C27" s="7" t="n">
        <v>152435</v>
      </c>
      <c r="D27" s="12" t="n">
        <f aca="false">C27-C26</f>
        <v>44</v>
      </c>
      <c r="E27" s="7" t="n">
        <f aca="false">C27-152000</f>
        <v>435</v>
      </c>
      <c r="F27" s="6" t="n">
        <f aca="false">D27/$D$2</f>
        <v>22.1830098311066</v>
      </c>
      <c r="G27" s="6" t="n">
        <v>140</v>
      </c>
      <c r="H27" s="8" t="n">
        <v>1.5</v>
      </c>
      <c r="I27" s="6" t="n">
        <f aca="false">G27+H27</f>
        <v>141.5</v>
      </c>
      <c r="J27" s="37" t="n">
        <f aca="false">IF(L27&gt;0,L27,0)</f>
        <v>0</v>
      </c>
      <c r="K27" s="6" t="n">
        <f aca="false">I27+J27</f>
        <v>141.5</v>
      </c>
      <c r="L27" s="6" t="n">
        <f aca="false">F27-(I27-W27)</f>
        <v>-63.3553062767835</v>
      </c>
      <c r="M27" s="6"/>
      <c r="N27" s="6"/>
      <c r="O27" s="6"/>
      <c r="P27" s="6"/>
      <c r="Q27" s="6"/>
      <c r="R27" s="6"/>
      <c r="S27" s="6" t="n">
        <f aca="false">11/1.9835</f>
        <v>5.54575245777666</v>
      </c>
      <c r="T27" s="7"/>
      <c r="U27" s="6"/>
      <c r="V27" s="6" t="n">
        <f aca="false">100/1.9835</f>
        <v>50.4159314343332</v>
      </c>
      <c r="W27" s="6" t="n">
        <f aca="false">N27+O27+S27+U27+V27</f>
        <v>55.9616838921099</v>
      </c>
      <c r="X27" s="6" t="n">
        <f aca="false">IF(L27&lt;0,L27*-1,0)</f>
        <v>63.3553062767835</v>
      </c>
      <c r="Y27" s="6" t="n">
        <f aca="false">W27+X27</f>
        <v>119.316990168893</v>
      </c>
      <c r="Z27" s="11" t="n">
        <v>0.08</v>
      </c>
      <c r="AA27" s="39" t="n">
        <v>47</v>
      </c>
      <c r="AB27" s="12" t="n">
        <v>24</v>
      </c>
      <c r="AC27" s="13" t="n">
        <f aca="false">AC26+1</f>
        <v>18</v>
      </c>
    </row>
    <row r="28" customFormat="false" ht="11.1" hidden="false" customHeight="true" outlineLevel="0" collapsed="false">
      <c r="A28" s="13" t="n">
        <f aca="false">A27+1</f>
        <v>19</v>
      </c>
      <c r="B28" s="29" t="n">
        <v>6855.37</v>
      </c>
      <c r="C28" s="7" t="n">
        <v>152782</v>
      </c>
      <c r="D28" s="12" t="n">
        <f aca="false">C28-C27</f>
        <v>347</v>
      </c>
      <c r="E28" s="7" t="n">
        <f aca="false">C28-152000</f>
        <v>782</v>
      </c>
      <c r="F28" s="6" t="n">
        <f aca="false">D28/$D$2</f>
        <v>174.943282077136</v>
      </c>
      <c r="G28" s="6" t="n">
        <v>117</v>
      </c>
      <c r="H28" s="8" t="n">
        <v>2.6</v>
      </c>
      <c r="I28" s="6" t="n">
        <f aca="false">G28+H28</f>
        <v>119.6</v>
      </c>
      <c r="J28" s="37" t="n">
        <f aca="false">IF(L28&gt;0,L28,0)</f>
        <v>109.792488026216</v>
      </c>
      <c r="K28" s="6" t="n">
        <f aca="false">I28+J28</f>
        <v>229.392488026216</v>
      </c>
      <c r="L28" s="6" t="n">
        <f aca="false">F28-(I28-W28)</f>
        <v>109.792488026216</v>
      </c>
      <c r="M28" s="6"/>
      <c r="N28" s="6"/>
      <c r="O28" s="6"/>
      <c r="P28" s="6"/>
      <c r="Q28" s="6"/>
      <c r="R28" s="6"/>
      <c r="S28" s="6" t="n">
        <f aca="false">7/1.9835</f>
        <v>3.52911520040333</v>
      </c>
      <c r="T28" s="7"/>
      <c r="U28" s="6"/>
      <c r="V28" s="6" t="n">
        <f aca="false">101/1.9835</f>
        <v>50.9200907486766</v>
      </c>
      <c r="W28" s="6" t="n">
        <f aca="false">N28+O28+S28+U28+V28</f>
        <v>54.4492059490799</v>
      </c>
      <c r="X28" s="6" t="n">
        <f aca="false">IF(L28&lt;0,L28*-1,0)</f>
        <v>0</v>
      </c>
      <c r="Y28" s="6" t="n">
        <f aca="false">W28+X28</f>
        <v>54.4492059490799</v>
      </c>
      <c r="Z28" s="11" t="n">
        <v>0.66</v>
      </c>
      <c r="AA28" s="39" t="n">
        <v>28</v>
      </c>
      <c r="AB28" s="12" t="n">
        <v>0</v>
      </c>
      <c r="AC28" s="13" t="n">
        <f aca="false">AC27+1</f>
        <v>19</v>
      </c>
    </row>
    <row r="29" customFormat="false" ht="11.1" hidden="false" customHeight="true" outlineLevel="0" collapsed="false">
      <c r="A29" s="13" t="n">
        <f aca="false">A28+1</f>
        <v>20</v>
      </c>
      <c r="B29" s="29" t="n">
        <v>6855.53</v>
      </c>
      <c r="C29" s="7" t="n">
        <v>153108</v>
      </c>
      <c r="D29" s="12" t="n">
        <f aca="false">C29-C28</f>
        <v>326</v>
      </c>
      <c r="E29" s="7" t="n">
        <f aca="false">C29-152000</f>
        <v>1108</v>
      </c>
      <c r="F29" s="6" t="n">
        <f aca="false">D29/$D$2</f>
        <v>164.355936475926</v>
      </c>
      <c r="G29" s="6" t="n">
        <v>106</v>
      </c>
      <c r="H29" s="8" t="n">
        <v>3.7</v>
      </c>
      <c r="I29" s="6" t="n">
        <f aca="false">G29+H29</f>
        <v>109.7</v>
      </c>
      <c r="J29" s="37" t="n">
        <f aca="false">IF(L29&gt;0,L29,0)</f>
        <v>109.105142425006</v>
      </c>
      <c r="K29" s="6" t="n">
        <f aca="false">I29+J29</f>
        <v>218.805142425006</v>
      </c>
      <c r="L29" s="6" t="n">
        <f aca="false">F29-(I29-W29)</f>
        <v>109.105142425006</v>
      </c>
      <c r="M29" s="6"/>
      <c r="N29" s="6"/>
      <c r="O29" s="6"/>
      <c r="P29" s="6"/>
      <c r="Q29" s="6"/>
      <c r="R29" s="6"/>
      <c r="S29" s="6" t="n">
        <f aca="false">7/1.9835</f>
        <v>3.52911520040333</v>
      </c>
      <c r="T29" s="7"/>
      <c r="U29" s="6"/>
      <c r="V29" s="6" t="n">
        <f aca="false">101/1.9835</f>
        <v>50.9200907486766</v>
      </c>
      <c r="W29" s="6" t="n">
        <f aca="false">N29+O29+S29+U29+V29</f>
        <v>54.4492059490799</v>
      </c>
      <c r="X29" s="6" t="n">
        <f aca="false">IF(L29&lt;0,L29*-1,0)</f>
        <v>0</v>
      </c>
      <c r="Y29" s="6" t="n">
        <f aca="false">W29+X29</f>
        <v>54.4492059490799</v>
      </c>
      <c r="Z29" s="11" t="n">
        <v>0</v>
      </c>
      <c r="AA29" s="39" t="n">
        <v>44</v>
      </c>
      <c r="AB29" s="12" t="n">
        <v>2</v>
      </c>
      <c r="AC29" s="13" t="n">
        <f aca="false">AC28+1</f>
        <v>20</v>
      </c>
    </row>
    <row r="30" customFormat="false" ht="11.1" hidden="false" customHeight="true" outlineLevel="0" collapsed="false">
      <c r="A30" s="13" t="n">
        <f aca="false">A29+1</f>
        <v>21</v>
      </c>
      <c r="B30" s="29" t="n">
        <v>6855.6</v>
      </c>
      <c r="C30" s="7" t="n">
        <v>153282</v>
      </c>
      <c r="D30" s="12" t="n">
        <f aca="false">C30-C29</f>
        <v>174</v>
      </c>
      <c r="E30" s="7" t="n">
        <f aca="false">C30-152000</f>
        <v>1282</v>
      </c>
      <c r="F30" s="6" t="n">
        <f aca="false">D30/$D$2</f>
        <v>87.7237206957399</v>
      </c>
      <c r="G30" s="6" t="n">
        <v>134</v>
      </c>
      <c r="H30" s="8" t="n">
        <v>3.8</v>
      </c>
      <c r="I30" s="6" t="n">
        <f aca="false">G30+H30</f>
        <v>137.8</v>
      </c>
      <c r="J30" s="37" t="n">
        <f aca="false">IF(L30&gt;0,L30,0)</f>
        <v>4.87708595916308</v>
      </c>
      <c r="K30" s="6" t="n">
        <f aca="false">I30+J30</f>
        <v>142.677085959163</v>
      </c>
      <c r="L30" s="6" t="n">
        <f aca="false">F30-(I30-W30)</f>
        <v>4.87708595916308</v>
      </c>
      <c r="M30" s="6"/>
      <c r="N30" s="6"/>
      <c r="O30" s="6"/>
      <c r="P30" s="6"/>
      <c r="Q30" s="6"/>
      <c r="R30" s="6"/>
      <c r="S30" s="6" t="n">
        <f aca="false">7/1.9835</f>
        <v>3.52911520040333</v>
      </c>
      <c r="T30" s="7"/>
      <c r="U30" s="6"/>
      <c r="V30" s="6" t="n">
        <f aca="false">102/1.9835</f>
        <v>51.4242500630199</v>
      </c>
      <c r="W30" s="6" t="n">
        <f aca="false">N30+O30+S30+U30+V30</f>
        <v>54.9533652634232</v>
      </c>
      <c r="X30" s="6" t="n">
        <f aca="false">IF(L30&lt;0,L30*-1,0)</f>
        <v>0</v>
      </c>
      <c r="Y30" s="6" t="n">
        <f aca="false">W30+X30</f>
        <v>54.9533652634232</v>
      </c>
      <c r="Z30" s="11" t="n">
        <v>0.88</v>
      </c>
      <c r="AA30" s="12" t="n">
        <v>28</v>
      </c>
      <c r="AB30" s="12" t="n">
        <v>15</v>
      </c>
      <c r="AC30" s="13" t="n">
        <f aca="false">AC29+1</f>
        <v>21</v>
      </c>
    </row>
    <row r="31" customFormat="false" ht="11.1" hidden="false" customHeight="true" outlineLevel="0" collapsed="false">
      <c r="A31" s="13" t="n">
        <f aca="false">A30+1</f>
        <v>22</v>
      </c>
      <c r="B31" s="29" t="n">
        <v>6855.67</v>
      </c>
      <c r="C31" s="7" t="n">
        <v>153434</v>
      </c>
      <c r="D31" s="12" t="n">
        <f aca="false">C31-C30</f>
        <v>152</v>
      </c>
      <c r="E31" s="7" t="n">
        <f aca="false">C31-152000</f>
        <v>1434</v>
      </c>
      <c r="F31" s="6" t="n">
        <f aca="false">D31/$D$2</f>
        <v>76.6322157801865</v>
      </c>
      <c r="G31" s="6" t="n">
        <v>105</v>
      </c>
      <c r="H31" s="8" t="n">
        <v>3</v>
      </c>
      <c r="I31" s="6" t="n">
        <f aca="false">G31+H31</f>
        <v>108</v>
      </c>
      <c r="J31" s="37" t="n">
        <f aca="false">IF(L31&gt;0,L31,0)</f>
        <v>23.0814217292664</v>
      </c>
      <c r="K31" s="6" t="n">
        <f aca="false">I31+J31</f>
        <v>131.081421729266</v>
      </c>
      <c r="L31" s="6" t="n">
        <f aca="false">F31-(I31-W31)</f>
        <v>23.0814217292664</v>
      </c>
      <c r="M31" s="6"/>
      <c r="N31" s="6"/>
      <c r="O31" s="6"/>
      <c r="P31" s="6"/>
      <c r="Q31" s="6"/>
      <c r="R31" s="6"/>
      <c r="S31" s="6" t="n">
        <f aca="false">7/1.9835</f>
        <v>3.52911520040333</v>
      </c>
      <c r="T31" s="7"/>
      <c r="U31" s="6"/>
      <c r="V31" s="6" t="n">
        <f aca="false">101/1.9835</f>
        <v>50.9200907486766</v>
      </c>
      <c r="W31" s="6" t="n">
        <f aca="false">N31+O31+S31+U31+V31</f>
        <v>54.4492059490799</v>
      </c>
      <c r="X31" s="6" t="n">
        <f aca="false">IF(L31&lt;0,L31*-1,0)</f>
        <v>0</v>
      </c>
      <c r="Y31" s="6" t="n">
        <f aca="false">W31+X31</f>
        <v>54.4492059490799</v>
      </c>
      <c r="Z31" s="11" t="n">
        <v>0</v>
      </c>
      <c r="AA31" s="12" t="n">
        <v>41</v>
      </c>
      <c r="AB31" s="12" t="n">
        <v>2</v>
      </c>
      <c r="AC31" s="13" t="n">
        <f aca="false">AC30+1</f>
        <v>22</v>
      </c>
    </row>
    <row r="32" customFormat="false" ht="11.1" hidden="false" customHeight="true" outlineLevel="0" collapsed="false">
      <c r="A32" s="13" t="n">
        <f aca="false">A31+1</f>
        <v>23</v>
      </c>
      <c r="B32" s="29" t="n">
        <v>6855.72</v>
      </c>
      <c r="C32" s="7" t="n">
        <v>153521</v>
      </c>
      <c r="D32" s="12" t="n">
        <f aca="false">C32-C31</f>
        <v>87</v>
      </c>
      <c r="E32" s="7" t="n">
        <f aca="false">C32-152000</f>
        <v>1521</v>
      </c>
      <c r="F32" s="6" t="n">
        <f aca="false">D32/$D$2</f>
        <v>43.8618603478699</v>
      </c>
      <c r="G32" s="6" t="n">
        <v>114</v>
      </c>
      <c r="H32" s="8" t="n">
        <v>2.8</v>
      </c>
      <c r="I32" s="6" t="n">
        <f aca="false">G32+H32</f>
        <v>116.8</v>
      </c>
      <c r="J32" s="37" t="n">
        <f aca="false">IF(L32&gt;0,L32,0)</f>
        <v>0</v>
      </c>
      <c r="K32" s="6" t="n">
        <f aca="false">I32+J32</f>
        <v>116.8</v>
      </c>
      <c r="L32" s="6" t="n">
        <f aca="false">F32-(I32-W32)</f>
        <v>-17.9847743887068</v>
      </c>
      <c r="M32" s="6"/>
      <c r="N32" s="6"/>
      <c r="O32" s="6"/>
      <c r="P32" s="6"/>
      <c r="Q32" s="6"/>
      <c r="R32" s="6"/>
      <c r="S32" s="6" t="n">
        <f aca="false">7/1.9835</f>
        <v>3.52911520040333</v>
      </c>
      <c r="T32" s="7"/>
      <c r="U32" s="6"/>
      <c r="V32" s="6" t="n">
        <f aca="false">102/1.9835</f>
        <v>51.4242500630199</v>
      </c>
      <c r="W32" s="6" t="n">
        <f aca="false">N32+O32+S32+U32+V32</f>
        <v>54.9533652634232</v>
      </c>
      <c r="X32" s="6" t="n">
        <f aca="false">IF(L32&lt;0,L32*-1,0)</f>
        <v>17.9847743887068</v>
      </c>
      <c r="Y32" s="6" t="n">
        <f aca="false">W32+X32</f>
        <v>72.9381396521301</v>
      </c>
      <c r="Z32" s="11" t="n">
        <v>0</v>
      </c>
      <c r="AA32" s="12"/>
      <c r="AB32" s="39"/>
      <c r="AC32" s="13" t="n">
        <f aca="false">AC31+1</f>
        <v>23</v>
      </c>
    </row>
    <row r="33" customFormat="false" ht="11.1" hidden="false" customHeight="true" outlineLevel="0" collapsed="false">
      <c r="A33" s="13" t="n">
        <f aca="false">A32+1</f>
        <v>24</v>
      </c>
      <c r="B33" s="29" t="n">
        <v>6855.77</v>
      </c>
      <c r="C33" s="7" t="n">
        <v>153651</v>
      </c>
      <c r="D33" s="12" t="n">
        <f aca="false">C33-C32</f>
        <v>130</v>
      </c>
      <c r="E33" s="7" t="n">
        <f aca="false">C33-152000</f>
        <v>1651</v>
      </c>
      <c r="F33" s="6" t="n">
        <f aca="false">D33/$D$2</f>
        <v>65.5407108646332</v>
      </c>
      <c r="G33" s="6" t="n">
        <v>180</v>
      </c>
      <c r="H33" s="8" t="n">
        <v>2.8</v>
      </c>
      <c r="I33" s="6" t="n">
        <f aca="false">G33+H33</f>
        <v>182.8</v>
      </c>
      <c r="J33" s="37" t="n">
        <f aca="false">IF(L33&gt;0,L33,0)</f>
        <v>0</v>
      </c>
      <c r="K33" s="6" t="n">
        <f aca="false">I33+J33</f>
        <v>182.8</v>
      </c>
      <c r="L33" s="6" t="n">
        <f aca="false">F33-(I33-W33)</f>
        <v>-62.3059238719435</v>
      </c>
      <c r="M33" s="6"/>
      <c r="N33" s="6"/>
      <c r="O33" s="6"/>
      <c r="P33" s="6"/>
      <c r="Q33" s="6"/>
      <c r="R33" s="6"/>
      <c r="S33" s="6" t="n">
        <f aca="false">7/1.9835</f>
        <v>3.52911520040333</v>
      </c>
      <c r="T33" s="7"/>
      <c r="U33" s="6"/>
      <c r="V33" s="6" t="n">
        <f aca="false">102/1.9835</f>
        <v>51.4242500630199</v>
      </c>
      <c r="W33" s="6" t="n">
        <f aca="false">N33+O33+S33+U33+V33</f>
        <v>54.9533652634232</v>
      </c>
      <c r="X33" s="6" t="n">
        <f aca="false">IF(L33&lt;0,L33*-1,0)</f>
        <v>62.3059238719435</v>
      </c>
      <c r="Y33" s="6" t="n">
        <f aca="false">W33+X33</f>
        <v>117.259289135367</v>
      </c>
      <c r="Z33" s="11" t="n">
        <v>0</v>
      </c>
      <c r="AA33" s="12"/>
      <c r="AB33" s="39"/>
      <c r="AC33" s="13" t="n">
        <f aca="false">AC32+1</f>
        <v>24</v>
      </c>
    </row>
    <row r="34" customFormat="false" ht="11.1" hidden="false" customHeight="true" outlineLevel="0" collapsed="false">
      <c r="A34" s="13" t="n">
        <f aca="false">A33+1</f>
        <v>25</v>
      </c>
      <c r="B34" s="29" t="n">
        <v>6855.81</v>
      </c>
      <c r="C34" s="7" t="n">
        <v>153738</v>
      </c>
      <c r="D34" s="12" t="n">
        <f aca="false">C34-C33</f>
        <v>87</v>
      </c>
      <c r="E34" s="7" t="n">
        <f aca="false">C34-152000</f>
        <v>1738</v>
      </c>
      <c r="F34" s="6" t="n">
        <f aca="false">D34/$D$2</f>
        <v>43.8618603478699</v>
      </c>
      <c r="G34" s="6" t="n">
        <v>155</v>
      </c>
      <c r="H34" s="8" t="n">
        <v>4.2</v>
      </c>
      <c r="I34" s="6" t="n">
        <f aca="false">G34+H34</f>
        <v>159.2</v>
      </c>
      <c r="J34" s="37" t="n">
        <f aca="false">IF(L34&gt;0,L34,0)</f>
        <v>0</v>
      </c>
      <c r="K34" s="6" t="n">
        <f aca="false">I34+J34</f>
        <v>159.2</v>
      </c>
      <c r="L34" s="6" t="n">
        <f aca="false">F34-(I34-W34)</f>
        <v>-60.3847743887068</v>
      </c>
      <c r="M34" s="6"/>
      <c r="N34" s="6"/>
      <c r="O34" s="6"/>
      <c r="P34" s="6"/>
      <c r="Q34" s="6"/>
      <c r="R34" s="6"/>
      <c r="S34" s="6" t="n">
        <f aca="false">7/1.9835</f>
        <v>3.52911520040333</v>
      </c>
      <c r="T34" s="7"/>
      <c r="U34" s="6"/>
      <c r="V34" s="6" t="n">
        <f aca="false">102/1.9835</f>
        <v>51.4242500630199</v>
      </c>
      <c r="W34" s="6" t="n">
        <f aca="false">N34+O34+S34+U34+V34</f>
        <v>54.9533652634232</v>
      </c>
      <c r="X34" s="6" t="n">
        <f aca="false">IF(L34&lt;0,L34*-1,0)</f>
        <v>60.3847743887068</v>
      </c>
      <c r="Y34" s="6" t="n">
        <f aca="false">W34+X34</f>
        <v>115.33813965213</v>
      </c>
      <c r="Z34" s="11" t="n">
        <v>0.4</v>
      </c>
      <c r="AA34" s="12" t="n">
        <v>41</v>
      </c>
      <c r="AB34" s="39" t="n">
        <v>20</v>
      </c>
      <c r="AC34" s="13" t="n">
        <f aca="false">AC33+1</f>
        <v>25</v>
      </c>
    </row>
    <row r="35" customFormat="false" ht="11.1" hidden="false" customHeight="true" outlineLevel="0" collapsed="false">
      <c r="A35" s="13" t="n">
        <f aca="false">A34+1</f>
        <v>26</v>
      </c>
      <c r="B35" s="29" t="n">
        <v>6855.96</v>
      </c>
      <c r="C35" s="7" t="n">
        <v>154064</v>
      </c>
      <c r="D35" s="12" t="n">
        <f aca="false">C35-C34</f>
        <v>326</v>
      </c>
      <c r="E35" s="7" t="n">
        <f aca="false">C35-152000</f>
        <v>2064</v>
      </c>
      <c r="F35" s="6" t="n">
        <f aca="false">D35/$D$2</f>
        <v>164.355936475926</v>
      </c>
      <c r="G35" s="6" t="n">
        <v>157</v>
      </c>
      <c r="H35" s="8" t="n">
        <v>6.3</v>
      </c>
      <c r="I35" s="6" t="n">
        <f aca="false">G35+H35</f>
        <v>163.3</v>
      </c>
      <c r="J35" s="37" t="n">
        <f aca="false">IF(L35&gt;0,L35,0)</f>
        <v>56.513461053693</v>
      </c>
      <c r="K35" s="6" t="n">
        <f aca="false">I35+J35</f>
        <v>219.813461053693</v>
      </c>
      <c r="L35" s="6" t="n">
        <f aca="false">F35-(I35-W35)</f>
        <v>56.513461053693</v>
      </c>
      <c r="M35" s="6"/>
      <c r="N35" s="6"/>
      <c r="O35" s="6"/>
      <c r="P35" s="6"/>
      <c r="Q35" s="6"/>
      <c r="R35" s="6"/>
      <c r="S35" s="6" t="n">
        <f aca="false">7/1.9835</f>
        <v>3.52911520040333</v>
      </c>
      <c r="T35" s="7"/>
      <c r="U35" s="6"/>
      <c r="V35" s="6" t="n">
        <f aca="false">103/1.9835</f>
        <v>51.9284093773632</v>
      </c>
      <c r="W35" s="6" t="n">
        <f aca="false">N35+O35+S35+U35+V35</f>
        <v>55.4575245777666</v>
      </c>
      <c r="X35" s="6" t="n">
        <f aca="false">IF(L35&lt;0,L35*-1,0)</f>
        <v>0</v>
      </c>
      <c r="Y35" s="6" t="n">
        <f aca="false">W35+X35</f>
        <v>55.4575245777666</v>
      </c>
      <c r="Z35" s="11" t="n">
        <v>1</v>
      </c>
      <c r="AA35" s="12" t="n">
        <v>43</v>
      </c>
      <c r="AB35" s="12" t="n">
        <v>33</v>
      </c>
      <c r="AC35" s="13" t="n">
        <f aca="false">AC34+1</f>
        <v>26</v>
      </c>
    </row>
    <row r="36" customFormat="false" ht="11.1" hidden="false" customHeight="true" outlineLevel="0" collapsed="false">
      <c r="A36" s="13" t="n">
        <f aca="false">A35+1</f>
        <v>27</v>
      </c>
      <c r="B36" s="29" t="n">
        <v>6856.12</v>
      </c>
      <c r="C36" s="7" t="n">
        <v>154414</v>
      </c>
      <c r="D36" s="12" t="n">
        <f aca="false">C36-C35</f>
        <v>350</v>
      </c>
      <c r="E36" s="7" t="n">
        <f aca="false">C36-152000</f>
        <v>2414</v>
      </c>
      <c r="F36" s="6" t="n">
        <f aca="false">D36/$D$2</f>
        <v>176.455760020166</v>
      </c>
      <c r="G36" s="6" t="n">
        <v>137</v>
      </c>
      <c r="H36" s="8" t="n">
        <v>4.7</v>
      </c>
      <c r="I36" s="6" t="n">
        <f aca="false">G36+H36</f>
        <v>141.7</v>
      </c>
      <c r="J36" s="37" t="n">
        <f aca="false">IF(L36&gt;0,L36,0)</f>
        <v>89.2049659692463</v>
      </c>
      <c r="K36" s="6" t="n">
        <f aca="false">I36+J36</f>
        <v>230.904965969246</v>
      </c>
      <c r="L36" s="6" t="n">
        <f aca="false">F36-(I36-W36)</f>
        <v>89.2049659692463</v>
      </c>
      <c r="M36" s="6"/>
      <c r="N36" s="6"/>
      <c r="O36" s="6"/>
      <c r="P36" s="6"/>
      <c r="Q36" s="6"/>
      <c r="R36" s="6"/>
      <c r="S36" s="6" t="n">
        <f aca="false">7/1.9835</f>
        <v>3.52911520040333</v>
      </c>
      <c r="T36" s="7"/>
      <c r="U36" s="6"/>
      <c r="V36" s="6" t="n">
        <f aca="false">101/1.9835</f>
        <v>50.9200907486766</v>
      </c>
      <c r="W36" s="6" t="n">
        <f aca="false">N36+O36+S36+U36+V36</f>
        <v>54.4492059490799</v>
      </c>
      <c r="X36" s="6" t="n">
        <f aca="false">IF(L36&lt;0,L36*-1,0)</f>
        <v>0</v>
      </c>
      <c r="Y36" s="6" t="n">
        <f aca="false">W36+X36</f>
        <v>54.4492059490799</v>
      </c>
      <c r="Z36" s="11" t="n">
        <v>0</v>
      </c>
      <c r="AA36" s="12" t="n">
        <v>46</v>
      </c>
      <c r="AB36" s="12" t="n">
        <v>28</v>
      </c>
      <c r="AC36" s="13" t="n">
        <f aca="false">AC35+1</f>
        <v>27</v>
      </c>
    </row>
    <row r="37" customFormat="false" ht="11.1" hidden="false" customHeight="true" outlineLevel="0" collapsed="false">
      <c r="A37" s="13" t="n">
        <f aca="false">A36+1</f>
        <v>28</v>
      </c>
      <c r="B37" s="29" t="n">
        <v>6856.21</v>
      </c>
      <c r="C37" s="7" t="n">
        <v>154612</v>
      </c>
      <c r="D37" s="12" t="n">
        <f aca="false">C37-C36</f>
        <v>198</v>
      </c>
      <c r="E37" s="7" t="n">
        <f aca="false">C37-152000</f>
        <v>2612</v>
      </c>
      <c r="F37" s="6" t="n">
        <f aca="false">D37/$D$2</f>
        <v>99.8235442399798</v>
      </c>
      <c r="G37" s="6" t="n">
        <v>113</v>
      </c>
      <c r="H37" s="8" t="n">
        <v>3.7</v>
      </c>
      <c r="I37" s="6" t="n">
        <f aca="false">G37+H37</f>
        <v>116.7</v>
      </c>
      <c r="J37" s="37" t="n">
        <f aca="false">IF(L37&gt;0,L37,0)</f>
        <v>37.0685908747164</v>
      </c>
      <c r="K37" s="6" t="n">
        <f aca="false">I37+J37</f>
        <v>153.768590874716</v>
      </c>
      <c r="L37" s="6" t="n">
        <f aca="false">F37-(I37-W37)</f>
        <v>37.0685908747164</v>
      </c>
      <c r="M37" s="6"/>
      <c r="N37" s="6"/>
      <c r="O37" s="6"/>
      <c r="P37" s="6"/>
      <c r="Q37" s="6"/>
      <c r="R37" s="6"/>
      <c r="S37" s="6" t="n">
        <f aca="false">7/1.9835</f>
        <v>3.52911520040333</v>
      </c>
      <c r="T37" s="7"/>
      <c r="U37" s="6"/>
      <c r="V37" s="6" t="n">
        <f aca="false">100/1.9835</f>
        <v>50.4159314343332</v>
      </c>
      <c r="W37" s="6" t="n">
        <f aca="false">N37+O37+S37+U37+V37</f>
        <v>53.9450466347366</v>
      </c>
      <c r="X37" s="6" t="n">
        <f aca="false">IF(L37&lt;0,L37*-1,0)</f>
        <v>0</v>
      </c>
      <c r="Y37" s="6" t="n">
        <f aca="false">W37+X37</f>
        <v>53.9450466347366</v>
      </c>
      <c r="Z37" s="11" t="n">
        <v>0</v>
      </c>
      <c r="AA37" s="12"/>
      <c r="AB37" s="12"/>
      <c r="AC37" s="13" t="n">
        <f aca="false">AC36+1</f>
        <v>28</v>
      </c>
    </row>
    <row r="38" customFormat="false" ht="11.1" hidden="false" customHeight="true" outlineLevel="0" collapsed="false">
      <c r="A38" s="13" t="n">
        <f aca="false">A37+1</f>
        <v>29</v>
      </c>
      <c r="B38" s="29" t="n">
        <v>6856.31</v>
      </c>
      <c r="C38" s="7" t="n">
        <v>154831</v>
      </c>
      <c r="D38" s="12" t="n">
        <f aca="false">C38-C37</f>
        <v>219</v>
      </c>
      <c r="E38" s="7" t="n">
        <f aca="false">C38-152000</f>
        <v>2831</v>
      </c>
      <c r="F38" s="6" t="n">
        <f aca="false">D38/$D$2</f>
        <v>110.41088984119</v>
      </c>
      <c r="G38" s="6" t="n">
        <v>110</v>
      </c>
      <c r="H38" s="8" t="n">
        <v>3.5</v>
      </c>
      <c r="I38" s="6" t="n">
        <f aca="false">G38+H38</f>
        <v>113.5</v>
      </c>
      <c r="J38" s="37" t="n">
        <f aca="false">IF(L38&gt;0,L38,0)</f>
        <v>51.3600957902697</v>
      </c>
      <c r="K38" s="6" t="n">
        <f aca="false">I38+J38</f>
        <v>164.86009579027</v>
      </c>
      <c r="L38" s="6" t="n">
        <f aca="false">F38-(I38-W38)</f>
        <v>51.3600957902697</v>
      </c>
      <c r="M38" s="6"/>
      <c r="N38" s="6"/>
      <c r="O38" s="6"/>
      <c r="P38" s="6"/>
      <c r="Q38" s="6"/>
      <c r="R38" s="6"/>
      <c r="S38" s="6" t="n">
        <f aca="false">7/1.9835</f>
        <v>3.52911520040333</v>
      </c>
      <c r="T38" s="7"/>
      <c r="U38" s="6"/>
      <c r="V38" s="6" t="n">
        <f aca="false">101/1.9835</f>
        <v>50.9200907486766</v>
      </c>
      <c r="W38" s="6" t="n">
        <f aca="false">N38+O38+S38+U38+V38</f>
        <v>54.4492059490799</v>
      </c>
      <c r="X38" s="6" t="n">
        <f aca="false">IF(L38&lt;0,L38*-1,0)</f>
        <v>0</v>
      </c>
      <c r="Y38" s="6" t="n">
        <f aca="false">W38+X38</f>
        <v>54.4492059490799</v>
      </c>
      <c r="Z38" s="11" t="n">
        <v>0</v>
      </c>
      <c r="AA38" s="39"/>
      <c r="AB38" s="12"/>
      <c r="AC38" s="13" t="n">
        <f aca="false">AC37+1</f>
        <v>29</v>
      </c>
    </row>
    <row r="39" customFormat="false" ht="11.1" hidden="false" customHeight="true" outlineLevel="0" collapsed="false">
      <c r="A39" s="13" t="n">
        <v>30</v>
      </c>
      <c r="B39" s="29" t="n">
        <v>6856.42</v>
      </c>
      <c r="C39" s="7" t="n">
        <v>155072</v>
      </c>
      <c r="D39" s="12" t="n">
        <f aca="false">C39-C38</f>
        <v>241</v>
      </c>
      <c r="E39" s="7" t="n">
        <f aca="false">C39-152000</f>
        <v>3072</v>
      </c>
      <c r="F39" s="6" t="n">
        <f aca="false">D39/$D$2</f>
        <v>121.502394756743</v>
      </c>
      <c r="G39" s="6" t="n">
        <v>110</v>
      </c>
      <c r="H39" s="8" t="n">
        <v>3.2</v>
      </c>
      <c r="I39" s="6" t="n">
        <f aca="false">G39+H39</f>
        <v>113.2</v>
      </c>
      <c r="J39" s="37" t="n">
        <f aca="false">IF(L39&gt;0,L39,0)</f>
        <v>62.751600705823</v>
      </c>
      <c r="K39" s="6" t="n">
        <f aca="false">I39+J39</f>
        <v>175.951600705823</v>
      </c>
      <c r="L39" s="6" t="n">
        <f aca="false">F39-(I39-W39)</f>
        <v>62.751600705823</v>
      </c>
      <c r="M39" s="6"/>
      <c r="N39" s="6"/>
      <c r="O39" s="6"/>
      <c r="P39" s="6"/>
      <c r="Q39" s="6"/>
      <c r="R39" s="6"/>
      <c r="S39" s="6" t="n">
        <f aca="false">7/1.9835</f>
        <v>3.52911520040333</v>
      </c>
      <c r="T39" s="7"/>
      <c r="U39" s="6"/>
      <c r="V39" s="6" t="n">
        <f aca="false">101/1.9835</f>
        <v>50.9200907486766</v>
      </c>
      <c r="W39" s="6" t="n">
        <f aca="false">N39+O39+S39+U39+V39</f>
        <v>54.4492059490799</v>
      </c>
      <c r="X39" s="6" t="n">
        <f aca="false">IF(L39&lt;0,L39*-1,0)</f>
        <v>0</v>
      </c>
      <c r="Y39" s="6" t="n">
        <f aca="false">W39+X39</f>
        <v>54.4492059490799</v>
      </c>
      <c r="Z39" s="11" t="n">
        <v>0</v>
      </c>
      <c r="AA39" s="39"/>
      <c r="AB39" s="12"/>
      <c r="AC39" s="13" t="n">
        <v>30</v>
      </c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1526.59440383161</v>
      </c>
      <c r="G41" s="7" t="n">
        <f aca="false">SUM(G10:G39)</f>
        <v>3955</v>
      </c>
      <c r="H41" s="7" t="n">
        <f aca="false">SUM(H10:H39)</f>
        <v>79.7</v>
      </c>
      <c r="I41" s="7" t="n">
        <f aca="false">SUM(I10:I39)</f>
        <v>4034.7</v>
      </c>
      <c r="J41" s="7" t="n">
        <f aca="false">SUM(J10:J39)</f>
        <v>928.992891353668</v>
      </c>
      <c r="K41" s="7" t="n">
        <f aca="false">SUM(K10:K39)</f>
        <v>4963.69289135367</v>
      </c>
      <c r="L41" s="7" t="n">
        <f aca="false">SUM(L10:L39)</f>
        <v>376.694000504159</v>
      </c>
      <c r="M41" s="7" t="n">
        <f aca="false">SUM(M10:M39)</f>
        <v>0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0</v>
      </c>
      <c r="Q41" s="7" t="n">
        <f aca="false">SUM(Q10:Q39)</f>
        <v>0</v>
      </c>
      <c r="R41" s="7" t="n">
        <f aca="false">SUM(R10:R39)</f>
        <v>0</v>
      </c>
      <c r="S41" s="7" t="n">
        <f aca="false">SUM(S10:S39)</f>
        <v>1362.74262667003</v>
      </c>
      <c r="T41" s="7"/>
      <c r="U41" s="7" t="n">
        <f aca="false">SUM(U10:U39)</f>
        <v>0</v>
      </c>
      <c r="V41" s="7" t="n">
        <f aca="false">SUM(V10:V39)</f>
        <v>1522.05697000252</v>
      </c>
      <c r="W41" s="7" t="n">
        <f aca="false">SUM(W10:W39)</f>
        <v>2884.79959667255</v>
      </c>
      <c r="X41" s="7" t="n">
        <f aca="false">SUM(X10:X39)</f>
        <v>552.298890849508</v>
      </c>
      <c r="Y41" s="7" t="n">
        <f aca="false">SUM(Y10:Y39)</f>
        <v>3437.09848752206</v>
      </c>
      <c r="Z41" s="11" t="n">
        <f aca="false">SUM(Z10:Z39)</f>
        <v>3.21</v>
      </c>
      <c r="AA41" s="12" t="n">
        <f aca="false">AVERAGE(AA10:AA39)</f>
        <v>46.3</v>
      </c>
      <c r="AB41" s="12" t="n">
        <f aca="false">AVERAGE(AB10:AB39)</f>
        <v>18.9</v>
      </c>
      <c r="AC41" s="13" t="s">
        <v>45</v>
      </c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3028</v>
      </c>
      <c r="E42" s="7"/>
      <c r="F42" s="7" t="n">
        <f aca="false">F41*$D$2</f>
        <v>3028</v>
      </c>
      <c r="G42" s="7" t="n">
        <f aca="false">G41*$D$2</f>
        <v>7844.7425</v>
      </c>
      <c r="H42" s="7" t="n">
        <f aca="false">H41*$D$2</f>
        <v>158.08495</v>
      </c>
      <c r="I42" s="7" t="n">
        <f aca="false">I41*$D$2</f>
        <v>8002.82745</v>
      </c>
      <c r="J42" s="7" t="n">
        <f aca="false">J41*$D$2</f>
        <v>1842.6574</v>
      </c>
      <c r="K42" s="7" t="n">
        <f aca="false">K41*$D$2</f>
        <v>9845.48485</v>
      </c>
      <c r="L42" s="7" t="n">
        <f aca="false">L41*$D$2</f>
        <v>747.17255</v>
      </c>
      <c r="M42" s="7" t="n">
        <f aca="false">M41*$D$2</f>
        <v>0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0</v>
      </c>
      <c r="Q42" s="7" t="n">
        <f aca="false">Q41*$D$2</f>
        <v>0</v>
      </c>
      <c r="R42" s="7" t="n">
        <f aca="false">R41*$D$2</f>
        <v>0</v>
      </c>
      <c r="S42" s="7" t="n">
        <f aca="false">S41*$D$2</f>
        <v>2703</v>
      </c>
      <c r="T42" s="7"/>
      <c r="U42" s="7" t="n">
        <f aca="false">U41*$D$2</f>
        <v>0</v>
      </c>
      <c r="V42" s="7" t="n">
        <f aca="false">V41*$D$2</f>
        <v>3019</v>
      </c>
      <c r="W42" s="7" t="n">
        <f aca="false">W41*$D$2</f>
        <v>5722</v>
      </c>
      <c r="X42" s="7" t="n">
        <f aca="false">X41*$D$2</f>
        <v>1095.48485</v>
      </c>
      <c r="Y42" s="7" t="n">
        <f aca="false">Y41*$D$2</f>
        <v>6817.48485</v>
      </c>
      <c r="Z42" s="11"/>
      <c r="AA42" s="12" t="n">
        <f aca="false">MAX(AA10:AA39)</f>
        <v>65</v>
      </c>
      <c r="AB42" s="12" t="n">
        <f aca="false">MAX(AB10:AB39)</f>
        <v>36</v>
      </c>
      <c r="AC42" s="13" t="s">
        <v>47</v>
      </c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/>
      <c r="G44" s="7"/>
      <c r="H44" s="12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11"/>
      <c r="AA44" s="12" t="n">
        <f aca="false">MIN(AA10:AA39)</f>
        <v>28</v>
      </c>
      <c r="AB44" s="12" t="n">
        <f aca="false">MIN(AB10:AB39)</f>
        <v>-2</v>
      </c>
      <c r="AC44" s="13" t="s">
        <v>49</v>
      </c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/>
      <c r="G45" s="7"/>
      <c r="H45" s="12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11"/>
      <c r="AA45" s="12"/>
      <c r="AB45" s="12"/>
      <c r="AC45" s="13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1526.59440383161</v>
      </c>
      <c r="G47" s="7" t="n">
        <f aca="false">G8+G41</f>
        <v>3955</v>
      </c>
      <c r="H47" s="12" t="n">
        <f aca="false">H8+H41</f>
        <v>79.7</v>
      </c>
      <c r="I47" s="7" t="n">
        <f aca="false">I8+I41</f>
        <v>4034.7</v>
      </c>
      <c r="J47" s="7" t="n">
        <f aca="false">J8+J41</f>
        <v>928.992891353668</v>
      </c>
      <c r="K47" s="7" t="n">
        <f aca="false">K8+K41</f>
        <v>4963.69289135367</v>
      </c>
      <c r="L47" s="7" t="n">
        <f aca="false">L8+L41</f>
        <v>376.694000504159</v>
      </c>
      <c r="M47" s="7" t="n">
        <f aca="false">M8+M41</f>
        <v>0</v>
      </c>
      <c r="N47" s="7" t="n">
        <f aca="false">N8+N41</f>
        <v>0</v>
      </c>
      <c r="O47" s="7" t="n">
        <f aca="false">O8+O41</f>
        <v>402.2</v>
      </c>
      <c r="P47" s="7" t="n">
        <f aca="false">P8+P41</f>
        <v>0</v>
      </c>
      <c r="Q47" s="7" t="n">
        <f aca="false">Q8+Q41</f>
        <v>0</v>
      </c>
      <c r="R47" s="7" t="n">
        <f aca="false">R8+R41</f>
        <v>0</v>
      </c>
      <c r="S47" s="7" t="n">
        <f aca="false">S8+S41</f>
        <v>1362.74262667003</v>
      </c>
      <c r="T47" s="7"/>
      <c r="U47" s="7" t="n">
        <f aca="false">U8+U41</f>
        <v>0</v>
      </c>
      <c r="V47" s="7" t="n">
        <f aca="false">V8+V41</f>
        <v>1522.05697000252</v>
      </c>
      <c r="W47" s="7" t="n">
        <f aca="false">W8+W41</f>
        <v>2884.79959667255</v>
      </c>
      <c r="X47" s="7" t="n">
        <f aca="false">X8+X41</f>
        <v>552.298890849508</v>
      </c>
      <c r="Y47" s="7" t="n">
        <f aca="false">Y8+Y41</f>
        <v>3437.09848752206</v>
      </c>
      <c r="Z47" s="11" t="n">
        <f aca="false">Z8+Z41</f>
        <v>3.21</v>
      </c>
      <c r="AA47" s="12"/>
      <c r="AB47" s="12"/>
      <c r="AC47" s="13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3028</v>
      </c>
      <c r="E48" s="7" t="n">
        <f aca="false">E39</f>
        <v>3072</v>
      </c>
      <c r="F48" s="7" t="n">
        <f aca="false">F47*$D$2</f>
        <v>3028</v>
      </c>
      <c r="G48" s="7" t="n">
        <f aca="false">G47*$D$2</f>
        <v>7844.7425</v>
      </c>
      <c r="H48" s="12" t="n">
        <f aca="false">H47*$D$2</f>
        <v>158.08495</v>
      </c>
      <c r="I48" s="7" t="n">
        <f aca="false">I47*$D$2</f>
        <v>8002.82745</v>
      </c>
      <c r="J48" s="7" t="n">
        <f aca="false">J47*$D$2</f>
        <v>1842.6574</v>
      </c>
      <c r="K48" s="7" t="n">
        <f aca="false">K47*$D$2</f>
        <v>9845.48485</v>
      </c>
      <c r="L48" s="7" t="n">
        <f aca="false">L47*$D$2</f>
        <v>747.17255</v>
      </c>
      <c r="M48" s="7" t="n">
        <f aca="false">M47*$D$2</f>
        <v>0</v>
      </c>
      <c r="N48" s="7" t="n">
        <f aca="false">N47*$D$2</f>
        <v>0</v>
      </c>
      <c r="O48" s="7" t="n">
        <f aca="false">O47*$D$2</f>
        <v>797.7637</v>
      </c>
      <c r="P48" s="7" t="n">
        <f aca="false">P47*$D$2</f>
        <v>0</v>
      </c>
      <c r="Q48" s="7" t="n">
        <f aca="false">Q47*$D$2</f>
        <v>0</v>
      </c>
      <c r="R48" s="7" t="n">
        <f aca="false">R47*$D$2</f>
        <v>0</v>
      </c>
      <c r="S48" s="7" t="n">
        <f aca="false">S47*$D$2</f>
        <v>2703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3019</v>
      </c>
      <c r="W48" s="7" t="n">
        <f aca="false">W47*$D$2</f>
        <v>5722</v>
      </c>
      <c r="X48" s="7" t="n">
        <f aca="false">X47*$D$2</f>
        <v>1095.48485</v>
      </c>
      <c r="Y48" s="7" t="n">
        <f aca="false">Y47*$D$2</f>
        <v>6817.48485</v>
      </c>
      <c r="Z48" s="11"/>
      <c r="AA48" s="12"/>
      <c r="AB48" s="12"/>
      <c r="AC48" s="13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11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11"/>
      <c r="Z50" s="11"/>
      <c r="AA50" s="12"/>
      <c r="AB50" s="12"/>
      <c r="AC50" s="13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11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11"/>
      <c r="Z51" s="11"/>
      <c r="AA51" s="12"/>
      <c r="AB51" s="12"/>
      <c r="AC51" s="13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11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9"/>
      <c r="V52" s="39"/>
      <c r="W52" s="39"/>
      <c r="X52" s="39"/>
      <c r="Y52" s="11"/>
      <c r="Z52" s="11"/>
      <c r="AA52" s="12"/>
      <c r="AB52" s="12"/>
      <c r="AC52" s="13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11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9"/>
      <c r="V53" s="39"/>
      <c r="W53" s="39"/>
      <c r="X53" s="39"/>
      <c r="Y53" s="11"/>
      <c r="Z53" s="11"/>
      <c r="AA53" s="12"/>
      <c r="AB53" s="12"/>
      <c r="AC53" s="13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11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9"/>
      <c r="V54" s="7"/>
      <c r="W54" s="39"/>
      <c r="X54" s="39"/>
      <c r="Y54" s="11"/>
      <c r="Z54" s="11"/>
      <c r="AA54" s="12"/>
      <c r="AB54" s="13"/>
    </row>
  </sheetData>
  <mergeCells count="1"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J21" activePane="bottomRight" state="frozen"/>
      <selection pane="topLeft" activeCell="A1" activeCellId="0" sqref="A1"/>
      <selection pane="topRight" activeCell="J1" activeCellId="0" sqref="J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53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</row>
    <row r="5" customFormat="false" ht="11.1" hidden="false" customHeight="true" outlineLevel="0" collapsed="false">
      <c r="A5" s="67" t="s">
        <v>54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54</v>
      </c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</row>
    <row r="8" s="45" customFormat="true" ht="11.1" hidden="false" customHeight="true" outlineLevel="0" collapsed="false">
      <c r="A8" s="52" t="s">
        <v>43</v>
      </c>
      <c r="B8" s="73" t="n">
        <f aca="false">NOV!B39</f>
        <v>6856.42</v>
      </c>
      <c r="C8" s="52" t="n">
        <f aca="false">NOV!C39</f>
        <v>155072</v>
      </c>
      <c r="D8" s="52" t="n">
        <f aca="false">NOV!$D$48</f>
        <v>3028</v>
      </c>
      <c r="E8" s="52" t="n">
        <f aca="false">NOV!$E$39</f>
        <v>3072</v>
      </c>
      <c r="F8" s="52" t="n">
        <f aca="false">NOV!F47</f>
        <v>1526.59440383161</v>
      </c>
      <c r="G8" s="52" t="n">
        <f aca="false">NOV!G47</f>
        <v>3955</v>
      </c>
      <c r="H8" s="57" t="n">
        <f aca="false">NOV!H47</f>
        <v>79.7</v>
      </c>
      <c r="I8" s="52" t="n">
        <f aca="false">NOV!I47</f>
        <v>4034.7</v>
      </c>
      <c r="J8" s="52" t="n">
        <f aca="false">NOV!J47</f>
        <v>928.992891353668</v>
      </c>
      <c r="K8" s="52" t="n">
        <f aca="false">NOV!K47</f>
        <v>4963.69289135367</v>
      </c>
      <c r="L8" s="52" t="n">
        <f aca="false">NOV!L47</f>
        <v>376.694000504159</v>
      </c>
      <c r="M8" s="52" t="n">
        <f aca="false">NOV!M47</f>
        <v>0</v>
      </c>
      <c r="N8" s="52" t="n">
        <f aca="false">NOV!N47</f>
        <v>0</v>
      </c>
      <c r="O8" s="52" t="n">
        <f aca="false">NOV!O47</f>
        <v>402.2</v>
      </c>
      <c r="P8" s="52" t="n">
        <f aca="false">NOV!P47</f>
        <v>0</v>
      </c>
      <c r="Q8" s="52" t="n">
        <f aca="false">NOV!Q47</f>
        <v>0</v>
      </c>
      <c r="R8" s="52" t="n">
        <f aca="false">NOV!R47</f>
        <v>0</v>
      </c>
      <c r="S8" s="52" t="n">
        <f aca="false">NOV!S47</f>
        <v>1362.74262667003</v>
      </c>
      <c r="T8" s="52" t="n">
        <f aca="false">NOV!T47</f>
        <v>0</v>
      </c>
      <c r="U8" s="52" t="n">
        <f aca="false">NOV!U47</f>
        <v>0</v>
      </c>
      <c r="V8" s="52" t="n">
        <f aca="false">NOV!V47</f>
        <v>1522.05697000252</v>
      </c>
      <c r="W8" s="52" t="n">
        <f aca="false">NOV!W47</f>
        <v>2884.79959667255</v>
      </c>
      <c r="X8" s="52" t="n">
        <f aca="false">NOV!X47</f>
        <v>552.298890849508</v>
      </c>
      <c r="Y8" s="52" t="n">
        <f aca="false">NOV!Y47</f>
        <v>3437.09848752206</v>
      </c>
      <c r="Z8" s="56" t="n">
        <f aca="false">NOV!Z47</f>
        <v>3.21</v>
      </c>
      <c r="AA8" s="57"/>
      <c r="AB8" s="57"/>
      <c r="AC8" s="58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</row>
    <row r="10" customFormat="false" ht="11.1" hidden="false" customHeight="true" outlineLevel="0" collapsed="false">
      <c r="A10" s="58" t="n">
        <v>1</v>
      </c>
      <c r="B10" s="73" t="n">
        <v>6856.54</v>
      </c>
      <c r="C10" s="52" t="n">
        <v>155336</v>
      </c>
      <c r="D10" s="57" t="n">
        <f aca="false">C10-C8</f>
        <v>264</v>
      </c>
      <c r="E10" s="52" t="n">
        <f aca="false">C10-152000</f>
        <v>3336</v>
      </c>
      <c r="F10" s="51" t="n">
        <f aca="false">D10/$D$2</f>
        <v>133.09805898664</v>
      </c>
      <c r="G10" s="51" t="n">
        <v>100</v>
      </c>
      <c r="H10" s="53" t="n">
        <v>2.9</v>
      </c>
      <c r="I10" s="51" t="n">
        <f aca="false">G10+H10</f>
        <v>102.9</v>
      </c>
      <c r="J10" s="81" t="n">
        <f aca="false">IF(L10&gt;0,L10,0)</f>
        <v>84.1431056213763</v>
      </c>
      <c r="K10" s="51" t="n">
        <f aca="false">I10+J10</f>
        <v>187.043105621376</v>
      </c>
      <c r="L10" s="51" t="n">
        <f aca="false">F10-(I10-W10)</f>
        <v>84.1431056213763</v>
      </c>
      <c r="M10" s="51"/>
      <c r="N10" s="51"/>
      <c r="O10" s="51"/>
      <c r="P10" s="6"/>
      <c r="Q10" s="51"/>
      <c r="R10" s="51"/>
      <c r="S10" s="51" t="n">
        <f aca="false">7/1.9835</f>
        <v>3.52911520040333</v>
      </c>
      <c r="T10" s="52"/>
      <c r="U10" s="51"/>
      <c r="V10" s="51" t="n">
        <f aca="false">100/1.9835</f>
        <v>50.4159314343332</v>
      </c>
      <c r="W10" s="6" t="n">
        <f aca="false">N10+O10+S10+U10+V10</f>
        <v>53.9450466347366</v>
      </c>
      <c r="X10" s="51" t="n">
        <f aca="false">IF(L10&lt;0,L10*-1,0)</f>
        <v>0</v>
      </c>
      <c r="Y10" s="51" t="n">
        <f aca="false">W10+X10</f>
        <v>53.9450466347366</v>
      </c>
      <c r="Z10" s="56" t="n">
        <v>0</v>
      </c>
      <c r="AA10" s="57"/>
      <c r="AB10" s="57"/>
      <c r="AC10" s="58" t="n">
        <v>1</v>
      </c>
    </row>
    <row r="11" customFormat="false" ht="11.1" hidden="false" customHeight="true" outlineLevel="0" collapsed="false">
      <c r="A11" s="58" t="n">
        <f aca="false">A10+1</f>
        <v>2</v>
      </c>
      <c r="B11" s="73" t="n">
        <v>6856.65</v>
      </c>
      <c r="C11" s="52" t="n">
        <v>155577</v>
      </c>
      <c r="D11" s="57" t="n">
        <f aca="false">C11-C10</f>
        <v>241</v>
      </c>
      <c r="E11" s="52" t="n">
        <f aca="false">C11-152000</f>
        <v>3577</v>
      </c>
      <c r="F11" s="51" t="n">
        <f aca="false">D11/$D$2</f>
        <v>121.502394756743</v>
      </c>
      <c r="G11" s="51" t="n">
        <v>130</v>
      </c>
      <c r="H11" s="53" t="n">
        <v>3.2</v>
      </c>
      <c r="I11" s="51" t="n">
        <f aca="false">G11+H11</f>
        <v>133.2</v>
      </c>
      <c r="J11" s="81" t="n">
        <f aca="false">IF(L11&gt;0,L11,0)</f>
        <v>42.2474413914797</v>
      </c>
      <c r="K11" s="51" t="n">
        <f aca="false">I11+J11</f>
        <v>175.44744139148</v>
      </c>
      <c r="L11" s="51" t="n">
        <f aca="false">F11-(I11-W11)</f>
        <v>42.2474413914797</v>
      </c>
      <c r="M11" s="51"/>
      <c r="N11" s="51"/>
      <c r="O11" s="51"/>
      <c r="P11" s="6"/>
      <c r="Q11" s="51"/>
      <c r="R11" s="51"/>
      <c r="S11" s="51" t="n">
        <f aca="false">7/1.9835</f>
        <v>3.52911520040333</v>
      </c>
      <c r="T11" s="52"/>
      <c r="U11" s="51"/>
      <c r="V11" s="51" t="n">
        <f aca="false">100/1.9835</f>
        <v>50.4159314343332</v>
      </c>
      <c r="W11" s="6" t="n">
        <f aca="false">N11+O11+S11+U11+V11</f>
        <v>53.9450466347366</v>
      </c>
      <c r="X11" s="51" t="n">
        <f aca="false">IF(L11&lt;0,L11*-1,0)</f>
        <v>0</v>
      </c>
      <c r="Y11" s="51" t="n">
        <f aca="false">W11+X11</f>
        <v>53.9450466347366</v>
      </c>
      <c r="Z11" s="56" t="n">
        <v>1.3</v>
      </c>
      <c r="AA11" s="57" t="n">
        <v>42</v>
      </c>
      <c r="AB11" s="57" t="n">
        <v>19</v>
      </c>
      <c r="AC11" s="58" t="n">
        <f aca="false">AC10+1</f>
        <v>2</v>
      </c>
    </row>
    <row r="12" customFormat="false" ht="11.1" hidden="false" customHeight="true" outlineLevel="0" collapsed="false">
      <c r="A12" s="58" t="n">
        <f aca="false">A11+1</f>
        <v>3</v>
      </c>
      <c r="B12" s="73" t="n">
        <v>6856.72</v>
      </c>
      <c r="C12" s="52" t="n">
        <v>155731</v>
      </c>
      <c r="D12" s="57" t="n">
        <f aca="false">C12-C11</f>
        <v>154</v>
      </c>
      <c r="E12" s="52" t="n">
        <f aca="false">C12-152000</f>
        <v>3731</v>
      </c>
      <c r="F12" s="51" t="n">
        <f aca="false">D12/$D$2</f>
        <v>77.6405344088732</v>
      </c>
      <c r="G12" s="51" t="n">
        <v>120</v>
      </c>
      <c r="H12" s="53" t="n">
        <v>3.8</v>
      </c>
      <c r="I12" s="51" t="n">
        <f aca="false">G12+H12</f>
        <v>123.8</v>
      </c>
      <c r="J12" s="81" t="n">
        <f aca="false">IF(L12&gt;0,L12,0)</f>
        <v>34.0018653894631</v>
      </c>
      <c r="K12" s="51" t="n">
        <f aca="false">I12+J12</f>
        <v>157.801865389463</v>
      </c>
      <c r="L12" s="51" t="n">
        <f aca="false">F12-(I12-W12)</f>
        <v>34.0018653894631</v>
      </c>
      <c r="M12" s="51"/>
      <c r="N12" s="51"/>
      <c r="O12" s="51"/>
      <c r="P12" s="6"/>
      <c r="Q12" s="51"/>
      <c r="R12" s="51"/>
      <c r="S12" s="51" t="n">
        <f aca="false">59/1.9835</f>
        <v>29.7453995462566</v>
      </c>
      <c r="T12" s="52"/>
      <c r="U12" s="51"/>
      <c r="V12" s="51" t="n">
        <f aca="false">100/1.9835</f>
        <v>50.4159314343332</v>
      </c>
      <c r="W12" s="6" t="n">
        <f aca="false">N12+O12+S12+U12+V12</f>
        <v>80.1613309805899</v>
      </c>
      <c r="X12" s="51" t="n">
        <f aca="false">IF(L12&lt;0,L12*-1,0)</f>
        <v>0</v>
      </c>
      <c r="Y12" s="51" t="n">
        <f aca="false">W12+X12</f>
        <v>80.1613309805899</v>
      </c>
      <c r="Z12" s="56" t="n">
        <v>1.5</v>
      </c>
      <c r="AA12" s="57" t="n">
        <v>43</v>
      </c>
      <c r="AB12" s="57" t="n">
        <v>18</v>
      </c>
      <c r="AC12" s="58" t="n">
        <f aca="false">AC11+1</f>
        <v>3</v>
      </c>
    </row>
    <row r="13" customFormat="false" ht="11.1" hidden="false" customHeight="true" outlineLevel="0" collapsed="false">
      <c r="A13" s="58" t="n">
        <f aca="false">A12+1</f>
        <v>4</v>
      </c>
      <c r="B13" s="73" t="n">
        <v>6856.8</v>
      </c>
      <c r="C13" s="52" t="n">
        <v>155906</v>
      </c>
      <c r="D13" s="57" t="n">
        <f aca="false">C13-C12</f>
        <v>175</v>
      </c>
      <c r="E13" s="52" t="n">
        <f aca="false">C13-152000</f>
        <v>3906</v>
      </c>
      <c r="F13" s="51" t="n">
        <f aca="false">D13/$D$2</f>
        <v>88.2278800100832</v>
      </c>
      <c r="G13" s="51" t="n">
        <v>113</v>
      </c>
      <c r="H13" s="53" t="n">
        <v>4</v>
      </c>
      <c r="I13" s="51" t="n">
        <f aca="false">G13+H13</f>
        <v>117</v>
      </c>
      <c r="J13" s="81" t="n">
        <f aca="false">IF(L13&gt;0,L13,0)</f>
        <v>78.613813965213</v>
      </c>
      <c r="K13" s="51" t="n">
        <f aca="false">I13+J13</f>
        <v>195.613813965213</v>
      </c>
      <c r="L13" s="51" t="n">
        <f aca="false">F13-(I13-W13)</f>
        <v>78.613813965213</v>
      </c>
      <c r="M13" s="51"/>
      <c r="N13" s="51"/>
      <c r="O13" s="51"/>
      <c r="P13" s="6"/>
      <c r="Q13" s="51"/>
      <c r="R13" s="51"/>
      <c r="S13" s="51" t="n">
        <f aca="false">70/1.9835</f>
        <v>35.2911520040333</v>
      </c>
      <c r="T13" s="52"/>
      <c r="U13" s="51"/>
      <c r="V13" s="51" t="n">
        <f aca="false">143/1.9835</f>
        <v>72.0947819510966</v>
      </c>
      <c r="W13" s="6" t="n">
        <f aca="false">N13+O13+S13+U13+V13</f>
        <v>107.38593395513</v>
      </c>
      <c r="X13" s="51" t="n">
        <f aca="false">IF(L13&lt;0,L13*-1,0)</f>
        <v>0</v>
      </c>
      <c r="Y13" s="51" t="n">
        <f aca="false">W13+X13</f>
        <v>107.38593395513</v>
      </c>
      <c r="Z13" s="56" t="n">
        <v>0</v>
      </c>
      <c r="AA13" s="57" t="n">
        <v>44</v>
      </c>
      <c r="AB13" s="57" t="n">
        <v>11</v>
      </c>
      <c r="AC13" s="58" t="n">
        <f aca="false">AC12+1</f>
        <v>4</v>
      </c>
    </row>
    <row r="14" customFormat="false" ht="11.1" hidden="false" customHeight="true" outlineLevel="0" collapsed="false">
      <c r="A14" s="58" t="n">
        <f aca="false">A13+1</f>
        <v>5</v>
      </c>
      <c r="B14" s="73" t="n">
        <v>6856.8</v>
      </c>
      <c r="C14" s="52" t="n">
        <v>155906</v>
      </c>
      <c r="D14" s="57" t="n">
        <f aca="false">C14-C13</f>
        <v>0</v>
      </c>
      <c r="E14" s="52" t="n">
        <f aca="false">C14-152000</f>
        <v>3906</v>
      </c>
      <c r="F14" s="51" t="n">
        <f aca="false">D14/$D$2</f>
        <v>0</v>
      </c>
      <c r="G14" s="51" t="n">
        <v>93</v>
      </c>
      <c r="H14" s="53" t="n">
        <v>3.8</v>
      </c>
      <c r="I14" s="51" t="n">
        <f aca="false">G14+H14</f>
        <v>96.8</v>
      </c>
      <c r="J14" s="81" t="n">
        <f aca="false">IF(L14&gt;0,L14,0)</f>
        <v>9.07345601209983</v>
      </c>
      <c r="K14" s="51" t="n">
        <f aca="false">I14+J14</f>
        <v>105.8734560121</v>
      </c>
      <c r="L14" s="51" t="n">
        <f aca="false">F14-(I14-W14)</f>
        <v>9.07345601209983</v>
      </c>
      <c r="M14" s="51"/>
      <c r="N14" s="51"/>
      <c r="O14" s="51"/>
      <c r="P14" s="6"/>
      <c r="Q14" s="51"/>
      <c r="R14" s="51"/>
      <c r="S14" s="51" t="n">
        <f aca="false">11/1.9835</f>
        <v>5.54575245777666</v>
      </c>
      <c r="T14" s="52"/>
      <c r="U14" s="51"/>
      <c r="V14" s="51" t="n">
        <f aca="false">199/1.9835</f>
        <v>100.327703554323</v>
      </c>
      <c r="W14" s="6" t="n">
        <f aca="false">N14+O14+S14+U14+V14</f>
        <v>105.8734560121</v>
      </c>
      <c r="X14" s="51" t="n">
        <f aca="false">IF(L14&lt;0,L14*-1,0)</f>
        <v>0</v>
      </c>
      <c r="Y14" s="51" t="n">
        <f aca="false">W14+X14</f>
        <v>105.8734560121</v>
      </c>
      <c r="Z14" s="56" t="n">
        <v>0</v>
      </c>
      <c r="AA14" s="57" t="n">
        <v>47</v>
      </c>
      <c r="AB14" s="57" t="n">
        <v>9</v>
      </c>
      <c r="AC14" s="58" t="n">
        <f aca="false">AC13+1</f>
        <v>5</v>
      </c>
    </row>
    <row r="15" customFormat="false" ht="11.1" hidden="false" customHeight="true" outlineLevel="0" collapsed="false">
      <c r="A15" s="58" t="n">
        <f aca="false">A14+1</f>
        <v>6</v>
      </c>
      <c r="B15" s="73" t="n">
        <v>6856.81</v>
      </c>
      <c r="C15" s="52" t="n">
        <v>155928</v>
      </c>
      <c r="D15" s="57" t="n">
        <f aca="false">C15-C14</f>
        <v>22</v>
      </c>
      <c r="E15" s="52" t="n">
        <f aca="false">C15-152000</f>
        <v>3928</v>
      </c>
      <c r="F15" s="51" t="n">
        <f aca="false">D15/$D$2</f>
        <v>11.0915049155533</v>
      </c>
      <c r="G15" s="51" t="n">
        <v>110</v>
      </c>
      <c r="H15" s="53" t="n">
        <v>3.8</v>
      </c>
      <c r="I15" s="51" t="n">
        <f aca="false">G15+H15</f>
        <v>113.8</v>
      </c>
      <c r="J15" s="81" t="n">
        <f aca="false">IF(L15&gt;0,L15,0)</f>
        <v>0</v>
      </c>
      <c r="K15" s="51" t="n">
        <f aca="false">I15+J15</f>
        <v>113.8</v>
      </c>
      <c r="L15" s="51" t="n">
        <f aca="false">F15-(I15-W15)</f>
        <v>-6.91822535921351</v>
      </c>
      <c r="M15" s="51"/>
      <c r="N15" s="51"/>
      <c r="O15" s="51"/>
      <c r="P15" s="6"/>
      <c r="Q15" s="51"/>
      <c r="R15" s="51"/>
      <c r="S15" s="51" t="n">
        <f aca="false">7/1.9835</f>
        <v>3.52911520040333</v>
      </c>
      <c r="T15" s="52"/>
      <c r="U15" s="51"/>
      <c r="V15" s="51" t="n">
        <f aca="false">183/1.9835</f>
        <v>92.2611545248298</v>
      </c>
      <c r="W15" s="6" t="n">
        <f aca="false">N15+O15+S15+U15+V15</f>
        <v>95.7902697252332</v>
      </c>
      <c r="X15" s="51" t="n">
        <f aca="false">IF(L15&lt;0,L15*-1,0)</f>
        <v>6.91822535921351</v>
      </c>
      <c r="Y15" s="51" t="n">
        <f aca="false">W15+X15</f>
        <v>102.708495084447</v>
      </c>
      <c r="Z15" s="56" t="n">
        <v>0</v>
      </c>
      <c r="AA15" s="57" t="n">
        <v>46</v>
      </c>
      <c r="AB15" s="57" t="n">
        <v>17</v>
      </c>
      <c r="AC15" s="58" t="n">
        <f aca="false">AC14+1</f>
        <v>6</v>
      </c>
    </row>
    <row r="16" customFormat="false" ht="11.1" hidden="false" customHeight="true" outlineLevel="0" collapsed="false">
      <c r="A16" s="58" t="n">
        <f aca="false">A15+1</f>
        <v>7</v>
      </c>
      <c r="B16" s="73" t="n">
        <v>6856.8</v>
      </c>
      <c r="C16" s="52" t="n">
        <v>155906</v>
      </c>
      <c r="D16" s="57" t="n">
        <f aca="false">C16-C15</f>
        <v>-22</v>
      </c>
      <c r="E16" s="52" t="n">
        <f aca="false">C16-152000</f>
        <v>3906</v>
      </c>
      <c r="F16" s="51" t="n">
        <f aca="false">D16/$D$2</f>
        <v>-11.0915049155533</v>
      </c>
      <c r="G16" s="51" t="n">
        <v>104</v>
      </c>
      <c r="H16" s="53" t="n">
        <v>3.6</v>
      </c>
      <c r="I16" s="51" t="n">
        <f aca="false">G16+H16</f>
        <v>107.6</v>
      </c>
      <c r="J16" s="81" t="n">
        <f aca="false">IF(L16&gt;0,L16,0)</f>
        <v>0</v>
      </c>
      <c r="K16" s="51" t="n">
        <f aca="false">I16+J16</f>
        <v>107.6</v>
      </c>
      <c r="L16" s="51" t="n">
        <f aca="false">F16-(I16-W16)</f>
        <v>-14.8346861608268</v>
      </c>
      <c r="M16" s="51"/>
      <c r="N16" s="51"/>
      <c r="O16" s="51"/>
      <c r="P16" s="6"/>
      <c r="Q16" s="51"/>
      <c r="R16" s="51"/>
      <c r="S16" s="51" t="n">
        <f aca="false">7/1.9835</f>
        <v>3.52911520040333</v>
      </c>
      <c r="T16" s="52"/>
      <c r="U16" s="51"/>
      <c r="V16" s="51" t="n">
        <f aca="false">199/1.9835</f>
        <v>100.327703554323</v>
      </c>
      <c r="W16" s="6" t="n">
        <f aca="false">N16+O16+S16+U16+V16</f>
        <v>103.856818754727</v>
      </c>
      <c r="X16" s="51" t="n">
        <f aca="false">IF(L16&lt;0,L16*-1,0)</f>
        <v>14.8346861608268</v>
      </c>
      <c r="Y16" s="51" t="n">
        <f aca="false">W16+X16</f>
        <v>118.691504915553</v>
      </c>
      <c r="Z16" s="56" t="n">
        <v>0</v>
      </c>
      <c r="AA16" s="57"/>
      <c r="AB16" s="57"/>
      <c r="AC16" s="58" t="n">
        <f aca="false">AC15+1</f>
        <v>7</v>
      </c>
    </row>
    <row r="17" customFormat="false" ht="11.1" hidden="false" customHeight="true" outlineLevel="0" collapsed="false">
      <c r="A17" s="58" t="n">
        <f aca="false">A16+1</f>
        <v>8</v>
      </c>
      <c r="B17" s="73" t="n">
        <v>6856.79</v>
      </c>
      <c r="C17" s="52" t="n">
        <v>155884</v>
      </c>
      <c r="D17" s="57" t="n">
        <f aca="false">C17-C16</f>
        <v>-22</v>
      </c>
      <c r="E17" s="52" t="n">
        <f aca="false">C17-152000</f>
        <v>3884</v>
      </c>
      <c r="F17" s="51" t="n">
        <f aca="false">D17/$D$2</f>
        <v>-11.0915049155533</v>
      </c>
      <c r="G17" s="51" t="n">
        <v>110</v>
      </c>
      <c r="H17" s="53" t="n">
        <v>3.4</v>
      </c>
      <c r="I17" s="51" t="n">
        <f aca="false">G17+H17</f>
        <v>113.4</v>
      </c>
      <c r="J17" s="81" t="n">
        <f aca="false">IF(L17&gt;0,L17,0)</f>
        <v>0</v>
      </c>
      <c r="K17" s="51" t="n">
        <f aca="false">I17+J17</f>
        <v>113.4</v>
      </c>
      <c r="L17" s="51" t="n">
        <f aca="false">F17-(I17-W17)</f>
        <v>-20.6346861608268</v>
      </c>
      <c r="M17" s="51"/>
      <c r="N17" s="51"/>
      <c r="O17" s="51"/>
      <c r="P17" s="6"/>
      <c r="Q17" s="51"/>
      <c r="R17" s="51"/>
      <c r="S17" s="51" t="n">
        <f aca="false">7/1.9835</f>
        <v>3.52911520040333</v>
      </c>
      <c r="T17" s="52"/>
      <c r="U17" s="51"/>
      <c r="V17" s="51" t="n">
        <f aca="false">199/1.9835</f>
        <v>100.327703554323</v>
      </c>
      <c r="W17" s="6" t="n">
        <f aca="false">N17+O17+S17+U17+V17</f>
        <v>103.856818754727</v>
      </c>
      <c r="X17" s="51" t="n">
        <f aca="false">IF(L17&lt;0,L17*-1,0)</f>
        <v>20.6346861608268</v>
      </c>
      <c r="Y17" s="51" t="n">
        <f aca="false">W17+X17</f>
        <v>124.491504915553</v>
      </c>
      <c r="Z17" s="56" t="n">
        <v>0</v>
      </c>
      <c r="AA17" s="57"/>
      <c r="AB17" s="57"/>
      <c r="AC17" s="58" t="n">
        <f aca="false">AC16+1</f>
        <v>8</v>
      </c>
    </row>
    <row r="18" customFormat="false" ht="11.1" hidden="false" customHeight="true" outlineLevel="0" collapsed="false">
      <c r="A18" s="58" t="n">
        <f aca="false">A17+1</f>
        <v>9</v>
      </c>
      <c r="B18" s="73" t="n">
        <v>6856.78</v>
      </c>
      <c r="C18" s="52" t="n">
        <v>155863</v>
      </c>
      <c r="D18" s="57" t="n">
        <f aca="false">C18-C17</f>
        <v>-21</v>
      </c>
      <c r="E18" s="52" t="n">
        <f aca="false">C18-152000</f>
        <v>3863</v>
      </c>
      <c r="F18" s="51" t="n">
        <f aca="false">D18/$D$2</f>
        <v>-10.58734560121</v>
      </c>
      <c r="G18" s="51" t="n">
        <v>109</v>
      </c>
      <c r="H18" s="53" t="n">
        <v>3.3</v>
      </c>
      <c r="I18" s="51" t="n">
        <f aca="false">G18+H18</f>
        <v>112.3</v>
      </c>
      <c r="J18" s="81" t="n">
        <f aca="false">IF(L18&gt;0,L18,0)</f>
        <v>0</v>
      </c>
      <c r="K18" s="51" t="n">
        <f aca="false">I18+J18</f>
        <v>112.3</v>
      </c>
      <c r="L18" s="51" t="n">
        <f aca="false">F18-(I18-W18)</f>
        <v>-19.0305268464835</v>
      </c>
      <c r="M18" s="51"/>
      <c r="N18" s="51"/>
      <c r="O18" s="51"/>
      <c r="P18" s="6"/>
      <c r="Q18" s="51"/>
      <c r="R18" s="51"/>
      <c r="S18" s="51" t="n">
        <f aca="false">7/1.9835</f>
        <v>3.52911520040333</v>
      </c>
      <c r="T18" s="52"/>
      <c r="U18" s="51"/>
      <c r="V18" s="51" t="n">
        <f aca="false">199/1.9835</f>
        <v>100.327703554323</v>
      </c>
      <c r="W18" s="6" t="n">
        <f aca="false">N18+O18+S18+U18+V18</f>
        <v>103.856818754727</v>
      </c>
      <c r="X18" s="51" t="n">
        <f aca="false">IF(L18&lt;0,L18*-1,0)</f>
        <v>19.0305268464835</v>
      </c>
      <c r="Y18" s="51" t="n">
        <f aca="false">W18+X18</f>
        <v>122.88734560121</v>
      </c>
      <c r="Z18" s="56" t="n">
        <v>0.1</v>
      </c>
      <c r="AA18" s="82" t="n">
        <v>38</v>
      </c>
      <c r="AB18" s="57" t="n">
        <v>12</v>
      </c>
      <c r="AC18" s="58" t="n">
        <f aca="false">AC17+1</f>
        <v>9</v>
      </c>
    </row>
    <row r="19" customFormat="false" ht="11.1" hidden="false" customHeight="true" outlineLevel="0" collapsed="false">
      <c r="A19" s="58" t="n">
        <f aca="false">A18+1</f>
        <v>10</v>
      </c>
      <c r="B19" s="73" t="n">
        <v>6856.77</v>
      </c>
      <c r="C19" s="52" t="n">
        <v>155841</v>
      </c>
      <c r="D19" s="57" t="n">
        <f aca="false">C19-C18</f>
        <v>-22</v>
      </c>
      <c r="E19" s="52" t="n">
        <f aca="false">C19-152000</f>
        <v>3841</v>
      </c>
      <c r="F19" s="51" t="n">
        <f aca="false">D19/$D$2</f>
        <v>-11.0915049155533</v>
      </c>
      <c r="G19" s="51" t="n">
        <v>86</v>
      </c>
      <c r="H19" s="53" t="n">
        <v>3.5</v>
      </c>
      <c r="I19" s="51" t="n">
        <f aca="false">G19+H19</f>
        <v>89.5</v>
      </c>
      <c r="J19" s="81" t="n">
        <f aca="false">IF(L19&gt;0,L19,0)</f>
        <v>3.26531383917317</v>
      </c>
      <c r="K19" s="51" t="n">
        <f aca="false">I19+J19</f>
        <v>92.7653138391732</v>
      </c>
      <c r="L19" s="51" t="n">
        <f aca="false">F19-(I19-W19)</f>
        <v>3.26531383917317</v>
      </c>
      <c r="M19" s="51"/>
      <c r="N19" s="51"/>
      <c r="O19" s="51"/>
      <c r="P19" s="6"/>
      <c r="Q19" s="51"/>
      <c r="R19" s="51"/>
      <c r="S19" s="51" t="n">
        <f aca="false">7/1.9835</f>
        <v>3.52911520040333</v>
      </c>
      <c r="T19" s="52"/>
      <c r="U19" s="51"/>
      <c r="V19" s="51" t="n">
        <f aca="false">199/1.9835</f>
        <v>100.327703554323</v>
      </c>
      <c r="W19" s="6" t="n">
        <f aca="false">N19+O19+S19+U19+V19</f>
        <v>103.856818754727</v>
      </c>
      <c r="X19" s="51" t="n">
        <f aca="false">IF(L19&lt;0,L19*-1,0)</f>
        <v>0</v>
      </c>
      <c r="Y19" s="51" t="n">
        <f aca="false">W19+X19</f>
        <v>103.856818754727</v>
      </c>
      <c r="Z19" s="56" t="n">
        <v>0.05</v>
      </c>
      <c r="AA19" s="57" t="n">
        <v>38</v>
      </c>
      <c r="AB19" s="57" t="n">
        <v>8</v>
      </c>
      <c r="AC19" s="58" t="n">
        <f aca="false">AC18+1</f>
        <v>10</v>
      </c>
    </row>
    <row r="20" customFormat="false" ht="11.1" hidden="false" customHeight="true" outlineLevel="0" collapsed="false">
      <c r="A20" s="58" t="n">
        <f aca="false">A19+1</f>
        <v>11</v>
      </c>
      <c r="B20" s="73" t="n">
        <v>6856.75</v>
      </c>
      <c r="C20" s="52" t="n">
        <v>155797</v>
      </c>
      <c r="D20" s="57" t="n">
        <f aca="false">C20-C19</f>
        <v>-44</v>
      </c>
      <c r="E20" s="52" t="n">
        <f aca="false">C20-152000</f>
        <v>3797</v>
      </c>
      <c r="F20" s="51" t="n">
        <f aca="false">D20/$D$2</f>
        <v>-22.1830098311066</v>
      </c>
      <c r="G20" s="51" t="n">
        <v>75</v>
      </c>
      <c r="H20" s="53" t="n">
        <v>3.7</v>
      </c>
      <c r="I20" s="51" t="n">
        <f aca="false">G20+H20</f>
        <v>78.7</v>
      </c>
      <c r="J20" s="81" t="n">
        <f aca="false">IF(L20&gt;0,L20,0)</f>
        <v>0</v>
      </c>
      <c r="K20" s="51" t="n">
        <f aca="false">I20+J20</f>
        <v>78.7</v>
      </c>
      <c r="L20" s="51" t="n">
        <f aca="false">F20-(I20-W20)</f>
        <v>-7.10937736324679</v>
      </c>
      <c r="M20" s="51"/>
      <c r="N20" s="51"/>
      <c r="O20" s="51"/>
      <c r="P20" s="6"/>
      <c r="Q20" s="51"/>
      <c r="R20" s="51"/>
      <c r="S20" s="51" t="n">
        <f aca="false">8/1.9835</f>
        <v>4.03327451474666</v>
      </c>
      <c r="T20" s="52"/>
      <c r="U20" s="51"/>
      <c r="V20" s="51" t="n">
        <f aca="false">178/1.9835</f>
        <v>89.7403579531132</v>
      </c>
      <c r="W20" s="6" t="n">
        <f aca="false">N20+O20+S20+U20+V20</f>
        <v>93.7736324678598</v>
      </c>
      <c r="X20" s="51" t="n">
        <f aca="false">IF(L20&lt;0,L20*-1,0)</f>
        <v>7.10937736324679</v>
      </c>
      <c r="Y20" s="51" t="n">
        <f aca="false">W20+X20</f>
        <v>100.883009831107</v>
      </c>
      <c r="Z20" s="56" t="n">
        <v>0</v>
      </c>
      <c r="AA20" s="57" t="n">
        <v>37</v>
      </c>
      <c r="AB20" s="57" t="n">
        <v>6</v>
      </c>
      <c r="AC20" s="58" t="n">
        <f aca="false">AC19+1</f>
        <v>11</v>
      </c>
    </row>
    <row r="21" customFormat="false" ht="11.1" hidden="false" customHeight="true" outlineLevel="0" collapsed="false">
      <c r="A21" s="58" t="n">
        <f aca="false">A20+1</f>
        <v>12</v>
      </c>
      <c r="B21" s="73" t="n">
        <v>6856.71</v>
      </c>
      <c r="C21" s="52" t="n">
        <v>155709</v>
      </c>
      <c r="D21" s="57" t="n">
        <f aca="false">C21-C20</f>
        <v>-88</v>
      </c>
      <c r="E21" s="52" t="n">
        <f aca="false">C21-152000</f>
        <v>3709</v>
      </c>
      <c r="F21" s="51" t="n">
        <f aca="false">D21/$D$2</f>
        <v>-44.3660196622133</v>
      </c>
      <c r="G21" s="51" t="n">
        <v>70</v>
      </c>
      <c r="H21" s="53" t="n">
        <v>3.7</v>
      </c>
      <c r="I21" s="51" t="n">
        <f aca="false">G21+H21</f>
        <v>73.7</v>
      </c>
      <c r="J21" s="81" t="n">
        <f aca="false">IF(L21&gt;0,L21,0)</f>
        <v>0</v>
      </c>
      <c r="K21" s="51" t="n">
        <f aca="false">I21+J21</f>
        <v>73.7</v>
      </c>
      <c r="L21" s="51" t="n">
        <f aca="false">F21-(I21-W21)</f>
        <v>-31.3506175951601</v>
      </c>
      <c r="M21" s="51"/>
      <c r="N21" s="51"/>
      <c r="O21" s="51"/>
      <c r="P21" s="6"/>
      <c r="Q21" s="51"/>
      <c r="R21" s="51"/>
      <c r="S21" s="51" t="n">
        <f aca="false">10/1.9835</f>
        <v>5.04159314343332</v>
      </c>
      <c r="T21" s="52"/>
      <c r="U21" s="51"/>
      <c r="V21" s="51" t="n">
        <f aca="false">162/1.9835</f>
        <v>81.6738089236199</v>
      </c>
      <c r="W21" s="6" t="n">
        <f aca="false">N21+O21+S21+U21+V21</f>
        <v>86.7154020670532</v>
      </c>
      <c r="X21" s="51" t="n">
        <f aca="false">IF(L21&lt;0,L21*-1,0)</f>
        <v>31.3506175951601</v>
      </c>
      <c r="Y21" s="51" t="n">
        <f aca="false">W21+X21</f>
        <v>118.066019662213</v>
      </c>
      <c r="Z21" s="56" t="n">
        <v>0</v>
      </c>
      <c r="AA21" s="57" t="n">
        <v>38</v>
      </c>
      <c r="AB21" s="57" t="n">
        <v>-9</v>
      </c>
      <c r="AC21" s="58" t="n">
        <f aca="false">AC20+1</f>
        <v>12</v>
      </c>
    </row>
    <row r="22" customFormat="false" ht="11.1" hidden="false" customHeight="true" outlineLevel="0" collapsed="false">
      <c r="A22" s="58" t="n">
        <f aca="false">A21+1</f>
        <v>13</v>
      </c>
      <c r="B22" s="73" t="n">
        <v>6856.67</v>
      </c>
      <c r="C22" s="52" t="n">
        <v>155621</v>
      </c>
      <c r="D22" s="57" t="n">
        <f aca="false">C22-C21</f>
        <v>-88</v>
      </c>
      <c r="E22" s="52" t="n">
        <f aca="false">C22-152000</f>
        <v>3621</v>
      </c>
      <c r="F22" s="51" t="n">
        <f aca="false">D22/$D$2</f>
        <v>-44.3660196622133</v>
      </c>
      <c r="G22" s="51" t="n">
        <v>65</v>
      </c>
      <c r="H22" s="53" t="n">
        <v>3.8</v>
      </c>
      <c r="I22" s="51" t="n">
        <f aca="false">G22+H22</f>
        <v>68.8</v>
      </c>
      <c r="J22" s="81" t="n">
        <f aca="false">IF(L22&gt;0,L22,0)</f>
        <v>0</v>
      </c>
      <c r="K22" s="51" t="n">
        <f aca="false">I22+J22</f>
        <v>68.8</v>
      </c>
      <c r="L22" s="51" t="n">
        <f aca="false">F22-(I22-W22)</f>
        <v>-30.4838921099067</v>
      </c>
      <c r="M22" s="51"/>
      <c r="N22" s="51"/>
      <c r="O22" s="51"/>
      <c r="P22" s="6"/>
      <c r="Q22" s="51"/>
      <c r="R22" s="51"/>
      <c r="S22" s="51" t="n">
        <f aca="false">11/1.9835</f>
        <v>5.54575245777666</v>
      </c>
      <c r="T22" s="52"/>
      <c r="U22" s="51"/>
      <c r="V22" s="51" t="n">
        <f aca="false">153/1.9835</f>
        <v>77.1363750945299</v>
      </c>
      <c r="W22" s="6" t="n">
        <f aca="false">N22+O22+S22+U22+V22</f>
        <v>82.6821275523065</v>
      </c>
      <c r="X22" s="51" t="n">
        <f aca="false">IF(L22&lt;0,L22*-1,0)</f>
        <v>30.4838921099067</v>
      </c>
      <c r="Y22" s="51" t="n">
        <f aca="false">W22+X22</f>
        <v>113.166019662213</v>
      </c>
      <c r="Z22" s="56" t="n">
        <v>0</v>
      </c>
      <c r="AA22" s="57" t="n">
        <v>39</v>
      </c>
      <c r="AB22" s="57" t="n">
        <v>6</v>
      </c>
      <c r="AC22" s="58" t="n">
        <f aca="false">AC21+1</f>
        <v>13</v>
      </c>
    </row>
    <row r="23" customFormat="false" ht="11.1" hidden="false" customHeight="true" outlineLevel="0" collapsed="false">
      <c r="A23" s="58" t="n">
        <f aca="false">A22+1</f>
        <v>14</v>
      </c>
      <c r="B23" s="73" t="n">
        <v>6856.68</v>
      </c>
      <c r="C23" s="52" t="n">
        <v>155643</v>
      </c>
      <c r="D23" s="57" t="n">
        <f aca="false">C23-C22</f>
        <v>22</v>
      </c>
      <c r="E23" s="52" t="n">
        <f aca="false">C23-152000</f>
        <v>3643</v>
      </c>
      <c r="F23" s="51" t="n">
        <f aca="false">D23/$D$2</f>
        <v>11.0915049155533</v>
      </c>
      <c r="G23" s="51" t="n">
        <v>70</v>
      </c>
      <c r="H23" s="53" t="n">
        <v>4</v>
      </c>
      <c r="I23" s="51" t="n">
        <f aca="false">G23+H23</f>
        <v>74</v>
      </c>
      <c r="J23" s="81" t="n">
        <f aca="false">IF(L23&gt;0,L23,0)</f>
        <v>16.2445172674565</v>
      </c>
      <c r="K23" s="51" t="n">
        <f aca="false">I23+J23</f>
        <v>90.2445172674565</v>
      </c>
      <c r="L23" s="51" t="n">
        <f aca="false">F23-(I23-W23)</f>
        <v>16.2445172674565</v>
      </c>
      <c r="M23" s="51"/>
      <c r="N23" s="51"/>
      <c r="O23" s="51"/>
      <c r="P23" s="6"/>
      <c r="Q23" s="51"/>
      <c r="R23" s="51"/>
      <c r="S23" s="51" t="n">
        <f aca="false">11/1.9835</f>
        <v>5.54575245777666</v>
      </c>
      <c r="T23" s="52"/>
      <c r="U23" s="51"/>
      <c r="V23" s="51" t="n">
        <f aca="false">146/1.9835</f>
        <v>73.6072598941265</v>
      </c>
      <c r="W23" s="6" t="n">
        <f aca="false">N23+O23+S23+U23+V23</f>
        <v>79.1530123519032</v>
      </c>
      <c r="X23" s="51" t="n">
        <f aca="false">IF(L23&lt;0,L23*-1,0)</f>
        <v>0</v>
      </c>
      <c r="Y23" s="51" t="n">
        <f aca="false">W23+X23</f>
        <v>79.1530123519032</v>
      </c>
      <c r="Z23" s="56" t="n">
        <v>0</v>
      </c>
      <c r="AA23" s="82"/>
      <c r="AB23" s="57"/>
      <c r="AC23" s="58" t="n">
        <f aca="false">AC22+1</f>
        <v>14</v>
      </c>
    </row>
    <row r="24" customFormat="false" ht="11.1" hidden="false" customHeight="true" outlineLevel="0" collapsed="false">
      <c r="A24" s="58" t="n">
        <f aca="false">A23+1</f>
        <v>15</v>
      </c>
      <c r="B24" s="73" t="n">
        <v>6856.69</v>
      </c>
      <c r="C24" s="52" t="n">
        <v>155665</v>
      </c>
      <c r="D24" s="57" t="n">
        <f aca="false">C24-C23</f>
        <v>22</v>
      </c>
      <c r="E24" s="52" t="n">
        <f aca="false">C24-152000</f>
        <v>3665</v>
      </c>
      <c r="F24" s="51" t="n">
        <f aca="false">D24/$D$2</f>
        <v>11.0915049155533</v>
      </c>
      <c r="G24" s="51" t="n">
        <v>75</v>
      </c>
      <c r="H24" s="53" t="n">
        <v>4.7</v>
      </c>
      <c r="I24" s="51" t="n">
        <f aca="false">G24+H24</f>
        <v>79.7</v>
      </c>
      <c r="J24" s="81" t="n">
        <f aca="false">IF(L24&gt;0,L24,0)</f>
        <v>10.5445172674565</v>
      </c>
      <c r="K24" s="51" t="n">
        <f aca="false">I24+J24</f>
        <v>90.2445172674565</v>
      </c>
      <c r="L24" s="51" t="n">
        <f aca="false">F24-(I24-W24)</f>
        <v>10.5445172674565</v>
      </c>
      <c r="M24" s="51"/>
      <c r="N24" s="51"/>
      <c r="O24" s="51"/>
      <c r="P24" s="6"/>
      <c r="Q24" s="51"/>
      <c r="R24" s="51"/>
      <c r="S24" s="51" t="n">
        <f aca="false">11/1.9835</f>
        <v>5.54575245777666</v>
      </c>
      <c r="T24" s="52"/>
      <c r="U24" s="51"/>
      <c r="V24" s="51" t="n">
        <f aca="false">146/1.9835</f>
        <v>73.6072598941265</v>
      </c>
      <c r="W24" s="6" t="n">
        <f aca="false">N24+O24+S24+U24+V24</f>
        <v>79.1530123519032</v>
      </c>
      <c r="X24" s="51" t="n">
        <f aca="false">IF(L24&lt;0,L24*-1,0)</f>
        <v>0</v>
      </c>
      <c r="Y24" s="51" t="n">
        <f aca="false">W24+X24</f>
        <v>79.1530123519032</v>
      </c>
      <c r="Z24" s="56" t="n">
        <v>0</v>
      </c>
      <c r="AA24" s="82"/>
      <c r="AB24" s="57"/>
      <c r="AC24" s="58" t="n">
        <f aca="false">AC23+1</f>
        <v>15</v>
      </c>
    </row>
    <row r="25" customFormat="false" ht="11.1" hidden="false" customHeight="true" outlineLevel="0" collapsed="false">
      <c r="A25" s="58" t="n">
        <f aca="false">A24+1</f>
        <v>16</v>
      </c>
      <c r="B25" s="73" t="n">
        <v>6956.7</v>
      </c>
      <c r="C25" s="52" t="n">
        <v>155687</v>
      </c>
      <c r="D25" s="57" t="n">
        <f aca="false">C25-C24</f>
        <v>22</v>
      </c>
      <c r="E25" s="52" t="n">
        <f aca="false">C25-152000</f>
        <v>3687</v>
      </c>
      <c r="F25" s="51" t="n">
        <f aca="false">D25/$D$2</f>
        <v>11.0915049155533</v>
      </c>
      <c r="G25" s="51" t="n">
        <v>80</v>
      </c>
      <c r="H25" s="53" t="n">
        <v>4.4</v>
      </c>
      <c r="I25" s="51" t="n">
        <f aca="false">G25+H25</f>
        <v>84.4</v>
      </c>
      <c r="J25" s="81" t="n">
        <f aca="false">IF(L25&gt;0,L25,0)</f>
        <v>5.84451726745651</v>
      </c>
      <c r="K25" s="51" t="n">
        <f aca="false">I25+J25</f>
        <v>90.2445172674565</v>
      </c>
      <c r="L25" s="51" t="n">
        <f aca="false">F25-(I25-W25)</f>
        <v>5.84451726745651</v>
      </c>
      <c r="M25" s="51"/>
      <c r="N25" s="51"/>
      <c r="O25" s="51"/>
      <c r="P25" s="6"/>
      <c r="Q25" s="51"/>
      <c r="R25" s="51"/>
      <c r="S25" s="51" t="n">
        <f aca="false">14/1.9835</f>
        <v>7.05823040080665</v>
      </c>
      <c r="T25" s="52"/>
      <c r="U25" s="51"/>
      <c r="V25" s="51" t="n">
        <f aca="false">143/1.9835</f>
        <v>72.0947819510966</v>
      </c>
      <c r="W25" s="6" t="n">
        <f aca="false">N25+O25+S25+U25+V25</f>
        <v>79.1530123519032</v>
      </c>
      <c r="X25" s="51" t="n">
        <f aca="false">IF(L25&lt;0,L25*-1,0)</f>
        <v>0</v>
      </c>
      <c r="Y25" s="51" t="n">
        <f aca="false">W25+X25</f>
        <v>79.1530123519032</v>
      </c>
      <c r="Z25" s="56" t="n">
        <v>0</v>
      </c>
      <c r="AA25" s="82" t="n">
        <v>38</v>
      </c>
      <c r="AB25" s="57" t="n">
        <v>2</v>
      </c>
      <c r="AC25" s="58" t="n">
        <f aca="false">AC24+1</f>
        <v>16</v>
      </c>
    </row>
    <row r="26" customFormat="false" ht="11.1" hidden="false" customHeight="true" outlineLevel="0" collapsed="false">
      <c r="A26" s="58" t="n">
        <f aca="false">A25+1</f>
        <v>17</v>
      </c>
      <c r="B26" s="73" t="n">
        <v>6856.75</v>
      </c>
      <c r="C26" s="52" t="n">
        <v>155797</v>
      </c>
      <c r="D26" s="57" t="n">
        <f aca="false">C26-C25</f>
        <v>110</v>
      </c>
      <c r="E26" s="52" t="n">
        <f aca="false">C26-152000</f>
        <v>3797</v>
      </c>
      <c r="F26" s="51" t="n">
        <f aca="false">D26/$D$2</f>
        <v>55.4575245777666</v>
      </c>
      <c r="G26" s="51" t="n">
        <v>85</v>
      </c>
      <c r="H26" s="53" t="n">
        <v>4.5</v>
      </c>
      <c r="I26" s="51" t="n">
        <f aca="false">G26+H26</f>
        <v>89.5</v>
      </c>
      <c r="J26" s="81" t="n">
        <f aca="false">IF(L26&gt;0,L26,0)</f>
        <v>45.6146962440131</v>
      </c>
      <c r="K26" s="51" t="n">
        <f aca="false">I26+J26</f>
        <v>135.114696244013</v>
      </c>
      <c r="L26" s="51" t="n">
        <f aca="false">F26-(I26-W26)</f>
        <v>45.6146962440131</v>
      </c>
      <c r="M26" s="51"/>
      <c r="N26" s="51"/>
      <c r="O26" s="51"/>
      <c r="P26" s="6"/>
      <c r="Q26" s="51"/>
      <c r="R26" s="51"/>
      <c r="S26" s="51" t="n">
        <f aca="false">13/1.9835</f>
        <v>6.55407108646332</v>
      </c>
      <c r="T26" s="52"/>
      <c r="U26" s="51"/>
      <c r="V26" s="51" t="n">
        <f aca="false">145/1.9835</f>
        <v>73.1031005797832</v>
      </c>
      <c r="W26" s="6" t="n">
        <f aca="false">N26+O26+S26+U26+V26</f>
        <v>79.6571716662465</v>
      </c>
      <c r="X26" s="51" t="n">
        <f aca="false">IF(L26&lt;0,L26*-1,0)</f>
        <v>0</v>
      </c>
      <c r="Y26" s="51" t="n">
        <f aca="false">W26+X26</f>
        <v>79.6571716662465</v>
      </c>
      <c r="Z26" s="56" t="n">
        <v>0</v>
      </c>
      <c r="AA26" s="82" t="n">
        <v>41</v>
      </c>
      <c r="AB26" s="57" t="n">
        <v>-2</v>
      </c>
      <c r="AC26" s="58" t="n">
        <f aca="false">AC25+1</f>
        <v>17</v>
      </c>
    </row>
    <row r="27" customFormat="false" ht="11.1" hidden="false" customHeight="true" outlineLevel="0" collapsed="false">
      <c r="A27" s="58" t="n">
        <f aca="false">A26+1</f>
        <v>18</v>
      </c>
      <c r="B27" s="73" t="n">
        <v>6856.74</v>
      </c>
      <c r="C27" s="52" t="n">
        <v>155775</v>
      </c>
      <c r="D27" s="57" t="n">
        <f aca="false">C27-C26</f>
        <v>-22</v>
      </c>
      <c r="E27" s="52" t="n">
        <f aca="false">C27-152000</f>
        <v>3775</v>
      </c>
      <c r="F27" s="51" t="n">
        <f aca="false">D27/$D$2</f>
        <v>-11.0915049155533</v>
      </c>
      <c r="G27" s="51" t="n">
        <v>90</v>
      </c>
      <c r="H27" s="53" t="n">
        <v>4.5</v>
      </c>
      <c r="I27" s="51" t="n">
        <f aca="false">G27+H27</f>
        <v>94.5</v>
      </c>
      <c r="J27" s="81" t="n">
        <f aca="false">IF(L27&gt;0,L27,0)</f>
        <v>0</v>
      </c>
      <c r="K27" s="51" t="n">
        <f aca="false">I27+J27</f>
        <v>94.5</v>
      </c>
      <c r="L27" s="51" t="n">
        <f aca="false">F27-(I27-W27)</f>
        <v>-25.4301739349634</v>
      </c>
      <c r="M27" s="51"/>
      <c r="N27" s="51"/>
      <c r="O27" s="51"/>
      <c r="P27" s="6"/>
      <c r="Q27" s="51"/>
      <c r="R27" s="51"/>
      <c r="S27" s="51" t="n">
        <f aca="false">13/1.9835</f>
        <v>6.55407108646332</v>
      </c>
      <c r="T27" s="52"/>
      <c r="U27" s="51"/>
      <c r="V27" s="51" t="n">
        <f aca="false">146/1.9835</f>
        <v>73.6072598941265</v>
      </c>
      <c r="W27" s="6" t="n">
        <f aca="false">N27+O27+S27+U27+V27</f>
        <v>80.1613309805899</v>
      </c>
      <c r="X27" s="51" t="n">
        <f aca="false">IF(L27&lt;0,L27*-1,0)</f>
        <v>25.4301739349634</v>
      </c>
      <c r="Y27" s="51" t="n">
        <f aca="false">W27+X27</f>
        <v>105.591504915553</v>
      </c>
      <c r="Z27" s="56" t="n">
        <v>0</v>
      </c>
      <c r="AA27" s="82" t="n">
        <v>37</v>
      </c>
      <c r="AB27" s="57" t="n">
        <v>8</v>
      </c>
      <c r="AC27" s="58" t="n">
        <f aca="false">AC26+1</f>
        <v>18</v>
      </c>
    </row>
    <row r="28" customFormat="false" ht="11.1" hidden="false" customHeight="true" outlineLevel="0" collapsed="false">
      <c r="A28" s="58" t="n">
        <f aca="false">A27+1</f>
        <v>19</v>
      </c>
      <c r="B28" s="73" t="n">
        <v>6856.82</v>
      </c>
      <c r="C28" s="52" t="n">
        <v>155950</v>
      </c>
      <c r="D28" s="57" t="n">
        <f aca="false">C28-C27</f>
        <v>175</v>
      </c>
      <c r="E28" s="52" t="n">
        <f aca="false">C28-152000</f>
        <v>3950</v>
      </c>
      <c r="F28" s="51" t="n">
        <f aca="false">D28/$D$2</f>
        <v>88.2278800100832</v>
      </c>
      <c r="G28" s="51" t="n">
        <v>85</v>
      </c>
      <c r="H28" s="53" t="n">
        <v>4.2</v>
      </c>
      <c r="I28" s="51" t="n">
        <f aca="false">G28+H28</f>
        <v>89.2</v>
      </c>
      <c r="J28" s="81" t="n">
        <f aca="false">IF(L28&gt;0,L28,0)</f>
        <v>77.676733047643</v>
      </c>
      <c r="K28" s="51" t="n">
        <f aca="false">I28+J28</f>
        <v>166.876733047643</v>
      </c>
      <c r="L28" s="51" t="n">
        <f aca="false">F28-(I28-W28)</f>
        <v>77.676733047643</v>
      </c>
      <c r="M28" s="51"/>
      <c r="N28" s="51"/>
      <c r="O28" s="51"/>
      <c r="P28" s="6"/>
      <c r="Q28" s="51"/>
      <c r="R28" s="51"/>
      <c r="S28" s="51" t="n">
        <f aca="false">10/1.9835</f>
        <v>5.04159314343332</v>
      </c>
      <c r="T28" s="52"/>
      <c r="U28" s="51"/>
      <c r="V28" s="51" t="n">
        <f aca="false">146/1.9835</f>
        <v>73.6072598941265</v>
      </c>
      <c r="W28" s="6" t="n">
        <f aca="false">N28+O28+S28+U28+V28</f>
        <v>78.6488530375599</v>
      </c>
      <c r="X28" s="51" t="n">
        <f aca="false">IF(L28&lt;0,L28*-1,0)</f>
        <v>0</v>
      </c>
      <c r="Y28" s="51" t="n">
        <f aca="false">W28+X28</f>
        <v>78.6488530375599</v>
      </c>
      <c r="Z28" s="56" t="n">
        <v>0</v>
      </c>
      <c r="AA28" s="82" t="n">
        <v>38</v>
      </c>
      <c r="AB28" s="57" t="n">
        <v>11</v>
      </c>
      <c r="AC28" s="58" t="n">
        <f aca="false">AC27+1</f>
        <v>19</v>
      </c>
    </row>
    <row r="29" customFormat="false" ht="11.1" hidden="false" customHeight="true" outlineLevel="0" collapsed="false">
      <c r="A29" s="58" t="n">
        <f aca="false">A28+1</f>
        <v>20</v>
      </c>
      <c r="B29" s="73" t="n">
        <v>6856.9</v>
      </c>
      <c r="C29" s="52" t="n">
        <v>156126</v>
      </c>
      <c r="D29" s="57" t="n">
        <f aca="false">C29-C28</f>
        <v>176</v>
      </c>
      <c r="E29" s="52" t="n">
        <f aca="false">C29-152000</f>
        <v>4126</v>
      </c>
      <c r="F29" s="51" t="n">
        <f aca="false">D29/$D$2</f>
        <v>88.7320393244265</v>
      </c>
      <c r="G29" s="51" t="n">
        <v>90</v>
      </c>
      <c r="H29" s="53" t="n">
        <v>3.8</v>
      </c>
      <c r="I29" s="51" t="n">
        <f aca="false">G29+H29</f>
        <v>93.8</v>
      </c>
      <c r="J29" s="81" t="n">
        <f aca="false">IF(L29&gt;0,L29,0)</f>
        <v>60.4727501890598</v>
      </c>
      <c r="K29" s="51" t="n">
        <f aca="false">I29+J29</f>
        <v>154.27275018906</v>
      </c>
      <c r="L29" s="51" t="n">
        <f aca="false">F29-(I29-W29)</f>
        <v>60.4727501890598</v>
      </c>
      <c r="M29" s="51"/>
      <c r="N29" s="51"/>
      <c r="O29" s="51"/>
      <c r="P29" s="6"/>
      <c r="Q29" s="51"/>
      <c r="R29" s="51"/>
      <c r="S29" s="51" t="n">
        <f aca="false">9/1.9835</f>
        <v>4.53743382908999</v>
      </c>
      <c r="T29" s="52"/>
      <c r="U29" s="51"/>
      <c r="V29" s="51" t="n">
        <f aca="false">121/1.9835</f>
        <v>61.0032770355432</v>
      </c>
      <c r="W29" s="6" t="n">
        <f aca="false">N29+O29+S29+U29+V29</f>
        <v>65.5407108646332</v>
      </c>
      <c r="X29" s="51" t="n">
        <f aca="false">IF(L29&lt;0,L29*-1,0)</f>
        <v>0</v>
      </c>
      <c r="Y29" s="51" t="n">
        <f aca="false">W29+X29</f>
        <v>65.5407108646332</v>
      </c>
      <c r="Z29" s="56" t="n">
        <v>0</v>
      </c>
      <c r="AA29" s="82" t="n">
        <v>38</v>
      </c>
      <c r="AB29" s="57" t="n">
        <v>12</v>
      </c>
      <c r="AC29" s="58" t="n">
        <f aca="false">AC28+1</f>
        <v>20</v>
      </c>
    </row>
    <row r="30" customFormat="false" ht="11.1" hidden="false" customHeight="true" outlineLevel="0" collapsed="false">
      <c r="A30" s="58" t="n">
        <f aca="false">A29+1</f>
        <v>21</v>
      </c>
      <c r="B30" s="73" t="n">
        <v>6856.92</v>
      </c>
      <c r="C30" s="52" t="n">
        <v>156170</v>
      </c>
      <c r="D30" s="57" t="n">
        <f aca="false">C30-C29</f>
        <v>44</v>
      </c>
      <c r="E30" s="52" t="n">
        <f aca="false">C30-152000</f>
        <v>4170</v>
      </c>
      <c r="F30" s="51" t="n">
        <f aca="false">D30/$D$2</f>
        <v>22.1830098311066</v>
      </c>
      <c r="G30" s="51" t="n">
        <v>100</v>
      </c>
      <c r="H30" s="53" t="n">
        <v>3.8</v>
      </c>
      <c r="I30" s="51" t="n">
        <f aca="false">G30+H30</f>
        <v>103.8</v>
      </c>
      <c r="J30" s="81" t="n">
        <f aca="false">IF(L30&gt;0,L30,0)</f>
        <v>0</v>
      </c>
      <c r="K30" s="51" t="n">
        <f aca="false">I30+J30</f>
        <v>103.8</v>
      </c>
      <c r="L30" s="51" t="n">
        <f aca="false">F30-(I30-W30)</f>
        <v>-25.1511469624401</v>
      </c>
      <c r="M30" s="51"/>
      <c r="N30" s="51"/>
      <c r="O30" s="51"/>
      <c r="P30" s="6"/>
      <c r="Q30" s="51"/>
      <c r="R30" s="51"/>
      <c r="S30" s="51" t="n">
        <f aca="false">10/1.9835</f>
        <v>5.04159314343332</v>
      </c>
      <c r="T30" s="52"/>
      <c r="U30" s="51"/>
      <c r="V30" s="51" t="n">
        <f aca="false">102/1.9835</f>
        <v>51.4242500630199</v>
      </c>
      <c r="W30" s="6" t="n">
        <f aca="false">N30+O30+S30+U30+V30</f>
        <v>56.4658432064532</v>
      </c>
      <c r="X30" s="51" t="n">
        <f aca="false">IF(L30&lt;0,L30*-1,0)</f>
        <v>25.1511469624401</v>
      </c>
      <c r="Y30" s="51" t="n">
        <f aca="false">W30+X30</f>
        <v>81.6169901688934</v>
      </c>
      <c r="Z30" s="56" t="n">
        <v>0</v>
      </c>
      <c r="AA30" s="57"/>
      <c r="AB30" s="57"/>
      <c r="AC30" s="58" t="n">
        <f aca="false">AC29+1</f>
        <v>21</v>
      </c>
    </row>
    <row r="31" customFormat="false" ht="11.1" hidden="false" customHeight="true" outlineLevel="0" collapsed="false">
      <c r="A31" s="58" t="n">
        <f aca="false">A30+1</f>
        <v>22</v>
      </c>
      <c r="B31" s="73" t="n">
        <v>6856.94</v>
      </c>
      <c r="C31" s="52" t="n">
        <v>156214</v>
      </c>
      <c r="D31" s="57" t="n">
        <f aca="false">C31-C30</f>
        <v>44</v>
      </c>
      <c r="E31" s="52" t="n">
        <f aca="false">C31-152000</f>
        <v>4214</v>
      </c>
      <c r="F31" s="51" t="n">
        <f aca="false">D31/$D$2</f>
        <v>22.1830098311066</v>
      </c>
      <c r="G31" s="51" t="n">
        <v>100</v>
      </c>
      <c r="H31" s="53" t="n">
        <v>3.7</v>
      </c>
      <c r="I31" s="51" t="n">
        <f aca="false">G31+H31</f>
        <v>103.7</v>
      </c>
      <c r="J31" s="81" t="n">
        <f aca="false">IF(L31&gt;0,L31,0)</f>
        <v>0</v>
      </c>
      <c r="K31" s="51" t="n">
        <f aca="false">I31+J31</f>
        <v>103.7</v>
      </c>
      <c r="L31" s="51" t="n">
        <f aca="false">F31-(I31-W31)</f>
        <v>-25.0511469624401</v>
      </c>
      <c r="M31" s="51"/>
      <c r="N31" s="51"/>
      <c r="O31" s="51"/>
      <c r="P31" s="6"/>
      <c r="Q31" s="51"/>
      <c r="R31" s="51"/>
      <c r="S31" s="51" t="n">
        <f aca="false">10/1.9835</f>
        <v>5.04159314343332</v>
      </c>
      <c r="T31" s="52"/>
      <c r="U31" s="51"/>
      <c r="V31" s="51" t="n">
        <f aca="false">102/1.9835</f>
        <v>51.4242500630199</v>
      </c>
      <c r="W31" s="6" t="n">
        <f aca="false">N31+O31+S31+U31+V31</f>
        <v>56.4658432064532</v>
      </c>
      <c r="X31" s="51" t="n">
        <f aca="false">IF(L31&lt;0,L31*-1,0)</f>
        <v>25.0511469624401</v>
      </c>
      <c r="Y31" s="51" t="n">
        <f aca="false">W31+X31</f>
        <v>81.5169901688934</v>
      </c>
      <c r="Z31" s="56" t="n">
        <v>0</v>
      </c>
      <c r="AA31" s="57"/>
      <c r="AB31" s="57"/>
      <c r="AC31" s="58" t="n">
        <f aca="false">AC30+1</f>
        <v>22</v>
      </c>
    </row>
    <row r="32" customFormat="false" ht="11.1" hidden="false" customHeight="true" outlineLevel="0" collapsed="false">
      <c r="A32" s="58" t="n">
        <f aca="false">A31+1</f>
        <v>23</v>
      </c>
      <c r="B32" s="73" t="n">
        <v>6856.97</v>
      </c>
      <c r="C32" s="52" t="n">
        <v>156280</v>
      </c>
      <c r="D32" s="57" t="n">
        <f aca="false">C32-C31</f>
        <v>66</v>
      </c>
      <c r="E32" s="52" t="n">
        <f aca="false">C32-152000</f>
        <v>4280</v>
      </c>
      <c r="F32" s="51" t="n">
        <f aca="false">D32/$D$2</f>
        <v>33.2745147466599</v>
      </c>
      <c r="G32" s="51" t="n">
        <v>100</v>
      </c>
      <c r="H32" s="53" t="n">
        <v>3.7</v>
      </c>
      <c r="I32" s="51" t="n">
        <f aca="false">G32+H32</f>
        <v>103.7</v>
      </c>
      <c r="J32" s="81" t="n">
        <f aca="false">IF(L32&gt;0,L32,0)</f>
        <v>0</v>
      </c>
      <c r="K32" s="51" t="n">
        <f aca="false">I32+J32</f>
        <v>103.7</v>
      </c>
      <c r="L32" s="51" t="n">
        <f aca="false">F32-(I32-W32)</f>
        <v>-13.9596420468868</v>
      </c>
      <c r="M32" s="51"/>
      <c r="N32" s="51"/>
      <c r="O32" s="51"/>
      <c r="P32" s="6"/>
      <c r="Q32" s="51"/>
      <c r="R32" s="51"/>
      <c r="S32" s="51" t="n">
        <f aca="false">10/1.9835</f>
        <v>5.04159314343332</v>
      </c>
      <c r="T32" s="52"/>
      <c r="U32" s="51"/>
      <c r="V32" s="51" t="n">
        <f aca="false">102/1.9835</f>
        <v>51.4242500630199</v>
      </c>
      <c r="W32" s="6" t="n">
        <f aca="false">N32+O32+S32+U32+V32</f>
        <v>56.4658432064532</v>
      </c>
      <c r="X32" s="51" t="n">
        <f aca="false">IF(L32&lt;0,L32*-1,0)</f>
        <v>13.9596420468868</v>
      </c>
      <c r="Y32" s="51" t="n">
        <f aca="false">W32+X32</f>
        <v>70.4254852533401</v>
      </c>
      <c r="Z32" s="56" t="n">
        <v>0</v>
      </c>
      <c r="AA32" s="57" t="n">
        <v>52</v>
      </c>
      <c r="AB32" s="82" t="n">
        <v>14</v>
      </c>
      <c r="AC32" s="58" t="n">
        <f aca="false">AC31+1</f>
        <v>23</v>
      </c>
    </row>
    <row r="33" customFormat="false" ht="11.1" hidden="false" customHeight="true" outlineLevel="0" collapsed="false">
      <c r="A33" s="58" t="n">
        <f aca="false">A32+1</f>
        <v>24</v>
      </c>
      <c r="B33" s="73" t="n">
        <v>6957.02</v>
      </c>
      <c r="C33" s="52" t="n">
        <v>156390</v>
      </c>
      <c r="D33" s="57" t="n">
        <f aca="false">C33-C32</f>
        <v>110</v>
      </c>
      <c r="E33" s="52" t="n">
        <f aca="false">C33-152000</f>
        <v>4390</v>
      </c>
      <c r="F33" s="51" t="n">
        <f aca="false">D33/$D$2</f>
        <v>55.4575245777666</v>
      </c>
      <c r="G33" s="51" t="n">
        <v>100</v>
      </c>
      <c r="H33" s="53" t="n">
        <v>3.8</v>
      </c>
      <c r="I33" s="51" t="n">
        <f aca="false">G33+H33</f>
        <v>103.8</v>
      </c>
      <c r="J33" s="81" t="n">
        <f aca="false">IF(L33&gt;0,L33,0)</f>
        <v>8.12336778421981</v>
      </c>
      <c r="K33" s="51" t="n">
        <f aca="false">I33+J33</f>
        <v>111.92336778422</v>
      </c>
      <c r="L33" s="51" t="n">
        <f aca="false">F33-(I33-W33)</f>
        <v>8.12336778421981</v>
      </c>
      <c r="M33" s="51"/>
      <c r="N33" s="51"/>
      <c r="O33" s="51"/>
      <c r="P33" s="6"/>
      <c r="Q33" s="51"/>
      <c r="R33" s="51"/>
      <c r="S33" s="51" t="n">
        <f aca="false">10/1.9835</f>
        <v>5.04159314343332</v>
      </c>
      <c r="T33" s="52"/>
      <c r="U33" s="51"/>
      <c r="V33" s="51" t="n">
        <f aca="false">102/1.9835</f>
        <v>51.4242500630199</v>
      </c>
      <c r="W33" s="6" t="n">
        <f aca="false">N33+O33+S33+U33+V33</f>
        <v>56.4658432064532</v>
      </c>
      <c r="X33" s="51" t="n">
        <f aca="false">IF(L33&lt;0,L33*-1,0)</f>
        <v>0</v>
      </c>
      <c r="Y33" s="51" t="n">
        <f aca="false">W33+X33</f>
        <v>56.4658432064532</v>
      </c>
      <c r="Z33" s="56" t="n">
        <v>0</v>
      </c>
      <c r="AA33" s="57" t="n">
        <v>47</v>
      </c>
      <c r="AB33" s="82" t="n">
        <v>18</v>
      </c>
      <c r="AC33" s="58" t="n">
        <f aca="false">AC32+1</f>
        <v>24</v>
      </c>
    </row>
    <row r="34" customFormat="false" ht="11.1" hidden="false" customHeight="true" outlineLevel="0" collapsed="false">
      <c r="A34" s="58" t="n">
        <f aca="false">A33+1</f>
        <v>25</v>
      </c>
      <c r="B34" s="73" t="n">
        <v>6857.07</v>
      </c>
      <c r="C34" s="52" t="n">
        <v>156501</v>
      </c>
      <c r="D34" s="57" t="n">
        <f aca="false">C34-C33</f>
        <v>111</v>
      </c>
      <c r="E34" s="52" t="n">
        <f aca="false">C34-152000</f>
        <v>4501</v>
      </c>
      <c r="F34" s="51" t="n">
        <f aca="false">D34/$D$2</f>
        <v>55.9616838921099</v>
      </c>
      <c r="G34" s="51" t="n">
        <v>110</v>
      </c>
      <c r="H34" s="53" t="n">
        <v>3.8</v>
      </c>
      <c r="I34" s="51" t="n">
        <f aca="false">G34+H34</f>
        <v>113.8</v>
      </c>
      <c r="J34" s="81" t="n">
        <f aca="false">IF(L34&gt;0,L34,0)</f>
        <v>0</v>
      </c>
      <c r="K34" s="51" t="n">
        <f aca="false">I34+J34</f>
        <v>113.8</v>
      </c>
      <c r="L34" s="51" t="n">
        <f aca="false">F34-(I34-W34)</f>
        <v>-1.37247290143686</v>
      </c>
      <c r="M34" s="51"/>
      <c r="N34" s="51"/>
      <c r="O34" s="51"/>
      <c r="P34" s="6"/>
      <c r="Q34" s="51"/>
      <c r="R34" s="51"/>
      <c r="S34" s="51" t="n">
        <f aca="false">10/1.9835</f>
        <v>5.04159314343332</v>
      </c>
      <c r="T34" s="52"/>
      <c r="U34" s="51"/>
      <c r="V34" s="51" t="n">
        <f aca="false">102/1.9835</f>
        <v>51.4242500630199</v>
      </c>
      <c r="W34" s="6" t="n">
        <f aca="false">N34+O34+S34+U34+V34</f>
        <v>56.4658432064532</v>
      </c>
      <c r="X34" s="51" t="n">
        <f aca="false">IF(L34&lt;0,L34*-1,0)</f>
        <v>1.37247290143686</v>
      </c>
      <c r="Y34" s="51" t="n">
        <f aca="false">W34+X34</f>
        <v>57.8383161078901</v>
      </c>
      <c r="Z34" s="56" t="n">
        <v>0</v>
      </c>
      <c r="AA34" s="57"/>
      <c r="AB34" s="82"/>
      <c r="AC34" s="58" t="n">
        <f aca="false">AC33+1</f>
        <v>25</v>
      </c>
    </row>
    <row r="35" customFormat="false" ht="11.1" hidden="false" customHeight="true" outlineLevel="0" collapsed="false">
      <c r="A35" s="58" t="n">
        <f aca="false">A34+1</f>
        <v>26</v>
      </c>
      <c r="B35" s="73" t="n">
        <v>6857.13</v>
      </c>
      <c r="C35" s="52" t="n">
        <v>156634</v>
      </c>
      <c r="D35" s="57" t="n">
        <f aca="false">C35-C34</f>
        <v>133</v>
      </c>
      <c r="E35" s="52" t="n">
        <f aca="false">C35-152000</f>
        <v>4634</v>
      </c>
      <c r="F35" s="51" t="n">
        <f aca="false">D35/$D$2</f>
        <v>67.0531888076632</v>
      </c>
      <c r="G35" s="51" t="n">
        <v>100</v>
      </c>
      <c r="H35" s="53" t="n">
        <v>3.4</v>
      </c>
      <c r="I35" s="51" t="n">
        <f aca="false">G35+H35</f>
        <v>103.4</v>
      </c>
      <c r="J35" s="81" t="n">
        <f aca="false">IF(L35&gt;0,L35,0)</f>
        <v>20.1190320141164</v>
      </c>
      <c r="K35" s="51" t="n">
        <f aca="false">I35+J35</f>
        <v>123.519032014116</v>
      </c>
      <c r="L35" s="51" t="n">
        <f aca="false">F35-(I35-W35)</f>
        <v>20.1190320141164</v>
      </c>
      <c r="M35" s="51"/>
      <c r="N35" s="51"/>
      <c r="O35" s="51"/>
      <c r="P35" s="6"/>
      <c r="Q35" s="51"/>
      <c r="R35" s="51"/>
      <c r="S35" s="51" t="n">
        <f aca="false">10/1.9835</f>
        <v>5.04159314343332</v>
      </c>
      <c r="T35" s="52"/>
      <c r="U35" s="51"/>
      <c r="V35" s="51" t="n">
        <f aca="false">102/1.9835</f>
        <v>51.4242500630199</v>
      </c>
      <c r="W35" s="6" t="n">
        <f aca="false">N35+O35+S35+U35+V35</f>
        <v>56.4658432064532</v>
      </c>
      <c r="X35" s="51" t="n">
        <f aca="false">IF(L35&lt;0,L35*-1,0)</f>
        <v>0</v>
      </c>
      <c r="Y35" s="51" t="n">
        <f aca="false">W35+X35</f>
        <v>56.4658432064532</v>
      </c>
      <c r="Z35" s="56" t="n">
        <v>0</v>
      </c>
      <c r="AA35" s="57" t="n">
        <v>46</v>
      </c>
      <c r="AB35" s="57" t="n">
        <v>18</v>
      </c>
      <c r="AC35" s="58" t="n">
        <f aca="false">AC34+1</f>
        <v>26</v>
      </c>
    </row>
    <row r="36" customFormat="false" ht="11.1" hidden="false" customHeight="true" outlineLevel="0" collapsed="false">
      <c r="A36" s="58" t="n">
        <f aca="false">A35+1</f>
        <v>27</v>
      </c>
      <c r="B36" s="73" t="n">
        <v>6857.15</v>
      </c>
      <c r="C36" s="52" t="n">
        <v>156678</v>
      </c>
      <c r="D36" s="57" t="n">
        <f aca="false">C36-C35</f>
        <v>44</v>
      </c>
      <c r="E36" s="52" t="n">
        <f aca="false">C36-152000</f>
        <v>4678</v>
      </c>
      <c r="F36" s="51" t="n">
        <f aca="false">D36/$D$2</f>
        <v>22.1830098311066</v>
      </c>
      <c r="G36" s="51" t="n">
        <v>100</v>
      </c>
      <c r="H36" s="53" t="n">
        <v>3.4</v>
      </c>
      <c r="I36" s="51" t="n">
        <f aca="false">G36+H36</f>
        <v>103.4</v>
      </c>
      <c r="J36" s="81" t="n">
        <f aca="false">IF(L36&gt;0,L36,0)</f>
        <v>0</v>
      </c>
      <c r="K36" s="51" t="n">
        <f aca="false">I36+J36</f>
        <v>103.4</v>
      </c>
      <c r="L36" s="51" t="n">
        <f aca="false">F36-(I36-W36)</f>
        <v>-22.2303503907235</v>
      </c>
      <c r="M36" s="51"/>
      <c r="N36" s="51"/>
      <c r="O36" s="51"/>
      <c r="P36" s="6"/>
      <c r="Q36" s="51"/>
      <c r="R36" s="51"/>
      <c r="S36" s="51" t="n">
        <f aca="false">15/1.9835</f>
        <v>7.56238971514999</v>
      </c>
      <c r="T36" s="52"/>
      <c r="U36" s="51"/>
      <c r="V36" s="51" t="n">
        <f aca="false">102/1.9835</f>
        <v>51.4242500630199</v>
      </c>
      <c r="W36" s="6" t="n">
        <f aca="false">N36+O36+S36+U36+V36</f>
        <v>58.9866397781699</v>
      </c>
      <c r="X36" s="51" t="n">
        <f aca="false">IF(L36&lt;0,L36*-1,0)</f>
        <v>22.2303503907235</v>
      </c>
      <c r="Y36" s="51" t="n">
        <f aca="false">W36+X36</f>
        <v>81.2169901688934</v>
      </c>
      <c r="Z36" s="56" t="n">
        <v>0</v>
      </c>
      <c r="AA36" s="57" t="n">
        <v>41</v>
      </c>
      <c r="AB36" s="57" t="n">
        <v>12</v>
      </c>
      <c r="AC36" s="58" t="n">
        <f aca="false">AC35+1</f>
        <v>27</v>
      </c>
    </row>
    <row r="37" customFormat="false" ht="11.1" hidden="false" customHeight="true" outlineLevel="0" collapsed="false">
      <c r="A37" s="58" t="n">
        <f aca="false">A36+1</f>
        <v>28</v>
      </c>
      <c r="B37" s="73" t="n">
        <v>6857.2</v>
      </c>
      <c r="C37" s="52" t="n">
        <v>156789</v>
      </c>
      <c r="D37" s="57" t="n">
        <f aca="false">C37-C36</f>
        <v>111</v>
      </c>
      <c r="E37" s="52" t="n">
        <f aca="false">C37-152000</f>
        <v>4789</v>
      </c>
      <c r="F37" s="51" t="n">
        <f aca="false">D37/$D$2</f>
        <v>55.9616838921099</v>
      </c>
      <c r="G37" s="51" t="n">
        <v>100</v>
      </c>
      <c r="H37" s="53" t="n">
        <v>3.7</v>
      </c>
      <c r="I37" s="51" t="n">
        <f aca="false">G37+H37</f>
        <v>103.7</v>
      </c>
      <c r="J37" s="81" t="n">
        <f aca="false">IF(L37&gt;0,L37,0)</f>
        <v>8.72752709856314</v>
      </c>
      <c r="K37" s="51" t="n">
        <f aca="false">I37+J37</f>
        <v>112.427527098563</v>
      </c>
      <c r="L37" s="51" t="n">
        <f aca="false">F37-(I37-W37)</f>
        <v>8.72752709856314</v>
      </c>
      <c r="M37" s="51"/>
      <c r="N37" s="51"/>
      <c r="O37" s="51"/>
      <c r="P37" s="6"/>
      <c r="Q37" s="51"/>
      <c r="R37" s="51"/>
      <c r="S37" s="51" t="n">
        <f aca="false">10/1.9835</f>
        <v>5.04159314343332</v>
      </c>
      <c r="T37" s="52"/>
      <c r="U37" s="51"/>
      <c r="V37" s="51" t="n">
        <f aca="false">102/1.9835</f>
        <v>51.4242500630199</v>
      </c>
      <c r="W37" s="6" t="n">
        <f aca="false">N37+O37+S37+U37+V37</f>
        <v>56.4658432064532</v>
      </c>
      <c r="X37" s="51" t="n">
        <f aca="false">IF(L37&lt;0,L37*-1,0)</f>
        <v>0</v>
      </c>
      <c r="Y37" s="51" t="n">
        <f aca="false">W37+X37</f>
        <v>56.4658432064532</v>
      </c>
      <c r="Z37" s="56" t="n">
        <v>0</v>
      </c>
      <c r="AA37" s="57" t="n">
        <v>44</v>
      </c>
      <c r="AB37" s="57" t="n">
        <v>12</v>
      </c>
      <c r="AC37" s="58" t="n">
        <f aca="false">AC36+1</f>
        <v>28</v>
      </c>
    </row>
    <row r="38" customFormat="false" ht="11.1" hidden="false" customHeight="true" outlineLevel="0" collapsed="false">
      <c r="A38" s="58" t="n">
        <f aca="false">A37+1</f>
        <v>29</v>
      </c>
      <c r="B38" s="73" t="n">
        <v>6857.25</v>
      </c>
      <c r="C38" s="52" t="n">
        <v>156900</v>
      </c>
      <c r="D38" s="57" t="n">
        <f aca="false">C38-C37</f>
        <v>111</v>
      </c>
      <c r="E38" s="52" t="n">
        <f aca="false">C38-152000</f>
        <v>4900</v>
      </c>
      <c r="F38" s="51" t="n">
        <f aca="false">D38/$D$2</f>
        <v>55.9616838921099</v>
      </c>
      <c r="G38" s="51" t="n">
        <v>100</v>
      </c>
      <c r="H38" s="53" t="n">
        <v>3.4</v>
      </c>
      <c r="I38" s="51" t="n">
        <f aca="false">G38+H38</f>
        <v>103.4</v>
      </c>
      <c r="J38" s="81" t="n">
        <f aca="false">IF(L38&gt;0,L38,0)</f>
        <v>9.02752709856313</v>
      </c>
      <c r="K38" s="51" t="n">
        <f aca="false">I38+J38</f>
        <v>112.427527098563</v>
      </c>
      <c r="L38" s="51" t="n">
        <f aca="false">F38-(I38-W38)</f>
        <v>9.02752709856313</v>
      </c>
      <c r="M38" s="51"/>
      <c r="N38" s="51"/>
      <c r="O38" s="51"/>
      <c r="P38" s="6"/>
      <c r="Q38" s="51"/>
      <c r="R38" s="51"/>
      <c r="S38" s="51" t="n">
        <f aca="false">10/1.9835</f>
        <v>5.04159314343332</v>
      </c>
      <c r="T38" s="52"/>
      <c r="U38" s="51"/>
      <c r="V38" s="51" t="n">
        <f aca="false">102/1.9835</f>
        <v>51.4242500630199</v>
      </c>
      <c r="W38" s="6" t="n">
        <f aca="false">N38+O38+S38+U38+V38</f>
        <v>56.4658432064532</v>
      </c>
      <c r="X38" s="51" t="n">
        <f aca="false">IF(L38&lt;0,L38*-1,0)</f>
        <v>0</v>
      </c>
      <c r="Y38" s="51" t="n">
        <f aca="false">W38+X38</f>
        <v>56.4658432064532</v>
      </c>
      <c r="Z38" s="56" t="n">
        <v>0</v>
      </c>
      <c r="AA38" s="82" t="n">
        <v>43</v>
      </c>
      <c r="AB38" s="57" t="n">
        <v>12</v>
      </c>
      <c r="AC38" s="58" t="n">
        <f aca="false">AC37+1</f>
        <v>29</v>
      </c>
    </row>
    <row r="39" customFormat="false" ht="11.1" hidden="false" customHeight="true" outlineLevel="0" collapsed="false">
      <c r="A39" s="58" t="n">
        <v>30</v>
      </c>
      <c r="B39" s="73" t="n">
        <v>6857.29</v>
      </c>
      <c r="C39" s="52" t="n">
        <v>156988</v>
      </c>
      <c r="D39" s="57" t="n">
        <f aca="false">C39-C38</f>
        <v>88</v>
      </c>
      <c r="E39" s="52" t="n">
        <f aca="false">C39-152000</f>
        <v>4988</v>
      </c>
      <c r="F39" s="51" t="n">
        <f aca="false">D39/$D$2</f>
        <v>44.3660196622133</v>
      </c>
      <c r="G39" s="51" t="n">
        <v>110</v>
      </c>
      <c r="H39" s="53" t="n">
        <v>3.4</v>
      </c>
      <c r="I39" s="51" t="n">
        <f aca="false">G39+H39</f>
        <v>113.4</v>
      </c>
      <c r="J39" s="81" t="n">
        <f aca="false">IF(L39&gt;0,L39,0)</f>
        <v>0</v>
      </c>
      <c r="K39" s="51" t="n">
        <f aca="false">I39+J39</f>
        <v>113.4</v>
      </c>
      <c r="L39" s="51" t="n">
        <f aca="false">F39-(I39-W39)</f>
        <v>-12.5681371313335</v>
      </c>
      <c r="M39" s="51"/>
      <c r="N39" s="51"/>
      <c r="O39" s="51"/>
      <c r="P39" s="6"/>
      <c r="Q39" s="51"/>
      <c r="R39" s="51"/>
      <c r="S39" s="51" t="n">
        <f aca="false">10/1.9835</f>
        <v>5.04159314343332</v>
      </c>
      <c r="T39" s="52"/>
      <c r="U39" s="51"/>
      <c r="V39" s="51" t="n">
        <f aca="false">102/1.9835</f>
        <v>51.4242500630199</v>
      </c>
      <c r="W39" s="6" t="n">
        <f aca="false">N39+O39+S39+U39+V39</f>
        <v>56.4658432064532</v>
      </c>
      <c r="X39" s="51" t="n">
        <f aca="false">IF(L39&lt;0,L39*-1,0)</f>
        <v>12.5681371313335</v>
      </c>
      <c r="Y39" s="51" t="n">
        <f aca="false">W39+X39</f>
        <v>69.0339803377867</v>
      </c>
      <c r="Z39" s="56" t="n">
        <v>0</v>
      </c>
      <c r="AA39" s="82" t="n">
        <v>44</v>
      </c>
      <c r="AB39" s="57" t="n">
        <v>28</v>
      </c>
      <c r="AC39" s="58" t="n">
        <v>30</v>
      </c>
    </row>
    <row r="40" customFormat="false" ht="11.1" hidden="false" customHeight="true" outlineLevel="0" collapsed="false">
      <c r="A40" s="58" t="n">
        <v>31</v>
      </c>
      <c r="B40" s="73" t="n">
        <v>6857.34</v>
      </c>
      <c r="C40" s="52" t="n">
        <v>157099</v>
      </c>
      <c r="D40" s="57" t="n">
        <f aca="false">C40-C39</f>
        <v>111</v>
      </c>
      <c r="E40" s="52" t="n">
        <f aca="false">C40-152000</f>
        <v>5099</v>
      </c>
      <c r="F40" s="51" t="n">
        <f aca="false">D40/$D$2</f>
        <v>55.9616838921099</v>
      </c>
      <c r="G40" s="51" t="n">
        <v>110</v>
      </c>
      <c r="H40" s="53" t="n">
        <v>3.4</v>
      </c>
      <c r="I40" s="51" t="n">
        <f aca="false">G40+H40</f>
        <v>113.4</v>
      </c>
      <c r="J40" s="81" t="n">
        <f aca="false">IF(L40&gt;0,L40,0)</f>
        <v>0</v>
      </c>
      <c r="K40" s="51" t="n">
        <f aca="false">I40+J40</f>
        <v>113.4</v>
      </c>
      <c r="L40" s="51" t="n">
        <f aca="false">F40-(I40-W40)</f>
        <v>-0.972472901436866</v>
      </c>
      <c r="M40" s="51"/>
      <c r="N40" s="51"/>
      <c r="O40" s="51"/>
      <c r="P40" s="6"/>
      <c r="Q40" s="51"/>
      <c r="R40" s="51"/>
      <c r="S40" s="51" t="n">
        <f aca="false">10/1.9835</f>
        <v>5.04159314343332</v>
      </c>
      <c r="T40" s="52"/>
      <c r="U40" s="51"/>
      <c r="V40" s="51" t="n">
        <f aca="false">102/1.9835</f>
        <v>51.4242500630199</v>
      </c>
      <c r="W40" s="6" t="n">
        <f aca="false">N40+O40+S40+U40+V40</f>
        <v>56.4658432064532</v>
      </c>
      <c r="X40" s="51" t="n">
        <f aca="false">IF(L40&lt;0,L40*-1,0)</f>
        <v>0.972472901436866</v>
      </c>
      <c r="Y40" s="51" t="n">
        <f aca="false">W40+X40</f>
        <v>57.4383161078901</v>
      </c>
      <c r="Z40" s="56" t="n">
        <v>0</v>
      </c>
      <c r="AA40" s="82"/>
      <c r="AB40" s="57"/>
      <c r="AC40" s="58" t="n">
        <v>31</v>
      </c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83"/>
      <c r="M41" s="83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/>
      <c r="AB41" s="79"/>
      <c r="AC41" s="80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1021.93093017394</v>
      </c>
      <c r="G42" s="52" t="n">
        <f aca="false">SUM(G10:G40)</f>
        <v>2990</v>
      </c>
      <c r="H42" s="52" t="n">
        <f aca="false">SUM(H10:H40)</f>
        <v>116.1</v>
      </c>
      <c r="I42" s="52" t="n">
        <f aca="false">SUM(I10:I40)</f>
        <v>3106.1</v>
      </c>
      <c r="J42" s="52" t="n">
        <f aca="false">SUM(J10:J40)</f>
        <v>513.740181497353</v>
      </c>
      <c r="K42" s="52" t="n">
        <f aca="false">SUM(K10:K40)</f>
        <v>3619.84018149735</v>
      </c>
      <c r="L42" s="52" t="n">
        <f aca="false">SUM(L10:L40)</f>
        <v>256.642626670028</v>
      </c>
      <c r="M42" s="52" t="n">
        <f aca="false">SUM(M10:M40)</f>
        <v>0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0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208.72195613814</v>
      </c>
      <c r="T42" s="52"/>
      <c r="U42" s="52" t="n">
        <f aca="false">SUM(U10:U40)</f>
        <v>0</v>
      </c>
      <c r="V42" s="52" t="n">
        <f aca="false">SUM(V10:V40)</f>
        <v>2132.08974035795</v>
      </c>
      <c r="W42" s="52" t="n">
        <f aca="false">SUM(W10:W40)</f>
        <v>2340.81169649609</v>
      </c>
      <c r="X42" s="52" t="n">
        <f aca="false">SUM(X10:X40)</f>
        <v>257.097554827325</v>
      </c>
      <c r="Y42" s="52" t="n">
        <f aca="false">SUM(Y10:Y40)</f>
        <v>2597.90925132342</v>
      </c>
      <c r="Z42" s="56" t="n">
        <f aca="false">SUM(Z10:Z40)</f>
        <v>2.95</v>
      </c>
      <c r="AA42" s="57" t="n">
        <f aca="false">AVERAGE(AA10:AA40)</f>
        <v>41.8636363636364</v>
      </c>
      <c r="AB42" s="57" t="n">
        <f aca="false">AVERAGE(AB10:AB40)</f>
        <v>11</v>
      </c>
      <c r="AC42" s="58" t="s">
        <v>45</v>
      </c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2027</v>
      </c>
      <c r="E43" s="52"/>
      <c r="F43" s="52" t="n">
        <f aca="false">F42*$D$2</f>
        <v>2027</v>
      </c>
      <c r="G43" s="52" t="n">
        <f aca="false">G42*$D$2</f>
        <v>5930.665</v>
      </c>
      <c r="H43" s="52" t="n">
        <f aca="false">H42*$D$2</f>
        <v>230.28435</v>
      </c>
      <c r="I43" s="52" t="n">
        <f aca="false">I42*$D$2</f>
        <v>6160.94935</v>
      </c>
      <c r="J43" s="52" t="n">
        <f aca="false">J42*$D$2</f>
        <v>1019.00365</v>
      </c>
      <c r="K43" s="52" t="n">
        <f aca="false">K42*$D$2</f>
        <v>7179.953</v>
      </c>
      <c r="L43" s="52" t="n">
        <f aca="false">L42*$D$2</f>
        <v>509.05065</v>
      </c>
      <c r="M43" s="52" t="n">
        <f aca="false">M42*$D$2</f>
        <v>0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0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414</v>
      </c>
      <c r="T43" s="52"/>
      <c r="U43" s="52" t="n">
        <f aca="false">U42*$D$2</f>
        <v>0</v>
      </c>
      <c r="V43" s="52" t="n">
        <f aca="false">V42*$D$2</f>
        <v>4229</v>
      </c>
      <c r="W43" s="52" t="n">
        <f aca="false">W42*$D$2</f>
        <v>4643</v>
      </c>
      <c r="X43" s="52" t="n">
        <f aca="false">X42*$D$2</f>
        <v>509.953</v>
      </c>
      <c r="Y43" s="52" t="n">
        <f aca="false">Y42*$D$2</f>
        <v>5152.953</v>
      </c>
      <c r="Z43" s="56"/>
      <c r="AA43" s="57" t="n">
        <f aca="false">MAX(AA10:AA40)</f>
        <v>52</v>
      </c>
      <c r="AB43" s="57" t="n">
        <f aca="false">MAX(AB10:AB40)</f>
        <v>28</v>
      </c>
      <c r="AC43" s="58" t="s">
        <v>47</v>
      </c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37</v>
      </c>
      <c r="AB45" s="57" t="n">
        <f aca="false">MIN(AB10:AB40)</f>
        <v>-9</v>
      </c>
      <c r="AC45" s="58" t="s">
        <v>49</v>
      </c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2548.52533400555</v>
      </c>
      <c r="G48" s="52" t="n">
        <f aca="false">G8+G42</f>
        <v>6945</v>
      </c>
      <c r="H48" s="57" t="n">
        <f aca="false">H8+H42</f>
        <v>195.8</v>
      </c>
      <c r="I48" s="52" t="n">
        <f aca="false">I8+I42</f>
        <v>7140.8</v>
      </c>
      <c r="J48" s="52" t="n">
        <f aca="false">J8+J42</f>
        <v>1442.73307285102</v>
      </c>
      <c r="K48" s="52" t="n">
        <f aca="false">K8+K42</f>
        <v>8583.53307285102</v>
      </c>
      <c r="L48" s="52" t="n">
        <f aca="false">L8+L42</f>
        <v>633.336627174187</v>
      </c>
      <c r="M48" s="52" t="n">
        <f aca="false">M8+M42</f>
        <v>0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0</v>
      </c>
      <c r="Q48" s="52" t="n">
        <f aca="false">Q8+Q42</f>
        <v>0</v>
      </c>
      <c r="R48" s="52" t="n">
        <f aca="false">R8+R42</f>
        <v>0</v>
      </c>
      <c r="S48" s="52" t="n">
        <f aca="false">S8+S42</f>
        <v>1571.46458280817</v>
      </c>
      <c r="T48" s="52"/>
      <c r="U48" s="52" t="n">
        <f aca="false">U8+U42</f>
        <v>0</v>
      </c>
      <c r="V48" s="52" t="n">
        <f aca="false">V8+V42</f>
        <v>3654.14671036047</v>
      </c>
      <c r="W48" s="52" t="n">
        <f aca="false">W8+W42</f>
        <v>5225.61129316864</v>
      </c>
      <c r="X48" s="52" t="n">
        <f aca="false">X8+X42</f>
        <v>809.396445676834</v>
      </c>
      <c r="Y48" s="52" t="n">
        <f aca="false">Y8+Y42</f>
        <v>6035.00773884548</v>
      </c>
      <c r="Z48" s="56" t="n">
        <f aca="false">Z8+Z42</f>
        <v>6.16</v>
      </c>
      <c r="AA48" s="57"/>
      <c r="AB48" s="57"/>
      <c r="AC48" s="58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5055</v>
      </c>
      <c r="E49" s="52" t="n">
        <f aca="false">E40</f>
        <v>5099</v>
      </c>
      <c r="F49" s="52" t="n">
        <f aca="false">F48*$D$2</f>
        <v>5055</v>
      </c>
      <c r="G49" s="52" t="n">
        <f aca="false">G48*$D$2</f>
        <v>13775.4075</v>
      </c>
      <c r="H49" s="57" t="n">
        <f aca="false">H48*$D$2</f>
        <v>388.3693</v>
      </c>
      <c r="I49" s="52" t="n">
        <f aca="false">I48*$D$2</f>
        <v>14163.7768</v>
      </c>
      <c r="J49" s="52" t="n">
        <f aca="false">J48*$D$2</f>
        <v>2861.66105</v>
      </c>
      <c r="K49" s="52" t="n">
        <f aca="false">K48*$D$2</f>
        <v>17025.43785</v>
      </c>
      <c r="L49" s="52" t="n">
        <f aca="false">L48*$D$2</f>
        <v>1256.2232</v>
      </c>
      <c r="M49" s="52" t="n">
        <f aca="false">M48*$D$2</f>
        <v>0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0</v>
      </c>
      <c r="Q49" s="52" t="n">
        <f aca="false">Q48*$D$2</f>
        <v>0</v>
      </c>
      <c r="R49" s="52" t="n">
        <f aca="false">R48*$D$2</f>
        <v>0</v>
      </c>
      <c r="S49" s="52" t="n">
        <f aca="false">S48*$D$2</f>
        <v>3117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7248</v>
      </c>
      <c r="W49" s="52" t="n">
        <f aca="false">W48*$D$2</f>
        <v>10365</v>
      </c>
      <c r="X49" s="52" t="n">
        <f aca="false">X48*$D$2</f>
        <v>1605.43785</v>
      </c>
      <c r="Y49" s="52" t="n">
        <f aca="false">Y48*$D$2</f>
        <v>11970.43785</v>
      </c>
      <c r="Z49" s="56"/>
      <c r="AA49" s="57"/>
      <c r="AB49" s="57"/>
      <c r="AC49" s="58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86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87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55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87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89" t="s">
        <v>13</v>
      </c>
      <c r="N4" s="89"/>
      <c r="O4" s="89"/>
      <c r="P4" s="89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56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89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56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91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87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DEC!B40</f>
        <v>6857.34</v>
      </c>
      <c r="C8" s="52" t="n">
        <f aca="false">DEC!C40</f>
        <v>157099</v>
      </c>
      <c r="D8" s="52" t="n">
        <f aca="false">DEC!$D$49</f>
        <v>5055</v>
      </c>
      <c r="E8" s="52" t="n">
        <f aca="false">DEC!$E$40</f>
        <v>5099</v>
      </c>
      <c r="F8" s="52" t="n">
        <f aca="false">DEC!F48</f>
        <v>2548.52533400555</v>
      </c>
      <c r="G8" s="52" t="n">
        <f aca="false">DEC!G48</f>
        <v>6945</v>
      </c>
      <c r="H8" s="56" t="n">
        <f aca="false">DEC!H48</f>
        <v>195.8</v>
      </c>
      <c r="I8" s="52" t="n">
        <f aca="false">DEC!I48</f>
        <v>7140.8</v>
      </c>
      <c r="J8" s="52" t="n">
        <f aca="false">DEC!J48</f>
        <v>1442.73307285102</v>
      </c>
      <c r="K8" s="52" t="n">
        <f aca="false">DEC!K48</f>
        <v>8583.53307285102</v>
      </c>
      <c r="L8" s="52" t="n">
        <f aca="false">DEC!L48</f>
        <v>633.336627174187</v>
      </c>
      <c r="M8" s="87" t="n">
        <f aca="false">DEC!M48</f>
        <v>0</v>
      </c>
      <c r="N8" s="52" t="n">
        <f aca="false">DEC!N48</f>
        <v>0</v>
      </c>
      <c r="O8" s="52" t="n">
        <f aca="false">DEC!O48</f>
        <v>402.2</v>
      </c>
      <c r="P8" s="52" t="n">
        <f aca="false">DEC!P48</f>
        <v>0</v>
      </c>
      <c r="Q8" s="52" t="n">
        <f aca="false">DEC!Q48</f>
        <v>0</v>
      </c>
      <c r="R8" s="52" t="n">
        <f aca="false">DEC!R48</f>
        <v>0</v>
      </c>
      <c r="S8" s="52" t="n">
        <f aca="false">DEC!S48</f>
        <v>1571.46458280817</v>
      </c>
      <c r="T8" s="52" t="n">
        <f aca="false">DEC!T48</f>
        <v>0</v>
      </c>
      <c r="U8" s="52" t="n">
        <f aca="false">DEC!U48</f>
        <v>0</v>
      </c>
      <c r="V8" s="52" t="n">
        <f aca="false">DEC!V48</f>
        <v>3654.14671036047</v>
      </c>
      <c r="W8" s="52" t="n">
        <f aca="false">DEC!W48</f>
        <v>5225.61129316864</v>
      </c>
      <c r="X8" s="52" t="n">
        <f aca="false">DEC!X48</f>
        <v>809.396445676834</v>
      </c>
      <c r="Y8" s="52" t="n">
        <f aca="false">DEC!Y48</f>
        <v>6035.00773884548</v>
      </c>
      <c r="Z8" s="56" t="n">
        <f aca="false">DEC!Z48</f>
        <v>6.16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95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6857.39</v>
      </c>
      <c r="C10" s="52" t="n">
        <v>157210</v>
      </c>
      <c r="D10" s="57" t="n">
        <f aca="false">C10-C8</f>
        <v>111</v>
      </c>
      <c r="E10" s="52" t="n">
        <f aca="false">C10-152000</f>
        <v>5210</v>
      </c>
      <c r="F10" s="51" t="n">
        <f aca="false">D10/$D$2</f>
        <v>55.9616838921099</v>
      </c>
      <c r="G10" s="51" t="n">
        <v>100</v>
      </c>
      <c r="H10" s="56" t="n">
        <v>3.2</v>
      </c>
      <c r="I10" s="51" t="n">
        <f aca="false">G10+H10</f>
        <v>103.2</v>
      </c>
      <c r="J10" s="81" t="n">
        <f aca="false">IF(L10&gt;0,L10,0)</f>
        <v>9.22752709856314</v>
      </c>
      <c r="K10" s="51" t="n">
        <f aca="false">I10+J10</f>
        <v>112.427527098563</v>
      </c>
      <c r="L10" s="51" t="n">
        <f aca="false">F10-(I10-W10)</f>
        <v>9.22752709856314</v>
      </c>
      <c r="M10" s="87"/>
      <c r="N10" s="51"/>
      <c r="O10" s="51"/>
      <c r="P10" s="6"/>
      <c r="Q10" s="51"/>
      <c r="R10" s="51"/>
      <c r="S10" s="51" t="n">
        <f aca="false">10/1.9835</f>
        <v>5.04159314343332</v>
      </c>
      <c r="T10" s="52"/>
      <c r="U10" s="51"/>
      <c r="V10" s="51" t="n">
        <f aca="false">102/1.9835</f>
        <v>51.4242500630199</v>
      </c>
      <c r="W10" s="6" t="n">
        <f aca="false">N10+O10+S10+U10+V10</f>
        <v>56.4658432064532</v>
      </c>
      <c r="X10" s="51" t="n">
        <f aca="false">IF(L10&lt;0,L10*-1,0)</f>
        <v>0</v>
      </c>
      <c r="Y10" s="51" t="n">
        <f aca="false">W10+X10</f>
        <v>56.4658432064532</v>
      </c>
      <c r="Z10" s="56" t="n">
        <v>0</v>
      </c>
      <c r="AA10" s="57"/>
      <c r="AB10" s="57"/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6857.43</v>
      </c>
      <c r="C11" s="52" t="n">
        <v>157299</v>
      </c>
      <c r="D11" s="57" t="n">
        <f aca="false">C11-C10</f>
        <v>89</v>
      </c>
      <c r="E11" s="52" t="n">
        <f aca="false">C11-152000</f>
        <v>5299</v>
      </c>
      <c r="F11" s="51" t="n">
        <f aca="false">D11/$D$2</f>
        <v>44.8701789765566</v>
      </c>
      <c r="G11" s="51" t="n">
        <v>100</v>
      </c>
      <c r="H11" s="56" t="n">
        <v>3.2</v>
      </c>
      <c r="I11" s="51" t="n">
        <f aca="false">G11+H11</f>
        <v>103.2</v>
      </c>
      <c r="J11" s="81" t="n">
        <f aca="false">IF(L11&gt;0,L11,0)</f>
        <v>0</v>
      </c>
      <c r="K11" s="51" t="n">
        <f aca="false">I11+J11</f>
        <v>103.2</v>
      </c>
      <c r="L11" s="51" t="n">
        <f aca="false">F11-(I11-W11)</f>
        <v>-2.87229644567685</v>
      </c>
      <c r="M11" s="87"/>
      <c r="N11" s="51"/>
      <c r="O11" s="51"/>
      <c r="P11" s="6"/>
      <c r="Q11" s="51"/>
      <c r="R11" s="51"/>
      <c r="S11" s="51" t="n">
        <f aca="false">10/1.9835</f>
        <v>5.04159314343332</v>
      </c>
      <c r="T11" s="52"/>
      <c r="U11" s="51"/>
      <c r="V11" s="51" t="n">
        <f aca="false">100/1.9835</f>
        <v>50.4159314343332</v>
      </c>
      <c r="W11" s="6" t="n">
        <f aca="false">N11+O11+S11+U11+V11</f>
        <v>55.4575245777666</v>
      </c>
      <c r="X11" s="51" t="n">
        <f aca="false">IF(L11&lt;0,L11*-1,0)</f>
        <v>2.87229644567685</v>
      </c>
      <c r="Y11" s="51" t="n">
        <f aca="false">W11+X11</f>
        <v>58.3298210234434</v>
      </c>
      <c r="Z11" s="56" t="n">
        <v>0.4</v>
      </c>
      <c r="AA11" s="57" t="n">
        <v>41</v>
      </c>
      <c r="AB11" s="57" t="n">
        <v>16</v>
      </c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6857.45</v>
      </c>
      <c r="C12" s="52" t="n">
        <v>157343</v>
      </c>
      <c r="D12" s="57" t="n">
        <f aca="false">C12-C11</f>
        <v>44</v>
      </c>
      <c r="E12" s="52" t="n">
        <f aca="false">C12-152000</f>
        <v>5343</v>
      </c>
      <c r="F12" s="51" t="n">
        <f aca="false">D12/$D$2</f>
        <v>22.1830098311066</v>
      </c>
      <c r="G12" s="51" t="n">
        <v>90</v>
      </c>
      <c r="H12" s="56" t="n">
        <v>3.2</v>
      </c>
      <c r="I12" s="51" t="n">
        <f aca="false">G12+H12</f>
        <v>93.2</v>
      </c>
      <c r="J12" s="81" t="n">
        <f aca="false">IF(L12&gt;0,L12,0)</f>
        <v>0</v>
      </c>
      <c r="K12" s="51" t="n">
        <f aca="false">I12+J12</f>
        <v>93.2</v>
      </c>
      <c r="L12" s="51" t="n">
        <f aca="false">F12-(I12-W12)</f>
        <v>-15.5594655911268</v>
      </c>
      <c r="M12" s="87"/>
      <c r="N12" s="51"/>
      <c r="O12" s="51"/>
      <c r="P12" s="6"/>
      <c r="Q12" s="51"/>
      <c r="R12" s="51"/>
      <c r="S12" s="51" t="n">
        <f aca="false">10/1.9835</f>
        <v>5.04159314343332</v>
      </c>
      <c r="T12" s="52"/>
      <c r="U12" s="51"/>
      <c r="V12" s="51" t="n">
        <f aca="false">100/1.9835</f>
        <v>50.4159314343332</v>
      </c>
      <c r="W12" s="6" t="n">
        <f aca="false">N12+O12+S12+U12+V12</f>
        <v>55.4575245777666</v>
      </c>
      <c r="X12" s="51" t="n">
        <f aca="false">IF(L12&lt;0,L12*-1,0)</f>
        <v>15.5594655911268</v>
      </c>
      <c r="Y12" s="51" t="n">
        <f aca="false">W12+X12</f>
        <v>71.0169901688934</v>
      </c>
      <c r="Z12" s="56" t="n">
        <v>0</v>
      </c>
      <c r="AA12" s="57" t="n">
        <v>40</v>
      </c>
      <c r="AB12" s="57" t="n">
        <v>18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6857.49</v>
      </c>
      <c r="C13" s="52" t="n">
        <v>157432</v>
      </c>
      <c r="D13" s="57" t="n">
        <f aca="false">C13-C12</f>
        <v>89</v>
      </c>
      <c r="E13" s="52" t="n">
        <f aca="false">C13-152000</f>
        <v>5432</v>
      </c>
      <c r="F13" s="51" t="n">
        <f aca="false">D13/$D$2</f>
        <v>44.8701789765566</v>
      </c>
      <c r="G13" s="51" t="n">
        <v>80</v>
      </c>
      <c r="H13" s="56" t="n">
        <v>3.2</v>
      </c>
      <c r="I13" s="51" t="n">
        <f aca="false">G13+H13</f>
        <v>83.2</v>
      </c>
      <c r="J13" s="81" t="n">
        <f aca="false">IF(L13&gt;0,L13,0)</f>
        <v>16.6235442399798</v>
      </c>
      <c r="K13" s="51" t="n">
        <f aca="false">I13+J13</f>
        <v>99.8235442399798</v>
      </c>
      <c r="L13" s="51" t="n">
        <f aca="false">F13-(I13-W13)</f>
        <v>16.6235442399798</v>
      </c>
      <c r="M13" s="87"/>
      <c r="N13" s="51"/>
      <c r="O13" s="51"/>
      <c r="P13" s="6"/>
      <c r="Q13" s="51"/>
      <c r="R13" s="51"/>
      <c r="S13" s="51" t="n">
        <f aca="false">9/1.9835</f>
        <v>4.53743382908999</v>
      </c>
      <c r="T13" s="52"/>
      <c r="U13" s="51"/>
      <c r="V13" s="51" t="n">
        <f aca="false">100/1.9835</f>
        <v>50.4159314343332</v>
      </c>
      <c r="W13" s="6" t="n">
        <f aca="false">N13+O13+S13+U13+V13</f>
        <v>54.9533652634232</v>
      </c>
      <c r="X13" s="51" t="n">
        <f aca="false">IF(L13&lt;0,L13*-1,0)</f>
        <v>0</v>
      </c>
      <c r="Y13" s="51" t="n">
        <f aca="false">W13+X13</f>
        <v>54.9533652634232</v>
      </c>
      <c r="Z13" s="56" t="n">
        <v>0</v>
      </c>
      <c r="AA13" s="57"/>
      <c r="AB13" s="57"/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6857.53</v>
      </c>
      <c r="C14" s="52" t="n">
        <v>157521</v>
      </c>
      <c r="D14" s="57" t="n">
        <f aca="false">C14-C13</f>
        <v>89</v>
      </c>
      <c r="E14" s="52" t="n">
        <f aca="false">C14-152000</f>
        <v>5521</v>
      </c>
      <c r="F14" s="51" t="n">
        <f aca="false">D14/$D$2</f>
        <v>44.8701789765566</v>
      </c>
      <c r="G14" s="51" t="n">
        <v>75</v>
      </c>
      <c r="H14" s="56" t="n">
        <v>3</v>
      </c>
      <c r="I14" s="51" t="n">
        <f aca="false">G14+H14</f>
        <v>78</v>
      </c>
      <c r="J14" s="81" t="n">
        <f aca="false">IF(L14&gt;0,L14,0)</f>
        <v>21.8235442399798</v>
      </c>
      <c r="K14" s="51" t="n">
        <f aca="false">I14+J14</f>
        <v>99.8235442399798</v>
      </c>
      <c r="L14" s="51" t="n">
        <f aca="false">F14-(I14-W14)</f>
        <v>21.8235442399798</v>
      </c>
      <c r="M14" s="87"/>
      <c r="N14" s="51"/>
      <c r="O14" s="51"/>
      <c r="P14" s="6"/>
      <c r="Q14" s="51"/>
      <c r="R14" s="51"/>
      <c r="S14" s="51" t="n">
        <f aca="false">9/1.9835</f>
        <v>4.53743382908999</v>
      </c>
      <c r="T14" s="52"/>
      <c r="U14" s="51"/>
      <c r="V14" s="51" t="n">
        <f aca="false">100/1.9835</f>
        <v>50.4159314343332</v>
      </c>
      <c r="W14" s="6" t="n">
        <f aca="false">N14+O14+S14+U14+V14</f>
        <v>54.9533652634232</v>
      </c>
      <c r="X14" s="51" t="n">
        <f aca="false">IF(L14&lt;0,L14*-1,0)</f>
        <v>0</v>
      </c>
      <c r="Y14" s="51" t="n">
        <f aca="false">W14+X14</f>
        <v>54.9533652634232</v>
      </c>
      <c r="Z14" s="56" t="n">
        <v>0</v>
      </c>
      <c r="AA14" s="57"/>
      <c r="AB14" s="57"/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6857.57</v>
      </c>
      <c r="C15" s="52" t="n">
        <v>157609</v>
      </c>
      <c r="D15" s="57" t="n">
        <f aca="false">C15-C14</f>
        <v>88</v>
      </c>
      <c r="E15" s="52" t="n">
        <f aca="false">C15-152000</f>
        <v>5609</v>
      </c>
      <c r="F15" s="51" t="n">
        <f aca="false">D15/$D$2</f>
        <v>44.3660196622133</v>
      </c>
      <c r="G15" s="51" t="n">
        <v>75</v>
      </c>
      <c r="H15" s="56" t="n">
        <v>2.6</v>
      </c>
      <c r="I15" s="51" t="n">
        <f aca="false">G15+H15</f>
        <v>77.6</v>
      </c>
      <c r="J15" s="81" t="n">
        <f aca="false">IF(L15&gt;0,L15,0)</f>
        <v>24.7443408116965</v>
      </c>
      <c r="K15" s="51" t="n">
        <f aca="false">I15+J15</f>
        <v>102.344340811697</v>
      </c>
      <c r="L15" s="51" t="n">
        <f aca="false">F15-(I15-W15)</f>
        <v>24.7443408116965</v>
      </c>
      <c r="M15" s="87"/>
      <c r="N15" s="51"/>
      <c r="O15" s="51"/>
      <c r="P15" s="6"/>
      <c r="Q15" s="51"/>
      <c r="R15" s="51"/>
      <c r="S15" s="51" t="n">
        <f aca="false">14/1.9835</f>
        <v>7.05823040080665</v>
      </c>
      <c r="T15" s="52"/>
      <c r="U15" s="51"/>
      <c r="V15" s="51" t="n">
        <f aca="false">101/1.9835</f>
        <v>50.9200907486766</v>
      </c>
      <c r="W15" s="6" t="n">
        <f aca="false">N15+O15+S15+U15+V15</f>
        <v>57.9783211494832</v>
      </c>
      <c r="X15" s="51" t="n">
        <f aca="false">IF(L15&lt;0,L15*-1,0)</f>
        <v>0</v>
      </c>
      <c r="Y15" s="51" t="n">
        <f aca="false">W15+X15</f>
        <v>57.9783211494832</v>
      </c>
      <c r="Z15" s="56" t="n">
        <v>0.23</v>
      </c>
      <c r="AA15" s="57" t="n">
        <v>39</v>
      </c>
      <c r="AB15" s="57" t="n">
        <v>10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6857.57</v>
      </c>
      <c r="C16" s="52" t="n">
        <v>157609</v>
      </c>
      <c r="D16" s="57" t="n">
        <f aca="false">C16-C15</f>
        <v>0</v>
      </c>
      <c r="E16" s="52" t="n">
        <f aca="false">C16-152000</f>
        <v>5609</v>
      </c>
      <c r="F16" s="51" t="n">
        <f aca="false">D16/$D$2</f>
        <v>0</v>
      </c>
      <c r="G16" s="51" t="n">
        <v>75</v>
      </c>
      <c r="H16" s="56" t="n">
        <v>2.9</v>
      </c>
      <c r="I16" s="51" t="n">
        <f aca="false">G16+H16</f>
        <v>77.9</v>
      </c>
      <c r="J16" s="81" t="n">
        <f aca="false">IF(L16&gt;0,L16,0)</f>
        <v>0</v>
      </c>
      <c r="K16" s="51" t="n">
        <f aca="false">I16+J16</f>
        <v>77.9</v>
      </c>
      <c r="L16" s="51" t="n">
        <f aca="false">F16-(I16-W16)</f>
        <v>-19.9216788505168</v>
      </c>
      <c r="M16" s="87"/>
      <c r="N16" s="51"/>
      <c r="O16" s="51"/>
      <c r="P16" s="6"/>
      <c r="Q16" s="51"/>
      <c r="R16" s="51"/>
      <c r="S16" s="51" t="n">
        <f aca="false">13/1.9835</f>
        <v>6.55407108646332</v>
      </c>
      <c r="T16" s="52"/>
      <c r="U16" s="51"/>
      <c r="V16" s="51" t="n">
        <f aca="false">102/1.9835</f>
        <v>51.4242500630199</v>
      </c>
      <c r="W16" s="6" t="n">
        <f aca="false">N16+O16+S16+U16+V16</f>
        <v>57.9783211494832</v>
      </c>
      <c r="X16" s="51" t="n">
        <f aca="false">IF(L16&lt;0,L16*-1,0)</f>
        <v>19.9216788505168</v>
      </c>
      <c r="Y16" s="51" t="n">
        <f aca="false">W16+X16</f>
        <v>77.9</v>
      </c>
      <c r="Z16" s="56" t="n">
        <v>0</v>
      </c>
      <c r="AA16" s="57" t="n">
        <v>35</v>
      </c>
      <c r="AB16" s="57" t="n">
        <v>8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6857.58</v>
      </c>
      <c r="C17" s="52" t="n">
        <v>157631</v>
      </c>
      <c r="D17" s="57" t="n">
        <f aca="false">C17-C16</f>
        <v>22</v>
      </c>
      <c r="E17" s="52" t="n">
        <f aca="false">C17-152000</f>
        <v>5631</v>
      </c>
      <c r="F17" s="51" t="n">
        <f aca="false">D17/$D$2</f>
        <v>11.0915049155533</v>
      </c>
      <c r="G17" s="51" t="n">
        <v>75</v>
      </c>
      <c r="H17" s="56" t="n">
        <v>3</v>
      </c>
      <c r="I17" s="51" t="n">
        <v>36</v>
      </c>
      <c r="J17" s="81" t="n">
        <f aca="false">IF(L17&gt;0,L17,0)</f>
        <v>32.0615074363499</v>
      </c>
      <c r="K17" s="51" t="n">
        <f aca="false">I17+J17</f>
        <v>68.0615074363499</v>
      </c>
      <c r="L17" s="51" t="n">
        <f aca="false">F17-(I17-W17)</f>
        <v>32.0615074363499</v>
      </c>
      <c r="M17" s="87"/>
      <c r="N17" s="51"/>
      <c r="O17" s="51"/>
      <c r="P17" s="6"/>
      <c r="Q17" s="51"/>
      <c r="R17" s="51"/>
      <c r="S17" s="51" t="n">
        <f aca="false">9/1.9835</f>
        <v>4.53743382908999</v>
      </c>
      <c r="T17" s="52"/>
      <c r="U17" s="51"/>
      <c r="V17" s="51" t="n">
        <f aca="false">104/1.9835</f>
        <v>52.4325686917066</v>
      </c>
      <c r="W17" s="6" t="n">
        <f aca="false">N17+O17+S17+U17+V17</f>
        <v>56.9700025207966</v>
      </c>
      <c r="X17" s="51" t="n">
        <f aca="false">IF(L17&lt;0,L17*-1,0)</f>
        <v>0</v>
      </c>
      <c r="Y17" s="51" t="n">
        <f aca="false">W17+X17</f>
        <v>56.9700025207966</v>
      </c>
      <c r="Z17" s="56" t="n">
        <v>0</v>
      </c>
      <c r="AA17" s="57" t="n">
        <v>40</v>
      </c>
      <c r="AB17" s="57" t="n">
        <v>-2</v>
      </c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6857.63</v>
      </c>
      <c r="C18" s="52" t="n">
        <v>157742</v>
      </c>
      <c r="D18" s="57" t="n">
        <f aca="false">C18-C17</f>
        <v>111</v>
      </c>
      <c r="E18" s="52" t="n">
        <f aca="false">C18-152000</f>
        <v>5742</v>
      </c>
      <c r="F18" s="51" t="n">
        <f aca="false">D18/$D$2</f>
        <v>55.9616838921099</v>
      </c>
      <c r="G18" s="51" t="n">
        <v>80</v>
      </c>
      <c r="H18" s="56" t="n">
        <v>3.2</v>
      </c>
      <c r="I18" s="51" t="n">
        <v>36</v>
      </c>
      <c r="J18" s="81" t="n">
        <f aca="false">IF(L18&gt;0,L18,0)</f>
        <v>78.9483236702798</v>
      </c>
      <c r="K18" s="51" t="n">
        <f aca="false">I18+J18</f>
        <v>114.94832367028</v>
      </c>
      <c r="L18" s="51" t="n">
        <f aca="false">F18-(I18-W18)</f>
        <v>78.9483236702798</v>
      </c>
      <c r="M18" s="87"/>
      <c r="N18" s="51"/>
      <c r="O18" s="51"/>
      <c r="P18" s="6"/>
      <c r="Q18" s="51"/>
      <c r="R18" s="51"/>
      <c r="S18" s="51" t="n">
        <f aca="false">13/1.9835</f>
        <v>6.55407108646332</v>
      </c>
      <c r="T18" s="52"/>
      <c r="U18" s="51"/>
      <c r="V18" s="51" t="n">
        <f aca="false">104/1.9835</f>
        <v>52.4325686917066</v>
      </c>
      <c r="W18" s="6" t="n">
        <f aca="false">N18+O18+S18+U18+V18</f>
        <v>58.9866397781699</v>
      </c>
      <c r="X18" s="51" t="n">
        <f aca="false">IF(L18&lt;0,L18*-1,0)</f>
        <v>0</v>
      </c>
      <c r="Y18" s="51" t="n">
        <f aca="false">W18+X18</f>
        <v>58.9866397781699</v>
      </c>
      <c r="Z18" s="56" t="n">
        <v>0</v>
      </c>
      <c r="AA18" s="82" t="n">
        <v>39</v>
      </c>
      <c r="AB18" s="57" t="n">
        <v>3</v>
      </c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6857.68</v>
      </c>
      <c r="C19" s="52" t="n">
        <v>157853</v>
      </c>
      <c r="D19" s="57" t="n">
        <f aca="false">C19-C18</f>
        <v>111</v>
      </c>
      <c r="E19" s="52" t="n">
        <f aca="false">C19-152000</f>
        <v>5853</v>
      </c>
      <c r="F19" s="51" t="n">
        <f aca="false">D19/$D$2</f>
        <v>55.9616838921099</v>
      </c>
      <c r="G19" s="51" t="n">
        <v>85</v>
      </c>
      <c r="H19" s="56" t="n">
        <v>3.3</v>
      </c>
      <c r="I19" s="51" t="n">
        <v>49.6</v>
      </c>
      <c r="J19" s="81" t="n">
        <f aca="false">IF(L19&gt;0,L19,0)</f>
        <v>63.3316864129065</v>
      </c>
      <c r="K19" s="51" t="n">
        <f aca="false">I19+J19</f>
        <v>112.931686412906</v>
      </c>
      <c r="L19" s="51" t="n">
        <f aca="false">F19-(I19-W19)</f>
        <v>63.3316864129065</v>
      </c>
      <c r="M19" s="87"/>
      <c r="N19" s="51"/>
      <c r="O19" s="51"/>
      <c r="P19" s="6"/>
      <c r="Q19" s="51"/>
      <c r="R19" s="51"/>
      <c r="S19" s="51" t="n">
        <f aca="false">9/1.9835</f>
        <v>4.53743382908999</v>
      </c>
      <c r="T19" s="52"/>
      <c r="U19" s="51"/>
      <c r="V19" s="51" t="n">
        <f aca="false">104/1.9835</f>
        <v>52.4325686917066</v>
      </c>
      <c r="W19" s="6" t="n">
        <f aca="false">N19+O19+S19+U19+V19</f>
        <v>56.9700025207966</v>
      </c>
      <c r="X19" s="51" t="n">
        <f aca="false">IF(L19&lt;0,L19*-1,0)</f>
        <v>0</v>
      </c>
      <c r="Y19" s="51" t="n">
        <f aca="false">W19+X19</f>
        <v>56.9700025207966</v>
      </c>
      <c r="Z19" s="56" t="n">
        <v>0</v>
      </c>
      <c r="AA19" s="57" t="n">
        <v>44</v>
      </c>
      <c r="AB19" s="57" t="n">
        <v>10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6857.72</v>
      </c>
      <c r="C20" s="52" t="n">
        <v>157942</v>
      </c>
      <c r="D20" s="57" t="n">
        <f aca="false">C20-C19</f>
        <v>89</v>
      </c>
      <c r="E20" s="52" t="n">
        <f aca="false">C20-152000</f>
        <v>5942</v>
      </c>
      <c r="F20" s="51" t="n">
        <f aca="false">D20/$D$2</f>
        <v>44.8701789765566</v>
      </c>
      <c r="G20" s="51" t="n">
        <v>85</v>
      </c>
      <c r="H20" s="56" t="n">
        <v>3.2</v>
      </c>
      <c r="I20" s="51" t="n">
        <v>31.1</v>
      </c>
      <c r="J20" s="81" t="n">
        <f aca="false">IF(L20&gt;0,L20,0)</f>
        <v>72.2526594403832</v>
      </c>
      <c r="K20" s="51" t="n">
        <f aca="false">I20+J20</f>
        <v>103.352659440383</v>
      </c>
      <c r="L20" s="51" t="n">
        <f aca="false">F20-(I20-W20)</f>
        <v>72.2526594403832</v>
      </c>
      <c r="M20" s="87"/>
      <c r="N20" s="51"/>
      <c r="O20" s="51"/>
      <c r="P20" s="6"/>
      <c r="Q20" s="51"/>
      <c r="R20" s="51"/>
      <c r="S20" s="51" t="n">
        <f aca="false">12/1.9835</f>
        <v>6.04991177211999</v>
      </c>
      <c r="T20" s="52"/>
      <c r="U20" s="51"/>
      <c r="V20" s="51" t="n">
        <f aca="false">104/1.9835</f>
        <v>52.4325686917066</v>
      </c>
      <c r="W20" s="6" t="n">
        <f aca="false">N20+O20+S20+U20+V20</f>
        <v>58.4824804638266</v>
      </c>
      <c r="X20" s="51" t="n">
        <f aca="false">IF(L20&lt;0,L20*-1,0)</f>
        <v>0</v>
      </c>
      <c r="Y20" s="51" t="n">
        <f aca="false">W20+X20</f>
        <v>58.4824804638266</v>
      </c>
      <c r="Z20" s="56" t="n">
        <v>0</v>
      </c>
      <c r="AA20" s="57"/>
      <c r="AB20" s="57"/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6857.76</v>
      </c>
      <c r="C21" s="52" t="n">
        <v>158031</v>
      </c>
      <c r="D21" s="57" t="n">
        <f aca="false">C21-C20</f>
        <v>89</v>
      </c>
      <c r="E21" s="52" t="n">
        <f aca="false">C21-152000</f>
        <v>6031</v>
      </c>
      <c r="F21" s="51" t="n">
        <f aca="false">D21/$D$2</f>
        <v>44.8701789765566</v>
      </c>
      <c r="G21" s="51" t="n">
        <v>90</v>
      </c>
      <c r="H21" s="56" t="n">
        <v>3</v>
      </c>
      <c r="I21" s="51" t="n">
        <v>34.1</v>
      </c>
      <c r="J21" s="81" t="n">
        <f aca="false">IF(L21&gt;0,L21,0)</f>
        <v>67.7401814973532</v>
      </c>
      <c r="K21" s="51" t="n">
        <f aca="false">I21+J21</f>
        <v>101.840181497353</v>
      </c>
      <c r="L21" s="51" t="n">
        <f aca="false">F21-(I21-W21)</f>
        <v>67.7401814973532</v>
      </c>
      <c r="M21" s="87"/>
      <c r="N21" s="51"/>
      <c r="O21" s="51"/>
      <c r="P21" s="6"/>
      <c r="Q21" s="51"/>
      <c r="R21" s="51"/>
      <c r="S21" s="51" t="n">
        <f aca="false">9/1.9835</f>
        <v>4.53743382908999</v>
      </c>
      <c r="T21" s="52"/>
      <c r="U21" s="51"/>
      <c r="V21" s="51" t="n">
        <f aca="false">104/1.9835</f>
        <v>52.4325686917066</v>
      </c>
      <c r="W21" s="6" t="n">
        <f aca="false">N21+O21+S21+U21+V21</f>
        <v>56.9700025207966</v>
      </c>
      <c r="X21" s="51" t="n">
        <f aca="false">IF(L21&lt;0,L21*-1,0)</f>
        <v>0</v>
      </c>
      <c r="Y21" s="51" t="n">
        <f aca="false">W21+X21</f>
        <v>56.9700025207966</v>
      </c>
      <c r="Z21" s="56" t="n">
        <v>0</v>
      </c>
      <c r="AA21" s="57"/>
      <c r="AB21" s="57"/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v>13</v>
      </c>
      <c r="B22" s="73" t="n">
        <v>6857.8</v>
      </c>
      <c r="C22" s="52" t="n">
        <v>158119</v>
      </c>
      <c r="D22" s="57" t="n">
        <f aca="false">C22-C21</f>
        <v>88</v>
      </c>
      <c r="E22" s="52" t="n">
        <f aca="false">C22-152000</f>
        <v>6119</v>
      </c>
      <c r="F22" s="51" t="n">
        <f aca="false">D22/$D$2</f>
        <v>44.3660196622133</v>
      </c>
      <c r="G22" s="51" t="n">
        <v>95</v>
      </c>
      <c r="H22" s="56" t="n">
        <v>3</v>
      </c>
      <c r="I22" s="51" t="n">
        <v>34.1</v>
      </c>
      <c r="J22" s="81" t="n">
        <f aca="false">IF(L22&gt;0,L22,0)</f>
        <v>67.2360221830098</v>
      </c>
      <c r="K22" s="51" t="n">
        <f aca="false">I22+J22</f>
        <v>101.33602218301</v>
      </c>
      <c r="L22" s="51" t="n">
        <f aca="false">F22-(I22-W22)</f>
        <v>67.2360221830098</v>
      </c>
      <c r="M22" s="87"/>
      <c r="N22" s="51"/>
      <c r="O22" s="51"/>
      <c r="P22" s="6"/>
      <c r="Q22" s="51"/>
      <c r="R22" s="51"/>
      <c r="S22" s="51" t="n">
        <f aca="false">9/1.9835</f>
        <v>4.53743382908999</v>
      </c>
      <c r="T22" s="52"/>
      <c r="U22" s="51"/>
      <c r="V22" s="51" t="n">
        <f aca="false">104/1.9835</f>
        <v>52.4325686917066</v>
      </c>
      <c r="W22" s="6" t="n">
        <f aca="false">N22+O22+S22+U22+V22</f>
        <v>56.9700025207966</v>
      </c>
      <c r="X22" s="51" t="n">
        <f aca="false">IF(L22&lt;0,L22*-1,0)</f>
        <v>0</v>
      </c>
      <c r="Y22" s="51" t="n">
        <f aca="false">W22+X22</f>
        <v>56.9700025207966</v>
      </c>
      <c r="Z22" s="56" t="n">
        <v>0</v>
      </c>
      <c r="AA22" s="57" t="n">
        <v>50</v>
      </c>
      <c r="AB22" s="57" t="n">
        <v>19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6857.82</v>
      </c>
      <c r="C23" s="52" t="n">
        <v>158164</v>
      </c>
      <c r="D23" s="57" t="n">
        <f aca="false">C23-C22</f>
        <v>45</v>
      </c>
      <c r="E23" s="52" t="n">
        <f aca="false">C23-152000</f>
        <v>6164</v>
      </c>
      <c r="F23" s="51" t="n">
        <f aca="false">D23/$D$2</f>
        <v>22.68716914545</v>
      </c>
      <c r="G23" s="51" t="n">
        <v>95</v>
      </c>
      <c r="H23" s="56" t="n">
        <v>3</v>
      </c>
      <c r="I23" s="51" t="n">
        <f aca="false">G23+H23</f>
        <v>98</v>
      </c>
      <c r="J23" s="81" t="n">
        <f aca="false">IF(L23&gt;0,L23,0)</f>
        <v>0</v>
      </c>
      <c r="K23" s="51" t="n">
        <f aca="false">I23+J23</f>
        <v>98</v>
      </c>
      <c r="L23" s="51" t="n">
        <f aca="false">F23-(I23-W23)</f>
        <v>-17.8386690194101</v>
      </c>
      <c r="M23" s="87"/>
      <c r="N23" s="51"/>
      <c r="O23" s="51"/>
      <c r="P23" s="6"/>
      <c r="Q23" s="51"/>
      <c r="R23" s="51"/>
      <c r="S23" s="51" t="n">
        <f aca="false">9/1.9835</f>
        <v>4.53743382908999</v>
      </c>
      <c r="T23" s="52"/>
      <c r="U23" s="51"/>
      <c r="V23" s="51" t="n">
        <f aca="false">105/1.9835</f>
        <v>52.9367280060499</v>
      </c>
      <c r="W23" s="6" t="n">
        <f aca="false">N23+O23+S23+U23+V23</f>
        <v>57.4741618351399</v>
      </c>
      <c r="X23" s="51" t="n">
        <f aca="false">IF(L23&lt;0,L23*-1,0)</f>
        <v>17.8386690194101</v>
      </c>
      <c r="Y23" s="51" t="n">
        <f aca="false">W23+X23</f>
        <v>75.31283085455</v>
      </c>
      <c r="Z23" s="56" t="n">
        <v>0</v>
      </c>
      <c r="AA23" s="82" t="n">
        <v>51</v>
      </c>
      <c r="AB23" s="57" t="n">
        <v>18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6857.83</v>
      </c>
      <c r="C24" s="52" t="n">
        <v>158186</v>
      </c>
      <c r="D24" s="57" t="n">
        <f aca="false">C24-C23</f>
        <v>22</v>
      </c>
      <c r="E24" s="52" t="n">
        <f aca="false">C24-152000</f>
        <v>6186</v>
      </c>
      <c r="F24" s="51" t="n">
        <f aca="false">D24/$D$2</f>
        <v>11.0915049155533</v>
      </c>
      <c r="G24" s="51" t="n">
        <v>95</v>
      </c>
      <c r="H24" s="56" t="n">
        <v>2.9</v>
      </c>
      <c r="I24" s="51" t="n">
        <f aca="false">G24+H24</f>
        <v>97.9</v>
      </c>
      <c r="J24" s="81" t="n">
        <f aca="false">IF(L24&gt;0,L24,0)</f>
        <v>0</v>
      </c>
      <c r="K24" s="51" t="n">
        <f aca="false">I24+J24</f>
        <v>97.9</v>
      </c>
      <c r="L24" s="51" t="n">
        <f aca="false">F24-(I24-W24)</f>
        <v>-30.3426518779935</v>
      </c>
      <c r="M24" s="87"/>
      <c r="N24" s="51"/>
      <c r="O24" s="51"/>
      <c r="P24" s="6"/>
      <c r="Q24" s="51"/>
      <c r="R24" s="51"/>
      <c r="S24" s="51" t="n">
        <f aca="false">9/1.9835</f>
        <v>4.53743382908999</v>
      </c>
      <c r="T24" s="52"/>
      <c r="U24" s="51"/>
      <c r="V24" s="51" t="n">
        <f aca="false">103/1.9835</f>
        <v>51.9284093773632</v>
      </c>
      <c r="W24" s="6" t="n">
        <f aca="false">N24+O24+S24+U24+V24</f>
        <v>56.4658432064532</v>
      </c>
      <c r="X24" s="51" t="n">
        <f aca="false">IF(L24&lt;0,L24*-1,0)</f>
        <v>30.3426518779935</v>
      </c>
      <c r="Y24" s="51" t="n">
        <f aca="false">W24+X24</f>
        <v>86.8084950844467</v>
      </c>
      <c r="Z24" s="56" t="n">
        <v>0</v>
      </c>
      <c r="AA24" s="82" t="n">
        <v>47</v>
      </c>
      <c r="AB24" s="57" t="n">
        <v>17</v>
      </c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6857.87</v>
      </c>
      <c r="C25" s="52" t="n">
        <v>158274</v>
      </c>
      <c r="D25" s="57" t="n">
        <f aca="false">C25-C24</f>
        <v>88</v>
      </c>
      <c r="E25" s="52" t="n">
        <f aca="false">C25-152000</f>
        <v>6274</v>
      </c>
      <c r="F25" s="51" t="n">
        <f aca="false">D25/$D$2</f>
        <v>44.3660196622133</v>
      </c>
      <c r="G25" s="51" t="n">
        <v>100</v>
      </c>
      <c r="H25" s="56" t="n">
        <v>3</v>
      </c>
      <c r="I25" s="51" t="n">
        <f aca="false">G25+H25</f>
        <v>103</v>
      </c>
      <c r="J25" s="81" t="n">
        <f aca="false">IF(L25&gt;0,L25,0)</f>
        <v>0</v>
      </c>
      <c r="K25" s="51" t="n">
        <f aca="false">I25+J25</f>
        <v>103</v>
      </c>
      <c r="L25" s="51" t="n">
        <f aca="false">F25-(I25-W25)</f>
        <v>-3.6806150743635</v>
      </c>
      <c r="M25" s="87"/>
      <c r="N25" s="51"/>
      <c r="O25" s="51"/>
      <c r="P25" s="6"/>
      <c r="Q25" s="51"/>
      <c r="R25" s="51"/>
      <c r="S25" s="51" t="n">
        <f aca="false">9/1.9835</f>
        <v>4.53743382908999</v>
      </c>
      <c r="T25" s="52"/>
      <c r="U25" s="51"/>
      <c r="V25" s="51" t="n">
        <f aca="false">100/1.9835</f>
        <v>50.4159314343332</v>
      </c>
      <c r="W25" s="6" t="n">
        <f aca="false">N25+O25+S25+U25+V25</f>
        <v>54.9533652634232</v>
      </c>
      <c r="X25" s="51" t="n">
        <f aca="false">IF(L25&lt;0,L25*-1,0)</f>
        <v>3.6806150743635</v>
      </c>
      <c r="Y25" s="51" t="n">
        <f aca="false">W25+X25</f>
        <v>58.6339803377867</v>
      </c>
      <c r="Z25" s="56" t="n">
        <v>0.17</v>
      </c>
      <c r="AA25" s="82" t="n">
        <v>37</v>
      </c>
      <c r="AB25" s="57" t="n">
        <v>15</v>
      </c>
      <c r="AC25" s="58" t="n">
        <f aca="false">AC24+1</f>
        <v>16</v>
      </c>
      <c r="AD25" s="92"/>
      <c r="AE25" s="0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6857.92</v>
      </c>
      <c r="C26" s="52" t="n">
        <v>158385</v>
      </c>
      <c r="D26" s="57" t="n">
        <f aca="false">C26-C25</f>
        <v>111</v>
      </c>
      <c r="E26" s="52" t="n">
        <f aca="false">C26-152000</f>
        <v>6385</v>
      </c>
      <c r="F26" s="51" t="n">
        <f aca="false">D26/$D$2</f>
        <v>55.9616838921099</v>
      </c>
      <c r="G26" s="51" t="n">
        <v>90</v>
      </c>
      <c r="H26" s="56" t="n">
        <v>2.8</v>
      </c>
      <c r="I26" s="51" t="n">
        <f aca="false">G26+H26</f>
        <v>92.8</v>
      </c>
      <c r="J26" s="81" t="n">
        <f aca="false">IF(L26&gt;0,L26,0)</f>
        <v>19.6275270985631</v>
      </c>
      <c r="K26" s="51" t="n">
        <f aca="false">I26+J26</f>
        <v>112.427527098563</v>
      </c>
      <c r="L26" s="51" t="n">
        <f aca="false">F26-(I26-W26)</f>
        <v>19.6275270985631</v>
      </c>
      <c r="M26" s="87"/>
      <c r="N26" s="51"/>
      <c r="O26" s="51"/>
      <c r="P26" s="6"/>
      <c r="Q26" s="51"/>
      <c r="R26" s="51"/>
      <c r="S26" s="51" t="n">
        <f aca="false">13/1.9835</f>
        <v>6.55407108646332</v>
      </c>
      <c r="T26" s="52"/>
      <c r="U26" s="51"/>
      <c r="V26" s="51" t="n">
        <f aca="false">99/1.9835</f>
        <v>49.9117721199899</v>
      </c>
      <c r="W26" s="6" t="n">
        <f aca="false">N26+O26+S26+U26+V26</f>
        <v>56.4658432064532</v>
      </c>
      <c r="X26" s="51" t="n">
        <f aca="false">IF(L26&lt;0,L26*-1,0)</f>
        <v>0</v>
      </c>
      <c r="Y26" s="51" t="n">
        <f aca="false">W26+X26</f>
        <v>56.4658432064532</v>
      </c>
      <c r="Z26" s="56" t="n">
        <v>0</v>
      </c>
      <c r="AA26" s="82" t="n">
        <v>50</v>
      </c>
      <c r="AB26" s="57" t="n">
        <v>18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6857.96</v>
      </c>
      <c r="C27" s="52" t="n">
        <v>158474</v>
      </c>
      <c r="D27" s="57" t="n">
        <f aca="false">C27-C26</f>
        <v>89</v>
      </c>
      <c r="E27" s="52" t="n">
        <f aca="false">C27-152000</f>
        <v>6474</v>
      </c>
      <c r="F27" s="51" t="n">
        <f aca="false">D27/$D$2</f>
        <v>44.8701789765566</v>
      </c>
      <c r="G27" s="51" t="n">
        <v>90</v>
      </c>
      <c r="H27" s="56" t="n">
        <v>3.3</v>
      </c>
      <c r="I27" s="51" t="n">
        <f aca="false">G27+H27</f>
        <v>93.3</v>
      </c>
      <c r="J27" s="81" t="n">
        <f aca="false">IF(L27&gt;0,L27,0)</f>
        <v>6.01938492563649</v>
      </c>
      <c r="K27" s="51" t="n">
        <f aca="false">I27+J27</f>
        <v>99.3193849256365</v>
      </c>
      <c r="L27" s="51" t="n">
        <f aca="false">F27-(I27-W27)</f>
        <v>6.01938492563649</v>
      </c>
      <c r="M27" s="87"/>
      <c r="N27" s="51"/>
      <c r="O27" s="51"/>
      <c r="P27" s="6"/>
      <c r="Q27" s="51"/>
      <c r="R27" s="51"/>
      <c r="S27" s="51" t="n">
        <f aca="false">9/1.9835</f>
        <v>4.53743382908999</v>
      </c>
      <c r="T27" s="52"/>
      <c r="U27" s="51"/>
      <c r="V27" s="51" t="n">
        <f aca="false">99/1.9835</f>
        <v>49.9117721199899</v>
      </c>
      <c r="W27" s="6" t="n">
        <f aca="false">N27+O27+S27+U27+V27</f>
        <v>54.4492059490799</v>
      </c>
      <c r="X27" s="51" t="n">
        <f aca="false">IF(L27&lt;0,L27*-1,0)</f>
        <v>0</v>
      </c>
      <c r="Y27" s="51" t="n">
        <f aca="false">W27+X27</f>
        <v>54.4492059490799</v>
      </c>
      <c r="Z27" s="56" t="n">
        <v>0</v>
      </c>
      <c r="AA27" s="82"/>
      <c r="AB27" s="57"/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6858</v>
      </c>
      <c r="C28" s="52" t="n">
        <v>158563</v>
      </c>
      <c r="D28" s="57" t="n">
        <f aca="false">C28-C27</f>
        <v>89</v>
      </c>
      <c r="E28" s="52" t="n">
        <f aca="false">C28-152000</f>
        <v>6563</v>
      </c>
      <c r="F28" s="51" t="n">
        <f aca="false">D28/$D$2</f>
        <v>44.8701789765566</v>
      </c>
      <c r="G28" s="51" t="n">
        <v>90</v>
      </c>
      <c r="H28" s="56" t="n">
        <v>3</v>
      </c>
      <c r="I28" s="51" t="n">
        <f aca="false">G28+H28</f>
        <v>93</v>
      </c>
      <c r="J28" s="81" t="n">
        <f aca="false">IF(L28&gt;0,L28,0)</f>
        <v>8.84018149735316</v>
      </c>
      <c r="K28" s="51" t="n">
        <f aca="false">I28+J28</f>
        <v>101.840181497353</v>
      </c>
      <c r="L28" s="51" t="n">
        <f aca="false">F28-(I28-W28)</f>
        <v>8.84018149735316</v>
      </c>
      <c r="M28" s="87"/>
      <c r="N28" s="51"/>
      <c r="O28" s="51"/>
      <c r="P28" s="6"/>
      <c r="Q28" s="51"/>
      <c r="R28" s="51"/>
      <c r="S28" s="51" t="n">
        <f aca="false">13/1.9835</f>
        <v>6.55407108646332</v>
      </c>
      <c r="T28" s="52"/>
      <c r="U28" s="51"/>
      <c r="V28" s="51" t="n">
        <f aca="false">100/1.9835</f>
        <v>50.4159314343332</v>
      </c>
      <c r="W28" s="6" t="n">
        <f aca="false">N28+O28+S28+U28+V28</f>
        <v>56.9700025207966</v>
      </c>
      <c r="X28" s="51" t="n">
        <f aca="false">IF(L28&lt;0,L28*-1,0)</f>
        <v>0</v>
      </c>
      <c r="Y28" s="51" t="n">
        <f aca="false">W28+X28</f>
        <v>56.9700025207966</v>
      </c>
      <c r="Z28" s="56" t="n">
        <v>0</v>
      </c>
      <c r="AA28" s="82" t="n">
        <v>51</v>
      </c>
      <c r="AB28" s="57" t="n">
        <v>15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6858.04</v>
      </c>
      <c r="C29" s="52" t="n">
        <v>158652</v>
      </c>
      <c r="D29" s="57" t="n">
        <f aca="false">C29-C28</f>
        <v>89</v>
      </c>
      <c r="E29" s="52" t="n">
        <f aca="false">C29-152000</f>
        <v>6652</v>
      </c>
      <c r="F29" s="51" t="n">
        <f aca="false">D29/$D$2</f>
        <v>44.8701789765566</v>
      </c>
      <c r="G29" s="51" t="n">
        <v>95</v>
      </c>
      <c r="H29" s="56" t="n">
        <v>3.2</v>
      </c>
      <c r="I29" s="51" t="n">
        <f aca="false">G29+H29</f>
        <v>98.2</v>
      </c>
      <c r="J29" s="81" t="n">
        <f aca="false">IF(L29&gt;0,L29,0)</f>
        <v>1.11938492563649</v>
      </c>
      <c r="K29" s="51" t="n">
        <f aca="false">I29+J29</f>
        <v>99.3193849256365</v>
      </c>
      <c r="L29" s="51" t="n">
        <f aca="false">F29-(I29-W29)</f>
        <v>1.11938492563649</v>
      </c>
      <c r="M29" s="87"/>
      <c r="N29" s="51"/>
      <c r="O29" s="51"/>
      <c r="P29" s="6"/>
      <c r="Q29" s="51"/>
      <c r="R29" s="51"/>
      <c r="S29" s="51" t="n">
        <f aca="false">9/1.9835</f>
        <v>4.53743382908999</v>
      </c>
      <c r="T29" s="52"/>
      <c r="U29" s="51"/>
      <c r="V29" s="51" t="n">
        <f aca="false">99/1.9835</f>
        <v>49.9117721199899</v>
      </c>
      <c r="W29" s="6" t="n">
        <f aca="false">N29+O29+S29+U29+V29</f>
        <v>54.4492059490799</v>
      </c>
      <c r="X29" s="51" t="n">
        <f aca="false">IF(L29&lt;0,L29*-1,0)</f>
        <v>0</v>
      </c>
      <c r="Y29" s="51" t="n">
        <f aca="false">W29+X29</f>
        <v>54.4492059490799</v>
      </c>
      <c r="Z29" s="56" t="n">
        <v>0</v>
      </c>
      <c r="AA29" s="82" t="n">
        <v>51</v>
      </c>
      <c r="AB29" s="57" t="n">
        <v>24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6858.07</v>
      </c>
      <c r="C30" s="52" t="n">
        <v>158720</v>
      </c>
      <c r="D30" s="57" t="n">
        <f aca="false">C30-C29</f>
        <v>68</v>
      </c>
      <c r="E30" s="52" t="n">
        <f aca="false">C30-152000</f>
        <v>6720</v>
      </c>
      <c r="F30" s="51" t="n">
        <f aca="false">D30/$D$2</f>
        <v>34.2828333753466</v>
      </c>
      <c r="G30" s="51" t="n">
        <v>100</v>
      </c>
      <c r="H30" s="56" t="n">
        <v>3.4</v>
      </c>
      <c r="I30" s="51" t="n">
        <f aca="false">G30+H30</f>
        <v>103.4</v>
      </c>
      <c r="J30" s="81" t="n">
        <f aca="false">IF(L30&gt;0,L30,0)</f>
        <v>0</v>
      </c>
      <c r="K30" s="51" t="n">
        <f aca="false">I30+J30</f>
        <v>103.4</v>
      </c>
      <c r="L30" s="51" t="n">
        <f aca="false">F30-(I30-W30)</f>
        <v>-12.1471641038568</v>
      </c>
      <c r="M30" s="87"/>
      <c r="N30" s="51"/>
      <c r="O30" s="51"/>
      <c r="P30" s="6"/>
      <c r="Q30" s="51"/>
      <c r="R30" s="51"/>
      <c r="S30" s="51" t="n">
        <f aca="false">13/1.9835</f>
        <v>6.55407108646332</v>
      </c>
      <c r="T30" s="52"/>
      <c r="U30" s="51"/>
      <c r="V30" s="51" t="n">
        <f aca="false">100/1.9835</f>
        <v>50.4159314343332</v>
      </c>
      <c r="W30" s="6" t="n">
        <f aca="false">N30+O30+S30+U30+V30</f>
        <v>56.9700025207966</v>
      </c>
      <c r="X30" s="51" t="n">
        <f aca="false">IF(L30&lt;0,L30*-1,0)</f>
        <v>12.1471641038568</v>
      </c>
      <c r="Y30" s="51" t="n">
        <f aca="false">W30+X30</f>
        <v>69.1171666246534</v>
      </c>
      <c r="Z30" s="56" t="n">
        <v>0</v>
      </c>
      <c r="AA30" s="57" t="n">
        <v>52</v>
      </c>
      <c r="AB30" s="57" t="n">
        <v>18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6858.1</v>
      </c>
      <c r="C31" s="52" t="n">
        <v>158787</v>
      </c>
      <c r="D31" s="57" t="n">
        <f aca="false">C31-C30</f>
        <v>67</v>
      </c>
      <c r="E31" s="52" t="n">
        <f aca="false">C31-152000</f>
        <v>6787</v>
      </c>
      <c r="F31" s="51" t="n">
        <f aca="false">D31/$D$2</f>
        <v>33.7786740610033</v>
      </c>
      <c r="G31" s="51" t="n">
        <v>90</v>
      </c>
      <c r="H31" s="56" t="n">
        <v>3.4</v>
      </c>
      <c r="I31" s="51" t="n">
        <f aca="false">G31+H31</f>
        <v>93.4</v>
      </c>
      <c r="J31" s="81" t="n">
        <f aca="false">IF(L31&gt;0,L31,0)</f>
        <v>0</v>
      </c>
      <c r="K31" s="51" t="n">
        <f aca="false">I31+J31</f>
        <v>93.4</v>
      </c>
      <c r="L31" s="51" t="n">
        <f aca="false">F31-(I31-W31)</f>
        <v>-4.66796067557349</v>
      </c>
      <c r="M31" s="87"/>
      <c r="N31" s="51"/>
      <c r="O31" s="51"/>
      <c r="P31" s="6"/>
      <c r="Q31" s="51"/>
      <c r="R31" s="51"/>
      <c r="S31" s="51" t="n">
        <f aca="false">9/1.9835</f>
        <v>4.53743382908999</v>
      </c>
      <c r="T31" s="52"/>
      <c r="U31" s="51"/>
      <c r="V31" s="51" t="n">
        <f aca="false">100/1.9835</f>
        <v>50.4159314343332</v>
      </c>
      <c r="W31" s="6" t="n">
        <f aca="false">N31+O31+S31+U31+V31</f>
        <v>54.9533652634232</v>
      </c>
      <c r="X31" s="51" t="n">
        <f aca="false">IF(L31&lt;0,L31*-1,0)</f>
        <v>4.66796067557349</v>
      </c>
      <c r="Y31" s="51" t="n">
        <f aca="false">W31+X31</f>
        <v>59.6213259389967</v>
      </c>
      <c r="Z31" s="56" t="n">
        <v>0</v>
      </c>
      <c r="AA31" s="57" t="n">
        <v>54</v>
      </c>
      <c r="AB31" s="57" t="n">
        <v>18</v>
      </c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6858.13</v>
      </c>
      <c r="C32" s="52" t="n">
        <v>158854</v>
      </c>
      <c r="D32" s="57" t="n">
        <f aca="false">C32-C31</f>
        <v>67</v>
      </c>
      <c r="E32" s="52" t="n">
        <f aca="false">C32-152000</f>
        <v>6854</v>
      </c>
      <c r="F32" s="51" t="n">
        <f aca="false">D32/$D$2</f>
        <v>33.7786740610033</v>
      </c>
      <c r="G32" s="51" t="n">
        <v>90</v>
      </c>
      <c r="H32" s="56" t="n">
        <v>3.2</v>
      </c>
      <c r="I32" s="51" t="n">
        <f aca="false">G32+H32</f>
        <v>93.2</v>
      </c>
      <c r="J32" s="81" t="n">
        <f aca="false">IF(L32&gt;0,L32,0)</f>
        <v>0</v>
      </c>
      <c r="K32" s="51" t="n">
        <f aca="false">I32+J32</f>
        <v>93.2</v>
      </c>
      <c r="L32" s="51" t="n">
        <f aca="false">F32-(I32-W32)</f>
        <v>-4.46796067557349</v>
      </c>
      <c r="M32" s="87"/>
      <c r="N32" s="51"/>
      <c r="O32" s="51"/>
      <c r="P32" s="6"/>
      <c r="Q32" s="51"/>
      <c r="R32" s="51"/>
      <c r="S32" s="51" t="n">
        <f aca="false">9/1.9835</f>
        <v>4.53743382908999</v>
      </c>
      <c r="T32" s="52"/>
      <c r="U32" s="51"/>
      <c r="V32" s="51" t="n">
        <f aca="false">100/1.9835</f>
        <v>50.4159314343332</v>
      </c>
      <c r="W32" s="6" t="n">
        <f aca="false">N32+O32+S32+U32+V32</f>
        <v>54.9533652634232</v>
      </c>
      <c r="X32" s="51" t="n">
        <f aca="false">IF(L32&lt;0,L32*-1,0)</f>
        <v>4.46796067557349</v>
      </c>
      <c r="Y32" s="51" t="n">
        <f aca="false">W32+X32</f>
        <v>59.4213259389967</v>
      </c>
      <c r="Z32" s="56" t="n">
        <v>0</v>
      </c>
      <c r="AA32" s="57" t="n">
        <v>56</v>
      </c>
      <c r="AB32" s="82" t="n">
        <v>20</v>
      </c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6858.17</v>
      </c>
      <c r="C33" s="52" t="n">
        <v>158944</v>
      </c>
      <c r="D33" s="57" t="n">
        <f aca="false">C33-C32</f>
        <v>90</v>
      </c>
      <c r="E33" s="52" t="n">
        <f aca="false">C33-152000</f>
        <v>6944</v>
      </c>
      <c r="F33" s="51" t="n">
        <f aca="false">D33/$D$2</f>
        <v>45.3743382908999</v>
      </c>
      <c r="G33" s="51" t="n">
        <v>90</v>
      </c>
      <c r="H33" s="56" t="n">
        <v>3.6</v>
      </c>
      <c r="I33" s="51" t="n">
        <f aca="false">G33+H33</f>
        <v>93.6</v>
      </c>
      <c r="J33" s="81" t="n">
        <f aca="false">IF(L33&gt;0,L33,0)</f>
        <v>7.2318628686665</v>
      </c>
      <c r="K33" s="51" t="n">
        <f aca="false">I33+J33</f>
        <v>100.831862868667</v>
      </c>
      <c r="L33" s="51" t="n">
        <f aca="false">F33-(I33-W33)</f>
        <v>7.2318628686665</v>
      </c>
      <c r="M33" s="87"/>
      <c r="N33" s="51"/>
      <c r="O33" s="51"/>
      <c r="P33" s="6"/>
      <c r="Q33" s="51"/>
      <c r="R33" s="51"/>
      <c r="S33" s="51" t="n">
        <f aca="false">9/1.9835</f>
        <v>4.53743382908999</v>
      </c>
      <c r="T33" s="52"/>
      <c r="U33" s="51"/>
      <c r="V33" s="51" t="n">
        <f aca="false">101/1.9835</f>
        <v>50.9200907486766</v>
      </c>
      <c r="W33" s="6" t="n">
        <f aca="false">N33+O33+S33+U33+V33</f>
        <v>55.4575245777666</v>
      </c>
      <c r="X33" s="51" t="n">
        <f aca="false">IF(L33&lt;0,L33*-1,0)</f>
        <v>0</v>
      </c>
      <c r="Y33" s="51" t="n">
        <f aca="false">W33+X33</f>
        <v>55.4575245777666</v>
      </c>
      <c r="Z33" s="56" t="n">
        <v>0</v>
      </c>
      <c r="AA33" s="57" t="n">
        <v>52</v>
      </c>
      <c r="AB33" s="82" t="n">
        <v>16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6858.2</v>
      </c>
      <c r="C34" s="52" t="n">
        <v>159001</v>
      </c>
      <c r="D34" s="57" t="n">
        <f aca="false">C34-C33</f>
        <v>57</v>
      </c>
      <c r="E34" s="52" t="n">
        <f aca="false">C34-152000</f>
        <v>7001</v>
      </c>
      <c r="F34" s="51" t="n">
        <f aca="false">D34/$D$2</f>
        <v>28.7370809175699</v>
      </c>
      <c r="G34" s="51" t="n">
        <v>80</v>
      </c>
      <c r="H34" s="56" t="n">
        <v>3.2</v>
      </c>
      <c r="I34" s="51" t="n">
        <f aca="false">G34+H34</f>
        <v>83.2</v>
      </c>
      <c r="J34" s="81" t="n">
        <f aca="false">IF(L34&gt;0,L34,0)</f>
        <v>2.50708343836652</v>
      </c>
      <c r="K34" s="51" t="n">
        <f aca="false">I34+J34</f>
        <v>85.7070834383665</v>
      </c>
      <c r="L34" s="51" t="n">
        <f aca="false">F34-(I34-W34)</f>
        <v>2.50708343836652</v>
      </c>
      <c r="M34" s="87"/>
      <c r="N34" s="51"/>
      <c r="O34" s="51"/>
      <c r="P34" s="6"/>
      <c r="Q34" s="51"/>
      <c r="R34" s="51"/>
      <c r="S34" s="51" t="n">
        <f aca="false">9/1.9835</f>
        <v>4.53743382908999</v>
      </c>
      <c r="T34" s="52"/>
      <c r="U34" s="51"/>
      <c r="V34" s="51" t="n">
        <f aca="false">104/1.9835</f>
        <v>52.4325686917066</v>
      </c>
      <c r="W34" s="6" t="n">
        <f aca="false">N34+O34+S34+U34+V34</f>
        <v>56.9700025207966</v>
      </c>
      <c r="X34" s="51" t="n">
        <f aca="false">IF(L34&lt;0,L34*-1,0)</f>
        <v>0</v>
      </c>
      <c r="Y34" s="51" t="n">
        <f aca="false">W34+X34</f>
        <v>56.9700025207966</v>
      </c>
      <c r="Z34" s="56" t="n">
        <v>0</v>
      </c>
      <c r="AA34" s="57"/>
      <c r="AB34" s="82"/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6858.23</v>
      </c>
      <c r="C35" s="52" t="n">
        <v>159078</v>
      </c>
      <c r="D35" s="57" t="n">
        <f aca="false">C35-C34</f>
        <v>77</v>
      </c>
      <c r="E35" s="52" t="n">
        <f aca="false">C35-152000</f>
        <v>7078</v>
      </c>
      <c r="F35" s="51" t="n">
        <f aca="false">D35/$D$2</f>
        <v>38.8202672044366</v>
      </c>
      <c r="G35" s="51" t="n">
        <v>80</v>
      </c>
      <c r="H35" s="56" t="n">
        <v>3</v>
      </c>
      <c r="I35" s="51" t="n">
        <f aca="false">G35+H35</f>
        <v>83</v>
      </c>
      <c r="J35" s="81" t="n">
        <f aca="false">IF(L35&gt;0,L35,0)</f>
        <v>13.7985883539198</v>
      </c>
      <c r="K35" s="51" t="n">
        <f aca="false">I35+J35</f>
        <v>96.7985883539198</v>
      </c>
      <c r="L35" s="51" t="n">
        <f aca="false">F35-(I35-W35)</f>
        <v>13.7985883539198</v>
      </c>
      <c r="M35" s="87"/>
      <c r="N35" s="51"/>
      <c r="O35" s="51"/>
      <c r="P35" s="6"/>
      <c r="Q35" s="51"/>
      <c r="R35" s="51"/>
      <c r="S35" s="51" t="n">
        <f aca="false">9/1.9835</f>
        <v>4.53743382908999</v>
      </c>
      <c r="T35" s="52"/>
      <c r="U35" s="51"/>
      <c r="V35" s="51" t="n">
        <f aca="false">106/1.9835</f>
        <v>53.4408873203932</v>
      </c>
      <c r="W35" s="6" t="n">
        <f aca="false">N35+O35+S35+U35+V35</f>
        <v>57.9783211494832</v>
      </c>
      <c r="X35" s="51" t="n">
        <f aca="false">IF(L35&lt;0,L35*-1,0)</f>
        <v>0</v>
      </c>
      <c r="Y35" s="51" t="n">
        <f aca="false">W35+X35</f>
        <v>57.9783211494832</v>
      </c>
      <c r="Z35" s="56" t="n">
        <v>0</v>
      </c>
      <c r="AA35" s="57"/>
      <c r="AB35" s="57"/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6858.26</v>
      </c>
      <c r="C36" s="52" t="n">
        <v>159145</v>
      </c>
      <c r="D36" s="57" t="n">
        <f aca="false">C36-C35</f>
        <v>67</v>
      </c>
      <c r="E36" s="52" t="n">
        <f aca="false">C36-152000</f>
        <v>7145</v>
      </c>
      <c r="F36" s="51" t="n">
        <f aca="false">D36/$D$2</f>
        <v>33.7786740610033</v>
      </c>
      <c r="G36" s="51" t="n">
        <v>90</v>
      </c>
      <c r="H36" s="56" t="n">
        <v>3.2</v>
      </c>
      <c r="I36" s="51" t="n">
        <f aca="false">G36+H36</f>
        <v>93.2</v>
      </c>
      <c r="J36" s="81" t="n">
        <f aca="false">IF(L36&gt;0,L36,0)</f>
        <v>0</v>
      </c>
      <c r="K36" s="51" t="n">
        <f aca="false">I36+J36</f>
        <v>93.2</v>
      </c>
      <c r="L36" s="51" t="n">
        <f aca="false">F36-(I36-W36)</f>
        <v>-1.94716410385682</v>
      </c>
      <c r="M36" s="87"/>
      <c r="N36" s="51"/>
      <c r="O36" s="51"/>
      <c r="P36" s="6"/>
      <c r="Q36" s="51"/>
      <c r="R36" s="51"/>
      <c r="S36" s="51" t="n">
        <f aca="false">9/1.9835</f>
        <v>4.53743382908999</v>
      </c>
      <c r="T36" s="52"/>
      <c r="U36" s="51"/>
      <c r="V36" s="51" t="n">
        <f aca="false">105/1.9835</f>
        <v>52.9367280060499</v>
      </c>
      <c r="W36" s="6" t="n">
        <f aca="false">N36+O36+S36+U36+V36</f>
        <v>57.4741618351399</v>
      </c>
      <c r="X36" s="51" t="n">
        <f aca="false">IF(L36&lt;0,L36*-1,0)</f>
        <v>1.94716410385682</v>
      </c>
      <c r="Y36" s="51" t="n">
        <f aca="false">W36+X36</f>
        <v>59.4213259389967</v>
      </c>
      <c r="Z36" s="56" t="n">
        <v>0</v>
      </c>
      <c r="AA36" s="57" t="n">
        <v>46</v>
      </c>
      <c r="AB36" s="57" t="n">
        <v>10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6858.27</v>
      </c>
      <c r="C37" s="52" t="n">
        <v>159168</v>
      </c>
      <c r="D37" s="57" t="n">
        <f aca="false">C37-C36</f>
        <v>23</v>
      </c>
      <c r="E37" s="52" t="n">
        <f aca="false">C37-152000</f>
        <v>7168</v>
      </c>
      <c r="F37" s="51" t="n">
        <f aca="false">D37/$D$2</f>
        <v>11.5956642298966</v>
      </c>
      <c r="G37" s="51" t="n">
        <v>90</v>
      </c>
      <c r="H37" s="56" t="n">
        <v>3.4</v>
      </c>
      <c r="I37" s="51" t="n">
        <f aca="false">G37+H37</f>
        <v>93.4</v>
      </c>
      <c r="J37" s="81" t="n">
        <f aca="false">IF(L37&gt;0,L37,0)</f>
        <v>0</v>
      </c>
      <c r="K37" s="51" t="n">
        <f aca="false">I37+J37</f>
        <v>93.4</v>
      </c>
      <c r="L37" s="51" t="n">
        <f aca="false">F37-(I37-W37)</f>
        <v>-24.8343332493068</v>
      </c>
      <c r="M37" s="87"/>
      <c r="N37" s="51"/>
      <c r="O37" s="51"/>
      <c r="P37" s="6"/>
      <c r="Q37" s="51"/>
      <c r="R37" s="51"/>
      <c r="S37" s="51" t="n">
        <f aca="false">9/1.9835</f>
        <v>4.53743382908999</v>
      </c>
      <c r="T37" s="52"/>
      <c r="U37" s="51"/>
      <c r="V37" s="51" t="n">
        <f aca="false">104/1.9835</f>
        <v>52.4325686917066</v>
      </c>
      <c r="W37" s="6" t="n">
        <f aca="false">N37+O37+S37+U37+V37</f>
        <v>56.9700025207966</v>
      </c>
      <c r="X37" s="51" t="n">
        <f aca="false">IF(L37&lt;0,L37*-1,0)</f>
        <v>24.8343332493068</v>
      </c>
      <c r="Y37" s="51" t="n">
        <f aca="false">W37+X37</f>
        <v>81.8043357701034</v>
      </c>
      <c r="Z37" s="56" t="n">
        <v>0</v>
      </c>
      <c r="AA37" s="57" t="n">
        <v>46</v>
      </c>
      <c r="AB37" s="57" t="n">
        <v>15</v>
      </c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6858.32</v>
      </c>
      <c r="C38" s="52" t="n">
        <v>159280</v>
      </c>
      <c r="D38" s="57" t="n">
        <f aca="false">C38-C37</f>
        <v>112</v>
      </c>
      <c r="E38" s="52" t="n">
        <f aca="false">C38-152000</f>
        <v>7280</v>
      </c>
      <c r="F38" s="51" t="n">
        <f aca="false">D38/$D$2</f>
        <v>56.4658432064532</v>
      </c>
      <c r="G38" s="51" t="n">
        <v>100</v>
      </c>
      <c r="H38" s="56" t="n">
        <v>3.4</v>
      </c>
      <c r="I38" s="51" t="n">
        <f aca="false">G38+H38</f>
        <v>103.4</v>
      </c>
      <c r="J38" s="81" t="n">
        <f aca="false">IF(L38&gt;0,L38,0)</f>
        <v>25.6647844718931</v>
      </c>
      <c r="K38" s="51" t="n">
        <f aca="false">I38+J38</f>
        <v>129.064784471893</v>
      </c>
      <c r="L38" s="51" t="n">
        <f aca="false">F38-(I38-W38)</f>
        <v>25.6647844718931</v>
      </c>
      <c r="M38" s="87"/>
      <c r="N38" s="51"/>
      <c r="O38" s="51"/>
      <c r="P38" s="6"/>
      <c r="Q38" s="51"/>
      <c r="R38" s="51"/>
      <c r="S38" s="51" t="n">
        <f aca="false">40/1.9835</f>
        <v>20.1663725737333</v>
      </c>
      <c r="T38" s="52"/>
      <c r="U38" s="51"/>
      <c r="V38" s="51" t="n">
        <f aca="false">104/1.9835</f>
        <v>52.4325686917066</v>
      </c>
      <c r="W38" s="6" t="n">
        <f aca="false">N38+O38+S38+U38+V38</f>
        <v>72.5989412654399</v>
      </c>
      <c r="X38" s="51" t="n">
        <f aca="false">IF(L38&lt;0,L38*-1,0)</f>
        <v>0</v>
      </c>
      <c r="Y38" s="51" t="n">
        <f aca="false">W38+X38</f>
        <v>72.5989412654399</v>
      </c>
      <c r="Z38" s="56" t="n">
        <v>0</v>
      </c>
      <c r="AA38" s="82" t="n">
        <v>48</v>
      </c>
      <c r="AB38" s="57" t="n">
        <v>18</v>
      </c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6858.36</v>
      </c>
      <c r="C39" s="52" t="n">
        <v>159369</v>
      </c>
      <c r="D39" s="57" t="n">
        <f aca="false">C39-C38</f>
        <v>89</v>
      </c>
      <c r="E39" s="52" t="n">
        <f aca="false">C39-152000</f>
        <v>7369</v>
      </c>
      <c r="F39" s="51" t="n">
        <f aca="false">D39/$D$2</f>
        <v>44.8701789765566</v>
      </c>
      <c r="G39" s="51" t="n">
        <v>110</v>
      </c>
      <c r="H39" s="56" t="n">
        <v>3.6</v>
      </c>
      <c r="I39" s="51" t="n">
        <f aca="false">G39+H39</f>
        <v>113.6</v>
      </c>
      <c r="J39" s="81" t="n">
        <f aca="false">IF(L39&gt;0,L39,0)</f>
        <v>7.90239475674314</v>
      </c>
      <c r="K39" s="51" t="n">
        <f aca="false">I39+J39</f>
        <v>121.502394756743</v>
      </c>
      <c r="L39" s="51" t="n">
        <f aca="false">F39-(I39-W39)</f>
        <v>7.90239475674314</v>
      </c>
      <c r="M39" s="87"/>
      <c r="N39" s="51"/>
      <c r="O39" s="51"/>
      <c r="P39" s="6"/>
      <c r="Q39" s="51"/>
      <c r="R39" s="51"/>
      <c r="S39" s="51" t="n">
        <f aca="false">48/1.9835</f>
        <v>24.19964708848</v>
      </c>
      <c r="T39" s="52"/>
      <c r="U39" s="51"/>
      <c r="V39" s="51" t="n">
        <f aca="false">104/1.9835</f>
        <v>52.4325686917066</v>
      </c>
      <c r="W39" s="6" t="n">
        <f aca="false">N39+O39+S39+U39+V39</f>
        <v>76.6322157801865</v>
      </c>
      <c r="X39" s="51" t="n">
        <f aca="false">IF(L39&lt;0,L39*-1,0)</f>
        <v>0</v>
      </c>
      <c r="Y39" s="51" t="n">
        <f aca="false">W39+X39</f>
        <v>76.6322157801865</v>
      </c>
      <c r="Z39" s="56" t="n">
        <v>0</v>
      </c>
      <c r="AA39" s="82" t="n">
        <v>58</v>
      </c>
      <c r="AB39" s="57" t="n">
        <v>17</v>
      </c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6858.4</v>
      </c>
      <c r="C40" s="52" t="n">
        <v>159459</v>
      </c>
      <c r="D40" s="57" t="n">
        <f aca="false">C40-C39</f>
        <v>90</v>
      </c>
      <c r="E40" s="52" t="n">
        <f aca="false">C40-152000</f>
        <v>7459</v>
      </c>
      <c r="F40" s="51" t="n">
        <f aca="false">D40/$D$2</f>
        <v>45.3743382908999</v>
      </c>
      <c r="G40" s="51" t="n">
        <v>110</v>
      </c>
      <c r="H40" s="56" t="n">
        <v>3.6</v>
      </c>
      <c r="I40" s="51" t="n">
        <f aca="false">G40+H40</f>
        <v>113.6</v>
      </c>
      <c r="J40" s="81" t="n">
        <f aca="false">IF(L40&gt;0,L40,0)</f>
        <v>6.89407612805646</v>
      </c>
      <c r="K40" s="51" t="n">
        <f aca="false">I40+J40</f>
        <v>120.494076128056</v>
      </c>
      <c r="L40" s="51" t="n">
        <f aca="false">F40-(I40-W40)</f>
        <v>6.89407612805646</v>
      </c>
      <c r="M40" s="87"/>
      <c r="N40" s="51"/>
      <c r="O40" s="51"/>
      <c r="P40" s="6"/>
      <c r="Q40" s="51"/>
      <c r="R40" s="51"/>
      <c r="S40" s="51" t="n">
        <f aca="false">48/1.9835</f>
        <v>24.19964708848</v>
      </c>
      <c r="T40" s="52"/>
      <c r="U40" s="51"/>
      <c r="V40" s="51" t="n">
        <f aca="false">101/1.9835</f>
        <v>50.9200907486766</v>
      </c>
      <c r="W40" s="6" t="n">
        <f aca="false">N40+O40+S40+U40+V40</f>
        <v>75.1197378371565</v>
      </c>
      <c r="X40" s="51" t="n">
        <f aca="false">IF(L40&lt;0,L40*-1,0)</f>
        <v>0</v>
      </c>
      <c r="Y40" s="51" t="n">
        <f aca="false">W40+X40</f>
        <v>75.1197378371565</v>
      </c>
      <c r="Z40" s="56" t="n">
        <v>0.05</v>
      </c>
      <c r="AA40" s="82" t="n">
        <v>57</v>
      </c>
      <c r="AB40" s="57" t="n">
        <v>28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83"/>
      <c r="C41" s="76"/>
      <c r="D41" s="74"/>
      <c r="E41" s="76"/>
      <c r="F41" s="74"/>
      <c r="G41" s="83"/>
      <c r="H41" s="78"/>
      <c r="I41" s="74"/>
      <c r="J41" s="74"/>
      <c r="K41" s="74"/>
      <c r="L41" s="74"/>
      <c r="M41" s="96"/>
      <c r="N41" s="83"/>
      <c r="O41" s="74"/>
      <c r="P41" s="74"/>
      <c r="Q41" s="74"/>
      <c r="R41" s="74"/>
      <c r="S41" s="74"/>
      <c r="T41" s="76"/>
      <c r="U41" s="74"/>
      <c r="V41" s="83"/>
      <c r="W41" s="74"/>
      <c r="X41" s="74"/>
      <c r="Y41" s="74"/>
      <c r="Z41" s="78"/>
      <c r="AA41" s="79" t="n">
        <v>39</v>
      </c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1189.81598185026</v>
      </c>
      <c r="G42" s="52" t="n">
        <f aca="false">SUM(G10:G40)</f>
        <v>2790</v>
      </c>
      <c r="H42" s="56" t="n">
        <f aca="false">SUM(H10:H40)</f>
        <v>98.2</v>
      </c>
      <c r="I42" s="52" t="n">
        <f aca="false">SUM(I10:I40)</f>
        <v>2580.4</v>
      </c>
      <c r="J42" s="52" t="n">
        <f aca="false">SUM(J10:J40)</f>
        <v>553.594605495336</v>
      </c>
      <c r="K42" s="52" t="n">
        <f aca="false">SUM(K10:K40)</f>
        <v>3133.99460549534</v>
      </c>
      <c r="L42" s="52" t="n">
        <f aca="false">SUM(L10:L40)</f>
        <v>415.314645828081</v>
      </c>
      <c r="M42" s="87" t="n">
        <f aca="false">SUM(M10:M40)</f>
        <v>0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0</v>
      </c>
      <c r="Q42" s="52" t="n">
        <f aca="false">SUM(Q10:Q40)</f>
        <v>0</v>
      </c>
      <c r="R42" s="52" t="n">
        <f aca="false">SUM(R10:R40)</f>
        <v>0</v>
      </c>
      <c r="S42" s="52" t="n">
        <f aca="false">SUM(S10:S40)</f>
        <v>211.242752709856</v>
      </c>
      <c r="T42" s="52"/>
      <c r="U42" s="52" t="n">
        <f aca="false">SUM(U10:U40)</f>
        <v>0</v>
      </c>
      <c r="V42" s="52" t="n">
        <f aca="false">SUM(V10:V40)</f>
        <v>1594.65591126796</v>
      </c>
      <c r="W42" s="52" t="n">
        <f aca="false">SUM(W10:W40)</f>
        <v>1805.89866397782</v>
      </c>
      <c r="X42" s="52" t="n">
        <f aca="false">SUM(X10:X40)</f>
        <v>138.279959667255</v>
      </c>
      <c r="Y42" s="52" t="n">
        <f aca="false">SUM(Y10:Y40)</f>
        <v>1944.17862364507</v>
      </c>
      <c r="Z42" s="56" t="n">
        <f aca="false">SUM(Z10:Z40)</f>
        <v>0.85</v>
      </c>
      <c r="AA42" s="57" t="n">
        <f aca="false">AVERAGE(AA10:AA40)</f>
        <v>47.1304347826087</v>
      </c>
      <c r="AB42" s="57" t="n">
        <f aca="false">AVERAGE(AB10:AB40)</f>
        <v>15.1739130434783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2360</v>
      </c>
      <c r="E43" s="52"/>
      <c r="F43" s="52" t="n">
        <f aca="false">F42*$D$2</f>
        <v>2360</v>
      </c>
      <c r="G43" s="52" t="n">
        <f aca="false">G42*$D$2</f>
        <v>5533.965</v>
      </c>
      <c r="H43" s="56" t="n">
        <f aca="false">H42*$D$2</f>
        <v>194.7797</v>
      </c>
      <c r="I43" s="52" t="n">
        <f aca="false">I42*$D$2</f>
        <v>5118.2234</v>
      </c>
      <c r="J43" s="52" t="n">
        <f aca="false">J42*$D$2</f>
        <v>1098.0549</v>
      </c>
      <c r="K43" s="52" t="n">
        <f aca="false">K42*$D$2</f>
        <v>6216.2783</v>
      </c>
      <c r="L43" s="52" t="n">
        <f aca="false">L42*$D$2</f>
        <v>823.7766</v>
      </c>
      <c r="M43" s="87" t="n">
        <f aca="false">M42*$D$2</f>
        <v>0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0</v>
      </c>
      <c r="Q43" s="52" t="n">
        <f aca="false">Q42*$D$2</f>
        <v>0</v>
      </c>
      <c r="R43" s="52" t="n">
        <f aca="false">R42*$D$2</f>
        <v>0</v>
      </c>
      <c r="S43" s="52" t="n">
        <f aca="false">S42*$D$2</f>
        <v>419</v>
      </c>
      <c r="T43" s="52"/>
      <c r="U43" s="52" t="n">
        <f aca="false">U42*$D$2</f>
        <v>0</v>
      </c>
      <c r="V43" s="52" t="n">
        <f aca="false">V42*$D$2</f>
        <v>3163</v>
      </c>
      <c r="W43" s="52" t="n">
        <f aca="false">W42*$D$2</f>
        <v>3582</v>
      </c>
      <c r="X43" s="52" t="n">
        <f aca="false">X42*$D$2</f>
        <v>274.2783</v>
      </c>
      <c r="Y43" s="52" t="n">
        <f aca="false">Y42*$D$2</f>
        <v>3856.2783</v>
      </c>
      <c r="Z43" s="56"/>
      <c r="AA43" s="57" t="n">
        <f aca="false">MAX(AA10:AA40)</f>
        <v>58</v>
      </c>
      <c r="AB43" s="57" t="n">
        <f aca="false">MAX(AB10:AB40)</f>
        <v>28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95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56"/>
      <c r="I45" s="52"/>
      <c r="J45" s="52"/>
      <c r="K45" s="52"/>
      <c r="L45" s="52"/>
      <c r="M45" s="87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35</v>
      </c>
      <c r="AB45" s="57" t="n">
        <f aca="false">MIN(AB10:AB40)</f>
        <v>-2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56"/>
      <c r="I46" s="52"/>
      <c r="J46" s="52"/>
      <c r="K46" s="52"/>
      <c r="L46" s="52"/>
      <c r="M46" s="87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8"/>
      <c r="I47" s="76"/>
      <c r="J47" s="76"/>
      <c r="K47" s="76"/>
      <c r="L47" s="76"/>
      <c r="M47" s="95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3738.34131585581</v>
      </c>
      <c r="G48" s="52" t="n">
        <f aca="false">G8+G42</f>
        <v>9735</v>
      </c>
      <c r="H48" s="56" t="n">
        <f aca="false">H8+H42</f>
        <v>294</v>
      </c>
      <c r="I48" s="52" t="n">
        <f aca="false">I8+I42</f>
        <v>9721.2</v>
      </c>
      <c r="J48" s="52" t="n">
        <f aca="false">J8+J42</f>
        <v>1996.32767834636</v>
      </c>
      <c r="K48" s="52" t="n">
        <f aca="false">K8+K42</f>
        <v>11717.5276783464</v>
      </c>
      <c r="L48" s="52" t="n">
        <f aca="false">L8+L42</f>
        <v>1048.65127300227</v>
      </c>
      <c r="M48" s="87" t="n">
        <f aca="false">M8+M42</f>
        <v>0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0</v>
      </c>
      <c r="Q48" s="52" t="n">
        <f aca="false">Q8+Q42</f>
        <v>0</v>
      </c>
      <c r="R48" s="52" t="n">
        <f aca="false">R8+R42</f>
        <v>0</v>
      </c>
      <c r="S48" s="52" t="n">
        <f aca="false">S8+S42</f>
        <v>1782.70733551802</v>
      </c>
      <c r="T48" s="52"/>
      <c r="U48" s="52" t="n">
        <f aca="false">U8+U42</f>
        <v>0</v>
      </c>
      <c r="V48" s="52" t="n">
        <f aca="false">V8+V42</f>
        <v>5248.80262162843</v>
      </c>
      <c r="W48" s="52" t="n">
        <f aca="false">W8+W42</f>
        <v>7031.50995714646</v>
      </c>
      <c r="X48" s="52" t="n">
        <f aca="false">X8+X42</f>
        <v>947.676405344089</v>
      </c>
      <c r="Y48" s="52" t="n">
        <f aca="false">Y8+Y42</f>
        <v>7979.18636249055</v>
      </c>
      <c r="Z48" s="56" t="n">
        <f aca="false">Z8+Z42</f>
        <v>7.01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7415</v>
      </c>
      <c r="E49" s="52" t="n">
        <f aca="false">E40</f>
        <v>7459</v>
      </c>
      <c r="F49" s="52" t="n">
        <f aca="false">F48*$D$2</f>
        <v>7415</v>
      </c>
      <c r="G49" s="52" t="n">
        <f aca="false">G48*$D$2</f>
        <v>19309.3725</v>
      </c>
      <c r="H49" s="56" t="n">
        <f aca="false">H48*$D$2</f>
        <v>583.149</v>
      </c>
      <c r="I49" s="52" t="n">
        <f aca="false">I48*$D$2</f>
        <v>19282.0002</v>
      </c>
      <c r="J49" s="52" t="n">
        <f aca="false">J48*$D$2</f>
        <v>3959.71595</v>
      </c>
      <c r="K49" s="52" t="n">
        <f aca="false">K48*$D$2</f>
        <v>23241.71615</v>
      </c>
      <c r="L49" s="52" t="n">
        <f aca="false">L48*$D$2</f>
        <v>2079.9998</v>
      </c>
      <c r="M49" s="87" t="n">
        <f aca="false">M48*$D$2</f>
        <v>0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0</v>
      </c>
      <c r="Q49" s="52" t="n">
        <f aca="false">Q48*$D$2</f>
        <v>0</v>
      </c>
      <c r="R49" s="52" t="n">
        <f aca="false">R48*$D$2</f>
        <v>0</v>
      </c>
      <c r="S49" s="52" t="n">
        <f aca="false">S48*$D$2</f>
        <v>3536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10411</v>
      </c>
      <c r="W49" s="52" t="n">
        <f aca="false">W48*$D$2</f>
        <v>13947</v>
      </c>
      <c r="X49" s="52" t="n">
        <f aca="false">X48*$D$2</f>
        <v>1879.71615</v>
      </c>
      <c r="Y49" s="52" t="n">
        <f aca="false">Y48*$D$2</f>
        <v>15826.71615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8"/>
      <c r="I50" s="74"/>
      <c r="J50" s="74"/>
      <c r="K50" s="74"/>
      <c r="L50" s="74"/>
      <c r="M50" s="95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56"/>
      <c r="I51" s="51"/>
      <c r="J51" s="51"/>
      <c r="K51" s="51"/>
      <c r="L51" s="51"/>
      <c r="M51" s="87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56"/>
      <c r="I52" s="53"/>
      <c r="J52" s="51"/>
      <c r="K52" s="42"/>
      <c r="L52" s="51"/>
      <c r="M52" s="87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56"/>
      <c r="I53" s="82"/>
      <c r="J53" s="82"/>
      <c r="K53" s="82"/>
      <c r="L53" s="82"/>
      <c r="M53" s="87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7"/>
      <c r="AE53" s="97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56"/>
      <c r="I54" s="82"/>
      <c r="J54" s="82"/>
      <c r="K54" s="82"/>
      <c r="L54" s="82"/>
      <c r="M54" s="87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6"/>
      <c r="I55" s="82"/>
      <c r="J55" s="82"/>
      <c r="K55" s="82"/>
      <c r="L55" s="82"/>
      <c r="M55" s="87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18" activePane="bottomRight" state="frozen"/>
      <selection pane="topLeft" activeCell="A1" activeCellId="0" sqref="A1"/>
      <selection pane="topRight" activeCell="B1" activeCellId="0" sqref="B1"/>
      <selection pane="bottomLeft" activeCell="A18" activeCellId="0" sqref="A18"/>
      <selection pane="bottomRight" activeCell="F18" activeCellId="0" sqref="F18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6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6"/>
      <c r="I2" s="51"/>
      <c r="J2" s="51"/>
      <c r="K2" s="60" t="s">
        <v>58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6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5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59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5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59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56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JAN!B40</f>
        <v>6858.4</v>
      </c>
      <c r="C8" s="52" t="n">
        <f aca="false">JAN!C40</f>
        <v>159459</v>
      </c>
      <c r="D8" s="52" t="n">
        <f aca="false">JAN!$D$49</f>
        <v>7415</v>
      </c>
      <c r="E8" s="52" t="n">
        <f aca="false">JAN!$E$40</f>
        <v>7459</v>
      </c>
      <c r="F8" s="52" t="n">
        <f aca="false">JAN!F48</f>
        <v>3738.34131585581</v>
      </c>
      <c r="G8" s="52" t="n">
        <f aca="false">JAN!G48</f>
        <v>9735</v>
      </c>
      <c r="H8" s="56" t="n">
        <f aca="false">JAN!H48</f>
        <v>294</v>
      </c>
      <c r="I8" s="52" t="n">
        <f aca="false">JAN!I48</f>
        <v>9721.2</v>
      </c>
      <c r="J8" s="52" t="n">
        <f aca="false">JAN!J48</f>
        <v>1996.32767834636</v>
      </c>
      <c r="K8" s="52" t="n">
        <f aca="false">JAN!K48</f>
        <v>11717.5276783464</v>
      </c>
      <c r="L8" s="52" t="n">
        <f aca="false">JAN!L48</f>
        <v>1048.65127300227</v>
      </c>
      <c r="M8" s="52" t="n">
        <f aca="false">JAN!M48</f>
        <v>0</v>
      </c>
      <c r="N8" s="52" t="n">
        <f aca="false">JAN!N48</f>
        <v>0</v>
      </c>
      <c r="O8" s="52" t="n">
        <f aca="false">JAN!O48</f>
        <v>402.2</v>
      </c>
      <c r="P8" s="52" t="n">
        <f aca="false">JAN!P48</f>
        <v>0</v>
      </c>
      <c r="Q8" s="52" t="n">
        <f aca="false">JAN!Q48</f>
        <v>0</v>
      </c>
      <c r="R8" s="52" t="n">
        <f aca="false">JAN!R48</f>
        <v>0</v>
      </c>
      <c r="S8" s="52" t="n">
        <f aca="false">JAN!S48</f>
        <v>1782.70733551802</v>
      </c>
      <c r="T8" s="52" t="n">
        <f aca="false">JAN!T48</f>
        <v>0</v>
      </c>
      <c r="U8" s="52" t="n">
        <f aca="false">JAN!U48</f>
        <v>0</v>
      </c>
      <c r="V8" s="52" t="n">
        <f aca="false">JAN!V48</f>
        <v>5248.80262162843</v>
      </c>
      <c r="W8" s="52" t="n">
        <f aca="false">JAN!W48</f>
        <v>7031.50995714646</v>
      </c>
      <c r="X8" s="52" t="n">
        <f aca="false">JAN!X48</f>
        <v>947.676405344089</v>
      </c>
      <c r="Y8" s="52" t="n">
        <f aca="false">JAN!Y48</f>
        <v>7979.18636249055</v>
      </c>
      <c r="Z8" s="56" t="n">
        <f aca="false">JAN!Z48</f>
        <v>7.01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8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6858.44</v>
      </c>
      <c r="C10" s="52" t="n">
        <v>159548</v>
      </c>
      <c r="D10" s="57" t="n">
        <f aca="false">C10-C8</f>
        <v>89</v>
      </c>
      <c r="E10" s="52" t="n">
        <f aca="false">C10-152000</f>
        <v>7548</v>
      </c>
      <c r="F10" s="51" t="n">
        <f aca="false">D10/$D$2</f>
        <v>44.8701789765566</v>
      </c>
      <c r="G10" s="51" t="n">
        <v>110</v>
      </c>
      <c r="H10" s="56" t="n">
        <v>4</v>
      </c>
      <c r="I10" s="51" t="n">
        <f aca="false">G10+H10</f>
        <v>114</v>
      </c>
      <c r="J10" s="81" t="n">
        <f aca="false">IF(L10&gt;0,L10,0)</f>
        <v>4.47743887068313</v>
      </c>
      <c r="K10" s="51" t="n">
        <f aca="false">I10+J10</f>
        <v>118.477438870683</v>
      </c>
      <c r="L10" s="51" t="n">
        <f aca="false">F10-(I10-W10)</f>
        <v>4.47743887068313</v>
      </c>
      <c r="M10" s="51"/>
      <c r="N10" s="51"/>
      <c r="O10" s="51"/>
      <c r="P10" s="6"/>
      <c r="Q10" s="51"/>
      <c r="R10" s="51"/>
      <c r="S10" s="51" t="n">
        <f aca="false">48/1.9835</f>
        <v>24.19964708848</v>
      </c>
      <c r="T10" s="52"/>
      <c r="U10" s="51"/>
      <c r="V10" s="51" t="n">
        <f aca="false">98/1.9835</f>
        <v>49.4076128056466</v>
      </c>
      <c r="W10" s="6" t="n">
        <f aca="false">N10+O10+S10+U10+V10</f>
        <v>73.6072598941265</v>
      </c>
      <c r="X10" s="51" t="n">
        <f aca="false">IF(L10&lt;0,L10*-1,0)</f>
        <v>0</v>
      </c>
      <c r="Y10" s="51" t="n">
        <f aca="false">W10+X10</f>
        <v>73.6072598941265</v>
      </c>
      <c r="Z10" s="56" t="n">
        <v>0</v>
      </c>
      <c r="AA10" s="57"/>
      <c r="AB10" s="57"/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6858.48</v>
      </c>
      <c r="C11" s="52" t="n">
        <v>159638</v>
      </c>
      <c r="D11" s="57" t="n">
        <f aca="false">C11-C10</f>
        <v>90</v>
      </c>
      <c r="E11" s="52" t="n">
        <f aca="false">C11-152000</f>
        <v>7638</v>
      </c>
      <c r="F11" s="51" t="n">
        <f aca="false">D11/$D$2</f>
        <v>45.3743382908999</v>
      </c>
      <c r="G11" s="51" t="n">
        <v>110</v>
      </c>
      <c r="H11" s="56" t="n">
        <v>4.2</v>
      </c>
      <c r="I11" s="51" t="n">
        <f aca="false">G11+H11</f>
        <v>114.2</v>
      </c>
      <c r="J11" s="81" t="n">
        <f aca="false">IF(L11&gt;0,L11,0)</f>
        <v>4.27743887068313</v>
      </c>
      <c r="K11" s="51" t="n">
        <f aca="false">I11+J11</f>
        <v>118.477438870683</v>
      </c>
      <c r="L11" s="51" t="n">
        <f aca="false">F11-(I11-W11)</f>
        <v>4.27743887068313</v>
      </c>
      <c r="M11" s="51"/>
      <c r="N11" s="51"/>
      <c r="O11" s="51"/>
      <c r="P11" s="6"/>
      <c r="Q11" s="51"/>
      <c r="R11" s="51"/>
      <c r="S11" s="51" t="n">
        <f aca="false">48/1.9835</f>
        <v>24.19964708848</v>
      </c>
      <c r="T11" s="52"/>
      <c r="U11" s="51"/>
      <c r="V11" s="51" t="n">
        <f aca="false">97/1.9835</f>
        <v>48.9034534913033</v>
      </c>
      <c r="W11" s="6" t="n">
        <f aca="false">N11+O11+S11+U11+V11</f>
        <v>73.1031005797832</v>
      </c>
      <c r="X11" s="51" t="n">
        <f aca="false">IF(L11&lt;0,L11*-1,0)</f>
        <v>0</v>
      </c>
      <c r="Y11" s="51" t="n">
        <f aca="false">W11+X11</f>
        <v>73.1031005797832</v>
      </c>
      <c r="Z11" s="56" t="n">
        <v>0</v>
      </c>
      <c r="AA11" s="57"/>
      <c r="AB11" s="57"/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6858.52</v>
      </c>
      <c r="C12" s="52" t="n">
        <v>159728</v>
      </c>
      <c r="D12" s="57" t="n">
        <f aca="false">C12-C11</f>
        <v>90</v>
      </c>
      <c r="E12" s="52" t="n">
        <f aca="false">C12-152000</f>
        <v>7728</v>
      </c>
      <c r="F12" s="51" t="n">
        <f aca="false">D12/$D$2</f>
        <v>45.3743382908999</v>
      </c>
      <c r="G12" s="51" t="n">
        <v>100</v>
      </c>
      <c r="H12" s="56" t="n">
        <v>4</v>
      </c>
      <c r="I12" s="51" t="n">
        <f aca="false">G12+H12</f>
        <v>104</v>
      </c>
      <c r="J12" s="81" t="n">
        <f aca="false">IF(L12&gt;0,L12,0)</f>
        <v>2.37761532644316</v>
      </c>
      <c r="K12" s="51" t="n">
        <f aca="false">I12+J12</f>
        <v>106.377615326443</v>
      </c>
      <c r="L12" s="51" t="n">
        <f aca="false">F12-(I12-W12)</f>
        <v>2.37761532644316</v>
      </c>
      <c r="M12" s="51"/>
      <c r="N12" s="51"/>
      <c r="O12" s="51"/>
      <c r="P12" s="6"/>
      <c r="Q12" s="51"/>
      <c r="R12" s="51"/>
      <c r="S12" s="51" t="n">
        <f aca="false">24/1.9835</f>
        <v>12.09982354424</v>
      </c>
      <c r="T12" s="52"/>
      <c r="U12" s="51"/>
      <c r="V12" s="51" t="n">
        <f aca="false">97/1.9835</f>
        <v>48.9034534913033</v>
      </c>
      <c r="W12" s="6" t="n">
        <f aca="false">N12+O12+S12+U12+V12</f>
        <v>61.0032770355432</v>
      </c>
      <c r="X12" s="51" t="n">
        <f aca="false">IF(L12&lt;0,L12*-1,0)</f>
        <v>0</v>
      </c>
      <c r="Y12" s="51" t="n">
        <f aca="false">W12+X12</f>
        <v>61.0032770355432</v>
      </c>
      <c r="Z12" s="56" t="n">
        <v>0.01</v>
      </c>
      <c r="AA12" s="57" t="n">
        <v>41</v>
      </c>
      <c r="AB12" s="57" t="n">
        <v>23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6858.58</v>
      </c>
      <c r="C13" s="52" t="n">
        <v>159862</v>
      </c>
      <c r="D13" s="57" t="n">
        <f aca="false">C13-C12</f>
        <v>134</v>
      </c>
      <c r="E13" s="52" t="n">
        <f aca="false">C13-152000</f>
        <v>7862</v>
      </c>
      <c r="F13" s="51" t="n">
        <f aca="false">D13/$D$2</f>
        <v>67.5573481220066</v>
      </c>
      <c r="G13" s="51" t="n">
        <v>95</v>
      </c>
      <c r="H13" s="56" t="n">
        <v>3.6</v>
      </c>
      <c r="I13" s="51" t="n">
        <f aca="false">G13+H13</f>
        <v>98.6</v>
      </c>
      <c r="J13" s="81" t="n">
        <f aca="false">IF(L13&gt;0,L13,0)</f>
        <v>22.3982354423998</v>
      </c>
      <c r="K13" s="51" t="n">
        <f aca="false">I13+J13</f>
        <v>120.9982354424</v>
      </c>
      <c r="L13" s="51" t="n">
        <f aca="false">F13-(I13-W13)</f>
        <v>22.3982354423998</v>
      </c>
      <c r="M13" s="51"/>
      <c r="N13" s="51"/>
      <c r="O13" s="51"/>
      <c r="P13" s="6"/>
      <c r="Q13" s="51"/>
      <c r="R13" s="51"/>
      <c r="S13" s="51" t="n">
        <f aca="false">9/1.9835</f>
        <v>4.53743382908999</v>
      </c>
      <c r="T13" s="52"/>
      <c r="U13" s="51"/>
      <c r="V13" s="51" t="n">
        <f aca="false">97/1.9835</f>
        <v>48.9034534913033</v>
      </c>
      <c r="W13" s="6" t="n">
        <f aca="false">N13+O13+S13+U13+V13</f>
        <v>53.4408873203932</v>
      </c>
      <c r="X13" s="51" t="n">
        <f aca="false">IF(L13&lt;0,L13*-1,0)</f>
        <v>0</v>
      </c>
      <c r="Y13" s="51" t="n">
        <f aca="false">W13+X13</f>
        <v>53.4408873203932</v>
      </c>
      <c r="Z13" s="56" t="n">
        <v>0</v>
      </c>
      <c r="AA13" s="57" t="n">
        <v>45</v>
      </c>
      <c r="AB13" s="57" t="n">
        <v>18</v>
      </c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6858.61</v>
      </c>
      <c r="C14" s="52" t="n">
        <v>159929</v>
      </c>
      <c r="D14" s="57" t="n">
        <f aca="false">C14-C13</f>
        <v>67</v>
      </c>
      <c r="E14" s="52" t="n">
        <f aca="false">C14-152000</f>
        <v>7929</v>
      </c>
      <c r="F14" s="51" t="n">
        <f aca="false">D14/$D$2</f>
        <v>33.7786740610033</v>
      </c>
      <c r="G14" s="51" t="n">
        <v>95</v>
      </c>
      <c r="H14" s="56" t="n">
        <v>3.6</v>
      </c>
      <c r="I14" s="51" t="n">
        <f aca="false">G14+H14</f>
        <v>98.6</v>
      </c>
      <c r="J14" s="81" t="n">
        <f aca="false">IF(L14&gt;0,L14,0)</f>
        <v>0</v>
      </c>
      <c r="K14" s="51" t="n">
        <f aca="false">I14+J14</f>
        <v>98.6</v>
      </c>
      <c r="L14" s="51" t="n">
        <f aca="false">F14-(I14-W14)</f>
        <v>-11.3804386186035</v>
      </c>
      <c r="M14" s="51"/>
      <c r="N14" s="51"/>
      <c r="O14" s="51"/>
      <c r="P14" s="6"/>
      <c r="Q14" s="51"/>
      <c r="R14" s="51"/>
      <c r="S14" s="51" t="n">
        <f aca="false">9/1.9835</f>
        <v>4.53743382908999</v>
      </c>
      <c r="T14" s="52"/>
      <c r="U14" s="51"/>
      <c r="V14" s="51" t="n">
        <f aca="false">97/1.9835</f>
        <v>48.9034534913033</v>
      </c>
      <c r="W14" s="6" t="n">
        <f aca="false">N14+O14+S14+U14+V14</f>
        <v>53.4408873203932</v>
      </c>
      <c r="X14" s="51" t="n">
        <f aca="false">IF(L14&lt;0,L14*-1,0)</f>
        <v>11.3804386186035</v>
      </c>
      <c r="Y14" s="51" t="n">
        <f aca="false">W14+X14</f>
        <v>64.8213259389967</v>
      </c>
      <c r="Z14" s="56" t="n">
        <v>0</v>
      </c>
      <c r="AA14" s="57" t="n">
        <v>48</v>
      </c>
      <c r="AB14" s="57" t="n">
        <v>11</v>
      </c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6858.64</v>
      </c>
      <c r="C15" s="52" t="n">
        <v>159997</v>
      </c>
      <c r="D15" s="57" t="n">
        <f aca="false">C15-C14</f>
        <v>68</v>
      </c>
      <c r="E15" s="52" t="n">
        <f aca="false">C15-152000</f>
        <v>7997</v>
      </c>
      <c r="F15" s="51" t="n">
        <f aca="false">D15/$D$2</f>
        <v>34.2828333753466</v>
      </c>
      <c r="G15" s="51" t="n">
        <v>90</v>
      </c>
      <c r="H15" s="56" t="n">
        <v>3.4</v>
      </c>
      <c r="I15" s="51" t="n">
        <f aca="false">G15+H15</f>
        <v>93.4</v>
      </c>
      <c r="J15" s="81" t="n">
        <f aca="false">IF(L15&gt;0,L15,0)</f>
        <v>0</v>
      </c>
      <c r="K15" s="51" t="n">
        <f aca="false">I15+J15</f>
        <v>93.4</v>
      </c>
      <c r="L15" s="51" t="n">
        <f aca="false">F15-(I15-W15)</f>
        <v>-5.67627930426016</v>
      </c>
      <c r="M15" s="51"/>
      <c r="N15" s="51"/>
      <c r="O15" s="51"/>
      <c r="P15" s="6"/>
      <c r="Q15" s="51"/>
      <c r="R15" s="51"/>
      <c r="S15" s="51" t="n">
        <f aca="false">9/1.9835</f>
        <v>4.53743382908999</v>
      </c>
      <c r="T15" s="52"/>
      <c r="U15" s="51"/>
      <c r="V15" s="51" t="n">
        <f aca="false">97/1.9835</f>
        <v>48.9034534913033</v>
      </c>
      <c r="W15" s="6" t="n">
        <f aca="false">N15+O15+S15+U15+V15</f>
        <v>53.4408873203932</v>
      </c>
      <c r="X15" s="51" t="n">
        <f aca="false">IF(L15&lt;0,L15*-1,0)</f>
        <v>5.67627930426016</v>
      </c>
      <c r="Y15" s="51" t="n">
        <f aca="false">W15+X15</f>
        <v>59.1171666246534</v>
      </c>
      <c r="Z15" s="56" t="n">
        <v>0.01</v>
      </c>
      <c r="AA15" s="57" t="n">
        <v>35</v>
      </c>
      <c r="AB15" s="57" t="n">
        <v>18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6858.68</v>
      </c>
      <c r="C16" s="52" t="n">
        <v>160086</v>
      </c>
      <c r="D16" s="57" t="n">
        <f aca="false">C16-C15</f>
        <v>89</v>
      </c>
      <c r="E16" s="52" t="n">
        <f aca="false">C16-152000</f>
        <v>8086</v>
      </c>
      <c r="F16" s="51" t="n">
        <f aca="false">D16/$D$2</f>
        <v>44.8701789765566</v>
      </c>
      <c r="G16" s="51" t="n">
        <v>85</v>
      </c>
      <c r="H16" s="56" t="n">
        <v>3.2</v>
      </c>
      <c r="I16" s="51" t="n">
        <f aca="false">G16+H16</f>
        <v>88.2</v>
      </c>
      <c r="J16" s="81" t="n">
        <f aca="false">IF(L16&gt;0,L16,0)</f>
        <v>10.1110662969498</v>
      </c>
      <c r="K16" s="51" t="n">
        <f aca="false">I16+J16</f>
        <v>98.3110662969498</v>
      </c>
      <c r="L16" s="51" t="n">
        <f aca="false">F16-(I16-W16)</f>
        <v>10.1110662969498</v>
      </c>
      <c r="M16" s="51"/>
      <c r="N16" s="51"/>
      <c r="O16" s="51"/>
      <c r="P16" s="6"/>
      <c r="Q16" s="51"/>
      <c r="R16" s="51"/>
      <c r="S16" s="51" t="n">
        <f aca="false">9/1.9835</f>
        <v>4.53743382908999</v>
      </c>
      <c r="T16" s="52"/>
      <c r="U16" s="51"/>
      <c r="V16" s="51" t="n">
        <f aca="false">97/1.9835</f>
        <v>48.9034534913033</v>
      </c>
      <c r="W16" s="6" t="n">
        <f aca="false">N16+O16+S16+U16+V16</f>
        <v>53.4408873203932</v>
      </c>
      <c r="X16" s="51" t="n">
        <f aca="false">IF(L16&lt;0,L16*-1,0)</f>
        <v>0</v>
      </c>
      <c r="Y16" s="51" t="n">
        <f aca="false">W16+X16</f>
        <v>53.4408873203932</v>
      </c>
      <c r="Z16" s="56" t="n">
        <v>0.03</v>
      </c>
      <c r="AA16" s="57" t="n">
        <v>32</v>
      </c>
      <c r="AB16" s="57" t="n">
        <v>9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6858.71</v>
      </c>
      <c r="C17" s="52" t="n">
        <v>160153</v>
      </c>
      <c r="D17" s="57" t="n">
        <f aca="false">C17-C16</f>
        <v>67</v>
      </c>
      <c r="E17" s="52" t="n">
        <f aca="false">C17-152000</f>
        <v>8153</v>
      </c>
      <c r="F17" s="51" t="n">
        <f aca="false">D17/$D$2</f>
        <v>33.7786740610033</v>
      </c>
      <c r="G17" s="51" t="n">
        <v>80</v>
      </c>
      <c r="H17" s="56" t="n">
        <v>3</v>
      </c>
      <c r="I17" s="51" t="n">
        <f aca="false">G17+H17</f>
        <v>83</v>
      </c>
      <c r="J17" s="81" t="n">
        <f aca="false">IF(L17&gt;0,L17,0)</f>
        <v>4.21956138139652</v>
      </c>
      <c r="K17" s="51" t="n">
        <f aca="false">I17+J17</f>
        <v>87.2195613813965</v>
      </c>
      <c r="L17" s="51" t="n">
        <f aca="false">F17-(I17-W17)</f>
        <v>4.21956138139652</v>
      </c>
      <c r="M17" s="51"/>
      <c r="N17" s="51"/>
      <c r="O17" s="51"/>
      <c r="P17" s="6"/>
      <c r="Q17" s="51"/>
      <c r="R17" s="51"/>
      <c r="S17" s="51" t="n">
        <f aca="false">9/1.9835</f>
        <v>4.53743382908999</v>
      </c>
      <c r="T17" s="52"/>
      <c r="U17" s="51"/>
      <c r="V17" s="51" t="n">
        <f aca="false">97/1.9835</f>
        <v>48.9034534913033</v>
      </c>
      <c r="W17" s="6" t="n">
        <f aca="false">N17+O17+S17+U17+V17</f>
        <v>53.4408873203932</v>
      </c>
      <c r="X17" s="51" t="n">
        <f aca="false">IF(L17&lt;0,L17*-1,0)</f>
        <v>0</v>
      </c>
      <c r="Y17" s="51" t="n">
        <f aca="false">W17+X17</f>
        <v>53.4408873203932</v>
      </c>
      <c r="Z17" s="56" t="n">
        <v>0</v>
      </c>
      <c r="AA17" s="57"/>
      <c r="AB17" s="57"/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6858.75</v>
      </c>
      <c r="C18" s="52" t="n">
        <v>160243</v>
      </c>
      <c r="D18" s="57" t="n">
        <f aca="false">C18-C17</f>
        <v>90</v>
      </c>
      <c r="E18" s="52" t="n">
        <f aca="false">C18-152000</f>
        <v>8243</v>
      </c>
      <c r="F18" s="51" t="n">
        <f aca="false">D18/$D$2</f>
        <v>45.3743382908999</v>
      </c>
      <c r="G18" s="51" t="n">
        <v>85</v>
      </c>
      <c r="H18" s="56" t="n">
        <v>3.2</v>
      </c>
      <c r="I18" s="51" t="n">
        <f aca="false">G18+H18</f>
        <v>88.2</v>
      </c>
      <c r="J18" s="81" t="n">
        <f aca="false">IF(L18&gt;0,L18,0)</f>
        <v>10.6152256112932</v>
      </c>
      <c r="K18" s="51" t="n">
        <f aca="false">I18+J18</f>
        <v>98.8152256112932</v>
      </c>
      <c r="L18" s="51" t="n">
        <f aca="false">F18-(I18-W18)</f>
        <v>10.6152256112932</v>
      </c>
      <c r="M18" s="51"/>
      <c r="N18" s="51"/>
      <c r="O18" s="51"/>
      <c r="P18" s="6"/>
      <c r="Q18" s="51"/>
      <c r="R18" s="51"/>
      <c r="S18" s="51" t="n">
        <f aca="false">9/1.9835</f>
        <v>4.53743382908999</v>
      </c>
      <c r="T18" s="52"/>
      <c r="U18" s="51"/>
      <c r="V18" s="51" t="n">
        <f aca="false">97/1.9835</f>
        <v>48.9034534913033</v>
      </c>
      <c r="W18" s="6" t="n">
        <f aca="false">N18+O18+S18+U18+V18</f>
        <v>53.4408873203932</v>
      </c>
      <c r="X18" s="51" t="n">
        <f aca="false">IF(L18&lt;0,L18*-1,0)</f>
        <v>0</v>
      </c>
      <c r="Y18" s="51" t="n">
        <f aca="false">W18+X18</f>
        <v>53.4408873203932</v>
      </c>
      <c r="Z18" s="56" t="n">
        <v>0</v>
      </c>
      <c r="AA18" s="82"/>
      <c r="AB18" s="57"/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6858.79</v>
      </c>
      <c r="C19" s="52" t="n">
        <v>160333</v>
      </c>
      <c r="D19" s="57" t="n">
        <f aca="false">C19-C18</f>
        <v>90</v>
      </c>
      <c r="E19" s="52" t="n">
        <f aca="false">C19-152000</f>
        <v>8333</v>
      </c>
      <c r="F19" s="51" t="n">
        <f aca="false">D19/$D$2</f>
        <v>45.3743382908999</v>
      </c>
      <c r="G19" s="51" t="n">
        <v>80</v>
      </c>
      <c r="H19" s="56" t="n">
        <v>3</v>
      </c>
      <c r="I19" s="51" t="n">
        <f aca="false">G19+H19</f>
        <v>83</v>
      </c>
      <c r="J19" s="81" t="n">
        <f aca="false">IF(L19&gt;0,L19,0)</f>
        <v>15.8152256112932</v>
      </c>
      <c r="K19" s="51" t="n">
        <f aca="false">I19+J19</f>
        <v>98.8152256112932</v>
      </c>
      <c r="L19" s="51" t="n">
        <f aca="false">F19-(I19-W19)</f>
        <v>15.8152256112932</v>
      </c>
      <c r="M19" s="51"/>
      <c r="N19" s="51"/>
      <c r="O19" s="51"/>
      <c r="P19" s="6"/>
      <c r="Q19" s="51"/>
      <c r="R19" s="51"/>
      <c r="S19" s="51" t="n">
        <f aca="false">9/1.9835</f>
        <v>4.53743382908999</v>
      </c>
      <c r="T19" s="52"/>
      <c r="U19" s="51"/>
      <c r="V19" s="51" t="n">
        <f aca="false">97/1.9835</f>
        <v>48.9034534913033</v>
      </c>
      <c r="W19" s="6" t="n">
        <f aca="false">N19+O19+S19+U19+V19</f>
        <v>53.4408873203932</v>
      </c>
      <c r="X19" s="51" t="n">
        <f aca="false">IF(L19&lt;0,L19*-1,0)</f>
        <v>0</v>
      </c>
      <c r="Y19" s="51" t="n">
        <f aca="false">W19+X19</f>
        <v>53.4408873203932</v>
      </c>
      <c r="Z19" s="56" t="n">
        <v>0</v>
      </c>
      <c r="AA19" s="57" t="n">
        <v>32</v>
      </c>
      <c r="AB19" s="57" t="n">
        <v>-8</v>
      </c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6858.85</v>
      </c>
      <c r="C20" s="52" t="n">
        <v>160467</v>
      </c>
      <c r="D20" s="57" t="n">
        <f aca="false">C20-C19</f>
        <v>134</v>
      </c>
      <c r="E20" s="52" t="n">
        <f aca="false">C20-152000</f>
        <v>8467</v>
      </c>
      <c r="F20" s="51" t="n">
        <f aca="false">D20/$D$2</f>
        <v>67.5573481220066</v>
      </c>
      <c r="G20" s="51" t="n">
        <v>75</v>
      </c>
      <c r="H20" s="56" t="n">
        <v>2.9</v>
      </c>
      <c r="I20" s="51" t="n">
        <f aca="false">G20+H20</f>
        <v>77.9</v>
      </c>
      <c r="J20" s="81" t="n">
        <f aca="false">IF(L20&gt;0,L20,0)</f>
        <v>43.0982354423998</v>
      </c>
      <c r="K20" s="51" t="n">
        <f aca="false">I20+J20</f>
        <v>120.9982354424</v>
      </c>
      <c r="L20" s="51" t="n">
        <f aca="false">F20-(I20-W20)</f>
        <v>43.0982354423998</v>
      </c>
      <c r="M20" s="51"/>
      <c r="N20" s="51"/>
      <c r="O20" s="51"/>
      <c r="P20" s="6"/>
      <c r="Q20" s="51"/>
      <c r="R20" s="51"/>
      <c r="S20" s="51" t="n">
        <f aca="false">9/1.9835</f>
        <v>4.53743382908999</v>
      </c>
      <c r="T20" s="52"/>
      <c r="U20" s="51"/>
      <c r="V20" s="51" t="n">
        <f aca="false">97/1.9835</f>
        <v>48.9034534913033</v>
      </c>
      <c r="W20" s="6" t="n">
        <f aca="false">N20+O20+S20+U20+V20</f>
        <v>53.4408873203932</v>
      </c>
      <c r="X20" s="51" t="n">
        <f aca="false">IF(L20&lt;0,L20*-1,0)</f>
        <v>0</v>
      </c>
      <c r="Y20" s="51" t="n">
        <f aca="false">W20+X20</f>
        <v>53.4408873203932</v>
      </c>
      <c r="Z20" s="56" t="n">
        <v>0</v>
      </c>
      <c r="AA20" s="57" t="n">
        <v>26</v>
      </c>
      <c r="AB20" s="57" t="n">
        <v>-4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6858.9</v>
      </c>
      <c r="C21" s="52" t="n">
        <v>160579</v>
      </c>
      <c r="D21" s="57" t="n">
        <f aca="false">C21-C20</f>
        <v>112</v>
      </c>
      <c r="E21" s="52" t="n">
        <f aca="false">C21-152000</f>
        <v>8579</v>
      </c>
      <c r="F21" s="51" t="n">
        <f aca="false">D21/$D$2</f>
        <v>56.4658432064532</v>
      </c>
      <c r="G21" s="51" t="n">
        <v>65</v>
      </c>
      <c r="H21" s="56" t="n">
        <v>2.6</v>
      </c>
      <c r="I21" s="51" t="n">
        <f aca="false">G21+H21</f>
        <v>67.6</v>
      </c>
      <c r="J21" s="81" t="n">
        <f aca="false">IF(L21&gt;0,L21,0)</f>
        <v>42.3067305268465</v>
      </c>
      <c r="K21" s="51" t="n">
        <f aca="false">I21+J21</f>
        <v>109.906730526846</v>
      </c>
      <c r="L21" s="51" t="n">
        <f aca="false">F21-(I21-W21)</f>
        <v>42.3067305268465</v>
      </c>
      <c r="M21" s="51"/>
      <c r="N21" s="51"/>
      <c r="O21" s="51"/>
      <c r="P21" s="6"/>
      <c r="Q21" s="51"/>
      <c r="R21" s="51"/>
      <c r="S21" s="51" t="n">
        <f aca="false">9/1.9835</f>
        <v>4.53743382908999</v>
      </c>
      <c r="T21" s="52"/>
      <c r="U21" s="51"/>
      <c r="V21" s="51" t="n">
        <f aca="false">97/1.9835</f>
        <v>48.9034534913033</v>
      </c>
      <c r="W21" s="6" t="n">
        <f aca="false">N21+O21+S21+U21+V21</f>
        <v>53.4408873203932</v>
      </c>
      <c r="X21" s="51" t="n">
        <f aca="false">IF(L21&lt;0,L21*-1,0)</f>
        <v>0</v>
      </c>
      <c r="Y21" s="51" t="n">
        <f aca="false">W21+X21</f>
        <v>53.4408873203932</v>
      </c>
      <c r="Z21" s="56" t="n">
        <v>0</v>
      </c>
      <c r="AA21" s="57" t="n">
        <v>28</v>
      </c>
      <c r="AB21" s="57" t="n">
        <v>0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6858.98</v>
      </c>
      <c r="C22" s="52" t="n">
        <v>160758</v>
      </c>
      <c r="D22" s="57" t="n">
        <f aca="false">C22-C21</f>
        <v>179</v>
      </c>
      <c r="E22" s="52" t="n">
        <f aca="false">C22-152000</f>
        <v>8758</v>
      </c>
      <c r="F22" s="51" t="n">
        <f aca="false">D22/$D$2</f>
        <v>90.2445172674565</v>
      </c>
      <c r="G22" s="51" t="n">
        <v>80</v>
      </c>
      <c r="H22" s="56" t="n">
        <v>2.8</v>
      </c>
      <c r="I22" s="51" t="n">
        <f aca="false">G22+H22</f>
        <v>82.8</v>
      </c>
      <c r="J22" s="81" t="n">
        <f aca="false">IF(L22&gt;0,L22,0)</f>
        <v>61.8937232165364</v>
      </c>
      <c r="K22" s="51" t="n">
        <f aca="false">I22+J22</f>
        <v>144.693723216536</v>
      </c>
      <c r="L22" s="51" t="n">
        <f aca="false">F22-(I22-W22)</f>
        <v>61.8937232165364</v>
      </c>
      <c r="M22" s="51"/>
      <c r="N22" s="51"/>
      <c r="O22" s="51"/>
      <c r="P22" s="6"/>
      <c r="Q22" s="51"/>
      <c r="R22" s="51"/>
      <c r="S22" s="51" t="n">
        <f aca="false">9/1.9835</f>
        <v>4.53743382908999</v>
      </c>
      <c r="T22" s="52"/>
      <c r="U22" s="51"/>
      <c r="V22" s="51" t="n">
        <f aca="false">99/1.9835</f>
        <v>49.9117721199899</v>
      </c>
      <c r="W22" s="6" t="n">
        <f aca="false">N22+O22+S22+U22+V22</f>
        <v>54.4492059490799</v>
      </c>
      <c r="X22" s="51" t="n">
        <f aca="false">IF(L22&lt;0,L22*-1,0)</f>
        <v>0</v>
      </c>
      <c r="Y22" s="51" t="n">
        <f aca="false">W22+X22</f>
        <v>54.4492059490799</v>
      </c>
      <c r="Z22" s="56" t="n">
        <v>0.46</v>
      </c>
      <c r="AA22" s="57" t="n">
        <v>37</v>
      </c>
      <c r="AB22" s="57" t="n">
        <v>18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6859.07</v>
      </c>
      <c r="C23" s="52" t="n">
        <v>160961</v>
      </c>
      <c r="D23" s="57" t="n">
        <f aca="false">C23-C22</f>
        <v>203</v>
      </c>
      <c r="E23" s="52" t="n">
        <f aca="false">C23-152000</f>
        <v>8961</v>
      </c>
      <c r="F23" s="51" t="n">
        <f aca="false">D23/$D$2</f>
        <v>102.344340811697</v>
      </c>
      <c r="G23" s="51" t="n">
        <v>80</v>
      </c>
      <c r="H23" s="56" t="n">
        <v>2.8</v>
      </c>
      <c r="I23" s="51" t="n">
        <f aca="false">G23+H23</f>
        <v>82.8</v>
      </c>
      <c r="J23" s="81" t="n">
        <f aca="false">IF(L23&gt;0,L23,0)</f>
        <v>76.5143433324931</v>
      </c>
      <c r="K23" s="51" t="n">
        <f aca="false">I23+J23</f>
        <v>159.314343332493</v>
      </c>
      <c r="L23" s="51" t="n">
        <f aca="false">F23-(I23-W23)</f>
        <v>76.5143433324931</v>
      </c>
      <c r="M23" s="51"/>
      <c r="N23" s="51"/>
      <c r="O23" s="51"/>
      <c r="P23" s="6"/>
      <c r="Q23" s="51"/>
      <c r="R23" s="51"/>
      <c r="S23" s="51" t="n">
        <f aca="false">9/1.9835</f>
        <v>4.53743382908999</v>
      </c>
      <c r="T23" s="52"/>
      <c r="U23" s="51"/>
      <c r="V23" s="51" t="n">
        <f aca="false">104/1.9835</f>
        <v>52.4325686917066</v>
      </c>
      <c r="W23" s="6" t="n">
        <f aca="false">N23+O23+S23+U23+V23</f>
        <v>56.9700025207966</v>
      </c>
      <c r="X23" s="51" t="n">
        <f aca="false">IF(L23&lt;0,L23*-1,0)</f>
        <v>0</v>
      </c>
      <c r="Y23" s="51" t="n">
        <f aca="false">W23+X23</f>
        <v>56.9700025207966</v>
      </c>
      <c r="Z23" s="56" t="n">
        <v>0.2</v>
      </c>
      <c r="AA23" s="82" t="n">
        <v>39</v>
      </c>
      <c r="AB23" s="57" t="n">
        <v>10</v>
      </c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6859.14</v>
      </c>
      <c r="C24" s="52" t="n">
        <v>161120</v>
      </c>
      <c r="D24" s="57" t="n">
        <f aca="false">C24-C23</f>
        <v>159</v>
      </c>
      <c r="E24" s="52" t="n">
        <f aca="false">C24-152000</f>
        <v>9120</v>
      </c>
      <c r="F24" s="51" t="n">
        <f aca="false">D24/$D$2</f>
        <v>80.1613309805899</v>
      </c>
      <c r="G24" s="51" t="n">
        <v>90</v>
      </c>
      <c r="H24" s="56" t="n">
        <v>3</v>
      </c>
      <c r="I24" s="51" t="n">
        <f aca="false">G24+H24</f>
        <v>93</v>
      </c>
      <c r="J24" s="81" t="n">
        <f aca="false">IF(L24&gt;0,L24,0)</f>
        <v>46.6521300731031</v>
      </c>
      <c r="K24" s="51" t="n">
        <f aca="false">I24+J24</f>
        <v>139.652130073103</v>
      </c>
      <c r="L24" s="51" t="n">
        <f aca="false">F24-(I24-W24)</f>
        <v>46.6521300731031</v>
      </c>
      <c r="M24" s="51"/>
      <c r="N24" s="51"/>
      <c r="O24" s="51"/>
      <c r="P24" s="6"/>
      <c r="Q24" s="51"/>
      <c r="R24" s="51"/>
      <c r="S24" s="51" t="n">
        <f aca="false">9/1.9835</f>
        <v>4.53743382908999</v>
      </c>
      <c r="T24" s="52"/>
      <c r="U24" s="51"/>
      <c r="V24" s="51" t="n">
        <f aca="false">109/1.9835</f>
        <v>54.9533652634232</v>
      </c>
      <c r="W24" s="6" t="n">
        <f aca="false">N24+O24+S24+U24+V24</f>
        <v>59.4907990925132</v>
      </c>
      <c r="X24" s="51" t="n">
        <f aca="false">IF(L24&lt;0,L24*-1,0)</f>
        <v>0</v>
      </c>
      <c r="Y24" s="51" t="n">
        <f aca="false">W24+X24</f>
        <v>59.4907990925132</v>
      </c>
      <c r="Z24" s="56" t="n">
        <v>0</v>
      </c>
      <c r="AA24" s="82"/>
      <c r="AB24" s="57"/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6859.21</v>
      </c>
      <c r="C25" s="52" t="n">
        <v>161278</v>
      </c>
      <c r="D25" s="57" t="n">
        <f aca="false">C25-C24</f>
        <v>158</v>
      </c>
      <c r="E25" s="52" t="n">
        <f aca="false">C25-152000</f>
        <v>9278</v>
      </c>
      <c r="F25" s="51" t="n">
        <f aca="false">D25/$D$2</f>
        <v>79.6571716662465</v>
      </c>
      <c r="G25" s="51" t="n">
        <v>85</v>
      </c>
      <c r="H25" s="56" t="n">
        <v>3.3</v>
      </c>
      <c r="I25" s="51" t="n">
        <f aca="false">G25+H25</f>
        <v>88.3</v>
      </c>
      <c r="J25" s="81" t="n">
        <f aca="false">IF(L25&gt;0,L25,0)</f>
        <v>50.3438114444164</v>
      </c>
      <c r="K25" s="51" t="n">
        <f aca="false">I25+J25</f>
        <v>138.643811444416</v>
      </c>
      <c r="L25" s="51" t="n">
        <f aca="false">F25-(I25-W25)</f>
        <v>50.3438114444164</v>
      </c>
      <c r="M25" s="51"/>
      <c r="N25" s="51"/>
      <c r="O25" s="51"/>
      <c r="P25" s="6"/>
      <c r="Q25" s="51"/>
      <c r="R25" s="51"/>
      <c r="S25" s="51" t="n">
        <f aca="false">9/1.9835</f>
        <v>4.53743382908999</v>
      </c>
      <c r="T25" s="52"/>
      <c r="U25" s="51"/>
      <c r="V25" s="51" t="n">
        <f aca="false">108/1.9835</f>
        <v>54.4492059490799</v>
      </c>
      <c r="W25" s="6" t="n">
        <f aca="false">N25+O25+S25+U25+V25</f>
        <v>58.9866397781699</v>
      </c>
      <c r="X25" s="51" t="n">
        <f aca="false">IF(L25&lt;0,L25*-1,0)</f>
        <v>0</v>
      </c>
      <c r="Y25" s="51" t="n">
        <f aca="false">W25+X25</f>
        <v>58.9866397781699</v>
      </c>
      <c r="Z25" s="56" t="n">
        <v>0</v>
      </c>
      <c r="AA25" s="82"/>
      <c r="AB25" s="57"/>
      <c r="AC25" s="58" t="n">
        <f aca="false">AC24+1</f>
        <v>16</v>
      </c>
      <c r="AD25" s="92"/>
      <c r="AE25" s="94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6859.28</v>
      </c>
      <c r="C26" s="52" t="n">
        <v>161437</v>
      </c>
      <c r="D26" s="57" t="n">
        <f aca="false">C26-C25</f>
        <v>159</v>
      </c>
      <c r="E26" s="52" t="n">
        <f aca="false">C26-152000</f>
        <v>9437</v>
      </c>
      <c r="F26" s="51" t="n">
        <f aca="false">D26/$D$2</f>
        <v>80.1613309805899</v>
      </c>
      <c r="G26" s="51" t="n">
        <v>85</v>
      </c>
      <c r="H26" s="56" t="n">
        <v>2.8</v>
      </c>
      <c r="I26" s="51" t="n">
        <f aca="false">G26+H26</f>
        <v>87.8</v>
      </c>
      <c r="J26" s="81" t="n">
        <f aca="false">IF(L26&gt;0,L26,0)</f>
        <v>48.8271741870431</v>
      </c>
      <c r="K26" s="51" t="n">
        <f aca="false">I26+J26</f>
        <v>136.627174187043</v>
      </c>
      <c r="L26" s="51" t="n">
        <f aca="false">F26-(I26-W26)</f>
        <v>48.8271741870431</v>
      </c>
      <c r="M26" s="51"/>
      <c r="N26" s="51"/>
      <c r="O26" s="51"/>
      <c r="P26" s="6"/>
      <c r="Q26" s="51"/>
      <c r="R26" s="51"/>
      <c r="S26" s="51" t="n">
        <f aca="false">9/1.9835</f>
        <v>4.53743382908999</v>
      </c>
      <c r="T26" s="52"/>
      <c r="U26" s="51"/>
      <c r="V26" s="51" t="n">
        <f aca="false">103/1.9835</f>
        <v>51.9284093773632</v>
      </c>
      <c r="W26" s="6" t="n">
        <f aca="false">N26+O26+S26+U26+V26</f>
        <v>56.4658432064532</v>
      </c>
      <c r="X26" s="51" t="n">
        <f aca="false">IF(L26&lt;0,L26*-1,0)</f>
        <v>0</v>
      </c>
      <c r="Y26" s="51" t="n">
        <f aca="false">W26+X26</f>
        <v>56.4658432064532</v>
      </c>
      <c r="Z26" s="56" t="n">
        <v>1.2</v>
      </c>
      <c r="AA26" s="82" t="n">
        <v>40</v>
      </c>
      <c r="AB26" s="57" t="n">
        <v>10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6859.34</v>
      </c>
      <c r="C27" s="52" t="n">
        <v>161573</v>
      </c>
      <c r="D27" s="57" t="n">
        <f aca="false">C27-C26</f>
        <v>136</v>
      </c>
      <c r="E27" s="52" t="n">
        <f aca="false">C27-152000</f>
        <v>9573</v>
      </c>
      <c r="F27" s="51" t="n">
        <f aca="false">D27/$D$2</f>
        <v>68.5656667506932</v>
      </c>
      <c r="G27" s="51" t="n">
        <v>90</v>
      </c>
      <c r="H27" s="56" t="n">
        <v>3</v>
      </c>
      <c r="I27" s="51" t="n">
        <f aca="false">G27+H27</f>
        <v>93</v>
      </c>
      <c r="J27" s="81" t="n">
        <f aca="false">IF(L27&gt;0,L27,0)</f>
        <v>30.0148726997731</v>
      </c>
      <c r="K27" s="51" t="n">
        <f aca="false">I27+J27</f>
        <v>123.014872699773</v>
      </c>
      <c r="L27" s="51" t="n">
        <f aca="false">F27-(I27-W27)</f>
        <v>30.0148726997731</v>
      </c>
      <c r="M27" s="51"/>
      <c r="N27" s="51"/>
      <c r="O27" s="51"/>
      <c r="P27" s="6"/>
      <c r="Q27" s="51"/>
      <c r="R27" s="51"/>
      <c r="S27" s="51" t="n">
        <f aca="false">9/1.9835</f>
        <v>4.53743382908999</v>
      </c>
      <c r="T27" s="52"/>
      <c r="U27" s="51"/>
      <c r="V27" s="51" t="n">
        <f aca="false">99/1.9835</f>
        <v>49.9117721199899</v>
      </c>
      <c r="W27" s="6" t="n">
        <f aca="false">N27+O27+S27+U27+V27</f>
        <v>54.4492059490799</v>
      </c>
      <c r="X27" s="51" t="n">
        <f aca="false">IF(L27&lt;0,L27*-1,0)</f>
        <v>0</v>
      </c>
      <c r="Y27" s="51" t="n">
        <f aca="false">W27+X27</f>
        <v>54.4492059490799</v>
      </c>
      <c r="Z27" s="98" t="n">
        <v>0.12</v>
      </c>
      <c r="AA27" s="82" t="n">
        <v>45</v>
      </c>
      <c r="AB27" s="57" t="n">
        <v>15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6859.38</v>
      </c>
      <c r="C28" s="99" t="n">
        <v>161663</v>
      </c>
      <c r="D28" s="57" t="n">
        <f aca="false">C28-C27</f>
        <v>90</v>
      </c>
      <c r="E28" s="52" t="n">
        <f aca="false">C28-152000</f>
        <v>9663</v>
      </c>
      <c r="F28" s="51" t="n">
        <f aca="false">D28/$D$2</f>
        <v>45.3743382908999</v>
      </c>
      <c r="G28" s="51" t="n">
        <v>110</v>
      </c>
      <c r="H28" s="56" t="n">
        <v>5.3</v>
      </c>
      <c r="I28" s="51" t="n">
        <f aca="false">G28+H28</f>
        <v>115.3</v>
      </c>
      <c r="J28" s="81" t="n">
        <f aca="false">IF(L28&gt;0,L28,0)</f>
        <v>0</v>
      </c>
      <c r="K28" s="51" t="n">
        <f aca="false">I28+J28</f>
        <v>115.3</v>
      </c>
      <c r="L28" s="51" t="n">
        <f aca="false">F28-(I28-W28)</f>
        <v>-15.4764557600202</v>
      </c>
      <c r="M28" s="51"/>
      <c r="N28" s="51"/>
      <c r="O28" s="51"/>
      <c r="P28" s="6"/>
      <c r="Q28" s="51"/>
      <c r="R28" s="51"/>
      <c r="S28" s="51" t="n">
        <f aca="false">9/1.9835</f>
        <v>4.53743382908999</v>
      </c>
      <c r="T28" s="52"/>
      <c r="U28" s="51"/>
      <c r="V28" s="51" t="n">
        <f aca="false">99/1.9835</f>
        <v>49.9117721199899</v>
      </c>
      <c r="W28" s="6" t="n">
        <f aca="false">N28+O28+S28+U28+V28</f>
        <v>54.4492059490799</v>
      </c>
      <c r="X28" s="51" t="n">
        <f aca="false">IF(L28&lt;0,L28*-1,0)</f>
        <v>15.4764557600202</v>
      </c>
      <c r="Y28" s="51" t="n">
        <f aca="false">W28+X28</f>
        <v>69.9256617091001</v>
      </c>
      <c r="Z28" s="56" t="n">
        <v>0</v>
      </c>
      <c r="AA28" s="82" t="n">
        <v>49</v>
      </c>
      <c r="AB28" s="57" t="n">
        <v>22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6859.47</v>
      </c>
      <c r="C29" s="52" t="n">
        <v>161867</v>
      </c>
      <c r="D29" s="57" t="n">
        <f aca="false">C29-C28</f>
        <v>204</v>
      </c>
      <c r="E29" s="52" t="n">
        <f aca="false">C29-152000</f>
        <v>9867</v>
      </c>
      <c r="F29" s="51" t="n">
        <f aca="false">D29/$D$2</f>
        <v>102.84850012604</v>
      </c>
      <c r="G29" s="51" t="n">
        <v>137</v>
      </c>
      <c r="H29" s="56" t="n">
        <v>5.5</v>
      </c>
      <c r="I29" s="51" t="n">
        <f aca="false">G29+H29</f>
        <v>142.5</v>
      </c>
      <c r="J29" s="81" t="n">
        <f aca="false">IF(L29&gt;0,L29,0)</f>
        <v>14.7977060751197</v>
      </c>
      <c r="K29" s="51" t="n">
        <f aca="false">I29+J29</f>
        <v>157.29770607512</v>
      </c>
      <c r="L29" s="51" t="n">
        <f aca="false">F29-(I29-W29)</f>
        <v>14.7977060751197</v>
      </c>
      <c r="M29" s="51"/>
      <c r="N29" s="51"/>
      <c r="O29" s="51"/>
      <c r="P29" s="6"/>
      <c r="Q29" s="51"/>
      <c r="R29" s="51"/>
      <c r="S29" s="51" t="n">
        <f aca="false">9/1.9835</f>
        <v>4.53743382908999</v>
      </c>
      <c r="T29" s="52"/>
      <c r="U29" s="51"/>
      <c r="V29" s="51" t="n">
        <f aca="false">99/1.9835</f>
        <v>49.9117721199899</v>
      </c>
      <c r="W29" s="6" t="n">
        <f aca="false">N29+O29+S29+U29+V29</f>
        <v>54.4492059490799</v>
      </c>
      <c r="X29" s="51" t="n">
        <f aca="false">IF(L29&lt;0,L29*-1,0)</f>
        <v>0</v>
      </c>
      <c r="Y29" s="51" t="n">
        <f aca="false">W29+X29</f>
        <v>54.4492059490799</v>
      </c>
      <c r="Z29" s="56" t="n">
        <v>0.2</v>
      </c>
      <c r="AA29" s="82" t="n">
        <v>47</v>
      </c>
      <c r="AB29" s="57" t="n">
        <v>20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6859.57</v>
      </c>
      <c r="C30" s="52" t="n">
        <v>162093</v>
      </c>
      <c r="D30" s="57" t="n">
        <f aca="false">C30-C29</f>
        <v>226</v>
      </c>
      <c r="E30" s="52" t="n">
        <f aca="false">C30-152000</f>
        <v>10093</v>
      </c>
      <c r="F30" s="51" t="n">
        <f aca="false">D30/$D$2</f>
        <v>113.940005041593</v>
      </c>
      <c r="G30" s="51" t="n">
        <v>130</v>
      </c>
      <c r="H30" s="56" t="n">
        <v>5</v>
      </c>
      <c r="I30" s="51" t="n">
        <f aca="false">G30+H30</f>
        <v>135</v>
      </c>
      <c r="J30" s="81" t="n">
        <f aca="false">IF(L30&gt;0,L30,0)</f>
        <v>33.389210990673</v>
      </c>
      <c r="K30" s="51" t="n">
        <f aca="false">I30+J30</f>
        <v>168.389210990673</v>
      </c>
      <c r="L30" s="51" t="n">
        <f aca="false">F30-(I30-W30)</f>
        <v>33.389210990673</v>
      </c>
      <c r="M30" s="51"/>
      <c r="N30" s="51"/>
      <c r="O30" s="51"/>
      <c r="P30" s="6"/>
      <c r="Q30" s="51"/>
      <c r="R30" s="51"/>
      <c r="S30" s="51" t="n">
        <f aca="false">9/1.9835</f>
        <v>4.53743382908999</v>
      </c>
      <c r="T30" s="52"/>
      <c r="U30" s="51"/>
      <c r="V30" s="51" t="n">
        <f aca="false">99/1.9835</f>
        <v>49.9117721199899</v>
      </c>
      <c r="W30" s="6" t="n">
        <f aca="false">N30+O30+S30+U30+V30</f>
        <v>54.4492059490799</v>
      </c>
      <c r="X30" s="51" t="n">
        <f aca="false">IF(L30&lt;0,L30*-1,0)</f>
        <v>0</v>
      </c>
      <c r="Y30" s="51" t="n">
        <f aca="false">W30+X30</f>
        <v>54.4492059490799</v>
      </c>
      <c r="Z30" s="56" t="n">
        <v>0.2</v>
      </c>
      <c r="AA30" s="57" t="n">
        <v>47</v>
      </c>
      <c r="AB30" s="57" t="n">
        <v>27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6859.63</v>
      </c>
      <c r="C31" s="52" t="n">
        <v>162229</v>
      </c>
      <c r="D31" s="57" t="n">
        <f aca="false">C31-C30</f>
        <v>136</v>
      </c>
      <c r="E31" s="52" t="n">
        <f aca="false">C31-152000</f>
        <v>10229</v>
      </c>
      <c r="F31" s="51" t="n">
        <f aca="false">D31/$D$2</f>
        <v>68.5656667506932</v>
      </c>
      <c r="G31" s="51" t="n">
        <v>100</v>
      </c>
      <c r="H31" s="56" t="n">
        <v>4.2</v>
      </c>
      <c r="I31" s="51" t="n">
        <f aca="false">G31+H31</f>
        <v>104.2</v>
      </c>
      <c r="J31" s="81" t="n">
        <f aca="false">IF(L31&gt;0,L31,0)</f>
        <v>18.8148726997731</v>
      </c>
      <c r="K31" s="51" t="n">
        <f aca="false">I31+J31</f>
        <v>123.014872699773</v>
      </c>
      <c r="L31" s="51" t="n">
        <f aca="false">F31-(I31-W31)</f>
        <v>18.8148726997731</v>
      </c>
      <c r="M31" s="51"/>
      <c r="N31" s="51"/>
      <c r="O31" s="51"/>
      <c r="P31" s="6"/>
      <c r="Q31" s="51"/>
      <c r="R31" s="51"/>
      <c r="S31" s="51" t="n">
        <f aca="false">9/1.9835</f>
        <v>4.53743382908999</v>
      </c>
      <c r="T31" s="52"/>
      <c r="U31" s="51"/>
      <c r="V31" s="51" t="n">
        <f aca="false">99/1.9835</f>
        <v>49.9117721199899</v>
      </c>
      <c r="W31" s="6" t="n">
        <f aca="false">N31+O31+S31+U31+V31</f>
        <v>54.4492059490799</v>
      </c>
      <c r="X31" s="51" t="n">
        <f aca="false">IF(L31&lt;0,L31*-1,0)</f>
        <v>0</v>
      </c>
      <c r="Y31" s="51" t="n">
        <f aca="false">W31+X31</f>
        <v>54.4492059490799</v>
      </c>
      <c r="Z31" s="56" t="n">
        <v>0</v>
      </c>
      <c r="AA31" s="57"/>
      <c r="AB31" s="57"/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6859.69</v>
      </c>
      <c r="C32" s="52" t="n">
        <v>162365</v>
      </c>
      <c r="D32" s="57" t="n">
        <f aca="false">C32-C31</f>
        <v>136</v>
      </c>
      <c r="E32" s="52" t="n">
        <f aca="false">C32-152000</f>
        <v>10365</v>
      </c>
      <c r="F32" s="51" t="n">
        <f aca="false">D32/$D$2</f>
        <v>68.5656667506932</v>
      </c>
      <c r="G32" s="51" t="n">
        <v>100</v>
      </c>
      <c r="H32" s="56" t="n">
        <v>4.2</v>
      </c>
      <c r="I32" s="51" t="n">
        <f aca="false">G32+H32</f>
        <v>104.2</v>
      </c>
      <c r="J32" s="81" t="n">
        <f aca="false">IF(L32&gt;0,L32,0)</f>
        <v>18.8148726997731</v>
      </c>
      <c r="K32" s="51" t="n">
        <f aca="false">I32+J32</f>
        <v>123.014872699773</v>
      </c>
      <c r="L32" s="51" t="n">
        <f aca="false">F32-(I32-W32)</f>
        <v>18.8148726997731</v>
      </c>
      <c r="M32" s="51"/>
      <c r="N32" s="51"/>
      <c r="O32" s="51"/>
      <c r="P32" s="6"/>
      <c r="Q32" s="51"/>
      <c r="R32" s="51"/>
      <c r="S32" s="51" t="n">
        <f aca="false">9/1.9835</f>
        <v>4.53743382908999</v>
      </c>
      <c r="T32" s="52"/>
      <c r="U32" s="51"/>
      <c r="V32" s="51" t="n">
        <f aca="false">99/1.9835</f>
        <v>49.9117721199899</v>
      </c>
      <c r="W32" s="6" t="n">
        <f aca="false">N32+O32+S32+U32+V32</f>
        <v>54.4492059490799</v>
      </c>
      <c r="X32" s="51" t="n">
        <f aca="false">IF(L32&lt;0,L32*-1,0)</f>
        <v>0</v>
      </c>
      <c r="Y32" s="51" t="n">
        <f aca="false">W32+X32</f>
        <v>54.4492059490799</v>
      </c>
      <c r="Z32" s="56" t="n">
        <v>0</v>
      </c>
      <c r="AA32" s="57"/>
      <c r="AB32" s="82"/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6859.75</v>
      </c>
      <c r="C33" s="52" t="n">
        <v>162501</v>
      </c>
      <c r="D33" s="57" t="n">
        <f aca="false">C33-C32</f>
        <v>136</v>
      </c>
      <c r="E33" s="52" t="n">
        <f aca="false">C33-152000</f>
        <v>10501</v>
      </c>
      <c r="F33" s="51" t="n">
        <f aca="false">D33/$D$2</f>
        <v>68.5656667506932</v>
      </c>
      <c r="G33" s="51" t="n">
        <v>120</v>
      </c>
      <c r="H33" s="56" t="n">
        <v>4.8</v>
      </c>
      <c r="I33" s="51" t="n">
        <f aca="false">G33+H33</f>
        <v>124.8</v>
      </c>
      <c r="J33" s="81" t="n">
        <f aca="false">IF(L33&gt;0,L33,0)</f>
        <v>0</v>
      </c>
      <c r="K33" s="51" t="n">
        <f aca="false">I33+J33</f>
        <v>124.8</v>
      </c>
      <c r="L33" s="51" t="n">
        <f aca="false">F33-(I33-W33)</f>
        <v>-1.78512730022688</v>
      </c>
      <c r="M33" s="51"/>
      <c r="N33" s="51"/>
      <c r="O33" s="51"/>
      <c r="P33" s="6"/>
      <c r="Q33" s="51"/>
      <c r="R33" s="51"/>
      <c r="S33" s="51" t="n">
        <f aca="false">9/1.9835</f>
        <v>4.53743382908999</v>
      </c>
      <c r="T33" s="52"/>
      <c r="U33" s="51"/>
      <c r="V33" s="51" t="n">
        <f aca="false">99/1.9835</f>
        <v>49.9117721199899</v>
      </c>
      <c r="W33" s="6" t="n">
        <f aca="false">N33+O33+S33+U33+V33</f>
        <v>54.4492059490799</v>
      </c>
      <c r="X33" s="51" t="n">
        <f aca="false">IF(L33&lt;0,L33*-1,0)</f>
        <v>1.78512730022688</v>
      </c>
      <c r="Y33" s="51" t="n">
        <f aca="false">W33+X33</f>
        <v>56.2343332493068</v>
      </c>
      <c r="Z33" s="56" t="n">
        <v>0</v>
      </c>
      <c r="AA33" s="57" t="n">
        <v>49</v>
      </c>
      <c r="AB33" s="82" t="n">
        <v>15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6859.97</v>
      </c>
      <c r="C34" s="52" t="n">
        <v>162998</v>
      </c>
      <c r="D34" s="57" t="n">
        <f aca="false">C34-C33</f>
        <v>497</v>
      </c>
      <c r="E34" s="52" t="n">
        <f aca="false">C34-152000</f>
        <v>10998</v>
      </c>
      <c r="F34" s="51" t="n">
        <f aca="false">D34/$D$2</f>
        <v>250.567179228636</v>
      </c>
      <c r="G34" s="51" t="n">
        <v>137</v>
      </c>
      <c r="H34" s="56" t="n">
        <v>5.5</v>
      </c>
      <c r="I34" s="51" t="n">
        <f aca="false">G34+H34</f>
        <v>142.5</v>
      </c>
      <c r="J34" s="81" t="n">
        <f aca="false">IF(L34&gt;0,L34,0)</f>
        <v>163.020544492059</v>
      </c>
      <c r="K34" s="51" t="n">
        <f aca="false">I34+J34</f>
        <v>305.520544492059</v>
      </c>
      <c r="L34" s="51" t="n">
        <f aca="false">F34-(I34-W34)</f>
        <v>163.020544492059</v>
      </c>
      <c r="M34" s="51"/>
      <c r="N34" s="51"/>
      <c r="O34" s="51"/>
      <c r="P34" s="6"/>
      <c r="Q34" s="51"/>
      <c r="R34" s="51"/>
      <c r="S34" s="51" t="n">
        <f aca="false">10/1.9835</f>
        <v>5.04159314343332</v>
      </c>
      <c r="T34" s="52"/>
      <c r="U34" s="51"/>
      <c r="V34" s="51" t="n">
        <f aca="false">99/1.9835</f>
        <v>49.9117721199899</v>
      </c>
      <c r="W34" s="6" t="n">
        <f aca="false">N34+O34+S34+U34+V34</f>
        <v>54.9533652634232</v>
      </c>
      <c r="X34" s="51" t="n">
        <f aca="false">IF(L34&lt;0,L34*-1,0)</f>
        <v>0</v>
      </c>
      <c r="Y34" s="51" t="n">
        <f aca="false">W34+X34</f>
        <v>54.9533652634232</v>
      </c>
      <c r="Z34" s="56" t="n">
        <v>0</v>
      </c>
      <c r="AA34" s="57" t="n">
        <v>56</v>
      </c>
      <c r="AB34" s="82" t="n">
        <v>18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6860.24</v>
      </c>
      <c r="C35" s="52" t="n">
        <v>163617</v>
      </c>
      <c r="D35" s="57" t="n">
        <f aca="false">C35-C34</f>
        <v>619</v>
      </c>
      <c r="E35" s="52" t="n">
        <f aca="false">C35-152000</f>
        <v>11617</v>
      </c>
      <c r="F35" s="51" t="n">
        <f aca="false">D35/$D$2</f>
        <v>312.074615578523</v>
      </c>
      <c r="G35" s="51" t="n">
        <v>171</v>
      </c>
      <c r="H35" s="56" t="n">
        <v>7</v>
      </c>
      <c r="I35" s="51" t="n">
        <f aca="false">G35+H35</f>
        <v>178</v>
      </c>
      <c r="J35" s="81" t="n">
        <f aca="false">IF(L35&gt;0,L35,0)</f>
        <v>190.540458784976</v>
      </c>
      <c r="K35" s="51" t="n">
        <f aca="false">I35+J35</f>
        <v>368.540458784976</v>
      </c>
      <c r="L35" s="51" t="n">
        <f aca="false">F35-(I35-W35)</f>
        <v>190.540458784976</v>
      </c>
      <c r="M35" s="51"/>
      <c r="N35" s="51"/>
      <c r="O35" s="51"/>
      <c r="P35" s="6"/>
      <c r="Q35" s="51"/>
      <c r="R35" s="51"/>
      <c r="S35" s="51" t="n">
        <f aca="false">10/1.9835</f>
        <v>5.04159314343332</v>
      </c>
      <c r="T35" s="52"/>
      <c r="U35" s="51"/>
      <c r="V35" s="51" t="n">
        <f aca="false">102/1.9835</f>
        <v>51.4242500630199</v>
      </c>
      <c r="W35" s="6" t="n">
        <f aca="false">N35+O35+S35+U35+V35</f>
        <v>56.4658432064532</v>
      </c>
      <c r="X35" s="51" t="n">
        <f aca="false">IF(L35&lt;0,L35*-1,0)</f>
        <v>0</v>
      </c>
      <c r="Y35" s="51" t="n">
        <f aca="false">W35+X35</f>
        <v>56.4658432064532</v>
      </c>
      <c r="Z35" s="56" t="n">
        <v>0</v>
      </c>
      <c r="AA35" s="57"/>
      <c r="AB35" s="57"/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6860.54</v>
      </c>
      <c r="C36" s="52" t="n">
        <v>164306</v>
      </c>
      <c r="D36" s="57" t="n">
        <f aca="false">C36-C35</f>
        <v>689</v>
      </c>
      <c r="E36" s="52" t="n">
        <f aca="false">C36-152000</f>
        <v>12306</v>
      </c>
      <c r="F36" s="51" t="n">
        <f aca="false">D36/$D$2</f>
        <v>347.365767582556</v>
      </c>
      <c r="G36" s="51" t="n">
        <v>201</v>
      </c>
      <c r="H36" s="56" t="n">
        <v>10</v>
      </c>
      <c r="I36" s="51" t="n">
        <f aca="false">G36+H36</f>
        <v>211</v>
      </c>
      <c r="J36" s="81" t="n">
        <f aca="false">IF(L36&gt;0,L36,0)</f>
        <v>192.831610789009</v>
      </c>
      <c r="K36" s="51" t="n">
        <f aca="false">I36+J36</f>
        <v>403.831610789009</v>
      </c>
      <c r="L36" s="51" t="n">
        <f aca="false">F36-(I36-W36)</f>
        <v>192.831610789009</v>
      </c>
      <c r="M36" s="51"/>
      <c r="N36" s="51"/>
      <c r="O36" s="51"/>
      <c r="P36" s="6"/>
      <c r="Q36" s="51"/>
      <c r="R36" s="51"/>
      <c r="S36" s="51" t="n">
        <f aca="false">10/1.9835</f>
        <v>5.04159314343332</v>
      </c>
      <c r="T36" s="52"/>
      <c r="U36" s="51"/>
      <c r="V36" s="51" t="n">
        <f aca="false">102/1.9835</f>
        <v>51.4242500630199</v>
      </c>
      <c r="W36" s="6" t="n">
        <f aca="false">N36+O36+S36+U36+V36</f>
        <v>56.4658432064532</v>
      </c>
      <c r="X36" s="51" t="n">
        <f aca="false">IF(L36&lt;0,L36*-1,0)</f>
        <v>0</v>
      </c>
      <c r="Y36" s="51" t="n">
        <f aca="false">W36+X36</f>
        <v>56.4658432064532</v>
      </c>
      <c r="Z36" s="56" t="n">
        <v>0</v>
      </c>
      <c r="AA36" s="57"/>
      <c r="AB36" s="57"/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v>28</v>
      </c>
      <c r="B37" s="73" t="n">
        <v>6860.9</v>
      </c>
      <c r="C37" s="52" t="n">
        <v>165133</v>
      </c>
      <c r="D37" s="57" t="n">
        <f aca="false">C37-C36</f>
        <v>827</v>
      </c>
      <c r="E37" s="52" t="n">
        <f aca="false">C37-152000</f>
        <v>13133</v>
      </c>
      <c r="F37" s="51" t="n">
        <f aca="false">D37/$D$2</f>
        <v>416.939752961936</v>
      </c>
      <c r="G37" s="51" t="n">
        <v>215</v>
      </c>
      <c r="H37" s="56" t="n">
        <v>9.5</v>
      </c>
      <c r="I37" s="51" t="n">
        <f aca="false">G37+H37</f>
        <v>224.5</v>
      </c>
      <c r="J37" s="81" t="n">
        <f aca="false">IF(L37&gt;0,L37,0)</f>
        <v>248.905596168389</v>
      </c>
      <c r="K37" s="51" t="n">
        <f aca="false">I37+J37</f>
        <v>473.405596168389</v>
      </c>
      <c r="L37" s="51" t="n">
        <f aca="false">F37-(I37-W37)</f>
        <v>248.905596168389</v>
      </c>
      <c r="M37" s="51"/>
      <c r="N37" s="51"/>
      <c r="O37" s="51"/>
      <c r="P37" s="6"/>
      <c r="Q37" s="51"/>
      <c r="R37" s="51"/>
      <c r="S37" s="51" t="n">
        <f aca="false">10/1.9835</f>
        <v>5.04159314343332</v>
      </c>
      <c r="T37" s="52"/>
      <c r="U37" s="51"/>
      <c r="V37" s="51" t="n">
        <f aca="false">102/1.9835</f>
        <v>51.4242500630199</v>
      </c>
      <c r="W37" s="6" t="n">
        <f aca="false">N37+O37+S37+U37+V37</f>
        <v>56.4658432064532</v>
      </c>
      <c r="X37" s="51" t="n">
        <f aca="false">IF(L37&lt;0,L37*-1,0)</f>
        <v>0</v>
      </c>
      <c r="Y37" s="51" t="n">
        <f aca="false">W37+X37</f>
        <v>56.4658432064532</v>
      </c>
      <c r="Z37" s="56" t="n">
        <v>0</v>
      </c>
      <c r="AA37" s="57" t="n">
        <v>42</v>
      </c>
      <c r="AB37" s="57" t="n">
        <v>18</v>
      </c>
      <c r="AC37" s="58" t="n">
        <v>28</v>
      </c>
      <c r="AD37" s="92"/>
      <c r="AE37" s="94"/>
      <c r="AF37" s="93"/>
    </row>
    <row r="38" customFormat="false" ht="3" hidden="false" customHeight="true" outlineLevel="0" collapsed="false">
      <c r="A38" s="74"/>
      <c r="B38" s="74"/>
      <c r="C38" s="76"/>
      <c r="D38" s="74"/>
      <c r="E38" s="76"/>
      <c r="F38" s="74"/>
      <c r="G38" s="74"/>
      <c r="H38" s="78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6"/>
      <c r="U38" s="74"/>
      <c r="V38" s="74"/>
      <c r="W38" s="74"/>
      <c r="X38" s="74"/>
      <c r="Y38" s="74"/>
      <c r="Z38" s="78"/>
      <c r="AA38" s="79"/>
      <c r="AB38" s="79"/>
      <c r="AC38" s="80"/>
      <c r="AD38" s="92"/>
      <c r="AE38" s="92"/>
      <c r="AF38" s="93"/>
    </row>
    <row r="39" customFormat="false" ht="11.1" hidden="false" customHeight="true" outlineLevel="0" collapsed="false">
      <c r="A39" s="51" t="s">
        <v>44</v>
      </c>
      <c r="B39" s="51"/>
      <c r="C39" s="52"/>
      <c r="D39" s="52"/>
      <c r="E39" s="52"/>
      <c r="F39" s="52" t="n">
        <f aca="false">SUM(F10:F37)</f>
        <v>2860.59994958407</v>
      </c>
      <c r="G39" s="52" t="n">
        <f aca="false">SUM(G10:G37)</f>
        <v>3001</v>
      </c>
      <c r="H39" s="56" t="n">
        <f aca="false">SUM(H10:H37)</f>
        <v>119.4</v>
      </c>
      <c r="I39" s="52" t="n">
        <f aca="false">SUM(I10:I37)</f>
        <v>3120.4</v>
      </c>
      <c r="J39" s="52" t="n">
        <f aca="false">SUM(J10:J37)</f>
        <v>1355.05770103353</v>
      </c>
      <c r="K39" s="52" t="n">
        <f aca="false">SUM(K10:K37)</f>
        <v>4475.45770103353</v>
      </c>
      <c r="L39" s="52" t="n">
        <f aca="false">SUM(L10:L37)</f>
        <v>1320.73940005042</v>
      </c>
      <c r="M39" s="52" t="n">
        <f aca="false">SUM(M10:M37)</f>
        <v>0</v>
      </c>
      <c r="N39" s="52" t="n">
        <f aca="false">SUM(N10:N37)</f>
        <v>0</v>
      </c>
      <c r="O39" s="52" t="n">
        <f aca="false">SUM(O10:O37)</f>
        <v>0</v>
      </c>
      <c r="P39" s="52" t="n">
        <f aca="false">SUM(P10:P37)</f>
        <v>0</v>
      </c>
      <c r="Q39" s="52" t="n">
        <f aca="false">SUM(Q10:Q37)</f>
        <v>0</v>
      </c>
      <c r="R39" s="52" t="n">
        <f aca="false">SUM(R10:R37)</f>
        <v>0</v>
      </c>
      <c r="S39" s="52" t="n">
        <f aca="false">SUM(S10:S37)</f>
        <v>175.951600705823</v>
      </c>
      <c r="T39" s="52"/>
      <c r="U39" s="52" t="n">
        <f aca="false">SUM(U10:U37)</f>
        <v>0</v>
      </c>
      <c r="V39" s="52" t="n">
        <f aca="false">SUM(V10:V37)</f>
        <v>1404.58784976052</v>
      </c>
      <c r="W39" s="52" t="n">
        <f aca="false">SUM(W10:W37)</f>
        <v>1580.53945046635</v>
      </c>
      <c r="X39" s="52" t="n">
        <f aca="false">SUM(X10:X37)</f>
        <v>34.3183009831107</v>
      </c>
      <c r="Y39" s="52" t="n">
        <f aca="false">SUM(Y10:Y37)</f>
        <v>1614.85775144946</v>
      </c>
      <c r="Z39" s="56" t="n">
        <f aca="false">SUM(Z10:Z37)</f>
        <v>2.43</v>
      </c>
      <c r="AA39" s="57" t="n">
        <f aca="false">AVERAGE(AA10:AA37)</f>
        <v>41</v>
      </c>
      <c r="AB39" s="57" t="n">
        <f aca="false">AVERAGE(AB10:AB37)</f>
        <v>13.3333333333333</v>
      </c>
      <c r="AC39" s="58" t="s">
        <v>57</v>
      </c>
      <c r="AD39" s="92"/>
      <c r="AE39" s="92"/>
      <c r="AF39" s="93"/>
    </row>
    <row r="40" customFormat="false" ht="11.1" hidden="false" customHeight="true" outlineLevel="0" collapsed="false">
      <c r="A40" s="51" t="s">
        <v>46</v>
      </c>
      <c r="B40" s="51"/>
      <c r="C40" s="52"/>
      <c r="D40" s="52" t="n">
        <f aca="false">SUM(D10:D37)</f>
        <v>5674</v>
      </c>
      <c r="E40" s="52"/>
      <c r="F40" s="52" t="n">
        <f aca="false">F39*$D$2</f>
        <v>5674</v>
      </c>
      <c r="G40" s="52" t="n">
        <f aca="false">G39*$D$2</f>
        <v>5952.4835</v>
      </c>
      <c r="H40" s="56" t="n">
        <f aca="false">H39*$D$2</f>
        <v>236.8299</v>
      </c>
      <c r="I40" s="52" t="n">
        <f aca="false">I39*$D$2</f>
        <v>6189.3134</v>
      </c>
      <c r="J40" s="52" t="n">
        <f aca="false">J39*$D$2</f>
        <v>2687.75695</v>
      </c>
      <c r="K40" s="52" t="n">
        <f aca="false">K39*$D$2</f>
        <v>8877.07035</v>
      </c>
      <c r="L40" s="52" t="n">
        <f aca="false">L39*$D$2</f>
        <v>2619.6866</v>
      </c>
      <c r="M40" s="52" t="n">
        <f aca="false">M39*$D$2</f>
        <v>0</v>
      </c>
      <c r="N40" s="52" t="n">
        <f aca="false">N39*$D$2</f>
        <v>0</v>
      </c>
      <c r="O40" s="52" t="n">
        <f aca="false">O39*$D$2</f>
        <v>0</v>
      </c>
      <c r="P40" s="52" t="n">
        <f aca="false">P39*$D$2</f>
        <v>0</v>
      </c>
      <c r="Q40" s="52" t="n">
        <f aca="false">Q39*$D$2</f>
        <v>0</v>
      </c>
      <c r="R40" s="52" t="n">
        <f aca="false">R39*$D$2</f>
        <v>0</v>
      </c>
      <c r="S40" s="52" t="n">
        <f aca="false">S39*$D$2</f>
        <v>349</v>
      </c>
      <c r="T40" s="52"/>
      <c r="U40" s="52" t="n">
        <f aca="false">U39*$D$2</f>
        <v>0</v>
      </c>
      <c r="V40" s="52" t="n">
        <f aca="false">V39*$D$2</f>
        <v>2786</v>
      </c>
      <c r="W40" s="52" t="n">
        <f aca="false">W39*$D$2</f>
        <v>3135</v>
      </c>
      <c r="X40" s="52" t="n">
        <f aca="false">X39*$D$2</f>
        <v>68.07035</v>
      </c>
      <c r="Y40" s="52" t="n">
        <f aca="false">Y39*$D$2</f>
        <v>3203.07035</v>
      </c>
      <c r="Z40" s="56"/>
      <c r="AA40" s="57" t="n">
        <f aca="false">MAX(AA10:AA37)</f>
        <v>56</v>
      </c>
      <c r="AB40" s="57" t="n">
        <f aca="false">MAX(AB10:AB37)</f>
        <v>27</v>
      </c>
      <c r="AC40" s="58" t="s">
        <v>47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6"/>
      <c r="E41" s="76"/>
      <c r="F41" s="76"/>
      <c r="G41" s="76"/>
      <c r="H41" s="78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/>
      <c r="Z41" s="56"/>
      <c r="AA41" s="57"/>
      <c r="AB41" s="57"/>
      <c r="AC41" s="58"/>
      <c r="AD41" s="92"/>
      <c r="AE41" s="92"/>
      <c r="AF41" s="93"/>
    </row>
    <row r="42" customFormat="false" ht="11.1" hidden="false" customHeight="true" outlineLevel="0" collapsed="false">
      <c r="A42" s="51" t="s">
        <v>48</v>
      </c>
      <c r="B42" s="51"/>
      <c r="C42" s="52"/>
      <c r="D42" s="52"/>
      <c r="E42" s="52"/>
      <c r="F42" s="52"/>
      <c r="G42" s="52"/>
      <c r="H42" s="56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6"/>
      <c r="AA42" s="57" t="n">
        <f aca="false">MIN(AA10:AA37)</f>
        <v>26</v>
      </c>
      <c r="AB42" s="57" t="n">
        <f aca="false">MIN(AB10:AB37)</f>
        <v>-8</v>
      </c>
      <c r="AC42" s="58" t="s">
        <v>49</v>
      </c>
      <c r="AD42" s="92"/>
      <c r="AE42" s="92"/>
      <c r="AF42" s="93"/>
    </row>
    <row r="43" customFormat="false" ht="11.1" hidden="false" customHeight="true" outlineLevel="0" collapsed="false">
      <c r="A43" s="51" t="s">
        <v>50</v>
      </c>
      <c r="B43" s="51"/>
      <c r="C43" s="52"/>
      <c r="D43" s="52"/>
      <c r="E43" s="52"/>
      <c r="F43" s="52"/>
      <c r="G43" s="52"/>
      <c r="H43" s="56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6"/>
      <c r="AA43" s="57"/>
      <c r="AB43" s="57"/>
      <c r="AC43" s="58"/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8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78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51</v>
      </c>
      <c r="B45" s="51"/>
      <c r="C45" s="52"/>
      <c r="D45" s="52"/>
      <c r="E45" s="52"/>
      <c r="F45" s="52" t="n">
        <f aca="false">F8+F39</f>
        <v>6598.94126543988</v>
      </c>
      <c r="G45" s="52" t="n">
        <f aca="false">G8+G39</f>
        <v>12736</v>
      </c>
      <c r="H45" s="56" t="n">
        <f aca="false">H8+H39</f>
        <v>413.4</v>
      </c>
      <c r="I45" s="52" t="n">
        <f aca="false">I8+I39</f>
        <v>12841.6</v>
      </c>
      <c r="J45" s="52" t="n">
        <f aca="false">J8+J39</f>
        <v>3351.38537937988</v>
      </c>
      <c r="K45" s="52" t="n">
        <f aca="false">K8+K39</f>
        <v>16192.9853793799</v>
      </c>
      <c r="L45" s="52" t="n">
        <f aca="false">L8+L39</f>
        <v>2369.39067305268</v>
      </c>
      <c r="M45" s="52" t="n">
        <f aca="false">M8+M39</f>
        <v>0</v>
      </c>
      <c r="N45" s="52" t="n">
        <f aca="false">N8+N39</f>
        <v>0</v>
      </c>
      <c r="O45" s="52" t="n">
        <f aca="false">O8+O39</f>
        <v>402.2</v>
      </c>
      <c r="P45" s="52" t="n">
        <f aca="false">P8+P39</f>
        <v>0</v>
      </c>
      <c r="Q45" s="52" t="n">
        <f aca="false">Q8+Q39</f>
        <v>0</v>
      </c>
      <c r="R45" s="52" t="n">
        <f aca="false">R8+R39</f>
        <v>0</v>
      </c>
      <c r="S45" s="52" t="n">
        <f aca="false">S8+S39</f>
        <v>1958.65893622385</v>
      </c>
      <c r="T45" s="52"/>
      <c r="U45" s="52" t="n">
        <f aca="false">U8+U39</f>
        <v>0</v>
      </c>
      <c r="V45" s="52" t="n">
        <f aca="false">V8+V39</f>
        <v>6653.39047138896</v>
      </c>
      <c r="W45" s="52" t="n">
        <f aca="false">W8+W39</f>
        <v>8612.04940761281</v>
      </c>
      <c r="X45" s="52" t="n">
        <f aca="false">X8+X39</f>
        <v>981.9947063272</v>
      </c>
      <c r="Y45" s="52" t="n">
        <f aca="false">Y8+Y39</f>
        <v>9594.04411394</v>
      </c>
      <c r="Z45" s="56" t="n">
        <f aca="false">Z8+Z39</f>
        <v>9.44</v>
      </c>
      <c r="AA45" s="57"/>
      <c r="AB45" s="57"/>
      <c r="AC45" s="58"/>
      <c r="AD45" s="92"/>
      <c r="AE45" s="92"/>
      <c r="AF45" s="93"/>
    </row>
    <row r="46" customFormat="false" ht="11.1" hidden="false" customHeight="true" outlineLevel="0" collapsed="false">
      <c r="A46" s="51" t="s">
        <v>52</v>
      </c>
      <c r="B46" s="51"/>
      <c r="C46" s="52"/>
      <c r="D46" s="52" t="n">
        <f aca="false">D8+D40</f>
        <v>13089</v>
      </c>
      <c r="E46" s="52" t="n">
        <f aca="false">E37</f>
        <v>13133</v>
      </c>
      <c r="F46" s="52" t="n">
        <f aca="false">F45*$D$2</f>
        <v>13089</v>
      </c>
      <c r="G46" s="52" t="n">
        <f aca="false">G45*$D$2</f>
        <v>25261.856</v>
      </c>
      <c r="H46" s="56" t="n">
        <f aca="false">H45*$D$2</f>
        <v>819.9789</v>
      </c>
      <c r="I46" s="52" t="n">
        <f aca="false">I45*$D$2</f>
        <v>25471.3136</v>
      </c>
      <c r="J46" s="52" t="n">
        <f aca="false">J45*$D$2</f>
        <v>6647.4729</v>
      </c>
      <c r="K46" s="52" t="n">
        <f aca="false">K45*$D$2</f>
        <v>32118.7865</v>
      </c>
      <c r="L46" s="52" t="n">
        <f aca="false">L45*$D$2</f>
        <v>4699.6864</v>
      </c>
      <c r="M46" s="52" t="n">
        <f aca="false">M45*$D$2</f>
        <v>0</v>
      </c>
      <c r="N46" s="52" t="n">
        <f aca="false">N45*$D$2</f>
        <v>0</v>
      </c>
      <c r="O46" s="52" t="n">
        <f aca="false">O45*$D$2</f>
        <v>797.7637</v>
      </c>
      <c r="P46" s="52" t="n">
        <f aca="false">P45*$D$2</f>
        <v>0</v>
      </c>
      <c r="Q46" s="52" t="n">
        <f aca="false">Q45*$D$2</f>
        <v>0</v>
      </c>
      <c r="R46" s="52" t="n">
        <f aca="false">R45*$D$2</f>
        <v>0</v>
      </c>
      <c r="S46" s="52" t="n">
        <f aca="false">S45*$D$2</f>
        <v>3885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13197</v>
      </c>
      <c r="W46" s="52" t="n">
        <f aca="false">W45*$D$2</f>
        <v>17082</v>
      </c>
      <c r="X46" s="52" t="n">
        <f aca="false">X45*$D$2</f>
        <v>1947.7865</v>
      </c>
      <c r="Y46" s="52" t="n">
        <f aca="false">Y45*$D$2</f>
        <v>19029.7865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4"/>
      <c r="E47" s="76"/>
      <c r="F47" s="74"/>
      <c r="G47" s="74"/>
      <c r="H47" s="78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6"/>
      <c r="U47" s="74"/>
      <c r="V47" s="74"/>
      <c r="W47" s="74"/>
      <c r="X47" s="74"/>
      <c r="Y47" s="74"/>
      <c r="Z47" s="56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/>
      <c r="B48" s="84"/>
      <c r="C48" s="52"/>
      <c r="D48" s="51"/>
      <c r="E48" s="52"/>
      <c r="F48" s="51"/>
      <c r="G48" s="51"/>
      <c r="H48" s="56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2"/>
      <c r="U48" s="51"/>
      <c r="V48" s="51"/>
      <c r="W48" s="51"/>
      <c r="X48" s="51"/>
      <c r="Y48" s="51"/>
      <c r="Z48" s="56"/>
      <c r="AA48" s="57"/>
      <c r="AB48" s="57"/>
      <c r="AC48" s="58"/>
      <c r="AD48" s="88"/>
      <c r="AE48" s="88"/>
    </row>
    <row r="49" customFormat="false" ht="11.1" hidden="false" customHeight="true" outlineLevel="0" collapsed="false">
      <c r="A49" s="51"/>
      <c r="B49" s="73"/>
      <c r="C49" s="52"/>
      <c r="D49" s="82"/>
      <c r="E49" s="52"/>
      <c r="F49" s="51"/>
      <c r="G49" s="51"/>
      <c r="H49" s="2"/>
      <c r="I49" s="52"/>
      <c r="J49" s="51"/>
      <c r="K49" s="42"/>
      <c r="L49" s="51"/>
      <c r="M49" s="51"/>
      <c r="N49" s="51"/>
      <c r="O49" s="51"/>
      <c r="P49" s="51"/>
      <c r="Q49" s="51"/>
      <c r="R49" s="51"/>
      <c r="S49" s="51"/>
      <c r="T49" s="52"/>
      <c r="U49" s="51"/>
      <c r="V49" s="51"/>
      <c r="W49" s="51"/>
      <c r="X49" s="51"/>
      <c r="Y49" s="51"/>
      <c r="Z49" s="56"/>
      <c r="AA49" s="57"/>
      <c r="AB49" s="57"/>
      <c r="AC49" s="58"/>
      <c r="AD49" s="88"/>
      <c r="AE49" s="88"/>
    </row>
    <row r="50" customFormat="false" ht="11.1" hidden="false" customHeight="true" outlineLevel="0" collapsed="false">
      <c r="A50" s="82"/>
      <c r="B50" s="82"/>
      <c r="C50" s="52"/>
      <c r="D50" s="52"/>
      <c r="E50" s="52"/>
      <c r="F50" s="82"/>
      <c r="G50" s="82"/>
      <c r="H50" s="56"/>
      <c r="I50" s="52"/>
      <c r="J50" s="82"/>
      <c r="K50" s="82"/>
      <c r="L50" s="82"/>
      <c r="M50" s="81"/>
      <c r="N50" s="81"/>
      <c r="O50" s="81"/>
      <c r="P50" s="81"/>
      <c r="Q50" s="82"/>
      <c r="R50" s="82"/>
      <c r="S50" s="82"/>
      <c r="T50" s="52"/>
      <c r="U50" s="82"/>
      <c r="V50" s="82"/>
      <c r="W50" s="82"/>
      <c r="X50" s="82"/>
      <c r="Y50" s="82"/>
      <c r="Z50" s="56"/>
      <c r="AA50" s="57"/>
      <c r="AB50" s="57"/>
      <c r="AC50" s="58"/>
      <c r="AD50" s="97"/>
      <c r="AE50" s="97"/>
    </row>
    <row r="51" customFormat="false" ht="11.1" hidden="false" customHeight="true" outlineLevel="0" collapsed="false">
      <c r="A51" s="82"/>
      <c r="B51" s="55"/>
      <c r="C51" s="52"/>
      <c r="D51" s="52"/>
      <c r="E51" s="52"/>
      <c r="F51" s="82"/>
      <c r="G51" s="82"/>
      <c r="H51" s="56"/>
      <c r="I51" s="52"/>
      <c r="J51" s="82"/>
      <c r="K51" s="82"/>
      <c r="L51" s="82"/>
      <c r="M51" s="81"/>
      <c r="N51" s="81"/>
      <c r="O51" s="81"/>
      <c r="P51" s="81"/>
      <c r="Q51" s="82"/>
      <c r="R51" s="82"/>
      <c r="S51" s="82"/>
      <c r="T51" s="52"/>
      <c r="U51" s="82"/>
      <c r="V51" s="82"/>
      <c r="W51" s="82"/>
      <c r="X51" s="82"/>
      <c r="Y51" s="82"/>
      <c r="Z51" s="56"/>
      <c r="AA51" s="57"/>
      <c r="AB51" s="57"/>
      <c r="AC51" s="58"/>
      <c r="AD51" s="97"/>
      <c r="AE51" s="97"/>
    </row>
    <row r="52" customFormat="false" ht="11.1" hidden="false" customHeight="true" outlineLevel="0" collapsed="false">
      <c r="A52" s="82"/>
      <c r="B52" s="82"/>
      <c r="C52" s="52"/>
      <c r="D52" s="82"/>
      <c r="E52" s="52"/>
      <c r="F52" s="82"/>
      <c r="G52" s="85"/>
      <c r="H52" s="56"/>
      <c r="I52" s="82"/>
      <c r="J52" s="82"/>
      <c r="K52" s="82"/>
      <c r="L52" s="82"/>
      <c r="M52" s="81"/>
      <c r="N52" s="81"/>
      <c r="O52" s="81"/>
      <c r="P52" s="81"/>
      <c r="Q52" s="82"/>
      <c r="R52" s="82"/>
      <c r="S52" s="82"/>
      <c r="T52" s="52"/>
      <c r="U52" s="82"/>
      <c r="V52" s="82"/>
      <c r="W52" s="82"/>
      <c r="X52" s="82"/>
      <c r="Y52" s="82"/>
      <c r="Z52" s="56"/>
      <c r="AA52" s="57"/>
      <c r="AB52" s="57"/>
      <c r="AC52" s="58"/>
      <c r="AD52" s="97"/>
      <c r="AE52" s="97"/>
    </row>
    <row r="53" customFormat="false" ht="11.1" hidden="false" customHeight="true" outlineLevel="0" collapsed="false">
      <c r="P53" s="47"/>
      <c r="S53" s="44"/>
      <c r="T53" s="45"/>
      <c r="V53" s="44"/>
      <c r="Y53" s="44"/>
      <c r="AB53" s="49"/>
      <c r="AC53" s="50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86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4.6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7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7"/>
      <c r="I2" s="51"/>
      <c r="J2" s="51"/>
      <c r="K2" s="60" t="s">
        <v>60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7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89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61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89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61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91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/>
      <c r="G7" s="52"/>
      <c r="H7" s="87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FEB!B37</f>
        <v>6860.9</v>
      </c>
      <c r="C8" s="52" t="n">
        <f aca="false">FEB!C37</f>
        <v>165133</v>
      </c>
      <c r="D8" s="52" t="n">
        <f aca="false">FEB!$D$46</f>
        <v>13089</v>
      </c>
      <c r="E8" s="52" t="n">
        <f aca="false">FEB!$E$37</f>
        <v>13133</v>
      </c>
      <c r="F8" s="52" t="n">
        <f aca="false">FEB!F45</f>
        <v>6598.94126543988</v>
      </c>
      <c r="G8" s="52" t="n">
        <f aca="false">FEB!G45</f>
        <v>12736</v>
      </c>
      <c r="H8" s="87" t="n">
        <f aca="false">FEB!H45</f>
        <v>413.4</v>
      </c>
      <c r="I8" s="52" t="n">
        <f aca="false">FEB!I45</f>
        <v>12841.6</v>
      </c>
      <c r="J8" s="52" t="n">
        <f aca="false">FEB!J45</f>
        <v>3351.38537937988</v>
      </c>
      <c r="K8" s="52" t="n">
        <f aca="false">FEB!K45</f>
        <v>16192.9853793799</v>
      </c>
      <c r="L8" s="52" t="n">
        <f aca="false">FEB!L45</f>
        <v>2369.39067305268</v>
      </c>
      <c r="M8" s="52" t="n">
        <f aca="false">FEB!M45</f>
        <v>0</v>
      </c>
      <c r="N8" s="52" t="n">
        <f aca="false">FEB!N45</f>
        <v>0</v>
      </c>
      <c r="O8" s="52" t="n">
        <f aca="false">FEB!O45</f>
        <v>402.2</v>
      </c>
      <c r="P8" s="52" t="n">
        <f aca="false">FEB!P45</f>
        <v>0</v>
      </c>
      <c r="Q8" s="52" t="n">
        <f aca="false">FEB!Q45</f>
        <v>0</v>
      </c>
      <c r="R8" s="52" t="n">
        <f aca="false">FEB!R45</f>
        <v>0</v>
      </c>
      <c r="S8" s="52" t="n">
        <f aca="false">FEB!S45</f>
        <v>1958.65893622385</v>
      </c>
      <c r="T8" s="52" t="n">
        <f aca="false">FEB!T45</f>
        <v>0</v>
      </c>
      <c r="U8" s="52" t="n">
        <f aca="false">FEB!U45</f>
        <v>0</v>
      </c>
      <c r="V8" s="52" t="n">
        <f aca="false">FEB!V45</f>
        <v>6653.39047138896</v>
      </c>
      <c r="W8" s="52" t="n">
        <f aca="false">FEB!W45</f>
        <v>8612.04940761281</v>
      </c>
      <c r="X8" s="52" t="n">
        <f aca="false">FEB!X45</f>
        <v>981.9947063272</v>
      </c>
      <c r="Y8" s="52" t="n">
        <f aca="false">FEB!Y45</f>
        <v>9594.04411394</v>
      </c>
      <c r="Z8" s="56" t="n">
        <f aca="false">FEB!Z45</f>
        <v>9.44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95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6861.3</v>
      </c>
      <c r="C10" s="52" t="n">
        <v>166063</v>
      </c>
      <c r="D10" s="57" t="n">
        <f aca="false">C10-C8</f>
        <v>930</v>
      </c>
      <c r="E10" s="52" t="n">
        <f aca="false">C10-152000</f>
        <v>14063</v>
      </c>
      <c r="F10" s="51" t="n">
        <f aca="false">D10/$D$2</f>
        <v>468.868162339299</v>
      </c>
      <c r="G10" s="51" t="n">
        <v>222</v>
      </c>
      <c r="H10" s="100" t="n">
        <v>9.5</v>
      </c>
      <c r="I10" s="51" t="n">
        <f aca="false">G10+H10</f>
        <v>231.5</v>
      </c>
      <c r="J10" s="81" t="n">
        <f aca="false">IF(L10&gt;0,L10,0)</f>
        <v>292.368162339299</v>
      </c>
      <c r="K10" s="51" t="n">
        <f aca="false">I10+J10</f>
        <v>523.868162339299</v>
      </c>
      <c r="L10" s="51" t="n">
        <f aca="false">F10-(I10-W10)</f>
        <v>292.368162339299</v>
      </c>
      <c r="M10" s="51" t="n">
        <v>5</v>
      </c>
      <c r="N10" s="51" t="n">
        <v>0</v>
      </c>
      <c r="O10" s="51" t="n">
        <v>0</v>
      </c>
      <c r="P10" s="6" t="n">
        <f aca="false">M10-(N10+O10)</f>
        <v>5</v>
      </c>
      <c r="Q10" s="51" t="n">
        <v>0</v>
      </c>
      <c r="R10" s="51" t="n">
        <v>0</v>
      </c>
      <c r="S10" s="51" t="n">
        <f aca="false">SUM(P10:R10)</f>
        <v>5</v>
      </c>
      <c r="T10" s="52"/>
      <c r="U10" s="51" t="n">
        <v>0</v>
      </c>
      <c r="V10" s="51" t="n">
        <v>50</v>
      </c>
      <c r="W10" s="6" t="n">
        <f aca="false">N10+O10+S10+U10+V10</f>
        <v>55</v>
      </c>
      <c r="X10" s="51" t="n">
        <f aca="false">IF(L10&lt;0,L10*-1,0)</f>
        <v>0</v>
      </c>
      <c r="Y10" s="51" t="n">
        <f aca="false">W10+X10</f>
        <v>55</v>
      </c>
      <c r="Z10" s="56" t="n">
        <v>0</v>
      </c>
      <c r="AA10" s="57"/>
      <c r="AB10" s="57"/>
      <c r="AC10" s="58" t="n">
        <v>1</v>
      </c>
      <c r="AD10" s="93"/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6861.73</v>
      </c>
      <c r="C11" s="52" t="n">
        <v>167068</v>
      </c>
      <c r="D11" s="57" t="n">
        <f aca="false">C11-C10</f>
        <v>1005</v>
      </c>
      <c r="E11" s="52" t="n">
        <f aca="false">C11-152000</f>
        <v>15068</v>
      </c>
      <c r="F11" s="51" t="n">
        <f aca="false">D11/$D$2</f>
        <v>506.680110915049</v>
      </c>
      <c r="G11" s="51" t="n">
        <v>256</v>
      </c>
      <c r="H11" s="100" t="n">
        <v>10</v>
      </c>
      <c r="I11" s="51" t="n">
        <f aca="false">G11+H11</f>
        <v>266</v>
      </c>
      <c r="J11" s="81" t="n">
        <f aca="false">IF(L11&gt;0,L11,0)</f>
        <v>296.680110915049</v>
      </c>
      <c r="K11" s="51" t="n">
        <f aca="false">I11+J11</f>
        <v>562.680110915049</v>
      </c>
      <c r="L11" s="51" t="n">
        <f aca="false">F11-(I11-W11)</f>
        <v>296.680110915049</v>
      </c>
      <c r="M11" s="51" t="n">
        <v>6</v>
      </c>
      <c r="N11" s="51" t="n">
        <v>0</v>
      </c>
      <c r="O11" s="51" t="n">
        <v>0</v>
      </c>
      <c r="P11" s="6" t="n">
        <f aca="false">M11-(N11+O11)</f>
        <v>6</v>
      </c>
      <c r="Q11" s="51" t="n">
        <v>0</v>
      </c>
      <c r="R11" s="51" t="n">
        <v>0</v>
      </c>
      <c r="S11" s="51" t="n">
        <f aca="false">SUM(P11:R11)</f>
        <v>6</v>
      </c>
      <c r="T11" s="52"/>
      <c r="U11" s="51" t="n">
        <v>0</v>
      </c>
      <c r="V11" s="51" t="n">
        <v>50</v>
      </c>
      <c r="W11" s="6" t="n">
        <f aca="false">N11+O11+S11+U11+V11</f>
        <v>56</v>
      </c>
      <c r="X11" s="51" t="n">
        <f aca="false">IF(L11&lt;0,L11*-1,0)</f>
        <v>0</v>
      </c>
      <c r="Y11" s="51" t="n">
        <f aca="false">W11+X11</f>
        <v>56</v>
      </c>
      <c r="Z11" s="56" t="n">
        <v>0</v>
      </c>
      <c r="AA11" s="57"/>
      <c r="AB11" s="57"/>
      <c r="AC11" s="58" t="n">
        <f aca="false">AC10+1</f>
        <v>2</v>
      </c>
      <c r="AD11" s="93"/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6862.06</v>
      </c>
      <c r="C12" s="52" t="n">
        <v>167842</v>
      </c>
      <c r="D12" s="57" t="n">
        <f aca="false">C12-C11</f>
        <v>774</v>
      </c>
      <c r="E12" s="52" t="n">
        <f aca="false">C12-152000</f>
        <v>15842</v>
      </c>
      <c r="F12" s="51" t="n">
        <f aca="false">D12/$D$2</f>
        <v>390.219309301739</v>
      </c>
      <c r="G12" s="51" t="n">
        <v>268</v>
      </c>
      <c r="H12" s="100" t="n">
        <v>12</v>
      </c>
      <c r="I12" s="51" t="n">
        <f aca="false">G12+H12</f>
        <v>280</v>
      </c>
      <c r="J12" s="81" t="n">
        <f aca="false">IF(L12&gt;0,L12,0)</f>
        <v>165.219309301739</v>
      </c>
      <c r="K12" s="51" t="n">
        <f aca="false">I12+J12</f>
        <v>445.219309301739</v>
      </c>
      <c r="L12" s="51" t="n">
        <f aca="false">F12-(I12-W12)</f>
        <v>165.219309301739</v>
      </c>
      <c r="M12" s="51" t="n">
        <v>5</v>
      </c>
      <c r="N12" s="51" t="n">
        <v>0</v>
      </c>
      <c r="O12" s="51" t="n">
        <v>0</v>
      </c>
      <c r="P12" s="6" t="n">
        <f aca="false">M12-(N12+O12)</f>
        <v>5</v>
      </c>
      <c r="Q12" s="51" t="n">
        <v>0</v>
      </c>
      <c r="R12" s="51" t="n">
        <v>0</v>
      </c>
      <c r="S12" s="51" t="n">
        <f aca="false">SUM(P12:R12)</f>
        <v>5</v>
      </c>
      <c r="T12" s="52"/>
      <c r="U12" s="51" t="n">
        <v>0</v>
      </c>
      <c r="V12" s="51" t="n">
        <v>50</v>
      </c>
      <c r="W12" s="6" t="n">
        <f aca="false">N12+O12+S12+U12+V12</f>
        <v>55</v>
      </c>
      <c r="X12" s="51" t="n">
        <f aca="false">IF(L12&lt;0,L12*-1,0)</f>
        <v>0</v>
      </c>
      <c r="Y12" s="51" t="n">
        <f aca="false">W12+X12</f>
        <v>55</v>
      </c>
      <c r="Z12" s="56" t="n">
        <v>0</v>
      </c>
      <c r="AA12" s="57" t="n">
        <v>60</v>
      </c>
      <c r="AB12" s="57" t="n">
        <v>22</v>
      </c>
      <c r="AC12" s="58" t="n">
        <f aca="false">AC11+1</f>
        <v>3</v>
      </c>
      <c r="AD12" s="93"/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6862.54</v>
      </c>
      <c r="C13" s="52" t="n">
        <v>168983</v>
      </c>
      <c r="D13" s="57" t="n">
        <f aca="false">C13-C12</f>
        <v>1141</v>
      </c>
      <c r="E13" s="52" t="n">
        <f aca="false">C13-152000</f>
        <v>16983</v>
      </c>
      <c r="F13" s="51" t="n">
        <f aca="false">D13/$D$2</f>
        <v>575.245777665742</v>
      </c>
      <c r="G13" s="51" t="n">
        <v>287</v>
      </c>
      <c r="H13" s="100" t="n">
        <v>14</v>
      </c>
      <c r="I13" s="51" t="n">
        <f aca="false">G13+H13</f>
        <v>301</v>
      </c>
      <c r="J13" s="81" t="n">
        <f aca="false">IF(L13&gt;0,L13,0)</f>
        <v>330.245777665742</v>
      </c>
      <c r="K13" s="51" t="n">
        <f aca="false">I13+J13</f>
        <v>631.245777665742</v>
      </c>
      <c r="L13" s="51" t="n">
        <f aca="false">F13-(I13-W13)</f>
        <v>330.245777665742</v>
      </c>
      <c r="M13" s="51" t="n">
        <v>6</v>
      </c>
      <c r="N13" s="51" t="n">
        <v>0</v>
      </c>
      <c r="O13" s="51" t="n">
        <v>0</v>
      </c>
      <c r="P13" s="6" t="n">
        <f aca="false">M13-(N13+O13)</f>
        <v>6</v>
      </c>
      <c r="Q13" s="51" t="n">
        <v>0</v>
      </c>
      <c r="R13" s="51" t="n">
        <v>0</v>
      </c>
      <c r="S13" s="51" t="n">
        <f aca="false">SUM(P13:R13)</f>
        <v>6</v>
      </c>
      <c r="T13" s="52"/>
      <c r="U13" s="51" t="n">
        <v>0</v>
      </c>
      <c r="V13" s="51" t="n">
        <v>50</v>
      </c>
      <c r="W13" s="6" t="n">
        <f aca="false">N13+O13+S13+U13+V13</f>
        <v>56</v>
      </c>
      <c r="X13" s="51" t="n">
        <f aca="false">IF(L13&lt;0,L13*-1,0)</f>
        <v>0</v>
      </c>
      <c r="Y13" s="51" t="n">
        <f aca="false">W13+X13</f>
        <v>56</v>
      </c>
      <c r="Z13" s="56" t="n">
        <v>0</v>
      </c>
      <c r="AA13" s="57"/>
      <c r="AB13" s="57"/>
      <c r="AC13" s="58" t="n">
        <f aca="false">AC12+1</f>
        <v>4</v>
      </c>
      <c r="AD13" s="93"/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6863.07</v>
      </c>
      <c r="C14" s="52" t="n">
        <v>170245</v>
      </c>
      <c r="D14" s="57" t="n">
        <f aca="false">C14-C13</f>
        <v>1262</v>
      </c>
      <c r="E14" s="52" t="n">
        <f aca="false">C14-152000</f>
        <v>18245</v>
      </c>
      <c r="F14" s="51" t="n">
        <f aca="false">D14/$D$2</f>
        <v>636.249054701286</v>
      </c>
      <c r="G14" s="51" t="n">
        <v>323</v>
      </c>
      <c r="H14" s="100" t="n">
        <v>16</v>
      </c>
      <c r="I14" s="51" t="n">
        <f aca="false">G14+H14</f>
        <v>339</v>
      </c>
      <c r="J14" s="81" t="n">
        <f aca="false">IF(L14&gt;0,L14,0)</f>
        <v>353.249054701286</v>
      </c>
      <c r="K14" s="51" t="n">
        <f aca="false">I14+J14</f>
        <v>692.249054701286</v>
      </c>
      <c r="L14" s="51" t="n">
        <f aca="false">F14-(I14-W14)</f>
        <v>353.249054701286</v>
      </c>
      <c r="M14" s="51" t="n">
        <v>6</v>
      </c>
      <c r="N14" s="51" t="n">
        <v>0</v>
      </c>
      <c r="O14" s="51" t="n">
        <v>0</v>
      </c>
      <c r="P14" s="6" t="n">
        <f aca="false">M14-(N14+O14)</f>
        <v>6</v>
      </c>
      <c r="Q14" s="51" t="n">
        <v>0</v>
      </c>
      <c r="R14" s="51" t="n">
        <v>0</v>
      </c>
      <c r="S14" s="51" t="n">
        <f aca="false">SUM(P14:R14)</f>
        <v>6</v>
      </c>
      <c r="T14" s="52"/>
      <c r="U14" s="51" t="n">
        <v>0</v>
      </c>
      <c r="V14" s="51" t="n">
        <v>50</v>
      </c>
      <c r="W14" s="6" t="n">
        <f aca="false">N14+O14+S14+U14+V14</f>
        <v>56</v>
      </c>
      <c r="X14" s="51" t="n">
        <f aca="false">IF(L14&lt;0,L14*-1,0)</f>
        <v>0</v>
      </c>
      <c r="Y14" s="51" t="n">
        <f aca="false">W14+X14</f>
        <v>56</v>
      </c>
      <c r="Z14" s="56" t="n">
        <v>0</v>
      </c>
      <c r="AA14" s="57"/>
      <c r="AB14" s="57"/>
      <c r="AC14" s="58" t="n">
        <f aca="false">AC13+1</f>
        <v>5</v>
      </c>
      <c r="AD14" s="93"/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6863.67</v>
      </c>
      <c r="C15" s="52" t="n">
        <v>171696</v>
      </c>
      <c r="D15" s="57" t="n">
        <f aca="false">C15-C14</f>
        <v>1451</v>
      </c>
      <c r="E15" s="52" t="n">
        <f aca="false">C15-152000</f>
        <v>19696</v>
      </c>
      <c r="F15" s="51" t="n">
        <f aca="false">D15/$D$2</f>
        <v>731.535165112175</v>
      </c>
      <c r="G15" s="51" t="n">
        <v>346</v>
      </c>
      <c r="H15" s="100" t="n">
        <v>16</v>
      </c>
      <c r="I15" s="51" t="n">
        <f aca="false">G15+H15</f>
        <v>362</v>
      </c>
      <c r="J15" s="81" t="n">
        <f aca="false">IF(L15&gt;0,L15,0)</f>
        <v>428.535165112175</v>
      </c>
      <c r="K15" s="51" t="n">
        <f aca="false">I15+J15</f>
        <v>790.535165112175</v>
      </c>
      <c r="L15" s="51" t="n">
        <f aca="false">F15-(I15-W15)</f>
        <v>428.535165112175</v>
      </c>
      <c r="M15" s="51" t="n">
        <v>9</v>
      </c>
      <c r="N15" s="51" t="n">
        <v>0</v>
      </c>
      <c r="O15" s="51" t="n">
        <v>0</v>
      </c>
      <c r="P15" s="6" t="n">
        <f aca="false">M15-(N15+O15)</f>
        <v>9</v>
      </c>
      <c r="Q15" s="51" t="n">
        <v>0</v>
      </c>
      <c r="R15" s="51" t="n">
        <v>0</v>
      </c>
      <c r="S15" s="51" t="n">
        <f aca="false">SUM(P15:R15)</f>
        <v>9</v>
      </c>
      <c r="T15" s="52"/>
      <c r="U15" s="51" t="n">
        <v>0</v>
      </c>
      <c r="V15" s="51" t="n">
        <v>50</v>
      </c>
      <c r="W15" s="6" t="n">
        <f aca="false">N15+O15+S15+U15+V15</f>
        <v>59</v>
      </c>
      <c r="X15" s="51" t="n">
        <f aca="false">IF(L15&lt;0,L15*-1,0)</f>
        <v>0</v>
      </c>
      <c r="Y15" s="51" t="n">
        <f aca="false">W15+X15</f>
        <v>59</v>
      </c>
      <c r="Z15" s="56" t="n">
        <v>0</v>
      </c>
      <c r="AA15" s="57" t="n">
        <v>59</v>
      </c>
      <c r="AB15" s="57" t="n">
        <v>23</v>
      </c>
      <c r="AC15" s="58" t="n">
        <f aca="false">AC14+1</f>
        <v>6</v>
      </c>
      <c r="AD15" s="92"/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6864.3</v>
      </c>
      <c r="C16" s="52" t="n">
        <v>173230</v>
      </c>
      <c r="D16" s="57" t="n">
        <f aca="false">C16-C15</f>
        <v>1534</v>
      </c>
      <c r="E16" s="52" t="n">
        <f aca="false">C16-152000</f>
        <v>21230</v>
      </c>
      <c r="F16" s="51" t="n">
        <f aca="false">D16/$D$2</f>
        <v>773.380388202672</v>
      </c>
      <c r="G16" s="51" t="n">
        <v>372</v>
      </c>
      <c r="H16" s="100" t="n">
        <v>17</v>
      </c>
      <c r="I16" s="51" t="n">
        <f aca="false">G16+H16</f>
        <v>389</v>
      </c>
      <c r="J16" s="81" t="n">
        <f aca="false">IF(L16&gt;0,L16,0)</f>
        <v>456.380388202672</v>
      </c>
      <c r="K16" s="51" t="n">
        <f aca="false">I16+J16</f>
        <v>845.380388202672</v>
      </c>
      <c r="L16" s="51" t="n">
        <f aca="false">F16-(I16-W16)</f>
        <v>456.380388202672</v>
      </c>
      <c r="M16" s="51" t="n">
        <v>22</v>
      </c>
      <c r="N16" s="51" t="n">
        <v>0</v>
      </c>
      <c r="O16" s="51" t="n">
        <v>0</v>
      </c>
      <c r="P16" s="6" t="n">
        <f aca="false">M16-(N16+O16)</f>
        <v>22</v>
      </c>
      <c r="Q16" s="51" t="n">
        <v>0</v>
      </c>
      <c r="R16" s="51" t="n">
        <v>0</v>
      </c>
      <c r="S16" s="51" t="n">
        <f aca="false">SUM(P16:R16)</f>
        <v>22</v>
      </c>
      <c r="T16" s="52"/>
      <c r="U16" s="51" t="n">
        <v>0</v>
      </c>
      <c r="V16" s="51" t="n">
        <v>50</v>
      </c>
      <c r="W16" s="6" t="n">
        <f aca="false">N16+O16+S16+U16+V16</f>
        <v>72</v>
      </c>
      <c r="X16" s="51" t="n">
        <f aca="false">IF(L16&lt;0,L16*-1,0)</f>
        <v>0</v>
      </c>
      <c r="Y16" s="51" t="n">
        <f aca="false">W16+X16</f>
        <v>72</v>
      </c>
      <c r="Z16" s="56" t="n">
        <v>0</v>
      </c>
      <c r="AA16" s="57" t="n">
        <v>58</v>
      </c>
      <c r="AB16" s="57" t="n">
        <v>28</v>
      </c>
      <c r="AC16" s="58" t="n">
        <f aca="false">AC15+1</f>
        <v>7</v>
      </c>
      <c r="AD16" s="92"/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6864.9</v>
      </c>
      <c r="C17" s="52" t="n">
        <v>174704</v>
      </c>
      <c r="D17" s="57" t="n">
        <f aca="false">C17-C16</f>
        <v>1474</v>
      </c>
      <c r="E17" s="52" t="n">
        <f aca="false">C17-152000</f>
        <v>22704</v>
      </c>
      <c r="F17" s="51" t="n">
        <f aca="false">D17/$D$2</f>
        <v>743.130829342072</v>
      </c>
      <c r="G17" s="51" t="n">
        <v>373</v>
      </c>
      <c r="H17" s="100" t="n">
        <v>16</v>
      </c>
      <c r="I17" s="51" t="n">
        <f aca="false">G17+H17</f>
        <v>389</v>
      </c>
      <c r="J17" s="81" t="n">
        <f aca="false">IF(L17&gt;0,L17,0)</f>
        <v>436.130829342072</v>
      </c>
      <c r="K17" s="51" t="n">
        <f aca="false">I17+J17</f>
        <v>825.130829342072</v>
      </c>
      <c r="L17" s="51" t="n">
        <f aca="false">F17-(I17-W17)</f>
        <v>436.130829342072</v>
      </c>
      <c r="M17" s="51" t="n">
        <v>32</v>
      </c>
      <c r="N17" s="51" t="n">
        <v>0</v>
      </c>
      <c r="O17" s="51" t="n">
        <v>0</v>
      </c>
      <c r="P17" s="6" t="n">
        <f aca="false">M17-(N17+O17)</f>
        <v>32</v>
      </c>
      <c r="Q17" s="51" t="n">
        <v>0</v>
      </c>
      <c r="R17" s="51" t="n">
        <v>0</v>
      </c>
      <c r="S17" s="51" t="n">
        <f aca="false">SUM(P17:R17)</f>
        <v>32</v>
      </c>
      <c r="T17" s="52"/>
      <c r="U17" s="51" t="n">
        <v>0</v>
      </c>
      <c r="V17" s="51" t="n">
        <v>50</v>
      </c>
      <c r="W17" s="6" t="n">
        <f aca="false">N17+O17+S17+U17+V17</f>
        <v>82</v>
      </c>
      <c r="X17" s="51" t="n">
        <f aca="false">IF(L17&lt;0,L17*-1,0)</f>
        <v>0</v>
      </c>
      <c r="Y17" s="51" t="n">
        <f aca="false">W17+X17</f>
        <v>82</v>
      </c>
      <c r="Z17" s="56" t="n">
        <v>0</v>
      </c>
      <c r="AA17" s="57"/>
      <c r="AB17" s="57"/>
      <c r="AC17" s="58" t="n">
        <f aca="false">AC16+1</f>
        <v>8</v>
      </c>
      <c r="AD17" s="92"/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6865.5</v>
      </c>
      <c r="C18" s="52" t="n">
        <v>176198</v>
      </c>
      <c r="D18" s="57" t="n">
        <f aca="false">C18-C17</f>
        <v>1494</v>
      </c>
      <c r="E18" s="52" t="n">
        <f aca="false">C18-152000</f>
        <v>24198</v>
      </c>
      <c r="F18" s="51" t="n">
        <f aca="false">D18/$D$2</f>
        <v>753.214015628939</v>
      </c>
      <c r="G18" s="51" t="n">
        <v>363</v>
      </c>
      <c r="H18" s="100" t="n">
        <v>16</v>
      </c>
      <c r="I18" s="51" t="n">
        <f aca="false">G18+H18</f>
        <v>379</v>
      </c>
      <c r="J18" s="81" t="n">
        <f aca="false">IF(L18&gt;0,L18,0)</f>
        <v>453.214015628939</v>
      </c>
      <c r="K18" s="51" t="n">
        <f aca="false">I18+J18</f>
        <v>832.214015628939</v>
      </c>
      <c r="L18" s="51" t="n">
        <f aca="false">F18-(I18-W18)</f>
        <v>453.214015628939</v>
      </c>
      <c r="M18" s="51" t="n">
        <v>29</v>
      </c>
      <c r="N18" s="51" t="n">
        <v>0</v>
      </c>
      <c r="O18" s="51" t="n">
        <v>0</v>
      </c>
      <c r="P18" s="6" t="n">
        <f aca="false">M18-(N18+O18)</f>
        <v>29</v>
      </c>
      <c r="Q18" s="51" t="n">
        <v>0</v>
      </c>
      <c r="R18" s="51" t="n">
        <v>0</v>
      </c>
      <c r="S18" s="51" t="n">
        <f aca="false">SUM(P18:R18)</f>
        <v>29</v>
      </c>
      <c r="T18" s="52"/>
      <c r="U18" s="51" t="n">
        <v>0</v>
      </c>
      <c r="V18" s="51" t="n">
        <v>50</v>
      </c>
      <c r="W18" s="6" t="n">
        <f aca="false">N18+O18+S18+U18+V18</f>
        <v>79</v>
      </c>
      <c r="X18" s="51" t="n">
        <f aca="false">IF(L18&lt;0,L18*-1,0)</f>
        <v>0</v>
      </c>
      <c r="Y18" s="51" t="n">
        <f aca="false">W18+X18</f>
        <v>79</v>
      </c>
      <c r="Z18" s="56" t="n">
        <v>0</v>
      </c>
      <c r="AA18" s="82"/>
      <c r="AB18" s="57"/>
      <c r="AC18" s="58" t="n">
        <f aca="false">AC17+1</f>
        <v>9</v>
      </c>
      <c r="AD18" s="92"/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6865.93</v>
      </c>
      <c r="C19" s="52" t="n">
        <v>177271</v>
      </c>
      <c r="D19" s="57" t="n">
        <f aca="false">C19-C18</f>
        <v>1073</v>
      </c>
      <c r="E19" s="52" t="n">
        <f aca="false">C19-152000</f>
        <v>25271</v>
      </c>
      <c r="F19" s="51" t="n">
        <f aca="false">D19/$D$2</f>
        <v>540.962944290396</v>
      </c>
      <c r="G19" s="51" t="n">
        <v>304</v>
      </c>
      <c r="H19" s="100" t="n">
        <v>16</v>
      </c>
      <c r="I19" s="51" t="n">
        <f aca="false">G19+H19</f>
        <v>320</v>
      </c>
      <c r="J19" s="81" t="n">
        <f aca="false">IF(L19&gt;0,L19,0)</f>
        <v>299.962944290396</v>
      </c>
      <c r="K19" s="51" t="n">
        <f aca="false">I19+J19</f>
        <v>619.962944290396</v>
      </c>
      <c r="L19" s="51" t="n">
        <f aca="false">F19-(I19-W19)</f>
        <v>299.962944290396</v>
      </c>
      <c r="M19" s="101" t="n">
        <v>29</v>
      </c>
      <c r="N19" s="51" t="n">
        <v>0</v>
      </c>
      <c r="O19" s="51" t="n">
        <v>0</v>
      </c>
      <c r="P19" s="6" t="n">
        <f aca="false">M19-(N19+O19)</f>
        <v>29</v>
      </c>
      <c r="Q19" s="51" t="n">
        <v>0</v>
      </c>
      <c r="R19" s="51" t="n">
        <v>0</v>
      </c>
      <c r="S19" s="51" t="n">
        <f aca="false">SUM(P19:R19)</f>
        <v>29</v>
      </c>
      <c r="T19" s="52"/>
      <c r="U19" s="51" t="n">
        <v>0</v>
      </c>
      <c r="V19" s="51" t="n">
        <v>50</v>
      </c>
      <c r="W19" s="6" t="n">
        <f aca="false">N19+O19+S19+U19+V19</f>
        <v>79</v>
      </c>
      <c r="X19" s="51" t="n">
        <f aca="false">IF(L19&lt;0,L19*-1,0)</f>
        <v>0</v>
      </c>
      <c r="Y19" s="51" t="n">
        <f aca="false">W19+X19</f>
        <v>79</v>
      </c>
      <c r="Z19" s="56" t="n">
        <v>0</v>
      </c>
      <c r="AA19" s="57"/>
      <c r="AB19" s="57"/>
      <c r="AC19" s="58" t="n">
        <f aca="false">AC18+1</f>
        <v>10</v>
      </c>
      <c r="AD19" s="92"/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6866.31</v>
      </c>
      <c r="C20" s="52" t="n">
        <v>178231</v>
      </c>
      <c r="D20" s="57" t="n">
        <f aca="false">C20-C19</f>
        <v>960</v>
      </c>
      <c r="E20" s="52" t="n">
        <f aca="false">C20-152000</f>
        <v>26231</v>
      </c>
      <c r="F20" s="51" t="n">
        <f aca="false">D20/$D$2</f>
        <v>483.992941769599</v>
      </c>
      <c r="G20" s="51" t="n">
        <v>291</v>
      </c>
      <c r="H20" s="100" t="n">
        <v>16</v>
      </c>
      <c r="I20" s="51" t="n">
        <f aca="false">G20+H20</f>
        <v>307</v>
      </c>
      <c r="J20" s="81" t="n">
        <f aca="false">IF(L20&gt;0,L20,0)</f>
        <v>241.992941769599</v>
      </c>
      <c r="K20" s="51" t="n">
        <f aca="false">I20+J20</f>
        <v>548.992941769599</v>
      </c>
      <c r="L20" s="51" t="n">
        <f aca="false">F20-(I20-W20)</f>
        <v>241.992941769599</v>
      </c>
      <c r="M20" s="101" t="n">
        <v>15</v>
      </c>
      <c r="N20" s="51" t="n">
        <v>0</v>
      </c>
      <c r="O20" s="51" t="n">
        <v>0</v>
      </c>
      <c r="P20" s="6" t="n">
        <f aca="false">M20-(N20+O20)</f>
        <v>15</v>
      </c>
      <c r="Q20" s="51" t="n">
        <v>0</v>
      </c>
      <c r="R20" s="51" t="n">
        <v>0</v>
      </c>
      <c r="S20" s="51" t="n">
        <f aca="false">SUM(P20:R20)</f>
        <v>15</v>
      </c>
      <c r="T20" s="52"/>
      <c r="U20" s="51" t="n">
        <v>0</v>
      </c>
      <c r="V20" s="51" t="n">
        <v>50</v>
      </c>
      <c r="W20" s="6" t="n">
        <f aca="false">N20+O20+S20+U20+V20</f>
        <v>65</v>
      </c>
      <c r="X20" s="51" t="n">
        <f aca="false">IF(L20&lt;0,L20*-1,0)</f>
        <v>0</v>
      </c>
      <c r="Y20" s="51" t="n">
        <f aca="false">W20+X20</f>
        <v>65</v>
      </c>
      <c r="Z20" s="56" t="n">
        <v>0.3</v>
      </c>
      <c r="AA20" s="57" t="n">
        <v>52</v>
      </c>
      <c r="AB20" s="57" t="n">
        <v>28</v>
      </c>
      <c r="AC20" s="58" t="n">
        <f aca="false">AC19+1</f>
        <v>11</v>
      </c>
      <c r="AD20" s="92"/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6866.62</v>
      </c>
      <c r="C21" s="52" t="n">
        <v>179016</v>
      </c>
      <c r="D21" s="57" t="n">
        <f aca="false">C21-C20</f>
        <v>785</v>
      </c>
      <c r="E21" s="52" t="n">
        <f aca="false">C21-152000</f>
        <v>27016</v>
      </c>
      <c r="F21" s="51" t="n">
        <f aca="false">D21/$D$2</f>
        <v>395.765061759516</v>
      </c>
      <c r="G21" s="51" t="n">
        <v>266</v>
      </c>
      <c r="H21" s="100" t="n">
        <v>15</v>
      </c>
      <c r="I21" s="51" t="n">
        <f aca="false">G21+H21</f>
        <v>281</v>
      </c>
      <c r="J21" s="81" t="n">
        <f aca="false">IF(L21&gt;0,L21,0)</f>
        <v>170.765061759516</v>
      </c>
      <c r="K21" s="51" t="n">
        <f aca="false">I21+J21</f>
        <v>451.765061759516</v>
      </c>
      <c r="L21" s="51" t="n">
        <f aca="false">F21-(I21-W21)</f>
        <v>170.765061759516</v>
      </c>
      <c r="M21" s="101" t="n">
        <v>6</v>
      </c>
      <c r="N21" s="51" t="n">
        <v>0</v>
      </c>
      <c r="O21" s="51" t="n">
        <v>0</v>
      </c>
      <c r="P21" s="6" t="n">
        <f aca="false">M21-(N21+O21)</f>
        <v>6</v>
      </c>
      <c r="Q21" s="51" t="n">
        <v>0</v>
      </c>
      <c r="R21" s="51" t="n">
        <v>0</v>
      </c>
      <c r="S21" s="51" t="n">
        <f aca="false">SUM(P21:R21)</f>
        <v>6</v>
      </c>
      <c r="T21" s="52"/>
      <c r="U21" s="51" t="n">
        <v>0</v>
      </c>
      <c r="V21" s="51" t="n">
        <v>50</v>
      </c>
      <c r="W21" s="6" t="n">
        <f aca="false">N21+O21+S21+U21+V21</f>
        <v>56</v>
      </c>
      <c r="X21" s="51" t="n">
        <f aca="false">IF(L21&lt;0,L21*-1,0)</f>
        <v>0</v>
      </c>
      <c r="Y21" s="51" t="n">
        <f aca="false">W21+X21</f>
        <v>56</v>
      </c>
      <c r="Z21" s="56" t="n">
        <v>0.1</v>
      </c>
      <c r="AA21" s="57" t="n">
        <v>48</v>
      </c>
      <c r="AB21" s="57" t="n">
        <v>29</v>
      </c>
      <c r="AC21" s="58" t="n">
        <f aca="false">AC20+1</f>
        <v>12</v>
      </c>
      <c r="AD21" s="92"/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6866.9</v>
      </c>
      <c r="C22" s="52" t="n">
        <v>179725</v>
      </c>
      <c r="D22" s="57" t="n">
        <f aca="false">C22-C21</f>
        <v>709</v>
      </c>
      <c r="E22" s="52" t="n">
        <f aca="false">C22-152000</f>
        <v>27725</v>
      </c>
      <c r="F22" s="51" t="n">
        <f aca="false">D22/$D$2</f>
        <v>357.448953869423</v>
      </c>
      <c r="G22" s="51" t="n">
        <v>238</v>
      </c>
      <c r="H22" s="100" t="n">
        <v>15</v>
      </c>
      <c r="I22" s="51" t="n">
        <f aca="false">G22+H22</f>
        <v>253</v>
      </c>
      <c r="J22" s="81" t="n">
        <f aca="false">IF(L22&gt;0,L22,0)</f>
        <v>162.448953869423</v>
      </c>
      <c r="K22" s="51" t="n">
        <f aca="false">I22+J22</f>
        <v>415.448953869423</v>
      </c>
      <c r="L22" s="51" t="n">
        <f aca="false">F22-(I22-W22)</f>
        <v>162.448953869423</v>
      </c>
      <c r="M22" s="101" t="n">
        <v>6</v>
      </c>
      <c r="N22" s="51" t="n">
        <v>0</v>
      </c>
      <c r="O22" s="51" t="n">
        <v>0</v>
      </c>
      <c r="P22" s="6" t="n">
        <f aca="false">M22-(N22+O22)</f>
        <v>6</v>
      </c>
      <c r="Q22" s="51" t="n">
        <v>0</v>
      </c>
      <c r="R22" s="51" t="n">
        <v>0</v>
      </c>
      <c r="S22" s="51" t="n">
        <f aca="false">SUM(P22:R22)</f>
        <v>6</v>
      </c>
      <c r="T22" s="52"/>
      <c r="U22" s="51" t="n">
        <v>0</v>
      </c>
      <c r="V22" s="51" t="n">
        <v>52</v>
      </c>
      <c r="W22" s="6" t="n">
        <f aca="false">N22+O22+S22+U22+V22</f>
        <v>58</v>
      </c>
      <c r="X22" s="51" t="n">
        <f aca="false">IF(L22&lt;0,L22*-1,0)</f>
        <v>0</v>
      </c>
      <c r="Y22" s="51" t="n">
        <f aca="false">W22+X22</f>
        <v>58</v>
      </c>
      <c r="Z22" s="56" t="n">
        <v>0</v>
      </c>
      <c r="AA22" s="57" t="n">
        <v>41</v>
      </c>
      <c r="AB22" s="57" t="n">
        <v>26</v>
      </c>
      <c r="AC22" s="58" t="n">
        <f aca="false">AC21+1</f>
        <v>13</v>
      </c>
      <c r="AD22" s="92"/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6867.15</v>
      </c>
      <c r="C23" s="52" t="n">
        <v>180364</v>
      </c>
      <c r="D23" s="57" t="n">
        <f aca="false">C23-C22</f>
        <v>639</v>
      </c>
      <c r="E23" s="52" t="n">
        <f aca="false">C23-152000</f>
        <v>28364</v>
      </c>
      <c r="F23" s="51" t="n">
        <f aca="false">D23/$D$2</f>
        <v>322.157801865389</v>
      </c>
      <c r="G23" s="51" t="n">
        <v>233</v>
      </c>
      <c r="H23" s="87" t="n">
        <v>12</v>
      </c>
      <c r="I23" s="51" t="n">
        <f aca="false">G23+H23</f>
        <v>245</v>
      </c>
      <c r="J23" s="81" t="n">
        <f aca="false">IF(L23&gt;0,L23,0)</f>
        <v>166.157801865389</v>
      </c>
      <c r="K23" s="51" t="n">
        <f aca="false">I23+J23</f>
        <v>411.157801865389</v>
      </c>
      <c r="L23" s="51" t="n">
        <f aca="false">F23-(I23-W23)</f>
        <v>166.157801865389</v>
      </c>
      <c r="M23" s="51" t="n">
        <v>6</v>
      </c>
      <c r="N23" s="51" t="n">
        <v>0</v>
      </c>
      <c r="O23" s="51" t="n">
        <v>0</v>
      </c>
      <c r="P23" s="6" t="n">
        <f aca="false">M23-(N23+O23)</f>
        <v>6</v>
      </c>
      <c r="Q23" s="51" t="n">
        <v>0</v>
      </c>
      <c r="R23" s="51" t="n">
        <v>0</v>
      </c>
      <c r="S23" s="51" t="n">
        <f aca="false">SUM(P23:R23)</f>
        <v>6</v>
      </c>
      <c r="T23" s="52"/>
      <c r="U23" s="51" t="n">
        <v>0</v>
      </c>
      <c r="V23" s="51" t="n">
        <v>83</v>
      </c>
      <c r="W23" s="6" t="n">
        <f aca="false">N23+O23+S23+U23+V23</f>
        <v>89</v>
      </c>
      <c r="X23" s="51" t="n">
        <f aca="false">IF(L23&lt;0,L23*-1,0)</f>
        <v>0</v>
      </c>
      <c r="Y23" s="51" t="n">
        <f aca="false">W23+X23</f>
        <v>89</v>
      </c>
      <c r="Z23" s="56" t="n">
        <v>0</v>
      </c>
      <c r="AA23" s="82"/>
      <c r="AB23" s="57"/>
      <c r="AC23" s="58" t="n">
        <f aca="false">AC22+1</f>
        <v>14</v>
      </c>
      <c r="AD23" s="92"/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6867.39</v>
      </c>
      <c r="C24" s="52" t="n">
        <v>180982</v>
      </c>
      <c r="D24" s="57" t="n">
        <f aca="false">C24-C23</f>
        <v>618</v>
      </c>
      <c r="E24" s="52" t="n">
        <f aca="false">C24-152000</f>
        <v>28982</v>
      </c>
      <c r="F24" s="51" t="n">
        <f aca="false">D24/$D$2</f>
        <v>311.570456264179</v>
      </c>
      <c r="G24" s="51" t="n">
        <v>219</v>
      </c>
      <c r="H24" s="87" t="n">
        <v>10</v>
      </c>
      <c r="I24" s="51" t="n">
        <f aca="false">G24+H24</f>
        <v>229</v>
      </c>
      <c r="J24" s="81" t="n">
        <f aca="false">IF(L24&gt;0,L24,0)</f>
        <v>171.570456264179</v>
      </c>
      <c r="K24" s="51" t="n">
        <f aca="false">I24+J24</f>
        <v>400.57045626418</v>
      </c>
      <c r="L24" s="51" t="n">
        <f aca="false">F24-(I24-W24)</f>
        <v>171.570456264179</v>
      </c>
      <c r="M24" s="51" t="n">
        <v>6</v>
      </c>
      <c r="N24" s="51" t="n">
        <v>0</v>
      </c>
      <c r="O24" s="51" t="n">
        <v>0</v>
      </c>
      <c r="P24" s="6" t="n">
        <f aca="false">M24-(N24+O24)</f>
        <v>6</v>
      </c>
      <c r="Q24" s="51" t="n">
        <v>0</v>
      </c>
      <c r="R24" s="51" t="n">
        <v>0</v>
      </c>
      <c r="S24" s="51" t="n">
        <f aca="false">SUM(P24:R24)</f>
        <v>6</v>
      </c>
      <c r="T24" s="52"/>
      <c r="U24" s="51" t="n">
        <v>0</v>
      </c>
      <c r="V24" s="51" t="n">
        <v>83</v>
      </c>
      <c r="W24" s="6" t="n">
        <f aca="false">N24+O24+S24+U24+V24</f>
        <v>89</v>
      </c>
      <c r="X24" s="51" t="n">
        <f aca="false">IF(L24&lt;0,L24*-1,0)</f>
        <v>0</v>
      </c>
      <c r="Y24" s="51" t="n">
        <f aca="false">W24+X24</f>
        <v>89</v>
      </c>
      <c r="Z24" s="56" t="n">
        <v>0</v>
      </c>
      <c r="AA24" s="82"/>
      <c r="AB24" s="57"/>
      <c r="AC24" s="58" t="n">
        <f aca="false">AC23+1</f>
        <v>15</v>
      </c>
      <c r="AD24" s="92"/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6867.58</v>
      </c>
      <c r="C25" s="52" t="n">
        <v>181470</v>
      </c>
      <c r="D25" s="57" t="n">
        <f aca="false">C25-C24</f>
        <v>488</v>
      </c>
      <c r="E25" s="52" t="n">
        <f aca="false">C25-152000</f>
        <v>29470</v>
      </c>
      <c r="F25" s="51" t="n">
        <f aca="false">D25/$D$2</f>
        <v>246.029745399546</v>
      </c>
      <c r="G25" s="51" t="n">
        <v>209</v>
      </c>
      <c r="H25" s="87" t="n">
        <v>11</v>
      </c>
      <c r="I25" s="51" t="n">
        <f aca="false">G25+H25</f>
        <v>220</v>
      </c>
      <c r="J25" s="81" t="n">
        <f aca="false">IF(L25&gt;0,L25,0)</f>
        <v>102.029745399546</v>
      </c>
      <c r="K25" s="51" t="n">
        <f aca="false">I25+J25</f>
        <v>322.029745399546</v>
      </c>
      <c r="L25" s="51" t="n">
        <f aca="false">F25-(I25-W25)</f>
        <v>102.029745399546</v>
      </c>
      <c r="M25" s="51" t="n">
        <v>6</v>
      </c>
      <c r="N25" s="51" t="n">
        <v>0</v>
      </c>
      <c r="O25" s="51" t="n">
        <v>0</v>
      </c>
      <c r="P25" s="6" t="n">
        <f aca="false">M25-(N25+O25)</f>
        <v>6</v>
      </c>
      <c r="Q25" s="51" t="n">
        <v>0</v>
      </c>
      <c r="R25" s="51" t="n">
        <v>0</v>
      </c>
      <c r="S25" s="51" t="n">
        <f aca="false">SUM(P25:R25)</f>
        <v>6</v>
      </c>
      <c r="T25" s="52"/>
      <c r="U25" s="51" t="n">
        <v>0</v>
      </c>
      <c r="V25" s="51" t="n">
        <v>70</v>
      </c>
      <c r="W25" s="6" t="n">
        <f aca="false">N25+O25+S25+U25+V25</f>
        <v>76</v>
      </c>
      <c r="X25" s="51" t="n">
        <f aca="false">IF(L25&lt;0,L25*-1,0)</f>
        <v>0</v>
      </c>
      <c r="Y25" s="51" t="n">
        <f aca="false">W25+X25</f>
        <v>76</v>
      </c>
      <c r="Z25" s="56" t="n">
        <v>0</v>
      </c>
      <c r="AA25" s="82"/>
      <c r="AB25" s="57"/>
      <c r="AC25" s="58" t="n">
        <f aca="false">AC24+1</f>
        <v>16</v>
      </c>
      <c r="AD25" s="92"/>
      <c r="AE25" s="102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6867.77</v>
      </c>
      <c r="C26" s="52" t="n">
        <v>181959</v>
      </c>
      <c r="D26" s="57" t="n">
        <f aca="false">C26-C25</f>
        <v>489</v>
      </c>
      <c r="E26" s="52" t="n">
        <f aca="false">C26-152000</f>
        <v>29959</v>
      </c>
      <c r="F26" s="51" t="n">
        <f aca="false">D26/$D$2</f>
        <v>246.53390471389</v>
      </c>
      <c r="G26" s="51" t="n">
        <v>223</v>
      </c>
      <c r="H26" s="87" t="n">
        <v>8.7</v>
      </c>
      <c r="I26" s="51" t="n">
        <f aca="false">G26+H26</f>
        <v>231.7</v>
      </c>
      <c r="J26" s="81" t="n">
        <f aca="false">IF(L26&gt;0,L26,0)</f>
        <v>71.8339047138896</v>
      </c>
      <c r="K26" s="51" t="n">
        <f aca="false">I26+J26</f>
        <v>303.53390471389</v>
      </c>
      <c r="L26" s="51" t="n">
        <f aca="false">F26-(I26-W26)</f>
        <v>71.8339047138896</v>
      </c>
      <c r="M26" s="51" t="n">
        <v>7</v>
      </c>
      <c r="N26" s="51" t="n">
        <v>0</v>
      </c>
      <c r="O26" s="51" t="n">
        <v>0</v>
      </c>
      <c r="P26" s="6" t="n">
        <f aca="false">M26-(N26+O26)</f>
        <v>7</v>
      </c>
      <c r="Q26" s="51" t="n">
        <v>0</v>
      </c>
      <c r="R26" s="51" t="n">
        <v>0</v>
      </c>
      <c r="S26" s="51" t="n">
        <f aca="false">SUM(P26:R26)</f>
        <v>7</v>
      </c>
      <c r="T26" s="52"/>
      <c r="U26" s="51" t="n">
        <v>0</v>
      </c>
      <c r="V26" s="51" t="n">
        <v>50</v>
      </c>
      <c r="W26" s="6" t="n">
        <f aca="false">N26+O26+S26+U26+V26</f>
        <v>57</v>
      </c>
      <c r="X26" s="51" t="n">
        <f aca="false">IF(L26&lt;0,L26*-1,0)</f>
        <v>0</v>
      </c>
      <c r="Y26" s="51" t="n">
        <f aca="false">W26+X26</f>
        <v>57</v>
      </c>
      <c r="Z26" s="56" t="n">
        <v>0.31</v>
      </c>
      <c r="AA26" s="82" t="n">
        <v>37</v>
      </c>
      <c r="AB26" s="57" t="n">
        <v>22</v>
      </c>
      <c r="AC26" s="58" t="n">
        <f aca="false">AC25+1</f>
        <v>17</v>
      </c>
      <c r="AD26" s="92"/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6868.01</v>
      </c>
      <c r="C27" s="52" t="n">
        <v>182576</v>
      </c>
      <c r="D27" s="57" t="n">
        <f aca="false">C27-C26</f>
        <v>617</v>
      </c>
      <c r="E27" s="52" t="n">
        <f aca="false">C27-152000</f>
        <v>30576</v>
      </c>
      <c r="F27" s="51" t="n">
        <f aca="false">D27/$D$2</f>
        <v>311.066296949836</v>
      </c>
      <c r="G27" s="51" t="n">
        <v>202</v>
      </c>
      <c r="H27" s="87" t="n">
        <v>8.7</v>
      </c>
      <c r="I27" s="51" t="n">
        <f aca="false">G27+H27</f>
        <v>210.7</v>
      </c>
      <c r="J27" s="81" t="n">
        <f aca="false">IF(L27&gt;0,L27,0)</f>
        <v>157.366296949836</v>
      </c>
      <c r="K27" s="51" t="n">
        <f aca="false">I27+J27</f>
        <v>368.066296949836</v>
      </c>
      <c r="L27" s="51" t="n">
        <f aca="false">F27-(I27-W27)</f>
        <v>157.366296949836</v>
      </c>
      <c r="M27" s="51" t="n">
        <v>7</v>
      </c>
      <c r="N27" s="51" t="n">
        <v>0</v>
      </c>
      <c r="O27" s="51" t="n">
        <v>0</v>
      </c>
      <c r="P27" s="6" t="n">
        <f aca="false">M27-(N27+O27)</f>
        <v>7</v>
      </c>
      <c r="Q27" s="51" t="n">
        <v>0</v>
      </c>
      <c r="R27" s="51" t="n">
        <v>0</v>
      </c>
      <c r="S27" s="51" t="n">
        <f aca="false">SUM(P27:R27)</f>
        <v>7</v>
      </c>
      <c r="T27" s="52"/>
      <c r="U27" s="51" t="n">
        <v>0</v>
      </c>
      <c r="V27" s="51" t="n">
        <v>50</v>
      </c>
      <c r="W27" s="6" t="n">
        <f aca="false">N27+O27+S27+U27+V27</f>
        <v>57</v>
      </c>
      <c r="X27" s="51" t="n">
        <f aca="false">IF(L27&lt;0,L27*-1,0)</f>
        <v>0</v>
      </c>
      <c r="Y27" s="51" t="n">
        <f aca="false">W27+X27</f>
        <v>57</v>
      </c>
      <c r="Z27" s="56" t="n">
        <v>0.24</v>
      </c>
      <c r="AA27" s="82" t="n">
        <v>28</v>
      </c>
      <c r="AB27" s="57" t="n">
        <v>14</v>
      </c>
      <c r="AC27" s="58" t="n">
        <f aca="false">AC26+1</f>
        <v>18</v>
      </c>
      <c r="AD27" s="92"/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6868.21</v>
      </c>
      <c r="C28" s="99" t="n">
        <v>183098</v>
      </c>
      <c r="D28" s="57" t="n">
        <f aca="false">C28-C27</f>
        <v>522</v>
      </c>
      <c r="E28" s="52" t="n">
        <f aca="false">C28-152000</f>
        <v>31098</v>
      </c>
      <c r="F28" s="51" t="n">
        <f aca="false">D28/$D$2</f>
        <v>263.17116208722</v>
      </c>
      <c r="G28" s="51" t="n">
        <v>176</v>
      </c>
      <c r="H28" s="87" t="n">
        <v>10</v>
      </c>
      <c r="I28" s="51" t="n">
        <f aca="false">G28+H28</f>
        <v>186</v>
      </c>
      <c r="J28" s="81" t="n">
        <f aca="false">IF(L28&gt;0,L28,0)</f>
        <v>133.17116208722</v>
      </c>
      <c r="K28" s="51" t="n">
        <f aca="false">I28+J28</f>
        <v>319.17116208722</v>
      </c>
      <c r="L28" s="51" t="n">
        <f aca="false">F28-(I28-W28)</f>
        <v>133.17116208722</v>
      </c>
      <c r="M28" s="51" t="n">
        <v>6</v>
      </c>
      <c r="N28" s="51" t="n">
        <v>0</v>
      </c>
      <c r="O28" s="51" t="n">
        <v>0</v>
      </c>
      <c r="P28" s="6" t="n">
        <f aca="false">M28-(N28+O28)</f>
        <v>6</v>
      </c>
      <c r="Q28" s="51" t="n">
        <v>0</v>
      </c>
      <c r="R28" s="51" t="n">
        <v>0</v>
      </c>
      <c r="S28" s="51" t="n">
        <f aca="false">SUM(P28:R28)</f>
        <v>6</v>
      </c>
      <c r="T28" s="52"/>
      <c r="U28" s="51" t="n">
        <v>0</v>
      </c>
      <c r="V28" s="51" t="n">
        <v>50</v>
      </c>
      <c r="W28" s="6" t="n">
        <f aca="false">N28+O28+S28+U28+V28</f>
        <v>56</v>
      </c>
      <c r="X28" s="51" t="n">
        <f aca="false">IF(L28&lt;0,L28*-1,0)</f>
        <v>0</v>
      </c>
      <c r="Y28" s="51" t="n">
        <f aca="false">W28+X28</f>
        <v>56</v>
      </c>
      <c r="Z28" s="56" t="n">
        <v>0</v>
      </c>
      <c r="AA28" s="82" t="n">
        <v>36</v>
      </c>
      <c r="AB28" s="57" t="n">
        <v>9</v>
      </c>
      <c r="AC28" s="58" t="n">
        <f aca="false">AC27+1</f>
        <v>19</v>
      </c>
      <c r="AD28" s="92"/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6868.35</v>
      </c>
      <c r="C29" s="52" t="n">
        <v>183463</v>
      </c>
      <c r="D29" s="57" t="n">
        <f aca="false">C29-C28</f>
        <v>365</v>
      </c>
      <c r="E29" s="52" t="n">
        <f aca="false">C29-152000</f>
        <v>31463</v>
      </c>
      <c r="F29" s="51" t="n">
        <f aca="false">D29/$D$2</f>
        <v>184.018149735316</v>
      </c>
      <c r="G29" s="51" t="n">
        <v>199</v>
      </c>
      <c r="H29" s="87" t="n">
        <v>17</v>
      </c>
      <c r="I29" s="51" t="n">
        <f aca="false">G29+H29</f>
        <v>216</v>
      </c>
      <c r="J29" s="81" t="n">
        <f aca="false">IF(L29&gt;0,L29,0)</f>
        <v>23.0181497353163</v>
      </c>
      <c r="K29" s="51" t="n">
        <f aca="false">I29+J29</f>
        <v>239.018149735316</v>
      </c>
      <c r="L29" s="51" t="n">
        <f aca="false">F29-(I29-W29)</f>
        <v>23.0181497353163</v>
      </c>
      <c r="M29" s="51" t="n">
        <v>6</v>
      </c>
      <c r="N29" s="51" t="n">
        <v>0</v>
      </c>
      <c r="O29" s="51" t="n">
        <v>0</v>
      </c>
      <c r="P29" s="6" t="n">
        <f aca="false">M29-(N29+O29)</f>
        <v>6</v>
      </c>
      <c r="Q29" s="51" t="n">
        <v>0</v>
      </c>
      <c r="R29" s="51" t="n">
        <v>0</v>
      </c>
      <c r="S29" s="51" t="n">
        <f aca="false">SUM(P29:R29)</f>
        <v>6</v>
      </c>
      <c r="T29" s="52"/>
      <c r="U29" s="51" t="n">
        <v>0</v>
      </c>
      <c r="V29" s="51" t="n">
        <v>49</v>
      </c>
      <c r="W29" s="6" t="n">
        <f aca="false">N29+O29+S29+U29+V29</f>
        <v>55</v>
      </c>
      <c r="X29" s="51" t="n">
        <f aca="false">IF(L29&lt;0,L29*-1,0)</f>
        <v>0</v>
      </c>
      <c r="Y29" s="51" t="n">
        <f aca="false">W29+X29</f>
        <v>55</v>
      </c>
      <c r="Z29" s="56" t="n">
        <v>0</v>
      </c>
      <c r="AA29" s="82" t="n">
        <v>35</v>
      </c>
      <c r="AB29" s="57" t="n">
        <v>27</v>
      </c>
      <c r="AC29" s="58" t="n">
        <f aca="false">AC28+1</f>
        <v>20</v>
      </c>
      <c r="AD29" s="92"/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73" t="n">
        <v>6868.6</v>
      </c>
      <c r="C30" s="52" t="n">
        <v>184115</v>
      </c>
      <c r="D30" s="57" t="n">
        <f aca="false">C30-C29</f>
        <v>652</v>
      </c>
      <c r="E30" s="52" t="n">
        <f aca="false">C30-152000</f>
        <v>32115</v>
      </c>
      <c r="F30" s="51" t="n">
        <f aca="false">D30/$D$2</f>
        <v>328.711872951853</v>
      </c>
      <c r="G30" s="101" t="n">
        <v>202</v>
      </c>
      <c r="H30" s="87" t="n">
        <v>26</v>
      </c>
      <c r="I30" s="51" t="n">
        <f aca="false">G30+H30</f>
        <v>228</v>
      </c>
      <c r="J30" s="81" t="n">
        <f aca="false">IF(L30&gt;0,L30,0)</f>
        <v>155.711872951853</v>
      </c>
      <c r="K30" s="51" t="n">
        <f aca="false">I30+J30</f>
        <v>383.711872951853</v>
      </c>
      <c r="L30" s="51" t="n">
        <f aca="false">F30-(I30-W30)</f>
        <v>155.711872951853</v>
      </c>
      <c r="M30" s="51" t="n">
        <v>6</v>
      </c>
      <c r="N30" s="51" t="n">
        <v>0</v>
      </c>
      <c r="O30" s="51" t="n">
        <v>0</v>
      </c>
      <c r="P30" s="6" t="n">
        <f aca="false">M30-(N30+O30)</f>
        <v>6</v>
      </c>
      <c r="Q30" s="51" t="n">
        <v>0</v>
      </c>
      <c r="R30" s="51" t="n">
        <v>0</v>
      </c>
      <c r="S30" s="51" t="n">
        <f aca="false">SUM(P30:R30)</f>
        <v>6</v>
      </c>
      <c r="T30" s="52"/>
      <c r="U30" s="51" t="n">
        <v>0</v>
      </c>
      <c r="V30" s="51" t="n">
        <v>49</v>
      </c>
      <c r="W30" s="6" t="n">
        <f aca="false">N30+O30+S30+U30+V30</f>
        <v>55</v>
      </c>
      <c r="X30" s="51" t="n">
        <f aca="false">IF(L30&lt;0,L30*-1,0)</f>
        <v>0</v>
      </c>
      <c r="Y30" s="51" t="n">
        <f aca="false">W30+X30</f>
        <v>55</v>
      </c>
      <c r="Z30" s="56" t="n">
        <v>0</v>
      </c>
      <c r="AA30" s="57" t="n">
        <v>45</v>
      </c>
      <c r="AB30" s="57" t="n">
        <v>20</v>
      </c>
      <c r="AC30" s="58" t="n">
        <f aca="false">AC29+1</f>
        <v>21</v>
      </c>
      <c r="AD30" s="92"/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6868.82</v>
      </c>
      <c r="C31" s="52" t="n">
        <v>184689</v>
      </c>
      <c r="D31" s="57" t="n">
        <f aca="false">C31-C30</f>
        <v>574</v>
      </c>
      <c r="E31" s="52" t="n">
        <f aca="false">C31-152000</f>
        <v>32689</v>
      </c>
      <c r="F31" s="51" t="n">
        <f aca="false">D31/$D$2</f>
        <v>289.387446433073</v>
      </c>
      <c r="G31" s="51" t="n">
        <v>264</v>
      </c>
      <c r="H31" s="87" t="n">
        <v>52</v>
      </c>
      <c r="I31" s="51" t="n">
        <f aca="false">G31+H31</f>
        <v>316</v>
      </c>
      <c r="J31" s="81" t="n">
        <f aca="false">IF(L31&gt;0,L31,0)</f>
        <v>28.3874464330729</v>
      </c>
      <c r="K31" s="51" t="n">
        <f aca="false">I31+J31</f>
        <v>344.387446433073</v>
      </c>
      <c r="L31" s="51" t="n">
        <f aca="false">F31-(I31-W31)</f>
        <v>28.3874464330729</v>
      </c>
      <c r="M31" s="51" t="n">
        <v>6</v>
      </c>
      <c r="N31" s="51" t="n">
        <v>0</v>
      </c>
      <c r="O31" s="51" t="n">
        <v>0</v>
      </c>
      <c r="P31" s="6" t="n">
        <f aca="false">M31-(N31+O31)</f>
        <v>6</v>
      </c>
      <c r="Q31" s="51" t="n">
        <v>0</v>
      </c>
      <c r="R31" s="51" t="n">
        <v>0</v>
      </c>
      <c r="S31" s="51" t="n">
        <f aca="false">SUM(P31:R31)</f>
        <v>6</v>
      </c>
      <c r="T31" s="52"/>
      <c r="U31" s="51" t="n">
        <v>0</v>
      </c>
      <c r="V31" s="51" t="n">
        <v>49</v>
      </c>
      <c r="W31" s="6" t="n">
        <f aca="false">N31+O31+S31+U31+V31</f>
        <v>55</v>
      </c>
      <c r="X31" s="51" t="n">
        <f aca="false">IF(L31&lt;0,L31*-1,0)</f>
        <v>0</v>
      </c>
      <c r="Y31" s="51" t="n">
        <f aca="false">W31+X31</f>
        <v>55</v>
      </c>
      <c r="Z31" s="56" t="n">
        <v>0</v>
      </c>
      <c r="AA31" s="57"/>
      <c r="AB31" s="57"/>
      <c r="AC31" s="58" t="n">
        <f aca="false">AC30+1</f>
        <v>22</v>
      </c>
      <c r="AD31" s="92"/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6869.25</v>
      </c>
      <c r="C32" s="52" t="n">
        <v>185819</v>
      </c>
      <c r="D32" s="57" t="n">
        <f aca="false">C32-C31</f>
        <v>1130</v>
      </c>
      <c r="E32" s="52" t="n">
        <f aca="false">C32-152000</f>
        <v>33819</v>
      </c>
      <c r="F32" s="51" t="n">
        <f aca="false">D32/$D$2</f>
        <v>569.700025207966</v>
      </c>
      <c r="G32" s="51" t="n">
        <v>354</v>
      </c>
      <c r="H32" s="87" t="n">
        <v>88</v>
      </c>
      <c r="I32" s="51" t="n">
        <f aca="false">G32+H32</f>
        <v>442</v>
      </c>
      <c r="J32" s="81" t="n">
        <f aca="false">IF(L32&gt;0,L32,0)</f>
        <v>182.700025207966</v>
      </c>
      <c r="K32" s="51" t="n">
        <f aca="false">I32+J32</f>
        <v>624.700025207966</v>
      </c>
      <c r="L32" s="51" t="n">
        <f aca="false">F32-(I32-W32)</f>
        <v>182.700025207966</v>
      </c>
      <c r="M32" s="51" t="n">
        <v>6</v>
      </c>
      <c r="N32" s="51" t="n">
        <v>0</v>
      </c>
      <c r="O32" s="51" t="n">
        <v>0</v>
      </c>
      <c r="P32" s="6" t="n">
        <f aca="false">M32-(N32+O32)</f>
        <v>6</v>
      </c>
      <c r="Q32" s="51" t="n">
        <v>0</v>
      </c>
      <c r="R32" s="51" t="n">
        <v>0</v>
      </c>
      <c r="S32" s="51" t="n">
        <f aca="false">SUM(P32:R32)</f>
        <v>6</v>
      </c>
      <c r="T32" s="52"/>
      <c r="U32" s="51" t="n">
        <v>0</v>
      </c>
      <c r="V32" s="51" t="n">
        <v>49</v>
      </c>
      <c r="W32" s="6" t="n">
        <f aca="false">N32+O32+S32+U32+V32</f>
        <v>55</v>
      </c>
      <c r="X32" s="51" t="n">
        <f aca="false">IF(L32&lt;0,L32*-1,0)</f>
        <v>0</v>
      </c>
      <c r="Y32" s="51" t="n">
        <f aca="false">W32+X32</f>
        <v>55</v>
      </c>
      <c r="Z32" s="56" t="n">
        <v>0</v>
      </c>
      <c r="AA32" s="57"/>
      <c r="AB32" s="82"/>
      <c r="AC32" s="58" t="n">
        <f aca="false">AC31+1</f>
        <v>23</v>
      </c>
      <c r="AD32" s="92"/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6869.93</v>
      </c>
      <c r="C33" s="52" t="n">
        <v>187618</v>
      </c>
      <c r="D33" s="57" t="n">
        <f aca="false">C33-C32</f>
        <v>1799</v>
      </c>
      <c r="E33" s="52" t="n">
        <f aca="false">C33-152000</f>
        <v>35618</v>
      </c>
      <c r="F33" s="51" t="n">
        <f aca="false">D33/$D$2</f>
        <v>906.982606503655</v>
      </c>
      <c r="G33" s="51" t="n">
        <v>444</v>
      </c>
      <c r="H33" s="87" t="n">
        <v>116</v>
      </c>
      <c r="I33" s="51" t="n">
        <f aca="false">G33+H33</f>
        <v>560</v>
      </c>
      <c r="J33" s="81" t="n">
        <f aca="false">IF(L33&gt;0,L33,0)</f>
        <v>401.982606503655</v>
      </c>
      <c r="K33" s="51" t="n">
        <f aca="false">I33+J33</f>
        <v>961.982606503655</v>
      </c>
      <c r="L33" s="51" t="n">
        <f aca="false">F33-(I33-W33)</f>
        <v>401.982606503655</v>
      </c>
      <c r="M33" s="51" t="n">
        <v>6</v>
      </c>
      <c r="N33" s="51" t="n">
        <v>0</v>
      </c>
      <c r="O33" s="51" t="n">
        <v>0</v>
      </c>
      <c r="P33" s="6" t="n">
        <f aca="false">M33-(N33+O33)</f>
        <v>6</v>
      </c>
      <c r="Q33" s="51" t="n">
        <v>0</v>
      </c>
      <c r="R33" s="51" t="n">
        <v>0</v>
      </c>
      <c r="S33" s="51" t="n">
        <f aca="false">SUM(P33:R33)</f>
        <v>6</v>
      </c>
      <c r="T33" s="52"/>
      <c r="U33" s="51" t="n">
        <v>0</v>
      </c>
      <c r="V33" s="51" t="n">
        <v>49</v>
      </c>
      <c r="W33" s="6" t="n">
        <f aca="false">N33+O33+S33+U33+V33</f>
        <v>55</v>
      </c>
      <c r="X33" s="51" t="n">
        <f aca="false">IF(L33&lt;0,L33*-1,0)</f>
        <v>0</v>
      </c>
      <c r="Y33" s="51" t="n">
        <f aca="false">W33+X33</f>
        <v>55</v>
      </c>
      <c r="Z33" s="56" t="n">
        <v>0</v>
      </c>
      <c r="AA33" s="57" t="n">
        <v>61</v>
      </c>
      <c r="AB33" s="82" t="n">
        <v>24</v>
      </c>
      <c r="AC33" s="58" t="n">
        <f aca="false">AC32+1</f>
        <v>24</v>
      </c>
      <c r="AD33" s="92"/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6870.75</v>
      </c>
      <c r="C34" s="52" t="n">
        <v>189814</v>
      </c>
      <c r="D34" s="57" t="n">
        <f aca="false">C34-C33</f>
        <v>2196</v>
      </c>
      <c r="E34" s="52" t="n">
        <f aca="false">C34-152000</f>
        <v>37814</v>
      </c>
      <c r="F34" s="51" t="n">
        <f aca="false">D34/$D$2</f>
        <v>1107.13385429796</v>
      </c>
      <c r="G34" s="51" t="n">
        <v>446</v>
      </c>
      <c r="H34" s="87" t="n">
        <v>110</v>
      </c>
      <c r="I34" s="51" t="n">
        <f aca="false">G34+H34</f>
        <v>556</v>
      </c>
      <c r="J34" s="81" t="n">
        <f aca="false">IF(L34&gt;0,L34,0)</f>
        <v>674.133854297958</v>
      </c>
      <c r="K34" s="51" t="n">
        <f aca="false">I34+J34</f>
        <v>1230.13385429796</v>
      </c>
      <c r="L34" s="51" t="n">
        <f aca="false">F34-(I34-W34)</f>
        <v>674.133854297958</v>
      </c>
      <c r="M34" s="51" t="n">
        <v>7</v>
      </c>
      <c r="N34" s="51" t="n">
        <v>0</v>
      </c>
      <c r="O34" s="51" t="n">
        <v>0</v>
      </c>
      <c r="P34" s="6" t="n">
        <f aca="false">M34-(N34+O34)</f>
        <v>7</v>
      </c>
      <c r="Q34" s="51" t="n">
        <v>65</v>
      </c>
      <c r="R34" s="51" t="n">
        <v>0</v>
      </c>
      <c r="S34" s="51" t="n">
        <f aca="false">SUM(P34:R34)</f>
        <v>72</v>
      </c>
      <c r="T34" s="52"/>
      <c r="U34" s="51" t="n">
        <v>0</v>
      </c>
      <c r="V34" s="51" t="n">
        <v>51</v>
      </c>
      <c r="W34" s="6" t="n">
        <f aca="false">N34+O34+S34+U34+V34</f>
        <v>123</v>
      </c>
      <c r="X34" s="51" t="n">
        <f aca="false">IF(L34&lt;0,L34*-1,0)</f>
        <v>0</v>
      </c>
      <c r="Y34" s="51" t="n">
        <f aca="false">W34+X34</f>
        <v>123</v>
      </c>
      <c r="Z34" s="56" t="n">
        <v>0</v>
      </c>
      <c r="AA34" s="57" t="n">
        <v>56</v>
      </c>
      <c r="AB34" s="82" t="n">
        <v>25</v>
      </c>
      <c r="AC34" s="58" t="n">
        <f aca="false">AC33+1</f>
        <v>25</v>
      </c>
      <c r="AD34" s="92"/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6871.36</v>
      </c>
      <c r="C35" s="52" t="n">
        <v>191462</v>
      </c>
      <c r="D35" s="57" t="n">
        <f aca="false">C35-C34</f>
        <v>1648</v>
      </c>
      <c r="E35" s="52" t="n">
        <f aca="false">C35-152000</f>
        <v>39462</v>
      </c>
      <c r="F35" s="51" t="n">
        <f aca="false">D35/$D$2</f>
        <v>830.854550037812</v>
      </c>
      <c r="G35" s="51" t="n">
        <v>522</v>
      </c>
      <c r="H35" s="87" t="n">
        <v>135</v>
      </c>
      <c r="I35" s="51" t="n">
        <f aca="false">G35+H35</f>
        <v>657</v>
      </c>
      <c r="J35" s="81" t="n">
        <f aca="false">IF(L35&gt;0,L35,0)</f>
        <v>336.854550037812</v>
      </c>
      <c r="K35" s="51" t="n">
        <f aca="false">I35+J35</f>
        <v>993.854550037812</v>
      </c>
      <c r="L35" s="51" t="n">
        <f aca="false">F35-(I35-W35)</f>
        <v>336.854550037812</v>
      </c>
      <c r="M35" s="51" t="n">
        <v>5</v>
      </c>
      <c r="N35" s="51" t="n">
        <v>0</v>
      </c>
      <c r="O35" s="51" t="n">
        <v>0</v>
      </c>
      <c r="P35" s="6" t="n">
        <f aca="false">M35-(N35+O35)</f>
        <v>5</v>
      </c>
      <c r="Q35" s="51" t="n">
        <v>106</v>
      </c>
      <c r="R35" s="51" t="n">
        <v>0</v>
      </c>
      <c r="S35" s="51" t="n">
        <f aca="false">SUM(P35:R35)</f>
        <v>111</v>
      </c>
      <c r="T35" s="52"/>
      <c r="U35" s="51" t="n">
        <v>0</v>
      </c>
      <c r="V35" s="51" t="n">
        <v>52</v>
      </c>
      <c r="W35" s="6" t="n">
        <f aca="false">N35+O35+S35+U35+V35</f>
        <v>163</v>
      </c>
      <c r="X35" s="51" t="n">
        <f aca="false">IF(L35&lt;0,L35*-1,0)</f>
        <v>0</v>
      </c>
      <c r="Y35" s="51" t="n">
        <f aca="false">W35+X35</f>
        <v>163</v>
      </c>
      <c r="Z35" s="56" t="n">
        <v>0</v>
      </c>
      <c r="AA35" s="57" t="n">
        <v>60</v>
      </c>
      <c r="AB35" s="57" t="n">
        <v>29</v>
      </c>
      <c r="AC35" s="58" t="n">
        <f aca="false">AC34+1</f>
        <v>26</v>
      </c>
      <c r="AD35" s="92"/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6872.2</v>
      </c>
      <c r="C36" s="52" t="n">
        <v>193751</v>
      </c>
      <c r="D36" s="57" t="n">
        <f aca="false">C36-C35</f>
        <v>2289</v>
      </c>
      <c r="E36" s="52" t="n">
        <f aca="false">C36-152000</f>
        <v>41751</v>
      </c>
      <c r="F36" s="51" t="n">
        <f aca="false">D36/$D$2</f>
        <v>1154.02067053189</v>
      </c>
      <c r="G36" s="51" t="n">
        <v>636</v>
      </c>
      <c r="H36" s="87" t="n">
        <v>164</v>
      </c>
      <c r="I36" s="51" t="n">
        <f aca="false">G36+H36</f>
        <v>800</v>
      </c>
      <c r="J36" s="81" t="n">
        <f aca="false">IF(L36&gt;0,L36,0)</f>
        <v>484.020670531888</v>
      </c>
      <c r="K36" s="51" t="n">
        <f aca="false">I36+J36</f>
        <v>1284.02067053189</v>
      </c>
      <c r="L36" s="51" t="n">
        <f aca="false">F36-(I36-W36)</f>
        <v>484.020670531888</v>
      </c>
      <c r="M36" s="51" t="n">
        <v>5</v>
      </c>
      <c r="N36" s="51" t="n">
        <v>0</v>
      </c>
      <c r="O36" s="51" t="n">
        <v>0</v>
      </c>
      <c r="P36" s="6" t="n">
        <f aca="false">M36-(N36+O36)</f>
        <v>5</v>
      </c>
      <c r="Q36" s="51" t="n">
        <v>72</v>
      </c>
      <c r="R36" s="51" t="n">
        <v>1</v>
      </c>
      <c r="S36" s="51" t="n">
        <f aca="false">SUM(P36:R36)</f>
        <v>78</v>
      </c>
      <c r="T36" s="52"/>
      <c r="U36" s="51" t="n">
        <v>0</v>
      </c>
      <c r="V36" s="51" t="n">
        <v>52</v>
      </c>
      <c r="W36" s="6" t="n">
        <f aca="false">N36+O36+S36+U36+V36</f>
        <v>130</v>
      </c>
      <c r="X36" s="51" t="n">
        <f aca="false">IF(L36&lt;0,L36*-1,0)</f>
        <v>0</v>
      </c>
      <c r="Y36" s="51" t="n">
        <f aca="false">W36+X36</f>
        <v>130</v>
      </c>
      <c r="Z36" s="56" t="n">
        <v>0</v>
      </c>
      <c r="AA36" s="57" t="n">
        <v>62</v>
      </c>
      <c r="AB36" s="57" t="n">
        <v>27</v>
      </c>
      <c r="AC36" s="58" t="n">
        <f aca="false">AC35+1</f>
        <v>27</v>
      </c>
      <c r="AD36" s="92"/>
      <c r="AE36" s="94"/>
      <c r="AF36" s="93"/>
    </row>
    <row r="37" customFormat="false" ht="11.1" hidden="false" customHeight="true" outlineLevel="0" collapsed="false">
      <c r="A37" s="58" t="n">
        <f aca="false">A36+1</f>
        <v>28</v>
      </c>
      <c r="B37" s="73" t="n">
        <v>6873.22</v>
      </c>
      <c r="C37" s="52" t="n">
        <v>196566</v>
      </c>
      <c r="D37" s="57" t="n">
        <f aca="false">C37-C36</f>
        <v>2815</v>
      </c>
      <c r="E37" s="52" t="n">
        <f aca="false">C37-152000</f>
        <v>44566</v>
      </c>
      <c r="F37" s="51" t="n">
        <f aca="false">D37/$D$2</f>
        <v>1419.20846987648</v>
      </c>
      <c r="G37" s="51" t="n">
        <v>748</v>
      </c>
      <c r="H37" s="87" t="n">
        <v>187</v>
      </c>
      <c r="I37" s="51" t="n">
        <f aca="false">G37+H37</f>
        <v>935</v>
      </c>
      <c r="J37" s="81" t="n">
        <f aca="false">IF(L37&gt;0,L37,0)</f>
        <v>651.208469876481</v>
      </c>
      <c r="K37" s="51" t="n">
        <f aca="false">I37+J37</f>
        <v>1586.20846987648</v>
      </c>
      <c r="L37" s="51" t="n">
        <f aca="false">F37-(I37-W37)</f>
        <v>651.208469876481</v>
      </c>
      <c r="M37" s="51" t="n">
        <v>6</v>
      </c>
      <c r="N37" s="51" t="n">
        <v>0</v>
      </c>
      <c r="O37" s="51" t="n">
        <v>0</v>
      </c>
      <c r="P37" s="6" t="n">
        <f aca="false">M37-(N37+O37)</f>
        <v>6</v>
      </c>
      <c r="Q37" s="51" t="n">
        <v>72</v>
      </c>
      <c r="R37" s="51" t="n">
        <v>12</v>
      </c>
      <c r="S37" s="51" t="n">
        <f aca="false">SUM(P37:R37)</f>
        <v>90</v>
      </c>
      <c r="T37" s="52"/>
      <c r="U37" s="51" t="n">
        <v>0</v>
      </c>
      <c r="V37" s="51" t="n">
        <v>77</v>
      </c>
      <c r="W37" s="6" t="n">
        <f aca="false">N37+O37+S37+U37+V37</f>
        <v>167</v>
      </c>
      <c r="X37" s="51" t="n">
        <f aca="false">IF(L37&lt;0,L37*-1,0)</f>
        <v>0</v>
      </c>
      <c r="Y37" s="51" t="n">
        <f aca="false">W37+X37</f>
        <v>167</v>
      </c>
      <c r="Z37" s="56" t="n">
        <v>0</v>
      </c>
      <c r="AA37" s="57"/>
      <c r="AB37" s="57"/>
      <c r="AC37" s="58" t="n">
        <f aca="false">AC36+1</f>
        <v>28</v>
      </c>
      <c r="AD37" s="92"/>
      <c r="AE37" s="94"/>
      <c r="AF37" s="93"/>
    </row>
    <row r="38" customFormat="false" ht="11.1" hidden="false" customHeight="true" outlineLevel="0" collapsed="false">
      <c r="A38" s="58" t="n">
        <f aca="false">A37+1</f>
        <v>29</v>
      </c>
      <c r="B38" s="73" t="n">
        <v>6874.2</v>
      </c>
      <c r="C38" s="52" t="n">
        <v>199304</v>
      </c>
      <c r="D38" s="57" t="n">
        <f aca="false">C38-C37</f>
        <v>2738</v>
      </c>
      <c r="E38" s="52" t="n">
        <f aca="false">C38-152000</f>
        <v>47304</v>
      </c>
      <c r="F38" s="51" t="n">
        <f aca="false">D38/$D$2</f>
        <v>1380.38820267204</v>
      </c>
      <c r="G38" s="51" t="n">
        <v>891</v>
      </c>
      <c r="H38" s="87" t="n">
        <v>219</v>
      </c>
      <c r="I38" s="51" t="n">
        <f aca="false">G38+H38</f>
        <v>1110</v>
      </c>
      <c r="J38" s="81" t="n">
        <f aca="false">IF(L38&gt;0,L38,0)</f>
        <v>566.388202672044</v>
      </c>
      <c r="K38" s="51" t="n">
        <f aca="false">I38+J38</f>
        <v>1676.38820267204</v>
      </c>
      <c r="L38" s="51" t="n">
        <f aca="false">F38-(I38-W38)</f>
        <v>566.388202672044</v>
      </c>
      <c r="M38" s="51" t="n">
        <v>13</v>
      </c>
      <c r="N38" s="51" t="n">
        <v>0</v>
      </c>
      <c r="O38" s="51" t="n">
        <v>0</v>
      </c>
      <c r="P38" s="6" t="n">
        <f aca="false">M38-(N38+O38)</f>
        <v>13</v>
      </c>
      <c r="Q38" s="51" t="n">
        <v>139</v>
      </c>
      <c r="R38" s="51" t="n">
        <v>20</v>
      </c>
      <c r="S38" s="51" t="n">
        <f aca="false">SUM(P38:R38)</f>
        <v>172</v>
      </c>
      <c r="T38" s="52"/>
      <c r="U38" s="51" t="n">
        <v>0</v>
      </c>
      <c r="V38" s="51" t="n">
        <v>124</v>
      </c>
      <c r="W38" s="6" t="n">
        <f aca="false">N38+O38+S38+U38+V38</f>
        <v>296</v>
      </c>
      <c r="X38" s="51" t="n">
        <f aca="false">IF(L38&lt;0,L38*-1,0)</f>
        <v>0</v>
      </c>
      <c r="Y38" s="51" t="n">
        <f aca="false">W38+X38</f>
        <v>296</v>
      </c>
      <c r="Z38" s="56" t="n">
        <v>0</v>
      </c>
      <c r="AA38" s="82"/>
      <c r="AB38" s="57"/>
      <c r="AC38" s="58" t="n">
        <f aca="false">AC37+1</f>
        <v>29</v>
      </c>
      <c r="AD38" s="92"/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6875.4</v>
      </c>
      <c r="C39" s="52" t="n">
        <v>202702</v>
      </c>
      <c r="D39" s="57" t="n">
        <f aca="false">C39-C38</f>
        <v>3398</v>
      </c>
      <c r="E39" s="52" t="n">
        <f aca="false">C39-152000</f>
        <v>50702</v>
      </c>
      <c r="F39" s="51" t="n">
        <f aca="false">D39/$D$2</f>
        <v>1713.13335013864</v>
      </c>
      <c r="G39" s="51" t="n">
        <v>963</v>
      </c>
      <c r="H39" s="87" t="n">
        <v>271</v>
      </c>
      <c r="I39" s="51" t="n">
        <f aca="false">G39+H39</f>
        <v>1234</v>
      </c>
      <c r="J39" s="81" t="n">
        <f aca="false">IF(L39&gt;0,L39,0)</f>
        <v>1019.13335013864</v>
      </c>
      <c r="K39" s="51" t="n">
        <f aca="false">I39+J39</f>
        <v>2253.13335013864</v>
      </c>
      <c r="L39" s="51" t="n">
        <f aca="false">F39-(I39-W39)</f>
        <v>1019.13335013864</v>
      </c>
      <c r="M39" s="51" t="n">
        <v>15</v>
      </c>
      <c r="N39" s="51" t="n">
        <v>0</v>
      </c>
      <c r="O39" s="51" t="n">
        <v>0</v>
      </c>
      <c r="P39" s="6" t="n">
        <f aca="false">M39-(N39+O39)</f>
        <v>15</v>
      </c>
      <c r="Q39" s="51" t="n">
        <v>268</v>
      </c>
      <c r="R39" s="51" t="n">
        <v>22</v>
      </c>
      <c r="S39" s="51" t="n">
        <f aca="false">SUM(P39:R39)</f>
        <v>305</v>
      </c>
      <c r="T39" s="52"/>
      <c r="U39" s="51" t="n">
        <v>0</v>
      </c>
      <c r="V39" s="51" t="n">
        <v>235</v>
      </c>
      <c r="W39" s="6" t="n">
        <f aca="false">N39+O39+S39+U39+V39</f>
        <v>540</v>
      </c>
      <c r="X39" s="51" t="n">
        <f aca="false">IF(L39&lt;0,L39*-1,0)</f>
        <v>0</v>
      </c>
      <c r="Y39" s="51" t="n">
        <f aca="false">W39+X39</f>
        <v>540</v>
      </c>
      <c r="Z39" s="56" t="n">
        <v>0</v>
      </c>
      <c r="AA39" s="82"/>
      <c r="AB39" s="57"/>
      <c r="AC39" s="58" t="n">
        <v>30</v>
      </c>
      <c r="AD39" s="92"/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6876.4</v>
      </c>
      <c r="C40" s="52" t="n">
        <v>205571</v>
      </c>
      <c r="D40" s="57" t="n">
        <f aca="false">C40-C39</f>
        <v>2869</v>
      </c>
      <c r="E40" s="52" t="n">
        <f aca="false">C40-152000</f>
        <v>53571</v>
      </c>
      <c r="F40" s="51" t="n">
        <f aca="false">D40/$D$2</f>
        <v>1446.43307285102</v>
      </c>
      <c r="G40" s="51" t="n">
        <v>964</v>
      </c>
      <c r="H40" s="87" t="n">
        <v>278</v>
      </c>
      <c r="I40" s="51" t="n">
        <f aca="false">G40+H40</f>
        <v>1242</v>
      </c>
      <c r="J40" s="81" t="n">
        <f aca="false">IF(L40&gt;0,L40,0)</f>
        <v>1162.43307285102</v>
      </c>
      <c r="K40" s="51" t="n">
        <f aca="false">I40+J40</f>
        <v>2404.43307285102</v>
      </c>
      <c r="L40" s="51" t="n">
        <f aca="false">F40-(I40-W40)</f>
        <v>1162.43307285102</v>
      </c>
      <c r="M40" s="51" t="n">
        <v>15</v>
      </c>
      <c r="N40" s="51" t="n">
        <v>0</v>
      </c>
      <c r="O40" s="51" t="n">
        <v>0</v>
      </c>
      <c r="P40" s="6" t="n">
        <f aca="false">M40-(N40+O40)</f>
        <v>15</v>
      </c>
      <c r="Q40" s="51" t="n">
        <v>326</v>
      </c>
      <c r="R40" s="51" t="n">
        <v>20</v>
      </c>
      <c r="S40" s="51" t="n">
        <f aca="false">SUM(P40:R40)</f>
        <v>361</v>
      </c>
      <c r="T40" s="52"/>
      <c r="U40" s="51" t="n">
        <v>0</v>
      </c>
      <c r="V40" s="51" t="n">
        <v>597</v>
      </c>
      <c r="W40" s="6" t="n">
        <f aca="false">N40+O40+S40+U40+V40</f>
        <v>958</v>
      </c>
      <c r="X40" s="51" t="n">
        <f aca="false">IF(L40&lt;0,L40*-1,0)</f>
        <v>0</v>
      </c>
      <c r="Y40" s="51" t="n">
        <f aca="false">W40+X40</f>
        <v>958</v>
      </c>
      <c r="Z40" s="56" t="n">
        <v>0</v>
      </c>
      <c r="AA40" s="82" t="n">
        <v>65</v>
      </c>
      <c r="AB40" s="57" t="n">
        <v>29</v>
      </c>
      <c r="AC40" s="58" t="n">
        <v>31</v>
      </c>
      <c r="AD40" s="92"/>
      <c r="AE40" s="92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 t="n">
        <v>1040</v>
      </c>
      <c r="H41" s="95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20387.1943534157</v>
      </c>
      <c r="G42" s="52" t="n">
        <f aca="false">SUM(G10:G41)</f>
        <v>12844</v>
      </c>
      <c r="H42" s="87" t="n">
        <f aca="false">SUM(H10:H40)</f>
        <v>1911.9</v>
      </c>
      <c r="I42" s="52" t="n">
        <f aca="false">SUM(I10:I40)</f>
        <v>13715.9</v>
      </c>
      <c r="J42" s="52" t="n">
        <f aca="false">SUM(J10:J40)</f>
        <v>10575.2943534157</v>
      </c>
      <c r="K42" s="52" t="n">
        <f aca="false">SUM(K10:K40)</f>
        <v>24291.1943534157</v>
      </c>
      <c r="L42" s="52" t="n">
        <f aca="false">SUM(L10:L40)</f>
        <v>10575.2943534157</v>
      </c>
      <c r="M42" s="52" t="n">
        <f aca="false">SUM(M10:M40)</f>
        <v>310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310</v>
      </c>
      <c r="Q42" s="52" t="n">
        <f aca="false">SUM(Q10:Q40)</f>
        <v>1048</v>
      </c>
      <c r="R42" s="52" t="n">
        <f aca="false">SUM(R10:R40)</f>
        <v>75</v>
      </c>
      <c r="S42" s="52" t="n">
        <f aca="false">SUM(S10:S40)</f>
        <v>1433</v>
      </c>
      <c r="T42" s="52"/>
      <c r="U42" s="52" t="n">
        <f aca="false">SUM(U10:U40)</f>
        <v>0</v>
      </c>
      <c r="V42" s="52" t="n">
        <f aca="false">SUM(V10:V40)</f>
        <v>2471</v>
      </c>
      <c r="W42" s="52" t="n">
        <f aca="false">SUM(W10:W40)</f>
        <v>3904</v>
      </c>
      <c r="X42" s="52" t="n">
        <f aca="false">SUM(X10:X40)</f>
        <v>0</v>
      </c>
      <c r="Y42" s="52" t="n">
        <f aca="false">SUM(Y10:Y40)</f>
        <v>3904</v>
      </c>
      <c r="Z42" s="56" t="n">
        <f aca="false">SUM(Z10:Z40)</f>
        <v>0.95</v>
      </c>
      <c r="AA42" s="57" t="n">
        <f aca="false">AVERAGE(AA10:AA40)</f>
        <v>50.1875</v>
      </c>
      <c r="AB42" s="57" t="n">
        <f aca="false">AVERAGE(AB10:AB40)</f>
        <v>23.875</v>
      </c>
      <c r="AC42" s="58" t="s">
        <v>57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40438</v>
      </c>
      <c r="E43" s="52"/>
      <c r="F43" s="52" t="n">
        <f aca="false">F42*$D$2</f>
        <v>40438</v>
      </c>
      <c r="G43" s="52" t="n">
        <f aca="false">G42*$D$2</f>
        <v>25476.074</v>
      </c>
      <c r="H43" s="87" t="n">
        <f aca="false">H42*$D$2</f>
        <v>3792.25365</v>
      </c>
      <c r="I43" s="52" t="n">
        <f aca="false">I42*$D$2</f>
        <v>27205.48765</v>
      </c>
      <c r="J43" s="52" t="n">
        <f aca="false">J42*$D$2</f>
        <v>20976.09635</v>
      </c>
      <c r="K43" s="52" t="n">
        <f aca="false">K42*$D$2</f>
        <v>48181.584</v>
      </c>
      <c r="L43" s="52" t="n">
        <f aca="false">L42*$D$2</f>
        <v>20976.09635</v>
      </c>
      <c r="M43" s="52" t="n">
        <f aca="false">M42*$D$2</f>
        <v>614.885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614.885</v>
      </c>
      <c r="Q43" s="52" t="n">
        <f aca="false">Q42*$D$2</f>
        <v>2078.708</v>
      </c>
      <c r="R43" s="52" t="n">
        <f aca="false">R42*$D$2</f>
        <v>148.7625</v>
      </c>
      <c r="S43" s="52" t="n">
        <f aca="false">S42*$D$2</f>
        <v>2842.3555</v>
      </c>
      <c r="T43" s="52"/>
      <c r="U43" s="52" t="n">
        <f aca="false">U42*$D$2</f>
        <v>0</v>
      </c>
      <c r="V43" s="52" t="n">
        <f aca="false">V42*$D$2</f>
        <v>4901.2285</v>
      </c>
      <c r="W43" s="52" t="n">
        <f aca="false">W42*$D$2</f>
        <v>7743.584</v>
      </c>
      <c r="X43" s="52" t="n">
        <f aca="false">X42*$D$2</f>
        <v>0</v>
      </c>
      <c r="Y43" s="52" t="n">
        <f aca="false">Y42*$D$2</f>
        <v>7743.584</v>
      </c>
      <c r="Z43" s="56"/>
      <c r="AA43" s="57" t="n">
        <f aca="false">MAX(AA10:AA40)</f>
        <v>65</v>
      </c>
      <c r="AB43" s="57" t="n">
        <f aca="false">MAX(AB10:AB40)</f>
        <v>29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95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/>
      <c r="G45" s="52"/>
      <c r="H45" s="87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6"/>
      <c r="AA45" s="57" t="n">
        <f aca="false">MIN(AA10:AA40)</f>
        <v>28</v>
      </c>
      <c r="AB45" s="57" t="n">
        <f aca="false">MIN(AB10:AB40)</f>
        <v>9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/>
      <c r="G46" s="52"/>
      <c r="H46" s="87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95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26986.1356188556</v>
      </c>
      <c r="G48" s="52" t="n">
        <f aca="false">G8+G42</f>
        <v>25580</v>
      </c>
      <c r="H48" s="87" t="n">
        <f aca="false">H8+H42</f>
        <v>2325.3</v>
      </c>
      <c r="I48" s="52" t="n">
        <f aca="false">I8+I42</f>
        <v>26557.5</v>
      </c>
      <c r="J48" s="52" t="n">
        <f aca="false">J8+J42</f>
        <v>13926.6797327956</v>
      </c>
      <c r="K48" s="52" t="n">
        <f aca="false">K8+K42</f>
        <v>40484.1797327956</v>
      </c>
      <c r="L48" s="52" t="n">
        <f aca="false">L8+L42</f>
        <v>12944.6850264684</v>
      </c>
      <c r="M48" s="52" t="n">
        <f aca="false">M8+M42</f>
        <v>310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310</v>
      </c>
      <c r="Q48" s="52" t="n">
        <f aca="false">Q8+Q42</f>
        <v>1048</v>
      </c>
      <c r="R48" s="52" t="n">
        <f aca="false">R8+R42</f>
        <v>75</v>
      </c>
      <c r="S48" s="52" t="n">
        <f aca="false">S8+S42</f>
        <v>3391.65893622385</v>
      </c>
      <c r="T48" s="52"/>
      <c r="U48" s="52" t="n">
        <f aca="false">U8+U42</f>
        <v>0</v>
      </c>
      <c r="V48" s="52" t="n">
        <f aca="false">V8+V42</f>
        <v>9124.39047138896</v>
      </c>
      <c r="W48" s="52" t="n">
        <f aca="false">W8+W42</f>
        <v>12516.0494076128</v>
      </c>
      <c r="X48" s="52" t="n">
        <f aca="false">X8+X42</f>
        <v>981.9947063272</v>
      </c>
      <c r="Y48" s="52" t="n">
        <f aca="false">Y8+Y42</f>
        <v>13498.04411394</v>
      </c>
      <c r="Z48" s="56" t="n">
        <f aca="false">Z8+Z42</f>
        <v>10.39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53527</v>
      </c>
      <c r="E49" s="52" t="n">
        <f aca="false">E40</f>
        <v>53571</v>
      </c>
      <c r="F49" s="52" t="n">
        <f aca="false">F48*$D$2</f>
        <v>53527</v>
      </c>
      <c r="G49" s="52" t="n">
        <f aca="false">G48*$D$2</f>
        <v>50737.93</v>
      </c>
      <c r="H49" s="87" t="n">
        <f aca="false">H48*$D$2</f>
        <v>4612.23255</v>
      </c>
      <c r="I49" s="52" t="n">
        <f aca="false">I48*$D$2</f>
        <v>52676.80125</v>
      </c>
      <c r="J49" s="52" t="n">
        <f aca="false">J48*$D$2</f>
        <v>27623.56925</v>
      </c>
      <c r="K49" s="52" t="n">
        <f aca="false">K48*$D$2</f>
        <v>80300.3705</v>
      </c>
      <c r="L49" s="52" t="n">
        <f aca="false">L48*$D$2</f>
        <v>25675.78275</v>
      </c>
      <c r="M49" s="52" t="n">
        <f aca="false">M48*$D$2</f>
        <v>614.885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614.885</v>
      </c>
      <c r="Q49" s="52" t="n">
        <f aca="false">Q48*$D$2</f>
        <v>2078.708</v>
      </c>
      <c r="R49" s="52" t="n">
        <f aca="false">R48*$D$2</f>
        <v>148.7625</v>
      </c>
      <c r="S49" s="52" t="n">
        <f aca="false">S48*$D$2</f>
        <v>6727.3555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18098.2285</v>
      </c>
      <c r="W49" s="52" t="n">
        <f aca="false">W48*$D$2</f>
        <v>24825.584</v>
      </c>
      <c r="X49" s="52" t="n">
        <f aca="false">X48*$D$2</f>
        <v>1947.7865</v>
      </c>
      <c r="Y49" s="52" t="n">
        <f aca="false">Y48*$D$2</f>
        <v>26773.3705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95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84"/>
      <c r="C51" s="52"/>
      <c r="D51" s="51"/>
      <c r="E51" s="52"/>
      <c r="F51" s="51"/>
      <c r="G51" s="51"/>
      <c r="H51" s="87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/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73"/>
      <c r="C52" s="52"/>
      <c r="D52" s="82"/>
      <c r="E52" s="52"/>
      <c r="F52" s="51"/>
      <c r="G52" s="51"/>
      <c r="H52" s="87"/>
      <c r="I52" s="53"/>
      <c r="J52" s="51"/>
      <c r="K52" s="42"/>
      <c r="L52" s="51"/>
      <c r="M52" s="51"/>
      <c r="N52" s="51"/>
      <c r="O52" s="51"/>
      <c r="P52" s="51"/>
      <c r="Q52" s="51"/>
      <c r="R52" s="51"/>
      <c r="S52" s="51"/>
      <c r="T52" s="52"/>
      <c r="U52" s="51"/>
      <c r="V52" s="51"/>
      <c r="W52" s="51"/>
      <c r="X52" s="51"/>
      <c r="Y52" s="51"/>
      <c r="Z52" s="56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82"/>
      <c r="C53" s="52"/>
      <c r="D53" s="52"/>
      <c r="E53" s="52"/>
      <c r="F53" s="82"/>
      <c r="G53" s="82"/>
      <c r="H53" s="87"/>
      <c r="I53" s="82"/>
      <c r="J53" s="82"/>
      <c r="K53" s="82"/>
      <c r="L53" s="82"/>
      <c r="M53" s="81"/>
      <c r="N53" s="81"/>
      <c r="O53" s="81"/>
      <c r="P53" s="81"/>
      <c r="Q53" s="82"/>
      <c r="R53" s="82"/>
      <c r="S53" s="82"/>
      <c r="T53" s="52"/>
      <c r="U53" s="82"/>
      <c r="V53" s="82"/>
      <c r="W53" s="82"/>
      <c r="X53" s="82"/>
      <c r="Y53" s="82"/>
      <c r="Z53" s="56"/>
      <c r="AA53" s="57"/>
      <c r="AB53" s="57"/>
      <c r="AC53" s="58"/>
      <c r="AD53" s="97"/>
      <c r="AE53" s="97"/>
    </row>
    <row r="54" customFormat="false" ht="11.1" hidden="false" customHeight="true" outlineLevel="0" collapsed="false">
      <c r="A54" s="82"/>
      <c r="B54" s="55"/>
      <c r="C54" s="52"/>
      <c r="D54" s="52"/>
      <c r="E54" s="52"/>
      <c r="F54" s="82"/>
      <c r="G54" s="82"/>
      <c r="H54" s="87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82"/>
      <c r="V54" s="52"/>
      <c r="W54" s="82"/>
      <c r="X54" s="82"/>
      <c r="Y54" s="55"/>
      <c r="Z54" s="56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87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K2" activeCellId="0" sqref="K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103" width="6.66"/>
    <col collapsed="false" customWidth="true" hidden="false" outlineLevel="0" max="9" min="9" style="0" width="7.99"/>
    <col collapsed="false" customWidth="true" hidden="false" outlineLevel="0" max="11" min="10" style="0" width="6.66"/>
    <col collapsed="false" customWidth="true" hidden="false" outlineLevel="0" max="12" min="12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4" width="8.16"/>
    <col collapsed="false" customWidth="true" hidden="false" outlineLevel="0" max="26" min="26" style="2" width="5.16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8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5"/>
      <c r="AD1" s="105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8"/>
      <c r="I2" s="6"/>
      <c r="J2" s="6"/>
      <c r="K2" s="106" t="s">
        <v>62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6"/>
      <c r="X2" s="6"/>
      <c r="Y2" s="10"/>
      <c r="Z2" s="11"/>
      <c r="AA2" s="12"/>
      <c r="AB2" s="13"/>
      <c r="AC2" s="105"/>
      <c r="AD2" s="105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8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 t="n">
        <v>5</v>
      </c>
      <c r="Y3" s="10"/>
      <c r="Z3" s="11"/>
      <c r="AA3" s="12"/>
      <c r="AB3" s="13"/>
      <c r="AC3" s="105"/>
      <c r="AD3" s="105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8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7" t="s">
        <v>63</v>
      </c>
      <c r="AE4" s="105"/>
    </row>
    <row r="5" customFormat="false" ht="11.1" hidden="false" customHeight="true" outlineLevel="0" collapsed="false">
      <c r="A5" s="22" t="s">
        <v>64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8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65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64</v>
      </c>
      <c r="AD5" s="107" t="s">
        <v>66</v>
      </c>
      <c r="AE5" s="105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28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D6" s="105"/>
      <c r="AE6" s="105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/>
      <c r="G7" s="7"/>
      <c r="H7" s="12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11"/>
      <c r="AA7" s="12"/>
      <c r="AB7" s="12"/>
      <c r="AC7" s="13"/>
      <c r="AD7" s="105"/>
    </row>
    <row r="8" s="1" customFormat="true" ht="11.1" hidden="false" customHeight="true" outlineLevel="0" collapsed="false">
      <c r="A8" s="7" t="s">
        <v>43</v>
      </c>
      <c r="B8" s="29" t="n">
        <f aca="false">MAR!B40</f>
        <v>6876.4</v>
      </c>
      <c r="C8" s="7" t="n">
        <f aca="false">MAR!C40</f>
        <v>205571</v>
      </c>
      <c r="D8" s="7" t="n">
        <f aca="false">MAR!D49</f>
        <v>53527</v>
      </c>
      <c r="E8" s="7" t="n">
        <f aca="false">MAR!E49</f>
        <v>53571</v>
      </c>
      <c r="F8" s="7" t="n">
        <f aca="false">MAR!F48</f>
        <v>26986.1356188556</v>
      </c>
      <c r="G8" s="7" t="n">
        <f aca="false">MAR!G48</f>
        <v>25580</v>
      </c>
      <c r="H8" s="12" t="n">
        <f aca="false">MAR!H48</f>
        <v>2325.3</v>
      </c>
      <c r="I8" s="7" t="n">
        <f aca="false">MAR!I48</f>
        <v>26557.5</v>
      </c>
      <c r="J8" s="7" t="n">
        <f aca="false">MAR!J48</f>
        <v>13926.6797327956</v>
      </c>
      <c r="K8" s="7" t="n">
        <f aca="false">MAR!K48</f>
        <v>40484.1797327956</v>
      </c>
      <c r="L8" s="7" t="n">
        <f aca="false">MAR!L48</f>
        <v>12944.6850264684</v>
      </c>
      <c r="M8" s="7" t="n">
        <f aca="false">MAR!M48</f>
        <v>310</v>
      </c>
      <c r="N8" s="7" t="n">
        <f aca="false">MAR!N48</f>
        <v>0</v>
      </c>
      <c r="O8" s="7" t="n">
        <f aca="false">MAR!O48</f>
        <v>402.2</v>
      </c>
      <c r="P8" s="7" t="n">
        <f aca="false">MAR!P48</f>
        <v>310</v>
      </c>
      <c r="Q8" s="7" t="n">
        <f aca="false">MAR!Q48</f>
        <v>1048</v>
      </c>
      <c r="R8" s="7" t="n">
        <f aca="false">MAR!R48</f>
        <v>75</v>
      </c>
      <c r="S8" s="7" t="n">
        <f aca="false">MAR!S48</f>
        <v>3391.65893622385</v>
      </c>
      <c r="T8" s="7" t="n">
        <f aca="false">MAR!T48</f>
        <v>0</v>
      </c>
      <c r="U8" s="7" t="n">
        <f aca="false">MAR!U48</f>
        <v>0</v>
      </c>
      <c r="V8" s="7" t="n">
        <f aca="false">MAR!V48</f>
        <v>9124.39047138896</v>
      </c>
      <c r="W8" s="7" t="n">
        <f aca="false">MAR!W48</f>
        <v>12516.0494076128</v>
      </c>
      <c r="X8" s="7" t="n">
        <f aca="false">MAR!X48</f>
        <v>981.9947063272</v>
      </c>
      <c r="Y8" s="7" t="n">
        <f aca="false">MAR!Y48</f>
        <v>13498.04411394</v>
      </c>
      <c r="Z8" s="11" t="n">
        <f aca="false">MAR!Z48</f>
        <v>10.39</v>
      </c>
      <c r="AA8" s="12"/>
      <c r="AB8" s="12"/>
      <c r="AC8" s="13"/>
      <c r="AD8" s="108"/>
      <c r="AE8" s="105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33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5"/>
      <c r="AE9" s="105"/>
    </row>
    <row r="10" customFormat="false" ht="11.1" hidden="false" customHeight="true" outlineLevel="0" collapsed="false">
      <c r="A10" s="13" t="n">
        <v>1</v>
      </c>
      <c r="B10" s="29" t="n">
        <v>6877</v>
      </c>
      <c r="C10" s="7" t="n">
        <v>207304</v>
      </c>
      <c r="D10" s="12" t="n">
        <f aca="false">C10-C8</f>
        <v>1733</v>
      </c>
      <c r="E10" s="7" t="n">
        <f aca="false">C10-152000</f>
        <v>55304</v>
      </c>
      <c r="F10" s="6" t="n">
        <f aca="false">D10/$D$2</f>
        <v>873.708091756995</v>
      </c>
      <c r="G10" s="6" t="n">
        <v>983</v>
      </c>
      <c r="H10" s="8" t="n">
        <v>308</v>
      </c>
      <c r="I10" s="6" t="n">
        <f aca="false">G10+H10</f>
        <v>1291</v>
      </c>
      <c r="J10" s="109" t="n">
        <f aca="false">IF(L10&gt;0,L10,0)</f>
        <v>360.708091756995</v>
      </c>
      <c r="K10" s="6" t="n">
        <f aca="false">I10+J10</f>
        <v>1651.708091757</v>
      </c>
      <c r="L10" s="6" t="n">
        <f aca="false">F10-(I10-W10)</f>
        <v>360.708091756995</v>
      </c>
      <c r="M10" s="6" t="n">
        <v>10</v>
      </c>
      <c r="N10" s="6"/>
      <c r="O10" s="6"/>
      <c r="P10" s="6" t="n">
        <f aca="false">M10-(N10+O10)</f>
        <v>10</v>
      </c>
      <c r="Q10" s="6" t="n">
        <v>264</v>
      </c>
      <c r="R10" s="6" t="n">
        <v>30</v>
      </c>
      <c r="S10" s="6" t="n">
        <f aca="false">SUM(P10:R10)</f>
        <v>304</v>
      </c>
      <c r="T10" s="7"/>
      <c r="U10" s="6" t="n">
        <v>0</v>
      </c>
      <c r="V10" s="6" t="n">
        <v>474</v>
      </c>
      <c r="W10" s="6" t="n">
        <f aca="false">N10+O10+S10+U10+V10</f>
        <v>778</v>
      </c>
      <c r="X10" s="6" t="n">
        <f aca="false">IF(L10&lt;0,L10*-1,0)</f>
        <v>0</v>
      </c>
      <c r="Y10" s="6" t="n">
        <f aca="false">W10+X10</f>
        <v>778</v>
      </c>
      <c r="Z10" s="11" t="n">
        <v>0</v>
      </c>
      <c r="AA10" s="12" t="n">
        <v>60</v>
      </c>
      <c r="AB10" s="12" t="n">
        <v>35</v>
      </c>
      <c r="AC10" s="13" t="n">
        <v>1</v>
      </c>
      <c r="AD10" s="12" t="n">
        <f aca="false">IF(I10&gt;S10,I10-S10,I10-S10)</f>
        <v>987</v>
      </c>
      <c r="AE10" s="12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6879.17</v>
      </c>
      <c r="C11" s="7" t="n">
        <v>213686</v>
      </c>
      <c r="D11" s="12" t="n">
        <f aca="false">C11-C10</f>
        <v>6382</v>
      </c>
      <c r="E11" s="7" t="n">
        <f aca="false">C11-152000</f>
        <v>61686</v>
      </c>
      <c r="F11" s="6" t="n">
        <f aca="false">D11/$D$2</f>
        <v>3217.54474413915</v>
      </c>
      <c r="G11" s="6" t="n">
        <v>1465</v>
      </c>
      <c r="H11" s="8" t="n">
        <v>599</v>
      </c>
      <c r="I11" s="6" t="n">
        <f aca="false">G11+H11</f>
        <v>2064</v>
      </c>
      <c r="J11" s="109" t="n">
        <f aca="false">IF(L11&gt;0,L11,0)</f>
        <v>2696.54474413915</v>
      </c>
      <c r="K11" s="6" t="n">
        <f aca="false">I11+J11</f>
        <v>4760.54474413915</v>
      </c>
      <c r="L11" s="6" t="n">
        <f aca="false">F11-(I11-W11)</f>
        <v>2696.54474413915</v>
      </c>
      <c r="M11" s="6" t="n">
        <v>8</v>
      </c>
      <c r="N11" s="6"/>
      <c r="O11" s="6"/>
      <c r="P11" s="6" t="n">
        <f aca="false">M11-(N11+O11)</f>
        <v>8</v>
      </c>
      <c r="Q11" s="6" t="n">
        <v>51</v>
      </c>
      <c r="R11" s="6" t="n">
        <v>11</v>
      </c>
      <c r="S11" s="6" t="n">
        <f aca="false">SUM(P11:R11)</f>
        <v>70</v>
      </c>
      <c r="T11" s="7"/>
      <c r="U11" s="6" t="n">
        <v>0</v>
      </c>
      <c r="V11" s="6" t="n">
        <v>1473</v>
      </c>
      <c r="W11" s="6" t="n">
        <f aca="false">N11+O11+S11+U11+V11</f>
        <v>1543</v>
      </c>
      <c r="X11" s="6" t="n">
        <f aca="false">IF(L11&lt;0,L11*-1,0)</f>
        <v>0</v>
      </c>
      <c r="Y11" s="6" t="n">
        <f aca="false">W11+X11</f>
        <v>1543</v>
      </c>
      <c r="Z11" s="11" t="n">
        <v>1.35</v>
      </c>
      <c r="AA11" s="12" t="n">
        <v>43</v>
      </c>
      <c r="AB11" s="12" t="n">
        <v>32</v>
      </c>
      <c r="AC11" s="13" t="n">
        <f aca="false">AC10+1</f>
        <v>2</v>
      </c>
      <c r="AD11" s="12" t="n">
        <f aca="false">IF(I11&gt;S11,I11-S11,I11-S11)</f>
        <v>1994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6880.22</v>
      </c>
      <c r="C12" s="7" t="n">
        <v>216830</v>
      </c>
      <c r="D12" s="12" t="n">
        <f aca="false">C12-C11</f>
        <v>3144</v>
      </c>
      <c r="E12" s="7" t="n">
        <f aca="false">C12-152000</f>
        <v>64830</v>
      </c>
      <c r="F12" s="6" t="n">
        <f aca="false">D12/$D$2</f>
        <v>1585.07688429544</v>
      </c>
      <c r="G12" s="6" t="n">
        <v>997</v>
      </c>
      <c r="H12" s="8" t="n">
        <v>349</v>
      </c>
      <c r="I12" s="6" t="n">
        <f aca="false">G12+H12</f>
        <v>1346</v>
      </c>
      <c r="J12" s="109" t="n">
        <f aca="false">IF(L12&gt;0,L12,0)</f>
        <v>2424.07688429544</v>
      </c>
      <c r="K12" s="6" t="n">
        <f aca="false">I12+J12</f>
        <v>3770.07688429544</v>
      </c>
      <c r="L12" s="6" t="n">
        <f aca="false">F12-(I12-W12)</f>
        <v>2424.07688429544</v>
      </c>
      <c r="M12" s="6" t="n">
        <v>8</v>
      </c>
      <c r="N12" s="6"/>
      <c r="O12" s="6"/>
      <c r="P12" s="6" t="n">
        <f aca="false">M12-(N12+O12)</f>
        <v>8</v>
      </c>
      <c r="Q12" s="6" t="n">
        <v>2</v>
      </c>
      <c r="R12" s="6" t="n">
        <v>0</v>
      </c>
      <c r="S12" s="6" t="n">
        <f aca="false">SUM(P12:R12)</f>
        <v>10</v>
      </c>
      <c r="T12" s="7"/>
      <c r="U12" s="6" t="n">
        <v>0</v>
      </c>
      <c r="V12" s="6" t="n">
        <v>2175</v>
      </c>
      <c r="W12" s="6" t="n">
        <f aca="false">N12+O12+S12+U12+V12</f>
        <v>2185</v>
      </c>
      <c r="X12" s="6" t="n">
        <f aca="false">IF(L12&lt;0,L12*-1,0)</f>
        <v>0</v>
      </c>
      <c r="Y12" s="6" t="n">
        <f aca="false">W12+X12</f>
        <v>2185</v>
      </c>
      <c r="Z12" s="11" t="n">
        <v>0.93</v>
      </c>
      <c r="AA12" s="12" t="n">
        <v>40</v>
      </c>
      <c r="AB12" s="12" t="n">
        <v>24</v>
      </c>
      <c r="AC12" s="13" t="n">
        <f aca="false">AC11+1</f>
        <v>3</v>
      </c>
      <c r="AD12" s="12" t="n">
        <f aca="false">IF(I12&gt;S12,I12-S12,I12-S12)</f>
        <v>1336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6880.93</v>
      </c>
      <c r="C13" s="7" t="n">
        <v>218976</v>
      </c>
      <c r="D13" s="12" t="n">
        <f aca="false">C13-C12</f>
        <v>2146</v>
      </c>
      <c r="E13" s="7" t="n">
        <f aca="false">C13-152000</f>
        <v>66976</v>
      </c>
      <c r="F13" s="6" t="n">
        <f aca="false">D13/$D$2</f>
        <v>1081.92588858079</v>
      </c>
      <c r="G13" s="6" t="n">
        <v>811</v>
      </c>
      <c r="H13" s="8" t="n">
        <v>227</v>
      </c>
      <c r="I13" s="6" t="n">
        <f aca="false">G13+H13</f>
        <v>1038</v>
      </c>
      <c r="J13" s="109" t="n">
        <f aca="false">IF(L13&gt;0,L13,0)</f>
        <v>1134.92588858079</v>
      </c>
      <c r="K13" s="6" t="n">
        <f aca="false">I13+J13</f>
        <v>2172.92588858079</v>
      </c>
      <c r="L13" s="6" t="n">
        <f aca="false">F13-(I13-W13)</f>
        <v>1134.92588858079</v>
      </c>
      <c r="M13" s="6" t="n">
        <v>8</v>
      </c>
      <c r="N13" s="6"/>
      <c r="O13" s="6"/>
      <c r="P13" s="6" t="n">
        <f aca="false">M13-(N13+O13)</f>
        <v>8</v>
      </c>
      <c r="Q13" s="6" t="n">
        <v>2</v>
      </c>
      <c r="R13" s="6" t="n">
        <v>0</v>
      </c>
      <c r="S13" s="6" t="n">
        <f aca="false">SUM(P13:R13)</f>
        <v>10</v>
      </c>
      <c r="T13" s="7"/>
      <c r="U13" s="6" t="n">
        <v>0</v>
      </c>
      <c r="V13" s="6" t="n">
        <v>1081</v>
      </c>
      <c r="W13" s="6" t="n">
        <f aca="false">N13+O13+S13+U13+V13</f>
        <v>1091</v>
      </c>
      <c r="X13" s="6" t="n">
        <f aca="false">IF(L13&lt;0,L13*-1,0)</f>
        <v>0</v>
      </c>
      <c r="Y13" s="6" t="n">
        <f aca="false">W13+X13</f>
        <v>1091</v>
      </c>
      <c r="Z13" s="11" t="n">
        <v>0</v>
      </c>
      <c r="AA13" s="12" t="n">
        <v>36</v>
      </c>
      <c r="AB13" s="12" t="n">
        <v>19</v>
      </c>
      <c r="AC13" s="13" t="n">
        <f aca="false">AC12+1</f>
        <v>4</v>
      </c>
      <c r="AD13" s="12" t="n">
        <f aca="false">IF(I13&gt;S13,I13-S13,I13-S13)</f>
        <v>1028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6881.22</v>
      </c>
      <c r="C14" s="7" t="n">
        <v>219862</v>
      </c>
      <c r="D14" s="12" t="n">
        <f aca="false">C14-C13</f>
        <v>886</v>
      </c>
      <c r="E14" s="7" t="n">
        <f aca="false">C14-152000</f>
        <v>67862</v>
      </c>
      <c r="F14" s="6" t="n">
        <f aca="false">D14/$D$2</f>
        <v>446.685152508193</v>
      </c>
      <c r="G14" s="6" t="n">
        <v>772</v>
      </c>
      <c r="H14" s="8" t="n">
        <v>223</v>
      </c>
      <c r="I14" s="6" t="n">
        <f aca="false">G14+H14</f>
        <v>995</v>
      </c>
      <c r="J14" s="109" t="n">
        <f aca="false">IF(L14&gt;0,L14,0)</f>
        <v>63.6851525081926</v>
      </c>
      <c r="K14" s="6" t="n">
        <f aca="false">I14+J14</f>
        <v>1058.68515250819</v>
      </c>
      <c r="L14" s="6" t="n">
        <f aca="false">F14-(I14-W14)</f>
        <v>63.6851525081926</v>
      </c>
      <c r="M14" s="6" t="n">
        <v>10</v>
      </c>
      <c r="N14" s="6"/>
      <c r="O14" s="6"/>
      <c r="P14" s="6" t="n">
        <f aca="false">M14-(N14+O14)</f>
        <v>10</v>
      </c>
      <c r="Q14" s="6" t="n">
        <v>2</v>
      </c>
      <c r="R14" s="6" t="n">
        <v>0</v>
      </c>
      <c r="S14" s="6" t="n">
        <f aca="false">SUM(P14:R14)</f>
        <v>12</v>
      </c>
      <c r="T14" s="7"/>
      <c r="U14" s="6" t="n">
        <v>0</v>
      </c>
      <c r="V14" s="6" t="n">
        <v>600</v>
      </c>
      <c r="W14" s="6" t="n">
        <f aca="false">N14+O14+S14+U14+V14</f>
        <v>612</v>
      </c>
      <c r="X14" s="6" t="n">
        <f aca="false">IF(L14&lt;0,L14*-1,0)</f>
        <v>0</v>
      </c>
      <c r="Y14" s="6" t="n">
        <f aca="false">W14+X14</f>
        <v>612</v>
      </c>
      <c r="Z14" s="11" t="n">
        <v>0</v>
      </c>
      <c r="AA14" s="12"/>
      <c r="AB14" s="12"/>
      <c r="AC14" s="13" t="n">
        <f aca="false">AC13+1</f>
        <v>5</v>
      </c>
      <c r="AD14" s="12" t="n">
        <f aca="false">IF(I14&gt;S14,I14-S14,I14-S14)</f>
        <v>983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6882.77</v>
      </c>
      <c r="C15" s="7" t="n">
        <v>224645</v>
      </c>
      <c r="D15" s="12" t="n">
        <f aca="false">C15-C14</f>
        <v>4783</v>
      </c>
      <c r="E15" s="7" t="n">
        <f aca="false">C15-152000</f>
        <v>72645</v>
      </c>
      <c r="F15" s="6" t="n">
        <f aca="false">D15/$D$2</f>
        <v>2411.39400050416</v>
      </c>
      <c r="G15" s="6" t="n">
        <v>832</v>
      </c>
      <c r="H15" s="8" t="n">
        <v>242</v>
      </c>
      <c r="I15" s="6" t="n">
        <f aca="false">G15+H15</f>
        <v>1074</v>
      </c>
      <c r="J15" s="109" t="n">
        <f aca="false">IF(L15&gt;0,L15,0)</f>
        <v>1951.39400050416</v>
      </c>
      <c r="K15" s="6" t="n">
        <f aca="false">I15+J15</f>
        <v>3025.39400050416</v>
      </c>
      <c r="L15" s="6" t="n">
        <f aca="false">F15-(I15-W15)</f>
        <v>1951.39400050416</v>
      </c>
      <c r="M15" s="6" t="n">
        <v>12</v>
      </c>
      <c r="N15" s="6"/>
      <c r="O15" s="6"/>
      <c r="P15" s="6" t="n">
        <f aca="false">M15-(N15+O15)</f>
        <v>12</v>
      </c>
      <c r="Q15" s="6" t="n">
        <v>2</v>
      </c>
      <c r="R15" s="6" t="n">
        <v>0</v>
      </c>
      <c r="S15" s="6" t="n">
        <f aca="false">SUM(P15:R15)</f>
        <v>14</v>
      </c>
      <c r="T15" s="7"/>
      <c r="U15" s="6" t="n">
        <v>0</v>
      </c>
      <c r="V15" s="6" t="n">
        <v>600</v>
      </c>
      <c r="W15" s="6" t="n">
        <f aca="false">N15+O15+S15+U15+V15</f>
        <v>614</v>
      </c>
      <c r="X15" s="6" t="n">
        <f aca="false">IF(L15&lt;0,L15*-1,0)</f>
        <v>0</v>
      </c>
      <c r="Y15" s="6" t="n">
        <f aca="false">W15+X15</f>
        <v>614</v>
      </c>
      <c r="Z15" s="11" t="n">
        <v>0</v>
      </c>
      <c r="AA15" s="12"/>
      <c r="AB15" s="12"/>
      <c r="AC15" s="13" t="n">
        <f aca="false">AC14+1</f>
        <v>6</v>
      </c>
      <c r="AD15" s="12" t="n">
        <f aca="false">IF(I15&gt;S15,I15-S15,I15-S15)</f>
        <v>1060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6883.83</v>
      </c>
      <c r="C16" s="7" t="n">
        <v>227970</v>
      </c>
      <c r="D16" s="12" t="n">
        <f aca="false">C16-C15</f>
        <v>3325</v>
      </c>
      <c r="E16" s="7" t="n">
        <f aca="false">C16-152000</f>
        <v>75970</v>
      </c>
      <c r="F16" s="6" t="n">
        <f aca="false">D16/$D$2</f>
        <v>1676.32972019158</v>
      </c>
      <c r="G16" s="6" t="n">
        <v>1006</v>
      </c>
      <c r="H16" s="8" t="n">
        <v>303</v>
      </c>
      <c r="I16" s="6" t="n">
        <f aca="false">G16+H16</f>
        <v>1309</v>
      </c>
      <c r="J16" s="109" t="n">
        <f aca="false">IF(L16&gt;0,L16,0)</f>
        <v>981.329720191581</v>
      </c>
      <c r="K16" s="6" t="n">
        <f aca="false">I16+J16</f>
        <v>2290.32972019158</v>
      </c>
      <c r="L16" s="6" t="n">
        <f aca="false">F16-(I16-W16)</f>
        <v>981.329720191581</v>
      </c>
      <c r="M16" s="6" t="n">
        <v>12</v>
      </c>
      <c r="N16" s="6"/>
      <c r="O16" s="6"/>
      <c r="P16" s="6" t="n">
        <f aca="false">M16-(N16+O16)</f>
        <v>12</v>
      </c>
      <c r="Q16" s="6" t="n">
        <v>2</v>
      </c>
      <c r="R16" s="6" t="n">
        <v>0</v>
      </c>
      <c r="S16" s="6" t="n">
        <f aca="false">SUM(P16:R16)</f>
        <v>14</v>
      </c>
      <c r="T16" s="7"/>
      <c r="U16" s="6" t="n">
        <v>0</v>
      </c>
      <c r="V16" s="6" t="n">
        <v>600</v>
      </c>
      <c r="W16" s="6" t="n">
        <f aca="false">N16+O16+S16+U16+V16</f>
        <v>614</v>
      </c>
      <c r="X16" s="6" t="n">
        <f aca="false">IF(L16&lt;0,L16*-1,0)</f>
        <v>0</v>
      </c>
      <c r="Y16" s="6" t="n">
        <f aca="false">W16+X16</f>
        <v>614</v>
      </c>
      <c r="Z16" s="11" t="n">
        <v>0</v>
      </c>
      <c r="AA16" s="12" t="n">
        <v>63</v>
      </c>
      <c r="AB16" s="12" t="n">
        <v>38</v>
      </c>
      <c r="AC16" s="13" t="n">
        <f aca="false">AC15+1</f>
        <v>7</v>
      </c>
      <c r="AD16" s="12" t="n">
        <f aca="false">IF(I16&gt;S16,I16-S16,I16-S16)</f>
        <v>1295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6884.49</v>
      </c>
      <c r="C17" s="7" t="n">
        <v>230065</v>
      </c>
      <c r="D17" s="12" t="n">
        <f aca="false">C17-C16</f>
        <v>2095</v>
      </c>
      <c r="E17" s="7" t="n">
        <f aca="false">C17-152000</f>
        <v>78065</v>
      </c>
      <c r="F17" s="6" t="n">
        <f aca="false">D17/$D$2</f>
        <v>1056.21376354928</v>
      </c>
      <c r="G17" s="6" t="n">
        <v>1071</v>
      </c>
      <c r="H17" s="8" t="n">
        <v>302</v>
      </c>
      <c r="I17" s="6" t="n">
        <f aca="false">G17+H17</f>
        <v>1373</v>
      </c>
      <c r="J17" s="109" t="n">
        <f aca="false">IF(L17&gt;0,L17,0)</f>
        <v>509.213763549282</v>
      </c>
      <c r="K17" s="6" t="n">
        <f aca="false">I17+J17</f>
        <v>1882.21376354928</v>
      </c>
      <c r="L17" s="6" t="n">
        <f aca="false">F17-(I17-W17)</f>
        <v>509.213763549282</v>
      </c>
      <c r="M17" s="6" t="n">
        <v>12</v>
      </c>
      <c r="N17" s="6"/>
      <c r="O17" s="6"/>
      <c r="P17" s="6" t="n">
        <f aca="false">M17-(N17+O17)</f>
        <v>12</v>
      </c>
      <c r="Q17" s="6" t="n">
        <v>2</v>
      </c>
      <c r="R17" s="6" t="n">
        <v>0</v>
      </c>
      <c r="S17" s="6" t="n">
        <f aca="false">SUM(P17:R17)</f>
        <v>14</v>
      </c>
      <c r="T17" s="7"/>
      <c r="U17" s="6" t="n">
        <v>0</v>
      </c>
      <c r="V17" s="6" t="n">
        <v>812</v>
      </c>
      <c r="W17" s="6" t="n">
        <f aca="false">N17+O17+S17+U17+V17</f>
        <v>826</v>
      </c>
      <c r="X17" s="6" t="n">
        <f aca="false">IF(L17&lt;0,L17*-1,0)</f>
        <v>0</v>
      </c>
      <c r="Y17" s="6" t="n">
        <f aca="false">W17+X17</f>
        <v>826</v>
      </c>
      <c r="Z17" s="11" t="n">
        <v>0</v>
      </c>
      <c r="AA17" s="12" t="n">
        <v>57</v>
      </c>
      <c r="AB17" s="12" t="n">
        <v>30</v>
      </c>
      <c r="AC17" s="13" t="n">
        <f aca="false">AC16+1</f>
        <v>8</v>
      </c>
      <c r="AD17" s="12" t="n">
        <f aca="false">IF(I17&gt;S17,I17-S17,I17-S17)</f>
        <v>1359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6884.94</v>
      </c>
      <c r="C18" s="7" t="n">
        <v>231498</v>
      </c>
      <c r="D18" s="12" t="n">
        <f aca="false">C18-C17</f>
        <v>1433</v>
      </c>
      <c r="E18" s="7" t="n">
        <f aca="false">C18-152000</f>
        <v>79498</v>
      </c>
      <c r="F18" s="6" t="n">
        <f aca="false">D18/$D$2</f>
        <v>722.460297453995</v>
      </c>
      <c r="G18" s="6" t="n">
        <v>1074</v>
      </c>
      <c r="H18" s="8" t="n">
        <v>278</v>
      </c>
      <c r="I18" s="6" t="n">
        <f aca="false">G18+H18</f>
        <v>1352</v>
      </c>
      <c r="J18" s="109" t="n">
        <f aca="false">IF(L18&gt;0,L18,0)</f>
        <v>585.460297453995</v>
      </c>
      <c r="K18" s="6" t="n">
        <f aca="false">I18+J18</f>
        <v>1937.460297454</v>
      </c>
      <c r="L18" s="6" t="n">
        <f aca="false">F18-(I18-W18)</f>
        <v>585.460297453995</v>
      </c>
      <c r="M18" s="6" t="n">
        <v>12</v>
      </c>
      <c r="N18" s="6"/>
      <c r="O18" s="6"/>
      <c r="P18" s="6" t="n">
        <f aca="false">M18-(N18+O18)</f>
        <v>12</v>
      </c>
      <c r="Q18" s="6" t="n">
        <v>2</v>
      </c>
      <c r="R18" s="6" t="n">
        <v>0</v>
      </c>
      <c r="S18" s="6" t="n">
        <f aca="false">SUM(P18:R18)</f>
        <v>14</v>
      </c>
      <c r="T18" s="7"/>
      <c r="U18" s="6" t="n">
        <v>0</v>
      </c>
      <c r="V18" s="6" t="n">
        <v>1201</v>
      </c>
      <c r="W18" s="6" t="n">
        <f aca="false">N18+O18+S18+U18+V18</f>
        <v>1215</v>
      </c>
      <c r="X18" s="6" t="n">
        <f aca="false">IF(L18&lt;0,L18*-1,0)</f>
        <v>0</v>
      </c>
      <c r="Y18" s="6" t="n">
        <f aca="false">W18+X18</f>
        <v>1215</v>
      </c>
      <c r="Z18" s="11" t="n">
        <v>0</v>
      </c>
      <c r="AA18" s="39" t="n">
        <v>58</v>
      </c>
      <c r="AB18" s="12" t="n">
        <v>25</v>
      </c>
      <c r="AC18" s="13" t="n">
        <f aca="false">AC17+1</f>
        <v>9</v>
      </c>
      <c r="AD18" s="12" t="n">
        <f aca="false">IF(I18&gt;S18,I18-S18,I18-S18)</f>
        <v>1338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6885.13</v>
      </c>
      <c r="C19" s="7" t="n">
        <v>232109</v>
      </c>
      <c r="D19" s="12" t="n">
        <f aca="false">C19-C18</f>
        <v>611</v>
      </c>
      <c r="E19" s="7" t="n">
        <f aca="false">C19-152000</f>
        <v>80109</v>
      </c>
      <c r="F19" s="6" t="n">
        <f aca="false">D19/$D$2</f>
        <v>308.041341063776</v>
      </c>
      <c r="G19" s="6" t="n">
        <v>1072</v>
      </c>
      <c r="H19" s="8" t="n">
        <v>262</v>
      </c>
      <c r="I19" s="6" t="n">
        <f aca="false">G19+H19</f>
        <v>1334</v>
      </c>
      <c r="J19" s="109" t="n">
        <f aca="false">IF(L19&gt;0,L19,0)</f>
        <v>474.041341063776</v>
      </c>
      <c r="K19" s="6" t="n">
        <f aca="false">I19+J19</f>
        <v>1808.04134106378</v>
      </c>
      <c r="L19" s="6" t="n">
        <f aca="false">F19-(I19-W19)</f>
        <v>474.041341063776</v>
      </c>
      <c r="M19" s="6" t="n">
        <v>12</v>
      </c>
      <c r="N19" s="6"/>
      <c r="O19" s="6"/>
      <c r="P19" s="6" t="n">
        <f aca="false">M19-(N19+O19)</f>
        <v>12</v>
      </c>
      <c r="Q19" s="6" t="n">
        <v>2</v>
      </c>
      <c r="R19" s="6" t="n">
        <v>0</v>
      </c>
      <c r="S19" s="6" t="n">
        <f aca="false">SUM(P19:R19)</f>
        <v>14</v>
      </c>
      <c r="T19" s="7"/>
      <c r="U19" s="6" t="n">
        <v>0</v>
      </c>
      <c r="V19" s="6" t="n">
        <v>1486</v>
      </c>
      <c r="W19" s="6" t="n">
        <f aca="false">N19+O19+S19+U19+V19</f>
        <v>1500</v>
      </c>
      <c r="X19" s="6" t="n">
        <f aca="false">IF(L19&lt;0,L19*-1,0)</f>
        <v>0</v>
      </c>
      <c r="Y19" s="6" t="n">
        <f aca="false">W19+X19</f>
        <v>1500</v>
      </c>
      <c r="Z19" s="11" t="n">
        <v>0</v>
      </c>
      <c r="AA19" s="12" t="n">
        <v>55</v>
      </c>
      <c r="AB19" s="12" t="n">
        <v>26</v>
      </c>
      <c r="AC19" s="13" t="n">
        <f aca="false">AC18+1</f>
        <v>10</v>
      </c>
      <c r="AD19" s="12" t="n">
        <f aca="false">IF(I19&gt;S19,I19-S19,I19-S19)</f>
        <v>1320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6885.15</v>
      </c>
      <c r="C20" s="7" t="n">
        <v>232173</v>
      </c>
      <c r="D20" s="12" t="n">
        <f aca="false">C20-C19</f>
        <v>64</v>
      </c>
      <c r="E20" s="7" t="n">
        <f aca="false">C20-152000</f>
        <v>80173</v>
      </c>
      <c r="F20" s="6" t="n">
        <f aca="false">D20/$D$2</f>
        <v>32.2661961179733</v>
      </c>
      <c r="G20" s="6" t="n">
        <v>1089</v>
      </c>
      <c r="H20" s="8" t="n">
        <v>256</v>
      </c>
      <c r="I20" s="6" t="n">
        <f aca="false">G20+H20</f>
        <v>1345</v>
      </c>
      <c r="J20" s="109" t="n">
        <f aca="false">IF(L20&gt;0,L20,0)</f>
        <v>400.266196117973</v>
      </c>
      <c r="K20" s="6" t="n">
        <f aca="false">I20+J20</f>
        <v>1745.26619611797</v>
      </c>
      <c r="L20" s="6" t="n">
        <f aca="false">F20-(I20-W20)</f>
        <v>400.266196117973</v>
      </c>
      <c r="M20" s="6" t="n">
        <v>12</v>
      </c>
      <c r="N20" s="6"/>
      <c r="O20" s="6"/>
      <c r="P20" s="6" t="n">
        <f aca="false">M20-(N20+O20)</f>
        <v>12</v>
      </c>
      <c r="Q20" s="6" t="n">
        <v>2</v>
      </c>
      <c r="R20" s="6" t="n">
        <v>0</v>
      </c>
      <c r="S20" s="6" t="n">
        <f aca="false">SUM(P20:R20)</f>
        <v>14</v>
      </c>
      <c r="T20" s="7"/>
      <c r="U20" s="6" t="n">
        <v>0</v>
      </c>
      <c r="V20" s="6" t="n">
        <v>1699</v>
      </c>
      <c r="W20" s="6" t="n">
        <f aca="false">N20+O20+S20+U20+V20</f>
        <v>1713</v>
      </c>
      <c r="X20" s="6" t="n">
        <f aca="false">IF(L20&lt;0,L20*-1,0)</f>
        <v>0</v>
      </c>
      <c r="Y20" s="6" t="n">
        <f aca="false">W20+X20</f>
        <v>1713</v>
      </c>
      <c r="Z20" s="11" t="n">
        <v>0</v>
      </c>
      <c r="AA20" s="12" t="n">
        <v>58</v>
      </c>
      <c r="AB20" s="12" t="n">
        <v>32</v>
      </c>
      <c r="AC20" s="13" t="n">
        <f aca="false">AC19+1</f>
        <v>11</v>
      </c>
      <c r="AD20" s="12" t="n">
        <f aca="false">IF(I20&gt;S20,I20-S20,I20-S20)</f>
        <v>1331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6885.16</v>
      </c>
      <c r="C21" s="7" t="n">
        <v>232205</v>
      </c>
      <c r="D21" s="12" t="n">
        <f aca="false">C21-C20</f>
        <v>32</v>
      </c>
      <c r="E21" s="7" t="n">
        <f aca="false">C21-152000</f>
        <v>80205</v>
      </c>
      <c r="F21" s="6" t="n">
        <f aca="false">D21/$D$2</f>
        <v>16.1330980589866</v>
      </c>
      <c r="G21" s="6" t="n">
        <v>1011</v>
      </c>
      <c r="H21" s="8" t="n">
        <v>215</v>
      </c>
      <c r="I21" s="6" t="n">
        <f aca="false">G21+H21</f>
        <v>1226</v>
      </c>
      <c r="J21" s="109" t="n">
        <f aca="false">IF(L21&gt;0,L21,0)</f>
        <v>555.133098058987</v>
      </c>
      <c r="K21" s="6" t="n">
        <f aca="false">I21+J21</f>
        <v>1781.13309805899</v>
      </c>
      <c r="L21" s="6" t="n">
        <f aca="false">F21-(I21-W21)</f>
        <v>555.133098058987</v>
      </c>
      <c r="M21" s="6" t="n">
        <v>12</v>
      </c>
      <c r="N21" s="6"/>
      <c r="O21" s="6"/>
      <c r="P21" s="6" t="n">
        <f aca="false">M21-(N21+O21)</f>
        <v>12</v>
      </c>
      <c r="Q21" s="6" t="n">
        <v>2</v>
      </c>
      <c r="R21" s="6" t="n">
        <v>0</v>
      </c>
      <c r="S21" s="6" t="n">
        <f aca="false">SUM(P21:R21)</f>
        <v>14</v>
      </c>
      <c r="T21" s="7"/>
      <c r="U21" s="6" t="n">
        <v>0</v>
      </c>
      <c r="V21" s="6" t="n">
        <v>1751</v>
      </c>
      <c r="W21" s="6" t="n">
        <f aca="false">N21+O21+S21+U21+V21</f>
        <v>1765</v>
      </c>
      <c r="X21" s="6" t="n">
        <f aca="false">IF(L21&lt;0,L21*-1,0)</f>
        <v>0</v>
      </c>
      <c r="Y21" s="6" t="n">
        <f aca="false">W21+X21</f>
        <v>1765</v>
      </c>
      <c r="Z21" s="11" t="n">
        <v>0</v>
      </c>
      <c r="AA21" s="12"/>
      <c r="AB21" s="12"/>
      <c r="AC21" s="13" t="n">
        <f aca="false">AC20+1</f>
        <v>12</v>
      </c>
      <c r="AD21" s="12" t="n">
        <f aca="false">IF(I21&gt;S21,I21-S21,I21-S21)</f>
        <v>1212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6885.02</v>
      </c>
      <c r="C22" s="7" t="n">
        <v>231754</v>
      </c>
      <c r="D22" s="12" t="n">
        <f aca="false">C22-C21</f>
        <v>-451</v>
      </c>
      <c r="E22" s="7" t="n">
        <f aca="false">C22-152000</f>
        <v>79754</v>
      </c>
      <c r="F22" s="6" t="n">
        <f aca="false">D22/$D$2</f>
        <v>-227.375850768843</v>
      </c>
      <c r="G22" s="6" t="n">
        <v>988</v>
      </c>
      <c r="H22" s="8" t="n">
        <v>195</v>
      </c>
      <c r="I22" s="6" t="n">
        <f aca="false">G22+H22</f>
        <v>1183</v>
      </c>
      <c r="J22" s="109" t="n">
        <f aca="false">IF(L22&gt;0,L22,0)</f>
        <v>354.624149231157</v>
      </c>
      <c r="K22" s="6" t="n">
        <f aca="false">I22+J22</f>
        <v>1537.62414923116</v>
      </c>
      <c r="L22" s="6" t="n">
        <f aca="false">F22-(I22-W22)</f>
        <v>354.624149231157</v>
      </c>
      <c r="M22" s="6" t="n">
        <v>12</v>
      </c>
      <c r="N22" s="6"/>
      <c r="O22" s="6"/>
      <c r="P22" s="6" t="n">
        <f aca="false">M22-(N22+O22)</f>
        <v>12</v>
      </c>
      <c r="Q22" s="6" t="n">
        <v>2</v>
      </c>
      <c r="R22" s="6" t="n">
        <v>0</v>
      </c>
      <c r="S22" s="6" t="n">
        <f aca="false">SUM(P22:R22)</f>
        <v>14</v>
      </c>
      <c r="T22" s="7"/>
      <c r="U22" s="6" t="n">
        <v>0</v>
      </c>
      <c r="V22" s="6" t="n">
        <v>1751</v>
      </c>
      <c r="W22" s="6" t="n">
        <f aca="false">N22+O22+S22+U22+V22</f>
        <v>1765</v>
      </c>
      <c r="X22" s="6" t="n">
        <f aca="false">IF(L22&lt;0,L22*-1,0)</f>
        <v>0</v>
      </c>
      <c r="Y22" s="6" t="n">
        <f aca="false">W22+X22</f>
        <v>1765</v>
      </c>
      <c r="Z22" s="11" t="n">
        <v>0</v>
      </c>
      <c r="AA22" s="12"/>
      <c r="AB22" s="12"/>
      <c r="AC22" s="13" t="n">
        <f aca="false">AC21+1</f>
        <v>13</v>
      </c>
      <c r="AD22" s="12" t="n">
        <f aca="false">IF(I22&gt;S22,I22-S22,I22-S22)</f>
        <v>1169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6885.05</v>
      </c>
      <c r="C23" s="7" t="n">
        <v>231818</v>
      </c>
      <c r="D23" s="12" t="n">
        <f aca="false">C23-C22</f>
        <v>64</v>
      </c>
      <c r="E23" s="7" t="n">
        <f aca="false">C23-152000</f>
        <v>79818</v>
      </c>
      <c r="F23" s="6" t="n">
        <f aca="false">D23/$D$2</f>
        <v>32.2661961179733</v>
      </c>
      <c r="G23" s="6" t="n">
        <v>780</v>
      </c>
      <c r="H23" s="8" t="n">
        <v>138</v>
      </c>
      <c r="I23" s="6" t="n">
        <f aca="false">G23+H23</f>
        <v>918</v>
      </c>
      <c r="J23" s="109" t="n">
        <f aca="false">IF(L23&gt;0,L23,0)</f>
        <v>560.266196117973</v>
      </c>
      <c r="K23" s="6" t="n">
        <f aca="false">I23+J23</f>
        <v>1478.26619611797</v>
      </c>
      <c r="L23" s="6" t="n">
        <f aca="false">F23-(I23-W23)</f>
        <v>560.266196117973</v>
      </c>
      <c r="M23" s="6" t="n">
        <v>12</v>
      </c>
      <c r="N23" s="6"/>
      <c r="O23" s="6"/>
      <c r="P23" s="6" t="n">
        <f aca="false">M23-(N23+O23)</f>
        <v>12</v>
      </c>
      <c r="Q23" s="6" t="n">
        <v>50</v>
      </c>
      <c r="R23" s="6" t="n">
        <v>0</v>
      </c>
      <c r="S23" s="6" t="n">
        <f aca="false">SUM(P23:R23)</f>
        <v>62</v>
      </c>
      <c r="T23" s="7"/>
      <c r="U23" s="6" t="n">
        <v>0</v>
      </c>
      <c r="V23" s="6" t="n">
        <v>1384</v>
      </c>
      <c r="W23" s="6" t="n">
        <f aca="false">N23+O23+S23+U23+V23</f>
        <v>1446</v>
      </c>
      <c r="X23" s="6" t="n">
        <f aca="false">IF(L23&lt;0,L23*-1,0)</f>
        <v>0</v>
      </c>
      <c r="Y23" s="6" t="n">
        <f aca="false">W23+X23</f>
        <v>1446</v>
      </c>
      <c r="Z23" s="11" t="n">
        <v>0</v>
      </c>
      <c r="AA23" s="39" t="n">
        <v>55</v>
      </c>
      <c r="AB23" s="12" t="n">
        <v>19</v>
      </c>
      <c r="AC23" s="13" t="n">
        <f aca="false">AC22+1</f>
        <v>14</v>
      </c>
      <c r="AD23" s="12" t="n">
        <f aca="false">IF(I23&gt;S23,I23-S23,I23-S23)</f>
        <v>856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6885.26</v>
      </c>
      <c r="C24" s="7" t="n">
        <v>232528</v>
      </c>
      <c r="D24" s="12" t="n">
        <f aca="false">C24-C23</f>
        <v>710</v>
      </c>
      <c r="E24" s="7" t="n">
        <f aca="false">C24-152000</f>
        <v>80528</v>
      </c>
      <c r="F24" s="6" t="n">
        <f aca="false">D24/$D$2</f>
        <v>357.953113183766</v>
      </c>
      <c r="G24" s="6" t="n">
        <v>793</v>
      </c>
      <c r="H24" s="8" t="n">
        <v>144</v>
      </c>
      <c r="I24" s="6" t="n">
        <f aca="false">G24+H24</f>
        <v>937</v>
      </c>
      <c r="J24" s="109" t="n">
        <f aca="false">IF(L24&gt;0,L24,0)</f>
        <v>519.953113183766</v>
      </c>
      <c r="K24" s="6" t="n">
        <f aca="false">I24+J24</f>
        <v>1456.95311318377</v>
      </c>
      <c r="L24" s="6" t="n">
        <f aca="false">F24-(I24-W24)</f>
        <v>519.953113183766</v>
      </c>
      <c r="M24" s="6" t="n">
        <v>12</v>
      </c>
      <c r="N24" s="6"/>
      <c r="O24" s="6"/>
      <c r="P24" s="6" t="n">
        <f aca="false">M24-(N24+O24)</f>
        <v>12</v>
      </c>
      <c r="Q24" s="6" t="n">
        <v>86</v>
      </c>
      <c r="R24" s="6" t="n">
        <v>0</v>
      </c>
      <c r="S24" s="6" t="n">
        <f aca="false">SUM(P24:R24)</f>
        <v>98</v>
      </c>
      <c r="T24" s="7"/>
      <c r="U24" s="6" t="n">
        <v>0</v>
      </c>
      <c r="V24" s="6" t="n">
        <v>1001</v>
      </c>
      <c r="W24" s="6" t="n">
        <f aca="false">N24+O24+S24+U24+V24</f>
        <v>1099</v>
      </c>
      <c r="X24" s="6" t="n">
        <f aca="false">IF(L24&lt;0,L24*-1,0)</f>
        <v>0</v>
      </c>
      <c r="Y24" s="6" t="n">
        <f aca="false">W24+X24</f>
        <v>1099</v>
      </c>
      <c r="Z24" s="11" t="n">
        <v>0</v>
      </c>
      <c r="AA24" s="39" t="n">
        <v>50</v>
      </c>
      <c r="AB24" s="12" t="n">
        <v>32</v>
      </c>
      <c r="AC24" s="13" t="n">
        <f aca="false">AC23+1</f>
        <v>15</v>
      </c>
      <c r="AD24" s="12" t="n">
        <f aca="false">IF(I24&gt;S24,I24-S24,I24-S24)</f>
        <v>839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6885.54</v>
      </c>
      <c r="C25" s="7" t="n">
        <v>233430</v>
      </c>
      <c r="D25" s="12" t="n">
        <f aca="false">C25-C24</f>
        <v>902</v>
      </c>
      <c r="E25" s="7" t="n">
        <f aca="false">C25-152000</f>
        <v>81430</v>
      </c>
      <c r="F25" s="6" t="n">
        <f aca="false">D25/$D$2</f>
        <v>454.751701537686</v>
      </c>
      <c r="G25" s="6" t="n">
        <v>1001</v>
      </c>
      <c r="H25" s="8" t="n">
        <v>209</v>
      </c>
      <c r="I25" s="6" t="n">
        <f aca="false">G25+H25</f>
        <v>1210</v>
      </c>
      <c r="J25" s="109" t="n">
        <f aca="false">IF(L25&gt;0,L25,0)</f>
        <v>455.751701537686</v>
      </c>
      <c r="K25" s="6" t="n">
        <f aca="false">I25+J25</f>
        <v>1665.75170153769</v>
      </c>
      <c r="L25" s="6" t="n">
        <f aca="false">F25-(I25-W25)</f>
        <v>455.751701537686</v>
      </c>
      <c r="M25" s="6" t="n">
        <v>12</v>
      </c>
      <c r="N25" s="6"/>
      <c r="O25" s="6"/>
      <c r="P25" s="6" t="n">
        <f aca="false">M25-(N25+O25)</f>
        <v>12</v>
      </c>
      <c r="Q25" s="6" t="n">
        <v>66</v>
      </c>
      <c r="R25" s="6" t="n">
        <v>0</v>
      </c>
      <c r="S25" s="6" t="n">
        <f aca="false">SUM(P25:R25)</f>
        <v>78</v>
      </c>
      <c r="T25" s="7"/>
      <c r="U25" s="6" t="n">
        <v>0</v>
      </c>
      <c r="V25" s="6" t="n">
        <v>1133</v>
      </c>
      <c r="W25" s="6" t="n">
        <f aca="false">N25+O25+S25+U25+V25</f>
        <v>1211</v>
      </c>
      <c r="X25" s="6" t="n">
        <f aca="false">IF(L25&lt;0,L25*-1,0)</f>
        <v>0</v>
      </c>
      <c r="Y25" s="6" t="n">
        <f aca="false">W25+X25</f>
        <v>1211</v>
      </c>
      <c r="Z25" s="11" t="n">
        <v>0</v>
      </c>
      <c r="AA25" s="39" t="n">
        <v>61</v>
      </c>
      <c r="AB25" s="12" t="n">
        <v>38</v>
      </c>
      <c r="AC25" s="13" t="n">
        <f aca="false">AC24+1</f>
        <v>16</v>
      </c>
      <c r="AD25" s="12" t="n">
        <f aca="false">IF(I25&gt;S25,I25-S25,I25-S25)</f>
        <v>1132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6885.44</v>
      </c>
      <c r="C26" s="7" t="n">
        <v>233108</v>
      </c>
      <c r="D26" s="12" t="n">
        <f aca="false">C26-C25</f>
        <v>-322</v>
      </c>
      <c r="E26" s="7" t="n">
        <f aca="false">C26-152000</f>
        <v>81108</v>
      </c>
      <c r="F26" s="6" t="n">
        <f aca="false">D26/$D$2</f>
        <v>-162.339299218553</v>
      </c>
      <c r="G26" s="6" t="n">
        <v>971</v>
      </c>
      <c r="H26" s="8" t="n">
        <v>203</v>
      </c>
      <c r="I26" s="6" t="n">
        <f aca="false">G26+H26</f>
        <v>1174</v>
      </c>
      <c r="J26" s="109" t="n">
        <f aca="false">IF(L26&gt;0,L26,0)</f>
        <v>191.660700781447</v>
      </c>
      <c r="K26" s="6" t="n">
        <f aca="false">I26+J26</f>
        <v>1365.66070078145</v>
      </c>
      <c r="L26" s="6" t="n">
        <f aca="false">F26-(I26-W26)</f>
        <v>191.660700781447</v>
      </c>
      <c r="M26" s="6" t="n">
        <v>19</v>
      </c>
      <c r="N26" s="6"/>
      <c r="O26" s="6"/>
      <c r="P26" s="6" t="n">
        <f aca="false">M26-(N26+O26)</f>
        <v>19</v>
      </c>
      <c r="Q26" s="6" t="n">
        <v>42</v>
      </c>
      <c r="R26" s="6" t="n">
        <v>0</v>
      </c>
      <c r="S26" s="6" t="n">
        <f aca="false">SUM(P26:R26)</f>
        <v>61</v>
      </c>
      <c r="T26" s="7"/>
      <c r="U26" s="6" t="n">
        <v>0</v>
      </c>
      <c r="V26" s="6" t="n">
        <v>1467</v>
      </c>
      <c r="W26" s="6" t="n">
        <f aca="false">N26+O26+S26+U26+V26</f>
        <v>1528</v>
      </c>
      <c r="X26" s="6" t="n">
        <f aca="false">IF(L26&lt;0,L26*-1,0)</f>
        <v>0</v>
      </c>
      <c r="Y26" s="6" t="n">
        <f aca="false">W26+X26</f>
        <v>1528</v>
      </c>
      <c r="Z26" s="11" t="n">
        <v>0</v>
      </c>
      <c r="AA26" s="39" t="n">
        <v>59</v>
      </c>
      <c r="AB26" s="12" t="n">
        <v>29</v>
      </c>
      <c r="AC26" s="13" t="n">
        <f aca="false">AC25+1</f>
        <v>17</v>
      </c>
      <c r="AD26" s="12" t="n">
        <f aca="false">IF(I26&gt;S26,I26-S26,I26-S26)</f>
        <v>1113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6885.2</v>
      </c>
      <c r="C27" s="7" t="n">
        <v>232334</v>
      </c>
      <c r="D27" s="12" t="n">
        <f aca="false">C27-C26</f>
        <v>-774</v>
      </c>
      <c r="E27" s="7" t="n">
        <f aca="false">C27-152000</f>
        <v>80334</v>
      </c>
      <c r="F27" s="6" t="n">
        <f aca="false">D27/$D$2</f>
        <v>-390.219309301739</v>
      </c>
      <c r="G27" s="6" t="n">
        <v>788</v>
      </c>
      <c r="H27" s="8" t="n">
        <v>138</v>
      </c>
      <c r="I27" s="6" t="n">
        <f aca="false">G27+H27</f>
        <v>926</v>
      </c>
      <c r="J27" s="109" t="n">
        <f aca="false">IF(L27&gt;0,L27,0)</f>
        <v>308.780690698261</v>
      </c>
      <c r="K27" s="6" t="n">
        <f aca="false">I27+J27</f>
        <v>1234.78069069826</v>
      </c>
      <c r="L27" s="6" t="n">
        <f aca="false">F27-(I27-W27)</f>
        <v>308.780690698261</v>
      </c>
      <c r="M27" s="6" t="n">
        <v>22</v>
      </c>
      <c r="N27" s="6"/>
      <c r="O27" s="6"/>
      <c r="P27" s="6" t="n">
        <f aca="false">M27-(N27+O27)</f>
        <v>22</v>
      </c>
      <c r="Q27" s="6" t="n">
        <v>2</v>
      </c>
      <c r="R27" s="6" t="n">
        <v>0</v>
      </c>
      <c r="S27" s="6" t="n">
        <f aca="false">SUM(P27:R27)</f>
        <v>24</v>
      </c>
      <c r="T27" s="7"/>
      <c r="U27" s="6" t="n">
        <v>0</v>
      </c>
      <c r="V27" s="6" t="n">
        <v>1601</v>
      </c>
      <c r="W27" s="6" t="n">
        <f aca="false">N27+O27+S27+U27+V27</f>
        <v>1625</v>
      </c>
      <c r="X27" s="6" t="n">
        <f aca="false">IF(L27&lt;0,L27*-1,0)</f>
        <v>0</v>
      </c>
      <c r="Y27" s="6" t="n">
        <f aca="false">W27+X27</f>
        <v>1625</v>
      </c>
      <c r="Z27" s="11" t="n">
        <v>0.01</v>
      </c>
      <c r="AA27" s="39" t="n">
        <v>58</v>
      </c>
      <c r="AB27" s="12" t="n">
        <v>20</v>
      </c>
      <c r="AC27" s="13" t="n">
        <f aca="false">AC26+1</f>
        <v>18</v>
      </c>
      <c r="AD27" s="12" t="n">
        <f aca="false">IF(I27&gt;S27,I27-S27,I27-S27)</f>
        <v>902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6885.13</v>
      </c>
      <c r="C28" s="7" t="n">
        <v>232109</v>
      </c>
      <c r="D28" s="12" t="n">
        <f aca="false">C28-C27</f>
        <v>-225</v>
      </c>
      <c r="E28" s="7" t="n">
        <f aca="false">C28-152000</f>
        <v>80109</v>
      </c>
      <c r="F28" s="6" t="n">
        <f aca="false">D28/$D$2</f>
        <v>-113.43584572725</v>
      </c>
      <c r="G28" s="6" t="n">
        <v>681</v>
      </c>
      <c r="H28" s="8" t="n">
        <v>106</v>
      </c>
      <c r="I28" s="6" t="n">
        <f aca="false">G28+H28</f>
        <v>787</v>
      </c>
      <c r="J28" s="109" t="n">
        <f aca="false">IF(L28&gt;0,L28,0)</f>
        <v>615.56415427275</v>
      </c>
      <c r="K28" s="6" t="n">
        <f aca="false">I28+J28</f>
        <v>1402.56415427275</v>
      </c>
      <c r="L28" s="6" t="n">
        <f aca="false">F28-(I28-W28)</f>
        <v>615.56415427275</v>
      </c>
      <c r="M28" s="6" t="n">
        <v>21</v>
      </c>
      <c r="N28" s="6"/>
      <c r="O28" s="6"/>
      <c r="P28" s="6" t="n">
        <f aca="false">M28-(N28+O28)</f>
        <v>21</v>
      </c>
      <c r="Q28" s="6" t="n">
        <v>2</v>
      </c>
      <c r="R28" s="6" t="n">
        <v>0</v>
      </c>
      <c r="S28" s="6" t="n">
        <f aca="false">SUM(P28:R28)</f>
        <v>23</v>
      </c>
      <c r="T28" s="7"/>
      <c r="U28" s="6" t="n">
        <v>0</v>
      </c>
      <c r="V28" s="6" t="n">
        <v>1493</v>
      </c>
      <c r="W28" s="6" t="n">
        <f aca="false">N28+O28+S28+U28+V28</f>
        <v>1516</v>
      </c>
      <c r="X28" s="6" t="n">
        <f aca="false">IF(L28&lt;0,L28*-1,0)</f>
        <v>0</v>
      </c>
      <c r="Y28" s="6" t="n">
        <f aca="false">W28+X28</f>
        <v>1516</v>
      </c>
      <c r="Z28" s="11" t="n">
        <v>0</v>
      </c>
      <c r="AA28" s="39"/>
      <c r="AB28" s="12"/>
      <c r="AC28" s="13" t="n">
        <f aca="false">AC27+1</f>
        <v>19</v>
      </c>
      <c r="AD28" s="12" t="n">
        <f aca="false">IF(I28&gt;S28,I28-S28,I28-S28)</f>
        <v>764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6885.23</v>
      </c>
      <c r="C29" s="7" t="n">
        <v>232431</v>
      </c>
      <c r="D29" s="12" t="n">
        <f aca="false">C29-C28</f>
        <v>322</v>
      </c>
      <c r="E29" s="7" t="n">
        <f aca="false">C29-152000</f>
        <v>80431</v>
      </c>
      <c r="F29" s="6" t="n">
        <f aca="false">D29/$D$2</f>
        <v>162.339299218553</v>
      </c>
      <c r="G29" s="6" t="n">
        <v>709</v>
      </c>
      <c r="H29" s="8" t="n">
        <v>114</v>
      </c>
      <c r="I29" s="6" t="n">
        <f aca="false">G29+H29</f>
        <v>823</v>
      </c>
      <c r="J29" s="109" t="n">
        <f aca="false">IF(L29&gt;0,L29,0)</f>
        <v>463.339299218553</v>
      </c>
      <c r="K29" s="6" t="n">
        <f aca="false">I29+J29</f>
        <v>1286.33929921855</v>
      </c>
      <c r="L29" s="6" t="n">
        <f aca="false">F29-(I29-W29)</f>
        <v>463.339299218553</v>
      </c>
      <c r="M29" s="6" t="n">
        <v>21</v>
      </c>
      <c r="N29" s="6"/>
      <c r="O29" s="6"/>
      <c r="P29" s="6" t="n">
        <f aca="false">M29-(N29+O29)</f>
        <v>21</v>
      </c>
      <c r="Q29" s="6" t="n">
        <v>2</v>
      </c>
      <c r="R29" s="6" t="n">
        <v>0</v>
      </c>
      <c r="S29" s="6" t="n">
        <f aca="false">SUM(P29:R29)</f>
        <v>23</v>
      </c>
      <c r="T29" s="7"/>
      <c r="U29" s="6" t="n">
        <v>0</v>
      </c>
      <c r="V29" s="6" t="n">
        <v>1101</v>
      </c>
      <c r="W29" s="6" t="n">
        <f aca="false">N29+O29+S29+U29+V29</f>
        <v>1124</v>
      </c>
      <c r="X29" s="6" t="n">
        <f aca="false">IF(L29&lt;0,L29*-1,0)</f>
        <v>0</v>
      </c>
      <c r="Y29" s="6" t="n">
        <f aca="false">W29+X29</f>
        <v>1124</v>
      </c>
      <c r="Z29" s="11" t="n">
        <v>0</v>
      </c>
      <c r="AA29" s="39"/>
      <c r="AB29" s="12"/>
      <c r="AC29" s="13" t="n">
        <f aca="false">AC28+1</f>
        <v>20</v>
      </c>
      <c r="AD29" s="12" t="n">
        <f aca="false">IF(I29&gt;S29,I29-S29,I29-S29)</f>
        <v>800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6885.53</v>
      </c>
      <c r="C30" s="7" t="n">
        <v>233398</v>
      </c>
      <c r="D30" s="12" t="n">
        <f aca="false">C30-C29</f>
        <v>967</v>
      </c>
      <c r="E30" s="7" t="n">
        <f aca="false">C30-152000</f>
        <v>81398</v>
      </c>
      <c r="F30" s="6" t="n">
        <f aca="false">D30/$D$2</f>
        <v>487.522056970002</v>
      </c>
      <c r="G30" s="6" t="n">
        <v>976</v>
      </c>
      <c r="H30" s="8" t="n">
        <v>189</v>
      </c>
      <c r="I30" s="6" t="n">
        <f aca="false">G30+H30</f>
        <v>1165</v>
      </c>
      <c r="J30" s="109" t="n">
        <f aca="false">IF(L30&gt;0,L30,0)</f>
        <v>567.522056970003</v>
      </c>
      <c r="K30" s="6" t="n">
        <f aca="false">I30+J30</f>
        <v>1732.52205697</v>
      </c>
      <c r="L30" s="6" t="n">
        <f aca="false">F30-(I30-W30)</f>
        <v>567.522056970003</v>
      </c>
      <c r="M30" s="6" t="n">
        <v>21</v>
      </c>
      <c r="N30" s="6"/>
      <c r="O30" s="6"/>
      <c r="P30" s="6" t="n">
        <f aca="false">M30-(N30+O30)</f>
        <v>21</v>
      </c>
      <c r="Q30" s="6" t="n">
        <v>2</v>
      </c>
      <c r="R30" s="6" t="n">
        <v>0</v>
      </c>
      <c r="S30" s="6" t="n">
        <f aca="false">SUM(P30:R30)</f>
        <v>23</v>
      </c>
      <c r="T30" s="7"/>
      <c r="U30" s="6" t="n">
        <v>0</v>
      </c>
      <c r="V30" s="6" t="n">
        <v>1222</v>
      </c>
      <c r="W30" s="6" t="n">
        <f aca="false">N30+O30+S30+U30+V30</f>
        <v>1245</v>
      </c>
      <c r="X30" s="6" t="n">
        <f aca="false">IF(L30&lt;0,L30*-1,0)</f>
        <v>0</v>
      </c>
      <c r="Y30" s="6" t="n">
        <f aca="false">W30+X30</f>
        <v>1245</v>
      </c>
      <c r="Z30" s="11" t="n">
        <v>0</v>
      </c>
      <c r="AA30" s="12" t="n">
        <v>60</v>
      </c>
      <c r="AB30" s="12" t="n">
        <v>33</v>
      </c>
      <c r="AC30" s="13" t="n">
        <f aca="false">AC29+1</f>
        <v>21</v>
      </c>
      <c r="AD30" s="12" t="n">
        <f aca="false">IF(I30&gt;S30,I30-S30,I30-S30)</f>
        <v>1142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6885.45</v>
      </c>
      <c r="C31" s="7" t="n">
        <v>233140</v>
      </c>
      <c r="D31" s="12" t="n">
        <f aca="false">C31-C30</f>
        <v>-258</v>
      </c>
      <c r="E31" s="7" t="n">
        <f aca="false">C31-152000</f>
        <v>81140</v>
      </c>
      <c r="F31" s="6" t="n">
        <f aca="false">D31/$D$2</f>
        <v>-130.07310310058</v>
      </c>
      <c r="G31" s="6" t="n">
        <v>1436</v>
      </c>
      <c r="H31" s="8" t="n">
        <v>256</v>
      </c>
      <c r="I31" s="6" t="n">
        <f aca="false">G31+H31</f>
        <v>1692</v>
      </c>
      <c r="J31" s="109" t="n">
        <f aca="false">IF(L31&gt;0,L31,0)</f>
        <v>285.92689689942</v>
      </c>
      <c r="K31" s="6" t="n">
        <f aca="false">I31+J31</f>
        <v>1977.92689689942</v>
      </c>
      <c r="L31" s="6" t="n">
        <f aca="false">F31-(I31-W31)</f>
        <v>285.92689689942</v>
      </c>
      <c r="M31" s="6" t="n">
        <v>23</v>
      </c>
      <c r="N31" s="6"/>
      <c r="O31" s="6"/>
      <c r="P31" s="6" t="n">
        <f aca="false">M31-(N31+O31)</f>
        <v>23</v>
      </c>
      <c r="Q31" s="6" t="n">
        <v>32</v>
      </c>
      <c r="R31" s="6" t="n">
        <v>20</v>
      </c>
      <c r="S31" s="6" t="n">
        <f aca="false">SUM(P31:R31)</f>
        <v>75</v>
      </c>
      <c r="T31" s="7"/>
      <c r="U31" s="6" t="n">
        <v>0</v>
      </c>
      <c r="V31" s="6" t="n">
        <v>2033</v>
      </c>
      <c r="W31" s="6" t="n">
        <f aca="false">N31+O31+S31+U31+V31</f>
        <v>2108</v>
      </c>
      <c r="X31" s="6" t="n">
        <f aca="false">IF(L31&lt;0,L31*-1,0)</f>
        <v>0</v>
      </c>
      <c r="Y31" s="6" t="n">
        <f aca="false">W31+X31</f>
        <v>2108</v>
      </c>
      <c r="Z31" s="11" t="n">
        <v>0</v>
      </c>
      <c r="AA31" s="12" t="n">
        <v>69</v>
      </c>
      <c r="AB31" s="12" t="n">
        <v>34</v>
      </c>
      <c r="AC31" s="13" t="n">
        <f aca="false">AC30+1</f>
        <v>22</v>
      </c>
      <c r="AD31" s="12" t="n">
        <f aca="false">IF(I31&gt;S31,I31-S31,I31-S31)</f>
        <v>1617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5885.56</v>
      </c>
      <c r="C32" s="7" t="n">
        <v>233494</v>
      </c>
      <c r="D32" s="12" t="n">
        <f aca="false">C32-C31</f>
        <v>354</v>
      </c>
      <c r="E32" s="7" t="n">
        <f aca="false">C32-152000</f>
        <v>81494</v>
      </c>
      <c r="F32" s="6" t="n">
        <f aca="false">D32/$D$2</f>
        <v>178.47239727754</v>
      </c>
      <c r="G32" s="6" t="n">
        <v>1661</v>
      </c>
      <c r="H32" s="8" t="n">
        <v>257</v>
      </c>
      <c r="I32" s="6" t="n">
        <f aca="false">G32+H32</f>
        <v>1918</v>
      </c>
      <c r="J32" s="109" t="n">
        <f aca="false">IF(L32&gt;0,L32,0)</f>
        <v>665.47239727754</v>
      </c>
      <c r="K32" s="6" t="n">
        <f aca="false">I32+J32</f>
        <v>2583.47239727754</v>
      </c>
      <c r="L32" s="6" t="n">
        <f aca="false">F32-(I32-W32)</f>
        <v>665.47239727754</v>
      </c>
      <c r="M32" s="6" t="n">
        <v>27</v>
      </c>
      <c r="N32" s="6"/>
      <c r="O32" s="6"/>
      <c r="P32" s="6" t="n">
        <f aca="false">M32-(N32+O32)</f>
        <v>27</v>
      </c>
      <c r="Q32" s="6" t="n">
        <v>46</v>
      </c>
      <c r="R32" s="6" t="n">
        <v>30</v>
      </c>
      <c r="S32" s="6" t="n">
        <f aca="false">SUM(P32:R32)</f>
        <v>103</v>
      </c>
      <c r="T32" s="7"/>
      <c r="U32" s="6" t="n">
        <v>0</v>
      </c>
      <c r="V32" s="6" t="n">
        <v>2302</v>
      </c>
      <c r="W32" s="6" t="n">
        <f aca="false">N32+O32+S32+U32+V32</f>
        <v>2405</v>
      </c>
      <c r="X32" s="6" t="n">
        <f aca="false">IF(L32&lt;0,L32*-1,0)</f>
        <v>0</v>
      </c>
      <c r="Y32" s="6" t="n">
        <f aca="false">W32+X32</f>
        <v>2405</v>
      </c>
      <c r="Z32" s="11" t="n">
        <v>0</v>
      </c>
      <c r="AA32" s="12" t="n">
        <v>68</v>
      </c>
      <c r="AB32" s="39" t="n">
        <v>38</v>
      </c>
      <c r="AC32" s="13" t="n">
        <f aca="false">AC31+1</f>
        <v>23</v>
      </c>
      <c r="AD32" s="12" t="n">
        <f aca="false">IF(I32&gt;S32,I32-S32,I32-S32)</f>
        <v>1815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6885.33</v>
      </c>
      <c r="C33" s="7" t="n">
        <v>232753</v>
      </c>
      <c r="D33" s="12" t="n">
        <f aca="false">C33-C32</f>
        <v>-741</v>
      </c>
      <c r="E33" s="7" t="n">
        <f aca="false">C33-152000</f>
        <v>80753</v>
      </c>
      <c r="F33" s="6" t="n">
        <f aca="false">D33/$D$2</f>
        <v>-373.582051928409</v>
      </c>
      <c r="G33" s="6" t="n">
        <v>1686</v>
      </c>
      <c r="H33" s="8" t="n">
        <v>255</v>
      </c>
      <c r="I33" s="6" t="n">
        <f aca="false">G33+H33</f>
        <v>1941</v>
      </c>
      <c r="J33" s="109" t="n">
        <f aca="false">IF(L33&gt;0,L33,0)</f>
        <v>365.417948071591</v>
      </c>
      <c r="K33" s="6" t="n">
        <f aca="false">I33+J33</f>
        <v>2306.41794807159</v>
      </c>
      <c r="L33" s="6" t="n">
        <f aca="false">F33-(I33-W33)</f>
        <v>365.417948071591</v>
      </c>
      <c r="M33" s="6" t="n">
        <v>36</v>
      </c>
      <c r="N33" s="6"/>
      <c r="O33" s="6"/>
      <c r="P33" s="6" t="n">
        <f aca="false">M33-(N33+O33)</f>
        <v>36</v>
      </c>
      <c r="Q33" s="6" t="n">
        <v>46</v>
      </c>
      <c r="R33" s="6" t="n">
        <v>31</v>
      </c>
      <c r="S33" s="6" t="n">
        <f aca="false">SUM(P33:R33)</f>
        <v>113</v>
      </c>
      <c r="T33" s="7"/>
      <c r="U33" s="6" t="n">
        <v>0</v>
      </c>
      <c r="V33" s="6" t="n">
        <v>2567</v>
      </c>
      <c r="W33" s="6" t="n">
        <f aca="false">N33+O33+S33+U33+V33</f>
        <v>2680</v>
      </c>
      <c r="X33" s="6" t="n">
        <f aca="false">IF(L33&lt;0,L33*-1,0)</f>
        <v>0</v>
      </c>
      <c r="Y33" s="6" t="n">
        <f aca="false">W33+X33</f>
        <v>2680</v>
      </c>
      <c r="Z33" s="11" t="n">
        <v>0</v>
      </c>
      <c r="AA33" s="12" t="n">
        <v>59</v>
      </c>
      <c r="AB33" s="39" t="n">
        <v>36</v>
      </c>
      <c r="AC33" s="13" t="n">
        <f aca="false">AC32+1</f>
        <v>24</v>
      </c>
      <c r="AD33" s="12" t="n">
        <f aca="false">IF(I33&gt;S33,I33-S33,I33-S33)</f>
        <v>1828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6885.23</v>
      </c>
      <c r="C34" s="7" t="n">
        <v>232431</v>
      </c>
      <c r="D34" s="12" t="n">
        <f aca="false">C34-C33</f>
        <v>-322</v>
      </c>
      <c r="E34" s="7" t="n">
        <f aca="false">C34-152000</f>
        <v>80431</v>
      </c>
      <c r="F34" s="6" t="n">
        <f aca="false">D34/$D$2</f>
        <v>-162.339299218553</v>
      </c>
      <c r="G34" s="6" t="n">
        <v>1652</v>
      </c>
      <c r="H34" s="8" t="n">
        <v>234</v>
      </c>
      <c r="I34" s="6" t="n">
        <f aca="false">G34+H34</f>
        <v>1886</v>
      </c>
      <c r="J34" s="109" t="n">
        <f aca="false">IF(L34&gt;0,L34,0)</f>
        <v>480.660700781447</v>
      </c>
      <c r="K34" s="6" t="n">
        <f aca="false">I34+J34</f>
        <v>2366.66070078145</v>
      </c>
      <c r="L34" s="6" t="n">
        <f aca="false">F34-(I34-W34)</f>
        <v>480.660700781447</v>
      </c>
      <c r="M34" s="6" t="n">
        <v>36</v>
      </c>
      <c r="N34" s="6"/>
      <c r="O34" s="6"/>
      <c r="P34" s="6" t="n">
        <f aca="false">M34-(N34+O34)</f>
        <v>36</v>
      </c>
      <c r="Q34" s="6" t="n">
        <v>46</v>
      </c>
      <c r="R34" s="6" t="n">
        <v>31</v>
      </c>
      <c r="S34" s="6" t="n">
        <f aca="false">SUM(P34:R34)</f>
        <v>113</v>
      </c>
      <c r="T34" s="7"/>
      <c r="U34" s="6" t="n">
        <v>0</v>
      </c>
      <c r="V34" s="6" t="n">
        <v>2416</v>
      </c>
      <c r="W34" s="6" t="n">
        <f aca="false">N34+O34+S34+U34+V34</f>
        <v>2529</v>
      </c>
      <c r="X34" s="6" t="n">
        <f aca="false">IF(L34&lt;0,L34*-1,0)</f>
        <v>0</v>
      </c>
      <c r="Y34" s="6" t="n">
        <f aca="false">W34+X34</f>
        <v>2529</v>
      </c>
      <c r="Z34" s="11" t="n">
        <v>0</v>
      </c>
      <c r="AA34" s="12"/>
      <c r="AB34" s="39"/>
      <c r="AC34" s="13" t="n">
        <f aca="false">AC33+1</f>
        <v>25</v>
      </c>
      <c r="AD34" s="12" t="n">
        <f aca="false">IF(I34&gt;S34,I34-S34,I34-S34)</f>
        <v>1773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6885.35</v>
      </c>
      <c r="C35" s="7" t="n">
        <v>232818</v>
      </c>
      <c r="D35" s="12" t="n">
        <f aca="false">C35-C34</f>
        <v>387</v>
      </c>
      <c r="E35" s="7" t="n">
        <f aca="false">C35-152000</f>
        <v>80818</v>
      </c>
      <c r="F35" s="6" t="n">
        <f aca="false">D35/$D$2</f>
        <v>195.10965465087</v>
      </c>
      <c r="G35" s="6" t="n">
        <v>1417</v>
      </c>
      <c r="H35" s="8" t="n">
        <v>152</v>
      </c>
      <c r="I35" s="6" t="n">
        <f aca="false">G35+H35</f>
        <v>1569</v>
      </c>
      <c r="J35" s="109" t="n">
        <f aca="false">IF(L35&gt;0,L35,0)</f>
        <v>564.10965465087</v>
      </c>
      <c r="K35" s="6" t="n">
        <f aca="false">I35+J35</f>
        <v>2133.10965465087</v>
      </c>
      <c r="L35" s="6" t="n">
        <f aca="false">F35-(I35-W35)</f>
        <v>564.10965465087</v>
      </c>
      <c r="M35" s="6" t="n">
        <v>39</v>
      </c>
      <c r="N35" s="6"/>
      <c r="O35" s="6"/>
      <c r="P35" s="6" t="n">
        <f aca="false">M35-(N35+O35)</f>
        <v>39</v>
      </c>
      <c r="Q35" s="6" t="n">
        <v>46</v>
      </c>
      <c r="R35" s="6" t="n">
        <v>28</v>
      </c>
      <c r="S35" s="6" t="n">
        <f aca="false">SUM(P35:R35)</f>
        <v>113</v>
      </c>
      <c r="T35" s="7"/>
      <c r="U35" s="6" t="n">
        <v>0</v>
      </c>
      <c r="V35" s="6" t="n">
        <v>1825</v>
      </c>
      <c r="W35" s="6" t="n">
        <f aca="false">N35+O35+S35+U35+V35</f>
        <v>1938</v>
      </c>
      <c r="X35" s="6" t="n">
        <f aca="false">IF(L35&lt;0,L35*-1,0)</f>
        <v>0</v>
      </c>
      <c r="Y35" s="6" t="n">
        <f aca="false">W35+X35</f>
        <v>1938</v>
      </c>
      <c r="Z35" s="11" t="n">
        <v>0</v>
      </c>
      <c r="AA35" s="12"/>
      <c r="AB35" s="12"/>
      <c r="AC35" s="13" t="n">
        <f aca="false">AC34+1</f>
        <v>26</v>
      </c>
      <c r="AD35" s="12" t="n">
        <f aca="false">IF(I35&gt;S35,I35-S35,I35-S35)</f>
        <v>1456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6885.29</v>
      </c>
      <c r="C36" s="7" t="n">
        <v>232624</v>
      </c>
      <c r="D36" s="12" t="n">
        <f aca="false">C36-C35</f>
        <v>-194</v>
      </c>
      <c r="E36" s="7" t="n">
        <f aca="false">C36-152000</f>
        <v>80624</v>
      </c>
      <c r="F36" s="6" t="n">
        <f aca="false">D36/$D$2</f>
        <v>-97.8069069826065</v>
      </c>
      <c r="G36" s="6" t="n">
        <v>1157</v>
      </c>
      <c r="H36" s="8" t="n">
        <v>101</v>
      </c>
      <c r="I36" s="6" t="n">
        <f aca="false">G36+H36</f>
        <v>1258</v>
      </c>
      <c r="J36" s="109" t="n">
        <f aca="false">IF(L36&gt;0,L36,0)</f>
        <v>258.193093017393</v>
      </c>
      <c r="K36" s="6" t="n">
        <f aca="false">I36+J36</f>
        <v>1516.19309301739</v>
      </c>
      <c r="L36" s="6" t="n">
        <f aca="false">F36-(I36-W36)</f>
        <v>258.193093017393</v>
      </c>
      <c r="M36" s="6" t="n">
        <v>39</v>
      </c>
      <c r="N36" s="6"/>
      <c r="O36" s="6"/>
      <c r="P36" s="6" t="n">
        <f aca="false">M36-(N36+O36)</f>
        <v>39</v>
      </c>
      <c r="Q36" s="6" t="n">
        <v>46</v>
      </c>
      <c r="R36" s="6" t="n">
        <v>28</v>
      </c>
      <c r="S36" s="6" t="n">
        <f aca="false">SUM(P36:R36)</f>
        <v>113</v>
      </c>
      <c r="T36" s="7"/>
      <c r="U36" s="6" t="n">
        <v>0</v>
      </c>
      <c r="V36" s="6" t="n">
        <v>1501</v>
      </c>
      <c r="W36" s="6" t="n">
        <f aca="false">N36+O36+S36+U36+V36</f>
        <v>1614</v>
      </c>
      <c r="X36" s="6" t="n">
        <f aca="false">IF(L36&lt;0,L36*-1,0)</f>
        <v>0</v>
      </c>
      <c r="Y36" s="6" t="n">
        <f aca="false">W36+X36</f>
        <v>1614</v>
      </c>
      <c r="Z36" s="11" t="n">
        <v>0</v>
      </c>
      <c r="AA36" s="12"/>
      <c r="AB36" s="12"/>
      <c r="AC36" s="13" t="n">
        <f aca="false">AC35+1</f>
        <v>27</v>
      </c>
      <c r="AD36" s="12" t="n">
        <f aca="false">IF(I36&gt;S36,I36-S36,I36-S36)</f>
        <v>1145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6885.43</v>
      </c>
      <c r="C37" s="7" t="n">
        <v>233075</v>
      </c>
      <c r="D37" s="12" t="n">
        <f aca="false">C37-C36</f>
        <v>451</v>
      </c>
      <c r="E37" s="7" t="n">
        <f aca="false">C37-152000</f>
        <v>81075</v>
      </c>
      <c r="F37" s="6" t="n">
        <f aca="false">D37/$D$2</f>
        <v>227.375850768843</v>
      </c>
      <c r="G37" s="6" t="n">
        <v>1114</v>
      </c>
      <c r="H37" s="8" t="n">
        <v>100</v>
      </c>
      <c r="I37" s="6" t="n">
        <f aca="false">G37+H37</f>
        <v>1214</v>
      </c>
      <c r="J37" s="109" t="n">
        <f aca="false">IF(L37&gt;0,L37,0)</f>
        <v>542.375850768843</v>
      </c>
      <c r="K37" s="6" t="n">
        <f aca="false">I37+J37</f>
        <v>1756.37585076884</v>
      </c>
      <c r="L37" s="6" t="n">
        <f aca="false">F37-(I37-W37)</f>
        <v>542.375850768843</v>
      </c>
      <c r="M37" s="6" t="n">
        <v>39</v>
      </c>
      <c r="N37" s="6"/>
      <c r="O37" s="6"/>
      <c r="P37" s="6" t="n">
        <f aca="false">M37-(N37+O37)</f>
        <v>39</v>
      </c>
      <c r="Q37" s="6" t="n">
        <v>19</v>
      </c>
      <c r="R37" s="6" t="n">
        <v>28</v>
      </c>
      <c r="S37" s="6" t="n">
        <f aca="false">SUM(P37:R37)</f>
        <v>86</v>
      </c>
      <c r="T37" s="7"/>
      <c r="U37" s="6" t="n">
        <v>0</v>
      </c>
      <c r="V37" s="6" t="n">
        <v>1443</v>
      </c>
      <c r="W37" s="6" t="n">
        <f aca="false">N37+O37+S37+U37+V37</f>
        <v>1529</v>
      </c>
      <c r="X37" s="6" t="n">
        <f aca="false">IF(L37&lt;0,L37*-1,0)</f>
        <v>0</v>
      </c>
      <c r="Y37" s="6" t="n">
        <f aca="false">W37+X37</f>
        <v>1529</v>
      </c>
      <c r="Z37" s="11" t="n">
        <v>0</v>
      </c>
      <c r="AA37" s="12"/>
      <c r="AB37" s="12"/>
      <c r="AC37" s="13" t="n">
        <f aca="false">AC36+1</f>
        <v>28</v>
      </c>
      <c r="AD37" s="12" t="n">
        <f aca="false">IF(I37&gt;S37,I37-S37,I37-S37)</f>
        <v>1128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6885.55</v>
      </c>
      <c r="C38" s="7" t="n">
        <v>233462</v>
      </c>
      <c r="D38" s="12" t="n">
        <f aca="false">C38-C37</f>
        <v>387</v>
      </c>
      <c r="E38" s="7" t="n">
        <f aca="false">C38-152000</f>
        <v>81462</v>
      </c>
      <c r="F38" s="6" t="n">
        <f aca="false">D38/$D$2</f>
        <v>195.10965465087</v>
      </c>
      <c r="G38" s="6" t="n">
        <v>1452</v>
      </c>
      <c r="H38" s="8" t="n">
        <v>194</v>
      </c>
      <c r="I38" s="6" t="n">
        <f aca="false">G38+H38</f>
        <v>1646</v>
      </c>
      <c r="J38" s="109" t="n">
        <f aca="false">IF(L38&gt;0,L38,0)</f>
        <v>391.10965465087</v>
      </c>
      <c r="K38" s="6" t="n">
        <f aca="false">I38+J38</f>
        <v>2037.10965465087</v>
      </c>
      <c r="L38" s="6" t="n">
        <f aca="false">F38-(I38-W38)</f>
        <v>391.10965465087</v>
      </c>
      <c r="M38" s="6" t="n">
        <v>39</v>
      </c>
      <c r="N38" s="6"/>
      <c r="O38" s="6"/>
      <c r="P38" s="6" t="n">
        <f aca="false">M38-(N38+O38)</f>
        <v>39</v>
      </c>
      <c r="Q38" s="6" t="n">
        <v>2</v>
      </c>
      <c r="R38" s="6" t="n">
        <v>26</v>
      </c>
      <c r="S38" s="6" t="n">
        <f aca="false">SUM(P38:R38)</f>
        <v>67</v>
      </c>
      <c r="T38" s="7"/>
      <c r="U38" s="6" t="n">
        <v>0</v>
      </c>
      <c r="V38" s="6" t="n">
        <v>1775</v>
      </c>
      <c r="W38" s="6" t="n">
        <f aca="false">N38+O38+S38+U38+V38</f>
        <v>1842</v>
      </c>
      <c r="X38" s="6" t="n">
        <f aca="false">IF(L38&lt;0,L38*-1,0)</f>
        <v>0</v>
      </c>
      <c r="Y38" s="6" t="n">
        <f aca="false">W38+X38</f>
        <v>1842</v>
      </c>
      <c r="Z38" s="11" t="n">
        <v>0</v>
      </c>
      <c r="AA38" s="39" t="n">
        <v>63</v>
      </c>
      <c r="AB38" s="12" t="n">
        <v>34</v>
      </c>
      <c r="AC38" s="13" t="n">
        <f aca="false">AC37+1</f>
        <v>29</v>
      </c>
      <c r="AD38" s="12" t="n">
        <f aca="false">IF(I38&gt;S38,I38-S38,I38-S38)</f>
        <v>1579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6885.59</v>
      </c>
      <c r="C39" s="7" t="n">
        <v>233591</v>
      </c>
      <c r="D39" s="12" t="n">
        <f aca="false">C39-C38</f>
        <v>129</v>
      </c>
      <c r="E39" s="7" t="n">
        <f aca="false">C39-152000</f>
        <v>81591</v>
      </c>
      <c r="F39" s="6" t="n">
        <f aca="false">D39/$D$2</f>
        <v>65.0365515502899</v>
      </c>
      <c r="G39" s="6" t="n">
        <v>1864</v>
      </c>
      <c r="H39" s="8" t="n">
        <v>265</v>
      </c>
      <c r="I39" s="6" t="n">
        <f aca="false">G39+H39</f>
        <v>2129</v>
      </c>
      <c r="J39" s="109" t="n">
        <f aca="false">IF(L39&gt;0,L39,0)</f>
        <v>450.03655155029</v>
      </c>
      <c r="K39" s="6" t="n">
        <f aca="false">I39+J39</f>
        <v>2579.03655155029</v>
      </c>
      <c r="L39" s="6" t="n">
        <f aca="false">F39-(I39-W39)</f>
        <v>450.03655155029</v>
      </c>
      <c r="M39" s="6" t="n">
        <v>65</v>
      </c>
      <c r="N39" s="6" t="n">
        <v>0</v>
      </c>
      <c r="O39" s="6" t="n">
        <v>0</v>
      </c>
      <c r="P39" s="6" t="n">
        <f aca="false">M39-(N39+O39)</f>
        <v>65</v>
      </c>
      <c r="Q39" s="6" t="n">
        <v>2</v>
      </c>
      <c r="R39" s="6" t="n">
        <v>26</v>
      </c>
      <c r="S39" s="6" t="n">
        <f aca="false">SUM(P39:R39)</f>
        <v>93</v>
      </c>
      <c r="T39" s="7"/>
      <c r="U39" s="6" t="n">
        <v>0</v>
      </c>
      <c r="V39" s="6" t="n">
        <v>2421</v>
      </c>
      <c r="W39" s="6" t="n">
        <f aca="false">N39+O39+S39+U39+V39</f>
        <v>2514</v>
      </c>
      <c r="X39" s="6" t="n">
        <f aca="false">IF(L39&lt;0,L39*-1,0)</f>
        <v>0</v>
      </c>
      <c r="Y39" s="6" t="n">
        <f aca="false">W39+X39</f>
        <v>2514</v>
      </c>
      <c r="Z39" s="11" t="n">
        <v>0</v>
      </c>
      <c r="AA39" s="39" t="n">
        <v>67</v>
      </c>
      <c r="AB39" s="12" t="n">
        <v>31</v>
      </c>
      <c r="AC39" s="13" t="n">
        <v>30</v>
      </c>
      <c r="AD39" s="12" t="n">
        <f aca="false">IF(I39&gt;S39,I39-S39,I39-S39)</f>
        <v>2036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33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  <c r="AD40" s="105"/>
      <c r="AE40" s="105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14126.5439879002</v>
      </c>
      <c r="G41" s="7" t="n">
        <f aca="false">SUM(G10:G39)</f>
        <v>33309</v>
      </c>
      <c r="H41" s="7" t="n">
        <f aca="false">SUM(H10:H39)</f>
        <v>6814</v>
      </c>
      <c r="I41" s="7" t="n">
        <f aca="false">SUM(I10:I39)</f>
        <v>40123</v>
      </c>
      <c r="J41" s="7" t="n">
        <f aca="false">SUM(J10:J39)</f>
        <v>20177.5439879002</v>
      </c>
      <c r="K41" s="7" t="n">
        <f aca="false">SUM(K10:K39)</f>
        <v>60300.5439879002</v>
      </c>
      <c r="L41" s="7" t="n">
        <f aca="false">SUM(L10:L39)</f>
        <v>20177.5439879002</v>
      </c>
      <c r="M41" s="7" t="n">
        <f aca="false">SUM(M10:M39)</f>
        <v>623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623</v>
      </c>
      <c r="Q41" s="7" t="n">
        <f aca="false">SUM(Q10:Q39)</f>
        <v>874</v>
      </c>
      <c r="R41" s="7" t="n">
        <f aca="false">SUM(R10:R39)</f>
        <v>289</v>
      </c>
      <c r="S41" s="7" t="n">
        <f aca="false">SUM(S10:S39)</f>
        <v>1786</v>
      </c>
      <c r="T41" s="7"/>
      <c r="U41" s="7" t="n">
        <f aca="false">SUM(U10:U39)</f>
        <v>0</v>
      </c>
      <c r="V41" s="7" t="n">
        <f aca="false">SUM(V10:V39)</f>
        <v>44388</v>
      </c>
      <c r="W41" s="7" t="n">
        <f aca="false">SUM(W10:W39)</f>
        <v>46174</v>
      </c>
      <c r="X41" s="7" t="n">
        <f aca="false">SUM(X10:X39)</f>
        <v>0</v>
      </c>
      <c r="Y41" s="7" t="n">
        <f aca="false">SUM(Y10:Y39)</f>
        <v>46174</v>
      </c>
      <c r="Z41" s="11" t="n">
        <f aca="false">SUM(Z10:Z39)</f>
        <v>2.29</v>
      </c>
      <c r="AA41" s="12" t="n">
        <f aca="false">AVERAGE(AA10:AA39)</f>
        <v>56.95</v>
      </c>
      <c r="AB41" s="12" t="n">
        <f aca="false">AVERAGE(AB10:AB39)</f>
        <v>30.25</v>
      </c>
      <c r="AC41" s="13" t="s">
        <v>45</v>
      </c>
      <c r="AD41" s="7" t="n">
        <f aca="false">SUM(AD10:AD39)</f>
        <v>38337</v>
      </c>
      <c r="AE41" s="105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28020</v>
      </c>
      <c r="E42" s="7"/>
      <c r="F42" s="7" t="n">
        <f aca="false">F41*$D$2</f>
        <v>28020</v>
      </c>
      <c r="G42" s="7" t="n">
        <f aca="false">G41*$D$2</f>
        <v>66068.4015</v>
      </c>
      <c r="H42" s="7" t="n">
        <f aca="false">H41*$D$2</f>
        <v>13515.569</v>
      </c>
      <c r="I42" s="7" t="n">
        <f aca="false">I41*$D$2</f>
        <v>79583.9705</v>
      </c>
      <c r="J42" s="7" t="n">
        <f aca="false">J41*$D$2</f>
        <v>40022.1585</v>
      </c>
      <c r="K42" s="7" t="n">
        <f aca="false">K41*$D$2</f>
        <v>119606.129</v>
      </c>
      <c r="L42" s="7" t="n">
        <f aca="false">L41*$D$2</f>
        <v>40022.1585</v>
      </c>
      <c r="M42" s="7" t="n">
        <f aca="false">M41*$D$2</f>
        <v>1235.7205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1235.7205</v>
      </c>
      <c r="Q42" s="7" t="n">
        <f aca="false">Q41*$D$2</f>
        <v>1733.579</v>
      </c>
      <c r="R42" s="7" t="n">
        <f aca="false">R41*$D$2</f>
        <v>573.2315</v>
      </c>
      <c r="S42" s="7" t="n">
        <f aca="false">S41*$D$2</f>
        <v>3542.531</v>
      </c>
      <c r="T42" s="7"/>
      <c r="U42" s="7" t="n">
        <f aca="false">U41*$D$2</f>
        <v>0</v>
      </c>
      <c r="V42" s="7" t="n">
        <f aca="false">V41*$D$2</f>
        <v>88043.598</v>
      </c>
      <c r="W42" s="7" t="n">
        <f aca="false">W41*$D$2</f>
        <v>91586.129</v>
      </c>
      <c r="X42" s="7" t="n">
        <f aca="false">X41*$D$2</f>
        <v>0</v>
      </c>
      <c r="Y42" s="7" t="n">
        <f aca="false">Y41*$D$2</f>
        <v>91586.129</v>
      </c>
      <c r="Z42" s="11"/>
      <c r="AA42" s="12" t="n">
        <f aca="false">MAX(AA10:AA39)</f>
        <v>69</v>
      </c>
      <c r="AB42" s="12" t="n">
        <f aca="false">MAX(AB10:AB39)</f>
        <v>38</v>
      </c>
      <c r="AC42" s="13" t="s">
        <v>47</v>
      </c>
      <c r="AD42" s="105"/>
      <c r="AE42" s="105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  <c r="AD43" s="105"/>
      <c r="AE43" s="105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14126.5439879002</v>
      </c>
      <c r="G44" s="7" t="n">
        <f aca="false">G7+G41</f>
        <v>33309</v>
      </c>
      <c r="H44" s="12" t="n">
        <f aca="false">H7+H41</f>
        <v>6814</v>
      </c>
      <c r="I44" s="7" t="n">
        <f aca="false">I7+I41</f>
        <v>40123</v>
      </c>
      <c r="J44" s="7" t="n">
        <f aca="false">J7+J41</f>
        <v>20177.5439879002</v>
      </c>
      <c r="K44" s="7" t="n">
        <f aca="false">K7+K41</f>
        <v>60300.5439879002</v>
      </c>
      <c r="L44" s="7" t="n">
        <f aca="false">L7+L41</f>
        <v>20177.5439879002</v>
      </c>
      <c r="M44" s="7" t="n">
        <f aca="false">M7+M41</f>
        <v>623</v>
      </c>
      <c r="N44" s="7" t="n">
        <f aca="false">N7+N41</f>
        <v>0</v>
      </c>
      <c r="O44" s="7" t="n">
        <f aca="false">O7+O41</f>
        <v>0</v>
      </c>
      <c r="P44" s="7" t="n">
        <f aca="false">P7+P41</f>
        <v>623</v>
      </c>
      <c r="Q44" s="7" t="n">
        <f aca="false">Q7+Q41</f>
        <v>874</v>
      </c>
      <c r="R44" s="7" t="n">
        <f aca="false">R7+R41</f>
        <v>289</v>
      </c>
      <c r="S44" s="7" t="n">
        <f aca="false">S7+S41</f>
        <v>1786</v>
      </c>
      <c r="T44" s="7" t="n">
        <f aca="false">T39</f>
        <v>0</v>
      </c>
      <c r="U44" s="7" t="n">
        <f aca="false">U7+U41</f>
        <v>0</v>
      </c>
      <c r="V44" s="7" t="n">
        <f aca="false">V7+V41</f>
        <v>44388</v>
      </c>
      <c r="W44" s="7" t="n">
        <f aca="false">W7+W41</f>
        <v>46174</v>
      </c>
      <c r="X44" s="7" t="n">
        <f aca="false">X7+X41</f>
        <v>0</v>
      </c>
      <c r="Y44" s="7" t="n">
        <f aca="false">Y7+Y41</f>
        <v>46174</v>
      </c>
      <c r="Z44" s="11"/>
      <c r="AA44" s="12" t="n">
        <f aca="false">MIN(AA10:AA39)</f>
        <v>36</v>
      </c>
      <c r="AB44" s="12" t="n">
        <f aca="false">MIN(AB10:AB39)</f>
        <v>19</v>
      </c>
      <c r="AC44" s="13" t="s">
        <v>49</v>
      </c>
      <c r="AD44" s="105"/>
      <c r="AE44" s="105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28020</v>
      </c>
      <c r="G45" s="7" t="n">
        <f aca="false">G44*$D$2</f>
        <v>66068.4015</v>
      </c>
      <c r="H45" s="12" t="n">
        <f aca="false">H44*$D$2</f>
        <v>13515.569</v>
      </c>
      <c r="I45" s="7" t="n">
        <f aca="false">I44*$D$2</f>
        <v>79583.9705</v>
      </c>
      <c r="J45" s="7" t="n">
        <f aca="false">J44*$D$2</f>
        <v>40022.1585</v>
      </c>
      <c r="K45" s="7" t="n">
        <f aca="false">K44*$D$2</f>
        <v>119606.129</v>
      </c>
      <c r="L45" s="7" t="n">
        <f aca="false">L44*$D$2</f>
        <v>40022.1585</v>
      </c>
      <c r="M45" s="7" t="n">
        <f aca="false">M44*$D$2</f>
        <v>1235.7205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1235.7205</v>
      </c>
      <c r="Q45" s="7" t="n">
        <f aca="false">Q44*$D$2</f>
        <v>1733.579</v>
      </c>
      <c r="R45" s="7" t="n">
        <f aca="false">R44*$D$2</f>
        <v>573.2315</v>
      </c>
      <c r="S45" s="7" t="n">
        <f aca="false">S44*$D$2</f>
        <v>3542.531</v>
      </c>
      <c r="T45" s="7" t="n">
        <f aca="false">T44*$D$2</f>
        <v>0</v>
      </c>
      <c r="U45" s="7" t="n">
        <f aca="false">U44*$D$2</f>
        <v>0</v>
      </c>
      <c r="V45" s="7" t="n">
        <f aca="false">V44*$D$2</f>
        <v>88043.598</v>
      </c>
      <c r="W45" s="7" t="n">
        <f aca="false">W44*$D$2</f>
        <v>91586.129</v>
      </c>
      <c r="X45" s="7" t="n">
        <f aca="false">X44*$D$2</f>
        <v>0</v>
      </c>
      <c r="Y45" s="7" t="n">
        <f aca="false">Y44*$D$2</f>
        <v>91586.129</v>
      </c>
      <c r="Z45" s="11"/>
      <c r="AA45" s="12"/>
      <c r="AB45" s="12"/>
      <c r="AC45" s="13"/>
      <c r="AD45" s="105"/>
      <c r="AE45" s="105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35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05"/>
      <c r="AE46" s="105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41112.6796067557</v>
      </c>
      <c r="G47" s="7" t="n">
        <f aca="false">G8+G41</f>
        <v>58889</v>
      </c>
      <c r="H47" s="12" t="n">
        <f aca="false">H8+H41</f>
        <v>9139.3</v>
      </c>
      <c r="I47" s="7" t="n">
        <f aca="false">I8+I41</f>
        <v>66680.5</v>
      </c>
      <c r="J47" s="7" t="n">
        <f aca="false">J8+J41</f>
        <v>34104.2237206957</v>
      </c>
      <c r="K47" s="7" t="n">
        <f aca="false">K8+K41</f>
        <v>100784.723720696</v>
      </c>
      <c r="L47" s="7" t="n">
        <f aca="false">L8+L41</f>
        <v>33122.2290143685</v>
      </c>
      <c r="M47" s="7" t="n">
        <f aca="false">M8+M41</f>
        <v>933</v>
      </c>
      <c r="N47" s="7" t="n">
        <f aca="false">N8+N41</f>
        <v>0</v>
      </c>
      <c r="O47" s="7" t="n">
        <f aca="false">O8+O41</f>
        <v>402.2</v>
      </c>
      <c r="P47" s="7" t="n">
        <f aca="false">P8+P41</f>
        <v>933</v>
      </c>
      <c r="Q47" s="7" t="n">
        <f aca="false">Q8+Q41</f>
        <v>1922</v>
      </c>
      <c r="R47" s="7" t="n">
        <f aca="false">R8+R41</f>
        <v>364</v>
      </c>
      <c r="S47" s="7" t="n">
        <f aca="false">S8+S41</f>
        <v>5177.65893622385</v>
      </c>
      <c r="T47" s="7"/>
      <c r="U47" s="7" t="n">
        <f aca="false">U8+U41</f>
        <v>0</v>
      </c>
      <c r="V47" s="7" t="n">
        <f aca="false">V8+V41</f>
        <v>53512.390471389</v>
      </c>
      <c r="W47" s="7" t="n">
        <f aca="false">W8+W41</f>
        <v>58690.0494076128</v>
      </c>
      <c r="X47" s="7" t="n">
        <f aca="false">X8+X41</f>
        <v>981.9947063272</v>
      </c>
      <c r="Y47" s="7" t="n">
        <f aca="false">Y8+Y41</f>
        <v>59672.04411394</v>
      </c>
      <c r="Z47" s="11" t="n">
        <f aca="false">Z8+Z41</f>
        <v>12.68</v>
      </c>
      <c r="AA47" s="12"/>
      <c r="AB47" s="12"/>
      <c r="AC47" s="13"/>
      <c r="AD47" s="105"/>
      <c r="AE47" s="105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81547</v>
      </c>
      <c r="E48" s="7" t="n">
        <f aca="false">E39</f>
        <v>81591</v>
      </c>
      <c r="F48" s="7" t="n">
        <f aca="false">F47*$D$2</f>
        <v>81547</v>
      </c>
      <c r="G48" s="7" t="n">
        <f aca="false">G47*$D$2</f>
        <v>116806.3315</v>
      </c>
      <c r="H48" s="12" t="n">
        <f aca="false">H47*$D$2</f>
        <v>18127.80155</v>
      </c>
      <c r="I48" s="7" t="n">
        <f aca="false">I47*$D$2</f>
        <v>132260.77175</v>
      </c>
      <c r="J48" s="7" t="n">
        <f aca="false">J47*$D$2</f>
        <v>67645.72775</v>
      </c>
      <c r="K48" s="7" t="n">
        <f aca="false">K47*$D$2</f>
        <v>199906.4995</v>
      </c>
      <c r="L48" s="7" t="n">
        <f aca="false">L47*$D$2</f>
        <v>65697.94125</v>
      </c>
      <c r="M48" s="7" t="n">
        <f aca="false">M47*$D$2</f>
        <v>1850.6055</v>
      </c>
      <c r="N48" s="7" t="n">
        <f aca="false">N47*$D$2</f>
        <v>0</v>
      </c>
      <c r="O48" s="7" t="n">
        <f aca="false">O47*$D$2</f>
        <v>797.7637</v>
      </c>
      <c r="P48" s="7" t="n">
        <f aca="false">P47*$D$2</f>
        <v>1850.6055</v>
      </c>
      <c r="Q48" s="7" t="n">
        <f aca="false">Q47*$D$2</f>
        <v>3812.287</v>
      </c>
      <c r="R48" s="7" t="n">
        <f aca="false">R47*$D$2</f>
        <v>721.994</v>
      </c>
      <c r="S48" s="7" t="n">
        <f aca="false">S47*$D$2</f>
        <v>10269.8865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106141.8265</v>
      </c>
      <c r="W48" s="7" t="n">
        <f aca="false">W47*$D$2</f>
        <v>116411.713</v>
      </c>
      <c r="X48" s="7" t="n">
        <f aca="false">X47*$D$2</f>
        <v>1947.7865</v>
      </c>
      <c r="Y48" s="7" t="n">
        <f aca="false">Y47*$D$2</f>
        <v>118359.4995</v>
      </c>
      <c r="Z48" s="11"/>
      <c r="AA48" s="12"/>
      <c r="AB48" s="12"/>
      <c r="AC48" s="13"/>
      <c r="AD48" s="105"/>
      <c r="AE48" s="105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33"/>
      <c r="I49" s="30"/>
      <c r="J49" s="30"/>
      <c r="K49" s="30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5"/>
      <c r="AE49" s="105"/>
    </row>
    <row r="50" customFormat="false" ht="14.1" hidden="false" customHeight="true" outlineLevel="0" collapsed="false">
      <c r="A50" s="40"/>
      <c r="B50" s="41"/>
      <c r="C50" s="7"/>
      <c r="D50" s="6"/>
      <c r="E50" s="7"/>
      <c r="F50" s="6"/>
      <c r="G50" s="6"/>
      <c r="H50" s="8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7"/>
      <c r="U50" s="6"/>
      <c r="V50" s="6"/>
      <c r="W50" s="6"/>
      <c r="X50" s="6"/>
      <c r="Y50" s="0"/>
      <c r="Z50" s="11" t="n">
        <v>34790</v>
      </c>
      <c r="AA50" s="12" t="n">
        <v>56</v>
      </c>
      <c r="AB50" s="12" t="n">
        <v>32</v>
      </c>
      <c r="AC50" s="13" t="s">
        <v>45</v>
      </c>
      <c r="AD50" s="105"/>
      <c r="AE50" s="105"/>
    </row>
    <row r="51" customFormat="false" ht="11.1" hidden="false" customHeight="true" outlineLevel="0" collapsed="false">
      <c r="A51" s="6"/>
      <c r="B51" s="29"/>
      <c r="C51" s="7"/>
      <c r="D51" s="39"/>
      <c r="E51" s="7"/>
      <c r="F51" s="6"/>
      <c r="G51" s="6"/>
      <c r="H51" s="39"/>
      <c r="I51" s="8"/>
      <c r="J51" s="6"/>
      <c r="K51" s="42"/>
      <c r="L51" s="6"/>
      <c r="M51" s="6"/>
      <c r="N51" s="6"/>
      <c r="O51" s="6"/>
      <c r="P51" s="6"/>
      <c r="Q51" s="6"/>
      <c r="R51" s="6"/>
      <c r="S51" s="6"/>
      <c r="T51" s="7"/>
      <c r="U51" s="6"/>
      <c r="V51" s="6"/>
      <c r="W51" s="6"/>
      <c r="X51" s="6"/>
      <c r="Y51" s="6"/>
      <c r="Z51" s="11"/>
      <c r="AA51" s="12" t="n">
        <v>67</v>
      </c>
      <c r="AB51" s="12" t="n">
        <v>40</v>
      </c>
      <c r="AC51" s="13" t="s">
        <v>67</v>
      </c>
      <c r="AD51" s="105"/>
      <c r="AE51" s="105"/>
    </row>
    <row r="52" customFormat="false" ht="11.1" hidden="false" customHeight="true" outlineLevel="0" collapsed="false">
      <c r="B52" s="39"/>
      <c r="C52" s="7"/>
      <c r="D52" s="7"/>
      <c r="E52" s="7"/>
      <c r="F52" s="39"/>
      <c r="G52" s="39"/>
      <c r="H52" s="8"/>
      <c r="I52" s="39"/>
      <c r="J52" s="39"/>
      <c r="K52" s="39"/>
      <c r="L52" s="39"/>
      <c r="M52" s="37"/>
      <c r="N52" s="37"/>
      <c r="O52" s="37"/>
      <c r="P52" s="37"/>
      <c r="Q52" s="39"/>
      <c r="R52" s="39"/>
      <c r="S52" s="39"/>
      <c r="T52" s="7"/>
      <c r="U52" s="39"/>
      <c r="V52" s="39"/>
      <c r="W52" s="39"/>
      <c r="X52" s="39"/>
      <c r="Y52" s="39"/>
      <c r="Z52" s="11"/>
      <c r="AA52" s="12" t="n">
        <v>36</v>
      </c>
      <c r="AB52" s="12" t="n">
        <v>22</v>
      </c>
      <c r="AC52" s="13" t="s">
        <v>68</v>
      </c>
      <c r="AD52" s="110"/>
      <c r="AE52" s="110"/>
    </row>
    <row r="53" customFormat="false" ht="11.1" hidden="false" customHeight="true" outlineLevel="0" collapsed="false">
      <c r="A53" s="39"/>
      <c r="B53" s="10"/>
      <c r="C53" s="7"/>
      <c r="D53" s="7"/>
      <c r="E53" s="7"/>
      <c r="F53" s="39"/>
      <c r="G53" s="39"/>
      <c r="H53" s="8"/>
      <c r="I53" s="39"/>
      <c r="J53" s="39"/>
      <c r="K53" s="39"/>
      <c r="L53" s="39"/>
      <c r="M53" s="37"/>
      <c r="N53" s="37"/>
      <c r="O53" s="37"/>
      <c r="P53" s="37"/>
      <c r="Q53" s="39"/>
      <c r="R53" s="39"/>
      <c r="S53" s="39"/>
      <c r="T53" s="7"/>
      <c r="U53" s="39"/>
      <c r="V53" s="39"/>
      <c r="W53" s="39"/>
      <c r="X53" s="39"/>
      <c r="Y53" s="0"/>
      <c r="Z53" s="11" t="n">
        <v>35156</v>
      </c>
      <c r="AA53" s="12" t="n">
        <v>60</v>
      </c>
      <c r="AB53" s="12" t="n">
        <v>32</v>
      </c>
      <c r="AC53" s="13" t="s">
        <v>45</v>
      </c>
      <c r="AD53" s="110"/>
      <c r="AE53" s="110"/>
    </row>
    <row r="54" customFormat="false" ht="11.1" hidden="false" customHeight="true" outlineLevel="0" collapsed="false">
      <c r="A54" s="39"/>
      <c r="B54" s="39"/>
      <c r="C54" s="7"/>
      <c r="D54" s="39"/>
      <c r="E54" s="7"/>
      <c r="F54" s="39"/>
      <c r="G54" s="43"/>
      <c r="H54" s="8"/>
      <c r="I54" s="39"/>
      <c r="J54" s="39"/>
      <c r="K54" s="39"/>
      <c r="L54" s="39"/>
      <c r="M54" s="37"/>
      <c r="N54" s="37"/>
      <c r="O54" s="37"/>
      <c r="P54" s="39"/>
      <c r="Q54" s="39"/>
      <c r="R54" s="39"/>
      <c r="S54" s="7"/>
      <c r="T54" s="39"/>
      <c r="U54" s="39"/>
      <c r="V54" s="7"/>
      <c r="W54" s="39"/>
      <c r="X54" s="39"/>
      <c r="Y54" s="10"/>
      <c r="Z54" s="11" t="n">
        <v>76</v>
      </c>
      <c r="AA54" s="12" t="n">
        <v>42</v>
      </c>
      <c r="AB54" s="13" t="s">
        <v>67</v>
      </c>
      <c r="AC54" s="110"/>
      <c r="AD54" s="110"/>
    </row>
    <row r="55" customFormat="false" ht="11.1" hidden="false" customHeight="true" outlineLevel="0" collapsed="false">
      <c r="Z55" s="2" t="n">
        <v>41</v>
      </c>
      <c r="AA55" s="4" t="n">
        <v>21</v>
      </c>
      <c r="AB55" s="13" t="s">
        <v>68</v>
      </c>
    </row>
  </sheetData>
  <mergeCells count="2">
    <mergeCell ref="K2:V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F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7.1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7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82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1"/>
      <c r="I2" s="51"/>
      <c r="J2" s="51"/>
      <c r="K2" s="60" t="s">
        <v>69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11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70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11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70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1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APR!F44</f>
        <v>14126.5439879002</v>
      </c>
      <c r="G7" s="52" t="n">
        <f aca="false">APR!G44</f>
        <v>33309</v>
      </c>
      <c r="H7" s="81" t="n">
        <f aca="false">APR!H44</f>
        <v>6814</v>
      </c>
      <c r="I7" s="52" t="n">
        <f aca="false">APR!I44</f>
        <v>40123</v>
      </c>
      <c r="J7" s="52" t="n">
        <f aca="false">APR!J44</f>
        <v>20177.5439879002</v>
      </c>
      <c r="K7" s="52" t="n">
        <f aca="false">APR!K44</f>
        <v>60300.5439879002</v>
      </c>
      <c r="L7" s="52" t="n">
        <f aca="false">APR!L44</f>
        <v>20177.5439879002</v>
      </c>
      <c r="M7" s="52" t="n">
        <f aca="false">APR!M44</f>
        <v>623</v>
      </c>
      <c r="N7" s="52" t="n">
        <f aca="false">APR!N44</f>
        <v>0</v>
      </c>
      <c r="O7" s="52" t="n">
        <f aca="false">APR!O44</f>
        <v>0</v>
      </c>
      <c r="P7" s="52" t="n">
        <f aca="false">APR!P44</f>
        <v>623</v>
      </c>
      <c r="Q7" s="52" t="n">
        <f aca="false">APR!Q44</f>
        <v>874</v>
      </c>
      <c r="R7" s="52" t="n">
        <f aca="false">APR!R44</f>
        <v>289</v>
      </c>
      <c r="S7" s="52" t="n">
        <f aca="false">APR!S44</f>
        <v>1786</v>
      </c>
      <c r="T7" s="52" t="n">
        <f aca="false">APR!T44</f>
        <v>0</v>
      </c>
      <c r="U7" s="52" t="n">
        <f aca="false">APR!U44</f>
        <v>0</v>
      </c>
      <c r="V7" s="52" t="n">
        <f aca="false">APR!V44</f>
        <v>44388</v>
      </c>
      <c r="W7" s="52" t="n">
        <f aca="false">APR!W44</f>
        <v>46174</v>
      </c>
      <c r="X7" s="52" t="n">
        <f aca="false">APR!X44</f>
        <v>0</v>
      </c>
      <c r="Y7" s="52" t="n">
        <f aca="false">APR!Y44</f>
        <v>46174</v>
      </c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APR!B39</f>
        <v>6885.59</v>
      </c>
      <c r="C8" s="52" t="n">
        <f aca="false">APR!C39</f>
        <v>233591</v>
      </c>
      <c r="D8" s="52" t="n">
        <f aca="false">APR!D48</f>
        <v>81547</v>
      </c>
      <c r="E8" s="52" t="n">
        <f aca="false">APR!E48</f>
        <v>81591</v>
      </c>
      <c r="F8" s="52" t="n">
        <f aca="false">APR!F47</f>
        <v>41112.6796067557</v>
      </c>
      <c r="G8" s="52" t="n">
        <f aca="false">APR!G47</f>
        <v>58889</v>
      </c>
      <c r="H8" s="81" t="n">
        <f aca="false">APR!H47</f>
        <v>9139.3</v>
      </c>
      <c r="I8" s="52" t="n">
        <f aca="false">APR!I47</f>
        <v>66680.5</v>
      </c>
      <c r="J8" s="52" t="n">
        <f aca="false">APR!J47</f>
        <v>34104.2237206957</v>
      </c>
      <c r="K8" s="52" t="n">
        <f aca="false">APR!K47</f>
        <v>100784.723720696</v>
      </c>
      <c r="L8" s="52" t="n">
        <f aca="false">APR!L47</f>
        <v>33122.2290143685</v>
      </c>
      <c r="M8" s="52" t="n">
        <f aca="false">APR!M47</f>
        <v>933</v>
      </c>
      <c r="N8" s="52" t="n">
        <f aca="false">APR!N47</f>
        <v>0</v>
      </c>
      <c r="O8" s="52" t="n">
        <f aca="false">APR!O47</f>
        <v>402.2</v>
      </c>
      <c r="P8" s="52" t="n">
        <f aca="false">APR!P47</f>
        <v>933</v>
      </c>
      <c r="Q8" s="52" t="n">
        <f aca="false">APR!Q47</f>
        <v>1922</v>
      </c>
      <c r="R8" s="52" t="n">
        <f aca="false">APR!R47</f>
        <v>364</v>
      </c>
      <c r="S8" s="52" t="n">
        <f aca="false">APR!S47</f>
        <v>5177.65893622385</v>
      </c>
      <c r="T8" s="52" t="n">
        <f aca="false">APR!T47</f>
        <v>0</v>
      </c>
      <c r="U8" s="52" t="n">
        <f aca="false">APR!U47</f>
        <v>0</v>
      </c>
      <c r="V8" s="52" t="n">
        <f aca="false">APR!V47</f>
        <v>53512.390471389</v>
      </c>
      <c r="W8" s="52" t="n">
        <f aca="false">APR!W47</f>
        <v>58690.0494076128</v>
      </c>
      <c r="X8" s="52" t="n">
        <f aca="false">APR!X47</f>
        <v>981.9947063272</v>
      </c>
      <c r="Y8" s="52" t="n">
        <f aca="false">APR!Y47</f>
        <v>59672.04411394</v>
      </c>
      <c r="Z8" s="56" t="n">
        <f aca="false">APR!Z47</f>
        <v>12.68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13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6885.72</v>
      </c>
      <c r="C10" s="52" t="n">
        <v>234010</v>
      </c>
      <c r="D10" s="57" t="n">
        <f aca="false">C10-C8</f>
        <v>419</v>
      </c>
      <c r="E10" s="52" t="n">
        <f aca="false">C10-152000</f>
        <v>82010</v>
      </c>
      <c r="F10" s="51" t="n">
        <f aca="false">D10/$D$2</f>
        <v>211.242752709856</v>
      </c>
      <c r="G10" s="51" t="n">
        <v>2266</v>
      </c>
      <c r="H10" s="81" t="n">
        <v>340</v>
      </c>
      <c r="I10" s="51" t="n">
        <f aca="false">G10+H10</f>
        <v>2606</v>
      </c>
      <c r="J10" s="81" t="n">
        <f aca="false">IF(L10&gt;0,L10,0)</f>
        <v>492.242752709856</v>
      </c>
      <c r="K10" s="51" t="n">
        <f aca="false">I10+J10</f>
        <v>3098.24275270986</v>
      </c>
      <c r="L10" s="51" t="n">
        <f aca="false">F10-(I10-W10)</f>
        <v>492.242752709856</v>
      </c>
      <c r="M10" s="51" t="n">
        <v>107</v>
      </c>
      <c r="N10" s="51" t="n">
        <v>0</v>
      </c>
      <c r="O10" s="51" t="n">
        <v>0</v>
      </c>
      <c r="P10" s="6" t="n">
        <f aca="false">M10-(N10+O10)</f>
        <v>107</v>
      </c>
      <c r="Q10" s="51" t="n">
        <v>46</v>
      </c>
      <c r="R10" s="51" t="n">
        <v>32</v>
      </c>
      <c r="S10" s="51" t="n">
        <f aca="false">SUM(P10:R10)</f>
        <v>185</v>
      </c>
      <c r="T10" s="52"/>
      <c r="U10" s="51"/>
      <c r="V10" s="51" t="n">
        <v>2702</v>
      </c>
      <c r="W10" s="6" t="n">
        <f aca="false">N10+O10+S10+U10+V10</f>
        <v>2887</v>
      </c>
      <c r="X10" s="51" t="n">
        <f aca="false">IF(L10&lt;0,L10*-1,0)</f>
        <v>0</v>
      </c>
      <c r="Y10" s="51" t="n">
        <f aca="false">W10+X10</f>
        <v>2887</v>
      </c>
      <c r="Z10" s="56" t="n">
        <v>0</v>
      </c>
      <c r="AA10" s="57" t="n">
        <v>67</v>
      </c>
      <c r="AB10" s="57" t="n">
        <v>33</v>
      </c>
      <c r="AC10" s="58" t="n">
        <v>1</v>
      </c>
      <c r="AD10" s="12" t="n">
        <f aca="false">IF(I10&gt;S10,I10-S10,I10-S10)</f>
        <v>2421</v>
      </c>
      <c r="AE10" s="94"/>
      <c r="AF10" s="93"/>
    </row>
    <row r="11" customFormat="false" ht="11.1" hidden="false" customHeight="true" outlineLevel="0" collapsed="false">
      <c r="A11" s="58" t="n">
        <f aca="false">A10+1</f>
        <v>2</v>
      </c>
      <c r="B11" s="73" t="n">
        <v>6885.81</v>
      </c>
      <c r="C11" s="52" t="n">
        <v>234300</v>
      </c>
      <c r="D11" s="57" t="n">
        <f aca="false">C11-C10</f>
        <v>290</v>
      </c>
      <c r="E11" s="52" t="n">
        <f aca="false">C11-152000</f>
        <v>82300</v>
      </c>
      <c r="F11" s="51" t="n">
        <f aca="false">D11/$D$2</f>
        <v>146.206201159566</v>
      </c>
      <c r="G11" s="51" t="n">
        <v>2616</v>
      </c>
      <c r="H11" s="81" t="n">
        <v>378</v>
      </c>
      <c r="I11" s="51" t="n">
        <f aca="false">G11+H11</f>
        <v>2994</v>
      </c>
      <c r="J11" s="81" t="n">
        <f aca="false">IF(L11&gt;0,L11,0)</f>
        <v>594.206201159567</v>
      </c>
      <c r="K11" s="51" t="n">
        <f aca="false">I11+J11</f>
        <v>3588.20620115957</v>
      </c>
      <c r="L11" s="51" t="n">
        <f aca="false">F11-(I11-W11)</f>
        <v>594.206201159567</v>
      </c>
      <c r="M11" s="51" t="n">
        <v>120</v>
      </c>
      <c r="N11" s="51" t="n">
        <v>0</v>
      </c>
      <c r="O11" s="51" t="n">
        <v>0</v>
      </c>
      <c r="P11" s="6" t="n">
        <f aca="false">M11-(N11+O11)</f>
        <v>120</v>
      </c>
      <c r="Q11" s="51" t="n">
        <v>94</v>
      </c>
      <c r="R11" s="51" t="n">
        <v>45</v>
      </c>
      <c r="S11" s="51" t="n">
        <f aca="false">SUM(P11:R11)</f>
        <v>259</v>
      </c>
      <c r="T11" s="52"/>
      <c r="U11" s="51"/>
      <c r="V11" s="51" t="n">
        <v>3183</v>
      </c>
      <c r="W11" s="6" t="n">
        <f aca="false">N11+O11+S11+U11+V11</f>
        <v>3442</v>
      </c>
      <c r="X11" s="51" t="n">
        <f aca="false">IF(L11&lt;0,L11*-1,0)</f>
        <v>0</v>
      </c>
      <c r="Y11" s="51" t="n">
        <f aca="false">W11+X11</f>
        <v>3442</v>
      </c>
      <c r="Z11" s="56" t="n">
        <v>0</v>
      </c>
      <c r="AA11" s="57" t="n">
        <v>68</v>
      </c>
      <c r="AB11" s="57" t="n">
        <v>39</v>
      </c>
      <c r="AC11" s="58" t="n">
        <f aca="false">AC10+1</f>
        <v>2</v>
      </c>
      <c r="AD11" s="12" t="n">
        <f aca="false">IF(I11&gt;S11,I11-S11,I11-S11)</f>
        <v>2735</v>
      </c>
      <c r="AE11" s="94"/>
      <c r="AF11" s="93"/>
    </row>
    <row r="12" customFormat="false" ht="11.1" hidden="false" customHeight="true" outlineLevel="0" collapsed="false">
      <c r="A12" s="58" t="n">
        <f aca="false">A11+1</f>
        <v>3</v>
      </c>
      <c r="B12" s="73" t="n">
        <v>6886.06</v>
      </c>
      <c r="C12" s="52" t="n">
        <v>235108</v>
      </c>
      <c r="D12" s="57" t="n">
        <f aca="false">C12-C11</f>
        <v>808</v>
      </c>
      <c r="E12" s="52" t="n">
        <f aca="false">C12-152000</f>
        <v>83108</v>
      </c>
      <c r="F12" s="51" t="n">
        <f aca="false">D12/$D$2</f>
        <v>407.360725989413</v>
      </c>
      <c r="G12" s="51" t="n">
        <v>3541</v>
      </c>
      <c r="H12" s="81" t="n">
        <v>598</v>
      </c>
      <c r="I12" s="51" t="n">
        <f aca="false">G12+H12</f>
        <v>4139</v>
      </c>
      <c r="J12" s="81" t="n">
        <f aca="false">IF(L12&gt;0,L12,0)</f>
        <v>486.360725989413</v>
      </c>
      <c r="K12" s="51" t="n">
        <f aca="false">I12+J12</f>
        <v>4625.36072598941</v>
      </c>
      <c r="L12" s="51" t="n">
        <f aca="false">F12-(I12-W12)</f>
        <v>486.360725989413</v>
      </c>
      <c r="M12" s="51" t="n">
        <v>119</v>
      </c>
      <c r="N12" s="51" t="n">
        <v>0</v>
      </c>
      <c r="O12" s="51" t="n">
        <v>0</v>
      </c>
      <c r="P12" s="6" t="n">
        <f aca="false">M12-(N12+O12)</f>
        <v>119</v>
      </c>
      <c r="Q12" s="51" t="n">
        <v>77</v>
      </c>
      <c r="R12" s="51" t="n">
        <v>50</v>
      </c>
      <c r="S12" s="51" t="n">
        <f aca="false">SUM(P12:R12)</f>
        <v>246</v>
      </c>
      <c r="T12" s="52"/>
      <c r="U12" s="51"/>
      <c r="V12" s="51" t="n">
        <v>3972</v>
      </c>
      <c r="W12" s="6" t="n">
        <f aca="false">N12+O12+S12+U12+V12</f>
        <v>4218</v>
      </c>
      <c r="X12" s="51" t="n">
        <f aca="false">IF(L12&lt;0,L12*-1,0)</f>
        <v>0</v>
      </c>
      <c r="Y12" s="51" t="n">
        <f aca="false">W12+X12</f>
        <v>4218</v>
      </c>
      <c r="Z12" s="56" t="n">
        <v>0</v>
      </c>
      <c r="AA12" s="57"/>
      <c r="AB12" s="57"/>
      <c r="AC12" s="58" t="n">
        <f aca="false">AC11+1</f>
        <v>3</v>
      </c>
      <c r="AD12" s="12" t="n">
        <f aca="false">IF(I12&gt;S12,I12-S12,I12-S12)</f>
        <v>3893</v>
      </c>
      <c r="AE12" s="94"/>
      <c r="AF12" s="93"/>
    </row>
    <row r="13" customFormat="false" ht="11.1" hidden="false" customHeight="true" outlineLevel="0" collapsed="false">
      <c r="A13" s="58" t="n">
        <f aca="false">A12+1</f>
        <v>4</v>
      </c>
      <c r="B13" s="73" t="n">
        <v>6885.87</v>
      </c>
      <c r="C13" s="52" t="n">
        <v>234493</v>
      </c>
      <c r="D13" s="57" t="n">
        <f aca="false">C13-C12</f>
        <v>-615</v>
      </c>
      <c r="E13" s="52" t="n">
        <f aca="false">C13-152000</f>
        <v>82493</v>
      </c>
      <c r="F13" s="51" t="n">
        <f aca="false">D13/$D$2</f>
        <v>-310.057978321149</v>
      </c>
      <c r="G13" s="51" t="n">
        <v>3662</v>
      </c>
      <c r="H13" s="81" t="n">
        <v>497</v>
      </c>
      <c r="I13" s="51" t="n">
        <f aca="false">G13+H13</f>
        <v>4159</v>
      </c>
      <c r="J13" s="81" t="n">
        <f aca="false">IF(L13&gt;0,L13,0)</f>
        <v>81.9420216788506</v>
      </c>
      <c r="K13" s="51" t="n">
        <f aca="false">I13+J13</f>
        <v>4240.94202167885</v>
      </c>
      <c r="L13" s="51" t="n">
        <f aca="false">F13-(I13-W13)</f>
        <v>81.9420216788506</v>
      </c>
      <c r="M13" s="51" t="n">
        <v>120</v>
      </c>
      <c r="N13" s="51" t="n">
        <v>0</v>
      </c>
      <c r="O13" s="51" t="n">
        <v>0</v>
      </c>
      <c r="P13" s="6" t="n">
        <f aca="false">M13-(N13+O13)</f>
        <v>120</v>
      </c>
      <c r="Q13" s="51" t="n">
        <v>73</v>
      </c>
      <c r="R13" s="51" t="n">
        <v>51</v>
      </c>
      <c r="S13" s="51" t="n">
        <f aca="false">SUM(P13:R13)</f>
        <v>244</v>
      </c>
      <c r="T13" s="52"/>
      <c r="U13" s="51"/>
      <c r="V13" s="51" t="n">
        <v>4307</v>
      </c>
      <c r="W13" s="6" t="n">
        <f aca="false">N13+O13+S13+U13+V13</f>
        <v>4551</v>
      </c>
      <c r="X13" s="51" t="n">
        <f aca="false">IF(L13&lt;0,L13*-1,0)</f>
        <v>0</v>
      </c>
      <c r="Y13" s="51" t="n">
        <f aca="false">W13+X13</f>
        <v>4551</v>
      </c>
      <c r="Z13" s="56" t="n">
        <v>0</v>
      </c>
      <c r="AA13" s="57"/>
      <c r="AB13" s="57"/>
      <c r="AC13" s="58" t="n">
        <f aca="false">AC12+1</f>
        <v>4</v>
      </c>
      <c r="AD13" s="12" t="n">
        <f aca="false">IF(I13&gt;S13,I13-S13,I13-S13)</f>
        <v>3915</v>
      </c>
      <c r="AE13" s="94"/>
      <c r="AF13" s="93"/>
    </row>
    <row r="14" customFormat="false" ht="11.1" hidden="false" customHeight="true" outlineLevel="0" collapsed="false">
      <c r="A14" s="58" t="n">
        <f aca="false">A13+1</f>
        <v>5</v>
      </c>
      <c r="B14" s="73" t="n">
        <v>6885.35</v>
      </c>
      <c r="C14" s="52" t="n">
        <v>232818</v>
      </c>
      <c r="D14" s="57" t="n">
        <f aca="false">C14-C13</f>
        <v>-1675</v>
      </c>
      <c r="E14" s="52" t="n">
        <f aca="false">C14-152000</f>
        <v>80818</v>
      </c>
      <c r="F14" s="51" t="n">
        <f aca="false">D14/$D$2</f>
        <v>-844.466851525082</v>
      </c>
      <c r="G14" s="51" t="n">
        <v>3342</v>
      </c>
      <c r="H14" s="81" t="n">
        <v>365</v>
      </c>
      <c r="I14" s="51" t="n">
        <f aca="false">G14+H14</f>
        <v>3707</v>
      </c>
      <c r="J14" s="81" t="n">
        <f aca="false">IF(L14&gt;0,L14,0)</f>
        <v>250.533148474918</v>
      </c>
      <c r="K14" s="51" t="n">
        <f aca="false">I14+J14</f>
        <v>3957.53314847492</v>
      </c>
      <c r="L14" s="51" t="n">
        <f aca="false">F14-(I14-W14)</f>
        <v>250.533148474918</v>
      </c>
      <c r="M14" s="51" t="n">
        <v>139</v>
      </c>
      <c r="N14" s="51" t="n">
        <v>0</v>
      </c>
      <c r="O14" s="51" t="n">
        <v>0</v>
      </c>
      <c r="P14" s="6" t="n">
        <f aca="false">M14-(N14+O14)</f>
        <v>139</v>
      </c>
      <c r="Q14" s="51" t="n">
        <v>120</v>
      </c>
      <c r="R14" s="51" t="n">
        <v>82</v>
      </c>
      <c r="S14" s="51" t="n">
        <f aca="false">SUM(P14:R14)</f>
        <v>341</v>
      </c>
      <c r="T14" s="52"/>
      <c r="U14" s="51"/>
      <c r="V14" s="51" t="n">
        <v>4461</v>
      </c>
      <c r="W14" s="6" t="n">
        <f aca="false">N14+O14+S14+U14+V14</f>
        <v>4802</v>
      </c>
      <c r="X14" s="51" t="n">
        <f aca="false">IF(L14&lt;0,L14*-1,0)</f>
        <v>0</v>
      </c>
      <c r="Y14" s="51" t="n">
        <f aca="false">W14+X14</f>
        <v>4802</v>
      </c>
      <c r="Z14" s="56" t="n">
        <v>0</v>
      </c>
      <c r="AA14" s="57" t="n">
        <v>58</v>
      </c>
      <c r="AB14" s="57" t="n">
        <v>32</v>
      </c>
      <c r="AC14" s="58" t="n">
        <f aca="false">AC13+1</f>
        <v>5</v>
      </c>
      <c r="AD14" s="12" t="n">
        <f aca="false">IF(I14&gt;S14,I14-S14,I14-S14)</f>
        <v>3366</v>
      </c>
      <c r="AE14" s="94"/>
      <c r="AF14" s="93"/>
    </row>
    <row r="15" customFormat="false" ht="11.1" hidden="false" customHeight="true" outlineLevel="0" collapsed="false">
      <c r="A15" s="58" t="n">
        <f aca="false">A14+1</f>
        <v>6</v>
      </c>
      <c r="B15" s="73" t="n">
        <v>6885.35</v>
      </c>
      <c r="C15" s="52" t="n">
        <v>232818</v>
      </c>
      <c r="D15" s="57" t="n">
        <f aca="false">C15-C14</f>
        <v>0</v>
      </c>
      <c r="E15" s="52" t="n">
        <f aca="false">C15-152000</f>
        <v>80818</v>
      </c>
      <c r="F15" s="51" t="n">
        <f aca="false">D15/$D$2</f>
        <v>0</v>
      </c>
      <c r="G15" s="51" t="n">
        <v>2581</v>
      </c>
      <c r="H15" s="81" t="n">
        <v>245</v>
      </c>
      <c r="I15" s="51" t="n">
        <f aca="false">G15+H15</f>
        <v>2826</v>
      </c>
      <c r="J15" s="81" t="n">
        <f aca="false">IF(L15&gt;0,L15,0)</f>
        <v>930</v>
      </c>
      <c r="K15" s="51" t="n">
        <f aca="false">I15+J15</f>
        <v>3756</v>
      </c>
      <c r="L15" s="51" t="n">
        <f aca="false">F15-(I15-W15)</f>
        <v>930</v>
      </c>
      <c r="M15" s="51" t="n">
        <v>154</v>
      </c>
      <c r="N15" s="51" t="n">
        <v>0</v>
      </c>
      <c r="O15" s="51" t="n">
        <v>0</v>
      </c>
      <c r="P15" s="6" t="n">
        <f aca="false">M15-(N15+O15)</f>
        <v>154</v>
      </c>
      <c r="Q15" s="51" t="n">
        <v>173</v>
      </c>
      <c r="R15" s="51" t="n">
        <v>58</v>
      </c>
      <c r="S15" s="51" t="n">
        <f aca="false">SUM(P15:R15)</f>
        <v>385</v>
      </c>
      <c r="T15" s="52"/>
      <c r="U15" s="51"/>
      <c r="V15" s="51" t="n">
        <v>3371</v>
      </c>
      <c r="W15" s="6" t="n">
        <f aca="false">N15+O15+S15+U15+V15</f>
        <v>3756</v>
      </c>
      <c r="X15" s="51" t="n">
        <f aca="false">IF(L15&lt;0,L15*-1,0)</f>
        <v>0</v>
      </c>
      <c r="Y15" s="51" t="n">
        <f aca="false">W15+X15</f>
        <v>3756</v>
      </c>
      <c r="Z15" s="56" t="n">
        <v>0</v>
      </c>
      <c r="AA15" s="57" t="n">
        <v>57</v>
      </c>
      <c r="AB15" s="57" t="n">
        <v>37</v>
      </c>
      <c r="AC15" s="58" t="n">
        <f aca="false">AC14+1</f>
        <v>6</v>
      </c>
      <c r="AD15" s="12" t="n">
        <f aca="false">IF(I15&gt;S15,I15-S15,I15-S15)</f>
        <v>2441</v>
      </c>
      <c r="AE15" s="94"/>
      <c r="AF15" s="93"/>
    </row>
    <row r="16" customFormat="false" ht="11.1" hidden="false" customHeight="true" outlineLevel="0" collapsed="false">
      <c r="A16" s="58" t="n">
        <f aca="false">A15+1</f>
        <v>7</v>
      </c>
      <c r="B16" s="73" t="n">
        <v>6885.49</v>
      </c>
      <c r="C16" s="52" t="n">
        <v>233269</v>
      </c>
      <c r="D16" s="57" t="n">
        <f aca="false">C16-C15</f>
        <v>451</v>
      </c>
      <c r="E16" s="52" t="n">
        <f aca="false">C16-152000</f>
        <v>81269</v>
      </c>
      <c r="F16" s="51" t="n">
        <f aca="false">D16/$D$2</f>
        <v>227.375850768843</v>
      </c>
      <c r="G16" s="51" t="n">
        <v>1905</v>
      </c>
      <c r="H16" s="81" t="n">
        <v>146</v>
      </c>
      <c r="I16" s="51" t="n">
        <f aca="false">G16+H16</f>
        <v>2051</v>
      </c>
      <c r="J16" s="81" t="n">
        <f aca="false">IF(L16&gt;0,L16,0)</f>
        <v>571.375850768843</v>
      </c>
      <c r="K16" s="51" t="n">
        <f aca="false">I16+J16</f>
        <v>2622.37585076884</v>
      </c>
      <c r="L16" s="51" t="n">
        <f aca="false">F16-(I16-W16)</f>
        <v>571.375850768843</v>
      </c>
      <c r="M16" s="51" t="n">
        <v>158</v>
      </c>
      <c r="N16" s="51" t="n">
        <v>0</v>
      </c>
      <c r="O16" s="51" t="n">
        <v>0</v>
      </c>
      <c r="P16" s="6" t="n">
        <f aca="false">M16-(N16+O16)</f>
        <v>158</v>
      </c>
      <c r="Q16" s="51" t="n">
        <v>139</v>
      </c>
      <c r="R16" s="51" t="n">
        <v>61</v>
      </c>
      <c r="S16" s="51" t="n">
        <f aca="false">SUM(P16:R16)</f>
        <v>358</v>
      </c>
      <c r="T16" s="52"/>
      <c r="U16" s="51"/>
      <c r="V16" s="51" t="n">
        <v>2037</v>
      </c>
      <c r="W16" s="6" t="n">
        <f aca="false">N16+O16+S16+U16+V16</f>
        <v>2395</v>
      </c>
      <c r="X16" s="51" t="n">
        <f aca="false">IF(L16&lt;0,L16*-1,0)</f>
        <v>0</v>
      </c>
      <c r="Y16" s="51" t="n">
        <f aca="false">W16+X16</f>
        <v>2395</v>
      </c>
      <c r="Z16" s="56" t="n">
        <v>0.25</v>
      </c>
      <c r="AA16" s="57" t="n">
        <v>54</v>
      </c>
      <c r="AB16" s="57" t="n">
        <v>27</v>
      </c>
      <c r="AC16" s="58" t="n">
        <f aca="false">AC15+1</f>
        <v>7</v>
      </c>
      <c r="AD16" s="12" t="n">
        <f aca="false">IF(I16&gt;S16,I16-S16,I16-S16)</f>
        <v>1693</v>
      </c>
      <c r="AE16" s="94"/>
      <c r="AF16" s="93"/>
    </row>
    <row r="17" customFormat="false" ht="11.1" hidden="false" customHeight="true" outlineLevel="0" collapsed="false">
      <c r="A17" s="58" t="n">
        <f aca="false">A16+1</f>
        <v>8</v>
      </c>
      <c r="B17" s="73" t="n">
        <v>6885.56</v>
      </c>
      <c r="C17" s="52" t="n">
        <v>233494</v>
      </c>
      <c r="D17" s="57" t="n">
        <f aca="false">C17-C16</f>
        <v>225</v>
      </c>
      <c r="E17" s="52" t="n">
        <f aca="false">C17-152000</f>
        <v>81494</v>
      </c>
      <c r="F17" s="51" t="n">
        <f aca="false">D17/$D$2</f>
        <v>113.43584572725</v>
      </c>
      <c r="G17" s="51" t="n">
        <v>1532</v>
      </c>
      <c r="H17" s="81" t="n">
        <v>122</v>
      </c>
      <c r="I17" s="51" t="n">
        <f aca="false">G17+H17</f>
        <v>1654</v>
      </c>
      <c r="J17" s="81" t="n">
        <f aca="false">IF(L17&gt;0,L17,0)</f>
        <v>530.43584572725</v>
      </c>
      <c r="K17" s="51" t="n">
        <f aca="false">I17+J17</f>
        <v>2184.43584572725</v>
      </c>
      <c r="L17" s="51" t="n">
        <f aca="false">F17-(I17-W17)</f>
        <v>530.43584572725</v>
      </c>
      <c r="M17" s="51" t="n">
        <v>139</v>
      </c>
      <c r="N17" s="51" t="n">
        <v>0</v>
      </c>
      <c r="O17" s="51" t="n">
        <v>0</v>
      </c>
      <c r="P17" s="6" t="n">
        <f aca="false">M17-(N17+O17)</f>
        <v>139</v>
      </c>
      <c r="Q17" s="51" t="n">
        <v>120</v>
      </c>
      <c r="R17" s="51" t="n">
        <v>62</v>
      </c>
      <c r="S17" s="51" t="n">
        <f aca="false">SUM(P17:R17)</f>
        <v>321</v>
      </c>
      <c r="T17" s="52"/>
      <c r="U17" s="51"/>
      <c r="V17" s="51" t="n">
        <v>1750</v>
      </c>
      <c r="W17" s="6" t="n">
        <f aca="false">N17+O17+S17+U17+V17</f>
        <v>2071</v>
      </c>
      <c r="X17" s="51" t="n">
        <f aca="false">IF(L17&lt;0,L17*-1,0)</f>
        <v>0</v>
      </c>
      <c r="Y17" s="51" t="n">
        <f aca="false">W17+X17</f>
        <v>2071</v>
      </c>
      <c r="Z17" s="56" t="n">
        <v>0.25</v>
      </c>
      <c r="AA17" s="57" t="n">
        <v>51</v>
      </c>
      <c r="AB17" s="57" t="n">
        <v>22</v>
      </c>
      <c r="AC17" s="58" t="n">
        <f aca="false">AC16+1</f>
        <v>8</v>
      </c>
      <c r="AD17" s="12" t="n">
        <f aca="false">IF(I17&gt;S17,I17-S17,I17-S17)</f>
        <v>1333</v>
      </c>
      <c r="AE17" s="94"/>
      <c r="AF17" s="93"/>
    </row>
    <row r="18" customFormat="false" ht="11.1" hidden="false" customHeight="true" outlineLevel="0" collapsed="false">
      <c r="A18" s="58" t="n">
        <f aca="false">A17+1</f>
        <v>9</v>
      </c>
      <c r="B18" s="73" t="n">
        <v>6885.68</v>
      </c>
      <c r="C18" s="52" t="n">
        <v>233881</v>
      </c>
      <c r="D18" s="57" t="n">
        <f aca="false">C18-C17</f>
        <v>387</v>
      </c>
      <c r="E18" s="52" t="n">
        <f aca="false">C18-152000</f>
        <v>81881</v>
      </c>
      <c r="F18" s="51" t="n">
        <f aca="false">D18/$D$2</f>
        <v>195.10965465087</v>
      </c>
      <c r="G18" s="51" t="n">
        <v>1422</v>
      </c>
      <c r="H18" s="81" t="n">
        <v>107</v>
      </c>
      <c r="I18" s="51" t="n">
        <f aca="false">G18+H18</f>
        <v>1529</v>
      </c>
      <c r="J18" s="81" t="n">
        <f aca="false">IF(L18&gt;0,L18,0)</f>
        <v>433.10965465087</v>
      </c>
      <c r="K18" s="51" t="n">
        <f aca="false">I18+J18</f>
        <v>1962.10965465087</v>
      </c>
      <c r="L18" s="51" t="n">
        <f aca="false">F18-(I18-W18)</f>
        <v>433.10965465087</v>
      </c>
      <c r="M18" s="51" t="n">
        <v>128</v>
      </c>
      <c r="N18" s="51" t="n">
        <v>0</v>
      </c>
      <c r="O18" s="51" t="n">
        <v>0</v>
      </c>
      <c r="P18" s="6" t="n">
        <f aca="false">M18-(N18+O18)</f>
        <v>128</v>
      </c>
      <c r="Q18" s="51" t="n">
        <v>114</v>
      </c>
      <c r="R18" s="51" t="n">
        <v>62</v>
      </c>
      <c r="S18" s="51" t="n">
        <f aca="false">SUM(P18:R18)</f>
        <v>304</v>
      </c>
      <c r="T18" s="52"/>
      <c r="U18" s="51"/>
      <c r="V18" s="51" t="n">
        <v>1463</v>
      </c>
      <c r="W18" s="6" t="n">
        <f aca="false">N18+O18+S18+U18+V18</f>
        <v>1767</v>
      </c>
      <c r="X18" s="51" t="n">
        <f aca="false">IF(L18&lt;0,L18*-1,0)</f>
        <v>0</v>
      </c>
      <c r="Y18" s="51" t="n">
        <f aca="false">W18+X18</f>
        <v>1767</v>
      </c>
      <c r="Z18" s="56" t="n">
        <v>0</v>
      </c>
      <c r="AA18" s="57" t="n">
        <v>57</v>
      </c>
      <c r="AB18" s="57" t="n">
        <v>26</v>
      </c>
      <c r="AC18" s="58" t="n">
        <f aca="false">AC17+1</f>
        <v>9</v>
      </c>
      <c r="AD18" s="12" t="n">
        <f aca="false">IF(I18&gt;S18,I18-S18,I18-S18)</f>
        <v>1225</v>
      </c>
      <c r="AE18" s="94"/>
      <c r="AF18" s="93"/>
    </row>
    <row r="19" customFormat="false" ht="11.1" hidden="false" customHeight="true" outlineLevel="0" collapsed="false">
      <c r="A19" s="58" t="n">
        <f aca="false">A18+1</f>
        <v>10</v>
      </c>
      <c r="B19" s="73" t="n">
        <v>6885.78</v>
      </c>
      <c r="C19" s="52" t="n">
        <v>234203</v>
      </c>
      <c r="D19" s="57" t="n">
        <f aca="false">C19-C18</f>
        <v>322</v>
      </c>
      <c r="E19" s="52" t="n">
        <f aca="false">C19-152000</f>
        <v>82203</v>
      </c>
      <c r="F19" s="51" t="n">
        <f aca="false">D19/$D$2</f>
        <v>162.339299218553</v>
      </c>
      <c r="G19" s="51" t="n">
        <v>1279</v>
      </c>
      <c r="H19" s="81" t="n">
        <v>97</v>
      </c>
      <c r="I19" s="51" t="n">
        <f aca="false">G19+H19</f>
        <v>1376</v>
      </c>
      <c r="J19" s="81" t="n">
        <f aca="false">IF(L19&gt;0,L19,0)</f>
        <v>500.339299218553</v>
      </c>
      <c r="K19" s="51" t="n">
        <f aca="false">I19+J19</f>
        <v>1876.33929921855</v>
      </c>
      <c r="L19" s="51" t="n">
        <f aca="false">F19-(I19-W19)</f>
        <v>500.339299218553</v>
      </c>
      <c r="M19" s="51" t="n">
        <v>128</v>
      </c>
      <c r="N19" s="51" t="n">
        <v>0</v>
      </c>
      <c r="O19" s="51" t="n">
        <v>0</v>
      </c>
      <c r="P19" s="6" t="n">
        <f aca="false">M19-(N19+O19)</f>
        <v>128</v>
      </c>
      <c r="Q19" s="51" t="n">
        <v>114</v>
      </c>
      <c r="R19" s="51" t="n">
        <v>63</v>
      </c>
      <c r="S19" s="51" t="n">
        <f aca="false">SUM(P19:R19)</f>
        <v>305</v>
      </c>
      <c r="T19" s="52"/>
      <c r="U19" s="51"/>
      <c r="V19" s="51" t="n">
        <v>1409</v>
      </c>
      <c r="W19" s="6" t="n">
        <f aca="false">N19+O19+S19+U19+V19</f>
        <v>1714</v>
      </c>
      <c r="X19" s="51" t="n">
        <f aca="false">IF(L19&lt;0,L19*-1,0)</f>
        <v>0</v>
      </c>
      <c r="Y19" s="51" t="n">
        <f aca="false">W19+X19</f>
        <v>1714</v>
      </c>
      <c r="Z19" s="56" t="n">
        <v>0</v>
      </c>
      <c r="AA19" s="57"/>
      <c r="AB19" s="57"/>
      <c r="AC19" s="58" t="n">
        <f aca="false">AC18+1</f>
        <v>10</v>
      </c>
      <c r="AD19" s="12" t="n">
        <f aca="false">IF(I19&gt;S19,I19-S19,I19-S19)</f>
        <v>1071</v>
      </c>
      <c r="AE19" s="94"/>
      <c r="AF19" s="93"/>
    </row>
    <row r="20" customFormat="false" ht="11.1" hidden="false" customHeight="true" outlineLevel="0" collapsed="false">
      <c r="A20" s="58" t="n">
        <f aca="false">A19+1</f>
        <v>11</v>
      </c>
      <c r="B20" s="73" t="n">
        <v>6885.95</v>
      </c>
      <c r="C20" s="52" t="n">
        <v>234751</v>
      </c>
      <c r="D20" s="57" t="n">
        <f aca="false">C20-C19</f>
        <v>548</v>
      </c>
      <c r="E20" s="52" t="n">
        <f aca="false">C20-152000</f>
        <v>82751</v>
      </c>
      <c r="F20" s="51" t="n">
        <f aca="false">D20/$D$2</f>
        <v>276.279304260146</v>
      </c>
      <c r="G20" s="51" t="n">
        <v>1428</v>
      </c>
      <c r="H20" s="81" t="n">
        <v>156</v>
      </c>
      <c r="I20" s="51" t="n">
        <f aca="false">G20+H20</f>
        <v>1584</v>
      </c>
      <c r="J20" s="81" t="n">
        <f aca="false">IF(L20&gt;0,L20,0)</f>
        <v>400.279304260146</v>
      </c>
      <c r="K20" s="51" t="n">
        <f aca="false">I20+J20</f>
        <v>1984.27930426015</v>
      </c>
      <c r="L20" s="51" t="n">
        <f aca="false">F20-(I20-W20)</f>
        <v>400.279304260146</v>
      </c>
      <c r="M20" s="51" t="n">
        <v>128</v>
      </c>
      <c r="N20" s="51" t="n">
        <v>0</v>
      </c>
      <c r="O20" s="51" t="n">
        <v>0</v>
      </c>
      <c r="P20" s="6" t="n">
        <f aca="false">M20-(N20+O20)</f>
        <v>128</v>
      </c>
      <c r="Q20" s="51" t="n">
        <v>115</v>
      </c>
      <c r="R20" s="51" t="n">
        <v>64</v>
      </c>
      <c r="S20" s="51" t="n">
        <f aca="false">SUM(P20:R20)</f>
        <v>307</v>
      </c>
      <c r="T20" s="52"/>
      <c r="U20" s="51"/>
      <c r="V20" s="51" t="n">
        <v>1401</v>
      </c>
      <c r="W20" s="6" t="n">
        <f aca="false">N20+O20+S20+U20+V20</f>
        <v>1708</v>
      </c>
      <c r="X20" s="51" t="n">
        <f aca="false">IF(L20&lt;0,L20*-1,0)</f>
        <v>0</v>
      </c>
      <c r="Y20" s="51" t="n">
        <f aca="false">W20+X20</f>
        <v>1708</v>
      </c>
      <c r="Z20" s="56" t="n">
        <v>0</v>
      </c>
      <c r="AA20" s="57"/>
      <c r="AB20" s="57"/>
      <c r="AC20" s="58" t="n">
        <f aca="false">AC19+1</f>
        <v>11</v>
      </c>
      <c r="AD20" s="12" t="n">
        <f aca="false">IF(I20&gt;S20,I20-S20,I20-S20)</f>
        <v>1277</v>
      </c>
      <c r="AE20" s="94"/>
      <c r="AF20" s="93"/>
    </row>
    <row r="21" customFormat="false" ht="11.1" hidden="false" customHeight="true" outlineLevel="0" collapsed="false">
      <c r="A21" s="58" t="n">
        <f aca="false">A20+1</f>
        <v>12</v>
      </c>
      <c r="B21" s="73" t="n">
        <v>6886.08</v>
      </c>
      <c r="C21" s="52" t="n">
        <v>235173</v>
      </c>
      <c r="D21" s="57" t="n">
        <f aca="false">C21-C20</f>
        <v>422</v>
      </c>
      <c r="E21" s="52" t="n">
        <f aca="false">C21-152000</f>
        <v>83173</v>
      </c>
      <c r="F21" s="51" t="n">
        <f aca="false">D21/$D$2</f>
        <v>212.755230652886</v>
      </c>
      <c r="G21" s="51" t="n">
        <v>1506</v>
      </c>
      <c r="H21" s="81" t="n">
        <v>172</v>
      </c>
      <c r="I21" s="51" t="n">
        <f aca="false">G21+H21</f>
        <v>1678</v>
      </c>
      <c r="J21" s="81" t="n">
        <f aca="false">IF(L21&gt;0,L21,0)</f>
        <v>242.755230652886</v>
      </c>
      <c r="K21" s="51" t="n">
        <f aca="false">I21+J21</f>
        <v>1920.75523065289</v>
      </c>
      <c r="L21" s="51" t="n">
        <f aca="false">F21-(I21-W21)</f>
        <v>242.755230652886</v>
      </c>
      <c r="M21" s="51" t="n">
        <v>128</v>
      </c>
      <c r="N21" s="51" t="n">
        <v>0</v>
      </c>
      <c r="O21" s="51" t="n">
        <v>0</v>
      </c>
      <c r="P21" s="6" t="n">
        <f aca="false">M21-(N21+O21)</f>
        <v>128</v>
      </c>
      <c r="Q21" s="51" t="n">
        <v>115</v>
      </c>
      <c r="R21" s="51" t="n">
        <v>64</v>
      </c>
      <c r="S21" s="51" t="n">
        <f aca="false">SUM(P21:R21)</f>
        <v>307</v>
      </c>
      <c r="T21" s="52"/>
      <c r="U21" s="51"/>
      <c r="V21" s="51" t="n">
        <v>1401</v>
      </c>
      <c r="W21" s="6" t="n">
        <f aca="false">N21+O21+S21+U21+V21</f>
        <v>1708</v>
      </c>
      <c r="X21" s="51" t="n">
        <f aca="false">IF(L21&lt;0,L21*-1,0)</f>
        <v>0</v>
      </c>
      <c r="Y21" s="51" t="n">
        <f aca="false">W21+X21</f>
        <v>1708</v>
      </c>
      <c r="Z21" s="56" t="n">
        <v>0</v>
      </c>
      <c r="AA21" s="57" t="n">
        <v>66</v>
      </c>
      <c r="AB21" s="57" t="n">
        <v>30</v>
      </c>
      <c r="AC21" s="58" t="n">
        <f aca="false">AC20+1</f>
        <v>12</v>
      </c>
      <c r="AD21" s="12" t="n">
        <f aca="false">IF(I21&gt;S21,I21-S21,I21-S21)</f>
        <v>1371</v>
      </c>
      <c r="AE21" s="94"/>
      <c r="AF21" s="93"/>
    </row>
    <row r="22" customFormat="false" ht="11.1" hidden="false" customHeight="true" outlineLevel="0" collapsed="false">
      <c r="A22" s="58" t="n">
        <f aca="false">A21+1</f>
        <v>13</v>
      </c>
      <c r="B22" s="73" t="n">
        <v>6886.29</v>
      </c>
      <c r="C22" s="52" t="n">
        <v>235858</v>
      </c>
      <c r="D22" s="57" t="n">
        <f aca="false">C22-C21</f>
        <v>685</v>
      </c>
      <c r="E22" s="52" t="n">
        <f aca="false">C22-152000</f>
        <v>83858</v>
      </c>
      <c r="F22" s="51" t="n">
        <f aca="false">D22/$D$2</f>
        <v>345.349130325183</v>
      </c>
      <c r="G22" s="51" t="n">
        <v>1646</v>
      </c>
      <c r="H22" s="81" t="n">
        <v>185</v>
      </c>
      <c r="I22" s="51" t="n">
        <f aca="false">G22+H22</f>
        <v>1831</v>
      </c>
      <c r="J22" s="81" t="n">
        <f aca="false">IF(L22&gt;0,L22,0)</f>
        <v>250.349130325183</v>
      </c>
      <c r="K22" s="51" t="n">
        <f aca="false">I22+J22</f>
        <v>2081.34913032518</v>
      </c>
      <c r="L22" s="51" t="n">
        <f aca="false">F22-(I22-W22)</f>
        <v>250.349130325183</v>
      </c>
      <c r="M22" s="51" t="n">
        <v>136</v>
      </c>
      <c r="N22" s="51" t="n">
        <v>0</v>
      </c>
      <c r="O22" s="51" t="n">
        <v>0</v>
      </c>
      <c r="P22" s="6" t="n">
        <f aca="false">M22-(N22+O22)</f>
        <v>136</v>
      </c>
      <c r="Q22" s="51" t="n">
        <v>115</v>
      </c>
      <c r="R22" s="51" t="n">
        <v>84</v>
      </c>
      <c r="S22" s="51" t="n">
        <f aca="false">SUM(P22:R22)</f>
        <v>335</v>
      </c>
      <c r="T22" s="52"/>
      <c r="U22" s="51"/>
      <c r="V22" s="51" t="n">
        <v>1401</v>
      </c>
      <c r="W22" s="6" t="n">
        <f aca="false">N22+O22+S22+U22+V22</f>
        <v>1736</v>
      </c>
      <c r="X22" s="51" t="n">
        <f aca="false">IF(L22&lt;0,L22*-1,0)</f>
        <v>0</v>
      </c>
      <c r="Y22" s="51" t="n">
        <f aca="false">W22+X22</f>
        <v>1736</v>
      </c>
      <c r="Z22" s="56" t="n">
        <v>0</v>
      </c>
      <c r="AA22" s="57" t="n">
        <v>64</v>
      </c>
      <c r="AB22" s="57" t="n">
        <v>33</v>
      </c>
      <c r="AC22" s="58" t="n">
        <f aca="false">AC21+1</f>
        <v>13</v>
      </c>
      <c r="AD22" s="12" t="n">
        <f aca="false">IF(I22&gt;S22,I22-S22,I22-S22)</f>
        <v>1496</v>
      </c>
      <c r="AE22" s="94"/>
      <c r="AF22" s="93"/>
    </row>
    <row r="23" customFormat="false" ht="11.1" hidden="false" customHeight="true" outlineLevel="0" collapsed="false">
      <c r="A23" s="58" t="n">
        <f aca="false">A22+1</f>
        <v>14</v>
      </c>
      <c r="B23" s="73" t="n">
        <v>6886.61</v>
      </c>
      <c r="C23" s="52" t="n">
        <v>236901</v>
      </c>
      <c r="D23" s="57" t="n">
        <f aca="false">C23-C22</f>
        <v>1043</v>
      </c>
      <c r="E23" s="52" t="n">
        <f aca="false">C23-152000</f>
        <v>84901</v>
      </c>
      <c r="F23" s="51" t="n">
        <f aca="false">D23/$D$2</f>
        <v>525.838164860096</v>
      </c>
      <c r="G23" s="51" t="n">
        <v>1796</v>
      </c>
      <c r="H23" s="81" t="n">
        <v>179</v>
      </c>
      <c r="I23" s="51" t="n">
        <f aca="false">G23+H23</f>
        <v>1975</v>
      </c>
      <c r="J23" s="81" t="n">
        <f aca="false">IF(L23&gt;0,L23,0)</f>
        <v>246.838164860096</v>
      </c>
      <c r="K23" s="51" t="n">
        <f aca="false">I23+J23</f>
        <v>2221.8381648601</v>
      </c>
      <c r="L23" s="51" t="n">
        <f aca="false">F23-(I23-W23)</f>
        <v>246.838164860096</v>
      </c>
      <c r="M23" s="51" t="n">
        <v>186</v>
      </c>
      <c r="N23" s="51" t="n">
        <v>0</v>
      </c>
      <c r="O23" s="51" t="n">
        <v>0</v>
      </c>
      <c r="P23" s="6" t="n">
        <f aca="false">M23-(N23+O23)</f>
        <v>186</v>
      </c>
      <c r="Q23" s="51" t="n">
        <v>137</v>
      </c>
      <c r="R23" s="51" t="n">
        <v>69</v>
      </c>
      <c r="S23" s="51" t="n">
        <f aca="false">SUM(P23:R23)</f>
        <v>392</v>
      </c>
      <c r="T23" s="52"/>
      <c r="U23" s="51"/>
      <c r="V23" s="51" t="n">
        <v>1304</v>
      </c>
      <c r="W23" s="6" t="n">
        <f aca="false">N23+O23+S23+U23+V23</f>
        <v>1696</v>
      </c>
      <c r="X23" s="51" t="n">
        <f aca="false">IF(L23&lt;0,L23*-1,0)</f>
        <v>0</v>
      </c>
      <c r="Y23" s="51" t="n">
        <f aca="false">W23+X23</f>
        <v>1696</v>
      </c>
      <c r="Z23" s="56" t="n">
        <v>0</v>
      </c>
      <c r="AA23" s="57" t="n">
        <v>67</v>
      </c>
      <c r="AB23" s="57" t="n">
        <v>34</v>
      </c>
      <c r="AC23" s="58" t="n">
        <f aca="false">AC22+1</f>
        <v>14</v>
      </c>
      <c r="AD23" s="12" t="n">
        <f aca="false">IF(I23&gt;S23,I23-S23,I23-S23)</f>
        <v>1583</v>
      </c>
      <c r="AE23" s="94"/>
      <c r="AF23" s="93"/>
    </row>
    <row r="24" customFormat="false" ht="11.1" hidden="false" customHeight="true" outlineLevel="0" collapsed="false">
      <c r="A24" s="58" t="n">
        <f aca="false">A23+1</f>
        <v>15</v>
      </c>
      <c r="B24" s="73" t="n">
        <v>6886.88</v>
      </c>
      <c r="C24" s="52" t="n">
        <v>237781</v>
      </c>
      <c r="D24" s="57" t="n">
        <f aca="false">C24-C23</f>
        <v>880</v>
      </c>
      <c r="E24" s="52" t="n">
        <f aca="false">C24-152000</f>
        <v>85781</v>
      </c>
      <c r="F24" s="51" t="n">
        <f aca="false">D24/$D$2</f>
        <v>443.660196622133</v>
      </c>
      <c r="G24" s="51" t="n">
        <v>1713</v>
      </c>
      <c r="H24" s="81" t="n">
        <v>161</v>
      </c>
      <c r="I24" s="51" t="n">
        <f aca="false">G24+H24</f>
        <v>1874</v>
      </c>
      <c r="J24" s="81" t="n">
        <f aca="false">IF(L24&gt;0,L24,0)</f>
        <v>175.660196622133</v>
      </c>
      <c r="K24" s="101" t="n">
        <f aca="false">I24+J24</f>
        <v>2049.66019662213</v>
      </c>
      <c r="L24" s="51" t="n">
        <f aca="false">F24-(I24-W24)</f>
        <v>175.660196622133</v>
      </c>
      <c r="M24" s="51" t="n">
        <v>196</v>
      </c>
      <c r="N24" s="51" t="n">
        <v>0</v>
      </c>
      <c r="O24" s="51" t="n">
        <v>0</v>
      </c>
      <c r="P24" s="6" t="n">
        <f aca="false">M24-(N24+O24)</f>
        <v>196</v>
      </c>
      <c r="Q24" s="51" t="n">
        <v>138</v>
      </c>
      <c r="R24" s="51" t="n">
        <v>71</v>
      </c>
      <c r="S24" s="51" t="n">
        <f aca="false">SUM(P24:R24)</f>
        <v>405</v>
      </c>
      <c r="T24" s="52"/>
      <c r="U24" s="51"/>
      <c r="V24" s="51" t="n">
        <v>1201</v>
      </c>
      <c r="W24" s="6" t="n">
        <f aca="false">N24+O24+S24+U24+V24</f>
        <v>1606</v>
      </c>
      <c r="X24" s="51" t="n">
        <f aca="false">IF(L24&lt;0,L24*-1,0)</f>
        <v>0</v>
      </c>
      <c r="Y24" s="51" t="n">
        <f aca="false">W24+X24</f>
        <v>1606</v>
      </c>
      <c r="Z24" s="56" t="n">
        <v>0</v>
      </c>
      <c r="AA24" s="57" t="n">
        <v>67</v>
      </c>
      <c r="AB24" s="57" t="n">
        <v>38</v>
      </c>
      <c r="AC24" s="58" t="n">
        <f aca="false">AC23+1</f>
        <v>15</v>
      </c>
      <c r="AD24" s="12" t="n">
        <f aca="false">IF(I24&gt;S24,I24-S24,I24-S24)</f>
        <v>1469</v>
      </c>
      <c r="AE24" s="94"/>
      <c r="AF24" s="93"/>
    </row>
    <row r="25" customFormat="false" ht="11.1" hidden="false" customHeight="true" outlineLevel="0" collapsed="false">
      <c r="A25" s="58" t="n">
        <f aca="false">A24+1</f>
        <v>16</v>
      </c>
      <c r="B25" s="73" t="n">
        <v>6887.13</v>
      </c>
      <c r="C25" s="52" t="n">
        <v>238601</v>
      </c>
      <c r="D25" s="57" t="n">
        <f aca="false">C25-C24</f>
        <v>820</v>
      </c>
      <c r="E25" s="52" t="n">
        <f aca="false">C25-152000</f>
        <v>86601</v>
      </c>
      <c r="F25" s="51" t="n">
        <f aca="false">D25/$D$2</f>
        <v>413.410637761533</v>
      </c>
      <c r="G25" s="51" t="n">
        <v>1658</v>
      </c>
      <c r="H25" s="81" t="n">
        <v>144</v>
      </c>
      <c r="I25" s="51" t="n">
        <f aca="false">G25+H25</f>
        <v>1802</v>
      </c>
      <c r="J25" s="81" t="n">
        <f aca="false">IF(L25&gt;0,L25,0)</f>
        <v>227.410637761533</v>
      </c>
      <c r="K25" s="51" t="n">
        <f aca="false">I25+J25</f>
        <v>2029.41063776153</v>
      </c>
      <c r="L25" s="51" t="n">
        <f aca="false">F25-(I25-W25)</f>
        <v>227.410637761533</v>
      </c>
      <c r="M25" s="51" t="n">
        <v>199</v>
      </c>
      <c r="N25" s="51" t="n">
        <v>0</v>
      </c>
      <c r="O25" s="51" t="n">
        <v>0</v>
      </c>
      <c r="P25" s="6" t="n">
        <f aca="false">M25-(N25+O25)</f>
        <v>199</v>
      </c>
      <c r="Q25" s="51" t="n">
        <v>144</v>
      </c>
      <c r="R25" s="51" t="n">
        <v>72</v>
      </c>
      <c r="S25" s="51" t="n">
        <f aca="false">SUM(P25:R25)</f>
        <v>415</v>
      </c>
      <c r="T25" s="52"/>
      <c r="U25" s="51"/>
      <c r="V25" s="51" t="n">
        <v>1201</v>
      </c>
      <c r="W25" s="6" t="n">
        <f aca="false">N25+O25+S25+U25+V25</f>
        <v>1616</v>
      </c>
      <c r="X25" s="51" t="n">
        <f aca="false">IF(L25&lt;0,L25*-1,0)</f>
        <v>0</v>
      </c>
      <c r="Y25" s="51" t="n">
        <f aca="false">W25+X25</f>
        <v>1616</v>
      </c>
      <c r="Z25" s="56" t="n">
        <v>0</v>
      </c>
      <c r="AA25" s="57" t="n">
        <v>60</v>
      </c>
      <c r="AB25" s="57" t="n">
        <v>31</v>
      </c>
      <c r="AC25" s="58" t="n">
        <f aca="false">AC24+1</f>
        <v>16</v>
      </c>
      <c r="AD25" s="12" t="n">
        <f aca="false">IF(I25&gt;S25,I25-S25,I25-S25)</f>
        <v>1387</v>
      </c>
      <c r="AE25" s="94"/>
      <c r="AF25" s="93"/>
    </row>
    <row r="26" customFormat="false" ht="11.1" hidden="false" customHeight="true" outlineLevel="0" collapsed="false">
      <c r="A26" s="58" t="n">
        <f aca="false">A25+1</f>
        <v>17</v>
      </c>
      <c r="B26" s="73" t="n">
        <v>6887.25</v>
      </c>
      <c r="C26" s="52" t="n">
        <v>238997</v>
      </c>
      <c r="D26" s="57" t="n">
        <f aca="false">C26-C25</f>
        <v>396</v>
      </c>
      <c r="E26" s="52" t="n">
        <f aca="false">C26-152000</f>
        <v>86997</v>
      </c>
      <c r="F26" s="51" t="n">
        <f aca="false">D26/$D$2</f>
        <v>199.64708847996</v>
      </c>
      <c r="G26" s="51" t="n">
        <v>1512</v>
      </c>
      <c r="H26" s="81" t="n">
        <v>136</v>
      </c>
      <c r="I26" s="51" t="n">
        <f aca="false">G26+H26</f>
        <v>1648</v>
      </c>
      <c r="J26" s="81" t="n">
        <f aca="false">IF(L26&gt;0,L26,0)</f>
        <v>174.64708847996</v>
      </c>
      <c r="K26" s="101" t="n">
        <f aca="false">I26+J26</f>
        <v>1822.64708847996</v>
      </c>
      <c r="L26" s="51" t="n">
        <f aca="false">F26-(I26-W26)</f>
        <v>174.64708847996</v>
      </c>
      <c r="M26" s="51" t="n">
        <v>201</v>
      </c>
      <c r="N26" s="51" t="n">
        <v>0</v>
      </c>
      <c r="O26" s="51" t="n">
        <v>0</v>
      </c>
      <c r="P26" s="6" t="n">
        <f aca="false">M26-(N26+O26)</f>
        <v>201</v>
      </c>
      <c r="Q26" s="51" t="n">
        <v>148</v>
      </c>
      <c r="R26" s="51" t="n">
        <v>73</v>
      </c>
      <c r="S26" s="51" t="n">
        <f aca="false">SUM(P26:R26)</f>
        <v>422</v>
      </c>
      <c r="T26" s="52"/>
      <c r="U26" s="51"/>
      <c r="V26" s="51" t="n">
        <v>1201</v>
      </c>
      <c r="W26" s="6" t="n">
        <f aca="false">N26+O26+S26+U26+V26</f>
        <v>1623</v>
      </c>
      <c r="X26" s="51" t="n">
        <f aca="false">IF(L26&lt;0,L26*-1,0)</f>
        <v>0</v>
      </c>
      <c r="Y26" s="51" t="n">
        <f aca="false">W26+X26</f>
        <v>1623</v>
      </c>
      <c r="Z26" s="56" t="n">
        <v>0</v>
      </c>
      <c r="AA26" s="57"/>
      <c r="AB26" s="57"/>
      <c r="AC26" s="58" t="n">
        <f aca="false">AC25+1</f>
        <v>17</v>
      </c>
      <c r="AD26" s="12" t="n">
        <f aca="false">IF(I26&gt;S26,I26-S26,I26-S26)</f>
        <v>1226</v>
      </c>
      <c r="AE26" s="94"/>
      <c r="AF26" s="93"/>
    </row>
    <row r="27" customFormat="false" ht="11.1" hidden="false" customHeight="true" outlineLevel="0" collapsed="false">
      <c r="A27" s="58" t="n">
        <f aca="false">A26+1</f>
        <v>18</v>
      </c>
      <c r="B27" s="73" t="n">
        <v>6887.45</v>
      </c>
      <c r="C27" s="52" t="n">
        <v>239656</v>
      </c>
      <c r="D27" s="57" t="n">
        <f aca="false">C27-C26</f>
        <v>659</v>
      </c>
      <c r="E27" s="52" t="n">
        <f aca="false">C27-152000</f>
        <v>87656</v>
      </c>
      <c r="F27" s="51" t="n">
        <f aca="false">D27/$D$2</f>
        <v>332.240988152256</v>
      </c>
      <c r="G27" s="51" t="n">
        <v>1501</v>
      </c>
      <c r="H27" s="81" t="n">
        <v>116</v>
      </c>
      <c r="I27" s="51" t="n">
        <f aca="false">G27+H27</f>
        <v>1617</v>
      </c>
      <c r="J27" s="81" t="n">
        <f aca="false">IF(L27&gt;0,L27,0)</f>
        <v>338.240988152256</v>
      </c>
      <c r="K27" s="51" t="n">
        <f aca="false">I27+J27</f>
        <v>1955.24098815226</v>
      </c>
      <c r="L27" s="51" t="n">
        <f aca="false">F27-(I27-W27)</f>
        <v>338.240988152256</v>
      </c>
      <c r="M27" s="51" t="n">
        <v>202</v>
      </c>
      <c r="N27" s="51" t="n">
        <v>0</v>
      </c>
      <c r="O27" s="51" t="n">
        <v>0</v>
      </c>
      <c r="P27" s="6" t="n">
        <f aca="false">M27-(N27+O27)</f>
        <v>202</v>
      </c>
      <c r="Q27" s="51" t="n">
        <v>149</v>
      </c>
      <c r="R27" s="51" t="n">
        <v>71</v>
      </c>
      <c r="S27" s="51" t="n">
        <f aca="false">SUM(P27:R27)</f>
        <v>422</v>
      </c>
      <c r="T27" s="52"/>
      <c r="U27" s="51"/>
      <c r="V27" s="51" t="n">
        <v>1201</v>
      </c>
      <c r="W27" s="6" t="n">
        <f aca="false">N27+O27+S27+U27+V27</f>
        <v>1623</v>
      </c>
      <c r="X27" s="51" t="n">
        <f aca="false">IF(L27&lt;0,L27*-1,0)</f>
        <v>0</v>
      </c>
      <c r="Y27" s="51" t="n">
        <f aca="false">W27+X27</f>
        <v>1623</v>
      </c>
      <c r="Z27" s="56" t="n">
        <v>0</v>
      </c>
      <c r="AA27" s="57"/>
      <c r="AB27" s="57"/>
      <c r="AC27" s="58" t="n">
        <f aca="false">AC26+1</f>
        <v>18</v>
      </c>
      <c r="AD27" s="12" t="n">
        <f aca="false">IF(I27&gt;S27,I27-S27,I27-S27)</f>
        <v>1195</v>
      </c>
      <c r="AE27" s="94"/>
      <c r="AF27" s="93"/>
    </row>
    <row r="28" customFormat="false" ht="11.1" hidden="false" customHeight="true" outlineLevel="0" collapsed="false">
      <c r="A28" s="58" t="n">
        <f aca="false">A27+1</f>
        <v>19</v>
      </c>
      <c r="B28" s="73" t="n">
        <v>6887.9</v>
      </c>
      <c r="C28" s="99" t="n">
        <v>241139</v>
      </c>
      <c r="D28" s="57" t="n">
        <f aca="false">C28-C27</f>
        <v>1483</v>
      </c>
      <c r="E28" s="52" t="n">
        <f aca="false">C28-152000</f>
        <v>89139</v>
      </c>
      <c r="F28" s="51" t="n">
        <f aca="false">D28/$D$2</f>
        <v>747.668263171162</v>
      </c>
      <c r="G28" s="51" t="n">
        <v>1861</v>
      </c>
      <c r="H28" s="81" t="n">
        <v>123</v>
      </c>
      <c r="I28" s="51" t="n">
        <f aca="false">G28+H28</f>
        <v>1984</v>
      </c>
      <c r="J28" s="81" t="n">
        <f aca="false">IF(L28&gt;0,L28,0)</f>
        <v>404.668263171162</v>
      </c>
      <c r="K28" s="51" t="n">
        <f aca="false">I28+J28</f>
        <v>2388.66826317116</v>
      </c>
      <c r="L28" s="51" t="n">
        <f aca="false">F28-(I28-W28)</f>
        <v>404.668263171162</v>
      </c>
      <c r="M28" s="51" t="n">
        <v>203</v>
      </c>
      <c r="N28" s="51" t="n">
        <v>0</v>
      </c>
      <c r="O28" s="51" t="n">
        <v>0</v>
      </c>
      <c r="P28" s="6" t="n">
        <f aca="false">M28-(N28+O28)</f>
        <v>203</v>
      </c>
      <c r="Q28" s="51" t="n">
        <v>161</v>
      </c>
      <c r="R28" s="51" t="n">
        <v>76</v>
      </c>
      <c r="S28" s="51" t="n">
        <f aca="false">SUM(P28:R28)</f>
        <v>440</v>
      </c>
      <c r="T28" s="52"/>
      <c r="U28" s="51"/>
      <c r="V28" s="51" t="n">
        <v>1201</v>
      </c>
      <c r="W28" s="6" t="n">
        <f aca="false">N28+O28+S28+U28+V28</f>
        <v>1641</v>
      </c>
      <c r="X28" s="51" t="n">
        <f aca="false">IF(L28&lt;0,L28*-1,0)</f>
        <v>0</v>
      </c>
      <c r="Y28" s="51" t="n">
        <f aca="false">W28+X28</f>
        <v>1641</v>
      </c>
      <c r="Z28" s="56" t="n">
        <v>0</v>
      </c>
      <c r="AA28" s="57" t="n">
        <v>66</v>
      </c>
      <c r="AB28" s="57" t="n">
        <v>33</v>
      </c>
      <c r="AC28" s="58" t="n">
        <f aca="false">AC27+1</f>
        <v>19</v>
      </c>
      <c r="AD28" s="12" t="n">
        <f aca="false">IF(I28&gt;S28,I28-S28,I28-S28)</f>
        <v>1544</v>
      </c>
      <c r="AE28" s="94"/>
      <c r="AF28" s="93"/>
    </row>
    <row r="29" customFormat="false" ht="11.1" hidden="false" customHeight="true" outlineLevel="0" collapsed="false">
      <c r="A29" s="58" t="n">
        <f aca="false">A28+1</f>
        <v>20</v>
      </c>
      <c r="B29" s="73" t="n">
        <v>6888.66</v>
      </c>
      <c r="C29" s="52" t="n">
        <v>243668</v>
      </c>
      <c r="D29" s="57" t="n">
        <f aca="false">C29-C28</f>
        <v>2529</v>
      </c>
      <c r="E29" s="52" t="n">
        <f aca="false">C29-152000</f>
        <v>91668</v>
      </c>
      <c r="F29" s="51" t="n">
        <f aca="false">D29/$D$2</f>
        <v>1275.01890597429</v>
      </c>
      <c r="G29" s="51" t="n">
        <v>2393</v>
      </c>
      <c r="H29" s="81" t="n">
        <v>156</v>
      </c>
      <c r="I29" s="51" t="n">
        <f aca="false">G29+H29</f>
        <v>2549</v>
      </c>
      <c r="J29" s="81" t="n">
        <f aca="false">IF(L29&gt;0,L29,0)</f>
        <v>380.018905974288</v>
      </c>
      <c r="K29" s="51" t="n">
        <f aca="false">I29+J29</f>
        <v>2929.01890597429</v>
      </c>
      <c r="L29" s="51" t="n">
        <f aca="false">F29-(I29-W29)</f>
        <v>380.018905974288</v>
      </c>
      <c r="M29" s="51" t="n">
        <v>204</v>
      </c>
      <c r="N29" s="51" t="n">
        <v>0</v>
      </c>
      <c r="O29" s="51" t="n">
        <v>0</v>
      </c>
      <c r="P29" s="6" t="n">
        <f aca="false">M29-(N29+O29)</f>
        <v>204</v>
      </c>
      <c r="Q29" s="51" t="n">
        <v>169</v>
      </c>
      <c r="R29" s="51" t="n">
        <v>80</v>
      </c>
      <c r="S29" s="51" t="n">
        <f aca="false">SUM(P29:R29)</f>
        <v>453</v>
      </c>
      <c r="T29" s="52"/>
      <c r="U29" s="51"/>
      <c r="V29" s="51" t="n">
        <v>1201</v>
      </c>
      <c r="W29" s="6" t="n">
        <f aca="false">N29+O29+S29+U29+V29</f>
        <v>1654</v>
      </c>
      <c r="X29" s="51" t="n">
        <f aca="false">IF(L29&lt;0,L29*-1,0)</f>
        <v>0</v>
      </c>
      <c r="Y29" s="51" t="n">
        <f aca="false">W29+X29</f>
        <v>1654</v>
      </c>
      <c r="Z29" s="56" t="n">
        <v>0</v>
      </c>
      <c r="AA29" s="57" t="n">
        <v>70</v>
      </c>
      <c r="AB29" s="57" t="n">
        <v>38</v>
      </c>
      <c r="AC29" s="58" t="n">
        <f aca="false">AC28+1</f>
        <v>20</v>
      </c>
      <c r="AD29" s="12" t="n">
        <f aca="false">IF(I29&gt;S29,I29-S29,I29-S29)</f>
        <v>2096</v>
      </c>
      <c r="AE29" s="94"/>
      <c r="AF29" s="93"/>
    </row>
    <row r="30" customFormat="false" ht="11.1" hidden="false" customHeight="true" outlineLevel="0" collapsed="false">
      <c r="A30" s="58" t="n">
        <f aca="false">A29+1</f>
        <v>21</v>
      </c>
      <c r="B30" s="114" t="n">
        <v>6889.46</v>
      </c>
      <c r="C30" s="52" t="n">
        <v>246350</v>
      </c>
      <c r="D30" s="57" t="n">
        <f aca="false">C30-C29</f>
        <v>2682</v>
      </c>
      <c r="E30" s="52" t="n">
        <f aca="false">C30-152000</f>
        <v>94350</v>
      </c>
      <c r="F30" s="51" t="n">
        <f aca="false">D30/$D$2</f>
        <v>1352.15528106882</v>
      </c>
      <c r="G30" s="51" t="n">
        <v>2878</v>
      </c>
      <c r="H30" s="81" t="n">
        <v>148</v>
      </c>
      <c r="I30" s="51" t="n">
        <f aca="false">G30+H30</f>
        <v>3026</v>
      </c>
      <c r="J30" s="81" t="n">
        <f aca="false">IF(L30&gt;0,L30,0)</f>
        <v>0</v>
      </c>
      <c r="K30" s="51" t="n">
        <f aca="false">I30+J30</f>
        <v>3026</v>
      </c>
      <c r="L30" s="51" t="n">
        <f aca="false">F30-(I30-W30)</f>
        <v>-0.844718931182342</v>
      </c>
      <c r="M30" s="51" t="n">
        <v>216</v>
      </c>
      <c r="N30" s="51" t="n">
        <v>0</v>
      </c>
      <c r="O30" s="51" t="n">
        <v>0</v>
      </c>
      <c r="P30" s="6" t="n">
        <f aca="false">M30-(N30+O30)</f>
        <v>216</v>
      </c>
      <c r="Q30" s="51" t="n">
        <v>171</v>
      </c>
      <c r="R30" s="51" t="n">
        <v>85</v>
      </c>
      <c r="S30" s="51" t="n">
        <f aca="false">SUM(P30:R30)</f>
        <v>472</v>
      </c>
      <c r="T30" s="52"/>
      <c r="U30" s="51"/>
      <c r="V30" s="51" t="n">
        <v>1201</v>
      </c>
      <c r="W30" s="6" t="n">
        <f aca="false">N30+O30+S30+U30+V30</f>
        <v>1673</v>
      </c>
      <c r="X30" s="51" t="n">
        <f aca="false">IF(L30&lt;0,L30*-1,0)</f>
        <v>0.844718931182342</v>
      </c>
      <c r="Y30" s="51" t="n">
        <f aca="false">W30+X30</f>
        <v>1673.84471893118</v>
      </c>
      <c r="Z30" s="56" t="n">
        <v>0</v>
      </c>
      <c r="AA30" s="57" t="n">
        <v>75</v>
      </c>
      <c r="AB30" s="57" t="n">
        <v>36</v>
      </c>
      <c r="AC30" s="58" t="n">
        <f aca="false">AC29+1</f>
        <v>21</v>
      </c>
      <c r="AD30" s="12" t="n">
        <f aca="false">IF(I30&gt;S30,I30-S30,I30-S30)</f>
        <v>2554</v>
      </c>
      <c r="AE30" s="94"/>
      <c r="AF30" s="93"/>
    </row>
    <row r="31" customFormat="false" ht="11.1" hidden="false" customHeight="true" outlineLevel="0" collapsed="false">
      <c r="A31" s="58" t="n">
        <f aca="false">A30+1</f>
        <v>22</v>
      </c>
      <c r="B31" s="73" t="n">
        <v>6890.24</v>
      </c>
      <c r="C31" s="52" t="n">
        <v>248984</v>
      </c>
      <c r="D31" s="57" t="n">
        <f aca="false">C31-C30</f>
        <v>2634</v>
      </c>
      <c r="E31" s="52" t="n">
        <f aca="false">C31-152000</f>
        <v>96984</v>
      </c>
      <c r="F31" s="51" t="n">
        <f aca="false">D31/$D$2</f>
        <v>1327.95563398034</v>
      </c>
      <c r="G31" s="51" t="n">
        <v>2750</v>
      </c>
      <c r="H31" s="81" t="n">
        <v>106</v>
      </c>
      <c r="I31" s="51" t="n">
        <f aca="false">G31+H31</f>
        <v>2856</v>
      </c>
      <c r="J31" s="81" t="n">
        <f aca="false">IF(L31&gt;0,L31,0)</f>
        <v>155.955633980338</v>
      </c>
      <c r="K31" s="51" t="n">
        <f aca="false">I31+J31</f>
        <v>3011.95563398034</v>
      </c>
      <c r="L31" s="51" t="n">
        <f aca="false">F31-(I31-W31)</f>
        <v>155.955633980338</v>
      </c>
      <c r="M31" s="51" t="n">
        <v>225</v>
      </c>
      <c r="N31" s="51" t="n">
        <v>0</v>
      </c>
      <c r="O31" s="51" t="n">
        <v>0</v>
      </c>
      <c r="P31" s="6" t="n">
        <f aca="false">M31-(N31+O31)</f>
        <v>225</v>
      </c>
      <c r="Q31" s="51" t="n">
        <v>173</v>
      </c>
      <c r="R31" s="51" t="n">
        <v>85</v>
      </c>
      <c r="S31" s="101" t="n">
        <f aca="false">SUM(P31:R31)</f>
        <v>483</v>
      </c>
      <c r="T31" s="52"/>
      <c r="U31" s="51"/>
      <c r="V31" s="51" t="n">
        <v>1201</v>
      </c>
      <c r="W31" s="6" t="n">
        <f aca="false">N31+O31+S31+U31+V31</f>
        <v>1684</v>
      </c>
      <c r="X31" s="51" t="n">
        <f aca="false">IF(L31&lt;0,L31*-1,0)</f>
        <v>0</v>
      </c>
      <c r="Y31" s="51" t="n">
        <f aca="false">W31+X31</f>
        <v>1684</v>
      </c>
      <c r="Z31" s="56" t="n">
        <v>0</v>
      </c>
      <c r="AA31" s="57" t="n">
        <v>70</v>
      </c>
      <c r="AB31" s="57" t="n">
        <v>34</v>
      </c>
      <c r="AC31" s="58" t="n">
        <f aca="false">AC30+1</f>
        <v>22</v>
      </c>
      <c r="AD31" s="12" t="n">
        <f aca="false">IF(I31&gt;S31,I31-S31,I31-S31)</f>
        <v>2373</v>
      </c>
      <c r="AE31" s="94"/>
      <c r="AF31" s="93"/>
    </row>
    <row r="32" customFormat="false" ht="11.1" hidden="false" customHeight="true" outlineLevel="0" collapsed="false">
      <c r="A32" s="58" t="n">
        <f aca="false">A31+1</f>
        <v>23</v>
      </c>
      <c r="B32" s="73" t="n">
        <v>6991</v>
      </c>
      <c r="C32" s="52" t="n">
        <v>251569</v>
      </c>
      <c r="D32" s="57" t="n">
        <f aca="false">C32-C31</f>
        <v>2585</v>
      </c>
      <c r="E32" s="52" t="n">
        <f aca="false">C32-152000</f>
        <v>99569</v>
      </c>
      <c r="F32" s="51" t="n">
        <f aca="false">D32/$D$2</f>
        <v>1303.25182757751</v>
      </c>
      <c r="G32" s="51" t="n">
        <v>2690</v>
      </c>
      <c r="H32" s="81" t="n">
        <v>103</v>
      </c>
      <c r="I32" s="51" t="n">
        <f aca="false">G32+H32</f>
        <v>2793</v>
      </c>
      <c r="J32" s="81" t="n">
        <f aca="false">IF(L32&gt;0,L32,0)</f>
        <v>202.251827577514</v>
      </c>
      <c r="K32" s="51" t="n">
        <f aca="false">I32+J32</f>
        <v>2995.25182757751</v>
      </c>
      <c r="L32" s="51" t="n">
        <f aca="false">F32-(I32-W32)</f>
        <v>202.251827577514</v>
      </c>
      <c r="M32" s="51" t="n">
        <v>227</v>
      </c>
      <c r="N32" s="51" t="n">
        <v>0</v>
      </c>
      <c r="O32" s="51" t="n">
        <v>0</v>
      </c>
      <c r="P32" s="6" t="n">
        <f aca="false">M32-(N32+O32)</f>
        <v>227</v>
      </c>
      <c r="Q32" s="51" t="n">
        <v>174</v>
      </c>
      <c r="R32" s="51" t="n">
        <v>90</v>
      </c>
      <c r="S32" s="51" t="n">
        <f aca="false">SUM(P32:R32)</f>
        <v>491</v>
      </c>
      <c r="T32" s="52"/>
      <c r="U32" s="51"/>
      <c r="V32" s="51" t="n">
        <v>1201</v>
      </c>
      <c r="W32" s="6" t="n">
        <f aca="false">N32+O32+S32+U32+V32</f>
        <v>1692</v>
      </c>
      <c r="X32" s="51" t="n">
        <f aca="false">IF(L32&lt;0,L32*-1,0)</f>
        <v>0</v>
      </c>
      <c r="Y32" s="51" t="n">
        <f aca="false">W32+X32</f>
        <v>1692</v>
      </c>
      <c r="Z32" s="56" t="n">
        <v>0</v>
      </c>
      <c r="AA32" s="57" t="n">
        <v>67</v>
      </c>
      <c r="AB32" s="57" t="n">
        <v>35</v>
      </c>
      <c r="AC32" s="58" t="n">
        <f aca="false">AC31+1</f>
        <v>23</v>
      </c>
      <c r="AD32" s="12" t="n">
        <f aca="false">IF(I32&gt;S32,I32-S32,I32-S32)</f>
        <v>2302</v>
      </c>
      <c r="AE32" s="94"/>
      <c r="AF32" s="93"/>
    </row>
    <row r="33" customFormat="false" ht="11.1" hidden="false" customHeight="true" outlineLevel="0" collapsed="false">
      <c r="A33" s="58" t="n">
        <f aca="false">A32+1</f>
        <v>24</v>
      </c>
      <c r="B33" s="73" t="n">
        <v>6891.73</v>
      </c>
      <c r="C33" s="52" t="n">
        <v>254076</v>
      </c>
      <c r="D33" s="57" t="n">
        <f aca="false">C33-C32</f>
        <v>2507</v>
      </c>
      <c r="E33" s="52" t="n">
        <f aca="false">C33-152000</f>
        <v>102076</v>
      </c>
      <c r="F33" s="51" t="n">
        <f aca="false">D33/$D$2</f>
        <v>1263.92740105873</v>
      </c>
      <c r="G33" s="51" t="n">
        <v>2523</v>
      </c>
      <c r="H33" s="81" t="n">
        <v>83</v>
      </c>
      <c r="I33" s="51" t="n">
        <f aca="false">G33+H33</f>
        <v>2606</v>
      </c>
      <c r="J33" s="81" t="n">
        <f aca="false">IF(L33&gt;0,L33,0)</f>
        <v>352.927401058735</v>
      </c>
      <c r="K33" s="51" t="n">
        <f aca="false">I33+J33</f>
        <v>2958.92740105873</v>
      </c>
      <c r="L33" s="51" t="n">
        <f aca="false">F33-(I33-W33)</f>
        <v>352.927401058735</v>
      </c>
      <c r="M33" s="51" t="n">
        <v>229</v>
      </c>
      <c r="N33" s="51" t="n">
        <v>0</v>
      </c>
      <c r="O33" s="51" t="n">
        <v>0</v>
      </c>
      <c r="P33" s="6" t="n">
        <f aca="false">M33-(N33+O33)</f>
        <v>229</v>
      </c>
      <c r="Q33" s="51" t="n">
        <v>174</v>
      </c>
      <c r="R33" s="51" t="n">
        <v>91</v>
      </c>
      <c r="S33" s="51" t="n">
        <f aca="false">SUM(P33:R33)</f>
        <v>494</v>
      </c>
      <c r="T33" s="52"/>
      <c r="U33" s="51"/>
      <c r="V33" s="51" t="n">
        <v>1201</v>
      </c>
      <c r="W33" s="6" t="n">
        <f aca="false">N33+O33+S33+U33+V33</f>
        <v>1695</v>
      </c>
      <c r="X33" s="51" t="n">
        <f aca="false">IF(L33&lt;0,L33*-1,0)</f>
        <v>0</v>
      </c>
      <c r="Y33" s="51" t="n">
        <f aca="false">W33+X33</f>
        <v>1695</v>
      </c>
      <c r="Z33" s="56" t="n">
        <v>0</v>
      </c>
      <c r="AA33" s="57"/>
      <c r="AB33" s="57"/>
      <c r="AC33" s="58" t="n">
        <f aca="false">AC32+1</f>
        <v>24</v>
      </c>
      <c r="AD33" s="12" t="n">
        <f aca="false">IF(I33&gt;S33,I33-S33,I33-S33)</f>
        <v>2112</v>
      </c>
      <c r="AE33" s="94"/>
      <c r="AF33" s="93"/>
    </row>
    <row r="34" customFormat="false" ht="11.1" hidden="false" customHeight="true" outlineLevel="0" collapsed="false">
      <c r="A34" s="58" t="n">
        <f aca="false">A33+1</f>
        <v>25</v>
      </c>
      <c r="B34" s="73" t="n">
        <v>6892.38</v>
      </c>
      <c r="C34" s="52" t="n">
        <v>256320</v>
      </c>
      <c r="D34" s="57" t="n">
        <f aca="false">C34-C33</f>
        <v>2244</v>
      </c>
      <c r="E34" s="52" t="n">
        <f aca="false">C34-152000</f>
        <v>104320</v>
      </c>
      <c r="F34" s="51" t="n">
        <f aca="false">D34/$D$2</f>
        <v>1131.33350138644</v>
      </c>
      <c r="G34" s="51" t="n">
        <v>2218</v>
      </c>
      <c r="H34" s="81" t="n">
        <v>40</v>
      </c>
      <c r="I34" s="51" t="n">
        <f aca="false">G34+H34</f>
        <v>2258</v>
      </c>
      <c r="J34" s="81" t="n">
        <f aca="false">IF(L34&gt;0,L34,0)</f>
        <v>572.333501386438</v>
      </c>
      <c r="K34" s="51" t="n">
        <f aca="false">I34+J34</f>
        <v>2830.33350138644</v>
      </c>
      <c r="L34" s="51" t="n">
        <f aca="false">F34-(I34-W34)</f>
        <v>572.333501386438</v>
      </c>
      <c r="M34" s="51" t="n">
        <v>231</v>
      </c>
      <c r="N34" s="51" t="n">
        <v>0</v>
      </c>
      <c r="O34" s="51" t="n">
        <v>0</v>
      </c>
      <c r="P34" s="6" t="n">
        <f aca="false">M34-(N34+O34)</f>
        <v>231</v>
      </c>
      <c r="Q34" s="51" t="n">
        <v>177</v>
      </c>
      <c r="R34" s="51" t="n">
        <v>90</v>
      </c>
      <c r="S34" s="51" t="n">
        <f aca="false">SUM(P34:R34)</f>
        <v>498</v>
      </c>
      <c r="T34" s="52"/>
      <c r="U34" s="51"/>
      <c r="V34" s="51" t="n">
        <v>1201</v>
      </c>
      <c r="W34" s="6" t="n">
        <f aca="false">N34+O34+S34+U34+V34</f>
        <v>1699</v>
      </c>
      <c r="X34" s="51" t="n">
        <f aca="false">IF(L34&lt;0,L34*-1,0)</f>
        <v>0</v>
      </c>
      <c r="Y34" s="51" t="n">
        <f aca="false">W34+X34</f>
        <v>1699</v>
      </c>
      <c r="Z34" s="56" t="n">
        <v>0</v>
      </c>
      <c r="AA34" s="57"/>
      <c r="AB34" s="57"/>
      <c r="AC34" s="58" t="n">
        <f aca="false">AC33+1</f>
        <v>25</v>
      </c>
      <c r="AD34" s="12" t="n">
        <f aca="false">IF(I34&gt;S34,I34-S34,I34-S34)</f>
        <v>1760</v>
      </c>
      <c r="AE34" s="94"/>
      <c r="AF34" s="93"/>
    </row>
    <row r="35" customFormat="false" ht="11.1" hidden="false" customHeight="true" outlineLevel="0" collapsed="false">
      <c r="A35" s="58" t="n">
        <f aca="false">A34+1</f>
        <v>26</v>
      </c>
      <c r="B35" s="73" t="n">
        <v>6893.23</v>
      </c>
      <c r="C35" s="52" t="n">
        <v>259274</v>
      </c>
      <c r="D35" s="57" t="n">
        <f aca="false">C35-C34</f>
        <v>2954</v>
      </c>
      <c r="E35" s="52" t="n">
        <f aca="false">C35-152000</f>
        <v>107274</v>
      </c>
      <c r="F35" s="51" t="n">
        <f aca="false">D35/$D$2</f>
        <v>1489.2866145702</v>
      </c>
      <c r="G35" s="51" t="n">
        <v>2834</v>
      </c>
      <c r="H35" s="81" t="n">
        <v>45</v>
      </c>
      <c r="I35" s="51" t="n">
        <f aca="false">G35+H35</f>
        <v>2879</v>
      </c>
      <c r="J35" s="81" t="n">
        <f aca="false">IF(L35&gt;0,L35,0)</f>
        <v>314.286614570204</v>
      </c>
      <c r="K35" s="51" t="n">
        <f aca="false">I35+J35</f>
        <v>3193.2866145702</v>
      </c>
      <c r="L35" s="51" t="n">
        <f aca="false">F35-(I35-W35)</f>
        <v>314.286614570204</v>
      </c>
      <c r="M35" s="51" t="n">
        <v>234</v>
      </c>
      <c r="N35" s="51" t="n">
        <v>0</v>
      </c>
      <c r="O35" s="51" t="n">
        <v>0</v>
      </c>
      <c r="P35" s="6" t="n">
        <f aca="false">M35-(N35+O35)</f>
        <v>234</v>
      </c>
      <c r="Q35" s="51" t="n">
        <v>179</v>
      </c>
      <c r="R35" s="51" t="n">
        <v>90</v>
      </c>
      <c r="S35" s="51" t="n">
        <f aca="false">SUM(P35:R35)</f>
        <v>503</v>
      </c>
      <c r="T35" s="52"/>
      <c r="U35" s="51"/>
      <c r="V35" s="51" t="n">
        <v>1201</v>
      </c>
      <c r="W35" s="6" t="n">
        <f aca="false">N35+O35+S35+U35+V35</f>
        <v>1704</v>
      </c>
      <c r="X35" s="51" t="n">
        <f aca="false">IF(L35&lt;0,L35*-1,0)</f>
        <v>0</v>
      </c>
      <c r="Y35" s="51" t="n">
        <f aca="false">W35+X35</f>
        <v>1704</v>
      </c>
      <c r="Z35" s="56" t="n">
        <v>0</v>
      </c>
      <c r="AA35" s="57"/>
      <c r="AB35" s="57"/>
      <c r="AC35" s="58" t="n">
        <f aca="false">AC34+1</f>
        <v>26</v>
      </c>
      <c r="AD35" s="12" t="n">
        <f aca="false">IF(I35&gt;S35,I35-S35,I35-S35)</f>
        <v>2376</v>
      </c>
      <c r="AE35" s="94"/>
      <c r="AF35" s="93"/>
    </row>
    <row r="36" customFormat="false" ht="11.1" hidden="false" customHeight="true" outlineLevel="0" collapsed="false">
      <c r="A36" s="58" t="n">
        <f aca="false">A35+1</f>
        <v>27</v>
      </c>
      <c r="B36" s="73" t="n">
        <v>6894.06</v>
      </c>
      <c r="C36" s="52" t="n">
        <v>262179</v>
      </c>
      <c r="D36" s="57" t="n">
        <f aca="false">C36-C35</f>
        <v>2905</v>
      </c>
      <c r="E36" s="52" t="n">
        <f aca="false">C36-152000</f>
        <v>110179</v>
      </c>
      <c r="F36" s="51" t="n">
        <f aca="false">D36/$D$2</f>
        <v>1464.58280816738</v>
      </c>
      <c r="G36" s="51" t="n">
        <v>2732</v>
      </c>
      <c r="H36" s="81" t="n">
        <v>38</v>
      </c>
      <c r="I36" s="51" t="n">
        <f aca="false">G36+H36</f>
        <v>2770</v>
      </c>
      <c r="J36" s="81" t="n">
        <f aca="false">IF(L36&gt;0,L36,0)</f>
        <v>401.582808167381</v>
      </c>
      <c r="K36" s="51" t="n">
        <f aca="false">I36+J36</f>
        <v>3171.58280816738</v>
      </c>
      <c r="L36" s="51" t="n">
        <f aca="false">F36-(I36-W36)</f>
        <v>401.582808167381</v>
      </c>
      <c r="M36" s="51" t="n">
        <v>236</v>
      </c>
      <c r="N36" s="51" t="n">
        <v>0</v>
      </c>
      <c r="O36" s="51" t="n">
        <v>0</v>
      </c>
      <c r="P36" s="6" t="n">
        <f aca="false">M36-(N36+O36)</f>
        <v>236</v>
      </c>
      <c r="Q36" s="51" t="n">
        <v>180</v>
      </c>
      <c r="R36" s="51" t="n">
        <v>90</v>
      </c>
      <c r="S36" s="51" t="n">
        <f aca="false">SUM(P36:R36)</f>
        <v>506</v>
      </c>
      <c r="T36" s="52"/>
      <c r="U36" s="51"/>
      <c r="V36" s="51" t="n">
        <v>1201</v>
      </c>
      <c r="W36" s="6" t="n">
        <f aca="false">N36+O36+S36+U36+V36</f>
        <v>1707</v>
      </c>
      <c r="X36" s="51" t="n">
        <f aca="false">IF(L36&lt;0,L36*-1,0)</f>
        <v>0</v>
      </c>
      <c r="Y36" s="51" t="n">
        <f aca="false">W36+X36</f>
        <v>1707</v>
      </c>
      <c r="Z36" s="56" t="n">
        <v>0</v>
      </c>
      <c r="AA36" s="57" t="n">
        <v>73</v>
      </c>
      <c r="AB36" s="57" t="n">
        <v>38</v>
      </c>
      <c r="AC36" s="58" t="n">
        <f aca="false">AC35+1</f>
        <v>27</v>
      </c>
      <c r="AD36" s="12" t="n">
        <f aca="false">IF(I36&gt;S36,I36-S36,I36-S36)</f>
        <v>2264</v>
      </c>
      <c r="AE36" s="94"/>
      <c r="AF36" s="93"/>
    </row>
    <row r="37" customFormat="false" ht="11.1" hidden="false" customHeight="true" outlineLevel="0" collapsed="false">
      <c r="A37" s="58" t="n">
        <v>28</v>
      </c>
      <c r="B37" s="73" t="n">
        <v>6994.85</v>
      </c>
      <c r="C37" s="52" t="n">
        <v>264966</v>
      </c>
      <c r="D37" s="57" t="n">
        <f aca="false">C37-C36</f>
        <v>2787</v>
      </c>
      <c r="E37" s="52" t="n">
        <f aca="false">C37-152000</f>
        <v>112966</v>
      </c>
      <c r="F37" s="51" t="n">
        <f aca="false">D37/$D$2</f>
        <v>1405.09200907487</v>
      </c>
      <c r="G37" s="51" t="n">
        <v>2739</v>
      </c>
      <c r="H37" s="81" t="n">
        <v>25</v>
      </c>
      <c r="I37" s="51" t="n">
        <f aca="false">G37+H37</f>
        <v>2764</v>
      </c>
      <c r="J37" s="81" t="n">
        <f aca="false">IF(L37&gt;0,L37,0)</f>
        <v>350.092009074867</v>
      </c>
      <c r="K37" s="51" t="n">
        <f aca="false">I37+J37</f>
        <v>3114.09200907487</v>
      </c>
      <c r="L37" s="51" t="n">
        <f aca="false">F37-(I37-W37)</f>
        <v>350.092009074867</v>
      </c>
      <c r="M37" s="51" t="n">
        <v>239</v>
      </c>
      <c r="N37" s="51" t="n">
        <v>0</v>
      </c>
      <c r="O37" s="51" t="n">
        <v>0</v>
      </c>
      <c r="P37" s="6" t="n">
        <f aca="false">M37-(N37+O37)</f>
        <v>239</v>
      </c>
      <c r="Q37" s="51" t="n">
        <v>179</v>
      </c>
      <c r="R37" s="51" t="n">
        <v>90</v>
      </c>
      <c r="S37" s="51" t="n">
        <f aca="false">SUM(P37:R37)</f>
        <v>508</v>
      </c>
      <c r="T37" s="52"/>
      <c r="U37" s="51"/>
      <c r="V37" s="51" t="n">
        <v>1201</v>
      </c>
      <c r="W37" s="6" t="n">
        <f aca="false">N37+O37+S37+U37+V37</f>
        <v>1709</v>
      </c>
      <c r="X37" s="51" t="n">
        <f aca="false">IF(L37&lt;0,L37*-1,0)</f>
        <v>0</v>
      </c>
      <c r="Y37" s="51" t="n">
        <f aca="false">W37+X37</f>
        <v>1709</v>
      </c>
      <c r="Z37" s="56" t="n">
        <v>0</v>
      </c>
      <c r="AA37" s="57" t="n">
        <v>74</v>
      </c>
      <c r="AB37" s="57" t="n">
        <v>37</v>
      </c>
      <c r="AC37" s="58" t="n">
        <v>28</v>
      </c>
      <c r="AD37" s="12" t="n">
        <f aca="false">IF(I37&gt;S37,I37-S37,I37-S37)</f>
        <v>2256</v>
      </c>
      <c r="AE37" s="94"/>
      <c r="AF37" s="93"/>
    </row>
    <row r="38" customFormat="false" ht="11.1" hidden="false" customHeight="true" outlineLevel="0" collapsed="false">
      <c r="A38" s="58" t="n">
        <v>29</v>
      </c>
      <c r="B38" s="73" t="n">
        <v>6895.51</v>
      </c>
      <c r="C38" s="52" t="n">
        <v>267311</v>
      </c>
      <c r="D38" s="57" t="n">
        <f aca="false">C38-C37</f>
        <v>2345</v>
      </c>
      <c r="E38" s="52" t="n">
        <f aca="false">C38-152000</f>
        <v>115311</v>
      </c>
      <c r="F38" s="51" t="n">
        <f aca="false">D38/$D$2</f>
        <v>1182.25359213511</v>
      </c>
      <c r="G38" s="51" t="n">
        <v>2718</v>
      </c>
      <c r="H38" s="81" t="n">
        <v>5</v>
      </c>
      <c r="I38" s="51" t="n">
        <f aca="false">G38+H38</f>
        <v>2723</v>
      </c>
      <c r="J38" s="81" t="n">
        <f aca="false">IF(L38&gt;0,L38,0)</f>
        <v>173.253592135115</v>
      </c>
      <c r="K38" s="51" t="n">
        <f aca="false">I38+J38</f>
        <v>2896.25359213511</v>
      </c>
      <c r="L38" s="51" t="n">
        <f aca="false">F38-(I38-W38)</f>
        <v>173.253592135115</v>
      </c>
      <c r="M38" s="51" t="n">
        <v>250</v>
      </c>
      <c r="N38" s="51" t="n">
        <v>0</v>
      </c>
      <c r="O38" s="51" t="n">
        <v>0</v>
      </c>
      <c r="P38" s="6" t="n">
        <f aca="false">M38-(N38+O38)</f>
        <v>250</v>
      </c>
      <c r="Q38" s="51" t="n">
        <v>173</v>
      </c>
      <c r="R38" s="51" t="n">
        <v>90</v>
      </c>
      <c r="S38" s="51" t="n">
        <f aca="false">SUM(P38:R38)</f>
        <v>513</v>
      </c>
      <c r="T38" s="52"/>
      <c r="U38" s="51"/>
      <c r="V38" s="51" t="n">
        <v>1201</v>
      </c>
      <c r="W38" s="6" t="n">
        <f aca="false">N38+O38+S38+U38+V38</f>
        <v>1714</v>
      </c>
      <c r="X38" s="51" t="n">
        <f aca="false">IF(L38&lt;0,L38*-1,0)</f>
        <v>0</v>
      </c>
      <c r="Y38" s="51" t="n">
        <f aca="false">W38+X38</f>
        <v>1714</v>
      </c>
      <c r="Z38" s="56" t="n">
        <v>0</v>
      </c>
      <c r="AA38" s="57" t="n">
        <v>75</v>
      </c>
      <c r="AB38" s="57" t="n">
        <v>39</v>
      </c>
      <c r="AC38" s="58" t="n">
        <v>29</v>
      </c>
      <c r="AD38" s="12" t="n">
        <f aca="false">IF(I38&gt;S38,I38-S38,I38-S38)</f>
        <v>2210</v>
      </c>
      <c r="AE38" s="94"/>
      <c r="AF38" s="93"/>
    </row>
    <row r="39" customFormat="false" ht="11.1" hidden="false" customHeight="true" outlineLevel="0" collapsed="false">
      <c r="A39" s="58" t="n">
        <v>30</v>
      </c>
      <c r="B39" s="73" t="n">
        <v>6896</v>
      </c>
      <c r="C39" s="52" t="n">
        <v>269055</v>
      </c>
      <c r="D39" s="57" t="n">
        <f aca="false">C39-C38</f>
        <v>1744</v>
      </c>
      <c r="E39" s="52" t="n">
        <f aca="false">C39-152000</f>
        <v>117055</v>
      </c>
      <c r="F39" s="51" t="n">
        <f aca="false">D39/$D$2</f>
        <v>879.253844214772</v>
      </c>
      <c r="G39" s="51" t="n">
        <v>2386</v>
      </c>
      <c r="H39" s="81" t="n">
        <v>8</v>
      </c>
      <c r="I39" s="51" t="n">
        <f aca="false">G39+H39</f>
        <v>2394</v>
      </c>
      <c r="J39" s="81" t="n">
        <f aca="false">IF(L39&gt;0,L39,0)</f>
        <v>205.253844214772</v>
      </c>
      <c r="K39" s="51" t="n">
        <f aca="false">I39+J39</f>
        <v>2599.25384421477</v>
      </c>
      <c r="L39" s="51" t="n">
        <f aca="false">F39-(I39-W39)</f>
        <v>205.253844214772</v>
      </c>
      <c r="M39" s="51" t="n">
        <v>259</v>
      </c>
      <c r="N39" s="51" t="n">
        <v>0</v>
      </c>
      <c r="O39" s="51" t="n">
        <v>0</v>
      </c>
      <c r="P39" s="6" t="n">
        <f aca="false">M39-(N39+O39)</f>
        <v>259</v>
      </c>
      <c r="Q39" s="51" t="n">
        <v>170</v>
      </c>
      <c r="R39" s="51" t="n">
        <v>90</v>
      </c>
      <c r="S39" s="51" t="n">
        <f aca="false">SUM(P39:R39)</f>
        <v>519</v>
      </c>
      <c r="T39" s="52"/>
      <c r="U39" s="51"/>
      <c r="V39" s="51" t="n">
        <v>1201</v>
      </c>
      <c r="W39" s="6" t="n">
        <f aca="false">N39+O39+S39+U39+V39</f>
        <v>1720</v>
      </c>
      <c r="X39" s="51" t="n">
        <f aca="false">IF(L39&lt;0,L39*-1,0)</f>
        <v>0</v>
      </c>
      <c r="Y39" s="51" t="n">
        <f aca="false">W39+X39</f>
        <v>1720</v>
      </c>
      <c r="Z39" s="56" t="n">
        <v>0</v>
      </c>
      <c r="AA39" s="57" t="n">
        <v>70</v>
      </c>
      <c r="AB39" s="57" t="n">
        <v>36</v>
      </c>
      <c r="AC39" s="58" t="n">
        <v>30</v>
      </c>
      <c r="AD39" s="12" t="n">
        <f aca="false">IF(I39&gt;S39,I39-S39,I39-S39)</f>
        <v>1875</v>
      </c>
      <c r="AE39" s="94"/>
      <c r="AF39" s="93"/>
    </row>
    <row r="40" customFormat="false" ht="11.1" hidden="false" customHeight="true" outlineLevel="0" collapsed="false">
      <c r="A40" s="58" t="n">
        <v>31</v>
      </c>
      <c r="B40" s="73" t="n">
        <v>6896.2</v>
      </c>
      <c r="C40" s="52" t="n">
        <v>269772</v>
      </c>
      <c r="D40" s="57" t="n">
        <f aca="false">C40-C39</f>
        <v>717</v>
      </c>
      <c r="E40" s="52" t="n">
        <f aca="false">C40-152000</f>
        <v>117772</v>
      </c>
      <c r="F40" s="51" t="n">
        <f aca="false">D40/$D$2</f>
        <v>361.482228384169</v>
      </c>
      <c r="G40" s="51" t="n">
        <v>2041</v>
      </c>
      <c r="H40" s="81" t="n">
        <v>1</v>
      </c>
      <c r="I40" s="51" t="n">
        <f aca="false">G40+H40</f>
        <v>2042</v>
      </c>
      <c r="J40" s="81" t="n">
        <f aca="false">IF(L40&gt;0,L40,0)</f>
        <v>41.4822283841694</v>
      </c>
      <c r="K40" s="51" t="n">
        <f aca="false">I40+J40</f>
        <v>2083.48222838417</v>
      </c>
      <c r="L40" s="51" t="n">
        <f aca="false">F40-(I40-W40)</f>
        <v>41.4822283841694</v>
      </c>
      <c r="M40" s="51" t="n">
        <v>260</v>
      </c>
      <c r="N40" s="51" t="n">
        <v>0</v>
      </c>
      <c r="O40" s="51" t="n">
        <v>0</v>
      </c>
      <c r="P40" s="6" t="n">
        <f aca="false">M40-(N40+O40)</f>
        <v>260</v>
      </c>
      <c r="Q40" s="51" t="n">
        <v>171</v>
      </c>
      <c r="R40" s="51" t="n">
        <v>90</v>
      </c>
      <c r="S40" s="51" t="n">
        <f aca="false">SUM(P40:R40)</f>
        <v>521</v>
      </c>
      <c r="T40" s="52"/>
      <c r="U40" s="51"/>
      <c r="V40" s="51" t="n">
        <v>1201</v>
      </c>
      <c r="W40" s="6" t="n">
        <f aca="false">N40+O40+S40+U40+V40</f>
        <v>1722</v>
      </c>
      <c r="X40" s="51" t="n">
        <f aca="false">IF(L40&lt;0,L40*-1,0)</f>
        <v>0</v>
      </c>
      <c r="Y40" s="51" t="n">
        <f aca="false">W40+X40</f>
        <v>1722</v>
      </c>
      <c r="Z40" s="56" t="n">
        <v>0</v>
      </c>
      <c r="AA40" s="57"/>
      <c r="AB40" s="57"/>
      <c r="AC40" s="58" t="n">
        <v>31</v>
      </c>
      <c r="AD40" s="12" t="n">
        <f aca="false">IF(I40&gt;S40,I40-S40,I40-S40)</f>
        <v>1521</v>
      </c>
      <c r="AE40" s="94"/>
      <c r="AF40" s="93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13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18240.9881522561</v>
      </c>
      <c r="G42" s="52" t="n">
        <f aca="false">SUM(G10:G40)</f>
        <v>69669</v>
      </c>
      <c r="H42" s="81" t="n">
        <f aca="false">SUM(H10:H40)</f>
        <v>5025</v>
      </c>
      <c r="I42" s="52" t="n">
        <f aca="false">SUM(I10:I40)</f>
        <v>74694</v>
      </c>
      <c r="J42" s="52" t="n">
        <f aca="false">SUM(J10:J40)</f>
        <v>10480.8328711873</v>
      </c>
      <c r="K42" s="52" t="n">
        <f aca="false">SUM(K10:K40)</f>
        <v>85174.8328711873</v>
      </c>
      <c r="L42" s="52" t="n">
        <f aca="false">SUM(L10:L40)</f>
        <v>10479.9881522561</v>
      </c>
      <c r="M42" s="52" t="n">
        <f aca="false">SUM(M10:M40)</f>
        <v>5701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5701</v>
      </c>
      <c r="Q42" s="52" t="n">
        <f aca="false">SUM(Q10:Q40)</f>
        <v>4382</v>
      </c>
      <c r="R42" s="52" t="n">
        <f aca="false">SUM(R10:R40)</f>
        <v>2271</v>
      </c>
      <c r="S42" s="52" t="n">
        <f aca="false">SUM(S10:S40)</f>
        <v>12354</v>
      </c>
      <c r="T42" s="52"/>
      <c r="U42" s="52" t="n">
        <f aca="false">SUM(U10:U40)</f>
        <v>0</v>
      </c>
      <c r="V42" s="52" t="n">
        <f aca="false">SUM(V10:V40)</f>
        <v>54579</v>
      </c>
      <c r="W42" s="52" t="n">
        <f aca="false">SUM(W10:W40)</f>
        <v>66933</v>
      </c>
      <c r="X42" s="52" t="n">
        <f aca="false">SUM(X10:X40)</f>
        <v>0.844718931182342</v>
      </c>
      <c r="Y42" s="52" t="n">
        <f aca="false">SUM(Y10:Y40)</f>
        <v>66933.8447189312</v>
      </c>
      <c r="Z42" s="56" t="n">
        <f aca="false">SUM(Z10:Z40)</f>
        <v>0.5</v>
      </c>
      <c r="AA42" s="57" t="n">
        <f aca="false">AVERAGE(AA10:AA40)</f>
        <v>65.5238095238095</v>
      </c>
      <c r="AB42" s="57" t="n">
        <f aca="false">AVERAGE(AB10:AB40)</f>
        <v>33.7142857142857</v>
      </c>
      <c r="AC42" s="58" t="s">
        <v>71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36181</v>
      </c>
      <c r="E43" s="52"/>
      <c r="F43" s="52" t="n">
        <f aca="false">F42*$D$2</f>
        <v>36181</v>
      </c>
      <c r="G43" s="52" t="n">
        <f aca="false">G42*$D$2</f>
        <v>138188.4615</v>
      </c>
      <c r="H43" s="81" t="n">
        <f aca="false">H42*$D$2</f>
        <v>9967.0875</v>
      </c>
      <c r="I43" s="52" t="n">
        <f aca="false">I42*$D$2</f>
        <v>148155.549</v>
      </c>
      <c r="J43" s="52" t="n">
        <f aca="false">J42*$D$2</f>
        <v>20788.732</v>
      </c>
      <c r="K43" s="52" t="n">
        <f aca="false">K42*$D$2</f>
        <v>168944.281</v>
      </c>
      <c r="L43" s="52" t="n">
        <f aca="false">L42*$D$2</f>
        <v>20787.0565</v>
      </c>
      <c r="M43" s="52" t="n">
        <f aca="false">M42*$D$2</f>
        <v>11307.9335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11307.9335</v>
      </c>
      <c r="Q43" s="52" t="n">
        <f aca="false">Q42*$D$2</f>
        <v>8691.697</v>
      </c>
      <c r="R43" s="52" t="n">
        <f aca="false">R42*$D$2</f>
        <v>4504.5285</v>
      </c>
      <c r="S43" s="52" t="n">
        <f aca="false">S42*$D$2</f>
        <v>24504.159</v>
      </c>
      <c r="T43" s="52"/>
      <c r="U43" s="52" t="n">
        <f aca="false">U42*$D$2</f>
        <v>0</v>
      </c>
      <c r="V43" s="52" t="n">
        <f aca="false">V42*$D$2</f>
        <v>108257.4465</v>
      </c>
      <c r="W43" s="115" t="n">
        <f aca="false">W42*$D$2</f>
        <v>132761.6055</v>
      </c>
      <c r="X43" s="52" t="n">
        <f aca="false">X42*$D$2</f>
        <v>1.67550000000018</v>
      </c>
      <c r="Y43" s="52" t="n">
        <f aca="false">Y42*$D$2</f>
        <v>132763.281</v>
      </c>
      <c r="Z43" s="56"/>
      <c r="AA43" s="57" t="n">
        <f aca="false">MAX(AA10:AA40)</f>
        <v>75</v>
      </c>
      <c r="AB43" s="57" t="n">
        <f aca="false">MAX(AB10:AB40)</f>
        <v>39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13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32367.5321401563</v>
      </c>
      <c r="G45" s="52" t="n">
        <f aca="false">G7+G42</f>
        <v>102978</v>
      </c>
      <c r="H45" s="81" t="n">
        <f aca="false">H7+H42</f>
        <v>11839</v>
      </c>
      <c r="I45" s="52" t="n">
        <f aca="false">I7+I42</f>
        <v>114817</v>
      </c>
      <c r="J45" s="52" t="n">
        <f aca="false">J7+J42</f>
        <v>30658.3768590875</v>
      </c>
      <c r="K45" s="52" t="n">
        <f aca="false">K7+K42</f>
        <v>145475.376859087</v>
      </c>
      <c r="L45" s="52" t="n">
        <f aca="false">L7+L42</f>
        <v>30657.5321401563</v>
      </c>
      <c r="M45" s="52" t="n">
        <f aca="false">M7+M42</f>
        <v>6324</v>
      </c>
      <c r="N45" s="52" t="n">
        <f aca="false">N7+N42</f>
        <v>0</v>
      </c>
      <c r="O45" s="52" t="n">
        <f aca="false">O7+O42</f>
        <v>0</v>
      </c>
      <c r="P45" s="52" t="n">
        <f aca="false">P7+P42</f>
        <v>6324</v>
      </c>
      <c r="Q45" s="52" t="n">
        <f aca="false">Q7+Q42</f>
        <v>5256</v>
      </c>
      <c r="R45" s="52" t="n">
        <f aca="false">R7+R42</f>
        <v>2560</v>
      </c>
      <c r="S45" s="52" t="n">
        <f aca="false">S7+S42</f>
        <v>14140</v>
      </c>
      <c r="T45" s="52" t="n">
        <f aca="false">T40+T42</f>
        <v>0</v>
      </c>
      <c r="U45" s="52" t="n">
        <f aca="false">U7+U42</f>
        <v>0</v>
      </c>
      <c r="V45" s="52" t="n">
        <f aca="false">V7+V42</f>
        <v>98967</v>
      </c>
      <c r="W45" s="52" t="n">
        <f aca="false">W7+W42</f>
        <v>113107</v>
      </c>
      <c r="X45" s="52" t="n">
        <f aca="false">X7+X42</f>
        <v>0.844718931182342</v>
      </c>
      <c r="Y45" s="52" t="n">
        <f aca="false">Y7+Y42</f>
        <v>113107.844718931</v>
      </c>
      <c r="Z45" s="56"/>
      <c r="AA45" s="57" t="n">
        <f aca="false">MIN(AA10:AA40)</f>
        <v>51</v>
      </c>
      <c r="AB45" s="57" t="n">
        <f aca="false">MIN(AB10:AB40)</f>
        <v>22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64201</v>
      </c>
      <c r="G46" s="52" t="n">
        <f aca="false">G45*$D$2</f>
        <v>204256.863</v>
      </c>
      <c r="H46" s="81" t="n">
        <f aca="false">H45*$D$2</f>
        <v>23482.6565</v>
      </c>
      <c r="I46" s="52" t="n">
        <f aca="false">I45*$D$2</f>
        <v>227739.5195</v>
      </c>
      <c r="J46" s="52" t="n">
        <f aca="false">J45*$D$2</f>
        <v>60810.8905</v>
      </c>
      <c r="K46" s="52" t="n">
        <f aca="false">K45*$D$2</f>
        <v>288550.41</v>
      </c>
      <c r="L46" s="52" t="n">
        <f aca="false">L45*$D$2</f>
        <v>60809.215</v>
      </c>
      <c r="M46" s="52" t="n">
        <f aca="false">M45*$D$2</f>
        <v>12543.654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12543.654</v>
      </c>
      <c r="Q46" s="52" t="n">
        <f aca="false">Q45*$D$2</f>
        <v>10425.276</v>
      </c>
      <c r="R46" s="52" t="n">
        <f aca="false">R45*$D$2</f>
        <v>5077.76</v>
      </c>
      <c r="S46" s="52" t="n">
        <f aca="false">S45*$D$2</f>
        <v>28046.69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196301.0445</v>
      </c>
      <c r="W46" s="52" t="n">
        <f aca="false">W45*$D$2</f>
        <v>224347.7345</v>
      </c>
      <c r="X46" s="52" t="n">
        <f aca="false">X45*$D$2</f>
        <v>1.67550000000018</v>
      </c>
      <c r="Y46" s="52" t="n">
        <f aca="false">Y45*$D$2</f>
        <v>224349.41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13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59353.6677590118</v>
      </c>
      <c r="G48" s="52" t="n">
        <f aca="false">G8+G42</f>
        <v>128558</v>
      </c>
      <c r="H48" s="81" t="n">
        <f aca="false">H8+H42</f>
        <v>14164.3</v>
      </c>
      <c r="I48" s="52" t="n">
        <f aca="false">I8+I42</f>
        <v>141374.5</v>
      </c>
      <c r="J48" s="52" t="n">
        <f aca="false">J8+J42</f>
        <v>44585.056591883</v>
      </c>
      <c r="K48" s="52" t="n">
        <f aca="false">K8+K42</f>
        <v>185959.556591883</v>
      </c>
      <c r="L48" s="52" t="n">
        <f aca="false">L8+L42</f>
        <v>43602.2171666246</v>
      </c>
      <c r="M48" s="52" t="n">
        <f aca="false">M8+M42</f>
        <v>6634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6634</v>
      </c>
      <c r="Q48" s="52" t="n">
        <f aca="false">Q8+Q42</f>
        <v>6304</v>
      </c>
      <c r="R48" s="52" t="n">
        <f aca="false">R8+R42</f>
        <v>2635</v>
      </c>
      <c r="S48" s="52" t="n">
        <f aca="false">S8+S42</f>
        <v>17531.6589362238</v>
      </c>
      <c r="T48" s="52"/>
      <c r="U48" s="52" t="n">
        <f aca="false">U8+U42</f>
        <v>0</v>
      </c>
      <c r="V48" s="52" t="n">
        <f aca="false">V8+V42</f>
        <v>108091.390471389</v>
      </c>
      <c r="W48" s="52" t="n">
        <f aca="false">W8+W42</f>
        <v>125623.049407613</v>
      </c>
      <c r="X48" s="52" t="n">
        <f aca="false">X8+X42</f>
        <v>982.839425258382</v>
      </c>
      <c r="Y48" s="52" t="n">
        <f aca="false">Y8+Y42</f>
        <v>126605.888832871</v>
      </c>
      <c r="Z48" s="56" t="n">
        <f aca="false">Z8+Z42</f>
        <v>13.18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117728</v>
      </c>
      <c r="E49" s="52" t="n">
        <f aca="false">E40</f>
        <v>117772</v>
      </c>
      <c r="F49" s="52" t="n">
        <f aca="false">F48*$D$2</f>
        <v>117728</v>
      </c>
      <c r="G49" s="52" t="n">
        <f aca="false">G48*$D$2</f>
        <v>254994.793</v>
      </c>
      <c r="H49" s="81" t="n">
        <f aca="false">H48*$D$2</f>
        <v>28094.88905</v>
      </c>
      <c r="I49" s="52" t="n">
        <f aca="false">I48*$D$2</f>
        <v>280416.32075</v>
      </c>
      <c r="J49" s="52" t="n">
        <f aca="false">J48*$D$2</f>
        <v>88434.45975</v>
      </c>
      <c r="K49" s="52" t="n">
        <f aca="false">K48*$D$2</f>
        <v>368850.7805</v>
      </c>
      <c r="L49" s="52" t="n">
        <f aca="false">L48*$D$2</f>
        <v>86484.99775</v>
      </c>
      <c r="M49" s="52" t="n">
        <f aca="false">M48*$D$2</f>
        <v>13158.539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13158.539</v>
      </c>
      <c r="Q49" s="52" t="n">
        <f aca="false">Q48*$D$2</f>
        <v>12503.984</v>
      </c>
      <c r="R49" s="52" t="n">
        <f aca="false">R48*$D$2</f>
        <v>5226.5225</v>
      </c>
      <c r="S49" s="52" t="n">
        <f aca="false">S48*$D$2</f>
        <v>34774.0455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214399.273</v>
      </c>
      <c r="W49" s="52" t="n">
        <f aca="false">W48*$D$2</f>
        <v>249173.3185</v>
      </c>
      <c r="X49" s="52" t="n">
        <f aca="false">X48*$D$2</f>
        <v>1949.462</v>
      </c>
      <c r="Y49" s="52" t="n">
        <f aca="false">Y48*$D$2</f>
        <v>251122.7805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116"/>
      <c r="G50" s="116"/>
      <c r="H50" s="113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117"/>
      <c r="B51" s="84"/>
      <c r="C51" s="52"/>
      <c r="D51" s="51"/>
      <c r="E51" s="52"/>
      <c r="F51" s="118"/>
      <c r="G51" s="119" t="n">
        <f aca="false">7308+2932</f>
        <v>10240</v>
      </c>
      <c r="H51" s="8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2" t="n">
        <v>-15086</v>
      </c>
      <c r="U51" s="51"/>
      <c r="V51" s="51"/>
      <c r="W51" s="51"/>
      <c r="X51" s="51"/>
      <c r="Y51" s="51"/>
      <c r="Z51" s="56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52" t="s">
        <v>72</v>
      </c>
      <c r="E52" s="120" t="e">
        <f aca="false">E40-((O53+U53+#REF!+(T53*-1)))</f>
        <v>#REF!</v>
      </c>
      <c r="F52" s="121" t="n">
        <f aca="false">2932/210</f>
        <v>13.9619047619048</v>
      </c>
      <c r="G52" s="122" t="n">
        <f aca="false">7308/210</f>
        <v>34.8</v>
      </c>
      <c r="H52" s="81"/>
      <c r="I52" s="99"/>
      <c r="J52" s="51"/>
      <c r="K52" s="42"/>
      <c r="L52" s="51"/>
      <c r="M52" s="51"/>
      <c r="N52" s="52"/>
      <c r="O52" s="123" t="n">
        <v>6289</v>
      </c>
      <c r="P52" s="51"/>
      <c r="Q52" s="51"/>
      <c r="R52" s="52"/>
      <c r="S52" s="123"/>
      <c r="T52" s="52" t="n">
        <f aca="false">F52*F53</f>
        <v>823.752380952381</v>
      </c>
      <c r="U52" s="52" t="n">
        <v>14805</v>
      </c>
      <c r="V52" s="52"/>
      <c r="W52" s="51"/>
      <c r="X52" s="51"/>
      <c r="Y52" s="55"/>
      <c r="Z52" s="56"/>
      <c r="AA52" s="57"/>
      <c r="AB52" s="58"/>
      <c r="AC52" s="88"/>
      <c r="AD52" s="88"/>
    </row>
    <row r="53" customFormat="false" ht="11.1" hidden="false" customHeight="true" outlineLevel="0" collapsed="false">
      <c r="A53" s="82"/>
      <c r="B53" s="82" t="s">
        <v>73</v>
      </c>
      <c r="C53" s="52"/>
      <c r="D53" s="52"/>
      <c r="E53" s="124" t="n">
        <f aca="false">G51-G53</f>
        <v>7363.04761904762</v>
      </c>
      <c r="F53" s="121" t="n">
        <v>59</v>
      </c>
      <c r="G53" s="125" t="n">
        <f aca="false">(F52*F53)+(G52*F53)</f>
        <v>2876.95238095238</v>
      </c>
      <c r="H53" s="81"/>
      <c r="I53" s="52" t="s">
        <v>74</v>
      </c>
      <c r="J53" s="82"/>
      <c r="K53" s="82"/>
      <c r="L53" s="81"/>
      <c r="M53" s="0"/>
      <c r="N53" s="99"/>
      <c r="O53" s="57" t="n">
        <f aca="false">O52-O49</f>
        <v>5491.2363</v>
      </c>
      <c r="P53" s="82"/>
      <c r="Q53" s="82"/>
      <c r="R53" s="99"/>
      <c r="S53" s="52"/>
      <c r="T53" s="57" t="n">
        <f aca="false">T51+T52-T46</f>
        <v>-14262.2476190476</v>
      </c>
      <c r="U53" s="52" t="n">
        <f aca="false">U52-U49</f>
        <v>14805</v>
      </c>
      <c r="V53" s="57"/>
      <c r="W53" s="82"/>
      <c r="X53" s="82"/>
      <c r="Y53" s="55"/>
      <c r="Z53" s="56"/>
      <c r="AA53" s="57"/>
      <c r="AB53" s="58"/>
      <c r="AC53" s="97"/>
      <c r="AD53" s="97"/>
    </row>
    <row r="54" customFormat="false" ht="11.1" hidden="false" customHeight="true" outlineLevel="0" collapsed="false">
      <c r="A54" s="82"/>
      <c r="B54" s="55"/>
      <c r="C54" s="52"/>
      <c r="D54" s="52" t="s">
        <v>75</v>
      </c>
      <c r="E54" s="45" t="e">
        <f aca="false">E52-E53</f>
        <v>#REF!</v>
      </c>
      <c r="F54" s="126" t="s">
        <v>76</v>
      </c>
      <c r="G54" s="127"/>
      <c r="I54" s="82"/>
      <c r="J54" s="82"/>
      <c r="K54" s="82"/>
      <c r="L54" s="82"/>
      <c r="M54" s="81"/>
      <c r="N54" s="81"/>
      <c r="O54" s="81"/>
      <c r="P54" s="82"/>
      <c r="Q54" s="82"/>
      <c r="R54" s="82"/>
      <c r="S54" s="52"/>
      <c r="T54" s="82"/>
      <c r="U54" s="52"/>
      <c r="V54" s="52"/>
      <c r="W54" s="82"/>
      <c r="X54" s="82"/>
      <c r="Y54" s="55"/>
      <c r="Z54" s="56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0"/>
      <c r="C55" s="52"/>
      <c r="D55" s="0"/>
      <c r="E55" s="52"/>
      <c r="F55" s="82"/>
      <c r="G55" s="128"/>
      <c r="H55" s="129"/>
      <c r="I55" s="130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6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G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K2" activeCellId="0" sqref="K2"/>
    </sheetView>
  </sheetViews>
  <sheetFormatPr defaultColWidth="9.2890625" defaultRowHeight="11.1" zeroHeight="false" outlineLevelRow="0" outlineLevelCol="0"/>
  <cols>
    <col collapsed="false" customWidth="true" hidden="false" outlineLevel="0" max="1" min="1" style="0" width="5.66"/>
    <col collapsed="false" customWidth="true" hidden="false" outlineLevel="0" max="2" min="2" style="0" width="7.82"/>
    <col collapsed="false" customWidth="true" hidden="false" outlineLevel="0" max="3" min="3" style="1" width="7.66"/>
    <col collapsed="false" customWidth="true" hidden="false" outlineLevel="0" max="4" min="4" style="0" width="6.99"/>
    <col collapsed="false" customWidth="true" hidden="false" outlineLevel="0" max="5" min="5" style="1" width="7.66"/>
    <col collapsed="false" customWidth="true" hidden="false" outlineLevel="0" max="6" min="6" style="0" width="7.66"/>
    <col collapsed="false" customWidth="true" hidden="false" outlineLevel="0" max="7" min="7" style="0" width="7.16"/>
    <col collapsed="false" customWidth="true" hidden="false" outlineLevel="0" max="8" min="8" style="3" width="6.82"/>
    <col collapsed="false" customWidth="true" hidden="false" outlineLevel="0" max="9" min="9" style="0" width="7.99"/>
    <col collapsed="false" customWidth="true" hidden="false" outlineLevel="0" max="10" min="10" style="0" width="6.66"/>
    <col collapsed="false" customWidth="true" hidden="false" outlineLevel="0" max="12" min="11" style="0" width="7.16"/>
    <col collapsed="false" customWidth="true" hidden="false" outlineLevel="0" max="13" min="13" style="3" width="6.16"/>
    <col collapsed="false" customWidth="true" hidden="true" outlineLevel="0" max="14" min="14" style="3" width="7.32"/>
    <col collapsed="false" customWidth="true" hidden="true" outlineLevel="0" max="15" min="15" style="3" width="6.49"/>
    <col collapsed="false" customWidth="true" hidden="true" outlineLevel="0" max="16" min="16" style="0" width="7.16"/>
    <col collapsed="false" customWidth="true" hidden="false" outlineLevel="0" max="17" min="17" style="0" width="6.32"/>
    <col collapsed="false" customWidth="true" hidden="false" outlineLevel="0" max="18" min="18" style="0" width="5.82"/>
    <col collapsed="false" customWidth="true" hidden="false" outlineLevel="0" max="19" min="19" style="1" width="6.82"/>
    <col collapsed="false" customWidth="true" hidden="false" outlineLevel="0" max="20" min="20" style="0" width="7.66"/>
    <col collapsed="false" customWidth="true" hidden="false" outlineLevel="0" max="21" min="21" style="0" width="5.99"/>
    <col collapsed="false" customWidth="true" hidden="false" outlineLevel="0" max="22" min="22" style="1" width="6.66"/>
    <col collapsed="false" customWidth="true" hidden="false" outlineLevel="0" max="24" min="23" style="0" width="7.82"/>
    <col collapsed="false" customWidth="true" hidden="false" outlineLevel="0" max="25" min="25" style="104" width="8.16"/>
    <col collapsed="false" customWidth="true" hidden="false" outlineLevel="0" max="26" min="26" style="2" width="5.32"/>
    <col collapsed="false" customWidth="true" hidden="false" outlineLevel="0" max="27" min="27" style="4" width="4.66"/>
    <col collapsed="false" customWidth="true" hidden="false" outlineLevel="0" max="28" min="28" style="5" width="4.66"/>
    <col collapsed="false" customWidth="true" hidden="false" outlineLevel="0" max="29" min="29" style="0" width="5.66"/>
  </cols>
  <sheetData>
    <row r="1" customFormat="false" ht="14.1" hidden="false" customHeight="true" outlineLevel="0" collapsed="false">
      <c r="A1" s="6"/>
      <c r="B1" s="6"/>
      <c r="C1" s="7"/>
      <c r="D1" s="6"/>
      <c r="E1" s="7"/>
      <c r="F1" s="6"/>
      <c r="G1" s="6"/>
      <c r="H1" s="37"/>
      <c r="I1" s="6"/>
      <c r="J1" s="6"/>
      <c r="K1" s="9" t="s">
        <v>0</v>
      </c>
      <c r="L1" s="6"/>
      <c r="M1" s="6"/>
      <c r="N1" s="6"/>
      <c r="O1" s="6"/>
      <c r="P1" s="6"/>
      <c r="Q1" s="6"/>
      <c r="R1" s="6"/>
      <c r="S1" s="7"/>
      <c r="T1" s="6"/>
      <c r="U1" s="6"/>
      <c r="V1" s="7"/>
      <c r="W1" s="6"/>
      <c r="X1" s="6"/>
      <c r="Y1" s="10"/>
      <c r="Z1" s="11"/>
      <c r="AA1" s="12"/>
      <c r="AB1" s="13"/>
      <c r="AC1" s="105"/>
      <c r="AD1" s="105"/>
    </row>
    <row r="2" customFormat="false" ht="14.1" hidden="false" customHeight="true" outlineLevel="0" collapsed="false">
      <c r="A2" s="6" t="s">
        <v>1</v>
      </c>
      <c r="B2" s="6"/>
      <c r="C2" s="7"/>
      <c r="D2" s="14" t="n">
        <v>1.9835</v>
      </c>
      <c r="E2" s="7"/>
      <c r="F2" s="6"/>
      <c r="G2" s="6"/>
      <c r="H2" s="37"/>
      <c r="I2" s="6"/>
      <c r="J2" s="6"/>
      <c r="K2" s="106" t="s">
        <v>77</v>
      </c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6"/>
      <c r="X2" s="6"/>
      <c r="Y2" s="10"/>
      <c r="Z2" s="11"/>
      <c r="AA2" s="12"/>
      <c r="AB2" s="13"/>
      <c r="AC2" s="105"/>
      <c r="AD2" s="105"/>
    </row>
    <row r="3" customFormat="false" ht="11.1" hidden="false" customHeight="true" outlineLevel="0" collapsed="false">
      <c r="A3" s="6"/>
      <c r="B3" s="6"/>
      <c r="C3" s="7"/>
      <c r="D3" s="15"/>
      <c r="E3" s="7"/>
      <c r="F3" s="6"/>
      <c r="G3" s="6"/>
      <c r="H3" s="37"/>
      <c r="I3" s="6"/>
      <c r="J3" s="6"/>
      <c r="K3" s="6"/>
      <c r="L3" s="6"/>
      <c r="M3" s="6"/>
      <c r="N3" s="6"/>
      <c r="O3" s="6"/>
      <c r="P3" s="6"/>
      <c r="Q3" s="6"/>
      <c r="R3" s="6"/>
      <c r="S3" s="7"/>
      <c r="T3" s="6"/>
      <c r="U3" s="6"/>
      <c r="V3" s="7"/>
      <c r="W3" s="6"/>
      <c r="X3" s="6"/>
      <c r="Y3" s="10"/>
      <c r="Z3" s="11"/>
      <c r="AA3" s="12"/>
      <c r="AB3" s="13"/>
      <c r="AC3" s="105"/>
      <c r="AD3" s="105"/>
    </row>
    <row r="4" customFormat="false" ht="11.1" hidden="false" customHeight="true" outlineLevel="0" collapsed="false">
      <c r="A4" s="16" t="s">
        <v>3</v>
      </c>
      <c r="B4" s="16" t="s">
        <v>4</v>
      </c>
      <c r="C4" s="17" t="s">
        <v>4</v>
      </c>
      <c r="D4" s="16" t="s">
        <v>5</v>
      </c>
      <c r="E4" s="17" t="s">
        <v>6</v>
      </c>
      <c r="F4" s="16" t="s">
        <v>7</v>
      </c>
      <c r="G4" s="16" t="s">
        <v>8</v>
      </c>
      <c r="H4" s="131" t="s">
        <v>9</v>
      </c>
      <c r="I4" s="16" t="s">
        <v>10</v>
      </c>
      <c r="J4" s="16" t="s">
        <v>11</v>
      </c>
      <c r="K4" s="16" t="s">
        <v>12</v>
      </c>
      <c r="L4" s="16" t="s">
        <v>11</v>
      </c>
      <c r="M4" s="19" t="s">
        <v>13</v>
      </c>
      <c r="N4" s="19"/>
      <c r="O4" s="19"/>
      <c r="P4" s="19"/>
      <c r="Q4" s="16" t="s">
        <v>14</v>
      </c>
      <c r="R4" s="16" t="s">
        <v>15</v>
      </c>
      <c r="S4" s="16" t="s">
        <v>12</v>
      </c>
      <c r="T4" s="17" t="s">
        <v>16</v>
      </c>
      <c r="U4" s="16" t="s">
        <v>17</v>
      </c>
      <c r="V4" s="16" t="s">
        <v>18</v>
      </c>
      <c r="W4" s="16" t="s">
        <v>10</v>
      </c>
      <c r="X4" s="16" t="s">
        <v>11</v>
      </c>
      <c r="Y4" s="16" t="s">
        <v>12</v>
      </c>
      <c r="Z4" s="20" t="s">
        <v>19</v>
      </c>
      <c r="AA4" s="21" t="s">
        <v>20</v>
      </c>
      <c r="AB4" s="21" t="s">
        <v>21</v>
      </c>
      <c r="AC4" s="21" t="s">
        <v>3</v>
      </c>
      <c r="AD4" s="107" t="s">
        <v>78</v>
      </c>
      <c r="AE4" s="105"/>
    </row>
    <row r="5" customFormat="false" ht="11.1" hidden="false" customHeight="true" outlineLevel="0" collapsed="false">
      <c r="A5" s="22" t="s">
        <v>79</v>
      </c>
      <c r="B5" s="16" t="s">
        <v>23</v>
      </c>
      <c r="C5" s="17" t="s">
        <v>5</v>
      </c>
      <c r="D5" s="16" t="s">
        <v>24</v>
      </c>
      <c r="E5" s="17" t="s">
        <v>25</v>
      </c>
      <c r="F5" s="16" t="s">
        <v>26</v>
      </c>
      <c r="G5" s="16" t="s">
        <v>27</v>
      </c>
      <c r="H5" s="131" t="s">
        <v>28</v>
      </c>
      <c r="I5" s="16" t="s">
        <v>29</v>
      </c>
      <c r="J5" s="16" t="s">
        <v>29</v>
      </c>
      <c r="K5" s="16" t="s">
        <v>29</v>
      </c>
      <c r="L5" s="16" t="s">
        <v>30</v>
      </c>
      <c r="M5" s="16" t="s">
        <v>31</v>
      </c>
      <c r="N5" s="16" t="s">
        <v>32</v>
      </c>
      <c r="O5" s="16" t="s">
        <v>33</v>
      </c>
      <c r="P5" s="16" t="s">
        <v>65</v>
      </c>
      <c r="Q5" s="16" t="s">
        <v>35</v>
      </c>
      <c r="R5" s="16" t="s">
        <v>36</v>
      </c>
      <c r="S5" s="16" t="s">
        <v>16</v>
      </c>
      <c r="T5" s="17" t="s">
        <v>37</v>
      </c>
      <c r="U5" s="16" t="s">
        <v>38</v>
      </c>
      <c r="V5" s="16" t="s">
        <v>39</v>
      </c>
      <c r="W5" s="16" t="s">
        <v>40</v>
      </c>
      <c r="X5" s="16" t="s">
        <v>40</v>
      </c>
      <c r="Y5" s="16" t="s">
        <v>40</v>
      </c>
      <c r="Z5" s="24"/>
      <c r="AA5" s="21" t="s">
        <v>41</v>
      </c>
      <c r="AB5" s="21" t="s">
        <v>41</v>
      </c>
      <c r="AC5" s="25" t="s">
        <v>79</v>
      </c>
      <c r="AD5" s="107" t="s">
        <v>80</v>
      </c>
      <c r="AE5" s="105"/>
    </row>
    <row r="6" customFormat="false" ht="11.1" hidden="false" customHeight="true" outlineLevel="0" collapsed="false">
      <c r="A6" s="26"/>
      <c r="B6" s="26"/>
      <c r="C6" s="27"/>
      <c r="D6" s="26"/>
      <c r="E6" s="27"/>
      <c r="F6" s="26"/>
      <c r="G6" s="26"/>
      <c r="H6" s="132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7"/>
      <c r="U6" s="26"/>
      <c r="V6" s="26"/>
      <c r="W6" s="26"/>
      <c r="X6" s="26"/>
      <c r="Y6" s="26"/>
      <c r="Z6" s="11"/>
      <c r="AA6" s="13"/>
      <c r="AB6" s="13"/>
      <c r="AC6" s="13"/>
      <c r="AF6" s="133"/>
    </row>
    <row r="7" customFormat="false" ht="11.1" hidden="false" customHeight="true" outlineLevel="0" collapsed="false">
      <c r="A7" s="6" t="s">
        <v>42</v>
      </c>
      <c r="B7" s="6"/>
      <c r="C7" s="7"/>
      <c r="D7" s="7"/>
      <c r="E7" s="7"/>
      <c r="F7" s="7" t="n">
        <f aca="false">MAY!F45</f>
        <v>32367.5321401563</v>
      </c>
      <c r="G7" s="7" t="n">
        <f aca="false">MAY!G45</f>
        <v>102978</v>
      </c>
      <c r="H7" s="37" t="n">
        <f aca="false">MAY!H45</f>
        <v>11839</v>
      </c>
      <c r="I7" s="7" t="n">
        <f aca="false">MAY!I45</f>
        <v>114817</v>
      </c>
      <c r="J7" s="7" t="n">
        <f aca="false">MAY!J45</f>
        <v>30658.3768590875</v>
      </c>
      <c r="K7" s="7" t="n">
        <f aca="false">MAY!K45</f>
        <v>145475.376859087</v>
      </c>
      <c r="L7" s="7" t="n">
        <f aca="false">MAY!L45</f>
        <v>30657.5321401563</v>
      </c>
      <c r="M7" s="7" t="n">
        <f aca="false">MAY!M45</f>
        <v>6324</v>
      </c>
      <c r="N7" s="7" t="n">
        <f aca="false">MAY!N45</f>
        <v>0</v>
      </c>
      <c r="O7" s="7" t="n">
        <f aca="false">MAY!O45</f>
        <v>0</v>
      </c>
      <c r="P7" s="7" t="n">
        <f aca="false">MAY!P45</f>
        <v>6324</v>
      </c>
      <c r="Q7" s="7" t="n">
        <f aca="false">MAY!Q45</f>
        <v>5256</v>
      </c>
      <c r="R7" s="7" t="n">
        <f aca="false">MAY!R45</f>
        <v>2560</v>
      </c>
      <c r="S7" s="7" t="n">
        <f aca="false">MAY!S45</f>
        <v>14140</v>
      </c>
      <c r="T7" s="7" t="n">
        <f aca="false">MAY!T45</f>
        <v>0</v>
      </c>
      <c r="U7" s="7" t="n">
        <f aca="false">MAY!U45</f>
        <v>0</v>
      </c>
      <c r="V7" s="7" t="n">
        <f aca="false">MAY!V45</f>
        <v>98967</v>
      </c>
      <c r="W7" s="7" t="n">
        <f aca="false">MAY!W45</f>
        <v>113107</v>
      </c>
      <c r="X7" s="7" t="n">
        <f aca="false">MAY!X45</f>
        <v>0.844718931182342</v>
      </c>
      <c r="Y7" s="7" t="n">
        <f aca="false">MAY!Y45</f>
        <v>113107.844718931</v>
      </c>
      <c r="Z7" s="11"/>
      <c r="AA7" s="12"/>
      <c r="AB7" s="12"/>
      <c r="AC7" s="13"/>
      <c r="AD7" s="108"/>
      <c r="AF7" s="134"/>
    </row>
    <row r="8" s="1" customFormat="true" ht="11.1" hidden="false" customHeight="true" outlineLevel="0" collapsed="false">
      <c r="A8" s="7" t="s">
        <v>43</v>
      </c>
      <c r="B8" s="29" t="n">
        <f aca="false">MAY!B40</f>
        <v>6896.2</v>
      </c>
      <c r="C8" s="7" t="n">
        <f aca="false">MAY!C40</f>
        <v>269772</v>
      </c>
      <c r="D8" s="7" t="n">
        <f aca="false">MAY!D49</f>
        <v>117728</v>
      </c>
      <c r="E8" s="7" t="n">
        <f aca="false">MAY!E49</f>
        <v>117772</v>
      </c>
      <c r="F8" s="7" t="n">
        <f aca="false">MAY!F48</f>
        <v>59353.6677590118</v>
      </c>
      <c r="G8" s="7" t="n">
        <f aca="false">MAY!G48</f>
        <v>128558</v>
      </c>
      <c r="H8" s="37" t="n">
        <f aca="false">MAY!H48</f>
        <v>14164.3</v>
      </c>
      <c r="I8" s="7" t="n">
        <f aca="false">MAY!I48</f>
        <v>141374.5</v>
      </c>
      <c r="J8" s="7" t="n">
        <f aca="false">MAY!J48</f>
        <v>44585.056591883</v>
      </c>
      <c r="K8" s="7" t="n">
        <f aca="false">MAY!K48</f>
        <v>185959.556591883</v>
      </c>
      <c r="L8" s="7" t="n">
        <f aca="false">MAY!L48</f>
        <v>43602.2171666246</v>
      </c>
      <c r="M8" s="7" t="n">
        <f aca="false">MAY!M48</f>
        <v>6634</v>
      </c>
      <c r="N8" s="7" t="n">
        <f aca="false">MAY!N48</f>
        <v>0</v>
      </c>
      <c r="O8" s="7" t="n">
        <f aca="false">MAY!O48</f>
        <v>402.2</v>
      </c>
      <c r="P8" s="7" t="n">
        <f aca="false">MAY!P48</f>
        <v>6634</v>
      </c>
      <c r="Q8" s="7" t="n">
        <f aca="false">MAY!Q48</f>
        <v>6304</v>
      </c>
      <c r="R8" s="7" t="n">
        <f aca="false">MAY!R48</f>
        <v>2635</v>
      </c>
      <c r="S8" s="7" t="n">
        <f aca="false">MAY!S48</f>
        <v>17531.6589362238</v>
      </c>
      <c r="T8" s="7" t="n">
        <f aca="false">MAY!T48</f>
        <v>0</v>
      </c>
      <c r="U8" s="7" t="n">
        <f aca="false">MAY!U48</f>
        <v>0</v>
      </c>
      <c r="V8" s="7" t="n">
        <f aca="false">MAY!V48</f>
        <v>108091.390471389</v>
      </c>
      <c r="W8" s="7" t="n">
        <f aca="false">MAY!W48</f>
        <v>125623.049407613</v>
      </c>
      <c r="X8" s="7" t="n">
        <f aca="false">MAY!X48</f>
        <v>982.839425258382</v>
      </c>
      <c r="Y8" s="7" t="n">
        <f aca="false">MAY!Y48</f>
        <v>126605.888832871</v>
      </c>
      <c r="Z8" s="11" t="n">
        <f aca="false">MAY!Z48</f>
        <v>13.18</v>
      </c>
      <c r="AA8" s="12"/>
      <c r="AB8" s="12"/>
      <c r="AC8" s="13"/>
      <c r="AD8" s="135"/>
      <c r="AE8" s="135"/>
    </row>
    <row r="9" customFormat="false" ht="3" hidden="false" customHeight="true" outlineLevel="0" collapsed="false">
      <c r="A9" s="30"/>
      <c r="B9" s="31"/>
      <c r="C9" s="32"/>
      <c r="D9" s="30"/>
      <c r="E9" s="32"/>
      <c r="F9" s="30"/>
      <c r="G9" s="30"/>
      <c r="H9" s="136"/>
      <c r="I9" s="30"/>
      <c r="J9" s="30"/>
      <c r="K9" s="30"/>
      <c r="L9" s="30"/>
      <c r="M9" s="30"/>
      <c r="N9" s="30"/>
      <c r="O9" s="30" t="n">
        <v>0</v>
      </c>
      <c r="P9" s="30"/>
      <c r="Q9" s="30"/>
      <c r="R9" s="30" t="n">
        <v>0</v>
      </c>
      <c r="S9" s="30"/>
      <c r="T9" s="32"/>
      <c r="U9" s="30"/>
      <c r="V9" s="30"/>
      <c r="W9" s="30"/>
      <c r="X9" s="30"/>
      <c r="Y9" s="30"/>
      <c r="Z9" s="34"/>
      <c r="AA9" s="35"/>
      <c r="AB9" s="35"/>
      <c r="AC9" s="36"/>
      <c r="AD9" s="105"/>
      <c r="AE9" s="105"/>
    </row>
    <row r="10" customFormat="false" ht="11.1" hidden="false" customHeight="true" outlineLevel="0" collapsed="false">
      <c r="A10" s="13" t="n">
        <v>1</v>
      </c>
      <c r="B10" s="29" t="n">
        <v>6896.59</v>
      </c>
      <c r="C10" s="7" t="n">
        <v>271172</v>
      </c>
      <c r="D10" s="12" t="n">
        <f aca="false">C10-C8</f>
        <v>1400</v>
      </c>
      <c r="E10" s="7" t="n">
        <f aca="false">C10-152000</f>
        <v>119172</v>
      </c>
      <c r="F10" s="6" t="n">
        <f aca="false">D10/$D$2</f>
        <v>705.823040080665</v>
      </c>
      <c r="G10" s="6" t="n">
        <v>1957</v>
      </c>
      <c r="H10" s="37" t="n">
        <v>0</v>
      </c>
      <c r="I10" s="6" t="n">
        <f aca="false">G10+H10</f>
        <v>1957</v>
      </c>
      <c r="J10" s="109" t="n">
        <f aca="false">IF(L10&gt;0,L10,0)</f>
        <v>473.823040080665</v>
      </c>
      <c r="K10" s="6" t="n">
        <f aca="false">I10+J10</f>
        <v>2430.82304008067</v>
      </c>
      <c r="L10" s="6" t="n">
        <f aca="false">F10-(I10-W10)</f>
        <v>473.823040080665</v>
      </c>
      <c r="M10" s="6" t="n">
        <v>261</v>
      </c>
      <c r="N10" s="6" t="n">
        <v>0</v>
      </c>
      <c r="O10" s="6" t="n">
        <v>0</v>
      </c>
      <c r="P10" s="6" t="n">
        <f aca="false">M10-(N10+O10)</f>
        <v>261</v>
      </c>
      <c r="Q10" s="6" t="n">
        <v>171</v>
      </c>
      <c r="R10" s="6" t="n">
        <v>92</v>
      </c>
      <c r="S10" s="6" t="n">
        <f aca="false">SUM(P10:R10)</f>
        <v>524</v>
      </c>
      <c r="T10" s="7"/>
      <c r="U10" s="6" t="n">
        <v>0</v>
      </c>
      <c r="V10" s="6" t="n">
        <v>1201</v>
      </c>
      <c r="W10" s="6" t="n">
        <f aca="false">N10+O10+S10+U10+V10</f>
        <v>1725</v>
      </c>
      <c r="X10" s="6" t="n">
        <f aca="false">IF(L10&lt;0,L10*-1,0)</f>
        <v>0</v>
      </c>
      <c r="Y10" s="6" t="n">
        <f aca="false">W10+X10</f>
        <v>1725</v>
      </c>
      <c r="Z10" s="11" t="n">
        <v>0</v>
      </c>
      <c r="AA10" s="12"/>
      <c r="AB10" s="12"/>
      <c r="AC10" s="13" t="n">
        <v>1</v>
      </c>
      <c r="AD10" s="12" t="n">
        <f aca="false">IF(I10&gt;S10,I10-S10,I10-S10)</f>
        <v>1433</v>
      </c>
      <c r="AE10" s="12"/>
      <c r="AF10" s="137"/>
      <c r="AG10" s="6"/>
    </row>
    <row r="11" customFormat="false" ht="11.1" hidden="false" customHeight="true" outlineLevel="0" collapsed="false">
      <c r="A11" s="13" t="n">
        <f aca="false">A10+1</f>
        <v>2</v>
      </c>
      <c r="B11" s="29" t="n">
        <v>6896.92</v>
      </c>
      <c r="C11" s="7" t="n">
        <v>272356</v>
      </c>
      <c r="D11" s="12" t="n">
        <f aca="false">C11-C10</f>
        <v>1184</v>
      </c>
      <c r="E11" s="7" t="n">
        <f aca="false">C11-152000</f>
        <v>120356</v>
      </c>
      <c r="F11" s="6" t="n">
        <f aca="false">D11/$D$2</f>
        <v>596.924628182506</v>
      </c>
      <c r="G11" s="6" t="n">
        <v>1959</v>
      </c>
      <c r="H11" s="37" t="n">
        <v>0</v>
      </c>
      <c r="I11" s="6" t="n">
        <f aca="false">G11+H11</f>
        <v>1959</v>
      </c>
      <c r="J11" s="109" t="n">
        <f aca="false">IF(L11&gt;0,L11,0)</f>
        <v>351.924628182506</v>
      </c>
      <c r="K11" s="6" t="n">
        <f aca="false">I11+J11</f>
        <v>2310.92462818251</v>
      </c>
      <c r="L11" s="6" t="n">
        <f aca="false">F11-(I11-W11)</f>
        <v>351.924628182506</v>
      </c>
      <c r="M11" s="6" t="n">
        <v>253</v>
      </c>
      <c r="N11" s="6" t="n">
        <v>0</v>
      </c>
      <c r="O11" s="6" t="n">
        <v>0</v>
      </c>
      <c r="P11" s="6" t="n">
        <f aca="false">M11-(N11+O11)</f>
        <v>253</v>
      </c>
      <c r="Q11" s="6" t="n">
        <v>170</v>
      </c>
      <c r="R11" s="6" t="n">
        <v>90</v>
      </c>
      <c r="S11" s="6" t="n">
        <f aca="false">SUM(P11:R11)</f>
        <v>513</v>
      </c>
      <c r="T11" s="52"/>
      <c r="U11" s="6" t="n">
        <v>0</v>
      </c>
      <c r="V11" s="6" t="n">
        <v>1201</v>
      </c>
      <c r="W11" s="6" t="n">
        <f aca="false">N11+O11+S11+U11+V11</f>
        <v>1714</v>
      </c>
      <c r="X11" s="6" t="n">
        <f aca="false">IF(L11&lt;0,L11*-1,0)</f>
        <v>0</v>
      </c>
      <c r="Y11" s="6" t="n">
        <f aca="false">W11+X11</f>
        <v>1714</v>
      </c>
      <c r="Z11" s="11" t="n">
        <v>0</v>
      </c>
      <c r="AA11" s="12" t="n">
        <v>67</v>
      </c>
      <c r="AB11" s="12" t="n">
        <v>40</v>
      </c>
      <c r="AC11" s="13" t="n">
        <f aca="false">AC10+1</f>
        <v>2</v>
      </c>
      <c r="AD11" s="12" t="n">
        <f aca="false">IF(I11&gt;S11,I11-S11,I11-S11)</f>
        <v>1446</v>
      </c>
      <c r="AE11" s="12"/>
      <c r="AG11" s="6"/>
    </row>
    <row r="12" customFormat="false" ht="11.1" hidden="false" customHeight="true" outlineLevel="0" collapsed="false">
      <c r="A12" s="13" t="n">
        <f aca="false">A11+1</f>
        <v>3</v>
      </c>
      <c r="B12" s="29" t="n">
        <v>6897.58</v>
      </c>
      <c r="C12" s="7" t="n">
        <v>274741</v>
      </c>
      <c r="D12" s="12" t="n">
        <f aca="false">C12-C11</f>
        <v>2385</v>
      </c>
      <c r="E12" s="7" t="n">
        <f aca="false">C12-152000</f>
        <v>122741</v>
      </c>
      <c r="F12" s="6" t="n">
        <f aca="false">D12/$D$2</f>
        <v>1202.41996470885</v>
      </c>
      <c r="G12" s="6" t="n">
        <v>2285</v>
      </c>
      <c r="H12" s="37" t="n">
        <v>0</v>
      </c>
      <c r="I12" s="6" t="n">
        <f aca="false">G12+H12</f>
        <v>2285</v>
      </c>
      <c r="J12" s="109" t="n">
        <f aca="false">IF(L12&gt;0,L12,0)</f>
        <v>614.419964708848</v>
      </c>
      <c r="K12" s="6" t="n">
        <f aca="false">I12+J12</f>
        <v>2899.41996470885</v>
      </c>
      <c r="L12" s="6" t="n">
        <f aca="false">F12-(I12-W12)</f>
        <v>614.419964708848</v>
      </c>
      <c r="M12" s="6" t="n">
        <v>242</v>
      </c>
      <c r="N12" s="6" t="n">
        <v>0</v>
      </c>
      <c r="O12" s="6" t="n">
        <v>0</v>
      </c>
      <c r="P12" s="6" t="n">
        <f aca="false">M12-(N12+O12)</f>
        <v>242</v>
      </c>
      <c r="Q12" s="6" t="n">
        <v>168</v>
      </c>
      <c r="R12" s="6" t="n">
        <v>86</v>
      </c>
      <c r="S12" s="6" t="n">
        <f aca="false">SUM(P12:R12)</f>
        <v>496</v>
      </c>
      <c r="T12" s="52"/>
      <c r="U12" s="6" t="n">
        <v>0</v>
      </c>
      <c r="V12" s="6" t="n">
        <v>1201</v>
      </c>
      <c r="W12" s="6" t="n">
        <f aca="false">N12+O12+S12+U12+V12</f>
        <v>1697</v>
      </c>
      <c r="X12" s="6" t="n">
        <f aca="false">IF(L12&lt;0,L12*-1,0)</f>
        <v>0</v>
      </c>
      <c r="Y12" s="6" t="n">
        <f aca="false">W12+X12</f>
        <v>1697</v>
      </c>
      <c r="Z12" s="11" t="n">
        <v>0.12</v>
      </c>
      <c r="AA12" s="12" t="n">
        <v>66</v>
      </c>
      <c r="AB12" s="12" t="n">
        <v>45</v>
      </c>
      <c r="AC12" s="13" t="n">
        <f aca="false">AC11+1</f>
        <v>3</v>
      </c>
      <c r="AD12" s="12" t="n">
        <f aca="false">IF(I12&gt;S12,I12-S12,I12-S12)</f>
        <v>1789</v>
      </c>
      <c r="AE12" s="12"/>
      <c r="AG12" s="6"/>
    </row>
    <row r="13" customFormat="false" ht="11.1" hidden="false" customHeight="true" outlineLevel="0" collapsed="false">
      <c r="A13" s="13" t="n">
        <f aca="false">A12+1</f>
        <v>4</v>
      </c>
      <c r="B13" s="29" t="n">
        <v>6898.67</v>
      </c>
      <c r="C13" s="7" t="n">
        <v>278703</v>
      </c>
      <c r="D13" s="12" t="n">
        <f aca="false">C13-C12</f>
        <v>3962</v>
      </c>
      <c r="E13" s="7" t="n">
        <f aca="false">C13-152000</f>
        <v>126703</v>
      </c>
      <c r="F13" s="6" t="n">
        <f aca="false">D13/$D$2</f>
        <v>1997.47920342828</v>
      </c>
      <c r="G13" s="6" t="n">
        <v>3138</v>
      </c>
      <c r="H13" s="37" t="n">
        <v>0</v>
      </c>
      <c r="I13" s="6" t="n">
        <f aca="false">G13+H13</f>
        <v>3138</v>
      </c>
      <c r="J13" s="109" t="n">
        <f aca="false">IF(L13&gt;0,L13,0)</f>
        <v>551.479203428283</v>
      </c>
      <c r="K13" s="6" t="n">
        <f aca="false">I13+J13</f>
        <v>3689.47920342828</v>
      </c>
      <c r="L13" s="6" t="n">
        <f aca="false">F13-(I13-W13)</f>
        <v>551.479203428283</v>
      </c>
      <c r="M13" s="6" t="n">
        <v>240</v>
      </c>
      <c r="N13" s="6" t="n">
        <v>0</v>
      </c>
      <c r="O13" s="6" t="n">
        <v>0</v>
      </c>
      <c r="P13" s="6" t="n">
        <f aca="false">M13-(N13+O13)</f>
        <v>240</v>
      </c>
      <c r="Q13" s="6" t="n">
        <v>169</v>
      </c>
      <c r="R13" s="6" t="n">
        <v>82</v>
      </c>
      <c r="S13" s="6" t="n">
        <f aca="false">SUM(P13:R13)</f>
        <v>491</v>
      </c>
      <c r="T13" s="52"/>
      <c r="U13" s="6" t="n">
        <v>0</v>
      </c>
      <c r="V13" s="6" t="n">
        <v>1201</v>
      </c>
      <c r="W13" s="6" t="n">
        <f aca="false">N13+O13+S13+U13+V13</f>
        <v>1692</v>
      </c>
      <c r="X13" s="6" t="n">
        <f aca="false">IF(L13&lt;0,L13*-1,0)</f>
        <v>0</v>
      </c>
      <c r="Y13" s="6" t="n">
        <f aca="false">W13+X13</f>
        <v>1692</v>
      </c>
      <c r="Z13" s="11" t="n">
        <v>0.42</v>
      </c>
      <c r="AA13" s="12" t="n">
        <v>72</v>
      </c>
      <c r="AB13" s="12" t="n">
        <v>45</v>
      </c>
      <c r="AC13" s="13" t="n">
        <f aca="false">AC12+1</f>
        <v>4</v>
      </c>
      <c r="AD13" s="12" t="n">
        <f aca="false">IF(I13&gt;S13,I13-S13,I13-S13)</f>
        <v>2647</v>
      </c>
      <c r="AE13" s="12"/>
      <c r="AG13" s="6"/>
    </row>
    <row r="14" customFormat="false" ht="11.1" hidden="false" customHeight="true" outlineLevel="0" collapsed="false">
      <c r="A14" s="13" t="n">
        <f aca="false">A13+1</f>
        <v>5</v>
      </c>
      <c r="B14" s="29" t="n">
        <v>6899.55</v>
      </c>
      <c r="C14" s="7" t="n">
        <v>281927</v>
      </c>
      <c r="D14" s="12" t="n">
        <f aca="false">C14-C13</f>
        <v>3224</v>
      </c>
      <c r="E14" s="7" t="n">
        <f aca="false">C14-152000</f>
        <v>129927</v>
      </c>
      <c r="F14" s="6" t="n">
        <f aca="false">D14/$D$2</f>
        <v>1625.4096294429</v>
      </c>
      <c r="G14" s="6" t="n">
        <v>3231</v>
      </c>
      <c r="H14" s="37" t="n">
        <v>0</v>
      </c>
      <c r="I14" s="6" t="n">
        <f aca="false">G14+H14</f>
        <v>3231</v>
      </c>
      <c r="J14" s="109" t="n">
        <f aca="false">IF(L14&gt;0,L14,0)</f>
        <v>146.409629442904</v>
      </c>
      <c r="K14" s="6" t="n">
        <f aca="false">I14+J14</f>
        <v>3377.4096294429</v>
      </c>
      <c r="L14" s="6" t="n">
        <f aca="false">F14-(I14-W14)</f>
        <v>146.409629442904</v>
      </c>
      <c r="M14" s="6" t="n">
        <v>243</v>
      </c>
      <c r="N14" s="6" t="n">
        <v>0</v>
      </c>
      <c r="O14" s="6" t="n">
        <v>0</v>
      </c>
      <c r="P14" s="6" t="n">
        <f aca="false">M14-(N14+O14)</f>
        <v>243</v>
      </c>
      <c r="Q14" s="6" t="n">
        <v>170</v>
      </c>
      <c r="R14" s="6" t="n">
        <v>81</v>
      </c>
      <c r="S14" s="6" t="n">
        <f aca="false">SUM(P14:R14)</f>
        <v>494</v>
      </c>
      <c r="T14" s="52"/>
      <c r="U14" s="6" t="n">
        <v>0</v>
      </c>
      <c r="V14" s="6" t="n">
        <v>1258</v>
      </c>
      <c r="W14" s="6" t="n">
        <f aca="false">N14+O14+S14+U14+V14</f>
        <v>1752</v>
      </c>
      <c r="X14" s="6" t="n">
        <f aca="false">IF(L14&lt;0,L14*-1,0)</f>
        <v>0</v>
      </c>
      <c r="Y14" s="6" t="n">
        <f aca="false">W14+X14</f>
        <v>1752</v>
      </c>
      <c r="Z14" s="11" t="n">
        <v>0.07</v>
      </c>
      <c r="AA14" s="12" t="n">
        <v>77</v>
      </c>
      <c r="AB14" s="12" t="n">
        <v>45</v>
      </c>
      <c r="AC14" s="13" t="n">
        <v>5</v>
      </c>
      <c r="AD14" s="12" t="n">
        <f aca="false">IF(I14&gt;S14,I14-S14,I14-S14)</f>
        <v>2737</v>
      </c>
      <c r="AE14" s="12"/>
      <c r="AG14" s="6"/>
    </row>
    <row r="15" customFormat="false" ht="11.1" hidden="false" customHeight="true" outlineLevel="0" collapsed="false">
      <c r="A15" s="13" t="n">
        <f aca="false">A14+1</f>
        <v>6</v>
      </c>
      <c r="B15" s="29" t="n">
        <v>6900.26</v>
      </c>
      <c r="C15" s="7" t="n">
        <v>284542</v>
      </c>
      <c r="D15" s="12" t="n">
        <f aca="false">C15-C14</f>
        <v>2615</v>
      </c>
      <c r="E15" s="7" t="n">
        <f aca="false">C15-152000</f>
        <v>132542</v>
      </c>
      <c r="F15" s="6" t="n">
        <f aca="false">D15/$D$2</f>
        <v>1318.37660700781</v>
      </c>
      <c r="G15" s="6" t="n">
        <v>3154</v>
      </c>
      <c r="H15" s="37" t="n">
        <v>28</v>
      </c>
      <c r="I15" s="6" t="n">
        <f aca="false">G15+H15</f>
        <v>3182</v>
      </c>
      <c r="J15" s="109" t="n">
        <f aca="false">IF(L15&gt;0,L15,0)</f>
        <v>26.3766070078145</v>
      </c>
      <c r="K15" s="6" t="n">
        <f aca="false">I15+J15</f>
        <v>3208.37660700781</v>
      </c>
      <c r="L15" s="6" t="n">
        <f aca="false">F15-(I15-W15)</f>
        <v>26.3766070078145</v>
      </c>
      <c r="M15" s="6" t="n">
        <v>236</v>
      </c>
      <c r="N15" s="6" t="n">
        <v>0</v>
      </c>
      <c r="O15" s="6" t="n">
        <v>0</v>
      </c>
      <c r="P15" s="6" t="n">
        <f aca="false">M15-(N15+O15)</f>
        <v>236</v>
      </c>
      <c r="Q15" s="6" t="n">
        <v>172</v>
      </c>
      <c r="R15" s="6" t="n">
        <v>81</v>
      </c>
      <c r="S15" s="6" t="n">
        <f aca="false">SUM(P15:R15)</f>
        <v>489</v>
      </c>
      <c r="T15" s="52"/>
      <c r="U15" s="6" t="n">
        <v>0</v>
      </c>
      <c r="V15" s="6" t="n">
        <v>1401</v>
      </c>
      <c r="W15" s="6" t="n">
        <f aca="false">N15+O15+S15+U15+V15</f>
        <v>1890</v>
      </c>
      <c r="X15" s="6" t="n">
        <f aca="false">IF(L15&lt;0,L15*-1,0)</f>
        <v>0</v>
      </c>
      <c r="Y15" s="6" t="n">
        <f aca="false">W15+X15</f>
        <v>1890</v>
      </c>
      <c r="Z15" s="11" t="n">
        <v>0</v>
      </c>
      <c r="AA15" s="12" t="n">
        <v>77</v>
      </c>
      <c r="AB15" s="12" t="n">
        <v>45</v>
      </c>
      <c r="AC15" s="13" t="n">
        <f aca="false">AC14+1</f>
        <v>6</v>
      </c>
      <c r="AD15" s="12" t="n">
        <f aca="false">IF(I15&gt;S15,I15-S15,I15-S15)</f>
        <v>2693</v>
      </c>
      <c r="AE15" s="12"/>
      <c r="AG15" s="6"/>
    </row>
    <row r="16" customFormat="false" ht="11.1" hidden="false" customHeight="true" outlineLevel="0" collapsed="false">
      <c r="A16" s="13" t="n">
        <f aca="false">A15+1</f>
        <v>7</v>
      </c>
      <c r="B16" s="29" t="n">
        <v>6900.32</v>
      </c>
      <c r="C16" s="7" t="n">
        <v>284764</v>
      </c>
      <c r="D16" s="12" t="n">
        <f aca="false">C16-C15</f>
        <v>222</v>
      </c>
      <c r="E16" s="7" t="n">
        <f aca="false">C16-152000</f>
        <v>132764</v>
      </c>
      <c r="F16" s="6" t="n">
        <f aca="false">D16/$D$2</f>
        <v>111.92336778422</v>
      </c>
      <c r="G16" s="6" t="n">
        <v>3079</v>
      </c>
      <c r="H16" s="37" t="n">
        <v>17</v>
      </c>
      <c r="I16" s="6" t="n">
        <f aca="false">G16+H16</f>
        <v>3096</v>
      </c>
      <c r="J16" s="109" t="n">
        <f aca="false">IF(L16&gt;0,L16,0)</f>
        <v>0</v>
      </c>
      <c r="K16" s="6" t="n">
        <f aca="false">I16+J16</f>
        <v>3096</v>
      </c>
      <c r="L16" s="6" t="n">
        <f aca="false">F16-(I16-W16)</f>
        <v>-358.07663221578</v>
      </c>
      <c r="M16" s="6" t="n">
        <v>232</v>
      </c>
      <c r="N16" s="6" t="n">
        <v>0</v>
      </c>
      <c r="O16" s="6" t="n">
        <v>0</v>
      </c>
      <c r="P16" s="6" t="n">
        <f aca="false">M16-(N16+O16)</f>
        <v>232</v>
      </c>
      <c r="Q16" s="6" t="n">
        <v>173</v>
      </c>
      <c r="R16" s="6" t="n">
        <v>83</v>
      </c>
      <c r="S16" s="6" t="n">
        <f aca="false">SUM(P16:R16)</f>
        <v>488</v>
      </c>
      <c r="T16" s="52"/>
      <c r="U16" s="6" t="n">
        <v>0</v>
      </c>
      <c r="V16" s="6" t="n">
        <v>2138</v>
      </c>
      <c r="W16" s="6" t="n">
        <f aca="false">N16+O16+S16+U16+V16</f>
        <v>2626</v>
      </c>
      <c r="X16" s="6" t="n">
        <f aca="false">IF(L16&lt;0,L16*-1,0)</f>
        <v>358.07663221578</v>
      </c>
      <c r="Y16" s="6" t="n">
        <f aca="false">W16+X16</f>
        <v>2984.07663221578</v>
      </c>
      <c r="Z16" s="11" t="n">
        <v>0</v>
      </c>
      <c r="AA16" s="12"/>
      <c r="AB16" s="12"/>
      <c r="AC16" s="13" t="n">
        <f aca="false">AC15+1</f>
        <v>7</v>
      </c>
      <c r="AD16" s="12" t="n">
        <f aca="false">IF(I16&gt;S16,I16-S16,I16-S16)</f>
        <v>2608</v>
      </c>
      <c r="AE16" s="12"/>
      <c r="AG16" s="6"/>
    </row>
    <row r="17" customFormat="false" ht="11.1" hidden="false" customHeight="true" outlineLevel="0" collapsed="false">
      <c r="A17" s="13" t="n">
        <f aca="false">A16+1</f>
        <v>8</v>
      </c>
      <c r="B17" s="29" t="n">
        <v>6900.47</v>
      </c>
      <c r="C17" s="7" t="n">
        <v>285320</v>
      </c>
      <c r="D17" s="12" t="n">
        <f aca="false">C17-C16</f>
        <v>556</v>
      </c>
      <c r="E17" s="7" t="n">
        <f aca="false">C17-152000</f>
        <v>133320</v>
      </c>
      <c r="F17" s="6" t="n">
        <f aca="false">D17/$D$2</f>
        <v>280.312578774893</v>
      </c>
      <c r="G17" s="6" t="n">
        <v>2831</v>
      </c>
      <c r="H17" s="37" t="n">
        <v>7</v>
      </c>
      <c r="I17" s="6" t="n">
        <f aca="false">G17+H17</f>
        <v>2838</v>
      </c>
      <c r="J17" s="109" t="n">
        <f aca="false">IF(L17&gt;0,L17,0)</f>
        <v>532.312578774893</v>
      </c>
      <c r="K17" s="6" t="n">
        <f aca="false">I17+J17</f>
        <v>3370.31257877489</v>
      </c>
      <c r="L17" s="6" t="n">
        <f aca="false">F17-(I17-W17)</f>
        <v>532.312578774893</v>
      </c>
      <c r="M17" s="6" t="n">
        <v>233</v>
      </c>
      <c r="N17" s="6" t="n">
        <v>0</v>
      </c>
      <c r="O17" s="6" t="n">
        <v>0</v>
      </c>
      <c r="P17" s="6" t="n">
        <f aca="false">M17-(N17+O17)</f>
        <v>233</v>
      </c>
      <c r="Q17" s="6" t="n">
        <v>173</v>
      </c>
      <c r="R17" s="6" t="n">
        <v>82</v>
      </c>
      <c r="S17" s="6" t="n">
        <f aca="false">SUM(P17:R17)</f>
        <v>488</v>
      </c>
      <c r="T17" s="52"/>
      <c r="U17" s="6" t="n">
        <v>0</v>
      </c>
      <c r="V17" s="6" t="n">
        <v>2602</v>
      </c>
      <c r="W17" s="6" t="n">
        <f aca="false">N17+O17+S17+U17+V17</f>
        <v>3090</v>
      </c>
      <c r="X17" s="6" t="n">
        <f aca="false">IF(L17&lt;0,L17*-1,0)</f>
        <v>0</v>
      </c>
      <c r="Y17" s="6" t="n">
        <f aca="false">W17+X17</f>
        <v>3090</v>
      </c>
      <c r="Z17" s="11" t="n">
        <v>0</v>
      </c>
      <c r="AA17" s="12"/>
      <c r="AB17" s="12"/>
      <c r="AC17" s="13" t="n">
        <f aca="false">AC16+1</f>
        <v>8</v>
      </c>
      <c r="AD17" s="12" t="n">
        <f aca="false">IF(I17&gt;S17,I17-S17,I17-S17)</f>
        <v>2350</v>
      </c>
      <c r="AE17" s="12"/>
      <c r="AG17" s="6"/>
    </row>
    <row r="18" customFormat="false" ht="11.1" hidden="false" customHeight="true" outlineLevel="0" collapsed="false">
      <c r="A18" s="13" t="n">
        <f aca="false">A17+1</f>
        <v>9</v>
      </c>
      <c r="B18" s="29" t="n">
        <v>6900.08</v>
      </c>
      <c r="C18" s="7" t="n">
        <v>283876</v>
      </c>
      <c r="D18" s="12" t="n">
        <f aca="false">C18-C17</f>
        <v>-1444</v>
      </c>
      <c r="E18" s="7" t="n">
        <f aca="false">C18-152000</f>
        <v>131876</v>
      </c>
      <c r="F18" s="6" t="n">
        <f aca="false">D18/$D$2</f>
        <v>-728.006049911772</v>
      </c>
      <c r="G18" s="6" t="n">
        <v>2548</v>
      </c>
      <c r="H18" s="37" t="n">
        <v>3</v>
      </c>
      <c r="I18" s="6" t="n">
        <f aca="false">G18+H18</f>
        <v>2551</v>
      </c>
      <c r="J18" s="109" t="n">
        <f aca="false">IF(L18&gt;0,L18,0)</f>
        <v>0</v>
      </c>
      <c r="K18" s="6" t="n">
        <f aca="false">I18+J18</f>
        <v>2551</v>
      </c>
      <c r="L18" s="6" t="n">
        <f aca="false">F18-(I18-W18)</f>
        <v>-459.006049911772</v>
      </c>
      <c r="M18" s="6" t="n">
        <v>232</v>
      </c>
      <c r="N18" s="6" t="n">
        <v>0</v>
      </c>
      <c r="O18" s="6" t="n">
        <v>0</v>
      </c>
      <c r="P18" s="6" t="n">
        <f aca="false">M18-(N18+O18)</f>
        <v>232</v>
      </c>
      <c r="Q18" s="6" t="n">
        <v>173</v>
      </c>
      <c r="R18" s="6" t="n">
        <v>82</v>
      </c>
      <c r="S18" s="6" t="n">
        <f aca="false">SUM(P18:R18)</f>
        <v>487</v>
      </c>
      <c r="T18" s="52"/>
      <c r="U18" s="6" t="n">
        <v>0</v>
      </c>
      <c r="V18" s="6" t="n">
        <v>2333</v>
      </c>
      <c r="W18" s="6" t="n">
        <f aca="false">N18+O18+S18+U18+V18</f>
        <v>2820</v>
      </c>
      <c r="X18" s="6" t="n">
        <f aca="false">IF(L18&lt;0,L18*-1,0)</f>
        <v>459.006049911772</v>
      </c>
      <c r="Y18" s="6" t="n">
        <f aca="false">W18+X18</f>
        <v>3279.00604991177</v>
      </c>
      <c r="Z18" s="11" t="n">
        <v>0</v>
      </c>
      <c r="AA18" s="12" t="n">
        <v>73</v>
      </c>
      <c r="AB18" s="12" t="n">
        <v>40</v>
      </c>
      <c r="AC18" s="13" t="n">
        <f aca="false">AC17+1</f>
        <v>9</v>
      </c>
      <c r="AD18" s="12" t="n">
        <f aca="false">IF(I18&gt;S18,I18-S18,I18-S18)</f>
        <v>2064</v>
      </c>
      <c r="AE18" s="12"/>
      <c r="AG18" s="6"/>
    </row>
    <row r="19" customFormat="false" ht="11.1" hidden="false" customHeight="true" outlineLevel="0" collapsed="false">
      <c r="A19" s="13" t="n">
        <f aca="false">A18+1</f>
        <v>10</v>
      </c>
      <c r="B19" s="29" t="n">
        <v>6900.15</v>
      </c>
      <c r="C19" s="7" t="n">
        <v>284135</v>
      </c>
      <c r="D19" s="12" t="n">
        <f aca="false">C19-C18</f>
        <v>259</v>
      </c>
      <c r="E19" s="7" t="n">
        <f aca="false">C19-152000</f>
        <v>132135</v>
      </c>
      <c r="F19" s="6" t="n">
        <f aca="false">D19/$D$2</f>
        <v>130.577262414923</v>
      </c>
      <c r="G19" s="6" t="n">
        <v>2040</v>
      </c>
      <c r="H19" s="37" t="n">
        <v>7</v>
      </c>
      <c r="I19" s="6" t="n">
        <f aca="false">G19+H19</f>
        <v>2047</v>
      </c>
      <c r="J19" s="109" t="n">
        <f aca="false">IF(L19&gt;0,L19,0)</f>
        <v>271.577262414923</v>
      </c>
      <c r="K19" s="6" t="n">
        <f aca="false">I19+J19</f>
        <v>2318.57726241492</v>
      </c>
      <c r="L19" s="6" t="n">
        <f aca="false">F19-(I19-W19)</f>
        <v>271.577262414923</v>
      </c>
      <c r="M19" s="6" t="n">
        <v>233</v>
      </c>
      <c r="N19" s="6" t="n">
        <v>0</v>
      </c>
      <c r="O19" s="6" t="n">
        <v>0</v>
      </c>
      <c r="P19" s="6" t="n">
        <f aca="false">M19-(N19+O19)</f>
        <v>233</v>
      </c>
      <c r="Q19" s="6" t="n">
        <v>173</v>
      </c>
      <c r="R19" s="6" t="n">
        <v>82</v>
      </c>
      <c r="S19" s="6" t="n">
        <f aca="false">SUM(P19:R19)</f>
        <v>488</v>
      </c>
      <c r="T19" s="52"/>
      <c r="U19" s="6" t="n">
        <v>0</v>
      </c>
      <c r="V19" s="6" t="n">
        <v>1700</v>
      </c>
      <c r="W19" s="6" t="n">
        <f aca="false">N19+O19+S19+U19+V19</f>
        <v>2188</v>
      </c>
      <c r="X19" s="6" t="n">
        <f aca="false">IF(L19&lt;0,L19*-1,0)</f>
        <v>0</v>
      </c>
      <c r="Y19" s="6" t="n">
        <f aca="false">W19+X19</f>
        <v>2188</v>
      </c>
      <c r="Z19" s="11" t="n">
        <v>0.11</v>
      </c>
      <c r="AA19" s="12" t="n">
        <v>57</v>
      </c>
      <c r="AB19" s="12" t="n">
        <v>36</v>
      </c>
      <c r="AC19" s="13" t="n">
        <f aca="false">AC18+1</f>
        <v>10</v>
      </c>
      <c r="AD19" s="12" t="n">
        <f aca="false">IF(I19&gt;S19,I19-S19,I19-S19)</f>
        <v>1559</v>
      </c>
      <c r="AE19" s="12"/>
      <c r="AG19" s="6"/>
    </row>
    <row r="20" customFormat="false" ht="11.1" hidden="false" customHeight="true" outlineLevel="0" collapsed="false">
      <c r="A20" s="13" t="n">
        <f aca="false">A19+1</f>
        <v>11</v>
      </c>
      <c r="B20" s="29" t="n">
        <v>6900.15</v>
      </c>
      <c r="C20" s="7" t="n">
        <v>284135</v>
      </c>
      <c r="D20" s="12" t="n">
        <f aca="false">C20-C19</f>
        <v>0</v>
      </c>
      <c r="E20" s="7" t="n">
        <f aca="false">C20-152000</f>
        <v>132135</v>
      </c>
      <c r="F20" s="6" t="n">
        <f aca="false">D20/$D$2</f>
        <v>0</v>
      </c>
      <c r="G20" s="6" t="n">
        <v>1716</v>
      </c>
      <c r="H20" s="37" t="n">
        <v>1</v>
      </c>
      <c r="I20" s="6" t="n">
        <f aca="false">G20+H20</f>
        <v>1717</v>
      </c>
      <c r="J20" s="109" t="n">
        <f aca="false">IF(L20&gt;0,L20,0)</f>
        <v>32</v>
      </c>
      <c r="K20" s="6" t="n">
        <f aca="false">I20+J20</f>
        <v>1749</v>
      </c>
      <c r="L20" s="6" t="n">
        <f aca="false">F20-(I20-W20)</f>
        <v>32</v>
      </c>
      <c r="M20" s="6" t="n">
        <v>227</v>
      </c>
      <c r="N20" s="6" t="n">
        <v>0</v>
      </c>
      <c r="O20" s="6" t="n">
        <v>0</v>
      </c>
      <c r="P20" s="6" t="n">
        <f aca="false">M20-(N20+O20)</f>
        <v>227</v>
      </c>
      <c r="Q20" s="6" t="n">
        <v>173</v>
      </c>
      <c r="R20" s="6" t="n">
        <v>83</v>
      </c>
      <c r="S20" s="6" t="n">
        <f aca="false">SUM(P20:R20)</f>
        <v>483</v>
      </c>
      <c r="T20" s="52"/>
      <c r="U20" s="6" t="n">
        <v>0</v>
      </c>
      <c r="V20" s="6" t="n">
        <v>1266</v>
      </c>
      <c r="W20" s="6" t="n">
        <f aca="false">N20+O20+S20+U20+V20</f>
        <v>1749</v>
      </c>
      <c r="X20" s="6" t="n">
        <f aca="false">IF(L20&lt;0,L20*-1,0)</f>
        <v>0</v>
      </c>
      <c r="Y20" s="6" t="n">
        <f aca="false">W20+X20</f>
        <v>1749</v>
      </c>
      <c r="Z20" s="11" t="n">
        <v>0</v>
      </c>
      <c r="AA20" s="12" t="n">
        <v>64</v>
      </c>
      <c r="AB20" s="12" t="n">
        <v>37</v>
      </c>
      <c r="AC20" s="13" t="n">
        <f aca="false">AC19+1</f>
        <v>11</v>
      </c>
      <c r="AD20" s="12" t="n">
        <f aca="false">IF(I20&gt;S20,I20-S20,I20-S20)</f>
        <v>1234</v>
      </c>
      <c r="AE20" s="12"/>
      <c r="AG20" s="6"/>
    </row>
    <row r="21" customFormat="false" ht="11.1" hidden="false" customHeight="true" outlineLevel="0" collapsed="false">
      <c r="A21" s="13" t="n">
        <f aca="false">A20+1</f>
        <v>12</v>
      </c>
      <c r="B21" s="29" t="n">
        <v>6900.19</v>
      </c>
      <c r="C21" s="7" t="n">
        <v>284283</v>
      </c>
      <c r="D21" s="12" t="n">
        <f aca="false">C21-C20</f>
        <v>148</v>
      </c>
      <c r="E21" s="7" t="n">
        <f aca="false">C21-152000</f>
        <v>132283</v>
      </c>
      <c r="F21" s="6" t="n">
        <f aca="false">D21/$D$2</f>
        <v>74.6155785228132</v>
      </c>
      <c r="G21" s="6" t="n">
        <v>1646</v>
      </c>
      <c r="H21" s="37" t="n">
        <v>0</v>
      </c>
      <c r="I21" s="6" t="n">
        <f aca="false">G21+H21</f>
        <v>1646</v>
      </c>
      <c r="J21" s="109" t="n">
        <f aca="false">IF(L21&gt;0,L21,0)</f>
        <v>108.615578522813</v>
      </c>
      <c r="K21" s="6" t="n">
        <f aca="false">I21+J21</f>
        <v>1754.61557852281</v>
      </c>
      <c r="L21" s="6" t="n">
        <f aca="false">F21-(I21-W21)</f>
        <v>108.615578522813</v>
      </c>
      <c r="M21" s="6" t="n">
        <v>224</v>
      </c>
      <c r="N21" s="6" t="n">
        <v>0</v>
      </c>
      <c r="O21" s="6" t="n">
        <v>0</v>
      </c>
      <c r="P21" s="6" t="n">
        <f aca="false">M21-(N21+O21)</f>
        <v>224</v>
      </c>
      <c r="Q21" s="6" t="n">
        <v>173</v>
      </c>
      <c r="R21" s="6" t="n">
        <v>82</v>
      </c>
      <c r="S21" s="6" t="n">
        <f aca="false">SUM(P21:R21)</f>
        <v>479</v>
      </c>
      <c r="T21" s="52"/>
      <c r="U21" s="6" t="n">
        <v>0</v>
      </c>
      <c r="V21" s="6" t="n">
        <v>1201</v>
      </c>
      <c r="W21" s="6" t="n">
        <f aca="false">N21+O21+S21+U21+V21</f>
        <v>1680</v>
      </c>
      <c r="X21" s="6" t="n">
        <f aca="false">IF(L21&lt;0,L21*-1,0)</f>
        <v>0</v>
      </c>
      <c r="Y21" s="6" t="n">
        <f aca="false">W21+X21</f>
        <v>1680</v>
      </c>
      <c r="Z21" s="11" t="n">
        <v>0</v>
      </c>
      <c r="AA21" s="12" t="n">
        <v>75</v>
      </c>
      <c r="AB21" s="12" t="n">
        <v>37</v>
      </c>
      <c r="AC21" s="13" t="n">
        <f aca="false">AC20+1</f>
        <v>12</v>
      </c>
      <c r="AD21" s="12" t="n">
        <f aca="false">IF(I21&gt;S21,I21-S21,I21-S21)</f>
        <v>1167</v>
      </c>
      <c r="AE21" s="12"/>
      <c r="AG21" s="6"/>
    </row>
    <row r="22" customFormat="false" ht="11.1" hidden="false" customHeight="true" outlineLevel="0" collapsed="false">
      <c r="A22" s="13" t="n">
        <f aca="false">A21+1</f>
        <v>13</v>
      </c>
      <c r="B22" s="29" t="n">
        <v>6900.32</v>
      </c>
      <c r="C22" s="7" t="n">
        <v>284764</v>
      </c>
      <c r="D22" s="12" t="n">
        <f aca="false">C22-C21</f>
        <v>481</v>
      </c>
      <c r="E22" s="7" t="n">
        <f aca="false">C22-152000</f>
        <v>132764</v>
      </c>
      <c r="F22" s="6" t="n">
        <f aca="false">D22/$D$2</f>
        <v>242.500630199143</v>
      </c>
      <c r="G22" s="6" t="n">
        <v>1727</v>
      </c>
      <c r="H22" s="37" t="n">
        <v>0</v>
      </c>
      <c r="I22" s="6" t="n">
        <f aca="false">G22+H22</f>
        <v>1727</v>
      </c>
      <c r="J22" s="109" t="n">
        <f aca="false">IF(L22&gt;0,L22,0)</f>
        <v>196.500630199143</v>
      </c>
      <c r="K22" s="6" t="n">
        <f aca="false">I22+J22</f>
        <v>1923.50063019914</v>
      </c>
      <c r="L22" s="6" t="n">
        <f aca="false">F22-(I22-W22)</f>
        <v>196.500630199143</v>
      </c>
      <c r="M22" s="6" t="n">
        <v>225</v>
      </c>
      <c r="N22" s="6" t="n">
        <v>0</v>
      </c>
      <c r="O22" s="6" t="n">
        <v>0</v>
      </c>
      <c r="P22" s="6" t="n">
        <f aca="false">M22-(N22+O22)</f>
        <v>225</v>
      </c>
      <c r="Q22" s="6" t="n">
        <v>173</v>
      </c>
      <c r="R22" s="6" t="n">
        <v>82</v>
      </c>
      <c r="S22" s="6" t="n">
        <f aca="false">SUM(P22:R22)</f>
        <v>480</v>
      </c>
      <c r="T22" s="52"/>
      <c r="U22" s="6" t="n">
        <v>0</v>
      </c>
      <c r="V22" s="6" t="n">
        <v>1201</v>
      </c>
      <c r="W22" s="6" t="n">
        <f aca="false">N22+O22+S22+U22+V22</f>
        <v>1681</v>
      </c>
      <c r="X22" s="6" t="n">
        <f aca="false">IF(L22&lt;0,L22*-1,0)</f>
        <v>0</v>
      </c>
      <c r="Y22" s="6" t="n">
        <f aca="false">W22+X22</f>
        <v>1681</v>
      </c>
      <c r="Z22" s="11" t="n">
        <v>0</v>
      </c>
      <c r="AA22" s="12" t="n">
        <v>84</v>
      </c>
      <c r="AB22" s="12" t="n">
        <v>45</v>
      </c>
      <c r="AC22" s="13" t="n">
        <f aca="false">AC21+1</f>
        <v>13</v>
      </c>
      <c r="AD22" s="12" t="n">
        <f aca="false">IF(I22&gt;S22,I22-S22,I22-S22)</f>
        <v>1247</v>
      </c>
      <c r="AE22" s="12"/>
      <c r="AG22" s="6"/>
    </row>
    <row r="23" customFormat="false" ht="11.1" hidden="false" customHeight="true" outlineLevel="0" collapsed="false">
      <c r="A23" s="13" t="n">
        <f aca="false">A22+1</f>
        <v>14</v>
      </c>
      <c r="B23" s="29" t="n">
        <v>6900.42</v>
      </c>
      <c r="C23" s="7" t="n">
        <v>285135</v>
      </c>
      <c r="D23" s="12" t="n">
        <f aca="false">C23-C22</f>
        <v>371</v>
      </c>
      <c r="E23" s="7" t="n">
        <f aca="false">C23-152000</f>
        <v>133135</v>
      </c>
      <c r="F23" s="6" t="n">
        <f aca="false">D23/$D$2</f>
        <v>187.043105621376</v>
      </c>
      <c r="G23" s="6" t="n">
        <v>1818</v>
      </c>
      <c r="H23" s="37" t="n">
        <v>0</v>
      </c>
      <c r="I23" s="6" t="n">
        <f aca="false">G23+H23</f>
        <v>1818</v>
      </c>
      <c r="J23" s="109" t="n">
        <f aca="false">IF(L23&gt;0,L23,0)</f>
        <v>39.0431056213764</v>
      </c>
      <c r="K23" s="6" t="n">
        <f aca="false">I23+J23</f>
        <v>1857.04310562138</v>
      </c>
      <c r="L23" s="6" t="n">
        <f aca="false">F23-(I23-W23)</f>
        <v>39.0431056213764</v>
      </c>
      <c r="M23" s="6" t="n">
        <v>225</v>
      </c>
      <c r="N23" s="6" t="n">
        <v>0</v>
      </c>
      <c r="O23" s="6" t="n">
        <v>0</v>
      </c>
      <c r="P23" s="6" t="n">
        <f aca="false">M23-(N23+O23)</f>
        <v>225</v>
      </c>
      <c r="Q23" s="6" t="n">
        <v>162</v>
      </c>
      <c r="R23" s="6" t="n">
        <v>82</v>
      </c>
      <c r="S23" s="6" t="n">
        <f aca="false">SUM(P23:R23)</f>
        <v>469</v>
      </c>
      <c r="T23" s="52"/>
      <c r="U23" s="6" t="n">
        <v>0</v>
      </c>
      <c r="V23" s="6" t="n">
        <v>1201</v>
      </c>
      <c r="W23" s="6" t="n">
        <f aca="false">N23+O23+S23+U23+V23</f>
        <v>1670</v>
      </c>
      <c r="X23" s="6" t="n">
        <f aca="false">IF(L23&lt;0,L23*-1,0)</f>
        <v>0</v>
      </c>
      <c r="Y23" s="6" t="n">
        <f aca="false">W23+X23</f>
        <v>1670</v>
      </c>
      <c r="Z23" s="11" t="n">
        <v>0</v>
      </c>
      <c r="AA23" s="12"/>
      <c r="AB23" s="12"/>
      <c r="AC23" s="13" t="n">
        <f aca="false">AC22+1</f>
        <v>14</v>
      </c>
      <c r="AD23" s="12" t="n">
        <f aca="false">IF(I23&gt;S23,I23-S23,I23-S23)</f>
        <v>1349</v>
      </c>
      <c r="AE23" s="12"/>
      <c r="AG23" s="6"/>
    </row>
    <row r="24" customFormat="false" ht="11.1" hidden="false" customHeight="true" outlineLevel="0" collapsed="false">
      <c r="A24" s="13" t="n">
        <f aca="false">A23+1</f>
        <v>15</v>
      </c>
      <c r="B24" s="29" t="n">
        <v>6900.52</v>
      </c>
      <c r="C24" s="7" t="n">
        <v>285505</v>
      </c>
      <c r="D24" s="12" t="n">
        <f aca="false">C24-C23</f>
        <v>370</v>
      </c>
      <c r="E24" s="7" t="n">
        <f aca="false">C24-152000</f>
        <v>133505</v>
      </c>
      <c r="F24" s="6" t="n">
        <f aca="false">D24/$D$2</f>
        <v>186.538946307033</v>
      </c>
      <c r="G24" s="6" t="n">
        <v>1778</v>
      </c>
      <c r="H24" s="37" t="n">
        <v>0</v>
      </c>
      <c r="I24" s="6" t="n">
        <f aca="false">G24+H24</f>
        <v>1778</v>
      </c>
      <c r="J24" s="109" t="n">
        <f aca="false">IF(L24&gt;0,L24,0)</f>
        <v>78.538946307033</v>
      </c>
      <c r="K24" s="6" t="n">
        <f aca="false">I24+J24</f>
        <v>1856.53894630703</v>
      </c>
      <c r="L24" s="6" t="n">
        <f aca="false">F24-(I24-W24)</f>
        <v>78.538946307033</v>
      </c>
      <c r="M24" s="6" t="n">
        <v>225</v>
      </c>
      <c r="N24" s="6" t="n">
        <v>0</v>
      </c>
      <c r="O24" s="6" t="n">
        <v>0</v>
      </c>
      <c r="P24" s="6" t="n">
        <f aca="false">M24-(N24+O24)</f>
        <v>225</v>
      </c>
      <c r="Q24" s="6" t="n">
        <v>162</v>
      </c>
      <c r="R24" s="6" t="n">
        <v>82</v>
      </c>
      <c r="S24" s="6" t="n">
        <f aca="false">SUM(P24:R24)</f>
        <v>469</v>
      </c>
      <c r="T24" s="52"/>
      <c r="U24" s="6" t="n">
        <v>0</v>
      </c>
      <c r="V24" s="6" t="n">
        <v>1201</v>
      </c>
      <c r="W24" s="6" t="n">
        <f aca="false">N24+O24+S24+U24+V24</f>
        <v>1670</v>
      </c>
      <c r="X24" s="6" t="n">
        <f aca="false">IF(L24&lt;0,L24*-1,0)</f>
        <v>0</v>
      </c>
      <c r="Y24" s="6" t="n">
        <f aca="false">W24+X24</f>
        <v>1670</v>
      </c>
      <c r="Z24" s="11" t="n">
        <v>0</v>
      </c>
      <c r="AA24" s="12"/>
      <c r="AB24" s="12"/>
      <c r="AC24" s="13" t="n">
        <f aca="false">AC23+1</f>
        <v>15</v>
      </c>
      <c r="AD24" s="12" t="n">
        <f aca="false">IF(I24&gt;S24,I24-S24,I24-S24)</f>
        <v>1309</v>
      </c>
      <c r="AE24" s="12"/>
      <c r="AG24" s="6"/>
    </row>
    <row r="25" customFormat="false" ht="11.1" hidden="false" customHeight="true" outlineLevel="0" collapsed="false">
      <c r="A25" s="13" t="n">
        <f aca="false">A24+1</f>
        <v>16</v>
      </c>
      <c r="B25" s="29" t="n">
        <v>6900.55</v>
      </c>
      <c r="C25" s="7" t="n">
        <v>285616</v>
      </c>
      <c r="D25" s="12" t="n">
        <f aca="false">C25-C24</f>
        <v>111</v>
      </c>
      <c r="E25" s="7" t="n">
        <f aca="false">C25-152000</f>
        <v>133616</v>
      </c>
      <c r="F25" s="6" t="n">
        <f aca="false">D25/$D$2</f>
        <v>55.9616838921099</v>
      </c>
      <c r="G25" s="6" t="n">
        <v>1681</v>
      </c>
      <c r="H25" s="37" t="n">
        <v>0</v>
      </c>
      <c r="I25" s="6" t="n">
        <f aca="false">G25+H25</f>
        <v>1681</v>
      </c>
      <c r="J25" s="109" t="n">
        <f aca="false">IF(L25&gt;0,L25,0)</f>
        <v>53.9616838921099</v>
      </c>
      <c r="K25" s="6" t="n">
        <f aca="false">I25+J25</f>
        <v>1734.96168389211</v>
      </c>
      <c r="L25" s="6" t="n">
        <f aca="false">F25-(I25-W25)</f>
        <v>53.9616838921099</v>
      </c>
      <c r="M25" s="6" t="n">
        <v>225</v>
      </c>
      <c r="N25" s="6" t="n">
        <v>0</v>
      </c>
      <c r="O25" s="6" t="n">
        <v>0</v>
      </c>
      <c r="P25" s="6" t="n">
        <f aca="false">M25-(N25+O25)</f>
        <v>225</v>
      </c>
      <c r="Q25" s="6" t="n">
        <v>168</v>
      </c>
      <c r="R25" s="6" t="n">
        <v>85</v>
      </c>
      <c r="S25" s="6" t="n">
        <f aca="false">SUM(P25:R25)</f>
        <v>478</v>
      </c>
      <c r="T25" s="52"/>
      <c r="U25" s="6" t="n">
        <v>0</v>
      </c>
      <c r="V25" s="6" t="n">
        <v>1201</v>
      </c>
      <c r="W25" s="6" t="n">
        <f aca="false">N25+O25+S25+U25+V25</f>
        <v>1679</v>
      </c>
      <c r="X25" s="6" t="n">
        <f aca="false">IF(L25&lt;0,L25*-1,0)</f>
        <v>0</v>
      </c>
      <c r="Y25" s="6" t="n">
        <f aca="false">W25+X25</f>
        <v>1679</v>
      </c>
      <c r="Z25" s="11" t="n">
        <v>0</v>
      </c>
      <c r="AA25" s="12" t="n">
        <v>80</v>
      </c>
      <c r="AB25" s="12" t="n">
        <v>43</v>
      </c>
      <c r="AC25" s="13" t="n">
        <f aca="false">AC24+1</f>
        <v>16</v>
      </c>
      <c r="AD25" s="12" t="n">
        <f aca="false">IF(I25&gt;S25,I25-S25,I25-S25)</f>
        <v>1203</v>
      </c>
      <c r="AE25" s="12"/>
      <c r="AG25" s="6"/>
    </row>
    <row r="26" customFormat="false" ht="11.1" hidden="false" customHeight="true" outlineLevel="0" collapsed="false">
      <c r="A26" s="13" t="n">
        <f aca="false">A25+1</f>
        <v>17</v>
      </c>
      <c r="B26" s="29" t="n">
        <v>6900.56</v>
      </c>
      <c r="C26" s="7" t="n">
        <v>285653</v>
      </c>
      <c r="D26" s="12" t="n">
        <f aca="false">C26-C25</f>
        <v>37</v>
      </c>
      <c r="E26" s="7" t="n">
        <f aca="false">C26-152000</f>
        <v>133653</v>
      </c>
      <c r="F26" s="6" t="n">
        <f aca="false">D26/$D$2</f>
        <v>18.6538946307033</v>
      </c>
      <c r="G26" s="6" t="n">
        <v>1624</v>
      </c>
      <c r="H26" s="37" t="n">
        <v>0</v>
      </c>
      <c r="I26" s="6" t="n">
        <f aca="false">G26+H26</f>
        <v>1624</v>
      </c>
      <c r="J26" s="109" t="n">
        <f aca="false">IF(L26&gt;0,L26,0)</f>
        <v>78.6538946307033</v>
      </c>
      <c r="K26" s="6" t="n">
        <f aca="false">I26+J26</f>
        <v>1702.6538946307</v>
      </c>
      <c r="L26" s="6" t="n">
        <f aca="false">F26-(I26-W26)</f>
        <v>78.6538946307033</v>
      </c>
      <c r="M26" s="6" t="n">
        <v>223</v>
      </c>
      <c r="N26" s="6" t="n">
        <v>0</v>
      </c>
      <c r="O26" s="6" t="n">
        <v>0</v>
      </c>
      <c r="P26" s="6" t="n">
        <f aca="false">M26-(N26+O26)</f>
        <v>223</v>
      </c>
      <c r="Q26" s="6" t="n">
        <v>173</v>
      </c>
      <c r="R26" s="6" t="n">
        <v>87</v>
      </c>
      <c r="S26" s="6" t="n">
        <f aca="false">SUM(P26:R26)</f>
        <v>483</v>
      </c>
      <c r="T26" s="52"/>
      <c r="U26" s="6" t="n">
        <v>0</v>
      </c>
      <c r="V26" s="6" t="n">
        <v>1201</v>
      </c>
      <c r="W26" s="6" t="n">
        <f aca="false">N26+O26+S26+U26+V26</f>
        <v>1684</v>
      </c>
      <c r="X26" s="6" t="n">
        <f aca="false">IF(L26&lt;0,L26*-1,0)</f>
        <v>0</v>
      </c>
      <c r="Y26" s="6" t="n">
        <f aca="false">W26+X26</f>
        <v>1684</v>
      </c>
      <c r="Z26" s="11" t="n">
        <v>0</v>
      </c>
      <c r="AA26" s="12" t="n">
        <v>83</v>
      </c>
      <c r="AB26" s="12" t="n">
        <v>45</v>
      </c>
      <c r="AC26" s="13" t="n">
        <f aca="false">AC25+1</f>
        <v>17</v>
      </c>
      <c r="AD26" s="12" t="n">
        <f aca="false">IF(I26&gt;S26,I26-S26,I26-S26)</f>
        <v>1141</v>
      </c>
      <c r="AE26" s="12"/>
      <c r="AG26" s="6"/>
    </row>
    <row r="27" customFormat="false" ht="11.1" hidden="false" customHeight="true" outlineLevel="0" collapsed="false">
      <c r="A27" s="13" t="n">
        <f aca="false">A26+1</f>
        <v>18</v>
      </c>
      <c r="B27" s="29" t="n">
        <v>6900.55</v>
      </c>
      <c r="C27" s="7" t="n">
        <v>285616</v>
      </c>
      <c r="D27" s="12" t="n">
        <f aca="false">C27-C26</f>
        <v>-37</v>
      </c>
      <c r="E27" s="7" t="n">
        <f aca="false">C27-152000</f>
        <v>133616</v>
      </c>
      <c r="F27" s="6" t="n">
        <f aca="false">D27/$D$2</f>
        <v>-18.6538946307033</v>
      </c>
      <c r="G27" s="6" t="n">
        <v>1600</v>
      </c>
      <c r="H27" s="37" t="n">
        <v>0</v>
      </c>
      <c r="I27" s="6" t="n">
        <f aca="false">G27+H27</f>
        <v>1600</v>
      </c>
      <c r="J27" s="109" t="n">
        <f aca="false">IF(L27&gt;0,L27,0)</f>
        <v>79.3461053692967</v>
      </c>
      <c r="K27" s="6" t="n">
        <f aca="false">I27+J27</f>
        <v>1679.3461053693</v>
      </c>
      <c r="L27" s="6" t="n">
        <f aca="false">F27-(I27-W27)</f>
        <v>79.3461053692967</v>
      </c>
      <c r="M27" s="6" t="n">
        <v>232</v>
      </c>
      <c r="N27" s="6" t="n">
        <v>0</v>
      </c>
      <c r="O27" s="6" t="n">
        <v>0</v>
      </c>
      <c r="P27" s="6" t="n">
        <f aca="false">M27-(N27+O27)</f>
        <v>232</v>
      </c>
      <c r="Q27" s="6" t="n">
        <v>177</v>
      </c>
      <c r="R27" s="6" t="n">
        <v>88</v>
      </c>
      <c r="S27" s="6" t="n">
        <f aca="false">SUM(P27:R27)</f>
        <v>497</v>
      </c>
      <c r="T27" s="52"/>
      <c r="U27" s="6" t="n">
        <v>0</v>
      </c>
      <c r="V27" s="6" t="n">
        <v>1201</v>
      </c>
      <c r="W27" s="6" t="n">
        <f aca="false">N27+O27+S27+U27+V27</f>
        <v>1698</v>
      </c>
      <c r="X27" s="6" t="n">
        <f aca="false">IF(L27&lt;0,L27*-1,0)</f>
        <v>0</v>
      </c>
      <c r="Y27" s="6" t="n">
        <f aca="false">W27+X27</f>
        <v>1698</v>
      </c>
      <c r="Z27" s="11" t="n">
        <v>0</v>
      </c>
      <c r="AA27" s="12" t="n">
        <v>84</v>
      </c>
      <c r="AB27" s="12" t="n">
        <v>46</v>
      </c>
      <c r="AC27" s="13" t="n">
        <f aca="false">AC26+1</f>
        <v>18</v>
      </c>
      <c r="AD27" s="12" t="n">
        <f aca="false">IF(I27&gt;S27,I27-S27,I27-S27)</f>
        <v>1103</v>
      </c>
      <c r="AE27" s="12"/>
      <c r="AG27" s="6"/>
    </row>
    <row r="28" customFormat="false" ht="11.1" hidden="false" customHeight="true" outlineLevel="0" collapsed="false">
      <c r="A28" s="13" t="n">
        <f aca="false">A27+1</f>
        <v>19</v>
      </c>
      <c r="B28" s="29" t="n">
        <v>6900.47</v>
      </c>
      <c r="C28" s="7" t="n">
        <v>285320</v>
      </c>
      <c r="D28" s="12" t="n">
        <f aca="false">C28-C27</f>
        <v>-296</v>
      </c>
      <c r="E28" s="7" t="n">
        <f aca="false">C28-152000</f>
        <v>133320</v>
      </c>
      <c r="F28" s="6" t="n">
        <f aca="false">D28/$D$2</f>
        <v>-149.231157045626</v>
      </c>
      <c r="G28" s="6" t="n">
        <v>1562</v>
      </c>
      <c r="H28" s="37" t="n">
        <v>0</v>
      </c>
      <c r="I28" s="6" t="n">
        <f aca="false">G28+H28</f>
        <v>1562</v>
      </c>
      <c r="J28" s="109" t="n">
        <f aca="false">IF(L28&gt;0,L28,0)</f>
        <v>0</v>
      </c>
      <c r="K28" s="6" t="n">
        <f aca="false">I28+J28</f>
        <v>1562</v>
      </c>
      <c r="L28" s="6" t="n">
        <f aca="false">F28-(I28-W28)</f>
        <v>-7.23115704562642</v>
      </c>
      <c r="M28" s="6" t="n">
        <v>236</v>
      </c>
      <c r="N28" s="6" t="n">
        <v>0</v>
      </c>
      <c r="O28" s="6" t="n">
        <v>0</v>
      </c>
      <c r="P28" s="6" t="n">
        <f aca="false">M28-(N28+O28)</f>
        <v>236</v>
      </c>
      <c r="Q28" s="6" t="n">
        <v>179</v>
      </c>
      <c r="R28" s="6" t="n">
        <v>88</v>
      </c>
      <c r="S28" s="6" t="n">
        <f aca="false">SUM(P28:R28)</f>
        <v>503</v>
      </c>
      <c r="T28" s="52"/>
      <c r="U28" s="6" t="n">
        <v>0</v>
      </c>
      <c r="V28" s="6" t="n">
        <v>1201</v>
      </c>
      <c r="W28" s="6" t="n">
        <f aca="false">N28+O28+S28+U28+V28</f>
        <v>1704</v>
      </c>
      <c r="X28" s="6" t="n">
        <f aca="false">IF(L28&lt;0,L28*-1,0)</f>
        <v>7.23115704562642</v>
      </c>
      <c r="Y28" s="6" t="n">
        <f aca="false">W28+X28</f>
        <v>1711.23115704563</v>
      </c>
      <c r="Z28" s="11" t="n">
        <v>0</v>
      </c>
      <c r="AA28" s="12" t="n">
        <v>78</v>
      </c>
      <c r="AB28" s="12" t="n">
        <v>48</v>
      </c>
      <c r="AC28" s="13" t="n">
        <f aca="false">AC27+1</f>
        <v>19</v>
      </c>
      <c r="AD28" s="12" t="n">
        <f aca="false">IF(I28&gt;S28,I28-S28,I28-S28)</f>
        <v>1059</v>
      </c>
      <c r="AE28" s="12"/>
      <c r="AG28" s="6"/>
    </row>
    <row r="29" customFormat="false" ht="11.1" hidden="false" customHeight="true" outlineLevel="0" collapsed="false">
      <c r="A29" s="13" t="n">
        <f aca="false">A28+1</f>
        <v>20</v>
      </c>
      <c r="B29" s="29" t="n">
        <v>6900.46</v>
      </c>
      <c r="C29" s="7" t="n">
        <v>285283</v>
      </c>
      <c r="D29" s="12" t="n">
        <f aca="false">C29-C28</f>
        <v>-37</v>
      </c>
      <c r="E29" s="7" t="n">
        <f aca="false">C29-152000</f>
        <v>133283</v>
      </c>
      <c r="F29" s="6" t="n">
        <f aca="false">D29/$D$2</f>
        <v>-18.6538946307033</v>
      </c>
      <c r="G29" s="6" t="n">
        <v>1379</v>
      </c>
      <c r="H29" s="37" t="n">
        <v>0</v>
      </c>
      <c r="I29" s="6" t="n">
        <f aca="false">G29+H29</f>
        <v>1379</v>
      </c>
      <c r="J29" s="109" t="n">
        <f aca="false">IF(L29&gt;0,L29,0)</f>
        <v>167.346105369297</v>
      </c>
      <c r="K29" s="6" t="n">
        <f aca="false">I29+J29</f>
        <v>1546.3461053693</v>
      </c>
      <c r="L29" s="6" t="n">
        <f aca="false">F29-(I29-W29)</f>
        <v>167.346105369297</v>
      </c>
      <c r="M29" s="6" t="n">
        <v>236</v>
      </c>
      <c r="N29" s="6" t="n">
        <v>0</v>
      </c>
      <c r="O29" s="6" t="n">
        <v>0</v>
      </c>
      <c r="P29" s="6" t="n">
        <f aca="false">M29-(N29+O29)</f>
        <v>236</v>
      </c>
      <c r="Q29" s="6" t="n">
        <v>174</v>
      </c>
      <c r="R29" s="6" t="n">
        <v>88</v>
      </c>
      <c r="S29" s="6" t="n">
        <f aca="false">SUM(P29:R29)</f>
        <v>498</v>
      </c>
      <c r="T29" s="52"/>
      <c r="U29" s="6" t="n">
        <v>0</v>
      </c>
      <c r="V29" s="6" t="n">
        <v>1067</v>
      </c>
      <c r="W29" s="6" t="n">
        <f aca="false">N29+O29+S29+U29+V29</f>
        <v>1565</v>
      </c>
      <c r="X29" s="6" t="n">
        <f aca="false">IF(L29&lt;0,L29*-1,0)</f>
        <v>0</v>
      </c>
      <c r="Y29" s="6" t="n">
        <f aca="false">W29+X29</f>
        <v>1565</v>
      </c>
      <c r="Z29" s="11" t="n">
        <v>0</v>
      </c>
      <c r="AA29" s="12" t="n">
        <v>80</v>
      </c>
      <c r="AB29" s="12" t="n">
        <v>47</v>
      </c>
      <c r="AC29" s="13" t="n">
        <f aca="false">AC28+1</f>
        <v>20</v>
      </c>
      <c r="AD29" s="12" t="n">
        <f aca="false">IF(I29&gt;S29,I29-S29,I29-S29)</f>
        <v>881</v>
      </c>
      <c r="AE29" s="12"/>
      <c r="AG29" s="6"/>
    </row>
    <row r="30" customFormat="false" ht="11.1" hidden="false" customHeight="true" outlineLevel="0" collapsed="false">
      <c r="A30" s="13" t="n">
        <f aca="false">A29+1</f>
        <v>21</v>
      </c>
      <c r="B30" s="29" t="n">
        <v>6900.4</v>
      </c>
      <c r="C30" s="7" t="n">
        <v>285061</v>
      </c>
      <c r="D30" s="12" t="n">
        <f aca="false">C30-C29</f>
        <v>-222</v>
      </c>
      <c r="E30" s="7" t="n">
        <f aca="false">C30-152000</f>
        <v>133061</v>
      </c>
      <c r="F30" s="6" t="n">
        <f aca="false">D30/$D$2</f>
        <v>-111.92336778422</v>
      </c>
      <c r="G30" s="6" t="n">
        <v>1251</v>
      </c>
      <c r="H30" s="37" t="n">
        <v>0</v>
      </c>
      <c r="I30" s="6" t="n">
        <f aca="false">G30+H30</f>
        <v>1251</v>
      </c>
      <c r="J30" s="109" t="n">
        <f aca="false">IF(L30&gt;0,L30,0)</f>
        <v>131.07663221578</v>
      </c>
      <c r="K30" s="6" t="n">
        <f aca="false">I30+J30</f>
        <v>1382.07663221578</v>
      </c>
      <c r="L30" s="6" t="n">
        <f aca="false">F30-(I30-W30)</f>
        <v>131.07663221578</v>
      </c>
      <c r="M30" s="6" t="n">
        <v>236</v>
      </c>
      <c r="N30" s="6" t="n">
        <v>0</v>
      </c>
      <c r="O30" s="6" t="n">
        <v>0</v>
      </c>
      <c r="P30" s="6" t="n">
        <f aca="false">M30-(N30+O30)</f>
        <v>236</v>
      </c>
      <c r="Q30" s="6" t="n">
        <v>169</v>
      </c>
      <c r="R30" s="6" t="n">
        <v>88</v>
      </c>
      <c r="S30" s="6" t="n">
        <f aca="false">SUM(P30:R30)</f>
        <v>493</v>
      </c>
      <c r="T30" s="52"/>
      <c r="U30" s="6" t="n">
        <v>0</v>
      </c>
      <c r="V30" s="6" t="n">
        <v>1001</v>
      </c>
      <c r="W30" s="6" t="n">
        <f aca="false">N30+O30+S30+U30+V30</f>
        <v>1494</v>
      </c>
      <c r="X30" s="6" t="n">
        <f aca="false">IF(L30&lt;0,L30*-1,0)</f>
        <v>0</v>
      </c>
      <c r="Y30" s="6" t="n">
        <f aca="false">W30+X30</f>
        <v>1494</v>
      </c>
      <c r="Z30" s="11" t="n">
        <v>0</v>
      </c>
      <c r="AA30" s="12"/>
      <c r="AB30" s="12"/>
      <c r="AC30" s="13" t="n">
        <f aca="false">AC29+1</f>
        <v>21</v>
      </c>
      <c r="AD30" s="12" t="n">
        <f aca="false">IF(I30&gt;S30,I30-S30,I30-S30)</f>
        <v>758</v>
      </c>
      <c r="AE30" s="12"/>
      <c r="AG30" s="6"/>
    </row>
    <row r="31" customFormat="false" ht="11.1" hidden="false" customHeight="true" outlineLevel="0" collapsed="false">
      <c r="A31" s="13" t="n">
        <f aca="false">A30+1</f>
        <v>22</v>
      </c>
      <c r="B31" s="29" t="n">
        <v>6900.37</v>
      </c>
      <c r="C31" s="7" t="n">
        <v>284950</v>
      </c>
      <c r="D31" s="12" t="n">
        <f aca="false">C31-C30</f>
        <v>-111</v>
      </c>
      <c r="E31" s="7" t="n">
        <f aca="false">C31-152000</f>
        <v>132950</v>
      </c>
      <c r="F31" s="6" t="n">
        <f aca="false">D31/$D$2</f>
        <v>-55.9616838921099</v>
      </c>
      <c r="G31" s="6" t="n">
        <v>1108</v>
      </c>
      <c r="H31" s="37" t="n">
        <v>0</v>
      </c>
      <c r="I31" s="6" t="n">
        <f aca="false">G31+H31</f>
        <v>1108</v>
      </c>
      <c r="J31" s="109" t="n">
        <f aca="false">IF(L31&gt;0,L31,0)</f>
        <v>188.03831610789</v>
      </c>
      <c r="K31" s="6" t="n">
        <f aca="false">I31+J31</f>
        <v>1296.03831610789</v>
      </c>
      <c r="L31" s="6" t="n">
        <f aca="false">F31-(I31-W31)</f>
        <v>188.03831610789</v>
      </c>
      <c r="M31" s="6" t="n">
        <v>236</v>
      </c>
      <c r="N31" s="6" t="n">
        <v>0</v>
      </c>
      <c r="O31" s="6" t="n">
        <v>0</v>
      </c>
      <c r="P31" s="6" t="n">
        <f aca="false">M31-(N31+O31)</f>
        <v>236</v>
      </c>
      <c r="Q31" s="6" t="n">
        <v>169</v>
      </c>
      <c r="R31" s="6" t="n">
        <v>89</v>
      </c>
      <c r="S31" s="6" t="n">
        <f aca="false">SUM(P31:R31)</f>
        <v>494</v>
      </c>
      <c r="T31" s="52"/>
      <c r="U31" s="6" t="n">
        <v>0</v>
      </c>
      <c r="V31" s="6" t="n">
        <v>858</v>
      </c>
      <c r="W31" s="6" t="n">
        <f aca="false">N31+O31+S31+U31+V31</f>
        <v>1352</v>
      </c>
      <c r="X31" s="6" t="n">
        <f aca="false">IF(L31&lt;0,L31*-1,0)</f>
        <v>0</v>
      </c>
      <c r="Y31" s="6" t="n">
        <f aca="false">W31+X31</f>
        <v>1352</v>
      </c>
      <c r="Z31" s="11" t="n">
        <v>0</v>
      </c>
      <c r="AA31" s="12"/>
      <c r="AB31" s="12"/>
      <c r="AC31" s="13" t="n">
        <f aca="false">AC30+1</f>
        <v>22</v>
      </c>
      <c r="AD31" s="12" t="n">
        <f aca="false">IF(I31&gt;S31,I31-S31,I31-S31)</f>
        <v>614</v>
      </c>
      <c r="AE31" s="12"/>
      <c r="AG31" s="6"/>
    </row>
    <row r="32" customFormat="false" ht="11.1" hidden="false" customHeight="true" outlineLevel="0" collapsed="false">
      <c r="A32" s="13" t="n">
        <f aca="false">A31+1</f>
        <v>23</v>
      </c>
      <c r="B32" s="29" t="n">
        <v>6900.56</v>
      </c>
      <c r="C32" s="7" t="n">
        <v>285653</v>
      </c>
      <c r="D32" s="12" t="n">
        <f aca="false">C32-C31</f>
        <v>703</v>
      </c>
      <c r="E32" s="7" t="n">
        <f aca="false">C32-152000</f>
        <v>133653</v>
      </c>
      <c r="F32" s="6" t="n">
        <f aca="false">D32/$D$2</f>
        <v>354.423997983363</v>
      </c>
      <c r="G32" s="6" t="n">
        <v>1051</v>
      </c>
      <c r="H32" s="37" t="n">
        <v>0</v>
      </c>
      <c r="I32" s="6" t="n">
        <f aca="false">G32+H32</f>
        <v>1051</v>
      </c>
      <c r="J32" s="109" t="n">
        <f aca="false">IF(L32&gt;0,L32,0)</f>
        <v>268.423997983363</v>
      </c>
      <c r="K32" s="6" t="n">
        <f aca="false">I32+J32</f>
        <v>1319.42399798336</v>
      </c>
      <c r="L32" s="6" t="n">
        <f aca="false">F32-(I32-W32)</f>
        <v>268.423997983363</v>
      </c>
      <c r="M32" s="6" t="n">
        <v>237</v>
      </c>
      <c r="N32" s="6" t="n">
        <v>0</v>
      </c>
      <c r="O32" s="6" t="n">
        <v>0</v>
      </c>
      <c r="P32" s="6" t="n">
        <f aca="false">M32-(N32+O32)</f>
        <v>237</v>
      </c>
      <c r="Q32" s="6" t="n">
        <v>170</v>
      </c>
      <c r="R32" s="6" t="n">
        <v>89</v>
      </c>
      <c r="S32" s="6" t="n">
        <f aca="false">SUM(P32:R32)</f>
        <v>496</v>
      </c>
      <c r="T32" s="52"/>
      <c r="U32" s="6" t="n">
        <v>0</v>
      </c>
      <c r="V32" s="6" t="n">
        <v>469</v>
      </c>
      <c r="W32" s="6" t="n">
        <f aca="false">N32+O32+S32+U32+V32</f>
        <v>965</v>
      </c>
      <c r="X32" s="6" t="n">
        <f aca="false">IF(L32&lt;0,L32*-1,0)</f>
        <v>0</v>
      </c>
      <c r="Y32" s="6" t="n">
        <f aca="false">W32+X32</f>
        <v>965</v>
      </c>
      <c r="Z32" s="11" t="n">
        <v>0</v>
      </c>
      <c r="AA32" s="12" t="n">
        <v>85</v>
      </c>
      <c r="AB32" s="12" t="n">
        <v>56</v>
      </c>
      <c r="AC32" s="13" t="n">
        <f aca="false">AC31+1</f>
        <v>23</v>
      </c>
      <c r="AD32" s="12" t="n">
        <f aca="false">IF(I32&gt;S32,I32-S32,I32-S32)</f>
        <v>555</v>
      </c>
      <c r="AE32" s="12"/>
      <c r="AG32" s="6"/>
    </row>
    <row r="33" customFormat="false" ht="11.1" hidden="false" customHeight="true" outlineLevel="0" collapsed="false">
      <c r="A33" s="13" t="n">
        <f aca="false">A32+1</f>
        <v>24</v>
      </c>
      <c r="B33" s="29" t="n">
        <v>6900.77</v>
      </c>
      <c r="C33" s="7" t="n">
        <v>286430</v>
      </c>
      <c r="D33" s="12" t="n">
        <f aca="false">C33-C32</f>
        <v>777</v>
      </c>
      <c r="E33" s="7" t="n">
        <f aca="false">C33-152000</f>
        <v>134430</v>
      </c>
      <c r="F33" s="6" t="n">
        <f aca="false">D33/$D$2</f>
        <v>391.731787244769</v>
      </c>
      <c r="G33" s="6" t="n">
        <v>886</v>
      </c>
      <c r="H33" s="37" t="n">
        <v>0</v>
      </c>
      <c r="I33" s="6" t="n">
        <f aca="false">G33+H33</f>
        <v>886</v>
      </c>
      <c r="J33" s="109" t="n">
        <f aca="false">IF(L33&gt;0,L33,0)</f>
        <v>174.731787244769</v>
      </c>
      <c r="K33" s="6" t="n">
        <f aca="false">I33+J33</f>
        <v>1060.73178724477</v>
      </c>
      <c r="L33" s="6" t="n">
        <f aca="false">F33-(I33-W33)</f>
        <v>174.731787244769</v>
      </c>
      <c r="M33" s="6" t="n">
        <v>237</v>
      </c>
      <c r="N33" s="6" t="n">
        <v>0</v>
      </c>
      <c r="O33" s="6" t="n">
        <v>0</v>
      </c>
      <c r="P33" s="6" t="n">
        <f aca="false">M33-(N33+O33)</f>
        <v>237</v>
      </c>
      <c r="Q33" s="6" t="n">
        <v>170</v>
      </c>
      <c r="R33" s="6" t="n">
        <v>87</v>
      </c>
      <c r="S33" s="6" t="n">
        <f aca="false">SUM(P33:R33)</f>
        <v>494</v>
      </c>
      <c r="T33" s="52"/>
      <c r="U33" s="6" t="n">
        <v>0</v>
      </c>
      <c r="V33" s="6" t="n">
        <v>175</v>
      </c>
      <c r="W33" s="6" t="n">
        <f aca="false">N33+O33+S33+U33+V33</f>
        <v>669</v>
      </c>
      <c r="X33" s="6" t="n">
        <f aca="false">IF(L33&lt;0,L33*-1,0)</f>
        <v>0</v>
      </c>
      <c r="Y33" s="6" t="n">
        <f aca="false">W33+X33</f>
        <v>669</v>
      </c>
      <c r="Z33" s="11" t="n">
        <v>0</v>
      </c>
      <c r="AA33" s="12" t="n">
        <v>82</v>
      </c>
      <c r="AB33" s="12" t="n">
        <v>50</v>
      </c>
      <c r="AC33" s="13" t="n">
        <f aca="false">AC32+1</f>
        <v>24</v>
      </c>
      <c r="AD33" s="12" t="n">
        <f aca="false">IF(I33&gt;S33,I33-S33,I33-S33)</f>
        <v>392</v>
      </c>
      <c r="AE33" s="12"/>
      <c r="AG33" s="6"/>
    </row>
    <row r="34" customFormat="false" ht="11.1" hidden="false" customHeight="true" outlineLevel="0" collapsed="false">
      <c r="A34" s="13" t="n">
        <f aca="false">A33+1</f>
        <v>25</v>
      </c>
      <c r="B34" s="29" t="n">
        <v>6901.15</v>
      </c>
      <c r="C34" s="7" t="n">
        <v>287842</v>
      </c>
      <c r="D34" s="12" t="n">
        <f aca="false">C34-C33</f>
        <v>1412</v>
      </c>
      <c r="E34" s="7" t="n">
        <f aca="false">C34-152000</f>
        <v>135842</v>
      </c>
      <c r="F34" s="6" t="n">
        <f aca="false">D34/$D$2</f>
        <v>711.872951852785</v>
      </c>
      <c r="G34" s="6" t="n">
        <v>811</v>
      </c>
      <c r="H34" s="37" t="n">
        <v>0</v>
      </c>
      <c r="I34" s="6" t="n">
        <f aca="false">G34+H34</f>
        <v>811</v>
      </c>
      <c r="J34" s="109" t="n">
        <f aca="false">IF(L34&gt;0,L34,0)</f>
        <v>483.872951852786</v>
      </c>
      <c r="K34" s="6" t="n">
        <f aca="false">I34+J34</f>
        <v>1294.87295185279</v>
      </c>
      <c r="L34" s="6" t="n">
        <f aca="false">F34-(I34-W34)</f>
        <v>483.872951852786</v>
      </c>
      <c r="M34" s="6" t="n">
        <v>238</v>
      </c>
      <c r="N34" s="6" t="n">
        <v>0</v>
      </c>
      <c r="O34" s="6" t="n">
        <v>0</v>
      </c>
      <c r="P34" s="6" t="n">
        <f aca="false">M34-(N34+O34)</f>
        <v>238</v>
      </c>
      <c r="Q34" s="6" t="n">
        <v>170</v>
      </c>
      <c r="R34" s="6" t="n">
        <v>86</v>
      </c>
      <c r="S34" s="6" t="n">
        <f aca="false">SUM(P34:R34)</f>
        <v>494</v>
      </c>
      <c r="T34" s="52"/>
      <c r="U34" s="6" t="n">
        <v>0</v>
      </c>
      <c r="V34" s="6" t="n">
        <v>89</v>
      </c>
      <c r="W34" s="6" t="n">
        <f aca="false">N34+O34+S34+U34+V34</f>
        <v>583</v>
      </c>
      <c r="X34" s="6" t="n">
        <f aca="false">IF(L34&lt;0,L34*-1,0)</f>
        <v>0</v>
      </c>
      <c r="Y34" s="6" t="n">
        <f aca="false">W34+X34</f>
        <v>583</v>
      </c>
      <c r="Z34" s="11" t="n">
        <v>0</v>
      </c>
      <c r="AA34" s="12" t="n">
        <v>70</v>
      </c>
      <c r="AB34" s="12" t="n">
        <v>50</v>
      </c>
      <c r="AC34" s="13" t="n">
        <f aca="false">AC33+1</f>
        <v>25</v>
      </c>
      <c r="AD34" s="12" t="n">
        <f aca="false">IF(I34&gt;S34,I34-S34,I34-S34)</f>
        <v>317</v>
      </c>
      <c r="AE34" s="12"/>
      <c r="AG34" s="6"/>
    </row>
    <row r="35" customFormat="false" ht="11.1" hidden="false" customHeight="true" outlineLevel="0" collapsed="false">
      <c r="A35" s="13" t="n">
        <f aca="false">A34+1</f>
        <v>26</v>
      </c>
      <c r="B35" s="29" t="n">
        <v>6901.48</v>
      </c>
      <c r="C35" s="7" t="n">
        <v>289074</v>
      </c>
      <c r="D35" s="12" t="n">
        <f aca="false">C35-C34</f>
        <v>1232</v>
      </c>
      <c r="E35" s="7" t="n">
        <f aca="false">C35-152000</f>
        <v>137074</v>
      </c>
      <c r="F35" s="6" t="n">
        <f aca="false">D35/$D$2</f>
        <v>621.124275270986</v>
      </c>
      <c r="G35" s="6" t="n">
        <v>1114</v>
      </c>
      <c r="H35" s="37" t="n">
        <v>0</v>
      </c>
      <c r="I35" s="6" t="n">
        <f aca="false">G35+H35</f>
        <v>1114</v>
      </c>
      <c r="J35" s="109" t="n">
        <f aca="false">IF(L35&gt;0,L35,0)</f>
        <v>93.1242752709857</v>
      </c>
      <c r="K35" s="6" t="n">
        <f aca="false">I35+J35</f>
        <v>1207.12427527099</v>
      </c>
      <c r="L35" s="6" t="n">
        <f aca="false">F35-(I35-W35)</f>
        <v>93.1242752709857</v>
      </c>
      <c r="M35" s="6" t="n">
        <v>240</v>
      </c>
      <c r="N35" s="6" t="n">
        <v>0</v>
      </c>
      <c r="O35" s="6" t="n">
        <v>0</v>
      </c>
      <c r="P35" s="6" t="n">
        <f aca="false">M35-(N35+O35)</f>
        <v>240</v>
      </c>
      <c r="Q35" s="6" t="n">
        <v>171</v>
      </c>
      <c r="R35" s="6" t="n">
        <v>86</v>
      </c>
      <c r="S35" s="6" t="n">
        <f aca="false">SUM(P35:R35)</f>
        <v>497</v>
      </c>
      <c r="T35" s="52"/>
      <c r="U35" s="6" t="n">
        <v>0</v>
      </c>
      <c r="V35" s="6" t="n">
        <v>89</v>
      </c>
      <c r="W35" s="6" t="n">
        <f aca="false">N35+O35+S35+U35+V35</f>
        <v>586</v>
      </c>
      <c r="X35" s="6" t="n">
        <f aca="false">IF(L35&lt;0,L35*-1,0)</f>
        <v>0</v>
      </c>
      <c r="Y35" s="6" t="n">
        <f aca="false">W35+X35</f>
        <v>586</v>
      </c>
      <c r="Z35" s="11" t="n">
        <v>0.35</v>
      </c>
      <c r="AA35" s="12" t="n">
        <v>63</v>
      </c>
      <c r="AB35" s="12" t="n">
        <v>45</v>
      </c>
      <c r="AC35" s="13" t="n">
        <f aca="false">AC34+1</f>
        <v>26</v>
      </c>
      <c r="AD35" s="12" t="n">
        <f aca="false">IF(I35&gt;S35,I35-S35,I35-S35)</f>
        <v>617</v>
      </c>
      <c r="AE35" s="12"/>
      <c r="AG35" s="3"/>
    </row>
    <row r="36" customFormat="false" ht="11.1" hidden="false" customHeight="true" outlineLevel="0" collapsed="false">
      <c r="A36" s="13" t="n">
        <f aca="false">A35+1</f>
        <v>27</v>
      </c>
      <c r="B36" s="29" t="n">
        <v>6901.77</v>
      </c>
      <c r="C36" s="7" t="n">
        <v>290156</v>
      </c>
      <c r="D36" s="12" t="n">
        <f aca="false">C36-C35</f>
        <v>1082</v>
      </c>
      <c r="E36" s="7" t="n">
        <f aca="false">C36-152000</f>
        <v>138156</v>
      </c>
      <c r="F36" s="6" t="n">
        <f aca="false">D36/$D$2</f>
        <v>545.500378119486</v>
      </c>
      <c r="G36" s="6" t="n">
        <v>953</v>
      </c>
      <c r="H36" s="37" t="n">
        <v>0</v>
      </c>
      <c r="I36" s="6" t="n">
        <f aca="false">G36+H36</f>
        <v>953</v>
      </c>
      <c r="J36" s="109" t="n">
        <f aca="false">IF(L36&gt;0,L36,0)</f>
        <v>181.500378119486</v>
      </c>
      <c r="K36" s="6" t="n">
        <f aca="false">I36+J36</f>
        <v>1134.50037811949</v>
      </c>
      <c r="L36" s="6" t="n">
        <f aca="false">F36-(I36-W36)</f>
        <v>181.500378119486</v>
      </c>
      <c r="M36" s="6" t="n">
        <v>241</v>
      </c>
      <c r="N36" s="6" t="n">
        <v>0</v>
      </c>
      <c r="O36" s="6" t="n">
        <v>0</v>
      </c>
      <c r="P36" s="6" t="n">
        <f aca="false">M36-(N36+O36)</f>
        <v>241</v>
      </c>
      <c r="Q36" s="6" t="n">
        <v>174</v>
      </c>
      <c r="R36" s="6" t="n">
        <v>85</v>
      </c>
      <c r="S36" s="6" t="n">
        <f aca="false">SUM(P36:R36)</f>
        <v>500</v>
      </c>
      <c r="T36" s="52"/>
      <c r="U36" s="6" t="n">
        <v>0</v>
      </c>
      <c r="V36" s="6" t="n">
        <v>89</v>
      </c>
      <c r="W36" s="6" t="n">
        <f aca="false">N36+O36+S36+U36+V36</f>
        <v>589</v>
      </c>
      <c r="X36" s="6" t="n">
        <f aca="false">IF(L36&lt;0,L36*-1,0)</f>
        <v>0</v>
      </c>
      <c r="Y36" s="6" t="n">
        <f aca="false">W36+X36</f>
        <v>589</v>
      </c>
      <c r="Z36" s="11" t="n">
        <v>0</v>
      </c>
      <c r="AA36" s="12" t="n">
        <v>78</v>
      </c>
      <c r="AB36" s="12" t="n">
        <v>48</v>
      </c>
      <c r="AC36" s="13" t="n">
        <f aca="false">AC35+1</f>
        <v>27</v>
      </c>
      <c r="AD36" s="12" t="n">
        <f aca="false">IF(I36&gt;S36,I36-S36,I36-S36)</f>
        <v>453</v>
      </c>
      <c r="AE36" s="12"/>
      <c r="AG36" s="6"/>
    </row>
    <row r="37" customFormat="false" ht="11.1" hidden="false" customHeight="true" outlineLevel="0" collapsed="false">
      <c r="A37" s="13" t="n">
        <f aca="false">A36+1</f>
        <v>28</v>
      </c>
      <c r="B37" s="29" t="n">
        <v>6901.96</v>
      </c>
      <c r="C37" s="7" t="n">
        <v>290865</v>
      </c>
      <c r="D37" s="12" t="n">
        <f aca="false">C37-C36</f>
        <v>709</v>
      </c>
      <c r="E37" s="7" t="n">
        <f aca="false">C37-152000</f>
        <v>138865</v>
      </c>
      <c r="F37" s="6" t="n">
        <f aca="false">D37/$D$2</f>
        <v>357.448953869423</v>
      </c>
      <c r="G37" s="6" t="n">
        <v>857</v>
      </c>
      <c r="H37" s="37" t="n">
        <v>0</v>
      </c>
      <c r="I37" s="6" t="n">
        <f aca="false">G37+H37</f>
        <v>857</v>
      </c>
      <c r="J37" s="109" t="n">
        <f aca="false">IF(L37&gt;0,L37,0)</f>
        <v>132.448953869423</v>
      </c>
      <c r="K37" s="6" t="n">
        <f aca="false">I37+J37</f>
        <v>989.448953869423</v>
      </c>
      <c r="L37" s="6" t="n">
        <f aca="false">F37-(I37-W37)</f>
        <v>132.448953869423</v>
      </c>
      <c r="M37" s="6" t="n">
        <v>242</v>
      </c>
      <c r="N37" s="6" t="n">
        <v>0</v>
      </c>
      <c r="O37" s="6" t="n">
        <v>0</v>
      </c>
      <c r="P37" s="6" t="n">
        <f aca="false">M37-(N37+O37)</f>
        <v>242</v>
      </c>
      <c r="Q37" s="6" t="n">
        <v>178</v>
      </c>
      <c r="R37" s="6" t="n">
        <v>84</v>
      </c>
      <c r="S37" s="6" t="n">
        <f aca="false">SUM(P37:R37)</f>
        <v>504</v>
      </c>
      <c r="T37" s="52"/>
      <c r="U37" s="6" t="n">
        <v>0</v>
      </c>
      <c r="V37" s="6" t="n">
        <v>128</v>
      </c>
      <c r="W37" s="6" t="n">
        <f aca="false">N37+O37+S37+U37+V37</f>
        <v>632</v>
      </c>
      <c r="X37" s="6" t="n">
        <f aca="false">IF(L37&lt;0,L37*-1,0)</f>
        <v>0</v>
      </c>
      <c r="Y37" s="6" t="n">
        <f aca="false">W37+X37</f>
        <v>632</v>
      </c>
      <c r="Z37" s="11" t="n">
        <v>0</v>
      </c>
      <c r="AA37" s="12"/>
      <c r="AB37" s="12"/>
      <c r="AC37" s="13" t="n">
        <f aca="false">AC36+1</f>
        <v>28</v>
      </c>
      <c r="AD37" s="12" t="n">
        <f aca="false">IF(I37&gt;S37,I37-S37,I37-S37)</f>
        <v>353</v>
      </c>
      <c r="AE37" s="12"/>
      <c r="AG37" s="6"/>
    </row>
    <row r="38" customFormat="false" ht="11.1" hidden="false" customHeight="true" outlineLevel="0" collapsed="false">
      <c r="A38" s="13" t="n">
        <f aca="false">A37+1</f>
        <v>29</v>
      </c>
      <c r="B38" s="29" t="n">
        <v>6902.01</v>
      </c>
      <c r="C38" s="7" t="n">
        <v>291052</v>
      </c>
      <c r="D38" s="12" t="n">
        <f aca="false">C38-C37</f>
        <v>187</v>
      </c>
      <c r="E38" s="7" t="n">
        <f aca="false">C38-152000</f>
        <v>139052</v>
      </c>
      <c r="F38" s="6" t="n">
        <f aca="false">D38/$D$2</f>
        <v>94.2777917822032</v>
      </c>
      <c r="G38" s="6" t="n">
        <v>930</v>
      </c>
      <c r="H38" s="37" t="n">
        <v>0</v>
      </c>
      <c r="I38" s="6" t="n">
        <f aca="false">G38+H38</f>
        <v>930</v>
      </c>
      <c r="J38" s="109" t="n">
        <f aca="false">IF(L38&gt;0,L38,0)</f>
        <v>52.2777917822032</v>
      </c>
      <c r="K38" s="6" t="n">
        <f aca="false">I38+J38</f>
        <v>982.277791782203</v>
      </c>
      <c r="L38" s="6" t="n">
        <f aca="false">F38-(I38-W38)</f>
        <v>52.2777917822032</v>
      </c>
      <c r="M38" s="6" t="n">
        <v>242</v>
      </c>
      <c r="N38" s="6" t="n">
        <v>0</v>
      </c>
      <c r="O38" s="6" t="n">
        <v>0</v>
      </c>
      <c r="P38" s="6" t="n">
        <f aca="false">M38-(N38+O38)</f>
        <v>242</v>
      </c>
      <c r="Q38" s="6" t="n">
        <v>179</v>
      </c>
      <c r="R38" s="6" t="n">
        <v>84</v>
      </c>
      <c r="S38" s="6" t="n">
        <f aca="false">SUM(P38:R38)</f>
        <v>505</v>
      </c>
      <c r="T38" s="52"/>
      <c r="U38" s="6" t="n">
        <v>0</v>
      </c>
      <c r="V38" s="6" t="n">
        <v>383</v>
      </c>
      <c r="W38" s="6" t="n">
        <f aca="false">N38+O38+S38+U38+V38</f>
        <v>888</v>
      </c>
      <c r="X38" s="6" t="n">
        <f aca="false">IF(L38&lt;0,L38*-1,0)</f>
        <v>0</v>
      </c>
      <c r="Y38" s="6" t="n">
        <f aca="false">W38+X38</f>
        <v>888</v>
      </c>
      <c r="Z38" s="11" t="n">
        <v>0</v>
      </c>
      <c r="AA38" s="12"/>
      <c r="AB38" s="12"/>
      <c r="AC38" s="13" t="n">
        <f aca="false">AC37+1</f>
        <v>29</v>
      </c>
      <c r="AD38" s="12" t="n">
        <f aca="false">IF(I38&gt;S38,I38-S38,I38-S38)</f>
        <v>425</v>
      </c>
      <c r="AE38" s="12"/>
      <c r="AG38" s="6"/>
    </row>
    <row r="39" customFormat="false" ht="11.1" hidden="false" customHeight="true" outlineLevel="0" collapsed="false">
      <c r="A39" s="13" t="n">
        <v>30</v>
      </c>
      <c r="B39" s="29" t="n">
        <v>6902.02</v>
      </c>
      <c r="C39" s="7" t="n">
        <v>291090</v>
      </c>
      <c r="D39" s="12" t="n">
        <f aca="false">C39-C38</f>
        <v>38</v>
      </c>
      <c r="E39" s="7" t="n">
        <f aca="false">C39-152000</f>
        <v>139090</v>
      </c>
      <c r="F39" s="6" t="n">
        <f aca="false">D39/$D$2</f>
        <v>19.1580539450466</v>
      </c>
      <c r="G39" s="6" t="n">
        <v>836</v>
      </c>
      <c r="H39" s="37" t="n">
        <v>0</v>
      </c>
      <c r="I39" s="6" t="n">
        <f aca="false">G39+H39</f>
        <v>836</v>
      </c>
      <c r="J39" s="109" t="n">
        <f aca="false">IF(L39&gt;0,L39,0)</f>
        <v>181.158053945047</v>
      </c>
      <c r="K39" s="6" t="n">
        <f aca="false">I39+J39</f>
        <v>1017.15805394505</v>
      </c>
      <c r="L39" s="6" t="n">
        <f aca="false">F39-(I39-W39)</f>
        <v>181.158053945047</v>
      </c>
      <c r="M39" s="6" t="n">
        <v>236</v>
      </c>
      <c r="N39" s="6" t="n">
        <v>0</v>
      </c>
      <c r="O39" s="6" t="n">
        <v>0</v>
      </c>
      <c r="P39" s="6" t="n">
        <f aca="false">M39-(N39+O39)</f>
        <v>236</v>
      </c>
      <c r="Q39" s="6" t="n">
        <v>179</v>
      </c>
      <c r="R39" s="6" t="n">
        <v>82</v>
      </c>
      <c r="S39" s="6" t="n">
        <f aca="false">SUM(P39:R39)</f>
        <v>497</v>
      </c>
      <c r="T39" s="52"/>
      <c r="U39" s="6" t="n">
        <v>0</v>
      </c>
      <c r="V39" s="6" t="n">
        <v>501</v>
      </c>
      <c r="W39" s="6" t="n">
        <f aca="false">N39+O39+S39+U39+V39</f>
        <v>998</v>
      </c>
      <c r="X39" s="6" t="n">
        <f aca="false">IF(L39&lt;0,L39*-1,0)</f>
        <v>0</v>
      </c>
      <c r="Y39" s="6" t="n">
        <f aca="false">W39+X39</f>
        <v>998</v>
      </c>
      <c r="Z39" s="11" t="n">
        <v>0.24</v>
      </c>
      <c r="AA39" s="12" t="n">
        <v>83</v>
      </c>
      <c r="AB39" s="12" t="n">
        <v>51</v>
      </c>
      <c r="AC39" s="13" t="n">
        <v>30</v>
      </c>
      <c r="AD39" s="12" t="n">
        <f aca="false">IF(I39&gt;S39,I39-S39,I39-S39)</f>
        <v>339</v>
      </c>
      <c r="AE39" s="12"/>
      <c r="AG39" s="6"/>
    </row>
    <row r="40" customFormat="false" ht="3" hidden="false" customHeight="true" outlineLevel="0" collapsed="false">
      <c r="A40" s="30"/>
      <c r="B40" s="30"/>
      <c r="C40" s="32"/>
      <c r="D40" s="30"/>
      <c r="E40" s="32"/>
      <c r="F40" s="30"/>
      <c r="G40" s="30"/>
      <c r="H40" s="136" t="n">
        <v>0.29</v>
      </c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2"/>
      <c r="U40" s="30"/>
      <c r="V40" s="30"/>
      <c r="W40" s="30"/>
      <c r="X40" s="30"/>
      <c r="Y40" s="30"/>
      <c r="Z40" s="34"/>
      <c r="AA40" s="35"/>
      <c r="AB40" s="35"/>
      <c r="AC40" s="36"/>
      <c r="AD40" s="105"/>
      <c r="AE40" s="105"/>
    </row>
    <row r="41" customFormat="false" ht="11.1" hidden="false" customHeight="true" outlineLevel="0" collapsed="false">
      <c r="A41" s="6" t="s">
        <v>44</v>
      </c>
      <c r="B41" s="6"/>
      <c r="C41" s="7"/>
      <c r="D41" s="7"/>
      <c r="E41" s="7"/>
      <c r="F41" s="7" t="n">
        <f aca="false">SUM(F10:F39)</f>
        <v>10747.6682631712</v>
      </c>
      <c r="G41" s="7" t="n">
        <f aca="false">SUM(G10:G39)</f>
        <v>52550</v>
      </c>
      <c r="H41" s="37" t="n">
        <f aca="false">SUM(H10:H39)</f>
        <v>63</v>
      </c>
      <c r="I41" s="7" t="n">
        <f aca="false">SUM(I10:I39)</f>
        <v>52613</v>
      </c>
      <c r="J41" s="7" t="n">
        <f aca="false">SUM(J10:J39)</f>
        <v>5688.98210234434</v>
      </c>
      <c r="K41" s="7" t="n">
        <f aca="false">SUM(K10:K39)</f>
        <v>58301.9821023443</v>
      </c>
      <c r="L41" s="7" t="n">
        <f aca="false">SUM(L10:L39)</f>
        <v>4864.66826317116</v>
      </c>
      <c r="M41" s="7" t="n">
        <f aca="false">SUM(M10:M39)</f>
        <v>7068</v>
      </c>
      <c r="N41" s="7" t="n">
        <f aca="false">SUM(N10:N39)</f>
        <v>0</v>
      </c>
      <c r="O41" s="7" t="n">
        <f aca="false">SUM(O10:O39)</f>
        <v>0</v>
      </c>
      <c r="P41" s="7" t="n">
        <f aca="false">SUM(P10:P39)</f>
        <v>7068</v>
      </c>
      <c r="Q41" s="7" t="n">
        <f aca="false">SUM(Q10:Q39)</f>
        <v>5155</v>
      </c>
      <c r="R41" s="7" t="n">
        <f aca="false">SUM(R10:R39)</f>
        <v>2548</v>
      </c>
      <c r="S41" s="7" t="n">
        <f aca="false">SUM(S10:S39)</f>
        <v>14771</v>
      </c>
      <c r="T41" s="7"/>
      <c r="U41" s="7" t="n">
        <f aca="false">SUM(U10:U39)</f>
        <v>0</v>
      </c>
      <c r="V41" s="7" t="n">
        <f aca="false">SUM(V10:V39)</f>
        <v>31959</v>
      </c>
      <c r="W41" s="7" t="n">
        <f aca="false">SUM(W10:W39)</f>
        <v>46730</v>
      </c>
      <c r="X41" s="7" t="n">
        <f aca="false">SUM(X10:X39)</f>
        <v>824.313839173179</v>
      </c>
      <c r="Y41" s="7" t="n">
        <f aca="false">SUM(Y10:Y39)</f>
        <v>47554.3138391732</v>
      </c>
      <c r="Z41" s="11" t="n">
        <f aca="false">SUM(Z10:Z39)</f>
        <v>1.31</v>
      </c>
      <c r="AA41" s="12" t="n">
        <f aca="false">AVERAGE(AA10:AA39)</f>
        <v>75.1428571428571</v>
      </c>
      <c r="AB41" s="12" t="n">
        <f aca="false">AVERAGE(AB10:AB39)</f>
        <v>44.952380952381</v>
      </c>
      <c r="AC41" s="13" t="s">
        <v>71</v>
      </c>
      <c r="AD41" s="105"/>
      <c r="AE41" s="105"/>
    </row>
    <row r="42" customFormat="false" ht="11.1" hidden="false" customHeight="true" outlineLevel="0" collapsed="false">
      <c r="A42" s="6" t="s">
        <v>46</v>
      </c>
      <c r="B42" s="6"/>
      <c r="C42" s="7"/>
      <c r="D42" s="7" t="n">
        <f aca="false">SUM(D10:D39)</f>
        <v>21318</v>
      </c>
      <c r="E42" s="7"/>
      <c r="F42" s="7" t="n">
        <f aca="false">F41*$D$2</f>
        <v>21318</v>
      </c>
      <c r="G42" s="7" t="n">
        <f aca="false">G41*$D$2</f>
        <v>104232.925</v>
      </c>
      <c r="H42" s="37" t="n">
        <f aca="false">H41*$D$2</f>
        <v>124.9605</v>
      </c>
      <c r="I42" s="7" t="n">
        <f aca="false">I41*$D$2</f>
        <v>104357.8855</v>
      </c>
      <c r="J42" s="7" t="n">
        <f aca="false">J41*$D$2</f>
        <v>11284.096</v>
      </c>
      <c r="K42" s="7" t="n">
        <f aca="false">K41*$D$2</f>
        <v>115641.9815</v>
      </c>
      <c r="L42" s="7" t="n">
        <f aca="false">L41*$D$2</f>
        <v>9649.0695</v>
      </c>
      <c r="M42" s="7" t="n">
        <f aca="false">M41*$D$2</f>
        <v>14019.378</v>
      </c>
      <c r="N42" s="7" t="n">
        <f aca="false">N41*$D$2</f>
        <v>0</v>
      </c>
      <c r="O42" s="7" t="n">
        <f aca="false">O41*$D$2</f>
        <v>0</v>
      </c>
      <c r="P42" s="7" t="n">
        <f aca="false">P41*$D$2</f>
        <v>14019.378</v>
      </c>
      <c r="Q42" s="7" t="n">
        <f aca="false">Q41*$D$2</f>
        <v>10224.9425</v>
      </c>
      <c r="R42" s="7" t="n">
        <f aca="false">R41*$D$2</f>
        <v>5053.958</v>
      </c>
      <c r="S42" s="7" t="n">
        <f aca="false">S41*$D$2</f>
        <v>29298.2785</v>
      </c>
      <c r="T42" s="7"/>
      <c r="U42" s="7" t="n">
        <f aca="false">U41*$D$2</f>
        <v>0</v>
      </c>
      <c r="V42" s="7" t="n">
        <f aca="false">V41*$D$2</f>
        <v>63390.6765</v>
      </c>
      <c r="W42" s="7" t="n">
        <f aca="false">W41*$D$2</f>
        <v>92688.955</v>
      </c>
      <c r="X42" s="7" t="n">
        <f aca="false">X41*$D$2</f>
        <v>1635.0265</v>
      </c>
      <c r="Y42" s="7" t="n">
        <f aca="false">Y41*$D$2</f>
        <v>94323.9815</v>
      </c>
      <c r="Z42" s="11"/>
      <c r="AA42" s="12" t="n">
        <f aca="false">MAX(AA10:AA39)</f>
        <v>85</v>
      </c>
      <c r="AB42" s="12" t="n">
        <f aca="false">MAX(AB10:AB39)</f>
        <v>56</v>
      </c>
      <c r="AC42" s="13" t="s">
        <v>47</v>
      </c>
      <c r="AD42" s="105"/>
      <c r="AE42" s="105"/>
    </row>
    <row r="43" customFormat="false" ht="3" hidden="false" customHeight="true" outlineLevel="0" collapsed="false">
      <c r="A43" s="30"/>
      <c r="B43" s="30"/>
      <c r="C43" s="32"/>
      <c r="D43" s="32"/>
      <c r="E43" s="32"/>
      <c r="F43" s="32"/>
      <c r="G43" s="32"/>
      <c r="H43" s="136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11"/>
      <c r="AA43" s="12"/>
      <c r="AB43" s="12"/>
      <c r="AC43" s="13"/>
      <c r="AD43" s="105"/>
      <c r="AE43" s="105"/>
    </row>
    <row r="44" customFormat="false" ht="11.1" hidden="false" customHeight="true" outlineLevel="0" collapsed="false">
      <c r="A44" s="6" t="s">
        <v>48</v>
      </c>
      <c r="B44" s="6"/>
      <c r="C44" s="7"/>
      <c r="D44" s="7"/>
      <c r="E44" s="7"/>
      <c r="F44" s="7" t="n">
        <f aca="false">F7+F41</f>
        <v>43115.2004033275</v>
      </c>
      <c r="G44" s="7" t="n">
        <f aca="false">G7+G41</f>
        <v>155528</v>
      </c>
      <c r="H44" s="37" t="n">
        <f aca="false">H7+H41</f>
        <v>11902</v>
      </c>
      <c r="I44" s="7" t="n">
        <f aca="false">I7+I41</f>
        <v>167430</v>
      </c>
      <c r="J44" s="7" t="n">
        <f aca="false">J7+J41</f>
        <v>36347.3589614318</v>
      </c>
      <c r="K44" s="7" t="n">
        <f aca="false">K7+K41</f>
        <v>203777.358961432</v>
      </c>
      <c r="L44" s="7" t="n">
        <f aca="false">L7+L41</f>
        <v>35522.2004033274</v>
      </c>
      <c r="M44" s="7" t="n">
        <f aca="false">M7+M41</f>
        <v>13392</v>
      </c>
      <c r="N44" s="7" t="n">
        <f aca="false">N7+N41</f>
        <v>0</v>
      </c>
      <c r="O44" s="7" t="n">
        <f aca="false">O7+O41</f>
        <v>0</v>
      </c>
      <c r="P44" s="7" t="n">
        <f aca="false">P7+P41</f>
        <v>13392</v>
      </c>
      <c r="Q44" s="7" t="n">
        <f aca="false">Q7+Q41</f>
        <v>10411</v>
      </c>
      <c r="R44" s="7" t="n">
        <f aca="false">R7+R41</f>
        <v>5108</v>
      </c>
      <c r="S44" s="7" t="n">
        <f aca="false">S7+S41</f>
        <v>28911</v>
      </c>
      <c r="T44" s="138" t="n">
        <f aca="false">T39</f>
        <v>0</v>
      </c>
      <c r="U44" s="7" t="n">
        <f aca="false">U7+U41</f>
        <v>0</v>
      </c>
      <c r="V44" s="7" t="n">
        <f aca="false">V7+V41</f>
        <v>130926</v>
      </c>
      <c r="W44" s="7" t="n">
        <f aca="false">W7+W41</f>
        <v>159837</v>
      </c>
      <c r="X44" s="7" t="n">
        <f aca="false">X7+X41</f>
        <v>825.158558104361</v>
      </c>
      <c r="Y44" s="7" t="n">
        <f aca="false">Y7+Y41</f>
        <v>160662.158558104</v>
      </c>
      <c r="Z44" s="11"/>
      <c r="AA44" s="12" t="n">
        <f aca="false">MIN(AA10:AA39)</f>
        <v>57</v>
      </c>
      <c r="AB44" s="12" t="n">
        <f aca="false">MIN(AB10:AB39)</f>
        <v>36</v>
      </c>
      <c r="AC44" s="13" t="s">
        <v>49</v>
      </c>
      <c r="AD44" s="105"/>
      <c r="AE44" s="105"/>
    </row>
    <row r="45" customFormat="false" ht="11.1" hidden="false" customHeight="true" outlineLevel="0" collapsed="false">
      <c r="A45" s="6" t="s">
        <v>50</v>
      </c>
      <c r="B45" s="6"/>
      <c r="C45" s="7"/>
      <c r="D45" s="7"/>
      <c r="E45" s="7"/>
      <c r="F45" s="7" t="n">
        <f aca="false">F44*$D$2</f>
        <v>85519</v>
      </c>
      <c r="G45" s="7" t="n">
        <f aca="false">G44*$D$2</f>
        <v>308489.788</v>
      </c>
      <c r="H45" s="37" t="n">
        <f aca="false">H44*$D$2</f>
        <v>23607.617</v>
      </c>
      <c r="I45" s="7" t="n">
        <f aca="false">I44*$D$2</f>
        <v>332097.405</v>
      </c>
      <c r="J45" s="7" t="n">
        <f aca="false">J44*$D$2</f>
        <v>72094.9865</v>
      </c>
      <c r="K45" s="7" t="n">
        <f aca="false">K44*$D$2</f>
        <v>404192.3915</v>
      </c>
      <c r="L45" s="7" t="n">
        <f aca="false">L44*$D$2</f>
        <v>70458.2845</v>
      </c>
      <c r="M45" s="7" t="n">
        <f aca="false">M44*$D$2</f>
        <v>26563.032</v>
      </c>
      <c r="N45" s="7" t="n">
        <f aca="false">N44*$D$2</f>
        <v>0</v>
      </c>
      <c r="O45" s="7" t="n">
        <f aca="false">O44*$D$2</f>
        <v>0</v>
      </c>
      <c r="P45" s="7" t="n">
        <f aca="false">P44*$D$2</f>
        <v>26563.032</v>
      </c>
      <c r="Q45" s="7" t="n">
        <f aca="false">Q44*$D$2</f>
        <v>20650.2185</v>
      </c>
      <c r="R45" s="7" t="n">
        <f aca="false">R44*$D$2</f>
        <v>10131.718</v>
      </c>
      <c r="S45" s="7" t="n">
        <f aca="false">S44*$D$2</f>
        <v>57344.9685</v>
      </c>
      <c r="T45" s="7" t="n">
        <f aca="false">T44*$D$2</f>
        <v>0</v>
      </c>
      <c r="U45" s="7" t="n">
        <f aca="false">U44*$D$2</f>
        <v>0</v>
      </c>
      <c r="V45" s="7" t="n">
        <f aca="false">V44*$D$2</f>
        <v>259691.721</v>
      </c>
      <c r="W45" s="7" t="n">
        <f aca="false">W44*$D$2</f>
        <v>317036.6895</v>
      </c>
      <c r="X45" s="7" t="n">
        <f aca="false">X44*$D$2</f>
        <v>1636.702</v>
      </c>
      <c r="Y45" s="7" t="n">
        <f aca="false">Y44*$D$2</f>
        <v>318673.3915</v>
      </c>
      <c r="Z45" s="11"/>
      <c r="AA45" s="12"/>
      <c r="AB45" s="12"/>
      <c r="AC45" s="13"/>
      <c r="AD45" s="105"/>
      <c r="AE45" s="105"/>
    </row>
    <row r="46" customFormat="false" ht="3" hidden="false" customHeight="true" outlineLevel="0" collapsed="false">
      <c r="A46" s="30"/>
      <c r="B46" s="30"/>
      <c r="C46" s="32"/>
      <c r="D46" s="32"/>
      <c r="E46" s="32"/>
      <c r="F46" s="32"/>
      <c r="G46" s="32"/>
      <c r="H46" s="136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4"/>
      <c r="AA46" s="12"/>
      <c r="AB46" s="12"/>
      <c r="AC46" s="13"/>
      <c r="AD46" s="105"/>
      <c r="AE46" s="105"/>
    </row>
    <row r="47" customFormat="false" ht="11.1" hidden="false" customHeight="true" outlineLevel="0" collapsed="false">
      <c r="A47" s="6" t="s">
        <v>51</v>
      </c>
      <c r="B47" s="6"/>
      <c r="C47" s="7"/>
      <c r="D47" s="7"/>
      <c r="E47" s="7"/>
      <c r="F47" s="7" t="n">
        <f aca="false">F8+F41</f>
        <v>70101.336022183</v>
      </c>
      <c r="G47" s="7" t="n">
        <f aca="false">G8+G41</f>
        <v>181108</v>
      </c>
      <c r="H47" s="37" t="n">
        <f aca="false">H8+H41</f>
        <v>14227.3</v>
      </c>
      <c r="I47" s="7" t="n">
        <f aca="false">I8+I41</f>
        <v>193987.5</v>
      </c>
      <c r="J47" s="7" t="n">
        <f aca="false">J8+J41</f>
        <v>50274.0386942274</v>
      </c>
      <c r="K47" s="7" t="n">
        <f aca="false">K8+K41</f>
        <v>244261.538694227</v>
      </c>
      <c r="L47" s="7" t="n">
        <f aca="false">L8+L41</f>
        <v>48466.8854297958</v>
      </c>
      <c r="M47" s="7" t="n">
        <f aca="false">M8+M41</f>
        <v>13702</v>
      </c>
      <c r="N47" s="7" t="n">
        <f aca="false">N8+N41</f>
        <v>0</v>
      </c>
      <c r="O47" s="7" t="n">
        <f aca="false">O8+O41</f>
        <v>402.2</v>
      </c>
      <c r="P47" s="7" t="n">
        <f aca="false">P8+P41</f>
        <v>13702</v>
      </c>
      <c r="Q47" s="7" t="n">
        <f aca="false">Q8+Q41</f>
        <v>11459</v>
      </c>
      <c r="R47" s="7" t="n">
        <f aca="false">R8+R41</f>
        <v>5183</v>
      </c>
      <c r="S47" s="7" t="n">
        <f aca="false">S8+S41</f>
        <v>32302.6589362238</v>
      </c>
      <c r="T47" s="7" t="n">
        <f aca="false">T39</f>
        <v>0</v>
      </c>
      <c r="U47" s="7" t="n">
        <f aca="false">U8+U41</f>
        <v>0</v>
      </c>
      <c r="V47" s="7" t="n">
        <f aca="false">V8+V41</f>
        <v>140050.390471389</v>
      </c>
      <c r="W47" s="7" t="n">
        <f aca="false">W8+W41</f>
        <v>172353.049407613</v>
      </c>
      <c r="X47" s="7" t="n">
        <f aca="false">X8+X41</f>
        <v>1807.15326443156</v>
      </c>
      <c r="Y47" s="7" t="n">
        <f aca="false">Y8+Y41</f>
        <v>174160.202672044</v>
      </c>
      <c r="Z47" s="11" t="n">
        <f aca="false">Z8+Z41</f>
        <v>14.49</v>
      </c>
      <c r="AA47" s="12"/>
      <c r="AB47" s="12"/>
      <c r="AC47" s="13"/>
      <c r="AD47" s="105"/>
      <c r="AE47" s="105"/>
    </row>
    <row r="48" customFormat="false" ht="11.1" hidden="false" customHeight="true" outlineLevel="0" collapsed="false">
      <c r="A48" s="6" t="s">
        <v>52</v>
      </c>
      <c r="B48" s="6"/>
      <c r="C48" s="7"/>
      <c r="D48" s="7" t="n">
        <f aca="false">D8+D42</f>
        <v>139046</v>
      </c>
      <c r="E48" s="7" t="n">
        <f aca="false">E39</f>
        <v>139090</v>
      </c>
      <c r="F48" s="7" t="n">
        <f aca="false">F47*$D$2</f>
        <v>139046</v>
      </c>
      <c r="G48" s="7" t="n">
        <f aca="false">G47*$D$2</f>
        <v>359227.718</v>
      </c>
      <c r="H48" s="37" t="n">
        <f aca="false">H47*$D$2</f>
        <v>28219.84955</v>
      </c>
      <c r="I48" s="7" t="n">
        <f aca="false">I47*$D$2</f>
        <v>384774.20625</v>
      </c>
      <c r="J48" s="7" t="n">
        <f aca="false">J47*$D$2</f>
        <v>99718.55575</v>
      </c>
      <c r="K48" s="7" t="n">
        <f aca="false">K47*$D$2</f>
        <v>484492.762</v>
      </c>
      <c r="L48" s="7" t="n">
        <f aca="false">L47*$D$2</f>
        <v>96134.06725</v>
      </c>
      <c r="M48" s="7" t="n">
        <f aca="false">M47*$D$2</f>
        <v>27177.917</v>
      </c>
      <c r="N48" s="7" t="n">
        <f aca="false">N47*$D$2</f>
        <v>0</v>
      </c>
      <c r="O48" s="7" t="n">
        <f aca="false">O47*$D$2</f>
        <v>797.7637</v>
      </c>
      <c r="P48" s="7" t="n">
        <f aca="false">P47*$D$2</f>
        <v>27177.917</v>
      </c>
      <c r="Q48" s="7" t="n">
        <f aca="false">Q47*$D$2</f>
        <v>22728.9265</v>
      </c>
      <c r="R48" s="7" t="n">
        <f aca="false">R47*$D$2</f>
        <v>10280.4805</v>
      </c>
      <c r="S48" s="7" t="n">
        <f aca="false">S47*$D$2</f>
        <v>64072.324</v>
      </c>
      <c r="T48" s="7" t="n">
        <f aca="false">T47*$D$2</f>
        <v>0</v>
      </c>
      <c r="U48" s="7" t="n">
        <f aca="false">U47*$D$2</f>
        <v>0</v>
      </c>
      <c r="V48" s="7" t="n">
        <f aca="false">V47*$D$2</f>
        <v>277789.9495</v>
      </c>
      <c r="W48" s="7" t="n">
        <f aca="false">W47*$D$2</f>
        <v>341862.2735</v>
      </c>
      <c r="X48" s="7" t="n">
        <f aca="false">X47*$D$2</f>
        <v>3584.4885</v>
      </c>
      <c r="Y48" s="7" t="n">
        <f aca="false">Y47*$D$2</f>
        <v>345446.762</v>
      </c>
      <c r="Z48" s="11"/>
      <c r="AA48" s="12"/>
      <c r="AB48" s="12"/>
      <c r="AC48" s="13"/>
      <c r="AD48" s="105"/>
      <c r="AE48" s="105"/>
    </row>
    <row r="49" customFormat="false" ht="3" hidden="false" customHeight="true" outlineLevel="0" collapsed="false">
      <c r="A49" s="30"/>
      <c r="B49" s="30"/>
      <c r="C49" s="32"/>
      <c r="D49" s="30"/>
      <c r="E49" s="32"/>
      <c r="F49" s="30"/>
      <c r="G49" s="30"/>
      <c r="H49" s="136"/>
      <c r="I49" s="30"/>
      <c r="J49" s="30"/>
      <c r="K49" s="139"/>
      <c r="L49" s="30"/>
      <c r="M49" s="30"/>
      <c r="N49" s="30"/>
      <c r="O49" s="30"/>
      <c r="P49" s="30"/>
      <c r="Q49" s="30"/>
      <c r="R49" s="30"/>
      <c r="S49" s="30"/>
      <c r="T49" s="32"/>
      <c r="U49" s="30"/>
      <c r="V49" s="30"/>
      <c r="W49" s="30"/>
      <c r="X49" s="30"/>
      <c r="Y49" s="30"/>
      <c r="Z49" s="11"/>
      <c r="AA49" s="12"/>
      <c r="AB49" s="12"/>
      <c r="AC49" s="13"/>
      <c r="AD49" s="105"/>
      <c r="AE49" s="105"/>
    </row>
    <row r="50" customFormat="false" ht="14.1" hidden="false" customHeight="true" outlineLevel="0" collapsed="false">
      <c r="A50" s="40"/>
      <c r="B50" s="29" t="s">
        <v>81</v>
      </c>
      <c r="C50" s="7"/>
      <c r="D50" s="6"/>
      <c r="E50" s="138" t="n">
        <f aca="false">E39</f>
        <v>139090</v>
      </c>
      <c r="H50" s="37" t="s">
        <v>82</v>
      </c>
      <c r="I50" s="6"/>
      <c r="J50" s="6"/>
      <c r="K50" s="140"/>
      <c r="L50" s="52" t="n">
        <f aca="false">3500+2932</f>
        <v>6432</v>
      </c>
      <c r="M50" s="6"/>
      <c r="N50" s="6"/>
      <c r="O50" s="6"/>
      <c r="P50" s="6"/>
      <c r="Q50" s="6"/>
      <c r="R50" s="6"/>
      <c r="S50" s="6"/>
      <c r="T50" s="141"/>
      <c r="U50" s="6"/>
      <c r="V50" s="6"/>
      <c r="W50" s="6"/>
      <c r="X50" s="6"/>
      <c r="Y50" s="6"/>
      <c r="Z50" s="11"/>
      <c r="AA50" s="12"/>
      <c r="AB50" s="12"/>
      <c r="AC50" s="13"/>
      <c r="AD50" s="105"/>
      <c r="AE50" s="105"/>
    </row>
    <row r="51" customFormat="false" ht="11.1" hidden="false" customHeight="true" outlineLevel="0" collapsed="false">
      <c r="A51" s="6"/>
      <c r="B51" s="29" t="s">
        <v>83</v>
      </c>
      <c r="C51" s="7"/>
      <c r="D51" s="39"/>
      <c r="E51" s="120" t="e">
        <f aca="false">L53+O53+T53+U53+#REF!</f>
        <v>#REF!</v>
      </c>
      <c r="F51" s="142"/>
      <c r="H51" s="37" t="s">
        <v>84</v>
      </c>
      <c r="I51" s="8"/>
      <c r="J51" s="6"/>
      <c r="K51" s="42"/>
      <c r="L51" s="81" t="n">
        <f aca="false">L50/210</f>
        <v>30.6285714285714</v>
      </c>
      <c r="M51" s="6"/>
      <c r="N51" s="6"/>
      <c r="O51" s="6"/>
      <c r="P51" s="143" t="s">
        <v>85</v>
      </c>
      <c r="Q51" s="144"/>
      <c r="R51" s="145"/>
      <c r="S51" s="146" t="n">
        <v>91</v>
      </c>
      <c r="T51" s="147" t="n">
        <v>14832</v>
      </c>
      <c r="U51" s="141"/>
      <c r="V51" s="6"/>
      <c r="W51" s="6"/>
      <c r="X51" s="6"/>
      <c r="Y51" s="6"/>
      <c r="Z51" s="11"/>
      <c r="AA51" s="12"/>
      <c r="AB51" s="12"/>
      <c r="AC51" s="13"/>
      <c r="AD51" s="105"/>
      <c r="AE51" s="105"/>
    </row>
    <row r="52" customFormat="false" ht="11.1" hidden="false" customHeight="true" outlineLevel="0" collapsed="false">
      <c r="B52" s="52"/>
      <c r="C52" s="45"/>
      <c r="D52" s="44"/>
      <c r="E52" s="120"/>
      <c r="F52" s="148"/>
      <c r="H52" s="37" t="s">
        <v>86</v>
      </c>
      <c r="I52" s="39"/>
      <c r="J52" s="39"/>
      <c r="K52" s="149"/>
      <c r="L52" s="150" t="n">
        <f aca="false">210-S51</f>
        <v>119</v>
      </c>
      <c r="M52" s="37"/>
      <c r="N52" s="37"/>
      <c r="O52" s="151" t="n">
        <v>6289</v>
      </c>
      <c r="P52" s="152" t="s">
        <v>87</v>
      </c>
      <c r="Q52" s="153"/>
      <c r="R52" s="154"/>
      <c r="S52" s="155" t="n">
        <f aca="false">2932/210</f>
        <v>13.9619047619048</v>
      </c>
      <c r="T52" s="156" t="n">
        <f aca="false">S51*S52</f>
        <v>1270.53333333333</v>
      </c>
      <c r="U52" s="157" t="n">
        <f aca="false">14562+1946+600+15+25</f>
        <v>17148</v>
      </c>
      <c r="V52" s="7"/>
      <c r="W52" s="39"/>
      <c r="X52" s="39"/>
      <c r="Y52" s="10"/>
      <c r="Z52" s="11"/>
      <c r="AA52" s="12"/>
      <c r="AB52" s="13"/>
      <c r="AC52" s="110"/>
      <c r="AD52" s="110"/>
    </row>
    <row r="53" customFormat="false" ht="11.1" hidden="false" customHeight="true" outlineLevel="0" collapsed="false">
      <c r="A53" s="39"/>
      <c r="B53" s="158" t="s">
        <v>88</v>
      </c>
      <c r="C53" s="159"/>
      <c r="D53" s="159"/>
      <c r="E53" s="160" t="e">
        <f aca="false">E50-E51</f>
        <v>#REF!</v>
      </c>
      <c r="H53" s="81" t="s">
        <v>74</v>
      </c>
      <c r="J53" s="39"/>
      <c r="K53" s="149"/>
      <c r="L53" s="81" t="n">
        <f aca="false">L52*L51</f>
        <v>3644.8</v>
      </c>
      <c r="M53" s="37"/>
      <c r="N53" s="37"/>
      <c r="O53" s="57" t="n">
        <f aca="false">O52-O48</f>
        <v>5491.2363</v>
      </c>
      <c r="P53" s="161"/>
      <c r="Q53" s="162"/>
      <c r="R53" s="162"/>
      <c r="S53" s="163"/>
      <c r="T53" s="164" t="n">
        <f aca="false">(T51+T52)+T45</f>
        <v>16102.5333333333</v>
      </c>
      <c r="U53" s="52" t="n">
        <f aca="false">U52-U48</f>
        <v>17148</v>
      </c>
      <c r="V53" s="7"/>
      <c r="W53" s="39"/>
      <c r="X53" s="39"/>
      <c r="Y53" s="10"/>
      <c r="Z53" s="11"/>
      <c r="AA53" s="12"/>
      <c r="AB53" s="13"/>
      <c r="AC53" s="110"/>
      <c r="AD53" s="110"/>
    </row>
    <row r="54" customFormat="false" ht="11.1" hidden="false" customHeight="true" outlineLevel="0" collapsed="false">
      <c r="A54" s="39"/>
      <c r="B54" s="55"/>
      <c r="C54" s="52"/>
      <c r="D54" s="52"/>
      <c r="E54" s="120"/>
      <c r="F54" s="165"/>
      <c r="G54" s="82"/>
      <c r="H54" s="37"/>
      <c r="I54" s="39"/>
      <c r="J54" s="39"/>
      <c r="K54" s="42"/>
      <c r="L54" s="39"/>
      <c r="M54" s="37"/>
      <c r="N54" s="37"/>
      <c r="O54" s="37"/>
      <c r="P54" s="39"/>
      <c r="Q54" s="39"/>
      <c r="R54" s="39"/>
      <c r="S54" s="7"/>
      <c r="T54" s="7"/>
      <c r="U54" s="39"/>
      <c r="V54" s="7"/>
      <c r="W54" s="39"/>
      <c r="X54" s="39"/>
      <c r="Y54" s="10"/>
      <c r="Z54" s="11"/>
      <c r="AA54" s="12"/>
      <c r="AB54" s="13"/>
      <c r="AC54" s="110"/>
      <c r="AD54" s="110"/>
    </row>
    <row r="55" customFormat="false" ht="11.1" hidden="false" customHeight="true" outlineLevel="0" collapsed="false">
      <c r="R55" s="39"/>
      <c r="S55" s="7"/>
    </row>
    <row r="56" customFormat="false" ht="11.1" hidden="false" customHeight="true" outlineLevel="0" collapsed="false">
      <c r="B56" s="41"/>
    </row>
  </sheetData>
  <mergeCells count="2">
    <mergeCell ref="K2:V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47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6.32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7" min="26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8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7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81"/>
      <c r="I2" s="51"/>
      <c r="J2" s="51"/>
      <c r="K2" s="60" t="s">
        <v>89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7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8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7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11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66" t="s">
        <v>19</v>
      </c>
      <c r="AA4" s="66" t="s">
        <v>20</v>
      </c>
      <c r="AB4" s="66" t="s">
        <v>21</v>
      </c>
      <c r="AC4" s="66" t="s">
        <v>3</v>
      </c>
      <c r="AD4" s="88"/>
      <c r="AE4" s="88"/>
    </row>
    <row r="5" customFormat="false" ht="11.1" hidden="false" customHeight="true" outlineLevel="0" collapsed="false">
      <c r="A5" s="67" t="s">
        <v>90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11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67"/>
      <c r="AA5" s="66" t="s">
        <v>41</v>
      </c>
      <c r="AB5" s="66" t="s">
        <v>41</v>
      </c>
      <c r="AC5" s="69" t="s">
        <v>90</v>
      </c>
      <c r="AD5" s="88"/>
      <c r="AE5" s="88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12"/>
      <c r="I6" s="70"/>
      <c r="J6" s="70"/>
      <c r="K6" s="70"/>
      <c r="L6" s="70"/>
      <c r="M6" s="70"/>
      <c r="N6" s="70"/>
      <c r="O6" s="70"/>
      <c r="P6" s="70"/>
      <c r="Q6" s="70"/>
      <c r="R6" s="168"/>
      <c r="S6" s="70"/>
      <c r="T6" s="169"/>
      <c r="U6" s="70"/>
      <c r="V6" s="70"/>
      <c r="W6" s="70"/>
      <c r="X6" s="70"/>
      <c r="Y6" s="70"/>
      <c r="Z6" s="55"/>
      <c r="AA6" s="58"/>
      <c r="AB6" s="58"/>
      <c r="AC6" s="58"/>
      <c r="AD6" s="92"/>
      <c r="AE6" s="92"/>
      <c r="AF6" s="93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JUN!F44</f>
        <v>43115.2004033275</v>
      </c>
      <c r="G7" s="52" t="n">
        <f aca="false">JUN!G44</f>
        <v>155528</v>
      </c>
      <c r="H7" s="81" t="n">
        <f aca="false">JUN!H44</f>
        <v>11902</v>
      </c>
      <c r="I7" s="52" t="n">
        <f aca="false">JUN!I44</f>
        <v>167430</v>
      </c>
      <c r="J7" s="52" t="n">
        <f aca="false">JUN!J44</f>
        <v>36347.3589614318</v>
      </c>
      <c r="K7" s="52" t="n">
        <f aca="false">JUN!K44</f>
        <v>203777.358961432</v>
      </c>
      <c r="L7" s="52" t="n">
        <f aca="false">JUN!L44</f>
        <v>35522.2004033274</v>
      </c>
      <c r="M7" s="52" t="n">
        <f aca="false">JUN!M44</f>
        <v>13392</v>
      </c>
      <c r="N7" s="52" t="n">
        <f aca="false">JUN!N44</f>
        <v>0</v>
      </c>
      <c r="O7" s="52" t="n">
        <f aca="false">JUN!O44</f>
        <v>0</v>
      </c>
      <c r="P7" s="52" t="n">
        <f aca="false">JUN!P44</f>
        <v>13392</v>
      </c>
      <c r="Q7" s="52" t="n">
        <f aca="false">JUN!Q44</f>
        <v>10411</v>
      </c>
      <c r="R7" s="52" t="n">
        <f aca="false">JUN!R44</f>
        <v>5108</v>
      </c>
      <c r="S7" s="52" t="n">
        <f aca="false">JUN!S44</f>
        <v>28911</v>
      </c>
      <c r="T7" s="52" t="n">
        <f aca="false">JUN!T44</f>
        <v>0</v>
      </c>
      <c r="U7" s="52" t="n">
        <f aca="false">JUN!U44</f>
        <v>0</v>
      </c>
      <c r="V7" s="52" t="n">
        <f aca="false">JUN!V44</f>
        <v>130926</v>
      </c>
      <c r="W7" s="52" t="n">
        <f aca="false">JUN!W44</f>
        <v>159837</v>
      </c>
      <c r="X7" s="52" t="n">
        <f aca="false">JUN!X44</f>
        <v>825.158558104361</v>
      </c>
      <c r="Y7" s="52" t="n">
        <f aca="false">JUN!Y44</f>
        <v>160662.158558104</v>
      </c>
      <c r="Z7" s="55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JUN!B39</f>
        <v>6902.02</v>
      </c>
      <c r="C8" s="52" t="n">
        <f aca="false">JUN!C39</f>
        <v>291090</v>
      </c>
      <c r="D8" s="52" t="n">
        <f aca="false">JUN!D48</f>
        <v>139046</v>
      </c>
      <c r="E8" s="52" t="n">
        <f aca="false">JUN!E48</f>
        <v>139090</v>
      </c>
      <c r="F8" s="52" t="n">
        <f aca="false">JUN!F47</f>
        <v>70101.336022183</v>
      </c>
      <c r="G8" s="52" t="n">
        <f aca="false">JUN!G47</f>
        <v>181108</v>
      </c>
      <c r="H8" s="81" t="n">
        <f aca="false">JUN!H47</f>
        <v>14227.3</v>
      </c>
      <c r="I8" s="52" t="n">
        <f aca="false">JUN!I47</f>
        <v>193987.5</v>
      </c>
      <c r="J8" s="52" t="n">
        <f aca="false">JUN!J47</f>
        <v>50274.0386942274</v>
      </c>
      <c r="K8" s="52" t="n">
        <f aca="false">JUN!K47</f>
        <v>244261.538694227</v>
      </c>
      <c r="L8" s="52" t="n">
        <f aca="false">JUN!L47</f>
        <v>48466.8854297958</v>
      </c>
      <c r="M8" s="52" t="n">
        <f aca="false">JUN!M47</f>
        <v>13702</v>
      </c>
      <c r="N8" s="52" t="n">
        <f aca="false">JUN!N47</f>
        <v>0</v>
      </c>
      <c r="O8" s="52" t="n">
        <f aca="false">JUN!O47</f>
        <v>402.2</v>
      </c>
      <c r="P8" s="52" t="n">
        <f aca="false">JUN!P47</f>
        <v>13702</v>
      </c>
      <c r="Q8" s="52" t="n">
        <f aca="false">JUN!Q47</f>
        <v>11459</v>
      </c>
      <c r="R8" s="52" t="n">
        <f aca="false">JUN!R47</f>
        <v>5183</v>
      </c>
      <c r="S8" s="52" t="n">
        <f aca="false">JUN!S47</f>
        <v>32302.6589362238</v>
      </c>
      <c r="T8" s="52" t="n">
        <f aca="false">JUN!T47</f>
        <v>0</v>
      </c>
      <c r="U8" s="52" t="n">
        <f aca="false">JUN!U47</f>
        <v>0</v>
      </c>
      <c r="V8" s="52" t="n">
        <f aca="false">JUN!V47</f>
        <v>140050.390471389</v>
      </c>
      <c r="W8" s="52" t="n">
        <f aca="false">JUN!W47</f>
        <v>172353.049407613</v>
      </c>
      <c r="X8" s="52" t="n">
        <f aca="false">JUN!X47</f>
        <v>1807.15326443156</v>
      </c>
      <c r="Y8" s="52" t="n">
        <f aca="false">JUN!Y47</f>
        <v>174160.202672044</v>
      </c>
      <c r="Z8" s="81" t="n">
        <f aca="false">JUN!Z47</f>
        <v>14.49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13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70"/>
      <c r="AA9" s="79"/>
      <c r="AB9" s="79"/>
      <c r="AC9" s="80"/>
      <c r="AD9" s="92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6901.97</v>
      </c>
      <c r="C10" s="52" t="n">
        <v>290902</v>
      </c>
      <c r="D10" s="57" t="n">
        <f aca="false">C10-C8</f>
        <v>-188</v>
      </c>
      <c r="E10" s="52" t="n">
        <f aca="false">C10-152000</f>
        <v>138902</v>
      </c>
      <c r="F10" s="51" t="n">
        <f aca="false">D10/$D$2</f>
        <v>-94.7819510965465</v>
      </c>
      <c r="G10" s="51" t="n">
        <v>769</v>
      </c>
      <c r="H10" s="81" t="n">
        <v>0</v>
      </c>
      <c r="I10" s="51" t="n">
        <f aca="false">G10+H10</f>
        <v>769</v>
      </c>
      <c r="J10" s="81" t="n">
        <f aca="false">IF(L10&gt;0,L10,0)</f>
        <v>66.2180489034535</v>
      </c>
      <c r="K10" s="51" t="n">
        <f aca="false">I10+J10</f>
        <v>835.218048903453</v>
      </c>
      <c r="L10" s="51" t="n">
        <f aca="false">F10-(I10-W10)</f>
        <v>66.2180489034535</v>
      </c>
      <c r="M10" s="51" t="n">
        <v>232</v>
      </c>
      <c r="N10" s="51" t="n">
        <v>0</v>
      </c>
      <c r="O10" s="51" t="n">
        <v>0</v>
      </c>
      <c r="P10" s="6" t="n">
        <f aca="false">M10-(N10+O10)</f>
        <v>232</v>
      </c>
      <c r="Q10" s="51" t="n">
        <v>173</v>
      </c>
      <c r="R10" s="51" t="n">
        <v>80</v>
      </c>
      <c r="S10" s="51" t="n">
        <f aca="false">SUM(P10:R10)</f>
        <v>485</v>
      </c>
      <c r="T10" s="52"/>
      <c r="U10" s="51" t="n">
        <v>0</v>
      </c>
      <c r="V10" s="51" t="n">
        <v>445</v>
      </c>
      <c r="W10" s="6" t="n">
        <f aca="false">N10+O10+S10+U10+V10</f>
        <v>930</v>
      </c>
      <c r="X10" s="51" t="n">
        <f aca="false">IF(L10&lt;0,L10*-1,0)</f>
        <v>0</v>
      </c>
      <c r="Y10" s="51" t="n">
        <f aca="false">W10+X10</f>
        <v>930</v>
      </c>
      <c r="Z10" s="55" t="n">
        <v>0</v>
      </c>
      <c r="AA10" s="171" t="n">
        <v>75</v>
      </c>
      <c r="AB10" s="171" t="n">
        <v>57</v>
      </c>
      <c r="AC10" s="58" t="n">
        <v>1</v>
      </c>
      <c r="AD10" s="12" t="n">
        <f aca="false">IF(I10&gt;S10,I10-S10,I10-S10)</f>
        <v>284</v>
      </c>
      <c r="AE10" s="12"/>
      <c r="AF10" s="137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6902.1</v>
      </c>
      <c r="C11" s="52" t="n">
        <v>291391</v>
      </c>
      <c r="D11" s="57" t="n">
        <f aca="false">C11-C10</f>
        <v>489</v>
      </c>
      <c r="E11" s="52" t="n">
        <f aca="false">C11-152000</f>
        <v>139391</v>
      </c>
      <c r="F11" s="51" t="n">
        <f aca="false">D11/$D$2</f>
        <v>246.53390471389</v>
      </c>
      <c r="G11" s="51" t="n">
        <v>640</v>
      </c>
      <c r="H11" s="81" t="n">
        <v>0</v>
      </c>
      <c r="I11" s="51" t="n">
        <f aca="false">G11+H11</f>
        <v>640</v>
      </c>
      <c r="J11" s="81" t="n">
        <f aca="false">IF(L11&gt;0,L11,0)</f>
        <v>314.53390471389</v>
      </c>
      <c r="K11" s="51" t="n">
        <f aca="false">I11+J11</f>
        <v>954.53390471389</v>
      </c>
      <c r="L11" s="51" t="n">
        <f aca="false">F11-(I11-W11)</f>
        <v>314.53390471389</v>
      </c>
      <c r="M11" s="51" t="n">
        <v>232</v>
      </c>
      <c r="N11" s="51" t="n">
        <v>0</v>
      </c>
      <c r="O11" s="51" t="n">
        <v>0</v>
      </c>
      <c r="P11" s="6" t="n">
        <f aca="false">M11-(N11+O11)</f>
        <v>232</v>
      </c>
      <c r="Q11" s="51" t="n">
        <v>167</v>
      </c>
      <c r="R11" s="51" t="n">
        <v>81</v>
      </c>
      <c r="S11" s="51" t="n">
        <f aca="false">SUM(P11:R11)</f>
        <v>480</v>
      </c>
      <c r="T11" s="52"/>
      <c r="U11" s="51" t="n">
        <v>0</v>
      </c>
      <c r="V11" s="51" t="n">
        <v>228</v>
      </c>
      <c r="W11" s="6" t="n">
        <f aca="false">N11+O11+S11+U11+V11</f>
        <v>708</v>
      </c>
      <c r="X11" s="51" t="n">
        <f aca="false">IF(L11&lt;0,L11*-1,0)</f>
        <v>0</v>
      </c>
      <c r="Y11" s="51" t="n">
        <f aca="false">W11+X11</f>
        <v>708</v>
      </c>
      <c r="Z11" s="55" t="n">
        <v>0</v>
      </c>
      <c r="AA11" s="57" t="n">
        <v>84</v>
      </c>
      <c r="AB11" s="57" t="n">
        <v>54</v>
      </c>
      <c r="AC11" s="58" t="n">
        <f aca="false">AC10+1</f>
        <v>2</v>
      </c>
      <c r="AD11" s="12" t="n">
        <f aca="false">IF(I11&gt;S11,I11-S11,I11-S11)</f>
        <v>160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6902.15</v>
      </c>
      <c r="C12" s="52" t="n">
        <v>291955</v>
      </c>
      <c r="D12" s="57" t="n">
        <f aca="false">C12-C11</f>
        <v>564</v>
      </c>
      <c r="E12" s="52" t="n">
        <f aca="false">C12-152000</f>
        <v>139955</v>
      </c>
      <c r="F12" s="51" t="n">
        <f aca="false">D12/$D$2</f>
        <v>284.34585328964</v>
      </c>
      <c r="G12" s="51" t="n">
        <v>602</v>
      </c>
      <c r="H12" s="81" t="n">
        <v>0</v>
      </c>
      <c r="I12" s="51" t="n">
        <f aca="false">G12+H12</f>
        <v>602</v>
      </c>
      <c r="J12" s="81" t="n">
        <f aca="false">IF(L12&gt;0,L12,0)</f>
        <v>254.34585328964</v>
      </c>
      <c r="K12" s="51" t="n">
        <f aca="false">I12+J12</f>
        <v>856.34585328964</v>
      </c>
      <c r="L12" s="51" t="n">
        <f aca="false">F12-(I12-W12)</f>
        <v>254.34585328964</v>
      </c>
      <c r="M12" s="51" t="n">
        <v>233</v>
      </c>
      <c r="N12" s="51" t="n">
        <v>0</v>
      </c>
      <c r="O12" s="51" t="n">
        <v>0</v>
      </c>
      <c r="P12" s="6" t="n">
        <f aca="false">M12-(N12+O12)</f>
        <v>233</v>
      </c>
      <c r="Q12" s="51" t="n">
        <v>163</v>
      </c>
      <c r="R12" s="51" t="n">
        <v>83</v>
      </c>
      <c r="S12" s="51" t="n">
        <f aca="false">SUM(P12:R12)</f>
        <v>479</v>
      </c>
      <c r="T12" s="52"/>
      <c r="U12" s="51" t="n">
        <v>0</v>
      </c>
      <c r="V12" s="51" t="n">
        <v>93</v>
      </c>
      <c r="W12" s="6" t="n">
        <f aca="false">N12+O12+S12+U12+V12</f>
        <v>572</v>
      </c>
      <c r="X12" s="51" t="n">
        <f aca="false">IF(L12&lt;0,L12*-1,0)</f>
        <v>0</v>
      </c>
      <c r="Y12" s="51" t="n">
        <f aca="false">W12+X12</f>
        <v>572</v>
      </c>
      <c r="Z12" s="55" t="n">
        <v>0</v>
      </c>
      <c r="AA12" s="57" t="n">
        <v>85</v>
      </c>
      <c r="AB12" s="57" t="n">
        <v>55</v>
      </c>
      <c r="AC12" s="58" t="n">
        <f aca="false">AC11+1</f>
        <v>3</v>
      </c>
      <c r="AD12" s="12" t="n">
        <f aca="false">IF(I12&gt;S12,I12-S12,I12-S12)</f>
        <v>123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6902.3</v>
      </c>
      <c r="C13" s="52" t="n">
        <v>292143</v>
      </c>
      <c r="D13" s="57" t="n">
        <f aca="false">C13-C12</f>
        <v>188</v>
      </c>
      <c r="E13" s="52" t="n">
        <f aca="false">C13-152000</f>
        <v>140143</v>
      </c>
      <c r="F13" s="51" t="n">
        <f aca="false">D13/$D$2</f>
        <v>94.7819510965465</v>
      </c>
      <c r="G13" s="51" t="n">
        <v>637</v>
      </c>
      <c r="H13" s="81" t="n">
        <v>0</v>
      </c>
      <c r="I13" s="51" t="n">
        <f aca="false">G13+H13</f>
        <v>637</v>
      </c>
      <c r="J13" s="81" t="n">
        <f aca="false">IF(L13&gt;0,L13,0)</f>
        <v>39.7819510965465</v>
      </c>
      <c r="K13" s="51" t="n">
        <f aca="false">I13+J13</f>
        <v>676.781951096547</v>
      </c>
      <c r="L13" s="51" t="n">
        <f aca="false">F13-(I13-W13)</f>
        <v>39.7819510965465</v>
      </c>
      <c r="M13" s="51" t="n">
        <v>234</v>
      </c>
      <c r="N13" s="51" t="n">
        <v>0</v>
      </c>
      <c r="O13" s="51" t="n">
        <v>0</v>
      </c>
      <c r="P13" s="6" t="n">
        <f aca="false">M13-(N13+O13)</f>
        <v>234</v>
      </c>
      <c r="Q13" s="51" t="n">
        <v>163</v>
      </c>
      <c r="R13" s="51" t="n">
        <v>85</v>
      </c>
      <c r="S13" s="51" t="n">
        <f aca="false">SUM(P13:R13)</f>
        <v>482</v>
      </c>
      <c r="T13" s="52"/>
      <c r="U13" s="51" t="n">
        <v>0</v>
      </c>
      <c r="V13" s="51" t="n">
        <v>100</v>
      </c>
      <c r="W13" s="6" t="n">
        <f aca="false">N13+O13+S13+U13+V13</f>
        <v>582</v>
      </c>
      <c r="X13" s="51" t="n">
        <f aca="false">IF(L13&lt;0,L13*-1,0)</f>
        <v>0</v>
      </c>
      <c r="Y13" s="51" t="n">
        <f aca="false">W13+X13</f>
        <v>582</v>
      </c>
      <c r="Z13" s="55" t="n">
        <v>0</v>
      </c>
      <c r="AA13" s="57"/>
      <c r="AB13" s="57"/>
      <c r="AC13" s="58" t="n">
        <f aca="false">AC12+1</f>
        <v>4</v>
      </c>
      <c r="AD13" s="12" t="n">
        <f aca="false">IF(I13&gt;S13,I13-S13,I13-S13)</f>
        <v>155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6902.46</v>
      </c>
      <c r="C14" s="52" t="n">
        <v>292745</v>
      </c>
      <c r="D14" s="57" t="n">
        <f aca="false">C14-C13</f>
        <v>602</v>
      </c>
      <c r="E14" s="52" t="n">
        <f aca="false">C14-152000</f>
        <v>140745</v>
      </c>
      <c r="F14" s="51" t="n">
        <f aca="false">D14/$D$2</f>
        <v>303.503907234686</v>
      </c>
      <c r="G14" s="51" t="n">
        <v>685</v>
      </c>
      <c r="H14" s="81" t="n">
        <v>0</v>
      </c>
      <c r="I14" s="51" t="n">
        <f aca="false">G14+H14</f>
        <v>685</v>
      </c>
      <c r="J14" s="81" t="n">
        <f aca="false">IF(L14&gt;0,L14,0)</f>
        <v>262.503907234686</v>
      </c>
      <c r="K14" s="51" t="n">
        <f aca="false">I14+J14</f>
        <v>947.503907234686</v>
      </c>
      <c r="L14" s="51" t="n">
        <f aca="false">F14-(I14-W14)</f>
        <v>262.503907234686</v>
      </c>
      <c r="M14" s="51" t="n">
        <v>234</v>
      </c>
      <c r="N14" s="51" t="n">
        <v>0</v>
      </c>
      <c r="O14" s="51" t="n">
        <v>0</v>
      </c>
      <c r="P14" s="6" t="n">
        <f aca="false">M14-(N14+O14)</f>
        <v>234</v>
      </c>
      <c r="Q14" s="51" t="n">
        <v>164</v>
      </c>
      <c r="R14" s="51" t="n">
        <v>86</v>
      </c>
      <c r="S14" s="51" t="n">
        <f aca="false">SUM(P14:R14)</f>
        <v>484</v>
      </c>
      <c r="T14" s="52"/>
      <c r="U14" s="51" t="n">
        <v>0</v>
      </c>
      <c r="V14" s="51" t="n">
        <v>160</v>
      </c>
      <c r="W14" s="6" t="n">
        <f aca="false">N14+O14+S14+U14+V14</f>
        <v>644</v>
      </c>
      <c r="X14" s="51" t="n">
        <f aca="false">IF(L14&lt;0,L14*-1,0)</f>
        <v>0</v>
      </c>
      <c r="Y14" s="51" t="n">
        <f aca="false">W14+X14</f>
        <v>644</v>
      </c>
      <c r="Z14" s="55" t="n">
        <v>0</v>
      </c>
      <c r="AA14" s="57"/>
      <c r="AB14" s="57"/>
      <c r="AC14" s="58" t="n">
        <f aca="false">AC13+1</f>
        <v>5</v>
      </c>
      <c r="AD14" s="12" t="n">
        <f aca="false">IF(I14&gt;S14,I14-S14,I14-S14)</f>
        <v>201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6902.47</v>
      </c>
      <c r="C15" s="52" t="n">
        <v>292783</v>
      </c>
      <c r="D15" s="57" t="n">
        <f aca="false">C15-C14</f>
        <v>38</v>
      </c>
      <c r="E15" s="52" t="n">
        <f aca="false">C15-152000</f>
        <v>140783</v>
      </c>
      <c r="F15" s="51" t="n">
        <f aca="false">D15/$D$2</f>
        <v>19.1580539450466</v>
      </c>
      <c r="G15" s="51" t="n">
        <v>676</v>
      </c>
      <c r="H15" s="81" t="n">
        <v>0</v>
      </c>
      <c r="I15" s="51" t="n">
        <f aca="false">G15+H15</f>
        <v>676</v>
      </c>
      <c r="J15" s="81" t="n">
        <f aca="false">IF(L15&gt;0,L15,0)</f>
        <v>18.1580539450466</v>
      </c>
      <c r="K15" s="51" t="n">
        <f aca="false">I15+J15</f>
        <v>694.158053945047</v>
      </c>
      <c r="L15" s="51" t="n">
        <f aca="false">F15-(I15-W15)</f>
        <v>18.1580539450466</v>
      </c>
      <c r="M15" s="51" t="n">
        <v>235</v>
      </c>
      <c r="N15" s="51" t="n">
        <v>0</v>
      </c>
      <c r="O15" s="51" t="n">
        <v>0</v>
      </c>
      <c r="P15" s="6" t="n">
        <f aca="false">M15-(N15+O15)</f>
        <v>235</v>
      </c>
      <c r="Q15" s="51" t="n">
        <v>164</v>
      </c>
      <c r="R15" s="51" t="n">
        <v>85</v>
      </c>
      <c r="S15" s="51" t="n">
        <f aca="false">SUM(P15:R15)</f>
        <v>484</v>
      </c>
      <c r="T15" s="52"/>
      <c r="U15" s="51" t="n">
        <v>0</v>
      </c>
      <c r="V15" s="51" t="n">
        <v>191</v>
      </c>
      <c r="W15" s="6" t="n">
        <f aca="false">N15+O15+S15+U15+V15</f>
        <v>675</v>
      </c>
      <c r="X15" s="51" t="n">
        <f aca="false">IF(L15&lt;0,L15*-1,0)</f>
        <v>0</v>
      </c>
      <c r="Y15" s="51" t="n">
        <f aca="false">W15+X15</f>
        <v>675</v>
      </c>
      <c r="Z15" s="55" t="n">
        <v>0</v>
      </c>
      <c r="AA15" s="57"/>
      <c r="AB15" s="57"/>
      <c r="AC15" s="58" t="n">
        <f aca="false">AC14+1</f>
        <v>6</v>
      </c>
      <c r="AD15" s="12" t="n">
        <f aca="false">IF(I15&gt;S15,I15-S15,I15-S15)</f>
        <v>192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6902.47</v>
      </c>
      <c r="C16" s="52" t="n">
        <v>292783</v>
      </c>
      <c r="D16" s="57" t="n">
        <f aca="false">C16-C15</f>
        <v>0</v>
      </c>
      <c r="E16" s="52" t="n">
        <f aca="false">C16-152000</f>
        <v>140783</v>
      </c>
      <c r="F16" s="51" t="n">
        <f aca="false">D16/$D$2</f>
        <v>0</v>
      </c>
      <c r="G16" s="51" t="n">
        <v>556</v>
      </c>
      <c r="H16" s="81" t="n">
        <v>0</v>
      </c>
      <c r="I16" s="51" t="n">
        <f aca="false">G16+H16</f>
        <v>556</v>
      </c>
      <c r="J16" s="81" t="n">
        <f aca="false">IF(L16&gt;0,L16,0)</f>
        <v>112</v>
      </c>
      <c r="K16" s="51" t="n">
        <f aca="false">I16+J16</f>
        <v>668</v>
      </c>
      <c r="L16" s="51" t="n">
        <f aca="false">F16-(I16-W16)</f>
        <v>112</v>
      </c>
      <c r="M16" s="51" t="n">
        <v>227</v>
      </c>
      <c r="N16" s="51" t="n">
        <v>0</v>
      </c>
      <c r="O16" s="51" t="n">
        <v>0</v>
      </c>
      <c r="P16" s="6" t="n">
        <f aca="false">M16-(N16+O16)</f>
        <v>227</v>
      </c>
      <c r="Q16" s="51" t="n">
        <v>163</v>
      </c>
      <c r="R16" s="51" t="n">
        <v>87</v>
      </c>
      <c r="S16" s="51" t="n">
        <f aca="false">SUM(P16:R16)</f>
        <v>477</v>
      </c>
      <c r="T16" s="52"/>
      <c r="U16" s="51" t="n">
        <v>0</v>
      </c>
      <c r="V16" s="51" t="n">
        <v>191</v>
      </c>
      <c r="W16" s="6" t="n">
        <f aca="false">N16+O16+S16+U16+V16</f>
        <v>668</v>
      </c>
      <c r="X16" s="51" t="n">
        <f aca="false">IF(L16&lt;0,L16*-1,0)</f>
        <v>0</v>
      </c>
      <c r="Y16" s="51" t="n">
        <f aca="false">W16+X16</f>
        <v>668</v>
      </c>
      <c r="Z16" s="55" t="n">
        <v>0</v>
      </c>
      <c r="AA16" s="171" t="n">
        <v>80</v>
      </c>
      <c r="AB16" s="171" t="n">
        <v>47</v>
      </c>
      <c r="AC16" s="58" t="n">
        <f aca="false">AC15+1</f>
        <v>7</v>
      </c>
      <c r="AD16" s="12" t="n">
        <f aca="false">IF(I16&gt;S16,I16-S16,I16-S16)</f>
        <v>79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6902.53</v>
      </c>
      <c r="C17" s="52" t="n">
        <v>293009</v>
      </c>
      <c r="D17" s="57" t="n">
        <f aca="false">C17-C16</f>
        <v>226</v>
      </c>
      <c r="E17" s="52" t="n">
        <f aca="false">C17-152000</f>
        <v>141009</v>
      </c>
      <c r="F17" s="51" t="n">
        <f aca="false">D17/$D$2</f>
        <v>113.940005041593</v>
      </c>
      <c r="G17" s="51" t="n">
        <v>618</v>
      </c>
      <c r="H17" s="81" t="n">
        <v>0</v>
      </c>
      <c r="I17" s="51" t="n">
        <f aca="false">G17+H17</f>
        <v>618</v>
      </c>
      <c r="J17" s="81" t="n">
        <f aca="false">IF(L17&gt;0,L17,0)</f>
        <v>153.940005041593</v>
      </c>
      <c r="K17" s="51" t="n">
        <f aca="false">I17+J17</f>
        <v>771.940005041593</v>
      </c>
      <c r="L17" s="51" t="n">
        <f aca="false">F17-(I17-W17)</f>
        <v>153.940005041593</v>
      </c>
      <c r="M17" s="51" t="n">
        <v>218</v>
      </c>
      <c r="N17" s="51" t="n">
        <v>0</v>
      </c>
      <c r="O17" s="51" t="n">
        <v>0</v>
      </c>
      <c r="P17" s="6" t="n">
        <f aca="false">M17-(N17+O17)</f>
        <v>218</v>
      </c>
      <c r="Q17" s="51" t="n">
        <v>164</v>
      </c>
      <c r="R17" s="51" t="n">
        <v>85</v>
      </c>
      <c r="S17" s="51" t="n">
        <f aca="false">SUM(P17:R17)</f>
        <v>467</v>
      </c>
      <c r="T17" s="52"/>
      <c r="U17" s="51" t="n">
        <v>0</v>
      </c>
      <c r="V17" s="51" t="n">
        <v>191</v>
      </c>
      <c r="W17" s="6" t="n">
        <f aca="false">N17+O17+S17+U17+V17</f>
        <v>658</v>
      </c>
      <c r="X17" s="51" t="n">
        <f aca="false">IF(L17&lt;0,L17*-1,0)</f>
        <v>0</v>
      </c>
      <c r="Y17" s="51" t="n">
        <f aca="false">W17+X17</f>
        <v>658</v>
      </c>
      <c r="Z17" s="55" t="n">
        <v>0</v>
      </c>
      <c r="AA17" s="57" t="n">
        <v>73</v>
      </c>
      <c r="AB17" s="57" t="n">
        <v>51</v>
      </c>
      <c r="AC17" s="58" t="n">
        <f aca="false">AC16+1</f>
        <v>8</v>
      </c>
      <c r="AD17" s="12" t="n">
        <f aca="false">IF(I17&gt;S17,I17-S17,I17-S17)</f>
        <v>151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6902.68</v>
      </c>
      <c r="C18" s="52" t="n">
        <v>293573</v>
      </c>
      <c r="D18" s="57" t="n">
        <f aca="false">C18-C17</f>
        <v>564</v>
      </c>
      <c r="E18" s="52" t="n">
        <f aca="false">C18-152000</f>
        <v>141573</v>
      </c>
      <c r="F18" s="51" t="n">
        <f aca="false">D18/$D$2</f>
        <v>284.34585328964</v>
      </c>
      <c r="G18" s="51" t="n">
        <v>1097</v>
      </c>
      <c r="H18" s="81" t="n">
        <v>0</v>
      </c>
      <c r="I18" s="51" t="n">
        <f aca="false">G18+H18</f>
        <v>1097</v>
      </c>
      <c r="J18" s="81" t="n">
        <f aca="false">IF(L18&gt;0,L18,0)</f>
        <v>0</v>
      </c>
      <c r="K18" s="51" t="n">
        <f aca="false">I18+J18</f>
        <v>1097</v>
      </c>
      <c r="L18" s="51" t="n">
        <f aca="false">F18-(I18-W18)</f>
        <v>-11.6541467103605</v>
      </c>
      <c r="M18" s="51" t="n">
        <v>207</v>
      </c>
      <c r="N18" s="51" t="n">
        <v>0</v>
      </c>
      <c r="O18" s="51" t="n">
        <v>0</v>
      </c>
      <c r="P18" s="6" t="n">
        <f aca="false">M18-(N18+O18)</f>
        <v>207</v>
      </c>
      <c r="Q18" s="51" t="n">
        <v>164</v>
      </c>
      <c r="R18" s="51" t="n">
        <v>86</v>
      </c>
      <c r="S18" s="51" t="n">
        <f aca="false">SUM(P18:R18)</f>
        <v>457</v>
      </c>
      <c r="T18" s="52"/>
      <c r="U18" s="51" t="n">
        <v>0</v>
      </c>
      <c r="V18" s="51" t="n">
        <v>344</v>
      </c>
      <c r="W18" s="6" t="n">
        <f aca="false">N18+O18+S18+U18+V18</f>
        <v>801</v>
      </c>
      <c r="X18" s="51" t="n">
        <f aca="false">IF(L18&lt;0,L18*-1,0)</f>
        <v>11.6541467103605</v>
      </c>
      <c r="Y18" s="51" t="n">
        <f aca="false">W18+X18</f>
        <v>812.654146710361</v>
      </c>
      <c r="Z18" s="55" t="n">
        <v>0.42</v>
      </c>
      <c r="AA18" s="82" t="n">
        <v>78</v>
      </c>
      <c r="AB18" s="57" t="n">
        <v>47</v>
      </c>
      <c r="AC18" s="58" t="n">
        <f aca="false">AC17+1</f>
        <v>9</v>
      </c>
      <c r="AD18" s="12" t="n">
        <f aca="false">IF(I18&gt;S18,I18-S18,I18-S18)</f>
        <v>640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6902.71</v>
      </c>
      <c r="C19" s="52" t="n">
        <v>293686</v>
      </c>
      <c r="D19" s="57" t="n">
        <f aca="false">C19-C18</f>
        <v>113</v>
      </c>
      <c r="E19" s="52" t="n">
        <f aca="false">C19-152000</f>
        <v>141686</v>
      </c>
      <c r="F19" s="51" t="n">
        <f aca="false">D19/$D$2</f>
        <v>56.9700025207966</v>
      </c>
      <c r="G19" s="51" t="n">
        <v>1150</v>
      </c>
      <c r="H19" s="81" t="n">
        <v>0</v>
      </c>
      <c r="I19" s="51" t="n">
        <f aca="false">G19+H19</f>
        <v>1150</v>
      </c>
      <c r="J19" s="81" t="n">
        <f aca="false">IF(L19&gt;0,L19,0)</f>
        <v>0</v>
      </c>
      <c r="K19" s="51" t="n">
        <f aca="false">I19+J19</f>
        <v>1150</v>
      </c>
      <c r="L19" s="51" t="n">
        <f aca="false">F19-(I19-W19)</f>
        <v>-146.029997479203</v>
      </c>
      <c r="M19" s="51" t="n">
        <v>203</v>
      </c>
      <c r="N19" s="51" t="n">
        <v>0</v>
      </c>
      <c r="O19" s="51" t="n">
        <v>0</v>
      </c>
      <c r="P19" s="6" t="n">
        <f aca="false">M19-(N19+O19)</f>
        <v>203</v>
      </c>
      <c r="Q19" s="51" t="n">
        <v>164</v>
      </c>
      <c r="R19" s="51" t="n">
        <v>79</v>
      </c>
      <c r="S19" s="51" t="n">
        <f aca="false">SUM(P19:R19)</f>
        <v>446</v>
      </c>
      <c r="T19" s="52"/>
      <c r="U19" s="51" t="n">
        <v>0</v>
      </c>
      <c r="V19" s="51" t="n">
        <v>501</v>
      </c>
      <c r="W19" s="6" t="n">
        <f aca="false">N19+O19+S19+U19+V19</f>
        <v>947</v>
      </c>
      <c r="X19" s="51" t="n">
        <f aca="false">IF(L19&lt;0,L19*-1,0)</f>
        <v>146.029997479203</v>
      </c>
      <c r="Y19" s="51" t="n">
        <f aca="false">W19+X19</f>
        <v>1093.0299974792</v>
      </c>
      <c r="Z19" s="55" t="n">
        <v>0</v>
      </c>
      <c r="AA19" s="57" t="n">
        <v>76</v>
      </c>
      <c r="AB19" s="57" t="n">
        <v>50</v>
      </c>
      <c r="AC19" s="58" t="n">
        <f aca="false">AC18+1</f>
        <v>10</v>
      </c>
      <c r="AD19" s="12" t="n">
        <f aca="false">IF(I19&gt;S19,I19-S19,I19-S19)</f>
        <v>704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f aca="false">A19+1</f>
        <v>11</v>
      </c>
      <c r="B20" s="73" t="n">
        <v>6902.65</v>
      </c>
      <c r="C20" s="52" t="n">
        <v>293460</v>
      </c>
      <c r="D20" s="57" t="n">
        <f aca="false">C20-C19</f>
        <v>-226</v>
      </c>
      <c r="E20" s="52" t="n">
        <f aca="false">C20-152000</f>
        <v>141460</v>
      </c>
      <c r="F20" s="51" t="n">
        <f aca="false">D20/$D$2</f>
        <v>-113.940005041593</v>
      </c>
      <c r="G20" s="51" t="n">
        <v>869</v>
      </c>
      <c r="H20" s="81" t="n">
        <v>0</v>
      </c>
      <c r="I20" s="51" t="n">
        <f aca="false">G20+H20</f>
        <v>869</v>
      </c>
      <c r="J20" s="81" t="n">
        <f aca="false">IF(L20&gt;0,L20,0)</f>
        <v>0</v>
      </c>
      <c r="K20" s="51" t="n">
        <f aca="false">I20+J20</f>
        <v>869</v>
      </c>
      <c r="L20" s="51" t="n">
        <f aca="false">F20-(I20-W20)</f>
        <v>-146.940005041593</v>
      </c>
      <c r="M20" s="51" t="n">
        <v>203</v>
      </c>
      <c r="N20" s="51" t="n">
        <v>0</v>
      </c>
      <c r="O20" s="51" t="n">
        <v>0</v>
      </c>
      <c r="P20" s="6" t="n">
        <f aca="false">M20-(N20+O20)</f>
        <v>203</v>
      </c>
      <c r="Q20" s="51" t="n">
        <v>164</v>
      </c>
      <c r="R20" s="51" t="n">
        <v>77</v>
      </c>
      <c r="S20" s="51" t="n">
        <f aca="false">SUM(P20:R20)</f>
        <v>444</v>
      </c>
      <c r="T20" s="52"/>
      <c r="U20" s="51" t="n">
        <v>0</v>
      </c>
      <c r="V20" s="51" t="n">
        <v>392</v>
      </c>
      <c r="W20" s="6" t="n">
        <f aca="false">N20+O20+S20+U20+V20</f>
        <v>836</v>
      </c>
      <c r="X20" s="51" t="n">
        <f aca="false">IF(L20&lt;0,L20*-1,0)</f>
        <v>146.940005041593</v>
      </c>
      <c r="Y20" s="51" t="n">
        <f aca="false">W20+X20</f>
        <v>982.940005041593</v>
      </c>
      <c r="Z20" s="55" t="n">
        <v>0</v>
      </c>
      <c r="AA20" s="57" t="n">
        <v>80</v>
      </c>
      <c r="AB20" s="57" t="n">
        <v>47</v>
      </c>
      <c r="AC20" s="58" t="n">
        <f aca="false">AC19+1</f>
        <v>11</v>
      </c>
      <c r="AD20" s="12" t="n">
        <f aca="false">IF(I20&gt;S20,I20-S20,I20-S20)</f>
        <v>425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f aca="false">A20+1</f>
        <v>12</v>
      </c>
      <c r="B21" s="73" t="n">
        <v>6902.54</v>
      </c>
      <c r="C21" s="52" t="n">
        <v>293046</v>
      </c>
      <c r="D21" s="57" t="n">
        <f aca="false">C21-C20</f>
        <v>-414</v>
      </c>
      <c r="E21" s="52" t="n">
        <f aca="false">C21-152000</f>
        <v>141046</v>
      </c>
      <c r="F21" s="51" t="n">
        <f aca="false">D21/$D$2</f>
        <v>-208.72195613814</v>
      </c>
      <c r="G21" s="51" t="n">
        <v>681</v>
      </c>
      <c r="H21" s="81" t="n">
        <v>0</v>
      </c>
      <c r="I21" s="51" t="n">
        <f aca="false">G21+H21</f>
        <v>681</v>
      </c>
      <c r="J21" s="81" t="n">
        <f aca="false">IF(L21&gt;0,L21,0)</f>
        <v>0</v>
      </c>
      <c r="K21" s="51" t="n">
        <f aca="false">I21+J21</f>
        <v>681</v>
      </c>
      <c r="L21" s="51" t="n">
        <f aca="false">F21-(I21-W21)</f>
        <v>-126.72195613814</v>
      </c>
      <c r="M21" s="51" t="n">
        <v>204</v>
      </c>
      <c r="N21" s="51" t="n">
        <v>0</v>
      </c>
      <c r="O21" s="51" t="n">
        <v>0</v>
      </c>
      <c r="P21" s="6" t="n">
        <f aca="false">M21-(N21+O21)</f>
        <v>204</v>
      </c>
      <c r="Q21" s="51" t="n">
        <v>164</v>
      </c>
      <c r="R21" s="51" t="n">
        <v>85</v>
      </c>
      <c r="S21" s="51" t="n">
        <f aca="false">SUM(P21:R21)</f>
        <v>453</v>
      </c>
      <c r="T21" s="52"/>
      <c r="U21" s="51" t="n">
        <v>0</v>
      </c>
      <c r="V21" s="51" t="n">
        <v>310</v>
      </c>
      <c r="W21" s="6" t="n">
        <f aca="false">N21+O21+S21+U21+V21</f>
        <v>763</v>
      </c>
      <c r="X21" s="51" t="n">
        <f aca="false">IF(L21&lt;0,L21*-1,0)</f>
        <v>126.72195613814</v>
      </c>
      <c r="Y21" s="51" t="n">
        <f aca="false">W21+X21</f>
        <v>889.72195613814</v>
      </c>
      <c r="Z21" s="55" t="n">
        <v>0</v>
      </c>
      <c r="AA21" s="57" t="n">
        <v>88</v>
      </c>
      <c r="AB21" s="57" t="n">
        <v>52</v>
      </c>
      <c r="AC21" s="58" t="n">
        <f aca="false">AC20+1</f>
        <v>12</v>
      </c>
      <c r="AD21" s="12" t="n">
        <f aca="false">IF(I21&gt;S21,I21-S21,I21-S21)</f>
        <v>228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f aca="false">A21+1</f>
        <v>13</v>
      </c>
      <c r="B22" s="73" t="n">
        <v>6902.55</v>
      </c>
      <c r="C22" s="52" t="n">
        <v>293084</v>
      </c>
      <c r="D22" s="57" t="n">
        <f aca="false">C22-C21</f>
        <v>38</v>
      </c>
      <c r="E22" s="52" t="n">
        <f aca="false">C22-152000</f>
        <v>141084</v>
      </c>
      <c r="F22" s="51" t="n">
        <f aca="false">D22/$D$2</f>
        <v>19.1580539450466</v>
      </c>
      <c r="G22" s="51" t="n">
        <v>603</v>
      </c>
      <c r="H22" s="81" t="n">
        <v>0</v>
      </c>
      <c r="I22" s="51" t="n">
        <f aca="false">G22+H22</f>
        <v>603</v>
      </c>
      <c r="J22" s="81" t="n">
        <f aca="false">IF(L22&gt;0,L22,0)</f>
        <v>90.1580539450466</v>
      </c>
      <c r="K22" s="51" t="n">
        <f aca="false">I22+J22</f>
        <v>693.158053945047</v>
      </c>
      <c r="L22" s="51" t="n">
        <f aca="false">F22-(I22-W22)</f>
        <v>90.1580539450466</v>
      </c>
      <c r="M22" s="51" t="n">
        <v>204</v>
      </c>
      <c r="N22" s="51" t="n">
        <v>0</v>
      </c>
      <c r="O22" s="51" t="n">
        <v>0</v>
      </c>
      <c r="P22" s="6" t="n">
        <f aca="false">M22-(N22+O22)</f>
        <v>204</v>
      </c>
      <c r="Q22" s="51" t="n">
        <v>163</v>
      </c>
      <c r="R22" s="51" t="n">
        <v>86</v>
      </c>
      <c r="S22" s="51" t="n">
        <f aca="false">SUM(P22:R22)</f>
        <v>453</v>
      </c>
      <c r="T22" s="52"/>
      <c r="U22" s="51" t="n">
        <v>0</v>
      </c>
      <c r="V22" s="51" t="n">
        <v>221</v>
      </c>
      <c r="W22" s="6" t="n">
        <f aca="false">N22+O22+S22+U22+V22</f>
        <v>674</v>
      </c>
      <c r="X22" s="51" t="n">
        <f aca="false">IF(L22&lt;0,L22*-1,0)</f>
        <v>0</v>
      </c>
      <c r="Y22" s="51" t="n">
        <f aca="false">W22+X22</f>
        <v>674</v>
      </c>
      <c r="Z22" s="55" t="n">
        <v>0</v>
      </c>
      <c r="AA22" s="57" t="n">
        <v>89</v>
      </c>
      <c r="AB22" s="57" t="n">
        <v>52</v>
      </c>
      <c r="AC22" s="58" t="n">
        <f aca="false">AC21+1</f>
        <v>13</v>
      </c>
      <c r="AD22" s="12" t="n">
        <f aca="false">IF(I22&gt;S22,I22-S22,I22-S22)</f>
        <v>150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f aca="false">A22+1</f>
        <v>14</v>
      </c>
      <c r="B23" s="73" t="n">
        <v>6902.55</v>
      </c>
      <c r="C23" s="52" t="n">
        <v>293084</v>
      </c>
      <c r="D23" s="57" t="n">
        <f aca="false">C23-C22</f>
        <v>0</v>
      </c>
      <c r="E23" s="52" t="n">
        <f aca="false">C23-152000</f>
        <v>141084</v>
      </c>
      <c r="F23" s="51" t="n">
        <f aca="false">D23/$D$2</f>
        <v>0</v>
      </c>
      <c r="G23" s="51" t="n">
        <v>561</v>
      </c>
      <c r="H23" s="81" t="n">
        <v>0</v>
      </c>
      <c r="I23" s="51" t="n">
        <f aca="false">G23+H23</f>
        <v>561</v>
      </c>
      <c r="J23" s="81" t="n">
        <f aca="false">IF(L23&gt;0,L23,0)</f>
        <v>8</v>
      </c>
      <c r="K23" s="51" t="n">
        <f aca="false">I23+J23</f>
        <v>569</v>
      </c>
      <c r="L23" s="51" t="n">
        <f aca="false">F23-(I23-W23)</f>
        <v>8</v>
      </c>
      <c r="M23" s="51" t="n">
        <v>204</v>
      </c>
      <c r="N23" s="51" t="n">
        <v>0</v>
      </c>
      <c r="O23" s="51" t="n">
        <v>0</v>
      </c>
      <c r="P23" s="6" t="n">
        <f aca="false">M23-(N23+O23)</f>
        <v>204</v>
      </c>
      <c r="Q23" s="51" t="n">
        <v>162</v>
      </c>
      <c r="R23" s="51" t="n">
        <v>87</v>
      </c>
      <c r="S23" s="51" t="n">
        <f aca="false">SUM(P23:R23)</f>
        <v>453</v>
      </c>
      <c r="T23" s="52"/>
      <c r="U23" s="51" t="n">
        <v>0</v>
      </c>
      <c r="V23" s="51" t="n">
        <v>116</v>
      </c>
      <c r="W23" s="6" t="n">
        <f aca="false">N23+O23+S23+U23+V23</f>
        <v>569</v>
      </c>
      <c r="X23" s="51" t="n">
        <f aca="false">IF(L23&lt;0,L23*-1,0)</f>
        <v>0</v>
      </c>
      <c r="Y23" s="51" t="n">
        <f aca="false">W23+X23</f>
        <v>569</v>
      </c>
      <c r="Z23" s="55" t="n">
        <v>0</v>
      </c>
      <c r="AA23" s="57" t="n">
        <v>87</v>
      </c>
      <c r="AB23" s="57" t="n">
        <v>51</v>
      </c>
      <c r="AC23" s="58" t="n">
        <f aca="false">AC22+1</f>
        <v>14</v>
      </c>
      <c r="AD23" s="12" t="n">
        <f aca="false">IF(I23&gt;S23,I23-S23,I23-S23)</f>
        <v>108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f aca="false">A23+1</f>
        <v>15</v>
      </c>
      <c r="B24" s="73" t="n">
        <v>6902.73</v>
      </c>
      <c r="C24" s="52" t="n">
        <v>293761</v>
      </c>
      <c r="D24" s="57" t="n">
        <f aca="false">C24-C23</f>
        <v>677</v>
      </c>
      <c r="E24" s="52" t="n">
        <f aca="false">C24-152000</f>
        <v>141761</v>
      </c>
      <c r="F24" s="51" t="n">
        <f aca="false">D24/$D$2</f>
        <v>341.315855810436</v>
      </c>
      <c r="G24" s="51" t="n">
        <v>696</v>
      </c>
      <c r="H24" s="81" t="n">
        <v>0</v>
      </c>
      <c r="I24" s="51" t="n">
        <f aca="false">G24+H24</f>
        <v>696</v>
      </c>
      <c r="J24" s="81" t="n">
        <f aca="false">IF(L24&gt;0,L24,0)</f>
        <v>159.315855810436</v>
      </c>
      <c r="K24" s="51" t="n">
        <f aca="false">I24+J24</f>
        <v>855.315855810436</v>
      </c>
      <c r="L24" s="51" t="n">
        <f aca="false">F24-(I24-W24)</f>
        <v>159.315855810436</v>
      </c>
      <c r="M24" s="51" t="n">
        <v>199</v>
      </c>
      <c r="N24" s="51" t="n">
        <v>0</v>
      </c>
      <c r="O24" s="51" t="n">
        <v>0</v>
      </c>
      <c r="P24" s="6" t="n">
        <f aca="false">M24-(N24+O24)</f>
        <v>199</v>
      </c>
      <c r="Q24" s="51" t="n">
        <v>147</v>
      </c>
      <c r="R24" s="51" t="n">
        <v>87</v>
      </c>
      <c r="S24" s="51" t="n">
        <f aca="false">SUM(P24:R24)</f>
        <v>433</v>
      </c>
      <c r="T24" s="52"/>
      <c r="U24" s="51" t="n">
        <v>0</v>
      </c>
      <c r="V24" s="51" t="n">
        <v>81</v>
      </c>
      <c r="W24" s="6" t="n">
        <f aca="false">N24+O24+S24+U24+V24</f>
        <v>514</v>
      </c>
      <c r="X24" s="51" t="n">
        <f aca="false">IF(L24&lt;0,L24*-1,0)</f>
        <v>0</v>
      </c>
      <c r="Y24" s="51" t="n">
        <f aca="false">W24+X24</f>
        <v>514</v>
      </c>
      <c r="Z24" s="55" t="n">
        <v>0.28</v>
      </c>
      <c r="AA24" s="82" t="n">
        <v>86</v>
      </c>
      <c r="AB24" s="57" t="n">
        <v>51</v>
      </c>
      <c r="AC24" s="58" t="n">
        <f aca="false">AC23+1</f>
        <v>15</v>
      </c>
      <c r="AD24" s="12" t="n">
        <f aca="false">IF(I24&gt;S24,I24-S24,I24-S24)</f>
        <v>263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f aca="false">A24+1</f>
        <v>16</v>
      </c>
      <c r="B25" s="73" t="n">
        <v>6902.71</v>
      </c>
      <c r="C25" s="52" t="n">
        <v>293686</v>
      </c>
      <c r="D25" s="57" t="n">
        <f aca="false">C25-C24</f>
        <v>-75</v>
      </c>
      <c r="E25" s="52" t="n">
        <f aca="false">C25-152000</f>
        <v>141686</v>
      </c>
      <c r="F25" s="51" t="n">
        <f aca="false">D25/$D$2</f>
        <v>-37.8119485757499</v>
      </c>
      <c r="G25" s="51" t="n">
        <v>694</v>
      </c>
      <c r="H25" s="81" t="n">
        <v>0</v>
      </c>
      <c r="I25" s="51" t="n">
        <f aca="false">G25+H25</f>
        <v>694</v>
      </c>
      <c r="J25" s="81" t="n">
        <f aca="false">IF(L25&gt;0,L25,0)</f>
        <v>0</v>
      </c>
      <c r="K25" s="51" t="n">
        <f aca="false">I25+J25</f>
        <v>694</v>
      </c>
      <c r="L25" s="51" t="n">
        <f aca="false">F25-(I25-W25)</f>
        <v>-72.8119485757499</v>
      </c>
      <c r="M25" s="51" t="n">
        <v>196</v>
      </c>
      <c r="N25" s="51" t="n">
        <v>0</v>
      </c>
      <c r="O25" s="51" t="n">
        <v>0</v>
      </c>
      <c r="P25" s="6" t="n">
        <f aca="false">M25-(N25+O25)</f>
        <v>196</v>
      </c>
      <c r="Q25" s="51" t="n">
        <v>147</v>
      </c>
      <c r="R25" s="51" t="n">
        <v>88</v>
      </c>
      <c r="S25" s="51" t="n">
        <f aca="false">SUM(P25:R25)</f>
        <v>431</v>
      </c>
      <c r="T25" s="52"/>
      <c r="U25" s="51" t="n">
        <v>0</v>
      </c>
      <c r="V25" s="51" t="n">
        <v>228</v>
      </c>
      <c r="W25" s="6" t="n">
        <f aca="false">N25+O25+S25+U25+V25</f>
        <v>659</v>
      </c>
      <c r="X25" s="51" t="n">
        <f aca="false">IF(L25&lt;0,L25*-1,0)</f>
        <v>72.8119485757499</v>
      </c>
      <c r="Y25" s="51" t="n">
        <f aca="false">W25+X25</f>
        <v>731.81194857575</v>
      </c>
      <c r="Z25" s="55" t="n">
        <v>0.24</v>
      </c>
      <c r="AA25" s="82" t="n">
        <v>74</v>
      </c>
      <c r="AB25" s="57" t="n">
        <v>50</v>
      </c>
      <c r="AC25" s="58" t="n">
        <f aca="false">AC24+1</f>
        <v>16</v>
      </c>
      <c r="AD25" s="12" t="n">
        <f aca="false">IF(I25&gt;S25,I25-S25,I25-S25)</f>
        <v>263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f aca="false">A25+1</f>
        <v>17</v>
      </c>
      <c r="B26" s="73" t="n">
        <v>6902.68</v>
      </c>
      <c r="C26" s="52" t="n">
        <v>293573</v>
      </c>
      <c r="D26" s="57" t="n">
        <f aca="false">C26-C25</f>
        <v>-113</v>
      </c>
      <c r="E26" s="52" t="n">
        <f aca="false">C26-152000</f>
        <v>141573</v>
      </c>
      <c r="F26" s="51" t="n">
        <f aca="false">D26/$D$2</f>
        <v>-56.9700025207966</v>
      </c>
      <c r="G26" s="51" t="n">
        <v>628</v>
      </c>
      <c r="H26" s="81" t="n">
        <v>0</v>
      </c>
      <c r="I26" s="51" t="n">
        <f aca="false">G26+H26</f>
        <v>628</v>
      </c>
      <c r="J26" s="81" t="n">
        <f aca="false">IF(L26&gt;0,L26,0)</f>
        <v>35.0299974792034</v>
      </c>
      <c r="K26" s="51" t="n">
        <f aca="false">I26+J26</f>
        <v>663.029997479203</v>
      </c>
      <c r="L26" s="51" t="n">
        <f aca="false">F26-(I26-W26)</f>
        <v>35.0299974792034</v>
      </c>
      <c r="M26" s="51" t="n">
        <v>187</v>
      </c>
      <c r="N26" s="51" t="n">
        <v>0</v>
      </c>
      <c r="O26" s="51" t="n">
        <v>0</v>
      </c>
      <c r="P26" s="6" t="n">
        <f aca="false">M26-(N26+O26)</f>
        <v>187</v>
      </c>
      <c r="Q26" s="51" t="n">
        <v>137</v>
      </c>
      <c r="R26" s="51" t="n">
        <v>89</v>
      </c>
      <c r="S26" s="51" t="n">
        <f aca="false">SUM(P26:R26)</f>
        <v>413</v>
      </c>
      <c r="T26" s="52"/>
      <c r="U26" s="51" t="n">
        <v>0</v>
      </c>
      <c r="V26" s="51" t="n">
        <v>307</v>
      </c>
      <c r="W26" s="6" t="n">
        <f aca="false">N26+O26+S26+U26+V26</f>
        <v>720</v>
      </c>
      <c r="X26" s="51" t="n">
        <f aca="false">IF(L26&lt;0,L26*-1,0)</f>
        <v>0</v>
      </c>
      <c r="Y26" s="51" t="n">
        <f aca="false">W26+X26</f>
        <v>720</v>
      </c>
      <c r="Z26" s="55" t="n">
        <v>0.02</v>
      </c>
      <c r="AA26" s="82" t="n">
        <v>79</v>
      </c>
      <c r="AB26" s="57" t="n">
        <v>48</v>
      </c>
      <c r="AC26" s="58" t="n">
        <f aca="false">AC25+1</f>
        <v>17</v>
      </c>
      <c r="AD26" s="12" t="n">
        <f aca="false">IF(I26&gt;S26,I26-S26,I26-S26)</f>
        <v>215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f aca="false">A26+1</f>
        <v>18</v>
      </c>
      <c r="B27" s="73" t="n">
        <v>6902.62</v>
      </c>
      <c r="C27" s="52" t="n">
        <v>293347</v>
      </c>
      <c r="D27" s="57" t="n">
        <f aca="false">C27-C26</f>
        <v>-226</v>
      </c>
      <c r="E27" s="52" t="n">
        <f aca="false">C27-152000</f>
        <v>141347</v>
      </c>
      <c r="F27" s="51" t="n">
        <f aca="false">D27/$D$2</f>
        <v>-113.940005041593</v>
      </c>
      <c r="G27" s="51" t="n">
        <v>607</v>
      </c>
      <c r="H27" s="81" t="n">
        <v>0</v>
      </c>
      <c r="I27" s="51" t="n">
        <f aca="false">G27+H27</f>
        <v>607</v>
      </c>
      <c r="J27" s="81" t="n">
        <f aca="false">IF(L27&gt;0,L27,0)</f>
        <v>0</v>
      </c>
      <c r="K27" s="51" t="n">
        <f aca="false">I27+J27</f>
        <v>607</v>
      </c>
      <c r="L27" s="51" t="n">
        <f aca="false">F27-(I27-W27)</f>
        <v>-91.9400050415931</v>
      </c>
      <c r="M27" s="51" t="n">
        <v>165</v>
      </c>
      <c r="N27" s="51" t="n">
        <v>0</v>
      </c>
      <c r="O27" s="51" t="n">
        <v>0</v>
      </c>
      <c r="P27" s="6" t="n">
        <f aca="false">M27-(N27+O27)</f>
        <v>165</v>
      </c>
      <c r="Q27" s="51" t="n">
        <v>137</v>
      </c>
      <c r="R27" s="51" t="n">
        <v>82</v>
      </c>
      <c r="S27" s="51" t="n">
        <f aca="false">SUM(P27:R27)</f>
        <v>384</v>
      </c>
      <c r="T27" s="52"/>
      <c r="U27" s="51" t="n">
        <v>0</v>
      </c>
      <c r="V27" s="51" t="n">
        <v>245</v>
      </c>
      <c r="W27" s="6" t="n">
        <f aca="false">N27+O27+S27+U27+V27</f>
        <v>629</v>
      </c>
      <c r="X27" s="51" t="n">
        <f aca="false">IF(L27&lt;0,L27*-1,0)</f>
        <v>91.9400050415931</v>
      </c>
      <c r="Y27" s="51" t="n">
        <f aca="false">W27+X27</f>
        <v>720.940005041593</v>
      </c>
      <c r="Z27" s="55" t="n">
        <v>0</v>
      </c>
      <c r="AA27" s="82" t="n">
        <v>74</v>
      </c>
      <c r="AB27" s="57" t="n">
        <v>52</v>
      </c>
      <c r="AC27" s="58" t="n">
        <f aca="false">AC26+1</f>
        <v>18</v>
      </c>
      <c r="AD27" s="12" t="n">
        <f aca="false">IF(I27&gt;S27,I27-S27,I27-S27)</f>
        <v>223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f aca="false">A27+1</f>
        <v>19</v>
      </c>
      <c r="B28" s="73" t="n">
        <v>6902.65</v>
      </c>
      <c r="C28" s="52" t="n">
        <v>293460</v>
      </c>
      <c r="D28" s="57" t="n">
        <f aca="false">C28-C27</f>
        <v>113</v>
      </c>
      <c r="E28" s="52" t="n">
        <f aca="false">C28-152000</f>
        <v>141460</v>
      </c>
      <c r="F28" s="51" t="n">
        <f aca="false">D28/$D$2</f>
        <v>56.9700025207966</v>
      </c>
      <c r="G28" s="51" t="n">
        <v>608</v>
      </c>
      <c r="H28" s="81" t="n">
        <v>0</v>
      </c>
      <c r="I28" s="51" t="n">
        <f aca="false">G28+H28</f>
        <v>608</v>
      </c>
      <c r="J28" s="81" t="n">
        <f aca="false">IF(L28&gt;0,L28,0)</f>
        <v>13.9700025207966</v>
      </c>
      <c r="K28" s="51" t="n">
        <f aca="false">I28+J28</f>
        <v>621.970002520797</v>
      </c>
      <c r="L28" s="51" t="n">
        <f aca="false">F28-(I28-W28)</f>
        <v>13.9700025207966</v>
      </c>
      <c r="M28" s="51" t="n">
        <v>162</v>
      </c>
      <c r="N28" s="51" t="n">
        <v>0</v>
      </c>
      <c r="O28" s="51" t="n">
        <v>0</v>
      </c>
      <c r="P28" s="6" t="n">
        <f aca="false">M28-(N28+O28)</f>
        <v>162</v>
      </c>
      <c r="Q28" s="51" t="n">
        <v>135</v>
      </c>
      <c r="R28" s="51" t="n">
        <v>87</v>
      </c>
      <c r="S28" s="51" t="n">
        <f aca="false">SUM(P28:R28)</f>
        <v>384</v>
      </c>
      <c r="T28" s="52"/>
      <c r="U28" s="51" t="n">
        <v>0</v>
      </c>
      <c r="V28" s="51" t="n">
        <v>181</v>
      </c>
      <c r="W28" s="6" t="n">
        <f aca="false">N28+O28+S28+U28+V28</f>
        <v>565</v>
      </c>
      <c r="X28" s="51" t="n">
        <f aca="false">IF(L28&lt;0,L28*-1,0)</f>
        <v>0</v>
      </c>
      <c r="Y28" s="51" t="n">
        <f aca="false">W28+X28</f>
        <v>565</v>
      </c>
      <c r="Z28" s="55" t="n">
        <v>0</v>
      </c>
      <c r="AA28" s="82"/>
      <c r="AB28" s="57"/>
      <c r="AC28" s="58" t="n">
        <f aca="false">AC27+1</f>
        <v>19</v>
      </c>
      <c r="AD28" s="12" t="n">
        <f aca="false">IF(I28&gt;S28,I28-S28,I28-S28)</f>
        <v>224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f aca="false">A28+1</f>
        <v>20</v>
      </c>
      <c r="B29" s="73" t="n">
        <v>6902.66</v>
      </c>
      <c r="C29" s="52" t="n">
        <v>293498</v>
      </c>
      <c r="D29" s="57" t="n">
        <f aca="false">C29-C28</f>
        <v>38</v>
      </c>
      <c r="E29" s="52" t="n">
        <f aca="false">C29-152000</f>
        <v>141498</v>
      </c>
      <c r="F29" s="51" t="n">
        <f aca="false">D29/$D$2</f>
        <v>19.1580539450466</v>
      </c>
      <c r="G29" s="51" t="n">
        <v>648</v>
      </c>
      <c r="H29" s="81" t="n">
        <v>0</v>
      </c>
      <c r="I29" s="51" t="n">
        <f aca="false">G29+H29</f>
        <v>648</v>
      </c>
      <c r="J29" s="81" t="n">
        <f aca="false">IF(L29&gt;0,L29,0)</f>
        <v>0</v>
      </c>
      <c r="K29" s="51" t="n">
        <f aca="false">I29+J29</f>
        <v>648</v>
      </c>
      <c r="L29" s="51" t="n">
        <f aca="false">F29-(I29-W29)</f>
        <v>-80.8419460549534</v>
      </c>
      <c r="M29" s="51" t="n">
        <v>163</v>
      </c>
      <c r="N29" s="51" t="n">
        <v>0</v>
      </c>
      <c r="O29" s="51" t="n">
        <v>0</v>
      </c>
      <c r="P29" s="6" t="n">
        <f aca="false">M29-(N29+O29)</f>
        <v>163</v>
      </c>
      <c r="Q29" s="51" t="n">
        <v>126</v>
      </c>
      <c r="R29" s="51" t="n">
        <v>84</v>
      </c>
      <c r="S29" s="51" t="n">
        <f aca="false">SUM(P29:R29)</f>
        <v>373</v>
      </c>
      <c r="T29" s="52"/>
      <c r="U29" s="51" t="n">
        <v>0</v>
      </c>
      <c r="V29" s="51" t="n">
        <v>175</v>
      </c>
      <c r="W29" s="6" t="n">
        <f aca="false">N29+O29+S29+U29+V29</f>
        <v>548</v>
      </c>
      <c r="X29" s="51" t="n">
        <f aca="false">IF(L29&lt;0,L29*-1,0)</f>
        <v>80.8419460549534</v>
      </c>
      <c r="Y29" s="51" t="n">
        <f aca="false">W29+X29</f>
        <v>628.841946054953</v>
      </c>
      <c r="Z29" s="55" t="n">
        <v>0</v>
      </c>
      <c r="AA29" s="82"/>
      <c r="AB29" s="57"/>
      <c r="AC29" s="58" t="n">
        <f aca="false">AC28+1</f>
        <v>20</v>
      </c>
      <c r="AD29" s="12" t="n">
        <f aca="false">IF(I29&gt;S29,I29-S29,I29-S29)</f>
        <v>275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f aca="false">A29+1</f>
        <v>21</v>
      </c>
      <c r="B30" s="73" t="n">
        <v>6902.69</v>
      </c>
      <c r="C30" s="52" t="n">
        <v>293611</v>
      </c>
      <c r="D30" s="57" t="n">
        <f aca="false">C30-C29</f>
        <v>113</v>
      </c>
      <c r="E30" s="52" t="n">
        <f aca="false">C30-152000</f>
        <v>141611</v>
      </c>
      <c r="F30" s="51" t="n">
        <f aca="false">D30/$D$2</f>
        <v>56.9700025207966</v>
      </c>
      <c r="G30" s="51" t="n">
        <v>292</v>
      </c>
      <c r="H30" s="81" t="n">
        <v>0</v>
      </c>
      <c r="I30" s="51" t="n">
        <f aca="false">G30+H30</f>
        <v>292</v>
      </c>
      <c r="J30" s="81" t="n">
        <f aca="false">IF(L30&gt;0,L30,0)</f>
        <v>307.970002520797</v>
      </c>
      <c r="K30" s="51" t="n">
        <f aca="false">I30+J30</f>
        <v>599.970002520797</v>
      </c>
      <c r="L30" s="51" t="n">
        <f aca="false">F30-(I30-W30)</f>
        <v>307.970002520797</v>
      </c>
      <c r="M30" s="51" t="n">
        <v>159</v>
      </c>
      <c r="N30" s="51" t="n">
        <v>0</v>
      </c>
      <c r="O30" s="51" t="n">
        <v>0</v>
      </c>
      <c r="P30" s="6" t="n">
        <f aca="false">M30-(N30+O30)</f>
        <v>159</v>
      </c>
      <c r="Q30" s="51" t="n">
        <v>126</v>
      </c>
      <c r="R30" s="51" t="n">
        <v>83</v>
      </c>
      <c r="S30" s="51" t="n">
        <f aca="false">SUM(P30:R30)</f>
        <v>368</v>
      </c>
      <c r="T30" s="52"/>
      <c r="U30" s="51" t="n">
        <v>0</v>
      </c>
      <c r="V30" s="51" t="n">
        <v>175</v>
      </c>
      <c r="W30" s="6" t="n">
        <f aca="false">N30+O30+S30+U30+V30</f>
        <v>543</v>
      </c>
      <c r="X30" s="51" t="n">
        <f aca="false">IF(L30&lt;0,L30*-1,0)</f>
        <v>0</v>
      </c>
      <c r="Y30" s="51" t="n">
        <f aca="false">W30+X30</f>
        <v>543</v>
      </c>
      <c r="Z30" s="55" t="n">
        <v>0</v>
      </c>
      <c r="AA30" s="57" t="n">
        <v>77</v>
      </c>
      <c r="AB30" s="57" t="n">
        <v>46</v>
      </c>
      <c r="AC30" s="58" t="n">
        <f aca="false">AC29+1</f>
        <v>21</v>
      </c>
      <c r="AD30" s="12" t="n">
        <f aca="false">IF(I30&gt;S30,I30-S30,I30-S30)</f>
        <v>-76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f aca="false">A30+1</f>
        <v>22</v>
      </c>
      <c r="B31" s="73" t="n">
        <v>6902.81</v>
      </c>
      <c r="C31" s="52" t="n">
        <v>294062</v>
      </c>
      <c r="D31" s="57" t="n">
        <f aca="false">C31-C30</f>
        <v>451</v>
      </c>
      <c r="E31" s="52" t="n">
        <f aca="false">C31-152000</f>
        <v>142062</v>
      </c>
      <c r="F31" s="51" t="n">
        <f aca="false">D31/$D$2</f>
        <v>227.375850768843</v>
      </c>
      <c r="G31" s="51" t="n">
        <v>678</v>
      </c>
      <c r="H31" s="81" t="n">
        <v>0</v>
      </c>
      <c r="I31" s="51" t="n">
        <f aca="false">G31+H31</f>
        <v>678</v>
      </c>
      <c r="J31" s="81" t="n">
        <f aca="false">IF(L31&gt;0,L31,0)</f>
        <v>101.375850768843</v>
      </c>
      <c r="K31" s="51" t="n">
        <f aca="false">I31+J31</f>
        <v>779.375850768843</v>
      </c>
      <c r="L31" s="51" t="n">
        <f aca="false">F31-(I31-W31)</f>
        <v>101.375850768843</v>
      </c>
      <c r="M31" s="51" t="n">
        <v>147</v>
      </c>
      <c r="N31" s="51" t="n">
        <v>0</v>
      </c>
      <c r="O31" s="51" t="n">
        <v>0</v>
      </c>
      <c r="P31" s="6" t="n">
        <f aca="false">M31-(N31+O31)</f>
        <v>147</v>
      </c>
      <c r="Q31" s="51" t="n">
        <v>147</v>
      </c>
      <c r="R31" s="51" t="n">
        <v>83</v>
      </c>
      <c r="S31" s="51" t="n">
        <f aca="false">SUM(P31:R31)</f>
        <v>377</v>
      </c>
      <c r="T31" s="52"/>
      <c r="U31" s="51" t="n">
        <v>0</v>
      </c>
      <c r="V31" s="51" t="n">
        <v>175</v>
      </c>
      <c r="W31" s="6" t="n">
        <f aca="false">N31+O31+S31+U31+V31</f>
        <v>552</v>
      </c>
      <c r="X31" s="51" t="n">
        <f aca="false">IF(L31&lt;0,L31*-1,0)</f>
        <v>0</v>
      </c>
      <c r="Y31" s="51" t="n">
        <f aca="false">W31+X31</f>
        <v>552</v>
      </c>
      <c r="Z31" s="55" t="n">
        <v>0.15</v>
      </c>
      <c r="AA31" s="57" t="n">
        <v>72</v>
      </c>
      <c r="AB31" s="57" t="n">
        <v>49</v>
      </c>
      <c r="AC31" s="58" t="n">
        <f aca="false">AC30+1</f>
        <v>22</v>
      </c>
      <c r="AD31" s="12" t="n">
        <f aca="false">IF(I31&gt;S31,I31-S31,I31-S31)</f>
        <v>301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f aca="false">A31+1</f>
        <v>23</v>
      </c>
      <c r="B32" s="73" t="n">
        <v>6902.84</v>
      </c>
      <c r="C32" s="52" t="n">
        <v>294175</v>
      </c>
      <c r="D32" s="57" t="n">
        <f aca="false">C32-C31</f>
        <v>113</v>
      </c>
      <c r="E32" s="52" t="n">
        <f aca="false">C32-152000</f>
        <v>142175</v>
      </c>
      <c r="F32" s="51" t="n">
        <f aca="false">D32/$D$2</f>
        <v>56.9700025207966</v>
      </c>
      <c r="G32" s="51" t="n">
        <v>845</v>
      </c>
      <c r="H32" s="81" t="n">
        <v>0</v>
      </c>
      <c r="I32" s="51" t="n">
        <f aca="false">G32+H32</f>
        <v>845</v>
      </c>
      <c r="J32" s="81" t="n">
        <f aca="false">IF(L32&gt;0,L32,0)</f>
        <v>0</v>
      </c>
      <c r="K32" s="51" t="n">
        <f aca="false">I32+J32</f>
        <v>845</v>
      </c>
      <c r="L32" s="51" t="n">
        <f aca="false">F32-(I32-W32)</f>
        <v>-53.0299974792034</v>
      </c>
      <c r="M32" s="51" t="n">
        <v>126</v>
      </c>
      <c r="N32" s="51" t="n">
        <v>0</v>
      </c>
      <c r="O32" s="51" t="n">
        <v>0</v>
      </c>
      <c r="P32" s="6" t="n">
        <f aca="false">M32-(N32+O32)</f>
        <v>126</v>
      </c>
      <c r="Q32" s="51" t="n">
        <v>166</v>
      </c>
      <c r="R32" s="51" t="n">
        <v>80</v>
      </c>
      <c r="S32" s="51" t="n">
        <f aca="false">SUM(P32:R32)</f>
        <v>372</v>
      </c>
      <c r="T32" s="52"/>
      <c r="U32" s="51" t="n">
        <v>0</v>
      </c>
      <c r="V32" s="51" t="n">
        <v>363</v>
      </c>
      <c r="W32" s="6" t="n">
        <f aca="false">N32+O32+S32+U32+V32</f>
        <v>735</v>
      </c>
      <c r="X32" s="51" t="n">
        <f aca="false">IF(L32&lt;0,L32*-1,0)</f>
        <v>53.0299974792034</v>
      </c>
      <c r="Y32" s="51" t="n">
        <f aca="false">W32+X32</f>
        <v>788.029997479203</v>
      </c>
      <c r="Z32" s="55" t="n">
        <v>0.56</v>
      </c>
      <c r="AA32" s="57" t="n">
        <v>69</v>
      </c>
      <c r="AB32" s="82" t="n">
        <v>50</v>
      </c>
      <c r="AC32" s="58" t="n">
        <f aca="false">AC31+1</f>
        <v>23</v>
      </c>
      <c r="AD32" s="12" t="n">
        <f aca="false">IF(I32&gt;S32,I32-S32,I32-S32)</f>
        <v>473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f aca="false">A32+1</f>
        <v>24</v>
      </c>
      <c r="B33" s="73" t="n">
        <v>6902.8</v>
      </c>
      <c r="C33" s="52" t="n">
        <v>294025</v>
      </c>
      <c r="D33" s="57" t="n">
        <f aca="false">C33-C32</f>
        <v>-150</v>
      </c>
      <c r="E33" s="52" t="n">
        <f aca="false">C33-152000</f>
        <v>142025</v>
      </c>
      <c r="F33" s="51" t="n">
        <f aca="false">D33/$D$2</f>
        <v>-75.6238971514999</v>
      </c>
      <c r="G33" s="51" t="n">
        <v>965</v>
      </c>
      <c r="H33" s="81" t="n">
        <v>0</v>
      </c>
      <c r="I33" s="51" t="n">
        <f aca="false">G33+H33</f>
        <v>965</v>
      </c>
      <c r="J33" s="81" t="n">
        <f aca="false">IF(L33&gt;0,L33,0)</f>
        <v>0</v>
      </c>
      <c r="K33" s="51" t="n">
        <f aca="false">I33+J33</f>
        <v>965</v>
      </c>
      <c r="L33" s="51" t="n">
        <f aca="false">F33-(I33-W33)</f>
        <v>-66.6238971514999</v>
      </c>
      <c r="M33" s="51" t="n">
        <v>117</v>
      </c>
      <c r="N33" s="51" t="n">
        <v>0</v>
      </c>
      <c r="O33" s="51" t="n">
        <v>0</v>
      </c>
      <c r="P33" s="6" t="n">
        <f aca="false">M33-(N33+O33)</f>
        <v>117</v>
      </c>
      <c r="Q33" s="51" t="n">
        <v>145</v>
      </c>
      <c r="R33" s="51" t="n">
        <v>79</v>
      </c>
      <c r="S33" s="51" t="n">
        <f aca="false">SUM(P33:R33)</f>
        <v>341</v>
      </c>
      <c r="T33" s="52"/>
      <c r="U33" s="51" t="n">
        <v>0</v>
      </c>
      <c r="V33" s="51" t="n">
        <v>633</v>
      </c>
      <c r="W33" s="6" t="n">
        <f aca="false">N33+O33+S33+U33+V33</f>
        <v>974</v>
      </c>
      <c r="X33" s="51" t="n">
        <f aca="false">IF(L33&lt;0,L33*-1,0)</f>
        <v>66.6238971514999</v>
      </c>
      <c r="Y33" s="51" t="n">
        <f aca="false">W33+X33</f>
        <v>1040.6238971515</v>
      </c>
      <c r="Z33" s="55" t="n">
        <v>0.06</v>
      </c>
      <c r="AA33" s="57" t="n">
        <v>67</v>
      </c>
      <c r="AB33" s="82" t="n">
        <v>42</v>
      </c>
      <c r="AC33" s="58" t="n">
        <f aca="false">AC32+1</f>
        <v>24</v>
      </c>
      <c r="AD33" s="12" t="n">
        <f aca="false">IF(I33&gt;S33,I33-S33,I33-S33)</f>
        <v>624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f aca="false">A33+1</f>
        <v>25</v>
      </c>
      <c r="B34" s="73" t="n">
        <v>6902.76</v>
      </c>
      <c r="C34" s="52" t="n">
        <v>293874</v>
      </c>
      <c r="D34" s="57" t="n">
        <f aca="false">C34-C33</f>
        <v>-151</v>
      </c>
      <c r="E34" s="52" t="n">
        <f aca="false">C34-152000</f>
        <v>141874</v>
      </c>
      <c r="F34" s="51" t="n">
        <f aca="false">D34/$D$2</f>
        <v>-76.1280564658432</v>
      </c>
      <c r="G34" s="51" t="n">
        <v>704</v>
      </c>
      <c r="H34" s="81" t="n">
        <v>0</v>
      </c>
      <c r="I34" s="51" t="n">
        <f aca="false">G34+H34</f>
        <v>704</v>
      </c>
      <c r="J34" s="81" t="n">
        <f aca="false">IF(L34&gt;0,L34,0)</f>
        <v>27.8719435341568</v>
      </c>
      <c r="K34" s="51" t="n">
        <f aca="false">I34+J34</f>
        <v>731.871943534157</v>
      </c>
      <c r="L34" s="51" t="n">
        <f aca="false">F34-(I34-W34)</f>
        <v>27.8719435341568</v>
      </c>
      <c r="M34" s="51" t="n">
        <v>117</v>
      </c>
      <c r="N34" s="51" t="n">
        <v>0</v>
      </c>
      <c r="O34" s="51" t="n">
        <v>0</v>
      </c>
      <c r="P34" s="6" t="n">
        <f aca="false">M34-(N34+O34)</f>
        <v>117</v>
      </c>
      <c r="Q34" s="51" t="n">
        <v>146</v>
      </c>
      <c r="R34" s="51" t="n">
        <v>79</v>
      </c>
      <c r="S34" s="51" t="n">
        <f aca="false">SUM(P34:R34)</f>
        <v>342</v>
      </c>
      <c r="T34" s="52"/>
      <c r="U34" s="51" t="n">
        <v>0</v>
      </c>
      <c r="V34" s="51" t="n">
        <v>466</v>
      </c>
      <c r="W34" s="6" t="n">
        <f aca="false">N34+O34+S34+U34+V34</f>
        <v>808</v>
      </c>
      <c r="X34" s="51" t="n">
        <f aca="false">IF(L34&lt;0,L34*-1,0)</f>
        <v>0</v>
      </c>
      <c r="Y34" s="51" t="n">
        <f aca="false">W34+X34</f>
        <v>808</v>
      </c>
      <c r="Z34" s="55" t="n">
        <v>0</v>
      </c>
      <c r="AA34" s="57" t="n">
        <v>75</v>
      </c>
      <c r="AB34" s="82" t="n">
        <v>46</v>
      </c>
      <c r="AC34" s="58" t="n">
        <f aca="false">AC33+1</f>
        <v>25</v>
      </c>
      <c r="AD34" s="12" t="n">
        <f aca="false">IF(I34&gt;S34,I34-S34,I34-S34)</f>
        <v>362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f aca="false">A34+1</f>
        <v>26</v>
      </c>
      <c r="B35" s="73" t="n">
        <v>6902.75</v>
      </c>
      <c r="C35" s="52" t="n">
        <v>293837</v>
      </c>
      <c r="D35" s="57" t="n">
        <f aca="false">C35-C34</f>
        <v>-37</v>
      </c>
      <c r="E35" s="52" t="n">
        <f aca="false">C35-152000</f>
        <v>141837</v>
      </c>
      <c r="F35" s="51" t="n">
        <f aca="false">D35/$D$2</f>
        <v>-18.6538946307033</v>
      </c>
      <c r="G35" s="51" t="n">
        <v>605</v>
      </c>
      <c r="H35" s="81" t="n">
        <v>0</v>
      </c>
      <c r="I35" s="51" t="n">
        <f aca="false">G35+H35</f>
        <v>605</v>
      </c>
      <c r="J35" s="81" t="n">
        <f aca="false">IF(L35&gt;0,L35,0)</f>
        <v>0</v>
      </c>
      <c r="K35" s="51" t="n">
        <f aca="false">I35+J35</f>
        <v>605</v>
      </c>
      <c r="L35" s="51" t="n">
        <f aca="false">F35-(I35-W35)</f>
        <v>-45.6538946307033</v>
      </c>
      <c r="M35" s="51" t="n">
        <v>117</v>
      </c>
      <c r="N35" s="51" t="n">
        <v>0</v>
      </c>
      <c r="O35" s="51" t="n">
        <v>0</v>
      </c>
      <c r="P35" s="6" t="n">
        <f aca="false">M35-(N35+O35)</f>
        <v>117</v>
      </c>
      <c r="Q35" s="51" t="n">
        <v>158</v>
      </c>
      <c r="R35" s="51" t="n">
        <v>85</v>
      </c>
      <c r="S35" s="51" t="n">
        <f aca="false">SUM(P35:R35)</f>
        <v>360</v>
      </c>
      <c r="T35" s="52"/>
      <c r="U35" s="51" t="n">
        <v>0</v>
      </c>
      <c r="V35" s="51" t="n">
        <v>218</v>
      </c>
      <c r="W35" s="6" t="n">
        <f aca="false">N35+O35+S35+U35+V35</f>
        <v>578</v>
      </c>
      <c r="X35" s="51" t="n">
        <f aca="false">IF(L35&lt;0,L35*-1,0)</f>
        <v>45.6538946307033</v>
      </c>
      <c r="Y35" s="51" t="n">
        <f aca="false">W35+X35</f>
        <v>623.653894630703</v>
      </c>
      <c r="Z35" s="55" t="n">
        <v>0</v>
      </c>
      <c r="AA35" s="57"/>
      <c r="AB35" s="57"/>
      <c r="AC35" s="58" t="n">
        <f aca="false">AC34+1</f>
        <v>26</v>
      </c>
      <c r="AD35" s="12" t="n">
        <f aca="false">IF(I35&gt;S35,I35-S35,I35-S35)</f>
        <v>245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f aca="false">A35+1</f>
        <v>27</v>
      </c>
      <c r="B36" s="73" t="n">
        <v>6902.69</v>
      </c>
      <c r="C36" s="52" t="n">
        <v>293611</v>
      </c>
      <c r="D36" s="57" t="n">
        <f aca="false">C36-C35</f>
        <v>-226</v>
      </c>
      <c r="E36" s="52" t="n">
        <f aca="false">C36-152000</f>
        <v>141611</v>
      </c>
      <c r="F36" s="51" t="n">
        <f aca="false">D36/$D$2</f>
        <v>-113.940005041593</v>
      </c>
      <c r="G36" s="51" t="n">
        <v>545</v>
      </c>
      <c r="H36" s="81" t="n">
        <v>0</v>
      </c>
      <c r="I36" s="51" t="n">
        <f aca="false">G36+H36</f>
        <v>545</v>
      </c>
      <c r="J36" s="81" t="n">
        <f aca="false">IF(L36&gt;0,L36,0)</f>
        <v>0</v>
      </c>
      <c r="K36" s="51" t="n">
        <f aca="false">I36+J36</f>
        <v>545</v>
      </c>
      <c r="L36" s="51" t="n">
        <f aca="false">F36-(I36-W36)</f>
        <v>-115.940005041593</v>
      </c>
      <c r="M36" s="51" t="n">
        <v>117</v>
      </c>
      <c r="N36" s="51" t="n">
        <v>0</v>
      </c>
      <c r="O36" s="51" t="n">
        <v>0</v>
      </c>
      <c r="P36" s="6" t="n">
        <f aca="false">M36-(N36+O36)</f>
        <v>117</v>
      </c>
      <c r="Q36" s="51" t="n">
        <v>164</v>
      </c>
      <c r="R36" s="51" t="n">
        <v>88</v>
      </c>
      <c r="S36" s="51" t="n">
        <f aca="false">SUM(P36:R36)</f>
        <v>369</v>
      </c>
      <c r="T36" s="52"/>
      <c r="U36" s="51" t="n">
        <v>0</v>
      </c>
      <c r="V36" s="51" t="n">
        <v>174</v>
      </c>
      <c r="W36" s="6" t="n">
        <f aca="false">N36+O36+S36+U36+V36</f>
        <v>543</v>
      </c>
      <c r="X36" s="51" t="n">
        <f aca="false">IF(L36&lt;0,L36*-1,0)</f>
        <v>115.940005041593</v>
      </c>
      <c r="Y36" s="51" t="n">
        <f aca="false">W36+X36</f>
        <v>658.940005041593</v>
      </c>
      <c r="Z36" s="55" t="n">
        <v>0</v>
      </c>
      <c r="AA36" s="57"/>
      <c r="AB36" s="57"/>
      <c r="AC36" s="58" t="n">
        <f aca="false">AC35+1</f>
        <v>27</v>
      </c>
      <c r="AD36" s="12" t="n">
        <f aca="false">IF(I36&gt;S36,I36-S36,I36-S36)</f>
        <v>176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58" t="n">
        <f aca="false">A36+1</f>
        <v>28</v>
      </c>
      <c r="B37" s="73" t="n">
        <v>6902.62</v>
      </c>
      <c r="C37" s="52" t="n">
        <v>293347</v>
      </c>
      <c r="D37" s="57" t="n">
        <f aca="false">C37-C36</f>
        <v>-264</v>
      </c>
      <c r="E37" s="52" t="n">
        <f aca="false">C37-152000</f>
        <v>141347</v>
      </c>
      <c r="F37" s="51" t="n">
        <f aca="false">D37/$D$2</f>
        <v>-133.09805898664</v>
      </c>
      <c r="G37" s="51" t="n">
        <v>495</v>
      </c>
      <c r="H37" s="81" t="n">
        <v>0</v>
      </c>
      <c r="I37" s="51" t="n">
        <f aca="false">G37+H37</f>
        <v>495</v>
      </c>
      <c r="J37" s="81" t="n">
        <f aca="false">IF(L37&gt;0,L37,0)</f>
        <v>0</v>
      </c>
      <c r="K37" s="51" t="n">
        <f aca="false">I37+J37</f>
        <v>495</v>
      </c>
      <c r="L37" s="51" t="n">
        <f aca="false">F37-(I37-W37)</f>
        <v>-148.09805898664</v>
      </c>
      <c r="M37" s="51" t="n">
        <v>117</v>
      </c>
      <c r="N37" s="51" t="n">
        <v>0</v>
      </c>
      <c r="O37" s="51" t="n">
        <v>0</v>
      </c>
      <c r="P37" s="6" t="n">
        <f aca="false">M37-(N37+O37)</f>
        <v>117</v>
      </c>
      <c r="Q37" s="51" t="n">
        <v>164</v>
      </c>
      <c r="R37" s="51" t="n">
        <v>88</v>
      </c>
      <c r="S37" s="51" t="n">
        <f aca="false">SUM(P37:R37)</f>
        <v>369</v>
      </c>
      <c r="T37" s="52"/>
      <c r="U37" s="51" t="n">
        <v>0</v>
      </c>
      <c r="V37" s="51" t="n">
        <v>111</v>
      </c>
      <c r="W37" s="6" t="n">
        <f aca="false">N37+O37+S37+U37+V37</f>
        <v>480</v>
      </c>
      <c r="X37" s="51" t="n">
        <f aca="false">IF(L37&lt;0,L37*-1,0)</f>
        <v>148.09805898664</v>
      </c>
      <c r="Y37" s="51" t="n">
        <f aca="false">W37+X37</f>
        <v>628.09805898664</v>
      </c>
      <c r="Z37" s="55" t="n">
        <v>0</v>
      </c>
      <c r="AA37" s="57" t="n">
        <v>78</v>
      </c>
      <c r="AB37" s="57" t="n">
        <v>47</v>
      </c>
      <c r="AC37" s="58" t="n">
        <f aca="false">AC36+1</f>
        <v>28</v>
      </c>
      <c r="AD37" s="12" t="n">
        <f aca="false">IF(I37&gt;S37,I37-S37,I37-S37)</f>
        <v>126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58" t="n">
        <f aca="false">A37+1</f>
        <v>29</v>
      </c>
      <c r="B38" s="73" t="n">
        <v>6902.58</v>
      </c>
      <c r="C38" s="52" t="n">
        <v>293197</v>
      </c>
      <c r="D38" s="57" t="n">
        <f aca="false">C38-C37</f>
        <v>-150</v>
      </c>
      <c r="E38" s="52" t="n">
        <f aca="false">C38-152000</f>
        <v>141197</v>
      </c>
      <c r="F38" s="51" t="n">
        <f aca="false">D38/$D$2</f>
        <v>-75.6238971514999</v>
      </c>
      <c r="G38" s="51" t="n">
        <v>445</v>
      </c>
      <c r="H38" s="81" t="n">
        <v>0</v>
      </c>
      <c r="I38" s="51" t="n">
        <f aca="false">G38+H38</f>
        <v>445</v>
      </c>
      <c r="J38" s="81" t="n">
        <f aca="false">IF(L38&gt;0,L38,0)</f>
        <v>0</v>
      </c>
      <c r="K38" s="51" t="n">
        <f aca="false">I38+J38</f>
        <v>445</v>
      </c>
      <c r="L38" s="51" t="n">
        <f aca="false">F38-(I38-W38)</f>
        <v>-72.6238971514999</v>
      </c>
      <c r="M38" s="51" t="n">
        <v>117</v>
      </c>
      <c r="N38" s="51" t="n">
        <v>0</v>
      </c>
      <c r="O38" s="51" t="n">
        <v>0</v>
      </c>
      <c r="P38" s="6" t="n">
        <f aca="false">M38-(N38+O38)</f>
        <v>117</v>
      </c>
      <c r="Q38" s="51" t="n">
        <v>164</v>
      </c>
      <c r="R38" s="51" t="n">
        <v>90</v>
      </c>
      <c r="S38" s="51" t="n">
        <f aca="false">SUM(P38:R38)</f>
        <v>371</v>
      </c>
      <c r="T38" s="52"/>
      <c r="U38" s="51" t="n">
        <v>0</v>
      </c>
      <c r="V38" s="51" t="n">
        <v>77</v>
      </c>
      <c r="W38" s="6" t="n">
        <f aca="false">N38+O38+S38+U38+V38</f>
        <v>448</v>
      </c>
      <c r="X38" s="51" t="n">
        <f aca="false">IF(L38&lt;0,L38*-1,0)</f>
        <v>72.6238971514999</v>
      </c>
      <c r="Y38" s="51" t="n">
        <f aca="false">W38+X38</f>
        <v>520.6238971515</v>
      </c>
      <c r="Z38" s="55" t="n">
        <v>0</v>
      </c>
      <c r="AA38" s="82" t="n">
        <v>80</v>
      </c>
      <c r="AB38" s="57" t="n">
        <v>45</v>
      </c>
      <c r="AC38" s="58" t="n">
        <f aca="false">AC37+1</f>
        <v>29</v>
      </c>
      <c r="AD38" s="12" t="n">
        <f aca="false">IF(I38&gt;S38,I38-S38,I38-S38)</f>
        <v>74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58" t="n">
        <v>30</v>
      </c>
      <c r="B39" s="73" t="n">
        <v>6902.5</v>
      </c>
      <c r="C39" s="52" t="n">
        <v>292896</v>
      </c>
      <c r="D39" s="57" t="n">
        <f aca="false">C39-C38</f>
        <v>-301</v>
      </c>
      <c r="E39" s="52" t="n">
        <f aca="false">C39-152000</f>
        <v>140896</v>
      </c>
      <c r="F39" s="51" t="n">
        <f aca="false">D39/$D$2</f>
        <v>-151.751953617343</v>
      </c>
      <c r="G39" s="51" t="n">
        <v>439</v>
      </c>
      <c r="H39" s="81" t="n">
        <v>0</v>
      </c>
      <c r="I39" s="51" t="n">
        <f aca="false">G39+H39</f>
        <v>439</v>
      </c>
      <c r="J39" s="81" t="n">
        <f aca="false">IF(L39&gt;0,L39,0)</f>
        <v>0</v>
      </c>
      <c r="K39" s="51" t="n">
        <f aca="false">I39+J39</f>
        <v>439</v>
      </c>
      <c r="L39" s="51" t="n">
        <f aca="false">F39-(I39-W39)</f>
        <v>-132.751953617343</v>
      </c>
      <c r="M39" s="51" t="n">
        <v>125</v>
      </c>
      <c r="N39" s="51" t="n">
        <v>0</v>
      </c>
      <c r="O39" s="51" t="n">
        <v>0</v>
      </c>
      <c r="P39" s="6" t="n">
        <f aca="false">M39-(N39+O39)</f>
        <v>125</v>
      </c>
      <c r="Q39" s="51" t="n">
        <v>163</v>
      </c>
      <c r="R39" s="51" t="n">
        <v>91</v>
      </c>
      <c r="S39" s="51" t="n">
        <f aca="false">SUM(P39:R39)</f>
        <v>379</v>
      </c>
      <c r="T39" s="52"/>
      <c r="U39" s="51" t="n">
        <v>0</v>
      </c>
      <c r="V39" s="51" t="n">
        <v>79</v>
      </c>
      <c r="W39" s="6" t="n">
        <f aca="false">N39+O39+S39+U39+V39</f>
        <v>458</v>
      </c>
      <c r="X39" s="51" t="n">
        <f aca="false">IF(L39&lt;0,L39*-1,0)</f>
        <v>132.751953617343</v>
      </c>
      <c r="Y39" s="51" t="n">
        <f aca="false">W39+X39</f>
        <v>590.751953617343</v>
      </c>
      <c r="Z39" s="55" t="n">
        <v>0</v>
      </c>
      <c r="AA39" s="82" t="n">
        <v>81</v>
      </c>
      <c r="AB39" s="57" t="n">
        <v>46</v>
      </c>
      <c r="AC39" s="58" t="n">
        <v>30</v>
      </c>
      <c r="AD39" s="12" t="n">
        <f aca="false">IF(I39&gt;S39,I39-S39,I39-S39)</f>
        <v>60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58" t="n">
        <v>31</v>
      </c>
      <c r="B40" s="73" t="n">
        <v>6902.42</v>
      </c>
      <c r="C40" s="52" t="n">
        <v>292595</v>
      </c>
      <c r="D40" s="57" t="n">
        <f aca="false">C40-C39</f>
        <v>-301</v>
      </c>
      <c r="E40" s="52" t="n">
        <f aca="false">C40-152000</f>
        <v>140595</v>
      </c>
      <c r="F40" s="51" t="n">
        <f aca="false">D40/$D$2</f>
        <v>-151.751953617343</v>
      </c>
      <c r="G40" s="51" t="n">
        <v>398</v>
      </c>
      <c r="H40" s="81" t="n">
        <v>0</v>
      </c>
      <c r="I40" s="51" t="n">
        <f aca="false">G40+H40</f>
        <v>398</v>
      </c>
      <c r="J40" s="81" t="n">
        <f aca="false">IF(L40&gt;0,L40,0)</f>
        <v>0</v>
      </c>
      <c r="K40" s="51" t="n">
        <f aca="false">I40+J40</f>
        <v>398</v>
      </c>
      <c r="L40" s="51" t="n">
        <f aca="false">F40-(I40-W40)</f>
        <v>-83.7519536173431</v>
      </c>
      <c r="M40" s="51" t="n">
        <v>139</v>
      </c>
      <c r="N40" s="51" t="n">
        <v>0</v>
      </c>
      <c r="O40" s="51" t="n">
        <v>0</v>
      </c>
      <c r="P40" s="6" t="n">
        <f aca="false">M40-(N40+O40)</f>
        <v>139</v>
      </c>
      <c r="Q40" s="51" t="n">
        <v>171</v>
      </c>
      <c r="R40" s="51" t="n">
        <v>77</v>
      </c>
      <c r="S40" s="51" t="n">
        <f aca="false">SUM(P40:R40)</f>
        <v>387</v>
      </c>
      <c r="T40" s="52"/>
      <c r="U40" s="51" t="n">
        <v>0</v>
      </c>
      <c r="V40" s="51" t="n">
        <v>79</v>
      </c>
      <c r="W40" s="6" t="n">
        <f aca="false">N40+O40+S40+U40+V40</f>
        <v>466</v>
      </c>
      <c r="X40" s="51" t="n">
        <f aca="false">IF(L40&lt;0,L40*-1,0)</f>
        <v>83.7519536173431</v>
      </c>
      <c r="Y40" s="51" t="n">
        <f aca="false">W40+X40</f>
        <v>549.751953617343</v>
      </c>
      <c r="Z40" s="55" t="n">
        <v>0</v>
      </c>
      <c r="AA40" s="82" t="n">
        <v>84</v>
      </c>
      <c r="AB40" s="57" t="n">
        <v>59</v>
      </c>
      <c r="AC40" s="58" t="n">
        <v>31</v>
      </c>
      <c r="AD40" s="12" t="n">
        <f aca="false">IF(I40&gt;S40,I40-S40,I40-S40)</f>
        <v>11</v>
      </c>
      <c r="AE40" s="105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13"/>
      <c r="I41" s="74"/>
      <c r="J41" s="74"/>
      <c r="K41" s="74"/>
      <c r="L41" s="74"/>
      <c r="M41" s="74"/>
      <c r="N41" s="74"/>
      <c r="O41" s="74" t="n">
        <v>0</v>
      </c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170" t="n">
        <v>0</v>
      </c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758.759768086715</v>
      </c>
      <c r="G42" s="52" t="n">
        <f aca="false">SUM(G10:G40)</f>
        <v>20436</v>
      </c>
      <c r="H42" s="81" t="n">
        <f aca="false">SUM(H10:H40)</f>
        <v>0</v>
      </c>
      <c r="I42" s="52" t="n">
        <f aca="false">SUM(I10:I40)</f>
        <v>20436</v>
      </c>
      <c r="J42" s="52" t="n">
        <f aca="false">SUM(J10:J40)</f>
        <v>1965.17343080413</v>
      </c>
      <c r="K42" s="52" t="n">
        <f aca="false">SUM(K10:K40)</f>
        <v>22401.1734308041</v>
      </c>
      <c r="L42" s="52" t="n">
        <f aca="false">SUM(L10:L40)</f>
        <v>569.759768086716</v>
      </c>
      <c r="M42" s="52" t="n">
        <f aca="false">SUM(M10:M40)</f>
        <v>5540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5540</v>
      </c>
      <c r="Q42" s="52" t="n">
        <f aca="false">SUM(Q10:Q40)</f>
        <v>4845</v>
      </c>
      <c r="R42" s="52" t="n">
        <f aca="false">SUM(R10:R40)</f>
        <v>2612</v>
      </c>
      <c r="S42" s="52" t="n">
        <f aca="false">SUM(S10:S40)</f>
        <v>12997</v>
      </c>
      <c r="T42" s="52"/>
      <c r="U42" s="52" t="n">
        <f aca="false">SUM(U10:U40)</f>
        <v>0</v>
      </c>
      <c r="V42" s="52" t="n">
        <f aca="false">SUM(V10:V40)</f>
        <v>7250</v>
      </c>
      <c r="W42" s="52" t="n">
        <f aca="false">SUM(W10:W40)</f>
        <v>20247</v>
      </c>
      <c r="X42" s="52" t="n">
        <f aca="false">SUM(X10:X40)</f>
        <v>1395.41366271742</v>
      </c>
      <c r="Y42" s="52" t="n">
        <f aca="false">SUM(Y10:Y40)</f>
        <v>21642.4136627174</v>
      </c>
      <c r="Z42" s="55" t="n">
        <f aca="false">SUM(Z10:Z40)</f>
        <v>1.73</v>
      </c>
      <c r="AA42" s="57" t="n">
        <f aca="false">AVERAGE(AA10:AA40)</f>
        <v>78.7916666666667</v>
      </c>
      <c r="AB42" s="57" t="n">
        <f aca="false">AVERAGE(AB10:AB40)</f>
        <v>49.75</v>
      </c>
      <c r="AC42" s="58" t="s">
        <v>71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1505</v>
      </c>
      <c r="E43" s="52"/>
      <c r="F43" s="52" t="n">
        <f aca="false">F42*$D$2</f>
        <v>1505</v>
      </c>
      <c r="G43" s="52" t="n">
        <f aca="false">G42*$D$2</f>
        <v>40534.806</v>
      </c>
      <c r="H43" s="81" t="n">
        <f aca="false">H42*$D$2</f>
        <v>0</v>
      </c>
      <c r="I43" s="52" t="n">
        <f aca="false">I42*$D$2</f>
        <v>40534.806</v>
      </c>
      <c r="J43" s="52" t="n">
        <f aca="false">J42*$D$2</f>
        <v>3897.9215</v>
      </c>
      <c r="K43" s="52" t="n">
        <f aca="false">K42*$D$2</f>
        <v>44432.7275</v>
      </c>
      <c r="L43" s="52" t="n">
        <f aca="false">L42*$D$2</f>
        <v>1130.1185</v>
      </c>
      <c r="M43" s="52" t="n">
        <f aca="false">M42*$D$2</f>
        <v>10988.59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10988.59</v>
      </c>
      <c r="Q43" s="52" t="n">
        <f aca="false">Q42*$D$2</f>
        <v>9610.0575</v>
      </c>
      <c r="R43" s="52" t="n">
        <f aca="false">R42*$D$2</f>
        <v>5180.902</v>
      </c>
      <c r="S43" s="52" t="n">
        <f aca="false">S42*$D$2</f>
        <v>25779.5495</v>
      </c>
      <c r="T43" s="52"/>
      <c r="U43" s="52" t="n">
        <f aca="false">U42*$D$2</f>
        <v>0</v>
      </c>
      <c r="V43" s="52" t="n">
        <f aca="false">V42*$D$2</f>
        <v>14380.375</v>
      </c>
      <c r="W43" s="52" t="n">
        <f aca="false">W42*$D$2</f>
        <v>40159.9245</v>
      </c>
      <c r="X43" s="52" t="n">
        <f aca="false">X42*$D$2</f>
        <v>2767.803</v>
      </c>
      <c r="Y43" s="52" t="n">
        <f aca="false">Y42*$D$2</f>
        <v>42927.7275</v>
      </c>
      <c r="Z43" s="55"/>
      <c r="AA43" s="57" t="n">
        <f aca="false">MAX(AA10:AA40)</f>
        <v>89</v>
      </c>
      <c r="AB43" s="57" t="n">
        <f aca="false">MAX(AB10:AB40)</f>
        <v>59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13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5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43873.9601714142</v>
      </c>
      <c r="G45" s="52" t="n">
        <f aca="false">G7+G42</f>
        <v>175964</v>
      </c>
      <c r="H45" s="81" t="n">
        <f aca="false">H7+H42</f>
        <v>11902</v>
      </c>
      <c r="I45" s="52" t="n">
        <f aca="false">I7+I42</f>
        <v>187866</v>
      </c>
      <c r="J45" s="52" t="n">
        <f aca="false">J7+J42</f>
        <v>38312.5323922359</v>
      </c>
      <c r="K45" s="52" t="n">
        <f aca="false">K7+K42</f>
        <v>226178.532392236</v>
      </c>
      <c r="L45" s="52" t="n">
        <f aca="false">L7+L42</f>
        <v>36091.9601714142</v>
      </c>
      <c r="M45" s="52" t="n">
        <f aca="false">M7+M42</f>
        <v>18932</v>
      </c>
      <c r="N45" s="52" t="n">
        <f aca="false">N7+N42</f>
        <v>0</v>
      </c>
      <c r="O45" s="52" t="n">
        <f aca="false">O7+O42</f>
        <v>0</v>
      </c>
      <c r="P45" s="52" t="n">
        <f aca="false">P7+P42</f>
        <v>18932</v>
      </c>
      <c r="Q45" s="52" t="n">
        <f aca="false">Q7+Q42</f>
        <v>15256</v>
      </c>
      <c r="R45" s="52" t="n">
        <f aca="false">R7+R42</f>
        <v>7720</v>
      </c>
      <c r="S45" s="52" t="n">
        <f aca="false">S7+S42</f>
        <v>41908</v>
      </c>
      <c r="T45" s="172" t="n">
        <f aca="false">T40</f>
        <v>0</v>
      </c>
      <c r="U45" s="52" t="n">
        <f aca="false">U7+U42</f>
        <v>0</v>
      </c>
      <c r="V45" s="52" t="n">
        <f aca="false">V7+V42</f>
        <v>138176</v>
      </c>
      <c r="W45" s="52" t="n">
        <f aca="false">W7+W42</f>
        <v>180084</v>
      </c>
      <c r="X45" s="52" t="n">
        <f aca="false">X7+X42</f>
        <v>2220.57222082178</v>
      </c>
      <c r="Y45" s="52" t="n">
        <f aca="false">Y7+Y42</f>
        <v>182304.572220822</v>
      </c>
      <c r="Z45" s="55"/>
      <c r="AA45" s="57" t="n">
        <f aca="false">MIN(AA10:AA40)</f>
        <v>67</v>
      </c>
      <c r="AB45" s="57" t="n">
        <f aca="false">MIN(AB10:AB40)</f>
        <v>42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87024</v>
      </c>
      <c r="G46" s="52" t="n">
        <f aca="false">G45*$D$2</f>
        <v>349024.594</v>
      </c>
      <c r="H46" s="81" t="n">
        <f aca="false">H45*$D$2</f>
        <v>23607.617</v>
      </c>
      <c r="I46" s="52" t="n">
        <f aca="false">I45*$D$2</f>
        <v>372632.211</v>
      </c>
      <c r="J46" s="52" t="n">
        <f aca="false">J45*$D$2</f>
        <v>75992.908</v>
      </c>
      <c r="K46" s="52" t="n">
        <f aca="false">K45*$D$2</f>
        <v>448625.119</v>
      </c>
      <c r="L46" s="52" t="n">
        <f aca="false">L45*$D$2</f>
        <v>71588.403</v>
      </c>
      <c r="M46" s="52" t="n">
        <f aca="false">M45*$D$2</f>
        <v>37551.622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37551.622</v>
      </c>
      <c r="Q46" s="52" t="n">
        <f aca="false">Q45*$D$2</f>
        <v>30260.276</v>
      </c>
      <c r="R46" s="52" t="n">
        <f aca="false">R45*$D$2</f>
        <v>15312.62</v>
      </c>
      <c r="S46" s="52" t="n">
        <f aca="false">S45*$D$2</f>
        <v>83124.518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274072.096</v>
      </c>
      <c r="W46" s="52" t="n">
        <f aca="false">W45*$D$2</f>
        <v>357196.614</v>
      </c>
      <c r="X46" s="52" t="n">
        <f aca="false">X45*$D$2</f>
        <v>4404.505</v>
      </c>
      <c r="Y46" s="52" t="n">
        <f aca="false">Y45*$D$2</f>
        <v>361601.119</v>
      </c>
      <c r="Z46" s="55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13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70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70860.0957902697</v>
      </c>
      <c r="G48" s="52" t="n">
        <f aca="false">G8+G42</f>
        <v>201544</v>
      </c>
      <c r="H48" s="81" t="n">
        <f aca="false">H8+H42</f>
        <v>14227.3</v>
      </c>
      <c r="I48" s="52" t="n">
        <f aca="false">I8+I42</f>
        <v>214423.5</v>
      </c>
      <c r="J48" s="52" t="n">
        <f aca="false">J8+J42</f>
        <v>52239.2121250315</v>
      </c>
      <c r="K48" s="52" t="n">
        <f aca="false">K8+K42</f>
        <v>266662.712125032</v>
      </c>
      <c r="L48" s="52" t="n">
        <f aca="false">L8+L42</f>
        <v>49036.6451978825</v>
      </c>
      <c r="M48" s="52" t="n">
        <f aca="false">M8+M42</f>
        <v>19242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19242</v>
      </c>
      <c r="Q48" s="52" t="n">
        <f aca="false">Q8+Q42</f>
        <v>16304</v>
      </c>
      <c r="R48" s="52" t="n">
        <f aca="false">R8+R42</f>
        <v>7795</v>
      </c>
      <c r="S48" s="52" t="n">
        <f aca="false">S8+S42</f>
        <v>45299.6589362239</v>
      </c>
      <c r="T48" s="52" t="n">
        <f aca="false">T45</f>
        <v>0</v>
      </c>
      <c r="U48" s="52" t="n">
        <f aca="false">U8+U42</f>
        <v>0</v>
      </c>
      <c r="V48" s="52" t="n">
        <f aca="false">V8+V42</f>
        <v>147300.390471389</v>
      </c>
      <c r="W48" s="52" t="n">
        <f aca="false">W8+W42</f>
        <v>192600.049407613</v>
      </c>
      <c r="X48" s="52" t="n">
        <f aca="false">X8+X42</f>
        <v>3202.56692714898</v>
      </c>
      <c r="Y48" s="52" t="n">
        <f aca="false">Y8+Y42</f>
        <v>195802.616334762</v>
      </c>
      <c r="Z48" s="55" t="n">
        <f aca="false">Z8+Z42</f>
        <v>16.22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140551</v>
      </c>
      <c r="E49" s="52" t="n">
        <f aca="false">E40</f>
        <v>140595</v>
      </c>
      <c r="F49" s="52" t="n">
        <f aca="false">F48*$D$2</f>
        <v>140551</v>
      </c>
      <c r="G49" s="52" t="n">
        <f aca="false">G48*$D$2</f>
        <v>399762.524</v>
      </c>
      <c r="H49" s="81" t="n">
        <f aca="false">H48*$D$2</f>
        <v>28219.84955</v>
      </c>
      <c r="I49" s="52" t="n">
        <f aca="false">I48*$D$2</f>
        <v>425309.01225</v>
      </c>
      <c r="J49" s="52" t="n">
        <f aca="false">J48*$D$2</f>
        <v>103616.47725</v>
      </c>
      <c r="K49" s="52" t="n">
        <f aca="false">K48*$D$2</f>
        <v>528925.4895</v>
      </c>
      <c r="L49" s="52" t="n">
        <f aca="false">L48*$D$2</f>
        <v>97264.18575</v>
      </c>
      <c r="M49" s="52" t="n">
        <f aca="false">M48*$D$2</f>
        <v>38166.507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38166.507</v>
      </c>
      <c r="Q49" s="52" t="n">
        <f aca="false">Q48*$D$2</f>
        <v>32338.984</v>
      </c>
      <c r="R49" s="52" t="n">
        <f aca="false">R48*$D$2</f>
        <v>15461.3825</v>
      </c>
      <c r="S49" s="52" t="n">
        <f aca="false">S48*$D$2</f>
        <v>89851.8735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292170.3245</v>
      </c>
      <c r="W49" s="52" t="n">
        <f aca="false">W48*$D$2</f>
        <v>382022.198</v>
      </c>
      <c r="X49" s="52" t="n">
        <f aca="false">X48*$D$2</f>
        <v>6352.2915</v>
      </c>
      <c r="Y49" s="52" t="n">
        <f aca="false">Y48*$D$2</f>
        <v>388374.4895</v>
      </c>
      <c r="Z49" s="55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13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5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51"/>
      <c r="B51" s="29" t="s">
        <v>81</v>
      </c>
      <c r="C51" s="7"/>
      <c r="D51" s="6"/>
      <c r="E51" s="138" t="n">
        <f aca="false">E40</f>
        <v>140595</v>
      </c>
      <c r="F51" s="0"/>
      <c r="G51" s="0"/>
      <c r="H51" s="37" t="s">
        <v>82</v>
      </c>
      <c r="I51" s="6"/>
      <c r="J51" s="6"/>
      <c r="K51" s="140"/>
      <c r="L51" s="52" t="n">
        <f aca="false">3500+2932</f>
        <v>6432</v>
      </c>
      <c r="M51" s="6"/>
      <c r="N51" s="6"/>
      <c r="O51" s="6"/>
      <c r="P51" s="6"/>
      <c r="Q51" s="6"/>
      <c r="R51" s="6"/>
      <c r="S51" s="6"/>
      <c r="T51" s="141"/>
      <c r="U51" s="6"/>
      <c r="V51" s="6" t="s">
        <v>91</v>
      </c>
      <c r="W51" s="173" t="s">
        <v>92</v>
      </c>
      <c r="X51" s="51"/>
      <c r="Y51" s="51"/>
      <c r="Z51" s="55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29" t="s">
        <v>83</v>
      </c>
      <c r="C52" s="7"/>
      <c r="D52" s="39"/>
      <c r="E52" s="120" t="e">
        <f aca="false">L54+O54+T54+U54+#REF!</f>
        <v>#REF!</v>
      </c>
      <c r="F52" s="142"/>
      <c r="G52" s="0"/>
      <c r="H52" s="37" t="s">
        <v>84</v>
      </c>
      <c r="I52" s="8"/>
      <c r="J52" s="6"/>
      <c r="K52" s="42"/>
      <c r="L52" s="81" t="n">
        <f aca="false">L51/210</f>
        <v>30.6285714285714</v>
      </c>
      <c r="M52" s="6"/>
      <c r="N52" s="6"/>
      <c r="O52" s="6"/>
      <c r="P52" s="143" t="s">
        <v>85</v>
      </c>
      <c r="Q52" s="144"/>
      <c r="R52" s="145"/>
      <c r="S52" s="146" t="n">
        <v>122</v>
      </c>
      <c r="T52" s="147" t="n">
        <f aca="false">16268+1368+4</f>
        <v>17640</v>
      </c>
      <c r="U52" s="141"/>
      <c r="V52" s="6"/>
      <c r="W52" s="7"/>
      <c r="X52" s="51"/>
      <c r="Y52" s="55"/>
      <c r="Z52" s="57"/>
      <c r="AA52" s="57"/>
      <c r="AB52" s="58"/>
      <c r="AC52" s="88"/>
      <c r="AD52" s="88"/>
    </row>
    <row r="53" customFormat="false" ht="11.1" hidden="false" customHeight="true" outlineLevel="0" collapsed="false">
      <c r="A53" s="82"/>
      <c r="B53" s="52"/>
      <c r="E53" s="120"/>
      <c r="F53" s="148"/>
      <c r="G53" s="0"/>
      <c r="H53" s="37" t="s">
        <v>86</v>
      </c>
      <c r="I53" s="39"/>
      <c r="J53" s="39"/>
      <c r="K53" s="149"/>
      <c r="L53" s="174" t="n">
        <f aca="false">214-S52</f>
        <v>92</v>
      </c>
      <c r="M53" s="37"/>
      <c r="N53" s="37"/>
      <c r="O53" s="151" t="n">
        <v>6289</v>
      </c>
      <c r="P53" s="152" t="s">
        <v>87</v>
      </c>
      <c r="Q53" s="153"/>
      <c r="R53" s="154"/>
      <c r="S53" s="155" t="n">
        <f aca="false">2932/210</f>
        <v>13.9619047619048</v>
      </c>
      <c r="T53" s="156" t="n">
        <f aca="false">S52*S53</f>
        <v>1703.35238095238</v>
      </c>
      <c r="U53" s="157" t="n">
        <f aca="false">14562+1946+600+15+25</f>
        <v>17148</v>
      </c>
      <c r="V53" s="7"/>
      <c r="W53" s="153"/>
      <c r="X53" s="82"/>
      <c r="Y53" s="55"/>
      <c r="Z53" s="57"/>
      <c r="AA53" s="57"/>
      <c r="AB53" s="58"/>
      <c r="AC53" s="97"/>
      <c r="AD53" s="97"/>
    </row>
    <row r="54" customFormat="false" ht="11.1" hidden="false" customHeight="true" outlineLevel="0" collapsed="false">
      <c r="A54" s="82"/>
      <c r="B54" s="158" t="s">
        <v>88</v>
      </c>
      <c r="C54" s="159"/>
      <c r="D54" s="159"/>
      <c r="E54" s="160" t="e">
        <f aca="false">E51-E52</f>
        <v>#REF!</v>
      </c>
      <c r="F54" s="0"/>
      <c r="G54" s="0"/>
      <c r="H54" s="81" t="s">
        <v>74</v>
      </c>
      <c r="I54" s="0"/>
      <c r="J54" s="39"/>
      <c r="K54" s="149"/>
      <c r="L54" s="57" t="n">
        <f aca="false">L53*L52</f>
        <v>2817.82857142857</v>
      </c>
      <c r="M54" s="37"/>
      <c r="N54" s="37"/>
      <c r="O54" s="57" t="n">
        <f aca="false">O53-O49</f>
        <v>5491.2363</v>
      </c>
      <c r="P54" s="161"/>
      <c r="Q54" s="162"/>
      <c r="R54" s="162"/>
      <c r="S54" s="163"/>
      <c r="T54" s="164" t="n">
        <f aca="false">(T52+T53)+T46</f>
        <v>19343.3523809524</v>
      </c>
      <c r="U54" s="52" t="n">
        <f aca="false">U53-U49</f>
        <v>17148</v>
      </c>
      <c r="V54" s="7"/>
      <c r="W54" s="52"/>
      <c r="X54" s="82"/>
      <c r="Y54" s="99" t="n">
        <f aca="false">DAYS360(7/24/2002,3/31/2003,FALSE())</f>
        <v>0</v>
      </c>
      <c r="Z54" s="57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81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52"/>
      <c r="T55" s="82"/>
      <c r="U55" s="82"/>
      <c r="V55" s="52"/>
      <c r="W55" s="82"/>
      <c r="X55" s="82"/>
      <c r="Y55" s="55"/>
      <c r="Z55" s="57"/>
      <c r="AA55" s="57"/>
      <c r="AB55" s="58"/>
      <c r="AC55" s="97"/>
      <c r="AD55" s="97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W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C21" activeCellId="0" sqref="C21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75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16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1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257" min="30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88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93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88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88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76" t="s">
        <v>78</v>
      </c>
      <c r="AE4" s="88"/>
    </row>
    <row r="5" customFormat="false" ht="11.1" hidden="false" customHeight="true" outlineLevel="0" collapsed="false">
      <c r="A5" s="67" t="s">
        <v>94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94</v>
      </c>
      <c r="AD5" s="176" t="s">
        <v>95</v>
      </c>
      <c r="AE5" s="88"/>
      <c r="AG5" s="177"/>
      <c r="AH5" s="177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92"/>
      <c r="AE6" s="92"/>
      <c r="AF6" s="93"/>
      <c r="AG6" s="177"/>
      <c r="AH6" s="177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JUL!F45</f>
        <v>43873.9601714142</v>
      </c>
      <c r="G7" s="52" t="n">
        <f aca="false">JUL!G45</f>
        <v>175964</v>
      </c>
      <c r="H7" s="52" t="n">
        <f aca="false">JUL!H45</f>
        <v>11902</v>
      </c>
      <c r="I7" s="52" t="n">
        <f aca="false">JUL!I45</f>
        <v>187866</v>
      </c>
      <c r="J7" s="52" t="n">
        <f aca="false">JUL!J45</f>
        <v>38312.5323922359</v>
      </c>
      <c r="K7" s="52" t="n">
        <f aca="false">JUL!K45</f>
        <v>226178.532392236</v>
      </c>
      <c r="L7" s="52" t="n">
        <f aca="false">JUL!L45</f>
        <v>36091.9601714142</v>
      </c>
      <c r="M7" s="52" t="n">
        <f aca="false">JUL!M45</f>
        <v>18932</v>
      </c>
      <c r="N7" s="52" t="n">
        <f aca="false">JUL!N45</f>
        <v>0</v>
      </c>
      <c r="O7" s="52" t="n">
        <f aca="false">JUL!O45</f>
        <v>0</v>
      </c>
      <c r="P7" s="52" t="n">
        <f aca="false">JUL!P45</f>
        <v>18932</v>
      </c>
      <c r="Q7" s="52" t="n">
        <f aca="false">JUL!Q45</f>
        <v>15256</v>
      </c>
      <c r="R7" s="52" t="n">
        <f aca="false">JUL!R45</f>
        <v>7720</v>
      </c>
      <c r="S7" s="52" t="n">
        <f aca="false">JUL!S45</f>
        <v>41908</v>
      </c>
      <c r="T7" s="52" t="n">
        <f aca="false">JUL!T45</f>
        <v>0</v>
      </c>
      <c r="U7" s="52" t="n">
        <f aca="false">JUL!U45</f>
        <v>0</v>
      </c>
      <c r="V7" s="52" t="n">
        <f aca="false">JUL!V45</f>
        <v>138176</v>
      </c>
      <c r="W7" s="52" t="n">
        <f aca="false">JUL!W45</f>
        <v>180084</v>
      </c>
      <c r="X7" s="52" t="n">
        <f aca="false">JUL!X45</f>
        <v>2220.57222082178</v>
      </c>
      <c r="Y7" s="52" t="n">
        <f aca="false">JUL!Y45</f>
        <v>182304.572220822</v>
      </c>
      <c r="Z7" s="56"/>
      <c r="AA7" s="57"/>
      <c r="AB7" s="57"/>
      <c r="AC7" s="58"/>
      <c r="AD7" s="92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JUL!B40</f>
        <v>6902.42</v>
      </c>
      <c r="C8" s="52" t="n">
        <f aca="false">JUL!C40</f>
        <v>292595</v>
      </c>
      <c r="D8" s="52" t="n">
        <f aca="false">JUL!D49</f>
        <v>140551</v>
      </c>
      <c r="E8" s="52" t="n">
        <f aca="false">JUL!E49</f>
        <v>140595</v>
      </c>
      <c r="F8" s="52" t="n">
        <f aca="false">JUL!F48</f>
        <v>70860.0957902697</v>
      </c>
      <c r="G8" s="52" t="n">
        <f aca="false">JUL!G48</f>
        <v>201544</v>
      </c>
      <c r="H8" s="57" t="n">
        <f aca="false">JUL!H48</f>
        <v>14227.3</v>
      </c>
      <c r="I8" s="52" t="n">
        <f aca="false">JUL!I48</f>
        <v>214423.5</v>
      </c>
      <c r="J8" s="52" t="n">
        <f aca="false">JUL!J48</f>
        <v>52239.2121250315</v>
      </c>
      <c r="K8" s="52" t="n">
        <f aca="false">JUL!K48</f>
        <v>266662.712125032</v>
      </c>
      <c r="L8" s="52" t="n">
        <f aca="false">JUL!L48</f>
        <v>49036.6451978825</v>
      </c>
      <c r="M8" s="52" t="n">
        <f aca="false">JUL!M48</f>
        <v>19242</v>
      </c>
      <c r="N8" s="52" t="n">
        <f aca="false">JUL!N48</f>
        <v>0</v>
      </c>
      <c r="O8" s="52" t="n">
        <f aca="false">JUL!O48</f>
        <v>402.2</v>
      </c>
      <c r="P8" s="52" t="n">
        <f aca="false">JUL!P48</f>
        <v>19242</v>
      </c>
      <c r="Q8" s="52" t="n">
        <f aca="false">JUL!Q48</f>
        <v>16304</v>
      </c>
      <c r="R8" s="52" t="n">
        <f aca="false">JUL!R48</f>
        <v>7795</v>
      </c>
      <c r="S8" s="52" t="n">
        <f aca="false">JUL!S48</f>
        <v>45299.6589362239</v>
      </c>
      <c r="T8" s="52" t="n">
        <f aca="false">JUL!T48</f>
        <v>0</v>
      </c>
      <c r="U8" s="52" t="n">
        <f aca="false">JUL!U48</f>
        <v>0</v>
      </c>
      <c r="V8" s="52" t="n">
        <f aca="false">JUL!V48</f>
        <v>147300.390471389</v>
      </c>
      <c r="W8" s="52" t="n">
        <f aca="false">JUL!W48</f>
        <v>192600.049407613</v>
      </c>
      <c r="X8" s="52" t="n">
        <f aca="false">JUL!X48</f>
        <v>3202.56692714898</v>
      </c>
      <c r="Y8" s="52" t="n">
        <f aca="false">JUL!Y48</f>
        <v>195802.616334762</v>
      </c>
      <c r="Z8" s="56" t="n">
        <f aca="false">JUL!Z48</f>
        <v>16.22</v>
      </c>
      <c r="AA8" s="57"/>
      <c r="AB8" s="57"/>
      <c r="AC8" s="58"/>
      <c r="AD8" s="94"/>
      <c r="AE8" s="92"/>
      <c r="AF8" s="9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/>
      <c r="AB9" s="79"/>
      <c r="AC9" s="80"/>
      <c r="AD9" s="80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6902.31</v>
      </c>
      <c r="C10" s="52" t="n">
        <v>292181</v>
      </c>
      <c r="D10" s="57" t="n">
        <f aca="false">C10-C8</f>
        <v>-414</v>
      </c>
      <c r="E10" s="52" t="n">
        <f aca="false">C10-152000</f>
        <v>140181</v>
      </c>
      <c r="F10" s="51" t="n">
        <f aca="false">D10/$D$2</f>
        <v>-208.72195613814</v>
      </c>
      <c r="G10" s="51" t="n">
        <v>379</v>
      </c>
      <c r="H10" s="53" t="n">
        <v>0</v>
      </c>
      <c r="I10" s="51" t="n">
        <f aca="false">G10+H10</f>
        <v>379</v>
      </c>
      <c r="J10" s="81" t="n">
        <f aca="false">IF(L10&gt;0,L10,0)</f>
        <v>11.2780438618603</v>
      </c>
      <c r="K10" s="51" t="n">
        <f aca="false">I10+J10</f>
        <v>390.27804386186</v>
      </c>
      <c r="L10" s="51" t="n">
        <f aca="false">F10-(I10-W10)</f>
        <v>11.2780438618603</v>
      </c>
      <c r="M10" s="51" t="n">
        <v>165</v>
      </c>
      <c r="N10" s="100" t="n">
        <v>0</v>
      </c>
      <c r="O10" s="100" t="n">
        <v>0</v>
      </c>
      <c r="P10" s="6" t="n">
        <f aca="false">M10-(N10+O10)</f>
        <v>165</v>
      </c>
      <c r="Q10" s="51" t="n">
        <v>176</v>
      </c>
      <c r="R10" s="51" t="n">
        <v>93</v>
      </c>
      <c r="S10" s="51" t="n">
        <f aca="false">SUM(P10:R10)</f>
        <v>434</v>
      </c>
      <c r="T10" s="52"/>
      <c r="U10" s="51"/>
      <c r="V10" s="51" t="n">
        <v>165</v>
      </c>
      <c r="W10" s="6" t="n">
        <f aca="false">N10+O10+S10+U10+V10</f>
        <v>599</v>
      </c>
      <c r="X10" s="51" t="n">
        <f aca="false">IF(L10&lt;0,L10*-1,0)</f>
        <v>0</v>
      </c>
      <c r="Y10" s="51" t="n">
        <f aca="false">W10+X10</f>
        <v>599</v>
      </c>
      <c r="Z10" s="56" t="n">
        <v>0</v>
      </c>
      <c r="AA10" s="57" t="n">
        <v>86</v>
      </c>
      <c r="AB10" s="57" t="n">
        <v>53</v>
      </c>
      <c r="AC10" s="58" t="n">
        <v>1</v>
      </c>
      <c r="AD10" s="93" t="n">
        <f aca="false">IF(I10&gt;S10,I10-S10,I10-S10)</f>
        <v>-55</v>
      </c>
      <c r="AE10" s="12"/>
      <c r="AF10" s="137"/>
      <c r="AG10" s="6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</row>
    <row r="11" customFormat="false" ht="11.1" hidden="false" customHeight="true" outlineLevel="0" collapsed="false">
      <c r="A11" s="58" t="n">
        <f aca="false">A10+1</f>
        <v>2</v>
      </c>
      <c r="B11" s="73" t="n">
        <v>6902.18</v>
      </c>
      <c r="C11" s="52" t="n">
        <v>291692</v>
      </c>
      <c r="D11" s="57" t="n">
        <f aca="false">C11-C10</f>
        <v>-489</v>
      </c>
      <c r="E11" s="52" t="n">
        <f aca="false">C11-152000</f>
        <v>139692</v>
      </c>
      <c r="F11" s="51" t="n">
        <f aca="false">D11/$D$2</f>
        <v>-246.53390471389</v>
      </c>
      <c r="G11" s="51" t="n">
        <v>390</v>
      </c>
      <c r="H11" s="53" t="n">
        <v>0</v>
      </c>
      <c r="I11" s="51" t="n">
        <f aca="false">G11+H11</f>
        <v>390</v>
      </c>
      <c r="J11" s="81" t="n">
        <f aca="false">IF(L11&gt;0,L11,0)</f>
        <v>0</v>
      </c>
      <c r="K11" s="51" t="n">
        <f aca="false">I11+J11</f>
        <v>390</v>
      </c>
      <c r="L11" s="51" t="n">
        <f aca="false">F11-(I11-W11)</f>
        <v>-13.5339047138896</v>
      </c>
      <c r="M11" s="51" t="n">
        <v>176</v>
      </c>
      <c r="N11" s="100" t="n">
        <v>0</v>
      </c>
      <c r="O11" s="100" t="n">
        <v>0</v>
      </c>
      <c r="P11" s="6" t="n">
        <f aca="false">M11-(N11+O11)</f>
        <v>176</v>
      </c>
      <c r="Q11" s="51" t="n">
        <v>176</v>
      </c>
      <c r="R11" s="51" t="n">
        <v>95</v>
      </c>
      <c r="S11" s="51" t="n">
        <f aca="false">SUM(P11:R11)</f>
        <v>447</v>
      </c>
      <c r="T11" s="52"/>
      <c r="U11" s="51"/>
      <c r="V11" s="51" t="n">
        <v>176</v>
      </c>
      <c r="W11" s="6" t="n">
        <f aca="false">N11+O11+S11+U11+V11</f>
        <v>623</v>
      </c>
      <c r="X11" s="51" t="n">
        <f aca="false">IF(L11&lt;0,L11*-1,0)</f>
        <v>13.5339047138896</v>
      </c>
      <c r="Y11" s="51" t="n">
        <f aca="false">W11+X11</f>
        <v>636.53390471389</v>
      </c>
      <c r="Z11" s="56" t="n">
        <v>0</v>
      </c>
      <c r="AA11" s="57"/>
      <c r="AB11" s="57"/>
      <c r="AC11" s="58" t="n">
        <f aca="false">AC10+1</f>
        <v>2</v>
      </c>
      <c r="AD11" s="93" t="n">
        <f aca="false">IF(I11&gt;S11,I11-S11,I11-S11)</f>
        <v>-57</v>
      </c>
      <c r="AE11" s="12"/>
      <c r="AF11" s="0"/>
      <c r="AG11" s="6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</row>
    <row r="12" customFormat="false" ht="11.1" hidden="false" customHeight="true" outlineLevel="0" collapsed="false">
      <c r="A12" s="58" t="n">
        <f aca="false">A11+1</f>
        <v>3</v>
      </c>
      <c r="B12" s="73" t="n">
        <v>6902.12</v>
      </c>
      <c r="C12" s="52" t="n">
        <v>291466</v>
      </c>
      <c r="D12" s="57" t="n">
        <f aca="false">C12-C11</f>
        <v>-226</v>
      </c>
      <c r="E12" s="52" t="n">
        <f aca="false">C12-152000</f>
        <v>139466</v>
      </c>
      <c r="F12" s="51" t="n">
        <f aca="false">D12/$D$2</f>
        <v>-113.940005041593</v>
      </c>
      <c r="G12" s="51" t="n">
        <v>382</v>
      </c>
      <c r="H12" s="53" t="n">
        <v>0</v>
      </c>
      <c r="I12" s="51" t="n">
        <f aca="false">G12+H12</f>
        <v>382</v>
      </c>
      <c r="J12" s="81" t="n">
        <f aca="false">IF(L12&gt;0,L12,0)</f>
        <v>122.059994958407</v>
      </c>
      <c r="K12" s="51" t="n">
        <f aca="false">I12+J12</f>
        <v>504.059994958407</v>
      </c>
      <c r="L12" s="51" t="n">
        <f aca="false">F12-(I12-W12)</f>
        <v>122.059994958407</v>
      </c>
      <c r="M12" s="51" t="n">
        <v>175</v>
      </c>
      <c r="N12" s="100" t="n">
        <v>0</v>
      </c>
      <c r="O12" s="100" t="n">
        <v>0</v>
      </c>
      <c r="P12" s="6" t="n">
        <f aca="false">M12-(N12+O12)</f>
        <v>175</v>
      </c>
      <c r="Q12" s="51" t="n">
        <v>175</v>
      </c>
      <c r="R12" s="51" t="n">
        <v>93</v>
      </c>
      <c r="S12" s="51" t="n">
        <f aca="false">SUM(P12:R12)</f>
        <v>443</v>
      </c>
      <c r="T12" s="52"/>
      <c r="U12" s="51"/>
      <c r="V12" s="51" t="n">
        <v>175</v>
      </c>
      <c r="W12" s="6" t="n">
        <f aca="false">N12+O12+S12+U12+V12</f>
        <v>618</v>
      </c>
      <c r="X12" s="51" t="n">
        <f aca="false">IF(L12&lt;0,L12*-1,0)</f>
        <v>0</v>
      </c>
      <c r="Y12" s="51" t="n">
        <f aca="false">W12+X12</f>
        <v>618</v>
      </c>
      <c r="Z12" s="56" t="n">
        <v>0</v>
      </c>
      <c r="AA12" s="57"/>
      <c r="AB12" s="57"/>
      <c r="AC12" s="58" t="n">
        <f aca="false">AC11+1</f>
        <v>3</v>
      </c>
      <c r="AD12" s="93" t="n">
        <f aca="false">IF(I12&gt;S12,I12-S12,I12-S12)</f>
        <v>-61</v>
      </c>
      <c r="AE12" s="12"/>
      <c r="AF12" s="0"/>
      <c r="AG12" s="6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</row>
    <row r="13" customFormat="false" ht="11.1" hidden="false" customHeight="true" outlineLevel="0" collapsed="false">
      <c r="A13" s="58" t="n">
        <f aca="false">A12+1</f>
        <v>4</v>
      </c>
      <c r="B13" s="73" t="n">
        <v>6901.97</v>
      </c>
      <c r="C13" s="52" t="n">
        <v>290902</v>
      </c>
      <c r="D13" s="57" t="n">
        <f aca="false">C13-C12</f>
        <v>-564</v>
      </c>
      <c r="E13" s="52" t="n">
        <f aca="false">C13-152000</f>
        <v>138902</v>
      </c>
      <c r="F13" s="51" t="n">
        <f aca="false">D13/$D$2</f>
        <v>-284.34585328964</v>
      </c>
      <c r="G13" s="51" t="n">
        <v>348</v>
      </c>
      <c r="H13" s="53" t="n">
        <v>0</v>
      </c>
      <c r="I13" s="51" t="n">
        <f aca="false">G13+H13</f>
        <v>348</v>
      </c>
      <c r="J13" s="81" t="n">
        <f aca="false">IF(L13&gt;0,L13,0)</f>
        <v>0</v>
      </c>
      <c r="K13" s="51" t="n">
        <f aca="false">I13+J13</f>
        <v>348</v>
      </c>
      <c r="L13" s="51" t="n">
        <f aca="false">F13-(I13-W13)</f>
        <v>-64.3458532896395</v>
      </c>
      <c r="M13" s="51" t="n">
        <v>150</v>
      </c>
      <c r="N13" s="100" t="n">
        <v>0</v>
      </c>
      <c r="O13" s="100" t="n">
        <v>0</v>
      </c>
      <c r="P13" s="6" t="n">
        <f aca="false">M13-(N13+O13)</f>
        <v>150</v>
      </c>
      <c r="Q13" s="51" t="n">
        <v>175</v>
      </c>
      <c r="R13" s="51" t="n">
        <v>93</v>
      </c>
      <c r="S13" s="51" t="n">
        <f aca="false">SUM(P13:R13)</f>
        <v>418</v>
      </c>
      <c r="T13" s="52"/>
      <c r="U13" s="51"/>
      <c r="V13" s="51" t="n">
        <v>150</v>
      </c>
      <c r="W13" s="6" t="n">
        <f aca="false">N13+O13+S13+U13+V13</f>
        <v>568</v>
      </c>
      <c r="X13" s="51" t="n">
        <f aca="false">IF(L13&lt;0,L13*-1,0)</f>
        <v>64.3458532896395</v>
      </c>
      <c r="Y13" s="51" t="n">
        <f aca="false">W13+X13</f>
        <v>632.34585328964</v>
      </c>
      <c r="Z13" s="56" t="n">
        <v>0</v>
      </c>
      <c r="AA13" s="57" t="n">
        <v>85</v>
      </c>
      <c r="AB13" s="57" t="n">
        <v>56</v>
      </c>
      <c r="AC13" s="58" t="n">
        <f aca="false">AC12+1</f>
        <v>4</v>
      </c>
      <c r="AD13" s="93" t="n">
        <f aca="false">IF(I13&gt;S13,I13-S13,I13-S13)</f>
        <v>-70</v>
      </c>
      <c r="AE13" s="12"/>
      <c r="AF13" s="0"/>
      <c r="AG13" s="6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</row>
    <row r="14" customFormat="false" ht="11.1" hidden="false" customHeight="true" outlineLevel="0" collapsed="false">
      <c r="A14" s="58" t="n">
        <f aca="false">A13+1</f>
        <v>5</v>
      </c>
      <c r="B14" s="73" t="n">
        <v>6901.85</v>
      </c>
      <c r="C14" s="52" t="n">
        <v>290455</v>
      </c>
      <c r="D14" s="57" t="n">
        <f aca="false">C14-C13</f>
        <v>-447</v>
      </c>
      <c r="E14" s="52" t="n">
        <f aca="false">C14-152000</f>
        <v>138455</v>
      </c>
      <c r="F14" s="51" t="n">
        <f aca="false">D14/$D$2</f>
        <v>-225.35921351147</v>
      </c>
      <c r="G14" s="51" t="n">
        <v>306</v>
      </c>
      <c r="H14" s="53" t="n">
        <v>0</v>
      </c>
      <c r="I14" s="51" t="n">
        <f aca="false">G14+H14</f>
        <v>306</v>
      </c>
      <c r="J14" s="81" t="n">
        <f aca="false">IF(L14&gt;0,L14,0)</f>
        <v>0</v>
      </c>
      <c r="K14" s="51" t="n">
        <f aca="false">I14+J14</f>
        <v>306</v>
      </c>
      <c r="L14" s="51" t="n">
        <f aca="false">F14-(I14-W14)</f>
        <v>-13.3592135114696</v>
      </c>
      <c r="M14" s="51" t="n">
        <v>125</v>
      </c>
      <c r="N14" s="100" t="n">
        <v>0</v>
      </c>
      <c r="O14" s="100" t="n">
        <v>0</v>
      </c>
      <c r="P14" s="6" t="n">
        <f aca="false">M14-(N14+O14)</f>
        <v>125</v>
      </c>
      <c r="Q14" s="51" t="n">
        <v>175</v>
      </c>
      <c r="R14" s="51" t="n">
        <v>93</v>
      </c>
      <c r="S14" s="51" t="n">
        <f aca="false">SUM(P14:R14)</f>
        <v>393</v>
      </c>
      <c r="T14" s="52"/>
      <c r="U14" s="51"/>
      <c r="V14" s="51" t="n">
        <v>125</v>
      </c>
      <c r="W14" s="6" t="n">
        <f aca="false">N14+O14+S14+U14+V14</f>
        <v>518</v>
      </c>
      <c r="X14" s="51" t="n">
        <f aca="false">IF(L14&lt;0,L14*-1,0)</f>
        <v>13.3592135114696</v>
      </c>
      <c r="Y14" s="51" t="n">
        <f aca="false">W14+X14</f>
        <v>531.35921351147</v>
      </c>
      <c r="Z14" s="56" t="n">
        <v>0</v>
      </c>
      <c r="AA14" s="57" t="n">
        <v>84</v>
      </c>
      <c r="AB14" s="57" t="n">
        <v>51</v>
      </c>
      <c r="AC14" s="58" t="n">
        <f aca="false">AC13+1</f>
        <v>5</v>
      </c>
      <c r="AD14" s="93" t="n">
        <f aca="false">IF(I14&gt;S14,I14-S14,I14-S14)</f>
        <v>-87</v>
      </c>
      <c r="AE14" s="12"/>
      <c r="AF14" s="0"/>
      <c r="AG14" s="6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</row>
    <row r="15" customFormat="false" ht="11.1" hidden="false" customHeight="true" outlineLevel="0" collapsed="false">
      <c r="A15" s="58" t="n">
        <f aca="false">A14+1</f>
        <v>6</v>
      </c>
      <c r="B15" s="73" t="n">
        <v>6901.8</v>
      </c>
      <c r="C15" s="52" t="n">
        <v>290268</v>
      </c>
      <c r="D15" s="57" t="n">
        <f aca="false">C15-C14</f>
        <v>-187</v>
      </c>
      <c r="E15" s="52" t="n">
        <f aca="false">C15-152000</f>
        <v>138268</v>
      </c>
      <c r="F15" s="51" t="n">
        <f aca="false">D15/$D$2</f>
        <v>-94.2777917822032</v>
      </c>
      <c r="G15" s="51" t="n">
        <v>378</v>
      </c>
      <c r="H15" s="53" t="n">
        <v>0</v>
      </c>
      <c r="I15" s="51" t="n">
        <f aca="false">G15+H15</f>
        <v>378</v>
      </c>
      <c r="J15" s="81" t="n">
        <f aca="false">IF(L15&gt;0,L15,0)</f>
        <v>31.7222082177968</v>
      </c>
      <c r="K15" s="51" t="n">
        <f aca="false">I15+J15</f>
        <v>409.722208217797</v>
      </c>
      <c r="L15" s="51" t="n">
        <f aca="false">F15-(I15-W15)</f>
        <v>31.7222082177968</v>
      </c>
      <c r="M15" s="51" t="n">
        <v>118</v>
      </c>
      <c r="N15" s="100" t="n">
        <v>0</v>
      </c>
      <c r="O15" s="100" t="n">
        <v>0</v>
      </c>
      <c r="P15" s="6" t="n">
        <f aca="false">M15-(N15+O15)</f>
        <v>118</v>
      </c>
      <c r="Q15" s="51" t="n">
        <v>175</v>
      </c>
      <c r="R15" s="51" t="n">
        <v>93</v>
      </c>
      <c r="S15" s="51" t="n">
        <f aca="false">SUM(P15:R15)</f>
        <v>386</v>
      </c>
      <c r="T15" s="52"/>
      <c r="U15" s="51"/>
      <c r="V15" s="51" t="n">
        <v>118</v>
      </c>
      <c r="W15" s="6" t="n">
        <f aca="false">N15+O15+S15+U15+V15</f>
        <v>504</v>
      </c>
      <c r="X15" s="51" t="n">
        <f aca="false">IF(L15&lt;0,L15*-1,0)</f>
        <v>0</v>
      </c>
      <c r="Y15" s="51" t="n">
        <f aca="false">W15+X15</f>
        <v>504</v>
      </c>
      <c r="Z15" s="56" t="n">
        <v>0</v>
      </c>
      <c r="AA15" s="57" t="n">
        <v>80</v>
      </c>
      <c r="AB15" s="57" t="n">
        <v>54</v>
      </c>
      <c r="AC15" s="58" t="n">
        <f aca="false">AC14+1</f>
        <v>6</v>
      </c>
      <c r="AD15" s="93" t="n">
        <f aca="false">IF(I15&gt;S15,I15-S15,I15-S15)</f>
        <v>-8</v>
      </c>
      <c r="AE15" s="12"/>
      <c r="AF15" s="0"/>
      <c r="AG15" s="6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</row>
    <row r="16" customFormat="false" ht="11.1" hidden="false" customHeight="true" outlineLevel="0" collapsed="false">
      <c r="A16" s="58" t="n">
        <f aca="false">A15+1</f>
        <v>7</v>
      </c>
      <c r="B16" s="73" t="n">
        <v>6901.75</v>
      </c>
      <c r="C16" s="52" t="n">
        <v>290081</v>
      </c>
      <c r="D16" s="57" t="n">
        <f aca="false">C16-C15</f>
        <v>-187</v>
      </c>
      <c r="E16" s="52" t="n">
        <f aca="false">C16-152000</f>
        <v>138081</v>
      </c>
      <c r="F16" s="51" t="n">
        <f aca="false">D16/$D$2</f>
        <v>-94.2777917822032</v>
      </c>
      <c r="G16" s="51" t="n">
        <v>405</v>
      </c>
      <c r="H16" s="53" t="n">
        <v>0</v>
      </c>
      <c r="I16" s="51" t="n">
        <f aca="false">G16+H16</f>
        <v>405</v>
      </c>
      <c r="J16" s="81" t="n">
        <f aca="false">IF(L16&gt;0,L16,0)</f>
        <v>0</v>
      </c>
      <c r="K16" s="51" t="n">
        <f aca="false">I16+J16</f>
        <v>405</v>
      </c>
      <c r="L16" s="51" t="n">
        <f aca="false">F16-(I16-W16)</f>
        <v>-15.2777917822032</v>
      </c>
      <c r="M16" s="51" t="n">
        <v>108</v>
      </c>
      <c r="N16" s="100" t="n">
        <v>0</v>
      </c>
      <c r="O16" s="100" t="n">
        <v>0</v>
      </c>
      <c r="P16" s="6" t="n">
        <f aca="false">M16-(N16+O16)</f>
        <v>108</v>
      </c>
      <c r="Q16" s="51" t="n">
        <v>175</v>
      </c>
      <c r="R16" s="51" t="n">
        <v>93</v>
      </c>
      <c r="S16" s="51" t="n">
        <f aca="false">SUM(P16:R16)</f>
        <v>376</v>
      </c>
      <c r="T16" s="52"/>
      <c r="U16" s="51"/>
      <c r="V16" s="51" t="n">
        <v>108</v>
      </c>
      <c r="W16" s="6" t="n">
        <f aca="false">N16+O16+S16+U16+V16</f>
        <v>484</v>
      </c>
      <c r="X16" s="51" t="n">
        <f aca="false">IF(L16&lt;0,L16*-1,0)</f>
        <v>15.2777917822032</v>
      </c>
      <c r="Y16" s="51" t="n">
        <f aca="false">W16+X16</f>
        <v>499.277791782203</v>
      </c>
      <c r="Z16" s="56" t="n">
        <v>0</v>
      </c>
      <c r="AA16" s="57" t="n">
        <v>82</v>
      </c>
      <c r="AB16" s="57" t="n">
        <v>49</v>
      </c>
      <c r="AC16" s="58" t="n">
        <f aca="false">AC15+1</f>
        <v>7</v>
      </c>
      <c r="AD16" s="93" t="n">
        <f aca="false">IF(I16&gt;S16,I16-S16,I16-S16)</f>
        <v>29</v>
      </c>
      <c r="AE16" s="12"/>
      <c r="AF16" s="0"/>
      <c r="AG16" s="6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</row>
    <row r="17" customFormat="false" ht="11.1" hidden="false" customHeight="true" outlineLevel="0" collapsed="false">
      <c r="A17" s="58" t="n">
        <f aca="false">A16+1</f>
        <v>8</v>
      </c>
      <c r="B17" s="73" t="n">
        <v>6901.69</v>
      </c>
      <c r="C17" s="52" t="n">
        <v>289857</v>
      </c>
      <c r="D17" s="57" t="n">
        <f aca="false">C17-C16</f>
        <v>-224</v>
      </c>
      <c r="E17" s="52" t="n">
        <f aca="false">C17-152000</f>
        <v>137857</v>
      </c>
      <c r="F17" s="51" t="n">
        <f aca="false">D17/$D$2</f>
        <v>-112.931686412906</v>
      </c>
      <c r="G17" s="51" t="n">
        <v>383</v>
      </c>
      <c r="H17" s="53" t="n">
        <v>0</v>
      </c>
      <c r="I17" s="51" t="n">
        <f aca="false">G17+H17</f>
        <v>383</v>
      </c>
      <c r="J17" s="81" t="n">
        <f aca="false">IF(L17&gt;0,L17,0)</f>
        <v>0</v>
      </c>
      <c r="K17" s="51" t="n">
        <f aca="false">I17+J17</f>
        <v>383</v>
      </c>
      <c r="L17" s="51" t="n">
        <f aca="false">F17-(I17-W17)</f>
        <v>-18.9316864129065</v>
      </c>
      <c r="M17" s="51" t="n">
        <v>105</v>
      </c>
      <c r="N17" s="100" t="n">
        <v>0</v>
      </c>
      <c r="O17" s="100" t="n">
        <v>0</v>
      </c>
      <c r="P17" s="6" t="n">
        <f aca="false">M17-(N17+O17)</f>
        <v>105</v>
      </c>
      <c r="Q17" s="51" t="n">
        <v>174</v>
      </c>
      <c r="R17" s="51" t="n">
        <v>93</v>
      </c>
      <c r="S17" s="51" t="n">
        <f aca="false">SUM(P17:R17)</f>
        <v>372</v>
      </c>
      <c r="T17" s="52"/>
      <c r="U17" s="51"/>
      <c r="V17" s="51" t="n">
        <v>105</v>
      </c>
      <c r="W17" s="6" t="n">
        <f aca="false">N17+O17+S17+U17+V17</f>
        <v>477</v>
      </c>
      <c r="X17" s="51" t="n">
        <f aca="false">IF(L17&lt;0,L17*-1,0)</f>
        <v>18.9316864129065</v>
      </c>
      <c r="Y17" s="51" t="n">
        <f aca="false">W17+X17</f>
        <v>495.931686412906</v>
      </c>
      <c r="Z17" s="56" t="n">
        <v>0</v>
      </c>
      <c r="AA17" s="57" t="n">
        <v>83</v>
      </c>
      <c r="AB17" s="57" t="n">
        <v>54</v>
      </c>
      <c r="AC17" s="58" t="n">
        <f aca="false">AC16+1</f>
        <v>8</v>
      </c>
      <c r="AD17" s="93" t="n">
        <f aca="false">IF(I17&gt;S17,I17-S17,I17-S17)</f>
        <v>11</v>
      </c>
      <c r="AE17" s="12"/>
      <c r="AF17" s="0"/>
      <c r="AG17" s="6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</row>
    <row r="18" customFormat="false" ht="11.1" hidden="false" customHeight="true" outlineLevel="0" collapsed="false">
      <c r="A18" s="58" t="n">
        <f aca="false">A17+1</f>
        <v>9</v>
      </c>
      <c r="B18" s="73" t="n">
        <v>6901.6</v>
      </c>
      <c r="C18" s="52" t="n">
        <v>289521</v>
      </c>
      <c r="D18" s="57" t="n">
        <f aca="false">C18-C17</f>
        <v>-336</v>
      </c>
      <c r="E18" s="52" t="n">
        <f aca="false">C18-152000</f>
        <v>137521</v>
      </c>
      <c r="F18" s="51" t="n">
        <f aca="false">D18/$D$2</f>
        <v>-169.39752961936</v>
      </c>
      <c r="G18" s="51" t="n">
        <v>370</v>
      </c>
      <c r="H18" s="53" t="n">
        <v>0</v>
      </c>
      <c r="I18" s="51" t="n">
        <f aca="false">G18+H18</f>
        <v>370</v>
      </c>
      <c r="J18" s="81" t="n">
        <f aca="false">IF(L18&gt;0,L18,0)</f>
        <v>0</v>
      </c>
      <c r="K18" s="51" t="n">
        <f aca="false">I18+J18</f>
        <v>370</v>
      </c>
      <c r="L18" s="51" t="n">
        <f aca="false">F18-(I18-W18)</f>
        <v>-62.3975296193597</v>
      </c>
      <c r="M18" s="51" t="n">
        <v>105</v>
      </c>
      <c r="N18" s="100" t="n">
        <v>0</v>
      </c>
      <c r="O18" s="100" t="n">
        <v>0</v>
      </c>
      <c r="P18" s="6" t="n">
        <f aca="false">M18-(N18+O18)</f>
        <v>105</v>
      </c>
      <c r="Q18" s="51" t="n">
        <v>174</v>
      </c>
      <c r="R18" s="51" t="n">
        <v>93</v>
      </c>
      <c r="S18" s="51" t="n">
        <f aca="false">SUM(P18:R18)</f>
        <v>372</v>
      </c>
      <c r="T18" s="52"/>
      <c r="U18" s="51"/>
      <c r="V18" s="51" t="n">
        <v>105</v>
      </c>
      <c r="W18" s="6" t="n">
        <f aca="false">N18+O18+S18+U18+V18</f>
        <v>477</v>
      </c>
      <c r="X18" s="51" t="n">
        <f aca="false">IF(L18&lt;0,L18*-1,0)</f>
        <v>62.3975296193597</v>
      </c>
      <c r="Y18" s="51" t="n">
        <f aca="false">W18+X18</f>
        <v>539.39752961936</v>
      </c>
      <c r="Z18" s="56" t="n">
        <v>0</v>
      </c>
      <c r="AA18" s="82"/>
      <c r="AB18" s="57"/>
      <c r="AC18" s="58" t="n">
        <f aca="false">AC17+1</f>
        <v>9</v>
      </c>
      <c r="AD18" s="93" t="n">
        <f aca="false">IF(I18&gt;S18,I18-S18,I18-S18)</f>
        <v>-2</v>
      </c>
      <c r="AE18" s="12"/>
      <c r="AF18" s="0"/>
      <c r="AG18" s="6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</row>
    <row r="19" customFormat="false" ht="11.1" hidden="false" customHeight="true" outlineLevel="0" collapsed="false">
      <c r="A19" s="58" t="n">
        <f aca="false">A18+1</f>
        <v>10</v>
      </c>
      <c r="B19" s="73" t="n">
        <v>6901.52</v>
      </c>
      <c r="C19" s="52" t="n">
        <v>289223</v>
      </c>
      <c r="D19" s="57" t="n">
        <f aca="false">C19-C18</f>
        <v>-298</v>
      </c>
      <c r="E19" s="52" t="n">
        <f aca="false">C19-152000</f>
        <v>137223</v>
      </c>
      <c r="F19" s="51" t="n">
        <f aca="false">D19/$D$2</f>
        <v>-150.239475674313</v>
      </c>
      <c r="G19" s="51" t="n">
        <v>352</v>
      </c>
      <c r="H19" s="53" t="n">
        <v>0</v>
      </c>
      <c r="I19" s="51" t="n">
        <f aca="false">G19+H19</f>
        <v>352</v>
      </c>
      <c r="J19" s="81" t="n">
        <v>0</v>
      </c>
      <c r="K19" s="51" t="n">
        <f aca="false">I19+J19</f>
        <v>352</v>
      </c>
      <c r="L19" s="51" t="n">
        <f aca="false">F19-(I19-W19)</f>
        <v>-27.2394756743131</v>
      </c>
      <c r="M19" s="51" t="n">
        <v>104</v>
      </c>
      <c r="N19" s="100" t="n">
        <v>0</v>
      </c>
      <c r="O19" s="100" t="n">
        <v>0</v>
      </c>
      <c r="P19" s="6" t="n">
        <f aca="false">M19-(N19+O19)</f>
        <v>104</v>
      </c>
      <c r="Q19" s="51" t="n">
        <v>174</v>
      </c>
      <c r="R19" s="51" t="n">
        <v>93</v>
      </c>
      <c r="S19" s="51" t="n">
        <f aca="false">SUM(P19:R19)</f>
        <v>371</v>
      </c>
      <c r="T19" s="52"/>
      <c r="U19" s="51"/>
      <c r="V19" s="51" t="n">
        <v>104</v>
      </c>
      <c r="W19" s="6" t="n">
        <f aca="false">N19+O19+S19+U19+V19</f>
        <v>475</v>
      </c>
      <c r="X19" s="51" t="n">
        <f aca="false">IF(L19&lt;0,L19*-1,0)</f>
        <v>27.2394756743131</v>
      </c>
      <c r="Y19" s="51" t="n">
        <f aca="false">W19+X19</f>
        <v>502.239475674313</v>
      </c>
      <c r="Z19" s="56" t="n">
        <v>0</v>
      </c>
      <c r="AA19" s="57"/>
      <c r="AB19" s="57"/>
      <c r="AC19" s="58" t="n">
        <f aca="false">AC18+1</f>
        <v>10</v>
      </c>
      <c r="AD19" s="93" t="n">
        <f aca="false">IF(I19&gt;S19,I19-S19,I19-S19)</f>
        <v>-19</v>
      </c>
      <c r="AE19" s="12"/>
      <c r="AF19" s="0"/>
      <c r="AG19" s="6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</row>
    <row r="20" customFormat="false" ht="11.1" hidden="false" customHeight="true" outlineLevel="0" collapsed="false">
      <c r="A20" s="58" t="n">
        <v>11</v>
      </c>
      <c r="B20" s="73" t="n">
        <v>6901.45</v>
      </c>
      <c r="C20" s="52" t="n">
        <v>288962</v>
      </c>
      <c r="D20" s="57" t="n">
        <f aca="false">C20-C19</f>
        <v>-261</v>
      </c>
      <c r="E20" s="52" t="n">
        <f aca="false">C20-152000</f>
        <v>136962</v>
      </c>
      <c r="F20" s="51" t="n">
        <f aca="false">D20/$D$2</f>
        <v>-131.58558104361</v>
      </c>
      <c r="G20" s="51" t="n">
        <v>346</v>
      </c>
      <c r="H20" s="53" t="n">
        <v>0</v>
      </c>
      <c r="I20" s="51" t="n">
        <f aca="false">G20+H20</f>
        <v>346</v>
      </c>
      <c r="J20" s="81" t="n">
        <f aca="false">IF(L20&gt;0,L20,0)</f>
        <v>0</v>
      </c>
      <c r="K20" s="51" t="n">
        <f aca="false">I20+J20</f>
        <v>346</v>
      </c>
      <c r="L20" s="51" t="n">
        <f aca="false">F20-(I20-W20)</f>
        <v>-2.58558104360978</v>
      </c>
      <c r="M20" s="51" t="n">
        <v>104</v>
      </c>
      <c r="N20" s="100" t="n">
        <v>0</v>
      </c>
      <c r="O20" s="100" t="n">
        <v>0</v>
      </c>
      <c r="P20" s="6" t="n">
        <f aca="false">M20-(N20+O20)</f>
        <v>104</v>
      </c>
      <c r="Q20" s="51" t="n">
        <v>173</v>
      </c>
      <c r="R20" s="51" t="n">
        <v>94</v>
      </c>
      <c r="S20" s="51" t="n">
        <f aca="false">SUM(P20:R20)</f>
        <v>371</v>
      </c>
      <c r="T20" s="52"/>
      <c r="U20" s="51"/>
      <c r="V20" s="51" t="n">
        <v>104</v>
      </c>
      <c r="W20" s="6" t="n">
        <f aca="false">N20+O20+S20+U20+V20</f>
        <v>475</v>
      </c>
      <c r="X20" s="51" t="n">
        <f aca="false">IF(L20&lt;0,L20*-1,0)</f>
        <v>2.58558104360978</v>
      </c>
      <c r="Y20" s="51" t="n">
        <f aca="false">W20+X20</f>
        <v>477.58558104361</v>
      </c>
      <c r="Z20" s="56" t="n">
        <v>0.05</v>
      </c>
      <c r="AA20" s="57" t="n">
        <v>84</v>
      </c>
      <c r="AB20" s="57" t="n">
        <v>50</v>
      </c>
      <c r="AC20" s="58" t="n">
        <v>11</v>
      </c>
      <c r="AD20" s="93" t="n">
        <f aca="false">IF(I20&gt;S20,I20-S20,I20-S20)</f>
        <v>-25</v>
      </c>
      <c r="AE20" s="12"/>
      <c r="AF20" s="0"/>
      <c r="AG20" s="6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</row>
    <row r="21" customFormat="false" ht="11.1" hidden="false" customHeight="true" outlineLevel="0" collapsed="false">
      <c r="A21" s="58" t="n">
        <v>12</v>
      </c>
      <c r="B21" s="73" t="n">
        <v>6901.44</v>
      </c>
      <c r="C21" s="52" t="n">
        <v>288924</v>
      </c>
      <c r="D21" s="57" t="n">
        <f aca="false">C21-C20</f>
        <v>-38</v>
      </c>
      <c r="E21" s="52" t="n">
        <f aca="false">C21-152000</f>
        <v>136924</v>
      </c>
      <c r="F21" s="51" t="n">
        <f aca="false">D21/$D$2</f>
        <v>-19.1580539450466</v>
      </c>
      <c r="G21" s="51" t="n">
        <v>366</v>
      </c>
      <c r="H21" s="53" t="n">
        <v>0</v>
      </c>
      <c r="I21" s="51" t="n">
        <f aca="false">G21+H21</f>
        <v>366</v>
      </c>
      <c r="J21" s="81" t="n">
        <f aca="false">IF(L21&gt;0,L21,0)</f>
        <v>60.8419460549534</v>
      </c>
      <c r="K21" s="51" t="n">
        <f aca="false">I21+J21</f>
        <v>426.841946054953</v>
      </c>
      <c r="L21" s="51" t="n">
        <f aca="false">F21-(I21-W21)</f>
        <v>60.8419460549534</v>
      </c>
      <c r="M21" s="51" t="n">
        <v>101</v>
      </c>
      <c r="N21" s="100" t="n">
        <v>0</v>
      </c>
      <c r="O21" s="100" t="n">
        <v>0</v>
      </c>
      <c r="P21" s="6" t="n">
        <f aca="false">M21-(N21+O21)</f>
        <v>101</v>
      </c>
      <c r="Q21" s="51" t="n">
        <v>151</v>
      </c>
      <c r="R21" s="51" t="n">
        <v>93</v>
      </c>
      <c r="S21" s="51" t="n">
        <f aca="false">SUM(P21:R21)</f>
        <v>345</v>
      </c>
      <c r="T21" s="52"/>
      <c r="U21" s="51"/>
      <c r="V21" s="51" t="n">
        <v>101</v>
      </c>
      <c r="W21" s="6" t="n">
        <f aca="false">N21+O21+S21+U21+V21</f>
        <v>446</v>
      </c>
      <c r="X21" s="51" t="n">
        <f aca="false">IF(L21&lt;0,L21*-1,0)</f>
        <v>0</v>
      </c>
      <c r="Y21" s="51" t="n">
        <f aca="false">W21+X21</f>
        <v>446</v>
      </c>
      <c r="Z21" s="56" t="n">
        <v>0</v>
      </c>
      <c r="AA21" s="57" t="n">
        <v>81</v>
      </c>
      <c r="AB21" s="57" t="n">
        <v>54</v>
      </c>
      <c r="AC21" s="58" t="n">
        <v>12</v>
      </c>
      <c r="AD21" s="93" t="n">
        <f aca="false">IF(I21&gt;S21,I21-S21,I21-S21)</f>
        <v>21</v>
      </c>
      <c r="AE21" s="12"/>
      <c r="AF21" s="0"/>
      <c r="AG21" s="6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</row>
    <row r="22" customFormat="false" ht="11.1" hidden="false" customHeight="true" outlineLevel="0" collapsed="false">
      <c r="A22" s="58" t="n">
        <v>13</v>
      </c>
      <c r="B22" s="73" t="n">
        <v>6901.4</v>
      </c>
      <c r="C22" s="52" t="n">
        <v>288775</v>
      </c>
      <c r="D22" s="57" t="n">
        <f aca="false">C22-C21</f>
        <v>-149</v>
      </c>
      <c r="E22" s="52" t="n">
        <f aca="false">C22-152000</f>
        <v>136775</v>
      </c>
      <c r="F22" s="51" t="n">
        <f aca="false">D22/$D$2</f>
        <v>-75.1197378371565</v>
      </c>
      <c r="G22" s="51" t="n">
        <v>428</v>
      </c>
      <c r="H22" s="53" t="n">
        <v>0</v>
      </c>
      <c r="I22" s="51" t="n">
        <f aca="false">G22+H22</f>
        <v>428</v>
      </c>
      <c r="J22" s="81" t="n">
        <f aca="false">IF(L22&gt;0,L22,0)</f>
        <v>0</v>
      </c>
      <c r="K22" s="51" t="n">
        <f aca="false">I22+J22</f>
        <v>428</v>
      </c>
      <c r="L22" s="51" t="n">
        <f aca="false">F22-(I22-W22)</f>
        <v>-81.1197378371565</v>
      </c>
      <c r="M22" s="51" t="n">
        <v>99</v>
      </c>
      <c r="N22" s="100" t="n">
        <v>0</v>
      </c>
      <c r="O22" s="100" t="n">
        <v>0</v>
      </c>
      <c r="P22" s="6" t="n">
        <f aca="false">M22-(N22+O22)</f>
        <v>99</v>
      </c>
      <c r="Q22" s="51" t="n">
        <v>130</v>
      </c>
      <c r="R22" s="51" t="n">
        <v>94</v>
      </c>
      <c r="S22" s="51" t="n">
        <f aca="false">SUM(P22:R22)</f>
        <v>323</v>
      </c>
      <c r="T22" s="52"/>
      <c r="U22" s="51"/>
      <c r="V22" s="51" t="n">
        <v>99</v>
      </c>
      <c r="W22" s="6" t="n">
        <f aca="false">N22+O22+S22+U22+V22</f>
        <v>422</v>
      </c>
      <c r="X22" s="51" t="n">
        <f aca="false">IF(L22&lt;0,L22*-1,0)</f>
        <v>81.1197378371565</v>
      </c>
      <c r="Y22" s="51" t="n">
        <f aca="false">W22+X22</f>
        <v>503.119737837157</v>
      </c>
      <c r="Z22" s="56" t="n">
        <v>0.27</v>
      </c>
      <c r="AA22" s="57" t="n">
        <v>82</v>
      </c>
      <c r="AB22" s="57" t="n">
        <v>47</v>
      </c>
      <c r="AC22" s="58" t="n">
        <v>13</v>
      </c>
      <c r="AD22" s="93" t="n">
        <f aca="false">IF(I22&gt;S22,I22-S22,I22-S22)</f>
        <v>105</v>
      </c>
      <c r="AE22" s="12"/>
      <c r="AF22" s="0"/>
      <c r="AG22" s="6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</row>
    <row r="23" customFormat="false" ht="11.1" hidden="false" customHeight="true" outlineLevel="0" collapsed="false">
      <c r="A23" s="58" t="n">
        <v>14</v>
      </c>
      <c r="B23" s="73" t="n">
        <v>6901.35</v>
      </c>
      <c r="C23" s="52" t="n">
        <v>288588</v>
      </c>
      <c r="D23" s="57" t="n">
        <f aca="false">C23-C22</f>
        <v>-187</v>
      </c>
      <c r="E23" s="52" t="n">
        <f aca="false">C23-152000</f>
        <v>136588</v>
      </c>
      <c r="F23" s="51" t="n">
        <f aca="false">D23/$D$2</f>
        <v>-94.2777917822032</v>
      </c>
      <c r="G23" s="51" t="n">
        <v>399</v>
      </c>
      <c r="H23" s="53" t="n">
        <v>0</v>
      </c>
      <c r="I23" s="51" t="n">
        <f aca="false">G23+H23</f>
        <v>399</v>
      </c>
      <c r="J23" s="81" t="n">
        <f aca="false">IF(L23&gt;0,L23,0)</f>
        <v>0</v>
      </c>
      <c r="K23" s="51" t="n">
        <f aca="false">I23+J23</f>
        <v>399</v>
      </c>
      <c r="L23" s="51" t="n">
        <f aca="false">F23-(I23-W23)</f>
        <v>-75.2777917822032</v>
      </c>
      <c r="M23" s="51" t="n">
        <v>99</v>
      </c>
      <c r="N23" s="100" t="n">
        <v>0</v>
      </c>
      <c r="O23" s="100" t="n">
        <v>0</v>
      </c>
      <c r="P23" s="6" t="n">
        <f aca="false">M23-(N23+O23)</f>
        <v>99</v>
      </c>
      <c r="Q23" s="51" t="n">
        <v>128</v>
      </c>
      <c r="R23" s="51" t="n">
        <v>92</v>
      </c>
      <c r="S23" s="51" t="n">
        <f aca="false">SUM(P23:R23)</f>
        <v>319</v>
      </c>
      <c r="T23" s="52"/>
      <c r="U23" s="51"/>
      <c r="V23" s="51" t="n">
        <v>99</v>
      </c>
      <c r="W23" s="6" t="n">
        <f aca="false">N23+O23+S23+U23+V23</f>
        <v>418</v>
      </c>
      <c r="X23" s="51" t="n">
        <f aca="false">IF(L23&lt;0,L23*-1,0)</f>
        <v>75.2777917822032</v>
      </c>
      <c r="Y23" s="51" t="n">
        <f aca="false">W23+X23</f>
        <v>493.277791782203</v>
      </c>
      <c r="Z23" s="56" t="n">
        <v>0</v>
      </c>
      <c r="AA23" s="57" t="n">
        <v>80</v>
      </c>
      <c r="AB23" s="57" t="n">
        <v>46</v>
      </c>
      <c r="AC23" s="58" t="n">
        <v>14</v>
      </c>
      <c r="AD23" s="93" t="n">
        <f aca="false">IF(I23&gt;S23,I23-S23,I23-S23)</f>
        <v>80</v>
      </c>
      <c r="AE23" s="12"/>
      <c r="AF23" s="0"/>
      <c r="AG23" s="6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</row>
    <row r="24" customFormat="false" ht="11.1" hidden="false" customHeight="true" outlineLevel="0" collapsed="false">
      <c r="A24" s="58" t="n">
        <v>15</v>
      </c>
      <c r="B24" s="73" t="n">
        <v>6901.27</v>
      </c>
      <c r="C24" s="52" t="n">
        <v>288290</v>
      </c>
      <c r="D24" s="57" t="n">
        <f aca="false">C24-C23</f>
        <v>-298</v>
      </c>
      <c r="E24" s="52" t="n">
        <f aca="false">C24-152000</f>
        <v>136290</v>
      </c>
      <c r="F24" s="51" t="n">
        <f aca="false">D24/$D$2</f>
        <v>-150.239475674313</v>
      </c>
      <c r="G24" s="51" t="n">
        <v>317</v>
      </c>
      <c r="H24" s="53" t="n">
        <v>0</v>
      </c>
      <c r="I24" s="51" t="n">
        <f aca="false">G24+H24</f>
        <v>317</v>
      </c>
      <c r="J24" s="81" t="n">
        <f aca="false">IF(L24&gt;0,L24,0)</f>
        <v>0</v>
      </c>
      <c r="K24" s="51" t="n">
        <f aca="false">I24+J24</f>
        <v>317</v>
      </c>
      <c r="L24" s="51" t="n">
        <f aca="false">F24-(I24-W24)</f>
        <v>-47.2394756743131</v>
      </c>
      <c r="M24" s="51" t="n">
        <v>102</v>
      </c>
      <c r="N24" s="100" t="n">
        <v>0</v>
      </c>
      <c r="O24" s="100" t="n">
        <v>0</v>
      </c>
      <c r="P24" s="6" t="n">
        <f aca="false">M24-(N24+O24)</f>
        <v>102</v>
      </c>
      <c r="Q24" s="51" t="n">
        <v>125</v>
      </c>
      <c r="R24" s="51" t="n">
        <v>91</v>
      </c>
      <c r="S24" s="51" t="n">
        <f aca="false">SUM(P24:R24)</f>
        <v>318</v>
      </c>
      <c r="T24" s="52"/>
      <c r="U24" s="51"/>
      <c r="V24" s="51" t="n">
        <v>102</v>
      </c>
      <c r="W24" s="6" t="n">
        <f aca="false">N24+O24+S24+U24+V24</f>
        <v>420</v>
      </c>
      <c r="X24" s="51" t="n">
        <f aca="false">IF(L24&lt;0,L24*-1,0)</f>
        <v>47.2394756743131</v>
      </c>
      <c r="Y24" s="51" t="n">
        <f aca="false">W24+X24</f>
        <v>467.239475674313</v>
      </c>
      <c r="Z24" s="56" t="n">
        <v>0</v>
      </c>
      <c r="AA24" s="57" t="n">
        <v>79</v>
      </c>
      <c r="AB24" s="57" t="n">
        <v>48</v>
      </c>
      <c r="AC24" s="58" t="n">
        <v>15</v>
      </c>
      <c r="AD24" s="93" t="n">
        <f aca="false">IF(I24&gt;S24,I24-S24,I24-S24)</f>
        <v>-1</v>
      </c>
      <c r="AE24" s="12"/>
      <c r="AF24" s="0"/>
      <c r="AG24" s="6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</row>
    <row r="25" customFormat="false" ht="11.1" hidden="false" customHeight="true" outlineLevel="0" collapsed="false">
      <c r="A25" s="58" t="n">
        <v>16</v>
      </c>
      <c r="B25" s="73" t="n">
        <v>6901.25</v>
      </c>
      <c r="C25" s="52" t="n">
        <v>288215</v>
      </c>
      <c r="D25" s="57" t="n">
        <f aca="false">C25-C24</f>
        <v>-75</v>
      </c>
      <c r="E25" s="52" t="n">
        <f aca="false">C25-152000</f>
        <v>136215</v>
      </c>
      <c r="F25" s="51" t="n">
        <f aca="false">D25/$D$2</f>
        <v>-37.8119485757499</v>
      </c>
      <c r="G25" s="51" t="n">
        <v>202</v>
      </c>
      <c r="H25" s="53" t="n">
        <v>0</v>
      </c>
      <c r="I25" s="51" t="n">
        <f aca="false">G25+H25</f>
        <v>202</v>
      </c>
      <c r="J25" s="81" t="n">
        <f aca="false">IF(L25&gt;0,L25,0)</f>
        <v>180.18805142425</v>
      </c>
      <c r="K25" s="51" t="n">
        <f aca="false">I25+J25</f>
        <v>382.18805142425</v>
      </c>
      <c r="L25" s="51" t="n">
        <f aca="false">F25-(I25-W25)</f>
        <v>180.18805142425</v>
      </c>
      <c r="M25" s="51" t="n">
        <v>104</v>
      </c>
      <c r="N25" s="100" t="n">
        <v>0</v>
      </c>
      <c r="O25" s="100" t="n">
        <v>0</v>
      </c>
      <c r="P25" s="6" t="n">
        <f aca="false">M25-(N25+O25)</f>
        <v>104</v>
      </c>
      <c r="Q25" s="51" t="n">
        <v>120</v>
      </c>
      <c r="R25" s="51" t="n">
        <v>92</v>
      </c>
      <c r="S25" s="51" t="n">
        <f aca="false">SUM(P25:R25)</f>
        <v>316</v>
      </c>
      <c r="T25" s="52"/>
      <c r="U25" s="51"/>
      <c r="V25" s="51" t="n">
        <v>104</v>
      </c>
      <c r="W25" s="6" t="n">
        <f aca="false">N25+O25+S25+U25+V25</f>
        <v>420</v>
      </c>
      <c r="X25" s="51" t="n">
        <f aca="false">IF(L25&lt;0,L25*-1,0)</f>
        <v>0</v>
      </c>
      <c r="Y25" s="51" t="n">
        <f aca="false">W25+X25</f>
        <v>420</v>
      </c>
      <c r="Z25" s="56" t="n">
        <v>0</v>
      </c>
      <c r="AA25" s="57"/>
      <c r="AB25" s="57"/>
      <c r="AC25" s="58" t="n">
        <v>16</v>
      </c>
      <c r="AD25" s="93" t="n">
        <f aca="false">IF(I25&gt;S25,I25-S25,I25-S25)</f>
        <v>-114</v>
      </c>
      <c r="AE25" s="12"/>
      <c r="AF25" s="0"/>
      <c r="AG25" s="6"/>
      <c r="AH25" s="0"/>
      <c r="AI25" s="0"/>
      <c r="AJ25" s="0"/>
      <c r="AK25" s="0"/>
      <c r="AL25" s="0"/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</row>
    <row r="26" customFormat="false" ht="11.1" hidden="false" customHeight="true" outlineLevel="0" collapsed="false">
      <c r="A26" s="58" t="n">
        <v>17</v>
      </c>
      <c r="B26" s="73" t="n">
        <v>6901.2</v>
      </c>
      <c r="C26" s="52" t="n">
        <v>288028</v>
      </c>
      <c r="D26" s="57" t="n">
        <f aca="false">C26-C25</f>
        <v>-187</v>
      </c>
      <c r="E26" s="52" t="n">
        <f aca="false">C26-152000</f>
        <v>136028</v>
      </c>
      <c r="F26" s="51" t="n">
        <f aca="false">D26/$D$2</f>
        <v>-94.2777917822032</v>
      </c>
      <c r="G26" s="51" t="n">
        <v>151</v>
      </c>
      <c r="H26" s="53" t="n">
        <v>0</v>
      </c>
      <c r="I26" s="51" t="n">
        <f aca="false">G26+H26</f>
        <v>151</v>
      </c>
      <c r="J26" s="81" t="n">
        <f aca="false">IF(L26&gt;0,L26,0)</f>
        <v>155.722208217797</v>
      </c>
      <c r="K26" s="51" t="n">
        <f aca="false">I26+J26</f>
        <v>306.722208217797</v>
      </c>
      <c r="L26" s="51" t="n">
        <f aca="false">F26-(I26-W26)</f>
        <v>155.722208217797</v>
      </c>
      <c r="M26" s="51" t="n">
        <v>104</v>
      </c>
      <c r="N26" s="100" t="n">
        <v>0</v>
      </c>
      <c r="O26" s="100" t="n">
        <v>0</v>
      </c>
      <c r="P26" s="6" t="n">
        <f aca="false">M26-(N26+O26)</f>
        <v>104</v>
      </c>
      <c r="Q26" s="51" t="n">
        <v>102</v>
      </c>
      <c r="R26" s="51" t="n">
        <v>91</v>
      </c>
      <c r="S26" s="51" t="n">
        <f aca="false">SUM(P26:R26)</f>
        <v>297</v>
      </c>
      <c r="T26" s="52"/>
      <c r="U26" s="51"/>
      <c r="V26" s="51" t="n">
        <v>104</v>
      </c>
      <c r="W26" s="6" t="n">
        <f aca="false">N26+O26+S26+U26+V26</f>
        <v>401</v>
      </c>
      <c r="X26" s="51" t="n">
        <f aca="false">IF(L26&lt;0,L26*-1,0)</f>
        <v>0</v>
      </c>
      <c r="Y26" s="51" t="n">
        <f aca="false">W26+X26</f>
        <v>401</v>
      </c>
      <c r="Z26" s="56" t="n">
        <v>0</v>
      </c>
      <c r="AA26" s="57"/>
      <c r="AB26" s="57"/>
      <c r="AC26" s="58" t="n">
        <v>17</v>
      </c>
      <c r="AD26" s="93" t="n">
        <f aca="false">IF(I26&gt;S26,I26-S26,I26-S26)</f>
        <v>-146</v>
      </c>
      <c r="AE26" s="12"/>
      <c r="AF26" s="0"/>
      <c r="AG26" s="6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</row>
    <row r="27" customFormat="false" ht="11.1" hidden="false" customHeight="true" outlineLevel="0" collapsed="false">
      <c r="A27" s="58" t="n">
        <v>18</v>
      </c>
      <c r="B27" s="73" t="n">
        <v>6901.12</v>
      </c>
      <c r="C27" s="52" t="n">
        <v>287730</v>
      </c>
      <c r="D27" s="57" t="n">
        <f aca="false">C27-C26</f>
        <v>-298</v>
      </c>
      <c r="E27" s="52" t="n">
        <f aca="false">C27-152000</f>
        <v>135730</v>
      </c>
      <c r="F27" s="51" t="n">
        <f aca="false">D27/$D$2</f>
        <v>-150.239475674313</v>
      </c>
      <c r="G27" s="51" t="n">
        <v>155</v>
      </c>
      <c r="H27" s="53" t="n">
        <v>0</v>
      </c>
      <c r="I27" s="51" t="n">
        <f aca="false">G27+H27</f>
        <v>155</v>
      </c>
      <c r="J27" s="81" t="n">
        <f aca="false">IF(L27&gt;0,L27,0)</f>
        <v>112.760524325687</v>
      </c>
      <c r="K27" s="51" t="n">
        <f aca="false">I27+J27</f>
        <v>267.760524325687</v>
      </c>
      <c r="L27" s="51" t="n">
        <f aca="false">F27-(I27-W27)</f>
        <v>112.760524325687</v>
      </c>
      <c r="M27" s="51" t="n">
        <v>109</v>
      </c>
      <c r="N27" s="100" t="n">
        <v>0</v>
      </c>
      <c r="O27" s="100" t="n">
        <v>0</v>
      </c>
      <c r="P27" s="6" t="n">
        <f aca="false">M27-(N27+O27)</f>
        <v>109</v>
      </c>
      <c r="Q27" s="51" t="n">
        <v>108</v>
      </c>
      <c r="R27" s="51" t="n">
        <v>92</v>
      </c>
      <c r="S27" s="51" t="n">
        <f aca="false">SUM(P27:R27)</f>
        <v>309</v>
      </c>
      <c r="T27" s="52"/>
      <c r="U27" s="51"/>
      <c r="V27" s="51" t="n">
        <v>109</v>
      </c>
      <c r="W27" s="6" t="n">
        <f aca="false">N27+O27+S27+U27+V27</f>
        <v>418</v>
      </c>
      <c r="X27" s="51" t="n">
        <f aca="false">IF(L27&lt;0,L27*-1,0)</f>
        <v>0</v>
      </c>
      <c r="Y27" s="51" t="n">
        <f aca="false">W27+X27</f>
        <v>418</v>
      </c>
      <c r="Z27" s="56" t="n">
        <v>0</v>
      </c>
      <c r="AA27" s="57" t="n">
        <v>89</v>
      </c>
      <c r="AB27" s="57" t="n">
        <v>52</v>
      </c>
      <c r="AC27" s="58" t="n">
        <v>18</v>
      </c>
      <c r="AD27" s="93" t="n">
        <f aca="false">IF(I27&gt;S27,I27-S27,I27-S27)</f>
        <v>-154</v>
      </c>
      <c r="AE27" s="12"/>
      <c r="AF27" s="0"/>
      <c r="AG27" s="6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</row>
    <row r="28" customFormat="false" ht="11.1" hidden="false" customHeight="true" outlineLevel="0" collapsed="false">
      <c r="A28" s="58" t="n">
        <v>19</v>
      </c>
      <c r="B28" s="73" t="n">
        <v>6901.06</v>
      </c>
      <c r="C28" s="52" t="n">
        <v>287506</v>
      </c>
      <c r="D28" s="57" t="n">
        <f aca="false">C28-C27</f>
        <v>-224</v>
      </c>
      <c r="E28" s="52" t="n">
        <f aca="false">C28-152000</f>
        <v>135506</v>
      </c>
      <c r="F28" s="51" t="n">
        <f aca="false">D28/$D$2</f>
        <v>-112.931686412906</v>
      </c>
      <c r="G28" s="51" t="n">
        <v>170</v>
      </c>
      <c r="H28" s="53" t="n">
        <v>0</v>
      </c>
      <c r="I28" s="51" t="n">
        <f aca="false">G28+H28</f>
        <v>170</v>
      </c>
      <c r="J28" s="81" t="n">
        <f aca="false">IF(L28&gt;0,L28,0)</f>
        <v>153.068313587094</v>
      </c>
      <c r="K28" s="51" t="n">
        <f aca="false">I28+J28</f>
        <v>323.068313587094</v>
      </c>
      <c r="L28" s="51" t="n">
        <f aca="false">F28-(I28-W28)</f>
        <v>153.068313587094</v>
      </c>
      <c r="M28" s="51" t="n">
        <v>113</v>
      </c>
      <c r="N28" s="100" t="n">
        <v>0</v>
      </c>
      <c r="O28" s="100" t="n">
        <v>0</v>
      </c>
      <c r="P28" s="6" t="n">
        <f aca="false">M28-(N28+O28)</f>
        <v>113</v>
      </c>
      <c r="Q28" s="51" t="n">
        <v>116</v>
      </c>
      <c r="R28" s="101" t="n">
        <v>94</v>
      </c>
      <c r="S28" s="51" t="n">
        <f aca="false">SUM(P28:R28)</f>
        <v>323</v>
      </c>
      <c r="T28" s="52"/>
      <c r="U28" s="51"/>
      <c r="V28" s="51" t="n">
        <v>113</v>
      </c>
      <c r="W28" s="6" t="n">
        <f aca="false">N28+O28+S28+U28+V28</f>
        <v>436</v>
      </c>
      <c r="X28" s="51" t="n">
        <f aca="false">IF(L28&lt;0,L28*-1,0)</f>
        <v>0</v>
      </c>
      <c r="Y28" s="51" t="n">
        <f aca="false">W28+X28</f>
        <v>436</v>
      </c>
      <c r="Z28" s="56" t="n">
        <v>0</v>
      </c>
      <c r="AA28" s="57" t="n">
        <v>87</v>
      </c>
      <c r="AB28" s="57" t="n">
        <v>59</v>
      </c>
      <c r="AC28" s="58" t="n">
        <v>19</v>
      </c>
      <c r="AD28" s="93" t="n">
        <f aca="false">IF(I28&gt;S28,I28-S28,I28-S28)</f>
        <v>-153</v>
      </c>
      <c r="AE28" s="12"/>
      <c r="AF28" s="0"/>
      <c r="AG28" s="6"/>
      <c r="AH28" s="0"/>
      <c r="AI28" s="0"/>
      <c r="AJ28" s="0"/>
      <c r="AK28" s="0"/>
      <c r="AL28" s="0"/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</row>
    <row r="29" customFormat="false" ht="11.1" hidden="false" customHeight="true" outlineLevel="0" collapsed="false">
      <c r="A29" s="58" t="n">
        <v>20</v>
      </c>
      <c r="B29" s="73" t="n">
        <v>6901.07</v>
      </c>
      <c r="C29" s="52" t="n">
        <v>287543</v>
      </c>
      <c r="D29" s="57" t="n">
        <f aca="false">C29-C28</f>
        <v>37</v>
      </c>
      <c r="E29" s="52" t="n">
        <f aca="false">C29-152000</f>
        <v>135543</v>
      </c>
      <c r="F29" s="51" t="n">
        <f aca="false">D29/$D$2</f>
        <v>18.6538946307033</v>
      </c>
      <c r="G29" s="51" t="n">
        <v>212</v>
      </c>
      <c r="H29" s="53" t="n">
        <v>0</v>
      </c>
      <c r="I29" s="51" t="n">
        <f aca="false">G29+H29</f>
        <v>212</v>
      </c>
      <c r="J29" s="81" t="n">
        <f aca="false">IF(L29&gt;0,L29,0)</f>
        <v>235.653894630703</v>
      </c>
      <c r="K29" s="51" t="n">
        <f aca="false">I29+J29</f>
        <v>447.653894630703</v>
      </c>
      <c r="L29" s="51" t="n">
        <f aca="false">F29-(I29-W29)</f>
        <v>235.653894630703</v>
      </c>
      <c r="M29" s="51" t="n">
        <v>113</v>
      </c>
      <c r="N29" s="100" t="n">
        <v>0</v>
      </c>
      <c r="O29" s="100" t="n">
        <v>0</v>
      </c>
      <c r="P29" s="6" t="n">
        <f aca="false">M29-(N29+O29)</f>
        <v>113</v>
      </c>
      <c r="Q29" s="51" t="n">
        <v>116</v>
      </c>
      <c r="R29" s="101" t="n">
        <v>87</v>
      </c>
      <c r="S29" s="51" t="n">
        <f aca="false">SUM(P29:R29)</f>
        <v>316</v>
      </c>
      <c r="T29" s="52"/>
      <c r="U29" s="51"/>
      <c r="V29" s="51" t="n">
        <v>113</v>
      </c>
      <c r="W29" s="6" t="n">
        <f aca="false">N29+O29+S29+U29+V29</f>
        <v>429</v>
      </c>
      <c r="X29" s="51" t="n">
        <f aca="false">IF(L29&lt;0,L29*-1,0)</f>
        <v>0</v>
      </c>
      <c r="Y29" s="51" t="n">
        <f aca="false">W29+X29</f>
        <v>429</v>
      </c>
      <c r="Z29" s="56" t="n">
        <v>0</v>
      </c>
      <c r="AA29" s="57" t="n">
        <v>84</v>
      </c>
      <c r="AB29" s="57" t="n">
        <v>53</v>
      </c>
      <c r="AC29" s="58" t="n">
        <v>20</v>
      </c>
      <c r="AD29" s="93" t="n">
        <f aca="false">IF(I29&gt;S29,I29-S29,I29-S29)</f>
        <v>-104</v>
      </c>
      <c r="AE29" s="12"/>
      <c r="AF29" s="0"/>
      <c r="AG29" s="6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</row>
    <row r="30" customFormat="false" ht="11.1" hidden="false" customHeight="true" outlineLevel="0" collapsed="false">
      <c r="A30" s="58" t="n">
        <v>21</v>
      </c>
      <c r="B30" s="73" t="n">
        <v>6901.04</v>
      </c>
      <c r="C30" s="52" t="n">
        <v>287431</v>
      </c>
      <c r="D30" s="57" t="n">
        <f aca="false">C30-C29</f>
        <v>-112</v>
      </c>
      <c r="E30" s="52" t="n">
        <f aca="false">C30-152000</f>
        <v>135431</v>
      </c>
      <c r="F30" s="51" t="n">
        <f aca="false">D30/$D$2</f>
        <v>-56.4658432064532</v>
      </c>
      <c r="G30" s="51" t="n">
        <v>224</v>
      </c>
      <c r="H30" s="53" t="n">
        <v>0</v>
      </c>
      <c r="I30" s="51" t="n">
        <f aca="false">G30+H30</f>
        <v>224</v>
      </c>
      <c r="J30" s="81" t="n">
        <f aca="false">IF(L30&gt;0,L30,0)</f>
        <v>155.534156793547</v>
      </c>
      <c r="K30" s="51" t="n">
        <f aca="false">I30+J30</f>
        <v>379.534156793547</v>
      </c>
      <c r="L30" s="51" t="n">
        <f aca="false">F30-(I30-W30)</f>
        <v>155.534156793547</v>
      </c>
      <c r="M30" s="51" t="n">
        <v>113</v>
      </c>
      <c r="N30" s="100" t="n">
        <v>0</v>
      </c>
      <c r="O30" s="100" t="n">
        <v>0</v>
      </c>
      <c r="P30" s="6" t="n">
        <f aca="false">M30-(N30+O30)</f>
        <v>113</v>
      </c>
      <c r="Q30" s="51" t="n">
        <v>122</v>
      </c>
      <c r="R30" s="101" t="n">
        <v>88</v>
      </c>
      <c r="S30" s="51" t="n">
        <f aca="false">SUM(P30:R30)</f>
        <v>323</v>
      </c>
      <c r="T30" s="52"/>
      <c r="U30" s="51"/>
      <c r="V30" s="51" t="n">
        <v>113</v>
      </c>
      <c r="W30" s="6" t="n">
        <f aca="false">N30+O30+S30+U30+V30</f>
        <v>436</v>
      </c>
      <c r="X30" s="51" t="n">
        <f aca="false">IF(L30&lt;0,L30*-1,0)</f>
        <v>0</v>
      </c>
      <c r="Y30" s="51" t="n">
        <f aca="false">W30+X30</f>
        <v>436</v>
      </c>
      <c r="Z30" s="56" t="n">
        <v>0.23</v>
      </c>
      <c r="AA30" s="57" t="n">
        <v>84</v>
      </c>
      <c r="AB30" s="57" t="n">
        <v>53</v>
      </c>
      <c r="AC30" s="58" t="n">
        <v>21</v>
      </c>
      <c r="AD30" s="93" t="n">
        <f aca="false">IF(I30&gt;S30,I30-S30,I30-S30)</f>
        <v>-99</v>
      </c>
      <c r="AE30" s="12"/>
      <c r="AF30" s="0"/>
      <c r="AG30" s="6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</row>
    <row r="31" customFormat="false" ht="11.1" hidden="false" customHeight="true" outlineLevel="0" collapsed="false">
      <c r="A31" s="58" t="n">
        <v>22</v>
      </c>
      <c r="B31" s="73" t="n">
        <v>6901.01</v>
      </c>
      <c r="C31" s="52" t="n">
        <v>287319</v>
      </c>
      <c r="D31" s="57" t="n">
        <f aca="false">C31-C30</f>
        <v>-112</v>
      </c>
      <c r="E31" s="52" t="n">
        <f aca="false">C31-152000</f>
        <v>135319</v>
      </c>
      <c r="F31" s="51" t="n">
        <f aca="false">D31/$D$2</f>
        <v>-56.4658432064532</v>
      </c>
      <c r="G31" s="51" t="n">
        <v>365</v>
      </c>
      <c r="H31" s="53" t="n">
        <v>0</v>
      </c>
      <c r="I31" s="51" t="n">
        <f aca="false">G31+H31</f>
        <v>365</v>
      </c>
      <c r="J31" s="81" t="n">
        <f aca="false">IF(L31&gt;0,L31,0)</f>
        <v>24.5341567935468</v>
      </c>
      <c r="K31" s="51" t="n">
        <f aca="false">I31+J31</f>
        <v>389.534156793547</v>
      </c>
      <c r="L31" s="51" t="n">
        <f aca="false">F31-(I31-W31)</f>
        <v>24.5341567935468</v>
      </c>
      <c r="M31" s="51" t="n">
        <v>113</v>
      </c>
      <c r="N31" s="100" t="n">
        <v>0</v>
      </c>
      <c r="O31" s="100" t="n">
        <v>0</v>
      </c>
      <c r="P31" s="6" t="n">
        <f aca="false">M31-(N31+O31)</f>
        <v>113</v>
      </c>
      <c r="Q31" s="51" t="n">
        <v>129</v>
      </c>
      <c r="R31" s="51" t="n">
        <v>91</v>
      </c>
      <c r="S31" s="51" t="n">
        <f aca="false">SUM(P31:R31)</f>
        <v>333</v>
      </c>
      <c r="T31" s="52"/>
      <c r="U31" s="51"/>
      <c r="V31" s="51" t="n">
        <v>113</v>
      </c>
      <c r="W31" s="6" t="n">
        <f aca="false">N31+O31+S31+U31+V31</f>
        <v>446</v>
      </c>
      <c r="X31" s="51" t="n">
        <f aca="false">IF(L31&lt;0,L31*-1,0)</f>
        <v>0</v>
      </c>
      <c r="Y31" s="51" t="n">
        <f aca="false">W31+X31</f>
        <v>446</v>
      </c>
      <c r="Z31" s="56" t="n">
        <v>0</v>
      </c>
      <c r="AA31" s="57" t="n">
        <v>80</v>
      </c>
      <c r="AB31" s="57" t="n">
        <v>54</v>
      </c>
      <c r="AC31" s="58" t="n">
        <v>22</v>
      </c>
      <c r="AD31" s="93" t="n">
        <f aca="false">IF(I31&gt;S31,I31-S31,I31-S31)</f>
        <v>32</v>
      </c>
      <c r="AE31" s="12"/>
      <c r="AF31" s="0"/>
      <c r="AG31" s="6"/>
      <c r="AH31" s="0"/>
      <c r="AI31" s="0"/>
      <c r="AJ31" s="0"/>
      <c r="AK31" s="0"/>
      <c r="AL31" s="0"/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</row>
    <row r="32" customFormat="false" ht="11.1" hidden="false" customHeight="true" outlineLevel="0" collapsed="false">
      <c r="A32" s="58" t="n">
        <v>23</v>
      </c>
      <c r="B32" s="73" t="n">
        <v>6901</v>
      </c>
      <c r="C32" s="52" t="n">
        <v>287282</v>
      </c>
      <c r="D32" s="57" t="n">
        <f aca="false">C32-C31</f>
        <v>-37</v>
      </c>
      <c r="E32" s="52" t="n">
        <f aca="false">C32-152000</f>
        <v>135282</v>
      </c>
      <c r="F32" s="51" t="n">
        <f aca="false">D32/$D$2</f>
        <v>-18.6538946307033</v>
      </c>
      <c r="G32" s="51" t="n">
        <v>410</v>
      </c>
      <c r="H32" s="53" t="n">
        <v>0</v>
      </c>
      <c r="I32" s="51" t="n">
        <f aca="false">G32+H32</f>
        <v>410</v>
      </c>
      <c r="J32" s="81" t="n">
        <f aca="false">IF(L32&gt;0,L32,0)</f>
        <v>17.3461053692967</v>
      </c>
      <c r="K32" s="51" t="n">
        <f aca="false">I32+J32</f>
        <v>427.346105369297</v>
      </c>
      <c r="L32" s="51" t="n">
        <f aca="false">F32-(I32-W32)</f>
        <v>17.3461053692967</v>
      </c>
      <c r="M32" s="51" t="n">
        <v>113</v>
      </c>
      <c r="N32" s="100" t="n">
        <v>0</v>
      </c>
      <c r="O32" s="100" t="n">
        <v>0</v>
      </c>
      <c r="P32" s="6" t="n">
        <f aca="false">M32-(N32+O32)</f>
        <v>113</v>
      </c>
      <c r="Q32" s="51" t="n">
        <v>129</v>
      </c>
      <c r="R32" s="51" t="n">
        <v>91</v>
      </c>
      <c r="S32" s="51" t="n">
        <f aca="false">SUM(P32:R32)</f>
        <v>333</v>
      </c>
      <c r="T32" s="52"/>
      <c r="U32" s="51"/>
      <c r="V32" s="51" t="n">
        <v>113</v>
      </c>
      <c r="W32" s="6" t="n">
        <f aca="false">N32+O32+S32+U32+V32</f>
        <v>446</v>
      </c>
      <c r="X32" s="51" t="n">
        <f aca="false">IF(L32&lt;0,L32*-1,0)</f>
        <v>0</v>
      </c>
      <c r="Y32" s="51" t="n">
        <f aca="false">W32+X32</f>
        <v>446</v>
      </c>
      <c r="Z32" s="56" t="n">
        <v>0</v>
      </c>
      <c r="AA32" s="57"/>
      <c r="AB32" s="57"/>
      <c r="AC32" s="58" t="n">
        <v>23</v>
      </c>
      <c r="AD32" s="93" t="n">
        <f aca="false">IF(I32&gt;S32,I32-S32,I32-S32)</f>
        <v>77</v>
      </c>
      <c r="AE32" s="12"/>
      <c r="AF32" s="0"/>
      <c r="AG32" s="6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</row>
    <row r="33" customFormat="false" ht="11.1" hidden="false" customHeight="true" outlineLevel="0" collapsed="false">
      <c r="A33" s="58" t="n">
        <v>24</v>
      </c>
      <c r="B33" s="73" t="n">
        <v>6900.99</v>
      </c>
      <c r="C33" s="52" t="n">
        <v>287245</v>
      </c>
      <c r="D33" s="57" t="n">
        <f aca="false">C33-C32</f>
        <v>-37</v>
      </c>
      <c r="E33" s="52" t="n">
        <f aca="false">C33-152000</f>
        <v>135245</v>
      </c>
      <c r="F33" s="51" t="n">
        <f aca="false">D33/$D$2</f>
        <v>-18.6538946307033</v>
      </c>
      <c r="G33" s="51" t="n">
        <v>416</v>
      </c>
      <c r="H33" s="53" t="n">
        <v>0</v>
      </c>
      <c r="I33" s="51" t="n">
        <f aca="false">G33+H33</f>
        <v>416</v>
      </c>
      <c r="J33" s="81" t="n">
        <f aca="false">IF(L33&gt;0,L33,0)</f>
        <v>12.3461053692967</v>
      </c>
      <c r="K33" s="51" t="n">
        <f aca="false">I33+J33</f>
        <v>428.346105369297</v>
      </c>
      <c r="L33" s="51" t="n">
        <f aca="false">F33-(I33-W33)</f>
        <v>12.3461053692967</v>
      </c>
      <c r="M33" s="51" t="n">
        <v>113</v>
      </c>
      <c r="N33" s="100" t="n">
        <v>0</v>
      </c>
      <c r="O33" s="100" t="n">
        <v>0</v>
      </c>
      <c r="P33" s="6" t="n">
        <f aca="false">M33-(N33+O33)</f>
        <v>113</v>
      </c>
      <c r="Q33" s="51" t="n">
        <v>128</v>
      </c>
      <c r="R33" s="51" t="n">
        <v>93</v>
      </c>
      <c r="S33" s="51" t="n">
        <f aca="false">SUM(P33:R33)</f>
        <v>334</v>
      </c>
      <c r="T33" s="52"/>
      <c r="U33" s="51"/>
      <c r="V33" s="51" t="n">
        <v>113</v>
      </c>
      <c r="W33" s="6" t="n">
        <f aca="false">N33+O33+S33+U33+V33</f>
        <v>447</v>
      </c>
      <c r="X33" s="51" t="n">
        <f aca="false">IF(L33&lt;0,L33*-1,0)</f>
        <v>0</v>
      </c>
      <c r="Y33" s="51" t="n">
        <f aca="false">W33+X33</f>
        <v>447</v>
      </c>
      <c r="Z33" s="56" t="n">
        <v>0</v>
      </c>
      <c r="AA33" s="57"/>
      <c r="AB33" s="57"/>
      <c r="AC33" s="58" t="n">
        <v>24</v>
      </c>
      <c r="AD33" s="93" t="n">
        <f aca="false">IF(I33&gt;S33,I33-S33,I33-S33)</f>
        <v>82</v>
      </c>
      <c r="AE33" s="12"/>
      <c r="AF33" s="0"/>
      <c r="AG33" s="6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</row>
    <row r="34" customFormat="false" ht="11.1" hidden="false" customHeight="true" outlineLevel="0" collapsed="false">
      <c r="A34" s="58" t="n">
        <v>25</v>
      </c>
      <c r="B34" s="73" t="n">
        <v>6900.96</v>
      </c>
      <c r="C34" s="52" t="n">
        <v>287134</v>
      </c>
      <c r="D34" s="57" t="n">
        <f aca="false">C34-C33</f>
        <v>-111</v>
      </c>
      <c r="E34" s="52" t="n">
        <f aca="false">C34-152000</f>
        <v>135134</v>
      </c>
      <c r="F34" s="51" t="n">
        <f aca="false">D34/$D$2</f>
        <v>-55.9616838921099</v>
      </c>
      <c r="G34" s="51" t="n">
        <v>422</v>
      </c>
      <c r="H34" s="53" t="n">
        <v>0</v>
      </c>
      <c r="I34" s="51" t="n">
        <f aca="false">G34+H34</f>
        <v>422</v>
      </c>
      <c r="J34" s="81" t="n">
        <f aca="false">IF(L34&gt;0,L34,0)</f>
        <v>0</v>
      </c>
      <c r="K34" s="51" t="n">
        <f aca="false">I34+J34</f>
        <v>422</v>
      </c>
      <c r="L34" s="51" t="n">
        <f aca="false">F34-(I34-W34)</f>
        <v>-35.9616838921099</v>
      </c>
      <c r="M34" s="51" t="n">
        <v>112</v>
      </c>
      <c r="N34" s="100" t="n">
        <v>0</v>
      </c>
      <c r="O34" s="100" t="n">
        <v>0</v>
      </c>
      <c r="P34" s="6" t="n">
        <f aca="false">M34-(N34+O34)</f>
        <v>112</v>
      </c>
      <c r="Q34" s="51" t="n">
        <v>128</v>
      </c>
      <c r="R34" s="51" t="n">
        <v>90</v>
      </c>
      <c r="S34" s="51" t="n">
        <f aca="false">SUM(P34:R34)</f>
        <v>330</v>
      </c>
      <c r="T34" s="52"/>
      <c r="U34" s="51"/>
      <c r="V34" s="51" t="n">
        <v>112</v>
      </c>
      <c r="W34" s="6" t="n">
        <f aca="false">N34+O34+S34+U34+V34</f>
        <v>442</v>
      </c>
      <c r="X34" s="51" t="n">
        <f aca="false">IF(L34&lt;0,L34*-1,0)</f>
        <v>35.9616838921099</v>
      </c>
      <c r="Y34" s="51" t="n">
        <f aca="false">W34+X34</f>
        <v>477.96168389211</v>
      </c>
      <c r="Z34" s="56" t="n">
        <v>0</v>
      </c>
      <c r="AA34" s="57" t="n">
        <v>72</v>
      </c>
      <c r="AB34" s="57" t="n">
        <v>49</v>
      </c>
      <c r="AC34" s="58" t="n">
        <v>25</v>
      </c>
      <c r="AD34" s="93" t="n">
        <f aca="false">IF(I34&gt;S34,I34-S34,I34-S34)</f>
        <v>92</v>
      </c>
      <c r="AE34" s="12"/>
      <c r="AF34" s="0"/>
      <c r="AG34" s="6"/>
      <c r="AH34" s="0"/>
      <c r="AI34" s="0"/>
      <c r="AJ34" s="0"/>
      <c r="AK34" s="0"/>
      <c r="AL34" s="0"/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</row>
    <row r="35" customFormat="false" ht="11.1" hidden="false" customHeight="true" outlineLevel="0" collapsed="false">
      <c r="A35" s="58" t="n">
        <v>26</v>
      </c>
      <c r="B35" s="73" t="n">
        <v>6900.93</v>
      </c>
      <c r="C35" s="52" t="n">
        <v>287023</v>
      </c>
      <c r="D35" s="57" t="n">
        <f aca="false">C35-C34</f>
        <v>-111</v>
      </c>
      <c r="E35" s="52" t="n">
        <f aca="false">C35-152000</f>
        <v>135023</v>
      </c>
      <c r="F35" s="51" t="n">
        <f aca="false">D35/$D$2</f>
        <v>-55.9616838921099</v>
      </c>
      <c r="G35" s="51" t="n">
        <v>343</v>
      </c>
      <c r="H35" s="53" t="n">
        <v>0</v>
      </c>
      <c r="I35" s="51" t="n">
        <f aca="false">G35+H35</f>
        <v>343</v>
      </c>
      <c r="J35" s="81" t="n">
        <f aca="false">IF(L35&gt;0,L35,0)</f>
        <v>32.0383161078901</v>
      </c>
      <c r="K35" s="51" t="n">
        <f aca="false">I35+J35</f>
        <v>375.03831610789</v>
      </c>
      <c r="L35" s="51" t="n">
        <f aca="false">F35-(I35-W35)</f>
        <v>32.0383161078901</v>
      </c>
      <c r="M35" s="51" t="n">
        <v>109</v>
      </c>
      <c r="N35" s="100" t="n">
        <v>0</v>
      </c>
      <c r="O35" s="100" t="n">
        <v>0</v>
      </c>
      <c r="P35" s="6" t="n">
        <f aca="false">M35-(N35+O35)</f>
        <v>109</v>
      </c>
      <c r="Q35" s="51" t="n">
        <v>128</v>
      </c>
      <c r="R35" s="51" t="n">
        <v>85</v>
      </c>
      <c r="S35" s="51" t="n">
        <f aca="false">SUM(P35:R35)</f>
        <v>322</v>
      </c>
      <c r="T35" s="52"/>
      <c r="U35" s="51"/>
      <c r="V35" s="51" t="n">
        <v>109</v>
      </c>
      <c r="W35" s="6" t="n">
        <f aca="false">N35+O35+S35+U35+V35</f>
        <v>431</v>
      </c>
      <c r="X35" s="51" t="n">
        <f aca="false">IF(L35&lt;0,L35*-1,0)</f>
        <v>0</v>
      </c>
      <c r="Y35" s="51" t="n">
        <f aca="false">W35+X35</f>
        <v>431</v>
      </c>
      <c r="Z35" s="56" t="n">
        <v>0</v>
      </c>
      <c r="AA35" s="57" t="n">
        <v>76</v>
      </c>
      <c r="AB35" s="57" t="n">
        <v>50</v>
      </c>
      <c r="AC35" s="58" t="n">
        <v>26</v>
      </c>
      <c r="AD35" s="93" t="n">
        <f aca="false">IF(I35&gt;S35,I35-S35,I35-S35)</f>
        <v>21</v>
      </c>
      <c r="AE35" s="12"/>
      <c r="AF35" s="0"/>
      <c r="AG35" s="3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</row>
    <row r="36" customFormat="false" ht="11.1" hidden="false" customHeight="true" outlineLevel="0" collapsed="false">
      <c r="A36" s="58" t="n">
        <v>27</v>
      </c>
      <c r="B36" s="73" t="n">
        <v>6900.85</v>
      </c>
      <c r="C36" s="52" t="n">
        <v>286727</v>
      </c>
      <c r="D36" s="57" t="n">
        <f aca="false">C36-C35</f>
        <v>-296</v>
      </c>
      <c r="E36" s="52" t="n">
        <f aca="false">C36-152000</f>
        <v>134727</v>
      </c>
      <c r="F36" s="51" t="n">
        <f aca="false">D36/$D$2</f>
        <v>-149.231157045626</v>
      </c>
      <c r="G36" s="51" t="n">
        <v>321</v>
      </c>
      <c r="H36" s="53" t="n">
        <v>0</v>
      </c>
      <c r="I36" s="51" t="n">
        <f aca="false">G36+H36</f>
        <v>321</v>
      </c>
      <c r="J36" s="81" t="n">
        <f aca="false">IF(L36&gt;0,L36,0)</f>
        <v>0</v>
      </c>
      <c r="K36" s="51" t="n">
        <f aca="false">I36+J36</f>
        <v>321</v>
      </c>
      <c r="L36" s="51" t="n">
        <f aca="false">F36-(I36-W36)</f>
        <v>-42.2311570456264</v>
      </c>
      <c r="M36" s="51" t="n">
        <v>107</v>
      </c>
      <c r="N36" s="100" t="n">
        <v>0</v>
      </c>
      <c r="O36" s="100" t="n">
        <v>0</v>
      </c>
      <c r="P36" s="6" t="n">
        <f aca="false">M36-(N36+O36)</f>
        <v>107</v>
      </c>
      <c r="Q36" s="51" t="n">
        <v>128</v>
      </c>
      <c r="R36" s="51" t="n">
        <v>86</v>
      </c>
      <c r="S36" s="51" t="n">
        <f aca="false">SUM(P36:R36)</f>
        <v>321</v>
      </c>
      <c r="T36" s="52"/>
      <c r="U36" s="51"/>
      <c r="V36" s="51" t="n">
        <v>107</v>
      </c>
      <c r="W36" s="6" t="n">
        <f aca="false">N36+O36+S36+U36+V36</f>
        <v>428</v>
      </c>
      <c r="X36" s="51" t="n">
        <f aca="false">IF(L36&lt;0,L36*-1,0)</f>
        <v>42.2311570456264</v>
      </c>
      <c r="Y36" s="51" t="n">
        <f aca="false">W36+X36</f>
        <v>470.231157045626</v>
      </c>
      <c r="Z36" s="56" t="n">
        <v>0</v>
      </c>
      <c r="AA36" s="57" t="n">
        <v>80</v>
      </c>
      <c r="AB36" s="57" t="n">
        <v>52</v>
      </c>
      <c r="AC36" s="58" t="n">
        <v>27</v>
      </c>
      <c r="AD36" s="93" t="n">
        <f aca="false">IF(I36&gt;S36,I36-S36,I36-S36)</f>
        <v>0</v>
      </c>
      <c r="AE36" s="12"/>
      <c r="AF36" s="0"/>
      <c r="AG36" s="6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</row>
    <row r="37" customFormat="false" ht="11.1" hidden="false" customHeight="true" outlineLevel="0" collapsed="false">
      <c r="A37" s="178" t="n">
        <v>28</v>
      </c>
      <c r="B37" s="114" t="n">
        <v>6900.76</v>
      </c>
      <c r="C37" s="115" t="n">
        <v>286393</v>
      </c>
      <c r="D37" s="171" t="n">
        <f aca="false">C37-C36</f>
        <v>-334</v>
      </c>
      <c r="E37" s="115" t="n">
        <f aca="false">C37-152000</f>
        <v>134393</v>
      </c>
      <c r="F37" s="101" t="n">
        <f aca="false">D37/$D$2</f>
        <v>-168.389210990673</v>
      </c>
      <c r="G37" s="101" t="n">
        <v>293</v>
      </c>
      <c r="H37" s="179" t="n">
        <v>0</v>
      </c>
      <c r="I37" s="101" t="n">
        <f aca="false">G37+H37</f>
        <v>293</v>
      </c>
      <c r="J37" s="180" t="n">
        <f aca="false">IF(L37&gt;0,L37,0)</f>
        <v>0</v>
      </c>
      <c r="K37" s="101" t="n">
        <f aca="false">I37+J37</f>
        <v>293</v>
      </c>
      <c r="L37" s="101" t="n">
        <f aca="false">F37-(I37-W37)</f>
        <v>-43.389210990673</v>
      </c>
      <c r="M37" s="101" t="n">
        <v>104</v>
      </c>
      <c r="N37" s="100" t="n">
        <v>0</v>
      </c>
      <c r="O37" s="100" t="n">
        <v>0</v>
      </c>
      <c r="P37" s="6" t="n">
        <f aca="false">M37-(N37+O37)</f>
        <v>104</v>
      </c>
      <c r="Q37" s="101" t="n">
        <v>128</v>
      </c>
      <c r="R37" s="101" t="n">
        <v>82</v>
      </c>
      <c r="S37" s="101" t="n">
        <f aca="false">SUM(P37:R37)</f>
        <v>314</v>
      </c>
      <c r="T37" s="115"/>
      <c r="U37" s="101"/>
      <c r="V37" s="51" t="n">
        <v>104</v>
      </c>
      <c r="W37" s="6" t="n">
        <f aca="false">N37+O37+S37+U37+V37</f>
        <v>418</v>
      </c>
      <c r="X37" s="101" t="n">
        <f aca="false">IF(L37&lt;0,L37*-1,0)</f>
        <v>43.389210990673</v>
      </c>
      <c r="Y37" s="101" t="n">
        <f aca="false">W37+X37</f>
        <v>461.389210990673</v>
      </c>
      <c r="Z37" s="98" t="n">
        <v>0</v>
      </c>
      <c r="AA37" s="171" t="n">
        <v>76</v>
      </c>
      <c r="AB37" s="171" t="n">
        <v>53</v>
      </c>
      <c r="AC37" s="178" t="n">
        <v>28</v>
      </c>
      <c r="AD37" s="93" t="n">
        <f aca="false">IF(I37&gt;S37,I37-S37,I37-S37)</f>
        <v>-21</v>
      </c>
      <c r="AE37" s="12"/>
      <c r="AF37" s="0"/>
      <c r="AG37" s="6"/>
      <c r="AH37" s="0"/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/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</row>
    <row r="38" customFormat="false" ht="11.1" hidden="false" customHeight="true" outlineLevel="0" collapsed="false">
      <c r="A38" s="178" t="n">
        <v>29</v>
      </c>
      <c r="B38" s="114" t="n">
        <v>6900.68</v>
      </c>
      <c r="C38" s="115" t="n">
        <v>286097</v>
      </c>
      <c r="D38" s="171" t="n">
        <f aca="false">C38-C37</f>
        <v>-296</v>
      </c>
      <c r="E38" s="115" t="n">
        <f aca="false">C38-152000</f>
        <v>134097</v>
      </c>
      <c r="F38" s="101" t="n">
        <f aca="false">D38/$D$2</f>
        <v>-149.231157045626</v>
      </c>
      <c r="G38" s="101" t="n">
        <v>216</v>
      </c>
      <c r="H38" s="179" t="n">
        <v>0</v>
      </c>
      <c r="I38" s="101" t="n">
        <f aca="false">G38+H38</f>
        <v>216</v>
      </c>
      <c r="J38" s="180" t="n">
        <f aca="false">IF(L38&gt;0,L38,0)</f>
        <v>47.7688429543736</v>
      </c>
      <c r="K38" s="101" t="n">
        <f aca="false">I38+J38</f>
        <v>263.768842954374</v>
      </c>
      <c r="L38" s="101" t="n">
        <f aca="false">F38-(I38-W38)</f>
        <v>47.7688429543736</v>
      </c>
      <c r="M38" s="101" t="n">
        <v>101</v>
      </c>
      <c r="N38" s="100" t="n">
        <v>0</v>
      </c>
      <c r="O38" s="100" t="n">
        <v>0</v>
      </c>
      <c r="P38" s="6" t="n">
        <f aca="false">M38-(N38+O38)</f>
        <v>101</v>
      </c>
      <c r="Q38" s="101" t="n">
        <v>128</v>
      </c>
      <c r="R38" s="101" t="n">
        <v>83</v>
      </c>
      <c r="S38" s="101" t="n">
        <f aca="false">SUM(P38:R38)</f>
        <v>312</v>
      </c>
      <c r="T38" s="115"/>
      <c r="U38" s="101"/>
      <c r="V38" s="51" t="n">
        <v>101</v>
      </c>
      <c r="W38" s="6" t="n">
        <f aca="false">N38+O38+S38+U38+V38</f>
        <v>413</v>
      </c>
      <c r="X38" s="101" t="n">
        <f aca="false">IF(L38&lt;0,L38*-1,0)</f>
        <v>0</v>
      </c>
      <c r="Y38" s="101" t="n">
        <f aca="false">W38+X38</f>
        <v>413</v>
      </c>
      <c r="Z38" s="98" t="n">
        <v>0.08</v>
      </c>
      <c r="AA38" s="171" t="n">
        <v>65</v>
      </c>
      <c r="AB38" s="171" t="n">
        <v>50</v>
      </c>
      <c r="AC38" s="178" t="n">
        <v>29</v>
      </c>
      <c r="AD38" s="93" t="n">
        <f aca="false">IF(I38&gt;S38,I38-S38,I38-S38)</f>
        <v>-96</v>
      </c>
      <c r="AE38" s="12"/>
      <c r="AF38" s="0"/>
      <c r="AG38" s="6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</row>
    <row r="39" customFormat="false" ht="11.1" hidden="false" customHeight="true" outlineLevel="0" collapsed="false">
      <c r="A39" s="178" t="n">
        <v>30</v>
      </c>
      <c r="B39" s="114" t="n">
        <v>6900.56</v>
      </c>
      <c r="C39" s="115" t="n">
        <v>285653</v>
      </c>
      <c r="D39" s="171" t="n">
        <f aca="false">C39-C38</f>
        <v>-444</v>
      </c>
      <c r="E39" s="115" t="n">
        <f aca="false">C39-152000</f>
        <v>133653</v>
      </c>
      <c r="F39" s="101" t="n">
        <f aca="false">D39/$D$2</f>
        <v>-223.84673556844</v>
      </c>
      <c r="G39" s="101" t="n">
        <v>216</v>
      </c>
      <c r="H39" s="179" t="n">
        <v>0</v>
      </c>
      <c r="I39" s="101" t="n">
        <f aca="false">G39+H39</f>
        <v>216</v>
      </c>
      <c r="J39" s="180" t="n">
        <f aca="false">IF(L39&gt;0,L39,0)</f>
        <v>0</v>
      </c>
      <c r="K39" s="101" t="n">
        <f aca="false">I39+J39</f>
        <v>216</v>
      </c>
      <c r="L39" s="101" t="n">
        <f aca="false">F39-(I39-W39)</f>
        <v>-26.8467355684396</v>
      </c>
      <c r="M39" s="101" t="n">
        <v>101</v>
      </c>
      <c r="N39" s="100" t="n">
        <v>0</v>
      </c>
      <c r="O39" s="100" t="n">
        <v>0</v>
      </c>
      <c r="P39" s="6" t="n">
        <f aca="false">M39-(N39+O39)</f>
        <v>101</v>
      </c>
      <c r="Q39" s="101" t="n">
        <v>127</v>
      </c>
      <c r="R39" s="101" t="n">
        <v>84</v>
      </c>
      <c r="S39" s="101" t="n">
        <f aca="false">SUM(P39:R39)</f>
        <v>312</v>
      </c>
      <c r="T39" s="115"/>
      <c r="U39" s="101"/>
      <c r="V39" s="51" t="n">
        <v>101</v>
      </c>
      <c r="W39" s="6" t="n">
        <f aca="false">N39+O39+S39+U39+V39</f>
        <v>413</v>
      </c>
      <c r="X39" s="101" t="n">
        <f aca="false">IF(L39&lt;0,L39*-1,0)</f>
        <v>26.8467355684396</v>
      </c>
      <c r="Y39" s="101" t="n">
        <f aca="false">W39+X39</f>
        <v>439.84673556844</v>
      </c>
      <c r="Z39" s="98" t="n">
        <v>0</v>
      </c>
      <c r="AA39" s="171"/>
      <c r="AB39" s="171"/>
      <c r="AC39" s="178" t="n">
        <v>30</v>
      </c>
      <c r="AD39" s="93" t="n">
        <f aca="false">IF(I39&gt;S39,I39-S39,I39-S39)</f>
        <v>-96</v>
      </c>
      <c r="AE39" s="12"/>
      <c r="AF39" s="0"/>
      <c r="AG39" s="6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</row>
    <row r="40" customFormat="false" ht="11.25" hidden="false" customHeight="true" outlineLevel="0" collapsed="false">
      <c r="A40" s="178" t="n">
        <v>31</v>
      </c>
      <c r="B40" s="114" t="n">
        <v>6900.43</v>
      </c>
      <c r="C40" s="115" t="n">
        <v>285172</v>
      </c>
      <c r="D40" s="171" t="n">
        <f aca="false">C40-C39</f>
        <v>-481</v>
      </c>
      <c r="E40" s="115" t="n">
        <f aca="false">C40-152000</f>
        <v>133172</v>
      </c>
      <c r="F40" s="101" t="n">
        <f aca="false">D40/$D$2</f>
        <v>-242.500630199143</v>
      </c>
      <c r="G40" s="101" t="n">
        <v>197</v>
      </c>
      <c r="H40" s="179" t="n">
        <v>0</v>
      </c>
      <c r="I40" s="101" t="n">
        <f aca="false">G40+H40</f>
        <v>197</v>
      </c>
      <c r="J40" s="180" t="n">
        <f aca="false">IF(L40&gt;0,L40,0)</f>
        <v>0</v>
      </c>
      <c r="K40" s="101" t="n">
        <f aca="false">I40+J40</f>
        <v>197</v>
      </c>
      <c r="L40" s="101" t="n">
        <f aca="false">F40-(I40-W40)</f>
        <v>-26.5006301991429</v>
      </c>
      <c r="M40" s="101" t="n">
        <v>101</v>
      </c>
      <c r="N40" s="100" t="n">
        <v>0</v>
      </c>
      <c r="O40" s="101" t="n">
        <v>0</v>
      </c>
      <c r="P40" s="6" t="n">
        <f aca="false">M40-(N40+O40)</f>
        <v>101</v>
      </c>
      <c r="Q40" s="101" t="n">
        <v>127</v>
      </c>
      <c r="R40" s="101" t="n">
        <v>84</v>
      </c>
      <c r="S40" s="101" t="n">
        <f aca="false">SUM(P40:R40)</f>
        <v>312</v>
      </c>
      <c r="T40" s="115"/>
      <c r="U40" s="101"/>
      <c r="V40" s="51" t="n">
        <v>101</v>
      </c>
      <c r="W40" s="6" t="n">
        <f aca="false">N40+O40+S40+U40+V40</f>
        <v>413</v>
      </c>
      <c r="X40" s="101" t="n">
        <f aca="false">IF(L40&lt;0,L40*-1,0)</f>
        <v>26.5006301991429</v>
      </c>
      <c r="Y40" s="101" t="n">
        <f aca="false">W40+X40</f>
        <v>439.500630199143</v>
      </c>
      <c r="Z40" s="98" t="n">
        <v>0</v>
      </c>
      <c r="AA40" s="171"/>
      <c r="AB40" s="171"/>
      <c r="AC40" s="178" t="n">
        <v>31</v>
      </c>
      <c r="AD40" s="93" t="n">
        <f aca="false">IF(I40&gt;S40,I40-S40,I40-S40)</f>
        <v>-115</v>
      </c>
      <c r="AE40" s="105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/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77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6"/>
      <c r="U41" s="74"/>
      <c r="V41" s="74"/>
      <c r="W41" s="74"/>
      <c r="X41" s="74"/>
      <c r="Y41" s="74"/>
      <c r="Z41" s="78"/>
      <c r="AA41" s="79"/>
      <c r="AB41" s="79"/>
      <c r="AC41" s="80"/>
      <c r="AD41" s="92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-3742.37459037056</v>
      </c>
      <c r="G42" s="52" t="n">
        <f aca="false">SUM(G10:G40)</f>
        <v>9862</v>
      </c>
      <c r="H42" s="52" t="n">
        <f aca="false">SUM(H10:H40)</f>
        <v>0</v>
      </c>
      <c r="I42" s="52" t="n">
        <f aca="false">SUM(I10:I40)</f>
        <v>9862</v>
      </c>
      <c r="J42" s="52" t="n">
        <f aca="false">SUM(J10:J40)</f>
        <v>1352.8628686665</v>
      </c>
      <c r="K42" s="52" t="n">
        <f aca="false">SUM(K10:K40)</f>
        <v>11214.8628686665</v>
      </c>
      <c r="L42" s="52" t="n">
        <f aca="false">SUM(L10:L40)</f>
        <v>756.625409629443</v>
      </c>
      <c r="M42" s="52" t="n">
        <f aca="false">SUM(M10:M40)</f>
        <v>3566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3566</v>
      </c>
      <c r="Q42" s="52" t="n">
        <f aca="false">SUM(Q10:Q40)</f>
        <v>4420</v>
      </c>
      <c r="R42" s="52" t="n">
        <f aca="false">SUM(R10:R40)</f>
        <v>2809</v>
      </c>
      <c r="S42" s="52" t="n">
        <f aca="false">SUM(S10:S40)</f>
        <v>10795</v>
      </c>
      <c r="T42" s="52"/>
      <c r="U42" s="52" t="n">
        <f aca="false">SUM(U10:U40)</f>
        <v>0</v>
      </c>
      <c r="V42" s="52" t="n">
        <f aca="false">SUM(V10:V40)</f>
        <v>3566</v>
      </c>
      <c r="W42" s="52" t="n">
        <f aca="false">SUM(W10:W40)</f>
        <v>14361</v>
      </c>
      <c r="X42" s="52" t="n">
        <f aca="false">SUM(X10:X40)</f>
        <v>596.237459037056</v>
      </c>
      <c r="Y42" s="52" t="n">
        <f aca="false">SUM(Y10:Y40)</f>
        <v>14957.2374590371</v>
      </c>
      <c r="Z42" s="56" t="n">
        <f aca="false">SUM(Z10:Z40)</f>
        <v>0.63</v>
      </c>
      <c r="AA42" s="57" t="n">
        <f aca="false">AVERAGE(AA10:AA40)</f>
        <v>80.9047619047619</v>
      </c>
      <c r="AB42" s="57" t="n">
        <f aca="false">AVERAGE(AB10:AB40)</f>
        <v>51.7619047619048</v>
      </c>
      <c r="AC42" s="58" t="s">
        <v>71</v>
      </c>
      <c r="AD42" s="92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-7423</v>
      </c>
      <c r="E43" s="52"/>
      <c r="F43" s="52" t="n">
        <f aca="false">F42*$D$2</f>
        <v>-7423</v>
      </c>
      <c r="G43" s="52" t="n">
        <f aca="false">G42*$D$2</f>
        <v>19561.277</v>
      </c>
      <c r="H43" s="52" t="n">
        <f aca="false">H42*$D$2</f>
        <v>0</v>
      </c>
      <c r="I43" s="52" t="n">
        <f aca="false">I42*$D$2</f>
        <v>19561.277</v>
      </c>
      <c r="J43" s="52" t="n">
        <f aca="false">J42*$D$2</f>
        <v>2683.4035</v>
      </c>
      <c r="K43" s="52" t="n">
        <f aca="false">K42*$D$2</f>
        <v>22244.6805</v>
      </c>
      <c r="L43" s="52" t="n">
        <f aca="false">L42*$D$2</f>
        <v>1500.7665</v>
      </c>
      <c r="M43" s="52" t="n">
        <f aca="false">M42*$D$2</f>
        <v>7073.161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7073.161</v>
      </c>
      <c r="Q43" s="52" t="n">
        <f aca="false">Q42*$D$2</f>
        <v>8767.07</v>
      </c>
      <c r="R43" s="52" t="n">
        <f aca="false">R42*$D$2</f>
        <v>5571.6515</v>
      </c>
      <c r="S43" s="52" t="n">
        <f aca="false">S42*$D$2</f>
        <v>21411.8825</v>
      </c>
      <c r="T43" s="52"/>
      <c r="U43" s="52" t="n">
        <f aca="false">U42*$D$2</f>
        <v>0</v>
      </c>
      <c r="V43" s="52" t="n">
        <f aca="false">V42*$D$2</f>
        <v>7073.161</v>
      </c>
      <c r="W43" s="52" t="n">
        <f aca="false">W42*$D$2</f>
        <v>28485.0435</v>
      </c>
      <c r="X43" s="52" t="n">
        <f aca="false">X42*$D$2</f>
        <v>1182.637</v>
      </c>
      <c r="Y43" s="52" t="n">
        <f aca="false">Y42*$D$2</f>
        <v>29667.6805</v>
      </c>
      <c r="Z43" s="56"/>
      <c r="AA43" s="57" t="n">
        <f aca="false">MAX(AA10:AA40)</f>
        <v>89</v>
      </c>
      <c r="AB43" s="57" t="n">
        <f aca="false">MAX(AB10:AB40)</f>
        <v>59</v>
      </c>
      <c r="AC43" s="58" t="s">
        <v>47</v>
      </c>
      <c r="AD43" s="92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56"/>
      <c r="AA44" s="57"/>
      <c r="AB44" s="57"/>
      <c r="AC44" s="58"/>
      <c r="AD44" s="92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40131.5855810436</v>
      </c>
      <c r="G45" s="52" t="n">
        <f aca="false">G7+G42</f>
        <v>185826</v>
      </c>
      <c r="H45" s="52" t="n">
        <f aca="false">H7+H42</f>
        <v>11902</v>
      </c>
      <c r="I45" s="52" t="n">
        <f aca="false">I7+I42</f>
        <v>197728</v>
      </c>
      <c r="J45" s="52" t="n">
        <f aca="false">J7+J42</f>
        <v>39665.3952609024</v>
      </c>
      <c r="K45" s="52" t="n">
        <f aca="false">K7+K42</f>
        <v>237393.395260902</v>
      </c>
      <c r="L45" s="52" t="n">
        <f aca="false">L7+L42</f>
        <v>36848.5855810436</v>
      </c>
      <c r="M45" s="52" t="n">
        <f aca="false">M7+M42</f>
        <v>22498</v>
      </c>
      <c r="N45" s="52" t="n">
        <f aca="false">N7+N42</f>
        <v>0</v>
      </c>
      <c r="O45" s="52" t="n">
        <f aca="false">O7+O42</f>
        <v>0</v>
      </c>
      <c r="P45" s="52" t="n">
        <f aca="false">P7+P42</f>
        <v>22498</v>
      </c>
      <c r="Q45" s="52" t="n">
        <f aca="false">Q7+Q42</f>
        <v>19676</v>
      </c>
      <c r="R45" s="52" t="n">
        <f aca="false">R7+R42</f>
        <v>10529</v>
      </c>
      <c r="S45" s="52" t="n">
        <f aca="false">S7+S42</f>
        <v>52703</v>
      </c>
      <c r="T45" s="172" t="n">
        <f aca="false">T40</f>
        <v>0</v>
      </c>
      <c r="U45" s="52" t="n">
        <f aca="false">U7+U42</f>
        <v>0</v>
      </c>
      <c r="V45" s="52" t="n">
        <f aca="false">V7+V42</f>
        <v>141742</v>
      </c>
      <c r="W45" s="52" t="n">
        <f aca="false">W7+W42</f>
        <v>194445</v>
      </c>
      <c r="X45" s="52" t="n">
        <f aca="false">X7+X42</f>
        <v>2816.80967985884</v>
      </c>
      <c r="Y45" s="52" t="n">
        <f aca="false">Y7+Y42</f>
        <v>197261.809679859</v>
      </c>
      <c r="Z45" s="56"/>
      <c r="AA45" s="57" t="n">
        <f aca="false">MIN(AA10:AA40)</f>
        <v>65</v>
      </c>
      <c r="AB45" s="57" t="n">
        <f aca="false">MIN(AB10:AB40)</f>
        <v>46</v>
      </c>
      <c r="AC45" s="58" t="s">
        <v>49</v>
      </c>
      <c r="AD45" s="92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79601</v>
      </c>
      <c r="G46" s="52" t="n">
        <f aca="false">G45*$D$2</f>
        <v>368585.871</v>
      </c>
      <c r="H46" s="52" t="n">
        <f aca="false">H45*$D$2</f>
        <v>23607.617</v>
      </c>
      <c r="I46" s="52" t="n">
        <f aca="false">I45*$D$2</f>
        <v>392193.488</v>
      </c>
      <c r="J46" s="52" t="n">
        <f aca="false">J45*$D$2</f>
        <v>78676.3115</v>
      </c>
      <c r="K46" s="52" t="n">
        <f aca="false">K45*$D$2</f>
        <v>470869.7995</v>
      </c>
      <c r="L46" s="52" t="n">
        <f aca="false">L45*$D$2</f>
        <v>73089.1695</v>
      </c>
      <c r="M46" s="52" t="n">
        <f aca="false">M45*$D$2</f>
        <v>44624.783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44624.783</v>
      </c>
      <c r="Q46" s="52" t="n">
        <f aca="false">Q45*$D$2</f>
        <v>39027.346</v>
      </c>
      <c r="R46" s="52" t="n">
        <f aca="false">R45*$D$2</f>
        <v>20884.2715</v>
      </c>
      <c r="S46" s="52" t="n">
        <f aca="false">S45*$D$2</f>
        <v>104536.4005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281145.257</v>
      </c>
      <c r="W46" s="52" t="n">
        <f aca="false">W45*$D$2</f>
        <v>385681.6575</v>
      </c>
      <c r="X46" s="52" t="n">
        <f aca="false">X45*$D$2</f>
        <v>5587.142</v>
      </c>
      <c r="Y46" s="52" t="n">
        <f aca="false">Y45*$D$2</f>
        <v>391268.7995</v>
      </c>
      <c r="Z46" s="56"/>
      <c r="AA46" s="57"/>
      <c r="AB46" s="57"/>
      <c r="AC46" s="58"/>
      <c r="AD46" s="92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79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78"/>
      <c r="AA47" s="57"/>
      <c r="AB47" s="57"/>
      <c r="AC47" s="58"/>
      <c r="AD47" s="92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67117.7211998992</v>
      </c>
      <c r="G48" s="52" t="n">
        <f aca="false">G8+G42</f>
        <v>211406</v>
      </c>
      <c r="H48" s="57" t="n">
        <f aca="false">H8+H42</f>
        <v>14227.3</v>
      </c>
      <c r="I48" s="52" t="n">
        <f aca="false">I8+I42</f>
        <v>224285.5</v>
      </c>
      <c r="J48" s="52" t="n">
        <f aca="false">J8+J42</f>
        <v>53592.074993698</v>
      </c>
      <c r="K48" s="52" t="n">
        <f aca="false">K8+K42</f>
        <v>277877.574993698</v>
      </c>
      <c r="L48" s="52" t="n">
        <f aca="false">L8+L42</f>
        <v>49793.270607512</v>
      </c>
      <c r="M48" s="52" t="n">
        <f aca="false">M8+M42</f>
        <v>22808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22808</v>
      </c>
      <c r="Q48" s="52" t="n">
        <f aca="false">Q8+Q42</f>
        <v>20724</v>
      </c>
      <c r="R48" s="52" t="n">
        <f aca="false">R8+R42</f>
        <v>10604</v>
      </c>
      <c r="S48" s="52" t="n">
        <f aca="false">S8+S42</f>
        <v>56094.6589362238</v>
      </c>
      <c r="T48" s="52" t="n">
        <f aca="false">T45</f>
        <v>0</v>
      </c>
      <c r="U48" s="52" t="n">
        <f aca="false">U8+U42</f>
        <v>0</v>
      </c>
      <c r="V48" s="52" t="n">
        <f aca="false">V8+V42</f>
        <v>150866.390471389</v>
      </c>
      <c r="W48" s="52" t="n">
        <f aca="false">W8+W42</f>
        <v>206961.049407613</v>
      </c>
      <c r="X48" s="52" t="n">
        <f aca="false">X8+X42</f>
        <v>3798.80438618604</v>
      </c>
      <c r="Y48" s="52" t="n">
        <f aca="false">Y8+Y42</f>
        <v>210759.853793799</v>
      </c>
      <c r="Z48" s="56" t="n">
        <f aca="false">Z8+Z42</f>
        <v>16.85</v>
      </c>
      <c r="AA48" s="57"/>
      <c r="AB48" s="57"/>
      <c r="AC48" s="58"/>
      <c r="AD48" s="92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133128</v>
      </c>
      <c r="E49" s="52" t="n">
        <f aca="false">E40</f>
        <v>133172</v>
      </c>
      <c r="F49" s="52" t="n">
        <f aca="false">F48*$D$2</f>
        <v>133128</v>
      </c>
      <c r="G49" s="52" t="n">
        <f aca="false">G48*$D$2</f>
        <v>419323.801</v>
      </c>
      <c r="H49" s="57" t="n">
        <f aca="false">H48*$D$2</f>
        <v>28219.84955</v>
      </c>
      <c r="I49" s="52" t="n">
        <f aca="false">I48*$D$2</f>
        <v>444870.28925</v>
      </c>
      <c r="J49" s="52" t="n">
        <f aca="false">J48*$D$2</f>
        <v>106299.88075</v>
      </c>
      <c r="K49" s="52" t="n">
        <f aca="false">K48*$D$2</f>
        <v>551170.17</v>
      </c>
      <c r="L49" s="52" t="n">
        <f aca="false">L48*$D$2</f>
        <v>98764.95225</v>
      </c>
      <c r="M49" s="52" t="n">
        <f aca="false">M48*$D$2</f>
        <v>45239.668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45239.668</v>
      </c>
      <c r="Q49" s="52" t="n">
        <f aca="false">Q48*$D$2</f>
        <v>41106.054</v>
      </c>
      <c r="R49" s="52" t="n">
        <f aca="false">R48*$D$2</f>
        <v>21033.034</v>
      </c>
      <c r="S49" s="52" t="n">
        <f aca="false">S48*$D$2</f>
        <v>111263.756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299243.4855</v>
      </c>
      <c r="W49" s="52" t="n">
        <f aca="false">W48*$D$2</f>
        <v>410507.2415</v>
      </c>
      <c r="X49" s="52" t="n">
        <f aca="false">X48*$D$2</f>
        <v>7534.9285</v>
      </c>
      <c r="Y49" s="52" t="n">
        <f aca="false">Y48*$D$2</f>
        <v>418042.17</v>
      </c>
      <c r="Z49" s="56"/>
      <c r="AA49" s="57"/>
      <c r="AB49" s="57"/>
      <c r="AC49" s="58"/>
      <c r="AD49" s="92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77"/>
      <c r="I50" s="74"/>
      <c r="J50" s="74"/>
      <c r="K50" s="116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56"/>
      <c r="AA50" s="57"/>
      <c r="AB50" s="57"/>
      <c r="AC50" s="58"/>
      <c r="AD50" s="92"/>
      <c r="AE50" s="92"/>
      <c r="AF50" s="93"/>
    </row>
    <row r="51" customFormat="false" ht="11.1" hidden="false" customHeight="true" outlineLevel="0" collapsed="false">
      <c r="A51" s="181"/>
      <c r="B51" s="29" t="s">
        <v>81</v>
      </c>
      <c r="C51" s="7"/>
      <c r="D51" s="6"/>
      <c r="E51" s="138" t="n">
        <v>5698</v>
      </c>
      <c r="F51" s="0"/>
      <c r="G51" s="0"/>
      <c r="H51" s="11" t="s">
        <v>82</v>
      </c>
      <c r="I51" s="6"/>
      <c r="J51" s="6"/>
      <c r="K51" s="140"/>
      <c r="L51" s="52" t="n">
        <f aca="false">3500+2932</f>
        <v>6432</v>
      </c>
      <c r="M51" s="6"/>
      <c r="N51" s="6"/>
      <c r="O51" s="6"/>
      <c r="P51" s="6"/>
      <c r="Q51" s="6"/>
      <c r="R51" s="6"/>
      <c r="S51" s="6"/>
      <c r="T51" s="141"/>
      <c r="U51" s="6"/>
      <c r="V51" s="6" t="s">
        <v>91</v>
      </c>
      <c r="W51" s="173" t="s">
        <v>92</v>
      </c>
      <c r="X51" s="51"/>
      <c r="Y51" s="51"/>
      <c r="Z51" s="55"/>
      <c r="AA51" s="57"/>
      <c r="AB51" s="57"/>
      <c r="AC51" s="58"/>
      <c r="AD51" s="88"/>
      <c r="AE51" s="88"/>
    </row>
    <row r="52" customFormat="false" ht="11.1" hidden="false" customHeight="true" outlineLevel="0" collapsed="false">
      <c r="A52" s="51"/>
      <c r="B52" s="29" t="s">
        <v>83</v>
      </c>
      <c r="C52" s="7"/>
      <c r="D52" s="39"/>
      <c r="E52" s="120" t="e">
        <f aca="false">L54+O54+T54+U54+#REF!</f>
        <v>#REF!</v>
      </c>
      <c r="F52" s="142"/>
      <c r="G52" s="0"/>
      <c r="H52" s="11" t="s">
        <v>84</v>
      </c>
      <c r="I52" s="8"/>
      <c r="J52" s="6"/>
      <c r="K52" s="42"/>
      <c r="L52" s="81" t="n">
        <f aca="false">L51/210</f>
        <v>30.6285714285714</v>
      </c>
      <c r="M52" s="6"/>
      <c r="N52" s="6"/>
      <c r="O52" s="6"/>
      <c r="P52" s="143" t="s">
        <v>85</v>
      </c>
      <c r="Q52" s="144"/>
      <c r="R52" s="145"/>
      <c r="S52" s="146" t="n">
        <v>148</v>
      </c>
      <c r="T52" s="147" t="n">
        <f aca="false">16268+1368+4</f>
        <v>17640</v>
      </c>
      <c r="U52" s="141"/>
      <c r="V52" s="6"/>
      <c r="W52" s="7"/>
      <c r="X52" s="51"/>
      <c r="Y52" s="55"/>
      <c r="Z52" s="57"/>
      <c r="AA52" s="57"/>
      <c r="AB52" s="57"/>
      <c r="AC52" s="58"/>
      <c r="AD52" s="88"/>
      <c r="AE52" s="88"/>
    </row>
    <row r="53" customFormat="false" ht="11.1" hidden="false" customHeight="true" outlineLevel="0" collapsed="false">
      <c r="A53" s="82"/>
      <c r="B53" s="52"/>
      <c r="E53" s="120"/>
      <c r="F53" s="148"/>
      <c r="G53" s="0"/>
      <c r="H53" s="11" t="s">
        <v>86</v>
      </c>
      <c r="I53" s="39"/>
      <c r="J53" s="39"/>
      <c r="K53" s="149"/>
      <c r="L53" s="174" t="n">
        <f aca="false">214-S52</f>
        <v>66</v>
      </c>
      <c r="M53" s="37"/>
      <c r="N53" s="37"/>
      <c r="O53" s="151" t="n">
        <v>6289</v>
      </c>
      <c r="P53" s="152" t="s">
        <v>87</v>
      </c>
      <c r="Q53" s="153"/>
      <c r="R53" s="154"/>
      <c r="S53" s="155" t="n">
        <f aca="false">2932/210</f>
        <v>13.9619047619048</v>
      </c>
      <c r="T53" s="156" t="n">
        <f aca="false">S52*S53</f>
        <v>2066.3619047619</v>
      </c>
      <c r="U53" s="157" t="n">
        <f aca="false">14562+1946+600+15+25</f>
        <v>17148</v>
      </c>
      <c r="V53" s="7"/>
      <c r="W53" s="153"/>
      <c r="X53" s="82"/>
      <c r="Y53" s="55"/>
      <c r="Z53" s="57"/>
      <c r="AA53" s="57"/>
      <c r="AB53" s="58"/>
      <c r="AC53" s="97"/>
      <c r="AD53" s="97"/>
    </row>
    <row r="54" customFormat="false" ht="11.1" hidden="false" customHeight="true" outlineLevel="0" collapsed="false">
      <c r="A54" s="82"/>
      <c r="B54" s="158" t="s">
        <v>88</v>
      </c>
      <c r="C54" s="159"/>
      <c r="D54" s="159"/>
      <c r="E54" s="160" t="e">
        <f aca="false">E51-E52</f>
        <v>#REF!</v>
      </c>
      <c r="F54" s="0"/>
      <c r="G54" s="0"/>
      <c r="H54" s="52" t="s">
        <v>74</v>
      </c>
      <c r="I54" s="0"/>
      <c r="J54" s="39"/>
      <c r="K54" s="149"/>
      <c r="L54" s="57" t="n">
        <f aca="false">L53*L52</f>
        <v>2021.48571428571</v>
      </c>
      <c r="M54" s="37"/>
      <c r="N54" s="37"/>
      <c r="O54" s="57" t="n">
        <f aca="false">O53-O49</f>
        <v>5491.2363</v>
      </c>
      <c r="P54" s="161"/>
      <c r="Q54" s="162"/>
      <c r="R54" s="162"/>
      <c r="S54" s="163"/>
      <c r="T54" s="164" t="n">
        <f aca="false">(T52+T53)+T46</f>
        <v>19706.3619047619</v>
      </c>
      <c r="U54" s="52" t="n">
        <f aca="false">U53-U49</f>
        <v>17148</v>
      </c>
      <c r="V54" s="7"/>
      <c r="W54" s="52"/>
      <c r="X54" s="82"/>
      <c r="Y54" s="99" t="n">
        <f aca="false">DAYS360(7/24/2002,3/31/2003,FALSE())</f>
        <v>0</v>
      </c>
      <c r="Z54" s="57"/>
      <c r="AA54" s="57"/>
      <c r="AB54" s="58"/>
      <c r="AC54" s="97"/>
      <c r="AD54" s="97"/>
    </row>
    <row r="55" customFormat="false" ht="11.1" hidden="false" customHeight="true" outlineLevel="0" collapsed="false">
      <c r="A55" s="82"/>
      <c r="B55" s="82"/>
      <c r="C55" s="52"/>
      <c r="D55" s="82"/>
      <c r="E55" s="52"/>
      <c r="F55" s="82"/>
      <c r="G55" s="85"/>
      <c r="H55" s="53"/>
      <c r="I55" s="82"/>
      <c r="J55" s="82"/>
      <c r="K55" s="82"/>
      <c r="L55" s="82"/>
      <c r="M55" s="81"/>
      <c r="N55" s="81"/>
      <c r="O55" s="81"/>
      <c r="P55" s="82"/>
      <c r="Q55" s="82"/>
      <c r="R55" s="82"/>
      <c r="S55" s="0"/>
      <c r="T55" s="52"/>
      <c r="V55" s="52"/>
      <c r="W55" s="82"/>
      <c r="X55" s="82"/>
      <c r="Y55" s="55"/>
      <c r="Z55" s="56"/>
      <c r="AA55" s="57"/>
      <c r="AB55" s="58"/>
      <c r="AC55" s="97"/>
      <c r="AD55" s="97"/>
    </row>
    <row r="56" customFormat="false" ht="11.1" hidden="false" customHeight="true" outlineLevel="0" collapsed="false">
      <c r="Q56" s="182"/>
      <c r="S56" s="52"/>
      <c r="T56" s="52"/>
    </row>
    <row r="57" customFormat="false" ht="11.1" hidden="false" customHeight="true" outlineLevel="0" collapsed="false">
      <c r="Q57" s="182"/>
      <c r="S57" s="52"/>
      <c r="T57" s="52"/>
    </row>
    <row r="58" customFormat="false" ht="11.1" hidden="false" customHeight="true" outlineLevel="0" collapsed="false">
      <c r="S58" s="52"/>
      <c r="T58" s="52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H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0" activePane="bottomRight" state="frozen"/>
      <selection pane="topLeft" activeCell="A1" activeCellId="0" sqref="A1"/>
      <selection pane="topRight" activeCell="B1" activeCellId="0" sqref="B1"/>
      <selection pane="bottomLeft" activeCell="A20" activeCellId="0" sqref="A20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75" width="6.66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8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16"/>
    <col collapsed="false" customWidth="true" hidden="false" outlineLevel="0" max="17" min="17" style="44" width="6.16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6" width="5.32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53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6"/>
      <c r="AA1" s="57"/>
      <c r="AB1" s="58"/>
      <c r="AC1" s="88"/>
      <c r="AD1" s="183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53"/>
      <c r="I2" s="51"/>
      <c r="J2" s="51"/>
      <c r="K2" s="60" t="s">
        <v>96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6"/>
      <c r="AA2" s="57"/>
      <c r="AB2" s="58"/>
      <c r="AC2" s="88"/>
      <c r="AD2" s="183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53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6"/>
      <c r="AA3" s="57"/>
      <c r="AB3" s="58"/>
      <c r="AC3" s="88"/>
      <c r="AD3" s="183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64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65" t="s">
        <v>19</v>
      </c>
      <c r="AA4" s="66" t="s">
        <v>20</v>
      </c>
      <c r="AB4" s="66" t="s">
        <v>21</v>
      </c>
      <c r="AC4" s="66" t="s">
        <v>3</v>
      </c>
      <c r="AD4" s="184" t="s">
        <v>63</v>
      </c>
      <c r="AE4" s="88"/>
    </row>
    <row r="5" customFormat="false" ht="11.1" hidden="false" customHeight="true" outlineLevel="0" collapsed="false">
      <c r="A5" s="67" t="s">
        <v>97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64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68"/>
      <c r="AA5" s="66" t="s">
        <v>41</v>
      </c>
      <c r="AB5" s="66" t="s">
        <v>41</v>
      </c>
      <c r="AC5" s="69" t="s">
        <v>97</v>
      </c>
      <c r="AD5" s="184" t="s">
        <v>98</v>
      </c>
      <c r="AE5" s="88"/>
      <c r="AG5" s="177"/>
      <c r="AH5" s="177"/>
    </row>
    <row r="6" customFormat="false" ht="11.1" hidden="false" customHeight="true" outlineLevel="0" collapsed="false">
      <c r="A6" s="70"/>
      <c r="B6" s="70"/>
      <c r="C6" s="185"/>
      <c r="D6" s="70"/>
      <c r="E6" s="71"/>
      <c r="F6" s="70"/>
      <c r="G6" s="70"/>
      <c r="H6" s="72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6"/>
      <c r="AA6" s="58"/>
      <c r="AB6" s="58"/>
      <c r="AC6" s="58"/>
      <c r="AD6" s="186"/>
      <c r="AE6" s="92"/>
      <c r="AF6" s="93"/>
      <c r="AG6" s="177"/>
      <c r="AH6" s="177"/>
    </row>
    <row r="7" customFormat="false" ht="11.1" hidden="false" customHeight="true" outlineLevel="0" collapsed="false">
      <c r="A7" s="51" t="s">
        <v>42</v>
      </c>
      <c r="B7" s="51"/>
      <c r="C7" s="187"/>
      <c r="D7" s="52"/>
      <c r="E7" s="52"/>
      <c r="F7" s="52" t="n">
        <f aca="false">AUG!F45</f>
        <v>40131.5855810436</v>
      </c>
      <c r="G7" s="52" t="n">
        <f aca="false">AUG!G45</f>
        <v>185826</v>
      </c>
      <c r="H7" s="52" t="n">
        <f aca="false">AUG!H45</f>
        <v>11902</v>
      </c>
      <c r="I7" s="52" t="n">
        <f aca="false">AUG!I45</f>
        <v>197728</v>
      </c>
      <c r="J7" s="52" t="n">
        <f aca="false">AUG!J45</f>
        <v>39665.3952609024</v>
      </c>
      <c r="K7" s="52" t="n">
        <f aca="false">AUG!K45</f>
        <v>237393.395260902</v>
      </c>
      <c r="L7" s="52" t="n">
        <f aca="false">AUG!L45</f>
        <v>36848.5855810436</v>
      </c>
      <c r="M7" s="52" t="n">
        <f aca="false">AUG!M45</f>
        <v>22498</v>
      </c>
      <c r="N7" s="52" t="n">
        <f aca="false">AUG!N45</f>
        <v>0</v>
      </c>
      <c r="O7" s="52" t="n">
        <f aca="false">AUG!O45</f>
        <v>0</v>
      </c>
      <c r="P7" s="52" t="n">
        <f aca="false">AUG!P45</f>
        <v>22498</v>
      </c>
      <c r="Q7" s="52" t="n">
        <f aca="false">AUG!Q45</f>
        <v>19676</v>
      </c>
      <c r="R7" s="52" t="n">
        <f aca="false">AUG!R45</f>
        <v>10529</v>
      </c>
      <c r="S7" s="52" t="n">
        <f aca="false">AUG!S45</f>
        <v>52703</v>
      </c>
      <c r="T7" s="52" t="n">
        <f aca="false">AUG!T45</f>
        <v>0</v>
      </c>
      <c r="U7" s="52" t="n">
        <f aca="false">AUG!U45</f>
        <v>0</v>
      </c>
      <c r="V7" s="52" t="n">
        <f aca="false">AUG!V45</f>
        <v>141742</v>
      </c>
      <c r="W7" s="52" t="n">
        <f aca="false">AUG!W45</f>
        <v>194445</v>
      </c>
      <c r="X7" s="52" t="n">
        <f aca="false">AUG!X45</f>
        <v>2816.80967985884</v>
      </c>
      <c r="Y7" s="52" t="n">
        <f aca="false">AUG!Y45</f>
        <v>197261.809679859</v>
      </c>
      <c r="Z7" s="56"/>
      <c r="AA7" s="57"/>
      <c r="AB7" s="57"/>
      <c r="AC7" s="58"/>
      <c r="AD7" s="186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AUG!B40</f>
        <v>6900.43</v>
      </c>
      <c r="C8" s="52" t="n">
        <f aca="false">AUG!C40</f>
        <v>285172</v>
      </c>
      <c r="D8" s="52" t="n">
        <f aca="false">AUG!D49</f>
        <v>133128</v>
      </c>
      <c r="E8" s="52" t="n">
        <f aca="false">AUG!E49</f>
        <v>133172</v>
      </c>
      <c r="F8" s="52" t="n">
        <f aca="false">AUG!F48</f>
        <v>67117.7211998992</v>
      </c>
      <c r="G8" s="52" t="n">
        <f aca="false">AUG!G48</f>
        <v>211406</v>
      </c>
      <c r="H8" s="52" t="n">
        <f aca="false">AUG!H48</f>
        <v>14227.3</v>
      </c>
      <c r="I8" s="52" t="n">
        <f aca="false">AUG!I48</f>
        <v>224285.5</v>
      </c>
      <c r="J8" s="52" t="n">
        <f aca="false">AUG!J48</f>
        <v>53592.074993698</v>
      </c>
      <c r="K8" s="52" t="n">
        <f aca="false">AUG!K48</f>
        <v>277877.574993698</v>
      </c>
      <c r="L8" s="52" t="n">
        <f aca="false">AUG!L48</f>
        <v>49793.270607512</v>
      </c>
      <c r="M8" s="52" t="n">
        <f aca="false">AUG!M48</f>
        <v>22808</v>
      </c>
      <c r="N8" s="52" t="n">
        <f aca="false">AUG!N48</f>
        <v>0</v>
      </c>
      <c r="O8" s="52" t="n">
        <f aca="false">AUG!O48</f>
        <v>402.2</v>
      </c>
      <c r="P8" s="52" t="n">
        <f aca="false">AUG!P48</f>
        <v>22808</v>
      </c>
      <c r="Q8" s="52" t="n">
        <f aca="false">AUG!Q48</f>
        <v>20724</v>
      </c>
      <c r="R8" s="52" t="n">
        <f aca="false">AUG!R48</f>
        <v>10604</v>
      </c>
      <c r="S8" s="52" t="n">
        <f aca="false">AUG!S48</f>
        <v>56094.6589362238</v>
      </c>
      <c r="T8" s="52" t="n">
        <f aca="false">AUG!T48</f>
        <v>0</v>
      </c>
      <c r="U8" s="52" t="n">
        <f aca="false">AUG!U48</f>
        <v>0</v>
      </c>
      <c r="V8" s="52" t="n">
        <f aca="false">AUG!V48</f>
        <v>150866.390471389</v>
      </c>
      <c r="W8" s="52" t="n">
        <f aca="false">AUG!W48</f>
        <v>206961.049407613</v>
      </c>
      <c r="X8" s="52" t="n">
        <f aca="false">AUG!X48</f>
        <v>3798.80438618604</v>
      </c>
      <c r="Y8" s="52" t="n">
        <f aca="false">AUG!Y48</f>
        <v>210759.853793799</v>
      </c>
      <c r="Z8" s="56" t="n">
        <f aca="false">AUG!Z48</f>
        <v>16.85</v>
      </c>
      <c r="AA8" s="57"/>
      <c r="AB8" s="57"/>
      <c r="AC8" s="58"/>
      <c r="AD8" s="186"/>
      <c r="AE8" s="92"/>
      <c r="AF8" s="94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77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78"/>
      <c r="AA9" s="79" t="n">
        <v>0</v>
      </c>
      <c r="AB9" s="79"/>
      <c r="AC9" s="80"/>
      <c r="AD9" s="188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6900.3</v>
      </c>
      <c r="C10" s="52" t="n">
        <v>284690</v>
      </c>
      <c r="D10" s="57" t="n">
        <f aca="false">C10-C8</f>
        <v>-482</v>
      </c>
      <c r="E10" s="52" t="n">
        <f aca="false">C10-151978</f>
        <v>132712</v>
      </c>
      <c r="F10" s="51" t="n">
        <f aca="false">D10/$D$2</f>
        <v>-243.004789513486</v>
      </c>
      <c r="G10" s="51" t="n">
        <v>213</v>
      </c>
      <c r="H10" s="53" t="n">
        <v>0</v>
      </c>
      <c r="I10" s="51" t="n">
        <f aca="false">G10+H10</f>
        <v>213</v>
      </c>
      <c r="J10" s="81" t="n">
        <f aca="false">IF(L10&gt;0,L10,0)</f>
        <v>0</v>
      </c>
      <c r="K10" s="51" t="n">
        <f aca="false">I10+J10</f>
        <v>213</v>
      </c>
      <c r="L10" s="51" t="n">
        <f aca="false">F10-(I10-W10)</f>
        <v>-67.0047895134863</v>
      </c>
      <c r="M10" s="51" t="n">
        <v>101</v>
      </c>
      <c r="N10" s="51" t="n">
        <v>0</v>
      </c>
      <c r="O10" s="51" t="n">
        <v>0</v>
      </c>
      <c r="P10" s="6" t="n">
        <f aca="false">M10-(N10+O10)</f>
        <v>101</v>
      </c>
      <c r="Q10" s="51" t="n">
        <v>127</v>
      </c>
      <c r="R10" s="51" t="n">
        <v>83</v>
      </c>
      <c r="S10" s="51" t="n">
        <f aca="false">SUM(P10:R10)</f>
        <v>311</v>
      </c>
      <c r="T10" s="52"/>
      <c r="U10" s="51"/>
      <c r="V10" s="51" t="n">
        <v>78</v>
      </c>
      <c r="W10" s="6" t="n">
        <f aca="false">N10+O10+S10+U10+V10</f>
        <v>389</v>
      </c>
      <c r="X10" s="51" t="n">
        <f aca="false">IF(L10&lt;0,L10*-1,0)</f>
        <v>67.0047895134863</v>
      </c>
      <c r="Y10" s="51" t="n">
        <f aca="false">W10+X10</f>
        <v>456.004789513486</v>
      </c>
      <c r="Z10" s="56" t="n">
        <v>0</v>
      </c>
      <c r="AA10" s="57"/>
      <c r="AB10" s="57"/>
      <c r="AC10" s="58" t="n">
        <v>1</v>
      </c>
      <c r="AD10" s="186" t="n">
        <f aca="false">IF(I10&gt;S10,I10-S10,I10-S10)</f>
        <v>-98</v>
      </c>
      <c r="AE10" s="94"/>
      <c r="AF10" s="94"/>
    </row>
    <row r="11" customFormat="false" ht="11.1" hidden="false" customHeight="true" outlineLevel="0" collapsed="false">
      <c r="A11" s="58" t="n">
        <v>2</v>
      </c>
      <c r="B11" s="73" t="n">
        <v>6900.17</v>
      </c>
      <c r="C11" s="52" t="n">
        <v>284209</v>
      </c>
      <c r="D11" s="57" t="n">
        <f aca="false">C11-C10</f>
        <v>-481</v>
      </c>
      <c r="E11" s="52" t="n">
        <f aca="false">C11-151978</f>
        <v>132231</v>
      </c>
      <c r="F11" s="51" t="n">
        <f aca="false">D11/$D$2</f>
        <v>-242.500630199143</v>
      </c>
      <c r="G11" s="51" t="n">
        <v>191</v>
      </c>
      <c r="H11" s="53" t="n">
        <v>3</v>
      </c>
      <c r="I11" s="51" t="n">
        <f aca="false">G11+H11</f>
        <v>194</v>
      </c>
      <c r="J11" s="81" t="n">
        <f aca="false">IF(L11&gt;0,L11,0)</f>
        <v>0</v>
      </c>
      <c r="K11" s="51" t="n">
        <f aca="false">I11+J11</f>
        <v>194</v>
      </c>
      <c r="L11" s="51" t="n">
        <f aca="false">F11-(I11-W11)</f>
        <v>-46.5006301991429</v>
      </c>
      <c r="M11" s="51" t="n">
        <v>100</v>
      </c>
      <c r="N11" s="51" t="n">
        <v>0</v>
      </c>
      <c r="O11" s="51" t="n">
        <v>0</v>
      </c>
      <c r="P11" s="6" t="n">
        <f aca="false">M11-(N11+O11)</f>
        <v>100</v>
      </c>
      <c r="Q11" s="51" t="n">
        <v>127</v>
      </c>
      <c r="R11" s="51" t="n">
        <v>85</v>
      </c>
      <c r="S11" s="51" t="n">
        <f aca="false">SUM(P11:R11)</f>
        <v>312</v>
      </c>
      <c r="T11" s="52"/>
      <c r="U11" s="51"/>
      <c r="V11" s="51" t="n">
        <v>78</v>
      </c>
      <c r="W11" s="6" t="n">
        <f aca="false">N11+O11+S11+U11+V11</f>
        <v>390</v>
      </c>
      <c r="X11" s="51" t="n">
        <f aca="false">IF(L11&lt;0,L11*-1,0)</f>
        <v>46.5006301991429</v>
      </c>
      <c r="Y11" s="51" t="n">
        <f aca="false">W11+X11</f>
        <v>436.500630199143</v>
      </c>
      <c r="Z11" s="56" t="n">
        <v>0</v>
      </c>
      <c r="AA11" s="57" t="n">
        <v>75</v>
      </c>
      <c r="AB11" s="57" t="n">
        <v>50</v>
      </c>
      <c r="AC11" s="58" t="n">
        <v>2</v>
      </c>
      <c r="AD11" s="186" t="n">
        <f aca="false">IF(I11&gt;S11,I11-S11,I11-S11)</f>
        <v>-118</v>
      </c>
      <c r="AE11" s="94"/>
      <c r="AF11" s="94"/>
    </row>
    <row r="12" customFormat="false" ht="11.1" hidden="false" customHeight="true" outlineLevel="0" collapsed="false">
      <c r="A12" s="58" t="n">
        <v>3</v>
      </c>
      <c r="B12" s="73" t="n">
        <v>6900.03</v>
      </c>
      <c r="C12" s="52" t="n">
        <v>283691</v>
      </c>
      <c r="D12" s="57" t="n">
        <f aca="false">C12-C11</f>
        <v>-518</v>
      </c>
      <c r="E12" s="52" t="n">
        <f aca="false">C12-151978</f>
        <v>131713</v>
      </c>
      <c r="F12" s="51" t="n">
        <f aca="false">D12/$D$2</f>
        <v>-261.154524829846</v>
      </c>
      <c r="G12" s="51" t="n">
        <v>176</v>
      </c>
      <c r="H12" s="53" t="n">
        <v>4</v>
      </c>
      <c r="I12" s="51" t="n">
        <f aca="false">G12+H12</f>
        <v>180</v>
      </c>
      <c r="J12" s="81" t="n">
        <f aca="false">IF(L12&gt;0,L12,0)</f>
        <v>0</v>
      </c>
      <c r="K12" s="51" t="n">
        <f aca="false">I12+J12</f>
        <v>180</v>
      </c>
      <c r="L12" s="51" t="n">
        <f aca="false">F12-(I12-W12)</f>
        <v>-52.1545248298463</v>
      </c>
      <c r="M12" s="51" t="n">
        <v>100</v>
      </c>
      <c r="N12" s="51" t="n">
        <v>0</v>
      </c>
      <c r="O12" s="51" t="n">
        <v>0</v>
      </c>
      <c r="P12" s="6" t="n">
        <f aca="false">M12-(N12+O12)</f>
        <v>100</v>
      </c>
      <c r="Q12" s="51" t="n">
        <v>127</v>
      </c>
      <c r="R12" s="51" t="n">
        <v>84</v>
      </c>
      <c r="S12" s="51" t="n">
        <f aca="false">SUM(P12:R12)</f>
        <v>311</v>
      </c>
      <c r="T12" s="52"/>
      <c r="U12" s="51"/>
      <c r="V12" s="51" t="n">
        <v>78</v>
      </c>
      <c r="W12" s="6" t="n">
        <f aca="false">N12+O12+S12+U12+V12</f>
        <v>389</v>
      </c>
      <c r="X12" s="51" t="n">
        <f aca="false">IF(L12&lt;0,L12*-1,0)</f>
        <v>52.1545248298463</v>
      </c>
      <c r="Y12" s="51" t="n">
        <f aca="false">W12+X12</f>
        <v>441.154524829846</v>
      </c>
      <c r="Z12" s="56" t="n">
        <v>0</v>
      </c>
      <c r="AA12" s="57" t="n">
        <v>70</v>
      </c>
      <c r="AB12" s="57" t="n">
        <v>42</v>
      </c>
      <c r="AC12" s="58" t="n">
        <v>3</v>
      </c>
      <c r="AD12" s="186" t="n">
        <f aca="false">IF(I12&gt;S12,I12-S12,I12-S12)</f>
        <v>-131</v>
      </c>
      <c r="AE12" s="94"/>
      <c r="AF12" s="94"/>
    </row>
    <row r="13" customFormat="false" ht="11.1" hidden="false" customHeight="true" outlineLevel="0" collapsed="false">
      <c r="A13" s="58" t="n">
        <v>4</v>
      </c>
      <c r="B13" s="73" t="n">
        <v>6899.85</v>
      </c>
      <c r="C13" s="52" t="n">
        <v>283029</v>
      </c>
      <c r="D13" s="57" t="n">
        <f aca="false">C13-C12</f>
        <v>-662</v>
      </c>
      <c r="E13" s="52" t="n">
        <f aca="false">C13-151978</f>
        <v>131051</v>
      </c>
      <c r="F13" s="51" t="n">
        <f aca="false">D13/$D$2</f>
        <v>-333.753466095286</v>
      </c>
      <c r="G13" s="51" t="n">
        <v>156</v>
      </c>
      <c r="H13" s="53" t="n">
        <v>4</v>
      </c>
      <c r="I13" s="51" t="n">
        <f aca="false">G13+H13</f>
        <v>160</v>
      </c>
      <c r="J13" s="81" t="n">
        <f aca="false">IF(L13&gt;0,L13,0)</f>
        <v>0</v>
      </c>
      <c r="K13" s="51" t="n">
        <f aca="false">I13+J13</f>
        <v>160</v>
      </c>
      <c r="L13" s="51" t="n">
        <f aca="false">F13-(I13-W13)</f>
        <v>-115.753466095286</v>
      </c>
      <c r="M13" s="51" t="n">
        <v>100</v>
      </c>
      <c r="N13" s="51" t="n">
        <v>0</v>
      </c>
      <c r="O13" s="51" t="n">
        <v>0</v>
      </c>
      <c r="P13" s="6" t="n">
        <f aca="false">M13-(N13+O13)</f>
        <v>100</v>
      </c>
      <c r="Q13" s="51" t="n">
        <v>127</v>
      </c>
      <c r="R13" s="51" t="n">
        <v>73</v>
      </c>
      <c r="S13" s="51" t="n">
        <f aca="false">SUM(P13:R13)</f>
        <v>300</v>
      </c>
      <c r="T13" s="52"/>
      <c r="U13" s="51"/>
      <c r="V13" s="51" t="n">
        <v>78</v>
      </c>
      <c r="W13" s="6" t="n">
        <f aca="false">N13+O13+S13+U13+V13</f>
        <v>378</v>
      </c>
      <c r="X13" s="51" t="n">
        <f aca="false">IF(L13&lt;0,L13*-1,0)</f>
        <v>115.753466095286</v>
      </c>
      <c r="Y13" s="51" t="n">
        <f aca="false">W13+X13</f>
        <v>493.753466095286</v>
      </c>
      <c r="Z13" s="56" t="n">
        <v>0</v>
      </c>
      <c r="AA13" s="57" t="n">
        <v>73</v>
      </c>
      <c r="AB13" s="57" t="n">
        <v>44</v>
      </c>
      <c r="AC13" s="58" t="n">
        <v>4</v>
      </c>
      <c r="AD13" s="186" t="n">
        <f aca="false">IF(I13&gt;S13,I13-S13,I13-S13)</f>
        <v>-140</v>
      </c>
      <c r="AE13" s="94"/>
      <c r="AF13" s="94"/>
    </row>
    <row r="14" customFormat="false" ht="11.1" hidden="false" customHeight="true" outlineLevel="0" collapsed="false">
      <c r="A14" s="58" t="n">
        <v>5</v>
      </c>
      <c r="B14" s="73" t="n">
        <v>6899.69</v>
      </c>
      <c r="C14" s="52" t="n">
        <v>282441</v>
      </c>
      <c r="D14" s="57" t="n">
        <f aca="false">C14-C13</f>
        <v>-588</v>
      </c>
      <c r="E14" s="52" t="n">
        <f aca="false">C14-151978</f>
        <v>130463</v>
      </c>
      <c r="F14" s="51" t="n">
        <f aca="false">D14/$D$2</f>
        <v>-296.445676833879</v>
      </c>
      <c r="G14" s="51" t="n">
        <v>131</v>
      </c>
      <c r="H14" s="53" t="n">
        <v>2</v>
      </c>
      <c r="I14" s="51" t="n">
        <f aca="false">G14+H14</f>
        <v>133</v>
      </c>
      <c r="J14" s="81" t="n">
        <f aca="false">IF(L14&gt;0,L14,0)</f>
        <v>0</v>
      </c>
      <c r="K14" s="51" t="n">
        <f aca="false">I14+J14</f>
        <v>133</v>
      </c>
      <c r="L14" s="51" t="n">
        <f aca="false">F14-(I14-W14)</f>
        <v>-53.4456768338795</v>
      </c>
      <c r="M14" s="51" t="n">
        <v>100</v>
      </c>
      <c r="N14" s="51" t="n">
        <v>0</v>
      </c>
      <c r="O14" s="51" t="n">
        <v>0</v>
      </c>
      <c r="P14" s="6" t="n">
        <f aca="false">M14-(N14+O14)</f>
        <v>100</v>
      </c>
      <c r="Q14" s="51" t="n">
        <v>127</v>
      </c>
      <c r="R14" s="51" t="n">
        <v>72</v>
      </c>
      <c r="S14" s="51" t="n">
        <f aca="false">SUM(P14:R14)</f>
        <v>299</v>
      </c>
      <c r="T14" s="52"/>
      <c r="U14" s="51"/>
      <c r="V14" s="51" t="n">
        <v>77</v>
      </c>
      <c r="W14" s="6" t="n">
        <f aca="false">N14+O14+S14+U14+V14</f>
        <v>376</v>
      </c>
      <c r="X14" s="51" t="n">
        <f aca="false">IF(L14&lt;0,L14*-1,0)</f>
        <v>53.4456768338795</v>
      </c>
      <c r="Y14" s="51" t="n">
        <f aca="false">W14+X14</f>
        <v>429.445676833879</v>
      </c>
      <c r="Z14" s="56" t="n">
        <v>0</v>
      </c>
      <c r="AA14" s="57" t="n">
        <v>76</v>
      </c>
      <c r="AB14" s="57" t="n">
        <v>44</v>
      </c>
      <c r="AC14" s="58" t="n">
        <v>5</v>
      </c>
      <c r="AD14" s="186" t="n">
        <f aca="false">IF(I14&gt;S14,I14-S14,I14-S14)</f>
        <v>-166</v>
      </c>
      <c r="AE14" s="94"/>
      <c r="AF14" s="94"/>
    </row>
    <row r="15" customFormat="false" ht="11.1" hidden="false" customHeight="true" outlineLevel="0" collapsed="false">
      <c r="A15" s="58" t="n">
        <v>6</v>
      </c>
      <c r="B15" s="73" t="n">
        <v>6899.64</v>
      </c>
      <c r="C15" s="52" t="n">
        <v>282257</v>
      </c>
      <c r="D15" s="57" t="n">
        <f aca="false">C15-C14</f>
        <v>-184</v>
      </c>
      <c r="E15" s="52" t="n">
        <f aca="false">C15-151978</f>
        <v>130279</v>
      </c>
      <c r="F15" s="51" t="n">
        <f aca="false">D15/$D$2</f>
        <v>-92.7653138391732</v>
      </c>
      <c r="G15" s="51" t="n">
        <v>125</v>
      </c>
      <c r="H15" s="53" t="n">
        <v>0</v>
      </c>
      <c r="I15" s="51" t="n">
        <f aca="false">G15+H15</f>
        <v>125</v>
      </c>
      <c r="J15" s="81" t="n">
        <f aca="false">IF(L15&gt;0,L15,0)</f>
        <v>156.234686160827</v>
      </c>
      <c r="K15" s="51" t="n">
        <f aca="false">I15+J15</f>
        <v>281.234686160827</v>
      </c>
      <c r="L15" s="51" t="n">
        <f aca="false">F15-(I15-W15)</f>
        <v>156.234686160827</v>
      </c>
      <c r="M15" s="51" t="n">
        <v>100</v>
      </c>
      <c r="N15" s="51" t="n">
        <v>0</v>
      </c>
      <c r="O15" s="51" t="n">
        <v>0</v>
      </c>
      <c r="P15" s="6" t="n">
        <f aca="false">M15-(N15+O15)</f>
        <v>100</v>
      </c>
      <c r="Q15" s="51" t="n">
        <v>126</v>
      </c>
      <c r="R15" s="51" t="n">
        <v>71</v>
      </c>
      <c r="S15" s="51" t="n">
        <f aca="false">SUM(P15:R15)</f>
        <v>297</v>
      </c>
      <c r="T15" s="52"/>
      <c r="U15" s="51"/>
      <c r="V15" s="51" t="n">
        <v>77</v>
      </c>
      <c r="W15" s="6" t="n">
        <f aca="false">N15+O15+S15+U15+V15</f>
        <v>374</v>
      </c>
      <c r="X15" s="51" t="n">
        <f aca="false">IF(L15&lt;0,L15*-1,0)</f>
        <v>0</v>
      </c>
      <c r="Y15" s="51" t="n">
        <f aca="false">W15+X15</f>
        <v>374</v>
      </c>
      <c r="Z15" s="56" t="n">
        <v>0</v>
      </c>
      <c r="AA15" s="57"/>
      <c r="AB15" s="57"/>
      <c r="AC15" s="58" t="n">
        <v>6</v>
      </c>
      <c r="AD15" s="186" t="n">
        <f aca="false">IF(I15&gt;S15,I15-S15,I15-S15)</f>
        <v>-172</v>
      </c>
      <c r="AE15" s="94"/>
      <c r="AF15" s="94"/>
    </row>
    <row r="16" customFormat="false" ht="11.1" hidden="false" customHeight="true" outlineLevel="0" collapsed="false">
      <c r="A16" s="58" t="n">
        <v>7</v>
      </c>
      <c r="B16" s="73" t="n">
        <v>6899.43</v>
      </c>
      <c r="C16" s="52" t="n">
        <v>281486</v>
      </c>
      <c r="D16" s="57" t="n">
        <f aca="false">C16-C15</f>
        <v>-771</v>
      </c>
      <c r="E16" s="52" t="n">
        <f aca="false">C16-151978</f>
        <v>129508</v>
      </c>
      <c r="F16" s="51" t="n">
        <f aca="false">D16/$D$2</f>
        <v>-388.706831358709</v>
      </c>
      <c r="G16" s="51" t="n">
        <v>120</v>
      </c>
      <c r="H16" s="53" t="n">
        <v>0</v>
      </c>
      <c r="I16" s="51" t="n">
        <f aca="false">G16+H16</f>
        <v>120</v>
      </c>
      <c r="J16" s="81" t="n">
        <f aca="false">IF(L16&gt;0,L16,0)</f>
        <v>0</v>
      </c>
      <c r="K16" s="51" t="n">
        <f aca="false">I16+J16</f>
        <v>120</v>
      </c>
      <c r="L16" s="51" t="n">
        <f aca="false">F16-(I16-W16)</f>
        <v>-136.706831358709</v>
      </c>
      <c r="M16" s="51" t="n">
        <v>99</v>
      </c>
      <c r="N16" s="51" t="n">
        <v>0</v>
      </c>
      <c r="O16" s="51" t="n">
        <v>0</v>
      </c>
      <c r="P16" s="6" t="n">
        <f aca="false">M16-(N16+O16)</f>
        <v>99</v>
      </c>
      <c r="Q16" s="51" t="n">
        <v>126</v>
      </c>
      <c r="R16" s="51" t="n">
        <v>70</v>
      </c>
      <c r="S16" s="51" t="n">
        <f aca="false">SUM(P16:R16)</f>
        <v>295</v>
      </c>
      <c r="T16" s="52"/>
      <c r="U16" s="51"/>
      <c r="V16" s="51" t="n">
        <v>77</v>
      </c>
      <c r="W16" s="6" t="n">
        <f aca="false">N16+O16+S16+U16+V16</f>
        <v>372</v>
      </c>
      <c r="X16" s="51" t="n">
        <f aca="false">IF(L16&lt;0,L16*-1,0)</f>
        <v>136.706831358709</v>
      </c>
      <c r="Y16" s="51" t="n">
        <f aca="false">W16+X16</f>
        <v>508.706831358709</v>
      </c>
      <c r="Z16" s="56" t="n">
        <v>0</v>
      </c>
      <c r="AA16" s="57"/>
      <c r="AB16" s="57"/>
      <c r="AC16" s="58" t="n">
        <v>7</v>
      </c>
      <c r="AD16" s="186" t="n">
        <f aca="false">IF(I16&gt;S16,I16-S16,I16-S16)</f>
        <v>-175</v>
      </c>
      <c r="AE16" s="94"/>
      <c r="AF16" s="94"/>
    </row>
    <row r="17" customFormat="false" ht="11.1" hidden="false" customHeight="true" outlineLevel="0" collapsed="false">
      <c r="A17" s="58" t="n">
        <v>8</v>
      </c>
      <c r="B17" s="73" t="n">
        <v>6899.3</v>
      </c>
      <c r="C17" s="52" t="n">
        <v>281008</v>
      </c>
      <c r="D17" s="57" t="n">
        <f aca="false">C17-C16</f>
        <v>-478</v>
      </c>
      <c r="E17" s="52" t="n">
        <f aca="false">C17-151978</f>
        <v>129030</v>
      </c>
      <c r="F17" s="51" t="n">
        <f aca="false">D17/$D$2</f>
        <v>-240.988152256113</v>
      </c>
      <c r="G17" s="51" t="n">
        <v>124</v>
      </c>
      <c r="H17" s="53" t="n">
        <v>0</v>
      </c>
      <c r="I17" s="51" t="n">
        <f aca="false">G17+H17</f>
        <v>124</v>
      </c>
      <c r="J17" s="81" t="n">
        <f aca="false">IF(L17&gt;0,L17,0)</f>
        <v>5.01184774388707</v>
      </c>
      <c r="K17" s="51" t="n">
        <f aca="false">I17+J17</f>
        <v>129.011847743887</v>
      </c>
      <c r="L17" s="51" t="n">
        <f aca="false">F17-(I17-W17)</f>
        <v>5.01184774388707</v>
      </c>
      <c r="M17" s="51" t="n">
        <v>99</v>
      </c>
      <c r="N17" s="51" t="n">
        <v>0</v>
      </c>
      <c r="O17" s="51" t="n">
        <v>0</v>
      </c>
      <c r="P17" s="6" t="n">
        <f aca="false">M17-(N17+O17)</f>
        <v>99</v>
      </c>
      <c r="Q17" s="51" t="n">
        <v>125</v>
      </c>
      <c r="R17" s="51" t="n">
        <v>69</v>
      </c>
      <c r="S17" s="51" t="n">
        <f aca="false">SUM(P17:R17)</f>
        <v>293</v>
      </c>
      <c r="T17" s="52"/>
      <c r="U17" s="51"/>
      <c r="V17" s="51" t="n">
        <v>77</v>
      </c>
      <c r="W17" s="6" t="n">
        <f aca="false">N17+O17+S17+U17+V17</f>
        <v>370</v>
      </c>
      <c r="X17" s="51" t="n">
        <f aca="false">IF(L17&lt;0,L17*-1,0)</f>
        <v>0</v>
      </c>
      <c r="Y17" s="51" t="n">
        <f aca="false">W17+X17</f>
        <v>370</v>
      </c>
      <c r="Z17" s="56" t="n">
        <v>0.1</v>
      </c>
      <c r="AA17" s="57" t="n">
        <v>74</v>
      </c>
      <c r="AB17" s="57" t="n">
        <v>50</v>
      </c>
      <c r="AC17" s="58" t="n">
        <v>8</v>
      </c>
      <c r="AD17" s="186" t="n">
        <f aca="false">IF(I17&gt;S17,I17-S17,I17-S17)</f>
        <v>-169</v>
      </c>
      <c r="AE17" s="94"/>
      <c r="AF17" s="94"/>
    </row>
    <row r="18" customFormat="false" ht="11.1" hidden="false" customHeight="true" outlineLevel="0" collapsed="false">
      <c r="A18" s="58" t="n">
        <v>9</v>
      </c>
      <c r="B18" s="73" t="n">
        <v>6899.47</v>
      </c>
      <c r="C18" s="52" t="n">
        <v>281633</v>
      </c>
      <c r="D18" s="57" t="n">
        <f aca="false">C18-C17</f>
        <v>625</v>
      </c>
      <c r="E18" s="52" t="n">
        <f aca="false">C18-151978</f>
        <v>129655</v>
      </c>
      <c r="F18" s="51" t="n">
        <f aca="false">D18/$D$2</f>
        <v>315.099571464583</v>
      </c>
      <c r="G18" s="51" t="n">
        <v>243</v>
      </c>
      <c r="H18" s="53" t="n">
        <v>0</v>
      </c>
      <c r="I18" s="51" t="n">
        <f aca="false">G18+H18</f>
        <v>243</v>
      </c>
      <c r="J18" s="81" t="n">
        <f aca="false">IF(L18&gt;0,L18,0)</f>
        <v>425.099571464583</v>
      </c>
      <c r="K18" s="51" t="n">
        <f aca="false">I18+J18</f>
        <v>668.099571464583</v>
      </c>
      <c r="L18" s="51" t="n">
        <f aca="false">F18-(I18-W18)</f>
        <v>425.099571464583</v>
      </c>
      <c r="M18" s="51" t="n">
        <v>93</v>
      </c>
      <c r="N18" s="51" t="n">
        <v>0</v>
      </c>
      <c r="O18" s="51" t="n">
        <v>0</v>
      </c>
      <c r="P18" s="6" t="n">
        <f aca="false">M18-(N18+O18)</f>
        <v>93</v>
      </c>
      <c r="Q18" s="51" t="n">
        <v>112</v>
      </c>
      <c r="R18" s="51" t="n">
        <v>70</v>
      </c>
      <c r="S18" s="51" t="n">
        <f aca="false">SUM(P18:R18)</f>
        <v>275</v>
      </c>
      <c r="T18" s="52"/>
      <c r="U18" s="51"/>
      <c r="V18" s="51" t="n">
        <v>78</v>
      </c>
      <c r="W18" s="6" t="n">
        <f aca="false">N18+O18+S18+U18+V18</f>
        <v>353</v>
      </c>
      <c r="X18" s="51" t="n">
        <f aca="false">IF(L18&lt;0,L18*-1,0)</f>
        <v>0</v>
      </c>
      <c r="Y18" s="51" t="n">
        <f aca="false">W18+X18</f>
        <v>353</v>
      </c>
      <c r="Z18" s="56" t="n">
        <v>0.42</v>
      </c>
      <c r="AA18" s="57" t="n">
        <v>60</v>
      </c>
      <c r="AB18" s="57" t="n">
        <v>47</v>
      </c>
      <c r="AC18" s="58" t="n">
        <v>9</v>
      </c>
      <c r="AD18" s="186" t="n">
        <f aca="false">IF(I18&gt;S18,I18-S18,I18-S18)</f>
        <v>-32</v>
      </c>
      <c r="AE18" s="94"/>
      <c r="AF18" s="94"/>
    </row>
    <row r="19" customFormat="false" ht="11.1" hidden="false" customHeight="true" outlineLevel="0" collapsed="false">
      <c r="A19" s="58" t="n">
        <v>10</v>
      </c>
      <c r="B19" s="73" t="n">
        <v>6899.7</v>
      </c>
      <c r="C19" s="52" t="n">
        <v>282478</v>
      </c>
      <c r="D19" s="57" t="n">
        <f aca="false">C19-C18</f>
        <v>845</v>
      </c>
      <c r="E19" s="52" t="n">
        <f aca="false">C19-151978</f>
        <v>130500</v>
      </c>
      <c r="F19" s="51" t="n">
        <f aca="false">D19/$D$2</f>
        <v>426.014620620116</v>
      </c>
      <c r="G19" s="51" t="n">
        <v>629</v>
      </c>
      <c r="H19" s="53" t="n">
        <v>0</v>
      </c>
      <c r="I19" s="51" t="n">
        <f aca="false">G19+H19</f>
        <v>629</v>
      </c>
      <c r="J19" s="81" t="n">
        <f aca="false">IF(L19&gt;0,L19,0)</f>
        <v>111.014620620116</v>
      </c>
      <c r="K19" s="51" t="n">
        <f aca="false">I19+J19</f>
        <v>740.014620620116</v>
      </c>
      <c r="L19" s="51" t="n">
        <f aca="false">F19-(I19-W19)</f>
        <v>111.014620620116</v>
      </c>
      <c r="M19" s="51" t="n">
        <v>89</v>
      </c>
      <c r="N19" s="51" t="n">
        <v>0</v>
      </c>
      <c r="O19" s="51" t="n">
        <v>0</v>
      </c>
      <c r="P19" s="6" t="n">
        <f aca="false">M19-(N19+O19)</f>
        <v>89</v>
      </c>
      <c r="Q19" s="51" t="n">
        <v>112</v>
      </c>
      <c r="R19" s="51" t="n">
        <v>35</v>
      </c>
      <c r="S19" s="51" t="n">
        <f aca="false">SUM(P19:R19)</f>
        <v>236</v>
      </c>
      <c r="T19" s="52"/>
      <c r="U19" s="51"/>
      <c r="V19" s="51" t="n">
        <v>78</v>
      </c>
      <c r="W19" s="6" t="n">
        <f aca="false">N19+O19+S19+U19+V19</f>
        <v>314</v>
      </c>
      <c r="X19" s="51" t="n">
        <f aca="false">IF(L19&lt;0,L19*-1,0)</f>
        <v>0</v>
      </c>
      <c r="Y19" s="51" t="n">
        <f aca="false">W19+X19</f>
        <v>314</v>
      </c>
      <c r="Z19" s="56" t="n">
        <v>1.6</v>
      </c>
      <c r="AA19" s="57" t="n">
        <v>56</v>
      </c>
      <c r="AB19" s="57" t="n">
        <v>40</v>
      </c>
      <c r="AC19" s="58" t="n">
        <v>10</v>
      </c>
      <c r="AD19" s="186" t="n">
        <f aca="false">IF(I19&gt;S19,I19-S19,I19-S19)</f>
        <v>393</v>
      </c>
      <c r="AE19" s="94"/>
      <c r="AF19" s="94"/>
    </row>
    <row r="20" customFormat="false" ht="11.1" hidden="false" customHeight="true" outlineLevel="0" collapsed="false">
      <c r="A20" s="58" t="n">
        <v>11</v>
      </c>
      <c r="B20" s="73" t="n">
        <v>6899.71</v>
      </c>
      <c r="C20" s="52" t="n">
        <v>282515</v>
      </c>
      <c r="D20" s="57" t="n">
        <f aca="false">C20-C19</f>
        <v>37</v>
      </c>
      <c r="E20" s="52" t="n">
        <f aca="false">C20-151978</f>
        <v>130537</v>
      </c>
      <c r="F20" s="51" t="n">
        <f aca="false">D20/$D$2</f>
        <v>18.6538946307033</v>
      </c>
      <c r="G20" s="51" t="n">
        <v>389</v>
      </c>
      <c r="H20" s="53" t="n">
        <v>3</v>
      </c>
      <c r="I20" s="51" t="n">
        <f aca="false">G20+H20</f>
        <v>392</v>
      </c>
      <c r="J20" s="81" t="n">
        <f aca="false">IF(L20&gt;0,L20,0)</f>
        <v>0</v>
      </c>
      <c r="K20" s="51" t="n">
        <f aca="false">I20+J20</f>
        <v>392</v>
      </c>
      <c r="L20" s="51" t="n">
        <f aca="false">F20-(I20-W20)</f>
        <v>-79.3461053692967</v>
      </c>
      <c r="M20" s="51" t="n">
        <v>84</v>
      </c>
      <c r="N20" s="51" t="n">
        <v>0</v>
      </c>
      <c r="O20" s="51" t="n">
        <v>0</v>
      </c>
      <c r="P20" s="6" t="n">
        <f aca="false">M20-(N20+O20)</f>
        <v>84</v>
      </c>
      <c r="Q20" s="51" t="n">
        <v>116</v>
      </c>
      <c r="R20" s="51" t="n">
        <v>16</v>
      </c>
      <c r="S20" s="51" t="n">
        <f aca="false">SUM(P20:R20)</f>
        <v>216</v>
      </c>
      <c r="T20" s="52"/>
      <c r="U20" s="51"/>
      <c r="V20" s="51" t="n">
        <v>78</v>
      </c>
      <c r="W20" s="6" t="n">
        <f aca="false">N20+O20+S20+U20+V20</f>
        <v>294</v>
      </c>
      <c r="X20" s="51" t="n">
        <f aca="false">IF(L20&lt;0,L20*-1,0)</f>
        <v>79.3461053692967</v>
      </c>
      <c r="Y20" s="51" t="n">
        <f aca="false">W20+X20</f>
        <v>373.346105369297</v>
      </c>
      <c r="Z20" s="56" t="n">
        <v>0</v>
      </c>
      <c r="AA20" s="57" t="n">
        <v>61</v>
      </c>
      <c r="AB20" s="57" t="n">
        <v>33</v>
      </c>
      <c r="AC20" s="58" t="n">
        <v>11</v>
      </c>
      <c r="AD20" s="186" t="n">
        <f aca="false">IF(I20&gt;S20,I20-S20,I20-S20)</f>
        <v>176</v>
      </c>
      <c r="AE20" s="94"/>
      <c r="AF20" s="94"/>
    </row>
    <row r="21" customFormat="false" ht="11.1" hidden="false" customHeight="true" outlineLevel="0" collapsed="false">
      <c r="A21" s="58" t="n">
        <v>12</v>
      </c>
      <c r="B21" s="73" t="n">
        <v>6899.69</v>
      </c>
      <c r="C21" s="52" t="n">
        <v>282441</v>
      </c>
      <c r="D21" s="57" t="n">
        <f aca="false">C21-C20</f>
        <v>-74</v>
      </c>
      <c r="E21" s="52" t="n">
        <f aca="false">C21-151978</f>
        <v>130463</v>
      </c>
      <c r="F21" s="51" t="n">
        <f aca="false">D21/$D$2</f>
        <v>-37.3077892614066</v>
      </c>
      <c r="G21" s="51" t="n">
        <v>290</v>
      </c>
      <c r="H21" s="53" t="n">
        <v>10</v>
      </c>
      <c r="I21" s="51" t="n">
        <f aca="false">G21+H21</f>
        <v>300</v>
      </c>
      <c r="J21" s="81" t="n">
        <f aca="false">IF(L21&gt;0,L21,0)</f>
        <v>0</v>
      </c>
      <c r="K21" s="51" t="n">
        <f aca="false">I21+J21</f>
        <v>300</v>
      </c>
      <c r="L21" s="51" t="n">
        <f aca="false">F21-(I21-W21)</f>
        <v>-39.3077892614066</v>
      </c>
      <c r="M21" s="51" t="n">
        <v>74</v>
      </c>
      <c r="N21" s="51" t="n">
        <v>0</v>
      </c>
      <c r="O21" s="51" t="n">
        <v>0</v>
      </c>
      <c r="P21" s="6" t="n">
        <f aca="false">M21-(N21+O21)</f>
        <v>74</v>
      </c>
      <c r="Q21" s="51" t="n">
        <v>130</v>
      </c>
      <c r="R21" s="51" t="n">
        <v>16</v>
      </c>
      <c r="S21" s="51" t="n">
        <f aca="false">SUM(P21:R21)</f>
        <v>220</v>
      </c>
      <c r="T21" s="52"/>
      <c r="U21" s="51"/>
      <c r="V21" s="51" t="n">
        <v>78</v>
      </c>
      <c r="W21" s="6" t="n">
        <f aca="false">N21+O21+S21+U21+V21</f>
        <v>298</v>
      </c>
      <c r="X21" s="51" t="n">
        <f aca="false">IF(L21&lt;0,L21*-1,0)</f>
        <v>39.3077892614066</v>
      </c>
      <c r="Y21" s="51" t="n">
        <f aca="false">W21+X21</f>
        <v>337.307789261407</v>
      </c>
      <c r="Z21" s="56" t="n">
        <v>0</v>
      </c>
      <c r="AA21" s="57" t="n">
        <v>63</v>
      </c>
      <c r="AB21" s="57" t="n">
        <v>34</v>
      </c>
      <c r="AC21" s="58" t="n">
        <v>12</v>
      </c>
      <c r="AD21" s="186" t="n">
        <f aca="false">IF(I21&gt;S21,I21-S21,I21-S21)</f>
        <v>80</v>
      </c>
      <c r="AE21" s="94"/>
      <c r="AF21" s="94"/>
    </row>
    <row r="22" customFormat="false" ht="11.1" hidden="false" customHeight="true" outlineLevel="0" collapsed="false">
      <c r="A22" s="58" t="n">
        <v>13</v>
      </c>
      <c r="B22" s="73" t="n">
        <v>6899.63</v>
      </c>
      <c r="C22" s="52" t="n">
        <v>282221</v>
      </c>
      <c r="D22" s="57" t="n">
        <f aca="false">C22-C21</f>
        <v>-220</v>
      </c>
      <c r="E22" s="52" t="n">
        <f aca="false">C22-151978</f>
        <v>130243</v>
      </c>
      <c r="F22" s="51" t="n">
        <f aca="false">D22/$D$2</f>
        <v>-110.915049155533</v>
      </c>
      <c r="G22" s="51" t="n">
        <v>249</v>
      </c>
      <c r="H22" s="53" t="n">
        <v>10</v>
      </c>
      <c r="I22" s="51" t="n">
        <f aca="false">G22+H22</f>
        <v>259</v>
      </c>
      <c r="J22" s="81" t="n">
        <f aca="false">IF(L22&gt;0,L22,0)</f>
        <v>0</v>
      </c>
      <c r="K22" s="51" t="n">
        <f aca="false">I22+J22</f>
        <v>259</v>
      </c>
      <c r="L22" s="51" t="n">
        <f aca="false">F22-(I22-W22)</f>
        <v>-77.9150491555331</v>
      </c>
      <c r="M22" s="51" t="n">
        <v>70</v>
      </c>
      <c r="N22" s="51" t="n">
        <v>0</v>
      </c>
      <c r="O22" s="51" t="n">
        <v>0</v>
      </c>
      <c r="P22" s="6" t="n">
        <f aca="false">M22-(N22+O22)</f>
        <v>70</v>
      </c>
      <c r="Q22" s="51" t="n">
        <v>122</v>
      </c>
      <c r="R22" s="51" t="n">
        <v>22</v>
      </c>
      <c r="S22" s="51" t="n">
        <f aca="false">SUM(P22:R22)</f>
        <v>214</v>
      </c>
      <c r="T22" s="52"/>
      <c r="U22" s="51"/>
      <c r="V22" s="51" t="n">
        <v>78</v>
      </c>
      <c r="W22" s="6" t="n">
        <f aca="false">N22+O22+S22+U22+V22</f>
        <v>292</v>
      </c>
      <c r="X22" s="51" t="n">
        <f aca="false">IF(L22&lt;0,L22*-1,0)</f>
        <v>77.9150491555331</v>
      </c>
      <c r="Y22" s="51" t="n">
        <f aca="false">W22+X22</f>
        <v>369.915049155533</v>
      </c>
      <c r="Z22" s="56" t="n">
        <v>0</v>
      </c>
      <c r="AA22" s="57"/>
      <c r="AB22" s="57"/>
      <c r="AC22" s="58" t="n">
        <v>13</v>
      </c>
      <c r="AD22" s="186" t="n">
        <f aca="false">IF(I22&gt;S22,I22-S22,I22-S22)</f>
        <v>45</v>
      </c>
      <c r="AE22" s="94"/>
      <c r="AF22" s="94"/>
    </row>
    <row r="23" customFormat="false" ht="11.1" hidden="false" customHeight="true" outlineLevel="0" collapsed="false">
      <c r="A23" s="58" t="n">
        <v>14</v>
      </c>
      <c r="B23" s="73" t="n">
        <v>6899.58</v>
      </c>
      <c r="C23" s="52" t="n">
        <v>282237</v>
      </c>
      <c r="D23" s="57" t="n">
        <f aca="false">C23-C22</f>
        <v>16</v>
      </c>
      <c r="E23" s="52" t="n">
        <f aca="false">C23-151978</f>
        <v>130259</v>
      </c>
      <c r="F23" s="51" t="n">
        <f aca="false">D23/$D$2</f>
        <v>8.06654902949332</v>
      </c>
      <c r="G23" s="51" t="n">
        <v>221</v>
      </c>
      <c r="H23" s="53" t="n">
        <v>9</v>
      </c>
      <c r="I23" s="51" t="n">
        <f aca="false">G23+H23</f>
        <v>230</v>
      </c>
      <c r="J23" s="81" t="n">
        <f aca="false">IF(L23&gt;0,L23,0)</f>
        <v>87.0665490294933</v>
      </c>
      <c r="K23" s="51" t="n">
        <f aca="false">I23+J23</f>
        <v>317.066549029493</v>
      </c>
      <c r="L23" s="51" t="n">
        <f aca="false">F23-(I23-W23)</f>
        <v>87.0665490294933</v>
      </c>
      <c r="M23" s="51" t="n">
        <v>70</v>
      </c>
      <c r="N23" s="51" t="n">
        <v>0</v>
      </c>
      <c r="O23" s="51" t="n">
        <v>0</v>
      </c>
      <c r="P23" s="6" t="n">
        <f aca="false">M23-(N23+O23)</f>
        <v>70</v>
      </c>
      <c r="Q23" s="51" t="n">
        <v>124</v>
      </c>
      <c r="R23" s="51" t="n">
        <v>37</v>
      </c>
      <c r="S23" s="51" t="n">
        <f aca="false">SUM(P23:R23)</f>
        <v>231</v>
      </c>
      <c r="T23" s="52"/>
      <c r="U23" s="51"/>
      <c r="V23" s="51" t="n">
        <v>78</v>
      </c>
      <c r="W23" s="6" t="n">
        <f aca="false">N23+O23+S23+U23+V23</f>
        <v>309</v>
      </c>
      <c r="X23" s="51" t="n">
        <f aca="false">IF(L23&lt;0,L23*-1,0)</f>
        <v>0</v>
      </c>
      <c r="Y23" s="51" t="n">
        <f aca="false">W23+X23</f>
        <v>309</v>
      </c>
      <c r="Z23" s="56" t="n">
        <v>0</v>
      </c>
      <c r="AA23" s="57"/>
      <c r="AB23" s="57"/>
      <c r="AC23" s="58" t="n">
        <v>14</v>
      </c>
      <c r="AD23" s="186" t="n">
        <f aca="false">IF(I23&gt;S23,I23-S23,I23-S23)</f>
        <v>-1</v>
      </c>
      <c r="AE23" s="94"/>
      <c r="AF23" s="94"/>
    </row>
    <row r="24" customFormat="false" ht="11.1" hidden="false" customHeight="true" outlineLevel="0" collapsed="false">
      <c r="A24" s="58" t="n">
        <v>15</v>
      </c>
      <c r="B24" s="73" t="n">
        <v>6899.51</v>
      </c>
      <c r="C24" s="52" t="n">
        <v>281780</v>
      </c>
      <c r="D24" s="57" t="n">
        <f aca="false">C24-C23</f>
        <v>-457</v>
      </c>
      <c r="E24" s="52" t="n">
        <f aca="false">C24-151978</f>
        <v>129802</v>
      </c>
      <c r="F24" s="51" t="n">
        <f aca="false">D24/$D$2</f>
        <v>-230.400806654903</v>
      </c>
      <c r="G24" s="51" t="n">
        <v>188</v>
      </c>
      <c r="H24" s="53" t="n">
        <v>7</v>
      </c>
      <c r="I24" s="51" t="n">
        <f aca="false">G24+H24</f>
        <v>195</v>
      </c>
      <c r="J24" s="81" t="n">
        <f aca="false">IF(L24&gt;0,L24,0)</f>
        <v>0</v>
      </c>
      <c r="K24" s="51" t="n">
        <f aca="false">I24+J24</f>
        <v>195</v>
      </c>
      <c r="L24" s="51" t="n">
        <f aca="false">F24-(I24-W24)</f>
        <v>-117.400806654903</v>
      </c>
      <c r="M24" s="51" t="n">
        <v>68</v>
      </c>
      <c r="N24" s="51" t="n">
        <v>0</v>
      </c>
      <c r="O24" s="51" t="n">
        <v>0</v>
      </c>
      <c r="P24" s="6" t="n">
        <f aca="false">M24-(N24+O24)</f>
        <v>68</v>
      </c>
      <c r="Q24" s="51" t="n">
        <v>124</v>
      </c>
      <c r="R24" s="51" t="n">
        <v>38</v>
      </c>
      <c r="S24" s="51" t="n">
        <f aca="false">SUM(P24:R24)</f>
        <v>230</v>
      </c>
      <c r="T24" s="52"/>
      <c r="U24" s="51"/>
      <c r="V24" s="51" t="n">
        <v>78</v>
      </c>
      <c r="W24" s="6" t="n">
        <f aca="false">N24+O24+S24+U24+V24</f>
        <v>308</v>
      </c>
      <c r="X24" s="51" t="n">
        <f aca="false">IF(L24&lt;0,L24*-1,0)</f>
        <v>117.400806654903</v>
      </c>
      <c r="Y24" s="51" t="n">
        <f aca="false">W24+X24</f>
        <v>425.400806654903</v>
      </c>
      <c r="Z24" s="56" t="n">
        <v>0</v>
      </c>
      <c r="AA24" s="57" t="n">
        <v>73</v>
      </c>
      <c r="AB24" s="57" t="n">
        <v>35</v>
      </c>
      <c r="AC24" s="58" t="n">
        <v>15</v>
      </c>
      <c r="AD24" s="186" t="n">
        <f aca="false">IF(I24&gt;S24,I24-S24,I24-S24)</f>
        <v>-35</v>
      </c>
      <c r="AE24" s="94"/>
      <c r="AF24" s="94"/>
    </row>
    <row r="25" customFormat="false" ht="11.1" hidden="false" customHeight="true" outlineLevel="0" collapsed="false">
      <c r="A25" s="58" t="n">
        <v>16</v>
      </c>
      <c r="B25" s="73" t="n">
        <v>6899.39</v>
      </c>
      <c r="C25" s="52" t="n">
        <v>281339</v>
      </c>
      <c r="D25" s="57" t="n">
        <f aca="false">C25-C24</f>
        <v>-441</v>
      </c>
      <c r="E25" s="52" t="n">
        <f aca="false">C25-151978</f>
        <v>129361</v>
      </c>
      <c r="F25" s="51" t="n">
        <f aca="false">D25/$D$2</f>
        <v>-222.33425762541</v>
      </c>
      <c r="G25" s="51" t="n">
        <v>173</v>
      </c>
      <c r="H25" s="53" t="n">
        <v>5</v>
      </c>
      <c r="I25" s="51" t="n">
        <f aca="false">G25+H25</f>
        <v>178</v>
      </c>
      <c r="J25" s="81" t="n">
        <f aca="false">IF(L25&gt;0,L25,0)</f>
        <v>0</v>
      </c>
      <c r="K25" s="51" t="n">
        <f aca="false">I25+J25</f>
        <v>178</v>
      </c>
      <c r="L25" s="51" t="n">
        <f aca="false">F25-(I25-W25)</f>
        <v>-77.3342576254096</v>
      </c>
      <c r="M25" s="51" t="n">
        <v>65</v>
      </c>
      <c r="N25" s="51" t="n">
        <v>0</v>
      </c>
      <c r="O25" s="51" t="n">
        <v>0</v>
      </c>
      <c r="P25" s="6" t="n">
        <f aca="false">M25-(N25+O25)</f>
        <v>65</v>
      </c>
      <c r="Q25" s="51" t="n">
        <v>134</v>
      </c>
      <c r="R25" s="51" t="n">
        <v>45</v>
      </c>
      <c r="S25" s="51" t="n">
        <f aca="false">SUM(P25:R25)</f>
        <v>244</v>
      </c>
      <c r="T25" s="52"/>
      <c r="U25" s="51"/>
      <c r="V25" s="51" t="n">
        <v>79</v>
      </c>
      <c r="W25" s="6" t="n">
        <f aca="false">N25+O25+S25+U25+V25</f>
        <v>323</v>
      </c>
      <c r="X25" s="51" t="n">
        <f aca="false">IF(L25&lt;0,L25*-1,0)</f>
        <v>77.3342576254096</v>
      </c>
      <c r="Y25" s="51" t="n">
        <f aca="false">W25+X25</f>
        <v>400.33425762541</v>
      </c>
      <c r="Z25" s="56" t="n">
        <v>0</v>
      </c>
      <c r="AA25" s="57" t="n">
        <v>69</v>
      </c>
      <c r="AB25" s="57" t="n">
        <v>34</v>
      </c>
      <c r="AC25" s="58" t="n">
        <v>16</v>
      </c>
      <c r="AD25" s="186" t="n">
        <f aca="false">IF(I25&gt;S25,I25-S25,I25-S25)</f>
        <v>-66</v>
      </c>
      <c r="AE25" s="94"/>
      <c r="AF25" s="94"/>
    </row>
    <row r="26" customFormat="false" ht="11.1" hidden="false" customHeight="true" outlineLevel="0" collapsed="false">
      <c r="A26" s="58" t="n">
        <v>17</v>
      </c>
      <c r="B26" s="73" t="n">
        <v>6899.27</v>
      </c>
      <c r="C26" s="52" t="n">
        <v>280898</v>
      </c>
      <c r="D26" s="57" t="n">
        <f aca="false">C26-C25</f>
        <v>-441</v>
      </c>
      <c r="E26" s="52" t="n">
        <f aca="false">C26-151978</f>
        <v>128920</v>
      </c>
      <c r="F26" s="51" t="n">
        <f aca="false">D26/$D$2</f>
        <v>-222.33425762541</v>
      </c>
      <c r="G26" s="51" t="n">
        <v>170</v>
      </c>
      <c r="H26" s="53" t="n">
        <v>4</v>
      </c>
      <c r="I26" s="51" t="n">
        <f aca="false">G26+H26</f>
        <v>174</v>
      </c>
      <c r="J26" s="81" t="n">
        <f aca="false">IF(L26&gt;0,L26,0)</f>
        <v>0</v>
      </c>
      <c r="K26" s="51" t="n">
        <f aca="false">I26+J26</f>
        <v>174</v>
      </c>
      <c r="L26" s="51" t="n">
        <f aca="false">F26-(I26-W26)</f>
        <v>-67.3342576254096</v>
      </c>
      <c r="M26" s="51" t="n">
        <v>65</v>
      </c>
      <c r="N26" s="51" t="n">
        <v>0</v>
      </c>
      <c r="O26" s="51" t="n">
        <v>0</v>
      </c>
      <c r="P26" s="6" t="n">
        <f aca="false">M26-(N26+O26)</f>
        <v>65</v>
      </c>
      <c r="Q26" s="51" t="n">
        <v>133</v>
      </c>
      <c r="R26" s="51" t="n">
        <v>50</v>
      </c>
      <c r="S26" s="51" t="n">
        <f aca="false">SUM(P26:R26)</f>
        <v>248</v>
      </c>
      <c r="T26" s="52"/>
      <c r="U26" s="51"/>
      <c r="V26" s="51" t="n">
        <v>81</v>
      </c>
      <c r="W26" s="6" t="n">
        <f aca="false">N26+O26+S26+U26+V26</f>
        <v>329</v>
      </c>
      <c r="X26" s="51" t="n">
        <f aca="false">IF(L26&lt;0,L26*-1,0)</f>
        <v>67.3342576254096</v>
      </c>
      <c r="Y26" s="51" t="n">
        <f aca="false">W26+X26</f>
        <v>396.33425762541</v>
      </c>
      <c r="Z26" s="56" t="n">
        <v>0</v>
      </c>
      <c r="AA26" s="57" t="n">
        <v>69</v>
      </c>
      <c r="AB26" s="57" t="n">
        <v>34</v>
      </c>
      <c r="AC26" s="58" t="n">
        <v>17</v>
      </c>
      <c r="AD26" s="186" t="n">
        <f aca="false">IF(I26&gt;S26,I26-S26,I26-S26)</f>
        <v>-74</v>
      </c>
      <c r="AE26" s="94"/>
      <c r="AF26" s="94"/>
    </row>
    <row r="27" customFormat="false" ht="11.1" hidden="false" customHeight="true" outlineLevel="0" collapsed="false">
      <c r="A27" s="58" t="n">
        <v>18</v>
      </c>
      <c r="B27" s="73" t="n">
        <v>6899.16</v>
      </c>
      <c r="C27" s="52" t="n">
        <v>280494</v>
      </c>
      <c r="D27" s="57" t="n">
        <f aca="false">C27-C26</f>
        <v>-404</v>
      </c>
      <c r="E27" s="52" t="n">
        <f aca="false">C27-151978</f>
        <v>128516</v>
      </c>
      <c r="F27" s="51" t="n">
        <f aca="false">D27/$D$2</f>
        <v>-203.680362994706</v>
      </c>
      <c r="G27" s="51" t="n">
        <v>143</v>
      </c>
      <c r="H27" s="53" t="n">
        <v>3</v>
      </c>
      <c r="I27" s="51" t="n">
        <f aca="false">G27+H27</f>
        <v>146</v>
      </c>
      <c r="J27" s="81" t="n">
        <f aca="false">IF(L27&gt;0,L27,0)</f>
        <v>0</v>
      </c>
      <c r="K27" s="51" t="n">
        <f aca="false">I27+J27</f>
        <v>146</v>
      </c>
      <c r="L27" s="51" t="n">
        <f aca="false">F27-(I27-W27)</f>
        <v>-20.6803629947063</v>
      </c>
      <c r="M27" s="51" t="n">
        <v>65</v>
      </c>
      <c r="N27" s="51" t="n">
        <v>0</v>
      </c>
      <c r="O27" s="51" t="n">
        <v>0</v>
      </c>
      <c r="P27" s="6" t="n">
        <f aca="false">M27-(N27+O27)</f>
        <v>65</v>
      </c>
      <c r="Q27" s="51" t="n">
        <v>132</v>
      </c>
      <c r="R27" s="51" t="n">
        <v>51</v>
      </c>
      <c r="S27" s="51" t="n">
        <f aca="false">SUM(P27:R27)</f>
        <v>248</v>
      </c>
      <c r="T27" s="52"/>
      <c r="U27" s="51"/>
      <c r="V27" s="51" t="n">
        <v>81</v>
      </c>
      <c r="W27" s="6" t="n">
        <f aca="false">N27+O27+S27+U27+V27</f>
        <v>329</v>
      </c>
      <c r="X27" s="51" t="n">
        <f aca="false">IF(L27&lt;0,L27*-1,0)</f>
        <v>20.6803629947063</v>
      </c>
      <c r="Y27" s="51" t="n">
        <f aca="false">W27+X27</f>
        <v>349.680362994706</v>
      </c>
      <c r="Z27" s="56" t="n">
        <v>0</v>
      </c>
      <c r="AA27" s="57" t="n">
        <v>66</v>
      </c>
      <c r="AB27" s="57" t="n">
        <v>37</v>
      </c>
      <c r="AC27" s="58" t="n">
        <v>18</v>
      </c>
      <c r="AD27" s="186" t="n">
        <f aca="false">IF(I27&gt;S27,I27-S27,I27-S27)</f>
        <v>-102</v>
      </c>
      <c r="AE27" s="94"/>
      <c r="AF27" s="94"/>
    </row>
    <row r="28" customFormat="false" ht="11.1" hidden="false" customHeight="true" outlineLevel="0" collapsed="false">
      <c r="A28" s="58" t="n">
        <v>19</v>
      </c>
      <c r="B28" s="73" t="n">
        <v>6899.06</v>
      </c>
      <c r="C28" s="52" t="n">
        <v>280127</v>
      </c>
      <c r="D28" s="57" t="n">
        <f aca="false">C28-C27</f>
        <v>-367</v>
      </c>
      <c r="E28" s="52" t="n">
        <f aca="false">C28-151978</f>
        <v>128149</v>
      </c>
      <c r="F28" s="51" t="n">
        <f aca="false">D28/$D$2</f>
        <v>-185.026468364003</v>
      </c>
      <c r="G28" s="51" t="n">
        <v>135</v>
      </c>
      <c r="H28" s="53" t="n">
        <v>2</v>
      </c>
      <c r="I28" s="51" t="n">
        <f aca="false">G28+H28</f>
        <v>137</v>
      </c>
      <c r="J28" s="81" t="n">
        <f aca="false">IF(L28&gt;0,L28,0)</f>
        <v>6.97353163599698</v>
      </c>
      <c r="K28" s="51" t="n">
        <f aca="false">I28+J28</f>
        <v>143.973531635997</v>
      </c>
      <c r="L28" s="51" t="n">
        <f aca="false">F28-(I28-W28)</f>
        <v>6.97353163599698</v>
      </c>
      <c r="M28" s="51" t="n">
        <v>65</v>
      </c>
      <c r="N28" s="51" t="n">
        <v>0</v>
      </c>
      <c r="O28" s="51" t="n">
        <v>0</v>
      </c>
      <c r="P28" s="6" t="n">
        <f aca="false">M28-(N28+O28)</f>
        <v>65</v>
      </c>
      <c r="Q28" s="51" t="n">
        <v>132</v>
      </c>
      <c r="R28" s="51" t="n">
        <v>51</v>
      </c>
      <c r="S28" s="51" t="n">
        <f aca="false">SUM(P28:R28)</f>
        <v>248</v>
      </c>
      <c r="T28" s="52"/>
      <c r="U28" s="51"/>
      <c r="V28" s="51" t="n">
        <v>81</v>
      </c>
      <c r="W28" s="6" t="n">
        <f aca="false">N28+O28+S28+U28+V28</f>
        <v>329</v>
      </c>
      <c r="X28" s="51" t="n">
        <f aca="false">IF(L28&lt;0,L28*-1,0)</f>
        <v>0</v>
      </c>
      <c r="Y28" s="51" t="n">
        <f aca="false">W28+X28</f>
        <v>329</v>
      </c>
      <c r="Z28" s="56" t="n">
        <v>0</v>
      </c>
      <c r="AA28" s="57" t="n">
        <v>66</v>
      </c>
      <c r="AB28" s="57" t="n">
        <v>40</v>
      </c>
      <c r="AC28" s="58" t="n">
        <v>19</v>
      </c>
      <c r="AD28" s="186" t="n">
        <f aca="false">IF(I28&gt;S28,I28-S28,I28-S28)</f>
        <v>-111</v>
      </c>
      <c r="AE28" s="94"/>
      <c r="AF28" s="94"/>
    </row>
    <row r="29" customFormat="false" ht="11.1" hidden="false" customHeight="true" outlineLevel="0" collapsed="false">
      <c r="A29" s="58" t="n">
        <v>20</v>
      </c>
      <c r="B29" s="73" t="n">
        <v>6898.95</v>
      </c>
      <c r="C29" s="52" t="n">
        <v>279724</v>
      </c>
      <c r="D29" s="57" t="n">
        <f aca="false">C29-C28</f>
        <v>-403</v>
      </c>
      <c r="E29" s="52" t="n">
        <f aca="false">C29-151978</f>
        <v>127746</v>
      </c>
      <c r="F29" s="51" t="n">
        <f aca="false">D29/$D$2</f>
        <v>-203.176203680363</v>
      </c>
      <c r="G29" s="51" t="n">
        <v>131</v>
      </c>
      <c r="H29" s="53" t="n">
        <v>2</v>
      </c>
      <c r="I29" s="51" t="n">
        <f aca="false">G29+H29</f>
        <v>133</v>
      </c>
      <c r="J29" s="81" t="n">
        <f aca="false">IF(L29&gt;0,L29,0)</f>
        <v>0</v>
      </c>
      <c r="K29" s="51" t="n">
        <f aca="false">I29+J29</f>
        <v>133</v>
      </c>
      <c r="L29" s="51" t="n">
        <f aca="false">F29-(I29-W29)</f>
        <v>-6.17620368036299</v>
      </c>
      <c r="M29" s="51" t="n">
        <v>65</v>
      </c>
      <c r="N29" s="51" t="n">
        <v>0</v>
      </c>
      <c r="O29" s="51" t="n">
        <v>0</v>
      </c>
      <c r="P29" s="6" t="n">
        <f aca="false">M29-(N29+O29)</f>
        <v>65</v>
      </c>
      <c r="Q29" s="51" t="n">
        <v>132</v>
      </c>
      <c r="R29" s="51" t="n">
        <v>52</v>
      </c>
      <c r="S29" s="51" t="n">
        <f aca="false">SUM(P29:R29)</f>
        <v>249</v>
      </c>
      <c r="T29" s="52"/>
      <c r="U29" s="51"/>
      <c r="V29" s="51" t="n">
        <v>81</v>
      </c>
      <c r="W29" s="6" t="n">
        <f aca="false">N29+O29+S29+U29+V29</f>
        <v>330</v>
      </c>
      <c r="X29" s="51" t="n">
        <f aca="false">IF(L29&lt;0,L29*-1,0)</f>
        <v>6.17620368036299</v>
      </c>
      <c r="Y29" s="51" t="n">
        <f aca="false">W29+X29</f>
        <v>336.176203680363</v>
      </c>
      <c r="Z29" s="56" t="n">
        <v>0</v>
      </c>
      <c r="AA29" s="57" t="n">
        <v>60</v>
      </c>
      <c r="AB29" s="57" t="n">
        <v>49</v>
      </c>
      <c r="AC29" s="58" t="n">
        <v>20</v>
      </c>
      <c r="AD29" s="186" t="n">
        <f aca="false">IF(I29&gt;S29,I29-S29,I29-S29)</f>
        <v>-116</v>
      </c>
      <c r="AE29" s="94"/>
      <c r="AF29" s="94"/>
    </row>
    <row r="30" customFormat="false" ht="11.1" hidden="false" customHeight="true" outlineLevel="0" collapsed="false">
      <c r="A30" s="58" t="n">
        <v>21</v>
      </c>
      <c r="B30" s="73" t="n">
        <v>6898.81</v>
      </c>
      <c r="C30" s="52" t="n">
        <v>279214</v>
      </c>
      <c r="D30" s="57" t="n">
        <f aca="false">C30-C29</f>
        <v>-510</v>
      </c>
      <c r="E30" s="52" t="n">
        <f aca="false">C30-151978</f>
        <v>127236</v>
      </c>
      <c r="F30" s="51" t="n">
        <f aca="false">D30/$D$2</f>
        <v>-257.1212503151</v>
      </c>
      <c r="G30" s="51" t="n">
        <v>124</v>
      </c>
      <c r="H30" s="53" t="n">
        <v>2</v>
      </c>
      <c r="I30" s="51" t="n">
        <f aca="false">G30+H30</f>
        <v>126</v>
      </c>
      <c r="J30" s="81" t="n">
        <f aca="false">IF(L30&gt;0,L30,0)</f>
        <v>0</v>
      </c>
      <c r="K30" s="51" t="n">
        <f aca="false">I30+J30</f>
        <v>126</v>
      </c>
      <c r="L30" s="51" t="n">
        <f aca="false">F30-(I30-W30)</f>
        <v>-53.1212503150996</v>
      </c>
      <c r="M30" s="51" t="n">
        <v>65</v>
      </c>
      <c r="N30" s="51" t="n">
        <v>0</v>
      </c>
      <c r="O30" s="51" t="n">
        <v>0</v>
      </c>
      <c r="P30" s="6" t="n">
        <f aca="false">M30-(N30+O30)</f>
        <v>65</v>
      </c>
      <c r="Q30" s="51" t="n">
        <v>132</v>
      </c>
      <c r="R30" s="51" t="n">
        <v>52</v>
      </c>
      <c r="S30" s="51" t="n">
        <f aca="false">SUM(P30:R30)</f>
        <v>249</v>
      </c>
      <c r="T30" s="52"/>
      <c r="U30" s="51"/>
      <c r="V30" s="51" t="n">
        <v>81</v>
      </c>
      <c r="W30" s="6" t="n">
        <f aca="false">N30+O30+S30+U30+V30</f>
        <v>330</v>
      </c>
      <c r="X30" s="51" t="n">
        <f aca="false">IF(L30&lt;0,L30*-1,0)</f>
        <v>53.1212503150996</v>
      </c>
      <c r="Y30" s="51" t="n">
        <f aca="false">W30+X30</f>
        <v>383.1212503151</v>
      </c>
      <c r="Z30" s="56" t="n">
        <v>0.49</v>
      </c>
      <c r="AA30" s="57" t="n">
        <v>67</v>
      </c>
      <c r="AB30" s="57" t="n">
        <v>50</v>
      </c>
      <c r="AC30" s="58" t="n">
        <v>21</v>
      </c>
      <c r="AD30" s="186" t="n">
        <f aca="false">IF(I30&gt;S30,I30-S30,I30-S30)</f>
        <v>-123</v>
      </c>
      <c r="AE30" s="94"/>
      <c r="AF30" s="94"/>
    </row>
    <row r="31" customFormat="false" ht="11.1" hidden="false" customHeight="true" outlineLevel="0" collapsed="false">
      <c r="A31" s="58" t="n">
        <v>22</v>
      </c>
      <c r="B31" s="73" t="n">
        <v>6898.83</v>
      </c>
      <c r="C31" s="52" t="n">
        <v>279287</v>
      </c>
      <c r="D31" s="57" t="n">
        <f aca="false">C31-C30</f>
        <v>73</v>
      </c>
      <c r="E31" s="52" t="n">
        <f aca="false">C31-151978</f>
        <v>127309</v>
      </c>
      <c r="F31" s="51" t="n">
        <f aca="false">D31/$D$2</f>
        <v>36.8036299470633</v>
      </c>
      <c r="G31" s="51" t="n">
        <v>138</v>
      </c>
      <c r="H31" s="53" t="n">
        <v>3</v>
      </c>
      <c r="I31" s="51" t="n">
        <f aca="false">G31+H31</f>
        <v>141</v>
      </c>
      <c r="J31" s="81" t="n">
        <f aca="false">IF(L31&gt;0,L31,0)</f>
        <v>164.803629947063</v>
      </c>
      <c r="K31" s="51" t="n">
        <f aca="false">I31+J31</f>
        <v>305.803629947063</v>
      </c>
      <c r="L31" s="51" t="n">
        <f aca="false">F31-(I31-W31)</f>
        <v>164.803629947063</v>
      </c>
      <c r="M31" s="51" t="n">
        <v>65</v>
      </c>
      <c r="N31" s="51" t="n">
        <v>0</v>
      </c>
      <c r="O31" s="51" t="n">
        <v>0</v>
      </c>
      <c r="P31" s="6" t="n">
        <f aca="false">M31-(N31+O31)</f>
        <v>65</v>
      </c>
      <c r="Q31" s="51" t="n">
        <v>71</v>
      </c>
      <c r="R31" s="51" t="n">
        <v>52</v>
      </c>
      <c r="S31" s="51" t="n">
        <f aca="false">SUM(P31:R31)</f>
        <v>188</v>
      </c>
      <c r="T31" s="52"/>
      <c r="U31" s="51"/>
      <c r="V31" s="51" t="n">
        <v>81</v>
      </c>
      <c r="W31" s="6" t="n">
        <f aca="false">N31+O31+S31+U31+V31</f>
        <v>269</v>
      </c>
      <c r="X31" s="51" t="n">
        <f aca="false">IF(L31&lt;0,L31*-1,0)</f>
        <v>0</v>
      </c>
      <c r="Y31" s="51" t="n">
        <f aca="false">W31+X31</f>
        <v>269</v>
      </c>
      <c r="Z31" s="56" t="n">
        <v>0.42</v>
      </c>
      <c r="AA31" s="57" t="n">
        <v>56</v>
      </c>
      <c r="AB31" s="57" t="n">
        <v>44</v>
      </c>
      <c r="AC31" s="58" t="n">
        <v>22</v>
      </c>
      <c r="AD31" s="186" t="n">
        <f aca="false">IF(I31&gt;S31,I31-S31,I31-S31)</f>
        <v>-47</v>
      </c>
      <c r="AE31" s="94"/>
      <c r="AF31" s="94"/>
    </row>
    <row r="32" customFormat="false" ht="11.1" hidden="false" customHeight="true" outlineLevel="0" collapsed="false">
      <c r="A32" s="58" t="n">
        <v>23</v>
      </c>
      <c r="B32" s="73" t="n">
        <v>6899.07</v>
      </c>
      <c r="C32" s="52" t="n">
        <v>280164</v>
      </c>
      <c r="D32" s="57" t="n">
        <f aca="false">C32-C31</f>
        <v>877</v>
      </c>
      <c r="E32" s="52" t="n">
        <f aca="false">C32-151978</f>
        <v>128186</v>
      </c>
      <c r="F32" s="51" t="n">
        <f aca="false">D32/$D$2</f>
        <v>442.147718679103</v>
      </c>
      <c r="G32" s="51" t="n">
        <v>336</v>
      </c>
      <c r="H32" s="53" t="n">
        <v>4</v>
      </c>
      <c r="I32" s="51" t="n">
        <f aca="false">G32+H32</f>
        <v>340</v>
      </c>
      <c r="J32" s="81" t="n">
        <f aca="false">IF(L32&gt;0,L32,0)</f>
        <v>338.147718679103</v>
      </c>
      <c r="K32" s="51" t="n">
        <f aca="false">I32+J32</f>
        <v>678.147718679103</v>
      </c>
      <c r="L32" s="51" t="n">
        <f aca="false">F32-(I32-W32)</f>
        <v>338.147718679103</v>
      </c>
      <c r="M32" s="51" t="n">
        <v>59</v>
      </c>
      <c r="N32" s="51" t="n">
        <v>0</v>
      </c>
      <c r="O32" s="51" t="n">
        <v>0</v>
      </c>
      <c r="P32" s="6" t="n">
        <f aca="false">M32-(N32+O32)</f>
        <v>59</v>
      </c>
      <c r="Q32" s="51" t="n">
        <v>54</v>
      </c>
      <c r="R32" s="51" t="n">
        <v>43</v>
      </c>
      <c r="S32" s="51" t="n">
        <f aca="false">SUM(P32:R32)</f>
        <v>156</v>
      </c>
      <c r="T32" s="52"/>
      <c r="U32" s="51"/>
      <c r="V32" s="51" t="n">
        <v>80</v>
      </c>
      <c r="W32" s="6" t="n">
        <f aca="false">N32+O32+S32+U32+V32</f>
        <v>236</v>
      </c>
      <c r="X32" s="51" t="n">
        <f aca="false">IF(L32&lt;0,L32*-1,0)</f>
        <v>0</v>
      </c>
      <c r="Y32" s="51" t="n">
        <f aca="false">W32+X32</f>
        <v>236</v>
      </c>
      <c r="Z32" s="56" t="n">
        <v>1.39</v>
      </c>
      <c r="AA32" s="57" t="n">
        <v>58</v>
      </c>
      <c r="AB32" s="57" t="n">
        <v>42</v>
      </c>
      <c r="AC32" s="58" t="n">
        <v>23</v>
      </c>
      <c r="AD32" s="186" t="n">
        <f aca="false">IF(I32&gt;S32,I32-S32,I32-S32)</f>
        <v>184</v>
      </c>
      <c r="AE32" s="94"/>
      <c r="AF32" s="94"/>
    </row>
    <row r="33" customFormat="false" ht="11.1" hidden="false" customHeight="true" outlineLevel="0" collapsed="false">
      <c r="A33" s="58" t="n">
        <v>24</v>
      </c>
      <c r="B33" s="73" t="n">
        <v>6899.4</v>
      </c>
      <c r="C33" s="52" t="n">
        <v>281376</v>
      </c>
      <c r="D33" s="57" t="n">
        <f aca="false">C33-C32</f>
        <v>1212</v>
      </c>
      <c r="E33" s="52" t="n">
        <f aca="false">C33-151978</f>
        <v>129398</v>
      </c>
      <c r="F33" s="51" t="n">
        <f aca="false">D33/$D$2</f>
        <v>611.041088984119</v>
      </c>
      <c r="G33" s="51" t="n">
        <v>523</v>
      </c>
      <c r="H33" s="53" t="n">
        <v>24</v>
      </c>
      <c r="I33" s="51" t="n">
        <f aca="false">G33+H33</f>
        <v>547</v>
      </c>
      <c r="J33" s="81" t="n">
        <f aca="false">IF(L33&gt;0,L33,0)</f>
        <v>252.041088984119</v>
      </c>
      <c r="K33" s="51" t="n">
        <f aca="false">I33+J33</f>
        <v>799.041088984119</v>
      </c>
      <c r="L33" s="51" t="n">
        <f aca="false">F33-(I33-W33)</f>
        <v>252.041088984119</v>
      </c>
      <c r="M33" s="51" t="n">
        <v>34</v>
      </c>
      <c r="N33" s="51" t="n">
        <v>0</v>
      </c>
      <c r="O33" s="51" t="n">
        <v>0</v>
      </c>
      <c r="P33" s="6" t="n">
        <f aca="false">M33-(N33+O33)</f>
        <v>34</v>
      </c>
      <c r="Q33" s="51" t="n">
        <v>55</v>
      </c>
      <c r="R33" s="51" t="n">
        <v>16</v>
      </c>
      <c r="S33" s="51" t="n">
        <f aca="false">SUM(P33:R33)</f>
        <v>105</v>
      </c>
      <c r="T33" s="52"/>
      <c r="U33" s="51"/>
      <c r="V33" s="51" t="n">
        <v>83</v>
      </c>
      <c r="W33" s="6" t="n">
        <f aca="false">N33+O33+S33+U33+V33</f>
        <v>188</v>
      </c>
      <c r="X33" s="51" t="n">
        <f aca="false">IF(L33&lt;0,L33*-1,0)</f>
        <v>0</v>
      </c>
      <c r="Y33" s="51" t="n">
        <f aca="false">W33+X33</f>
        <v>188</v>
      </c>
      <c r="Z33" s="56" t="n">
        <v>0.68</v>
      </c>
      <c r="AA33" s="57" t="n">
        <v>42</v>
      </c>
      <c r="AB33" s="57" t="n">
        <v>38</v>
      </c>
      <c r="AC33" s="58" t="n">
        <v>24</v>
      </c>
      <c r="AD33" s="186" t="n">
        <f aca="false">IF(I33&gt;S33,I33-S33,I33-S33)</f>
        <v>442</v>
      </c>
      <c r="AE33" s="94"/>
      <c r="AF33" s="94"/>
    </row>
    <row r="34" customFormat="false" ht="11.1" hidden="false" customHeight="true" outlineLevel="0" collapsed="false">
      <c r="A34" s="58" t="n">
        <v>25</v>
      </c>
      <c r="B34" s="73" t="n">
        <v>6899.64</v>
      </c>
      <c r="C34" s="52" t="n">
        <v>282257</v>
      </c>
      <c r="D34" s="57" t="n">
        <f aca="false">C34-C33</f>
        <v>881</v>
      </c>
      <c r="E34" s="52" t="n">
        <f aca="false">C34-151978</f>
        <v>130279</v>
      </c>
      <c r="F34" s="51" t="n">
        <f aca="false">D34/$D$2</f>
        <v>444.164355936476</v>
      </c>
      <c r="G34" s="51" t="n">
        <v>447</v>
      </c>
      <c r="H34" s="53" t="n">
        <v>28</v>
      </c>
      <c r="I34" s="51" t="n">
        <f aca="false">G34+H34</f>
        <v>475</v>
      </c>
      <c r="J34" s="81" t="n">
        <f aca="false">IF(L34&gt;0,L34,0)</f>
        <v>134.164355936476</v>
      </c>
      <c r="K34" s="51" t="n">
        <f aca="false">I34+J34</f>
        <v>609.164355936476</v>
      </c>
      <c r="L34" s="51" t="n">
        <f aca="false">F34-(I34-W34)</f>
        <v>134.164355936476</v>
      </c>
      <c r="M34" s="51" t="n">
        <v>19</v>
      </c>
      <c r="N34" s="51" t="n">
        <v>0</v>
      </c>
      <c r="O34" s="51" t="n">
        <v>0</v>
      </c>
      <c r="P34" s="6" t="n">
        <f aca="false">M34-(N34+O34)</f>
        <v>19</v>
      </c>
      <c r="Q34" s="51" t="n">
        <v>54</v>
      </c>
      <c r="R34" s="51" t="n">
        <v>9</v>
      </c>
      <c r="S34" s="51" t="n">
        <f aca="false">SUM(P34:R34)</f>
        <v>82</v>
      </c>
      <c r="T34" s="52"/>
      <c r="U34" s="51"/>
      <c r="V34" s="51" t="n">
        <v>83</v>
      </c>
      <c r="W34" s="6" t="n">
        <f aca="false">N34+O34+S34+U34+V34</f>
        <v>165</v>
      </c>
      <c r="X34" s="51" t="n">
        <f aca="false">IF(L34&lt;0,L34*-1,0)</f>
        <v>0</v>
      </c>
      <c r="Y34" s="51" t="n">
        <f aca="false">W34+X34</f>
        <v>165</v>
      </c>
      <c r="Z34" s="56" t="n">
        <v>0.39</v>
      </c>
      <c r="AA34" s="57" t="n">
        <v>44</v>
      </c>
      <c r="AB34" s="57" t="n">
        <v>29</v>
      </c>
      <c r="AC34" s="58" t="n">
        <v>25</v>
      </c>
      <c r="AD34" s="186" t="n">
        <f aca="false">IF(I34&gt;S34,I34-S34,I34-S34)</f>
        <v>393</v>
      </c>
      <c r="AE34" s="94"/>
      <c r="AF34" s="94"/>
    </row>
    <row r="35" customFormat="false" ht="11.1" hidden="false" customHeight="true" outlineLevel="0" collapsed="false">
      <c r="A35" s="58" t="n">
        <v>26</v>
      </c>
      <c r="B35" s="73" t="n">
        <v>6899.78</v>
      </c>
      <c r="C35" s="52" t="n">
        <v>282772</v>
      </c>
      <c r="D35" s="57" t="n">
        <f aca="false">C35-C34</f>
        <v>515</v>
      </c>
      <c r="E35" s="52" t="n">
        <f aca="false">C35-151978</f>
        <v>130794</v>
      </c>
      <c r="F35" s="51" t="n">
        <f aca="false">D35/$D$2</f>
        <v>259.642046886816</v>
      </c>
      <c r="G35" s="51" t="n">
        <v>405</v>
      </c>
      <c r="H35" s="53" t="n">
        <v>28</v>
      </c>
      <c r="I35" s="51" t="n">
        <f aca="false">G35+H35</f>
        <v>433</v>
      </c>
      <c r="J35" s="81" t="n">
        <f aca="false">IF(L35&gt;0,L35,0)</f>
        <v>0</v>
      </c>
      <c r="K35" s="51" t="n">
        <f aca="false">I35+J35</f>
        <v>433</v>
      </c>
      <c r="L35" s="51" t="n">
        <f aca="false">F35-(I35-W35)</f>
        <v>-0.357953113183783</v>
      </c>
      <c r="M35" s="51" t="n">
        <v>21</v>
      </c>
      <c r="N35" s="51" t="n">
        <v>0</v>
      </c>
      <c r="O35" s="51" t="n">
        <v>0</v>
      </c>
      <c r="P35" s="6" t="n">
        <f aca="false">M35-(N35+O35)</f>
        <v>21</v>
      </c>
      <c r="Q35" s="51" t="n">
        <v>54</v>
      </c>
      <c r="R35" s="51" t="n">
        <v>17</v>
      </c>
      <c r="S35" s="51" t="n">
        <f aca="false">SUM(P35:R35)</f>
        <v>92</v>
      </c>
      <c r="T35" s="52"/>
      <c r="U35" s="51"/>
      <c r="V35" s="51" t="n">
        <v>81</v>
      </c>
      <c r="W35" s="6" t="n">
        <f aca="false">N35+O35+S35+U35+V35</f>
        <v>173</v>
      </c>
      <c r="X35" s="51" t="n">
        <f aca="false">IF(L35&lt;0,L35*-1,0)</f>
        <v>0.357953113183783</v>
      </c>
      <c r="Y35" s="51" t="n">
        <f aca="false">W35+X35</f>
        <v>173.357953113184</v>
      </c>
      <c r="Z35" s="56" t="n">
        <v>0</v>
      </c>
      <c r="AA35" s="57" t="n">
        <v>51</v>
      </c>
      <c r="AB35" s="57" t="n">
        <v>32</v>
      </c>
      <c r="AC35" s="58" t="n">
        <v>26</v>
      </c>
      <c r="AD35" s="186" t="n">
        <f aca="false">IF(I35&gt;S35,I35-S35,I35-S35)</f>
        <v>341</v>
      </c>
      <c r="AE35" s="94"/>
      <c r="AF35" s="94"/>
    </row>
    <row r="36" customFormat="false" ht="11.1" hidden="false" customHeight="true" outlineLevel="0" collapsed="false">
      <c r="A36" s="58" t="n">
        <v>27</v>
      </c>
      <c r="B36" s="73" t="n">
        <v>6899.9</v>
      </c>
      <c r="C36" s="52" t="n">
        <v>283212</v>
      </c>
      <c r="D36" s="57" t="n">
        <f aca="false">C36-C35</f>
        <v>440</v>
      </c>
      <c r="E36" s="52" t="n">
        <f aca="false">C36-151978</f>
        <v>131234</v>
      </c>
      <c r="F36" s="51" t="n">
        <f aca="false">D36/$D$2</f>
        <v>221.830098311066</v>
      </c>
      <c r="G36" s="51" t="n">
        <v>350</v>
      </c>
      <c r="H36" s="53" t="n">
        <v>24</v>
      </c>
      <c r="I36" s="51" t="n">
        <f aca="false">G36+H36</f>
        <v>374</v>
      </c>
      <c r="J36" s="81" t="n">
        <f aca="false">IF(L36&gt;0,L36,0)</f>
        <v>26.8300983110663</v>
      </c>
      <c r="K36" s="51" t="n">
        <f aca="false">I36+J36</f>
        <v>400.830098311066</v>
      </c>
      <c r="L36" s="51" t="n">
        <f aca="false">F36-(I36-W36)</f>
        <v>26.8300983110663</v>
      </c>
      <c r="M36" s="51" t="n">
        <v>24</v>
      </c>
      <c r="N36" s="51" t="n">
        <v>0</v>
      </c>
      <c r="O36" s="51" t="n">
        <v>0</v>
      </c>
      <c r="P36" s="6" t="n">
        <f aca="false">M36-(N36+O36)</f>
        <v>24</v>
      </c>
      <c r="Q36" s="51" t="n">
        <v>54</v>
      </c>
      <c r="R36" s="51" t="n">
        <v>20</v>
      </c>
      <c r="S36" s="51" t="n">
        <f aca="false">SUM(P36:R36)</f>
        <v>98</v>
      </c>
      <c r="T36" s="52"/>
      <c r="U36" s="51"/>
      <c r="V36" s="51" t="n">
        <v>81</v>
      </c>
      <c r="W36" s="6" t="n">
        <f aca="false">N36+O36+S36+U36+V36</f>
        <v>179</v>
      </c>
      <c r="X36" s="51" t="n">
        <f aca="false">IF(L36&lt;0,L36*-1,0)</f>
        <v>0</v>
      </c>
      <c r="Y36" s="51" t="n">
        <f aca="false">W36+X36</f>
        <v>179</v>
      </c>
      <c r="Z36" s="56" t="n">
        <v>0</v>
      </c>
      <c r="AA36" s="57" t="n">
        <v>58</v>
      </c>
      <c r="AB36" s="57" t="n">
        <v>36</v>
      </c>
      <c r="AC36" s="58" t="n">
        <v>27</v>
      </c>
      <c r="AD36" s="186" t="n">
        <f aca="false">IF(I36&gt;S36,I36-S36,I36-S36)</f>
        <v>276</v>
      </c>
      <c r="AE36" s="94"/>
      <c r="AF36" s="94"/>
    </row>
    <row r="37" customFormat="false" ht="11.1" hidden="false" customHeight="true" outlineLevel="0" collapsed="false">
      <c r="A37" s="58" t="n">
        <v>28</v>
      </c>
      <c r="B37" s="73" t="n">
        <v>6900.02</v>
      </c>
      <c r="C37" s="52" t="n">
        <v>283286</v>
      </c>
      <c r="D37" s="57" t="n">
        <f aca="false">C37-C36</f>
        <v>74</v>
      </c>
      <c r="E37" s="52" t="n">
        <f aca="false">C37-151978</f>
        <v>131308</v>
      </c>
      <c r="F37" s="51" t="n">
        <f aca="false">D37/$D$2</f>
        <v>37.3077892614066</v>
      </c>
      <c r="G37" s="51" t="n">
        <v>370</v>
      </c>
      <c r="H37" s="53" t="n">
        <v>25</v>
      </c>
      <c r="I37" s="51" t="n">
        <f aca="false">G37+H37</f>
        <v>395</v>
      </c>
      <c r="J37" s="81" t="n">
        <f aca="false">IF(L37&gt;0,L37,0)</f>
        <v>0</v>
      </c>
      <c r="K37" s="51" t="n">
        <f aca="false">I37+J37</f>
        <v>395</v>
      </c>
      <c r="L37" s="51" t="n">
        <f aca="false">F37-(I37-W37)</f>
        <v>-178.692210738593</v>
      </c>
      <c r="M37" s="51" t="n">
        <v>24</v>
      </c>
      <c r="N37" s="51" t="n">
        <v>0</v>
      </c>
      <c r="O37" s="51" t="n">
        <v>0</v>
      </c>
      <c r="P37" s="6" t="n">
        <f aca="false">M37-(N37+O37)</f>
        <v>24</v>
      </c>
      <c r="Q37" s="51" t="n">
        <v>54</v>
      </c>
      <c r="R37" s="51" t="n">
        <v>20</v>
      </c>
      <c r="S37" s="51" t="n">
        <f aca="false">SUM(P37:R37)</f>
        <v>98</v>
      </c>
      <c r="T37" s="52"/>
      <c r="U37" s="51"/>
      <c r="V37" s="51" t="n">
        <v>81</v>
      </c>
      <c r="W37" s="6" t="n">
        <f aca="false">N37+O37+S37+U37+V37</f>
        <v>179</v>
      </c>
      <c r="X37" s="51" t="n">
        <f aca="false">IF(L37&lt;0,L37*-1,0)</f>
        <v>178.692210738593</v>
      </c>
      <c r="Y37" s="51" t="n">
        <f aca="false">W37+X37</f>
        <v>357.692210738593</v>
      </c>
      <c r="Z37" s="56" t="n">
        <v>0</v>
      </c>
      <c r="AA37" s="57" t="n">
        <v>60</v>
      </c>
      <c r="AB37" s="57" t="n">
        <v>35</v>
      </c>
      <c r="AC37" s="58" t="n">
        <v>28</v>
      </c>
      <c r="AD37" s="186" t="n">
        <f aca="false">IF(I37&gt;S37,I37-S37,I37-S37)</f>
        <v>297</v>
      </c>
      <c r="AE37" s="94"/>
      <c r="AF37" s="94"/>
    </row>
    <row r="38" customFormat="false" ht="11.1" hidden="false" customHeight="true" outlineLevel="0" collapsed="false">
      <c r="A38" s="58" t="n">
        <v>29</v>
      </c>
      <c r="B38" s="73" t="n">
        <v>6900.19</v>
      </c>
      <c r="C38" s="52" t="n">
        <v>284283</v>
      </c>
      <c r="D38" s="57" t="n">
        <f aca="false">C38-C37</f>
        <v>997</v>
      </c>
      <c r="E38" s="52" t="n">
        <f aca="false">C38-151978</f>
        <v>132305</v>
      </c>
      <c r="F38" s="51" t="n">
        <f aca="false">D38/$D$2</f>
        <v>502.646836400303</v>
      </c>
      <c r="G38" s="51" t="n">
        <v>415</v>
      </c>
      <c r="H38" s="53" t="n">
        <v>33</v>
      </c>
      <c r="I38" s="51" t="n">
        <f aca="false">G38+H38</f>
        <v>448</v>
      </c>
      <c r="J38" s="81" t="n">
        <f aca="false">IF(L38&gt;0,L38,0)</f>
        <v>233.646836400302</v>
      </c>
      <c r="K38" s="51" t="n">
        <f aca="false">I38+J38</f>
        <v>681.646836400303</v>
      </c>
      <c r="L38" s="51" t="n">
        <f aca="false">F38-(I38-W38)</f>
        <v>233.646836400302</v>
      </c>
      <c r="M38" s="51" t="n">
        <v>24</v>
      </c>
      <c r="N38" s="51" t="n">
        <v>0</v>
      </c>
      <c r="O38" s="51" t="n">
        <v>0</v>
      </c>
      <c r="P38" s="6" t="n">
        <f aca="false">M38-(N38+O38)</f>
        <v>24</v>
      </c>
      <c r="Q38" s="51" t="n">
        <v>54</v>
      </c>
      <c r="R38" s="51" t="n">
        <v>21</v>
      </c>
      <c r="S38" s="51" t="n">
        <f aca="false">SUM(P38:R38)</f>
        <v>99</v>
      </c>
      <c r="T38" s="52"/>
      <c r="U38" s="51"/>
      <c r="V38" s="51" t="n">
        <v>80</v>
      </c>
      <c r="W38" s="6" t="n">
        <f aca="false">N38+O38+S38+U38+V38</f>
        <v>179</v>
      </c>
      <c r="X38" s="51" t="n">
        <f aca="false">IF(L38&lt;0,L38*-1,0)</f>
        <v>0</v>
      </c>
      <c r="Y38" s="51" t="n">
        <f aca="false">W38+X38</f>
        <v>179</v>
      </c>
      <c r="Z38" s="56" t="n">
        <v>0.25</v>
      </c>
      <c r="AA38" s="57" t="n">
        <v>51</v>
      </c>
      <c r="AB38" s="57" t="n">
        <v>36</v>
      </c>
      <c r="AC38" s="58" t="n">
        <v>29</v>
      </c>
      <c r="AD38" s="186" t="n">
        <f aca="false">IF(I38&gt;S38,I38-S38,I38-S38)</f>
        <v>349</v>
      </c>
      <c r="AE38" s="94"/>
      <c r="AF38" s="94"/>
    </row>
    <row r="39" customFormat="false" ht="11.1" hidden="false" customHeight="true" outlineLevel="0" collapsed="false">
      <c r="A39" s="58" t="n">
        <v>30</v>
      </c>
      <c r="B39" s="73" t="n">
        <v>6900.35</v>
      </c>
      <c r="C39" s="52" t="n">
        <v>284876</v>
      </c>
      <c r="D39" s="57" t="n">
        <f aca="false">C39-C38</f>
        <v>593</v>
      </c>
      <c r="E39" s="52" t="n">
        <f aca="false">C39-151978</f>
        <v>132898</v>
      </c>
      <c r="F39" s="51" t="n">
        <f aca="false">D39/$D$2</f>
        <v>298.966473405596</v>
      </c>
      <c r="G39" s="51" t="n">
        <v>382</v>
      </c>
      <c r="H39" s="53" t="n">
        <v>35</v>
      </c>
      <c r="I39" s="51" t="n">
        <f aca="false">G39+H39</f>
        <v>417</v>
      </c>
      <c r="J39" s="81" t="n">
        <f aca="false">IF(L39&gt;0,L39,0)</f>
        <v>65.9664734055962</v>
      </c>
      <c r="K39" s="51" t="n">
        <f aca="false">I39+J39</f>
        <v>482.966473405596</v>
      </c>
      <c r="L39" s="51" t="n">
        <f aca="false">F39-(I39-W39)</f>
        <v>65.9664734055962</v>
      </c>
      <c r="M39" s="51" t="n">
        <v>24</v>
      </c>
      <c r="N39" s="51" t="n">
        <v>0</v>
      </c>
      <c r="O39" s="51" t="n">
        <v>0</v>
      </c>
      <c r="P39" s="6" t="n">
        <f aca="false">M39-(N39+O39)</f>
        <v>24</v>
      </c>
      <c r="Q39" s="51" t="n">
        <v>54</v>
      </c>
      <c r="R39" s="51" t="n">
        <v>26</v>
      </c>
      <c r="S39" s="51" t="n">
        <f aca="false">SUM(P39:R39)</f>
        <v>104</v>
      </c>
      <c r="T39" s="52"/>
      <c r="U39" s="51"/>
      <c r="V39" s="51" t="n">
        <v>80</v>
      </c>
      <c r="W39" s="6" t="n">
        <f aca="false">N39+O39+S39+U39+V39</f>
        <v>184</v>
      </c>
      <c r="X39" s="51" t="n">
        <f aca="false">IF(L39&lt;0,L39*-1,0)</f>
        <v>0</v>
      </c>
      <c r="Y39" s="51" t="n">
        <f aca="false">W39+X39</f>
        <v>184</v>
      </c>
      <c r="Z39" s="56" t="n">
        <v>0</v>
      </c>
      <c r="AA39" s="171" t="n">
        <v>55</v>
      </c>
      <c r="AB39" s="57" t="n">
        <v>29</v>
      </c>
      <c r="AC39" s="58" t="n">
        <v>30</v>
      </c>
      <c r="AD39" s="186" t="n">
        <f aca="false">IF(I39&gt;S39,I39-S39,I39-S39)</f>
        <v>313</v>
      </c>
      <c r="AE39" s="94"/>
      <c r="AF39" s="94"/>
    </row>
    <row r="40" customFormat="false" ht="3" hidden="false" customHeight="true" outlineLevel="0" collapsed="false">
      <c r="A40" s="74"/>
      <c r="B40" s="74"/>
      <c r="C40" s="76"/>
      <c r="D40" s="74"/>
      <c r="E40" s="76"/>
      <c r="F40" s="74"/>
      <c r="G40" s="74"/>
      <c r="H40" s="77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6"/>
      <c r="U40" s="74"/>
      <c r="V40" s="74"/>
      <c r="W40" s="74"/>
      <c r="X40" s="74"/>
      <c r="Y40" s="74"/>
      <c r="Z40" s="78"/>
      <c r="AA40" s="79"/>
      <c r="AB40" s="79"/>
      <c r="AC40" s="80"/>
      <c r="AD40" s="188"/>
      <c r="AE40" s="92"/>
      <c r="AF40" s="93"/>
    </row>
    <row r="41" customFormat="false" ht="11.1" hidden="false" customHeight="true" outlineLevel="0" collapsed="false">
      <c r="A41" s="51" t="s">
        <v>44</v>
      </c>
      <c r="B41" s="51"/>
      <c r="C41" s="52"/>
      <c r="D41" s="52"/>
      <c r="E41" s="52"/>
      <c r="F41" s="52" t="n">
        <f aca="false">SUM(F10:F39)</f>
        <v>-149.231157045627</v>
      </c>
      <c r="G41" s="52" t="n">
        <f aca="false">SUM(G10:G39)</f>
        <v>7687</v>
      </c>
      <c r="H41" s="52" t="n">
        <f aca="false">SUM(H10:H39)</f>
        <v>274</v>
      </c>
      <c r="I41" s="52" t="n">
        <f aca="false">SUM(I10:I39)</f>
        <v>7961</v>
      </c>
      <c r="J41" s="52" t="n">
        <f aca="false">SUM(J10:J39)</f>
        <v>2007.00100831863</v>
      </c>
      <c r="K41" s="52" t="n">
        <f aca="false">SUM(K10:K39)</f>
        <v>9968.00100831863</v>
      </c>
      <c r="L41" s="52" t="n">
        <f aca="false">SUM(L10:L39)</f>
        <v>817.768842954373</v>
      </c>
      <c r="M41" s="52" t="n">
        <f aca="false">SUM(M10:M39)</f>
        <v>2031</v>
      </c>
      <c r="N41" s="52" t="n">
        <f aca="false">SUM(N10:N39)</f>
        <v>0</v>
      </c>
      <c r="O41" s="52" t="n">
        <f aca="false">SUM(O10:O39)</f>
        <v>0</v>
      </c>
      <c r="P41" s="52" t="n">
        <f aca="false">SUM(P10:P39)</f>
        <v>2031</v>
      </c>
      <c r="Q41" s="52" t="n">
        <f aca="false">SUM(Q10:Q39)</f>
        <v>3151</v>
      </c>
      <c r="R41" s="52" t="n">
        <f aca="false">SUM(R10:R39)</f>
        <v>1366</v>
      </c>
      <c r="S41" s="52" t="n">
        <f aca="false">SUM(S10:S39)</f>
        <v>6548</v>
      </c>
      <c r="T41" s="52"/>
      <c r="U41" s="52" t="n">
        <f aca="false">SUM(U10:U39)</f>
        <v>0</v>
      </c>
      <c r="V41" s="52" t="n">
        <f aca="false">SUM(V10:V40)</f>
        <v>2380</v>
      </c>
      <c r="W41" s="52" t="n">
        <f aca="false">SUM(W10:W39)</f>
        <v>8928</v>
      </c>
      <c r="X41" s="52" t="n">
        <f aca="false">SUM(X10:X39)</f>
        <v>1189.23216536426</v>
      </c>
      <c r="Y41" s="52" t="n">
        <f aca="false">SUM(Y10:Y39)</f>
        <v>10117.2321653643</v>
      </c>
      <c r="Z41" s="56" t="n">
        <f aca="false">SUM(Z10:Z39)</f>
        <v>5.74</v>
      </c>
      <c r="AA41" s="57" t="n">
        <f aca="false">AVERAGE(AA10:AA39)</f>
        <v>62.12</v>
      </c>
      <c r="AB41" s="57" t="n">
        <f aca="false">AVERAGE(AB10:AB39)</f>
        <v>39.36</v>
      </c>
      <c r="AC41" s="58" t="s">
        <v>71</v>
      </c>
      <c r="AD41" s="186"/>
      <c r="AE41" s="92"/>
      <c r="AF41" s="93"/>
    </row>
    <row r="42" customFormat="false" ht="11.1" hidden="false" customHeight="true" outlineLevel="0" collapsed="false">
      <c r="A42" s="51" t="s">
        <v>46</v>
      </c>
      <c r="B42" s="51"/>
      <c r="C42" s="52"/>
      <c r="D42" s="52" t="n">
        <f aca="false">SUM(D10:D40)</f>
        <v>-296</v>
      </c>
      <c r="E42" s="52"/>
      <c r="F42" s="52" t="n">
        <f aca="false">F41*$D$2</f>
        <v>-296</v>
      </c>
      <c r="G42" s="52" t="n">
        <f aca="false">G41*$D$2</f>
        <v>15247.1645</v>
      </c>
      <c r="H42" s="52" t="n">
        <f aca="false">H41*$D$2</f>
        <v>543.479</v>
      </c>
      <c r="I42" s="52" t="n">
        <f aca="false">I41*$D$2</f>
        <v>15790.6435</v>
      </c>
      <c r="J42" s="52" t="n">
        <f aca="false">J41*$D$2</f>
        <v>3980.8865</v>
      </c>
      <c r="K42" s="52" t="n">
        <f aca="false">K41*$D$2</f>
        <v>19771.53</v>
      </c>
      <c r="L42" s="52" t="n">
        <f aca="false">L41*$D$2</f>
        <v>1622.0445</v>
      </c>
      <c r="M42" s="52" t="n">
        <f aca="false">M41*$D$2</f>
        <v>4028.4885</v>
      </c>
      <c r="N42" s="52" t="n">
        <f aca="false">N41*$D$2</f>
        <v>0</v>
      </c>
      <c r="O42" s="52" t="n">
        <f aca="false">O41*$D$2</f>
        <v>0</v>
      </c>
      <c r="P42" s="52" t="n">
        <f aca="false">P41*$D$2</f>
        <v>4028.4885</v>
      </c>
      <c r="Q42" s="52" t="n">
        <f aca="false">Q41*$D$2</f>
        <v>6250.0085</v>
      </c>
      <c r="R42" s="52" t="n">
        <f aca="false">R41*$D$2</f>
        <v>2709.461</v>
      </c>
      <c r="S42" s="52" t="n">
        <f aca="false">S41*$D$2</f>
        <v>12987.958</v>
      </c>
      <c r="T42" s="52"/>
      <c r="U42" s="52" t="n">
        <f aca="false">U41*$D$2</f>
        <v>0</v>
      </c>
      <c r="V42" s="52" t="n">
        <f aca="false">V41*$D$2</f>
        <v>4720.73</v>
      </c>
      <c r="W42" s="52" t="n">
        <f aca="false">W41*$D$2</f>
        <v>17708.688</v>
      </c>
      <c r="X42" s="52" t="n">
        <f aca="false">X41*$D$2</f>
        <v>2358.842</v>
      </c>
      <c r="Y42" s="52" t="n">
        <f aca="false">Y41*$D$2</f>
        <v>20067.53</v>
      </c>
      <c r="Z42" s="56"/>
      <c r="AA42" s="57" t="n">
        <f aca="false">MAX(AA10:AA39)</f>
        <v>76</v>
      </c>
      <c r="AB42" s="57" t="n">
        <f aca="false">MAX(AB10:AB39)</f>
        <v>50</v>
      </c>
      <c r="AC42" s="58" t="s">
        <v>47</v>
      </c>
      <c r="AD42" s="186"/>
      <c r="AE42" s="92"/>
      <c r="AF42" s="93"/>
    </row>
    <row r="43" customFormat="false" ht="3" hidden="false" customHeight="true" outlineLevel="0" collapsed="false">
      <c r="A43" s="74"/>
      <c r="B43" s="74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  <c r="Z43" s="76"/>
      <c r="AA43" s="76"/>
      <c r="AB43" s="76"/>
      <c r="AC43" s="76"/>
      <c r="AD43" s="170"/>
      <c r="AE43" s="92"/>
      <c r="AF43" s="93"/>
    </row>
    <row r="44" customFormat="false" ht="11.1" hidden="false" customHeight="true" outlineLevel="0" collapsed="false">
      <c r="A44" s="51" t="s">
        <v>48</v>
      </c>
      <c r="B44" s="51"/>
      <c r="C44" s="52"/>
      <c r="D44" s="52"/>
      <c r="E44" s="52"/>
      <c r="F44" s="52" t="n">
        <f aca="false">F7+F41</f>
        <v>39982.354423998</v>
      </c>
      <c r="G44" s="52" t="n">
        <f aca="false">G7+G41</f>
        <v>193513</v>
      </c>
      <c r="H44" s="52" t="n">
        <f aca="false">H7+H41</f>
        <v>12176</v>
      </c>
      <c r="I44" s="52" t="n">
        <f aca="false">I7+I41</f>
        <v>205689</v>
      </c>
      <c r="J44" s="52" t="n">
        <f aca="false">J7+J41</f>
        <v>41672.3962692211</v>
      </c>
      <c r="K44" s="52" t="n">
        <f aca="false">K7+K41</f>
        <v>247361.396269221</v>
      </c>
      <c r="L44" s="52" t="n">
        <f aca="false">L7+L41</f>
        <v>37666.354423998</v>
      </c>
      <c r="M44" s="52" t="n">
        <f aca="false">M7+M41</f>
        <v>24529</v>
      </c>
      <c r="N44" s="52" t="n">
        <f aca="false">N7+N41</f>
        <v>0</v>
      </c>
      <c r="O44" s="52" t="n">
        <f aca="false">O7+O41</f>
        <v>0</v>
      </c>
      <c r="P44" s="52" t="n">
        <f aca="false">P7+P41</f>
        <v>24529</v>
      </c>
      <c r="Q44" s="52" t="n">
        <f aca="false">Q7+Q41</f>
        <v>22827</v>
      </c>
      <c r="R44" s="52" t="n">
        <f aca="false">R7+R41</f>
        <v>11895</v>
      </c>
      <c r="S44" s="52" t="n">
        <f aca="false">S7+S41</f>
        <v>59251</v>
      </c>
      <c r="T44" s="52" t="n">
        <f aca="false">T39</f>
        <v>0</v>
      </c>
      <c r="U44" s="52" t="n">
        <f aca="false">U7+U41</f>
        <v>0</v>
      </c>
      <c r="V44" s="52" t="n">
        <f aca="false">V7+V41</f>
        <v>144122</v>
      </c>
      <c r="W44" s="52" t="n">
        <f aca="false">W7+W41</f>
        <v>203373</v>
      </c>
      <c r="X44" s="52" t="n">
        <f aca="false">X7+X41</f>
        <v>4006.04184522309</v>
      </c>
      <c r="Y44" s="52" t="n">
        <f aca="false">Y7+Y41</f>
        <v>207379.041845223</v>
      </c>
      <c r="Z44" s="56"/>
      <c r="AA44" s="57" t="n">
        <f aca="false">MIN(AA10:AA39)</f>
        <v>42</v>
      </c>
      <c r="AB44" s="57" t="n">
        <f aca="false">MIN(AB10:AB39)</f>
        <v>29</v>
      </c>
      <c r="AC44" s="58" t="s">
        <v>49</v>
      </c>
      <c r="AD44" s="186"/>
      <c r="AE44" s="92"/>
      <c r="AF44" s="93"/>
    </row>
    <row r="45" customFormat="false" ht="11.1" hidden="false" customHeight="true" outlineLevel="0" collapsed="false">
      <c r="A45" s="51" t="s">
        <v>50</v>
      </c>
      <c r="B45" s="51"/>
      <c r="C45" s="52"/>
      <c r="D45" s="52"/>
      <c r="E45" s="52"/>
      <c r="F45" s="52" t="n">
        <f aca="false">F44*$D$2</f>
        <v>79305</v>
      </c>
      <c r="G45" s="52" t="n">
        <f aca="false">G44*$D$2</f>
        <v>383833.0355</v>
      </c>
      <c r="H45" s="52" t="n">
        <f aca="false">H44*$D$2</f>
        <v>24151.096</v>
      </c>
      <c r="I45" s="52" t="n">
        <f aca="false">I44*$D$2</f>
        <v>407984.1315</v>
      </c>
      <c r="J45" s="52" t="n">
        <f aca="false">J44*$D$2</f>
        <v>82657.198</v>
      </c>
      <c r="K45" s="52" t="n">
        <f aca="false">K44*$D$2</f>
        <v>490641.3295</v>
      </c>
      <c r="L45" s="52" t="n">
        <f aca="false">L44*$D$2</f>
        <v>74711.214</v>
      </c>
      <c r="M45" s="52" t="n">
        <f aca="false">M44*$D$2</f>
        <v>48653.2715</v>
      </c>
      <c r="N45" s="52" t="n">
        <f aca="false">N44*$D$2</f>
        <v>0</v>
      </c>
      <c r="O45" s="52" t="n">
        <f aca="false">O44*$D$2</f>
        <v>0</v>
      </c>
      <c r="P45" s="52" t="n">
        <f aca="false">P44*$D$2</f>
        <v>48653.2715</v>
      </c>
      <c r="Q45" s="52" t="n">
        <f aca="false">Q44*$D$2</f>
        <v>45277.3545</v>
      </c>
      <c r="R45" s="52" t="n">
        <f aca="false">R44*$D$2</f>
        <v>23593.7325</v>
      </c>
      <c r="S45" s="52" t="n">
        <f aca="false">S44*$D$2</f>
        <v>117524.3585</v>
      </c>
      <c r="T45" s="52" t="n">
        <f aca="false">T44*$D$2</f>
        <v>0</v>
      </c>
      <c r="U45" s="52" t="n">
        <f aca="false">U44*$D$2</f>
        <v>0</v>
      </c>
      <c r="V45" s="52" t="n">
        <f aca="false">V44*$D$2</f>
        <v>285865.987</v>
      </c>
      <c r="W45" s="52" t="n">
        <f aca="false">W44*$D$2</f>
        <v>403390.3455</v>
      </c>
      <c r="X45" s="52" t="n">
        <f aca="false">X44*$D$2</f>
        <v>7945.984</v>
      </c>
      <c r="Y45" s="52" t="n">
        <f aca="false">Y44*$D$2</f>
        <v>411336.3295</v>
      </c>
      <c r="Z45" s="56"/>
      <c r="AA45" s="57"/>
      <c r="AB45" s="57"/>
      <c r="AC45" s="58"/>
      <c r="AD45" s="186"/>
      <c r="AE45" s="92"/>
      <c r="AF45" s="93"/>
    </row>
    <row r="46" customFormat="false" ht="3" hidden="false" customHeight="true" outlineLevel="0" collapsed="false">
      <c r="A46" s="74"/>
      <c r="B46" s="74"/>
      <c r="C46" s="76"/>
      <c r="D46" s="76"/>
      <c r="E46" s="76"/>
      <c r="F46" s="76"/>
      <c r="G46" s="76"/>
      <c r="H46" s="79"/>
      <c r="I46" s="76"/>
      <c r="J46" s="76"/>
      <c r="K46" s="76"/>
      <c r="L46" s="76"/>
      <c r="M46" s="76"/>
      <c r="N46" s="76"/>
      <c r="O46" s="76"/>
      <c r="P46" s="76"/>
      <c r="Q46" s="76"/>
      <c r="R46" s="76"/>
      <c r="S46" s="76"/>
      <c r="T46" s="76"/>
      <c r="U46" s="76"/>
      <c r="V46" s="76"/>
      <c r="W46" s="76"/>
      <c r="X46" s="76"/>
      <c r="Y46" s="76"/>
      <c r="Z46" s="78"/>
      <c r="AA46" s="78"/>
      <c r="AB46" s="78"/>
      <c r="AC46" s="78"/>
      <c r="AD46" s="170"/>
      <c r="AE46" s="92"/>
      <c r="AF46" s="93"/>
    </row>
    <row r="47" customFormat="false" ht="11.1" hidden="false" customHeight="true" outlineLevel="0" collapsed="false">
      <c r="A47" s="51" t="s">
        <v>51</v>
      </c>
      <c r="B47" s="51"/>
      <c r="C47" s="52"/>
      <c r="D47" s="52"/>
      <c r="E47" s="52"/>
      <c r="F47" s="52" t="n">
        <f aca="false">F8+F41</f>
        <v>66968.4900428535</v>
      </c>
      <c r="G47" s="52" t="n">
        <f aca="false">G8+G41</f>
        <v>219093</v>
      </c>
      <c r="H47" s="57" t="n">
        <f aca="false">H8+H41</f>
        <v>14501.3</v>
      </c>
      <c r="I47" s="52" t="n">
        <f aca="false">I8+I41</f>
        <v>232246.5</v>
      </c>
      <c r="J47" s="52" t="n">
        <f aca="false">J8+J41</f>
        <v>55599.0760020166</v>
      </c>
      <c r="K47" s="52" t="n">
        <f aca="false">K8+K41</f>
        <v>287845.576002017</v>
      </c>
      <c r="L47" s="52" t="n">
        <f aca="false">L8+L41</f>
        <v>50611.0394504663</v>
      </c>
      <c r="M47" s="52" t="n">
        <f aca="false">M8+M41</f>
        <v>24839</v>
      </c>
      <c r="N47" s="52" t="n">
        <f aca="false">N8+N41</f>
        <v>0</v>
      </c>
      <c r="O47" s="52" t="n">
        <f aca="false">O8+O41</f>
        <v>402.2</v>
      </c>
      <c r="P47" s="52" t="n">
        <f aca="false">P8+P41</f>
        <v>24839</v>
      </c>
      <c r="Q47" s="52" t="n">
        <f aca="false">Q8+Q41</f>
        <v>23875</v>
      </c>
      <c r="R47" s="52" t="n">
        <f aca="false">R8+R41</f>
        <v>11970</v>
      </c>
      <c r="S47" s="52" t="n">
        <f aca="false">S8+S41</f>
        <v>62642.6589362238</v>
      </c>
      <c r="T47" s="52" t="n">
        <f aca="false">T44</f>
        <v>0</v>
      </c>
      <c r="U47" s="52" t="n">
        <f aca="false">U8+U41</f>
        <v>0</v>
      </c>
      <c r="V47" s="52" t="n">
        <f aca="false">V8+V41</f>
        <v>153246.390471389</v>
      </c>
      <c r="W47" s="52" t="n">
        <f aca="false">W8+W41</f>
        <v>215889.049407613</v>
      </c>
      <c r="X47" s="52" t="n">
        <f aca="false">X8+X41</f>
        <v>4988.03655155029</v>
      </c>
      <c r="Y47" s="52" t="n">
        <f aca="false">Y8+Y41</f>
        <v>220877.085959163</v>
      </c>
      <c r="Z47" s="56" t="n">
        <f aca="false">Z8+Z41</f>
        <v>22.59</v>
      </c>
      <c r="AA47" s="57"/>
      <c r="AB47" s="57"/>
      <c r="AC47" s="58"/>
      <c r="AD47" s="186"/>
      <c r="AE47" s="92"/>
      <c r="AF47" s="93"/>
    </row>
    <row r="48" customFormat="false" ht="11.1" hidden="false" customHeight="true" outlineLevel="0" collapsed="false">
      <c r="A48" s="51" t="s">
        <v>52</v>
      </c>
      <c r="B48" s="51"/>
      <c r="C48" s="52"/>
      <c r="D48" s="52" t="n">
        <f aca="false">D8+D42</f>
        <v>132832</v>
      </c>
      <c r="E48" s="52" t="n">
        <f aca="false">E39</f>
        <v>132898</v>
      </c>
      <c r="F48" s="52" t="n">
        <f aca="false">F47*$D$2</f>
        <v>132832</v>
      </c>
      <c r="G48" s="52" t="n">
        <f aca="false">G47*$D$2</f>
        <v>434570.9655</v>
      </c>
      <c r="H48" s="57" t="n">
        <f aca="false">H47*$D$2</f>
        <v>28763.32855</v>
      </c>
      <c r="I48" s="52" t="n">
        <f aca="false">I47*$D$2</f>
        <v>460660.93275</v>
      </c>
      <c r="J48" s="52" t="n">
        <f aca="false">J47*$D$2</f>
        <v>110280.76725</v>
      </c>
      <c r="K48" s="52" t="n">
        <f aca="false">K47*$D$2</f>
        <v>570941.7</v>
      </c>
      <c r="L48" s="52" t="n">
        <f aca="false">L47*$D$2</f>
        <v>100386.99675</v>
      </c>
      <c r="M48" s="52" t="n">
        <f aca="false">M47*$D$2</f>
        <v>49268.1565</v>
      </c>
      <c r="N48" s="52" t="n">
        <f aca="false">N47*$D$2</f>
        <v>0</v>
      </c>
      <c r="O48" s="52" t="n">
        <f aca="false">O47*$D$2</f>
        <v>797.7637</v>
      </c>
      <c r="P48" s="52" t="n">
        <f aca="false">P47*$D$2</f>
        <v>49268.1565</v>
      </c>
      <c r="Q48" s="52" t="n">
        <f aca="false">Q47*$D$2</f>
        <v>47356.0625</v>
      </c>
      <c r="R48" s="52" t="n">
        <f aca="false">R47*$D$2</f>
        <v>23742.495</v>
      </c>
      <c r="S48" s="52" t="n">
        <f aca="false">S47*$D$2</f>
        <v>124251.714</v>
      </c>
      <c r="T48" s="52" t="n">
        <f aca="false">T47*$D$2</f>
        <v>0</v>
      </c>
      <c r="U48" s="52" t="n">
        <f aca="false">U47*$D$2</f>
        <v>0</v>
      </c>
      <c r="V48" s="52" t="n">
        <f aca="false">V47*$D$2</f>
        <v>303964.2155</v>
      </c>
      <c r="W48" s="52" t="n">
        <f aca="false">W47*$D$2</f>
        <v>428215.9295</v>
      </c>
      <c r="X48" s="52" t="n">
        <f aca="false">X47*$D$2</f>
        <v>9893.7705</v>
      </c>
      <c r="Y48" s="52" t="n">
        <f aca="false">Y47*$D$2</f>
        <v>438109.7</v>
      </c>
      <c r="Z48" s="56"/>
      <c r="AA48" s="57"/>
      <c r="AB48" s="57"/>
      <c r="AC48" s="58"/>
      <c r="AD48" s="186"/>
      <c r="AE48" s="92"/>
      <c r="AF48" s="93"/>
    </row>
    <row r="49" customFormat="false" ht="3" hidden="false" customHeight="true" outlineLevel="0" collapsed="false">
      <c r="A49" s="74"/>
      <c r="B49" s="74"/>
      <c r="C49" s="76"/>
      <c r="D49" s="74"/>
      <c r="E49" s="76"/>
      <c r="F49" s="74"/>
      <c r="G49" s="74"/>
      <c r="H49" s="77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6"/>
      <c r="U49" s="74"/>
      <c r="V49" s="74"/>
      <c r="W49" s="74"/>
      <c r="X49" s="74"/>
      <c r="Y49" s="74"/>
      <c r="Z49" s="74"/>
      <c r="AA49" s="74"/>
      <c r="AB49" s="74"/>
      <c r="AC49" s="74"/>
      <c r="AD49" s="170"/>
      <c r="AE49" s="92"/>
      <c r="AF49" s="93"/>
    </row>
    <row r="50" customFormat="false" ht="11.1" hidden="false" customHeight="true" outlineLevel="0" collapsed="false">
      <c r="A50" s="181"/>
      <c r="B50" s="29" t="s">
        <v>81</v>
      </c>
      <c r="C50" s="7"/>
      <c r="D50" s="6"/>
      <c r="E50" s="138" t="n">
        <v>7391</v>
      </c>
      <c r="F50" s="0"/>
      <c r="G50" s="0"/>
      <c r="H50" s="11" t="s">
        <v>82</v>
      </c>
      <c r="I50" s="6"/>
      <c r="J50" s="6"/>
      <c r="K50" s="140"/>
      <c r="L50" s="52" t="n">
        <v>10240</v>
      </c>
      <c r="M50" s="6"/>
      <c r="N50" s="6"/>
      <c r="O50" s="6"/>
      <c r="P50" s="6"/>
      <c r="Q50" s="6"/>
      <c r="R50" s="6"/>
      <c r="S50" s="6"/>
      <c r="T50" s="141"/>
      <c r="U50" s="6"/>
      <c r="V50" s="6" t="s">
        <v>91</v>
      </c>
      <c r="W50" s="173" t="s">
        <v>92</v>
      </c>
      <c r="X50" s="51"/>
      <c r="Y50" s="51"/>
      <c r="Z50" s="56"/>
      <c r="AA50" s="57"/>
      <c r="AB50" s="57"/>
      <c r="AC50" s="58"/>
      <c r="AD50" s="183"/>
      <c r="AE50" s="88"/>
    </row>
    <row r="51" customFormat="false" ht="11.1" hidden="false" customHeight="true" outlineLevel="0" collapsed="false">
      <c r="A51" s="51"/>
      <c r="B51" s="29" t="s">
        <v>83</v>
      </c>
      <c r="C51" s="7"/>
      <c r="D51" s="39"/>
      <c r="E51" s="120" t="e">
        <f aca="false">L53+O53+T53+U53+#REF!</f>
        <v>#REF!</v>
      </c>
      <c r="F51" s="142"/>
      <c r="G51" s="0"/>
      <c r="H51" s="11" t="s">
        <v>84</v>
      </c>
      <c r="I51" s="8"/>
      <c r="J51" s="6"/>
      <c r="K51" s="42"/>
      <c r="L51" s="81" t="n">
        <f aca="false">L50/210</f>
        <v>48.7619047619048</v>
      </c>
      <c r="M51" s="6"/>
      <c r="N51" s="6"/>
      <c r="O51" s="6"/>
      <c r="P51" s="143" t="s">
        <v>85</v>
      </c>
      <c r="Q51" s="144"/>
      <c r="R51" s="145"/>
      <c r="S51" s="146" t="n">
        <v>183</v>
      </c>
      <c r="T51" s="147" t="n">
        <f aca="false">16268+1368+4</f>
        <v>17640</v>
      </c>
      <c r="U51" s="141"/>
      <c r="V51" s="6"/>
      <c r="W51" s="7"/>
      <c r="X51" s="51"/>
      <c r="Y51" s="55"/>
      <c r="Z51" s="56"/>
      <c r="AA51" s="57"/>
      <c r="AB51" s="58"/>
      <c r="AC51" s="88"/>
      <c r="AD51" s="183"/>
    </row>
    <row r="52" customFormat="false" ht="11.1" hidden="false" customHeight="true" outlineLevel="0" collapsed="false">
      <c r="A52" s="82"/>
      <c r="B52" s="52"/>
      <c r="E52" s="120"/>
      <c r="F52" s="148"/>
      <c r="G52" s="0"/>
      <c r="H52" s="11" t="s">
        <v>86</v>
      </c>
      <c r="I52" s="39"/>
      <c r="J52" s="39"/>
      <c r="K52" s="149"/>
      <c r="L52" s="174" t="n">
        <f aca="false">214-S51</f>
        <v>31</v>
      </c>
      <c r="M52" s="37"/>
      <c r="N52" s="189" t="s">
        <v>99</v>
      </c>
      <c r="O52" s="151" t="n">
        <v>6289</v>
      </c>
      <c r="P52" s="152" t="s">
        <v>87</v>
      </c>
      <c r="Q52" s="153"/>
      <c r="R52" s="154"/>
      <c r="S52" s="155" t="n">
        <f aca="false">2932/210</f>
        <v>13.9619047619048</v>
      </c>
      <c r="T52" s="156" t="n">
        <f aca="false">S51*S52</f>
        <v>2555.02857142857</v>
      </c>
      <c r="U52" s="157" t="n">
        <f aca="false">14562+1946+600+15+25+3</f>
        <v>17151</v>
      </c>
      <c r="V52" s="7"/>
      <c r="W52" s="153"/>
      <c r="X52" s="82"/>
      <c r="Y52" s="55"/>
      <c r="Z52" s="56"/>
      <c r="AA52" s="57"/>
      <c r="AB52" s="58"/>
      <c r="AC52" s="97"/>
      <c r="AD52" s="183"/>
    </row>
    <row r="53" customFormat="false" ht="11.1" hidden="false" customHeight="true" outlineLevel="0" collapsed="false">
      <c r="A53" s="82"/>
      <c r="B53" s="158" t="s">
        <v>88</v>
      </c>
      <c r="C53" s="159"/>
      <c r="D53" s="159"/>
      <c r="E53" s="160" t="e">
        <f aca="false">E50-E51</f>
        <v>#REF!</v>
      </c>
      <c r="F53" s="0"/>
      <c r="G53" s="0"/>
      <c r="H53" s="52" t="s">
        <v>74</v>
      </c>
      <c r="I53" s="0"/>
      <c r="J53" s="39"/>
      <c r="K53" s="149"/>
      <c r="L53" s="57" t="n">
        <f aca="false">L52*L51</f>
        <v>1511.61904761905</v>
      </c>
      <c r="M53" s="37"/>
      <c r="N53" s="189" t="s">
        <v>100</v>
      </c>
      <c r="O53" s="57" t="n">
        <f aca="false">O52-O48</f>
        <v>5491.2363</v>
      </c>
      <c r="P53" s="161"/>
      <c r="Q53" s="162"/>
      <c r="R53" s="162"/>
      <c r="S53" s="163"/>
      <c r="T53" s="164" t="n">
        <f aca="false">(T51+T52)+T45</f>
        <v>20195.0285714286</v>
      </c>
      <c r="U53" s="52" t="n">
        <f aca="false">U52-U48</f>
        <v>17151</v>
      </c>
      <c r="V53" s="7"/>
      <c r="W53" s="52"/>
      <c r="X53" s="82"/>
      <c r="Y53" s="99" t="n">
        <f aca="false">DAYS360(7/24/2002,3/31/2003,FALSE())</f>
        <v>0</v>
      </c>
      <c r="Z53" s="56"/>
      <c r="AA53" s="57"/>
      <c r="AB53" s="58"/>
      <c r="AC53" s="97"/>
      <c r="AD53" s="183"/>
    </row>
    <row r="54" customFormat="false" ht="11.1" hidden="false" customHeight="true" outlineLevel="0" collapsed="false">
      <c r="A54" s="82"/>
      <c r="B54" s="82"/>
      <c r="C54" s="52"/>
      <c r="D54" s="82"/>
      <c r="E54" s="52"/>
      <c r="F54" s="82"/>
      <c r="G54" s="53"/>
      <c r="I54" s="42"/>
      <c r="J54" s="82"/>
      <c r="K54" s="82"/>
      <c r="L54" s="82"/>
      <c r="M54" s="81"/>
      <c r="N54" s="7"/>
      <c r="O54" s="81"/>
      <c r="P54" s="82"/>
      <c r="Q54" s="82"/>
      <c r="R54" s="82"/>
      <c r="S54" s="0"/>
      <c r="T54" s="52"/>
      <c r="U54" s="47"/>
      <c r="V54" s="52"/>
      <c r="W54" s="82"/>
      <c r="X54" s="82"/>
      <c r="Y54" s="55"/>
      <c r="Z54" s="56"/>
      <c r="AA54" s="57"/>
      <c r="AB54" s="58"/>
      <c r="AC54" s="97"/>
      <c r="AD54" s="183"/>
    </row>
    <row r="55" customFormat="false" ht="11.1" hidden="false" customHeight="true" outlineLevel="0" collapsed="false">
      <c r="Q55" s="182"/>
      <c r="S55" s="52"/>
      <c r="T55" s="51"/>
      <c r="U55" s="47"/>
    </row>
    <row r="56" customFormat="false" ht="11.1" hidden="false" customHeight="true" outlineLevel="0" collapsed="false">
      <c r="Q56" s="182"/>
      <c r="S56" s="52"/>
      <c r="T56" s="51"/>
      <c r="U56" s="47"/>
    </row>
    <row r="57" customFormat="false" ht="11.1" hidden="false" customHeight="true" outlineLevel="0" collapsed="false">
      <c r="Q57" s="182"/>
    </row>
    <row r="58" customFormat="false" ht="11.1" hidden="false" customHeight="true" outlineLevel="0" collapsed="false">
      <c r="Q58" s="182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I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9" topLeftCell="B21" activePane="bottomRight" state="frozen"/>
      <selection pane="topLeft" activeCell="A1" activeCellId="0" sqref="A1"/>
      <selection pane="topRight" activeCell="B1" activeCellId="0" sqref="B1"/>
      <selection pane="bottomLeft" activeCell="A21" activeCellId="0" sqref="A21"/>
      <selection pane="bottomRight" activeCell="K2" activeCellId="0" sqref="K2"/>
    </sheetView>
  </sheetViews>
  <sheetFormatPr defaultColWidth="9.328125" defaultRowHeight="11.1" zeroHeight="false" outlineLevelRow="0" outlineLevelCol="0"/>
  <cols>
    <col collapsed="false" customWidth="true" hidden="false" outlineLevel="0" max="1" min="1" style="44" width="5.66"/>
    <col collapsed="false" customWidth="true" hidden="false" outlineLevel="0" max="2" min="2" style="44" width="7.82"/>
    <col collapsed="false" customWidth="true" hidden="false" outlineLevel="0" max="3" min="3" style="45" width="7.66"/>
    <col collapsed="false" customWidth="true" hidden="false" outlineLevel="0" max="4" min="4" style="44" width="6.99"/>
    <col collapsed="false" customWidth="true" hidden="false" outlineLevel="0" max="5" min="5" style="45" width="7.66"/>
    <col collapsed="false" customWidth="true" hidden="false" outlineLevel="0" max="6" min="6" style="44" width="7.66"/>
    <col collapsed="false" customWidth="true" hidden="false" outlineLevel="0" max="7" min="7" style="44" width="7.16"/>
    <col collapsed="false" customWidth="true" hidden="false" outlineLevel="0" max="8" min="8" style="190" width="6.82"/>
    <col collapsed="false" customWidth="true" hidden="false" outlineLevel="0" max="9" min="9" style="44" width="7.99"/>
    <col collapsed="false" customWidth="true" hidden="false" outlineLevel="0" max="10" min="10" style="44" width="6.66"/>
    <col collapsed="false" customWidth="true" hidden="false" outlineLevel="0" max="12" min="11" style="44" width="7.16"/>
    <col collapsed="false" customWidth="true" hidden="false" outlineLevel="0" max="13" min="13" style="47" width="6.32"/>
    <col collapsed="false" customWidth="true" hidden="true" outlineLevel="0" max="14" min="14" style="47" width="7.32"/>
    <col collapsed="false" customWidth="true" hidden="true" outlineLevel="0" max="15" min="15" style="47" width="6.49"/>
    <col collapsed="false" customWidth="true" hidden="true" outlineLevel="0" max="16" min="16" style="44" width="7.99"/>
    <col collapsed="false" customWidth="true" hidden="false" outlineLevel="0" max="17" min="17" style="44" width="6.32"/>
    <col collapsed="false" customWidth="true" hidden="false" outlineLevel="0" max="18" min="18" style="44" width="5.82"/>
    <col collapsed="false" customWidth="true" hidden="false" outlineLevel="0" max="19" min="19" style="45" width="6.82"/>
    <col collapsed="false" customWidth="true" hidden="false" outlineLevel="0" max="20" min="20" style="44" width="7.66"/>
    <col collapsed="false" customWidth="true" hidden="false" outlineLevel="0" max="21" min="21" style="44" width="5.99"/>
    <col collapsed="false" customWidth="true" hidden="false" outlineLevel="0" max="22" min="22" style="45" width="6.66"/>
    <col collapsed="false" customWidth="true" hidden="false" outlineLevel="0" max="24" min="23" style="44" width="7.82"/>
    <col collapsed="false" customWidth="true" hidden="false" outlineLevel="0" max="25" min="25" style="48" width="8.16"/>
    <col collapsed="false" customWidth="true" hidden="false" outlineLevel="0" max="26" min="26" style="48" width="5.16"/>
    <col collapsed="false" customWidth="true" hidden="false" outlineLevel="0" max="27" min="27" style="49" width="4.66"/>
    <col collapsed="false" customWidth="true" hidden="false" outlineLevel="0" max="28" min="28" style="50" width="4.66"/>
    <col collapsed="false" customWidth="true" hidden="false" outlineLevel="0" max="29" min="29" style="44" width="5.66"/>
    <col collapsed="false" customWidth="false" hidden="false" outlineLevel="0" max="30" min="30" style="48" width="9.32"/>
    <col collapsed="false" customWidth="false" hidden="false" outlineLevel="0" max="257" min="31" style="44" width="9.32"/>
  </cols>
  <sheetData>
    <row r="1" customFormat="false" ht="14.1" hidden="false" customHeight="true" outlineLevel="0" collapsed="false">
      <c r="A1" s="51"/>
      <c r="B1" s="51"/>
      <c r="C1" s="52"/>
      <c r="D1" s="51"/>
      <c r="E1" s="52"/>
      <c r="F1" s="51"/>
      <c r="G1" s="51"/>
      <c r="H1" s="191"/>
      <c r="I1" s="51"/>
      <c r="J1" s="51"/>
      <c r="K1" s="54" t="s">
        <v>0</v>
      </c>
      <c r="L1" s="51"/>
      <c r="M1" s="51"/>
      <c r="N1" s="51"/>
      <c r="O1" s="51"/>
      <c r="P1" s="51"/>
      <c r="Q1" s="51"/>
      <c r="R1" s="51"/>
      <c r="S1" s="52"/>
      <c r="T1" s="51"/>
      <c r="U1" s="51"/>
      <c r="V1" s="52"/>
      <c r="W1" s="51"/>
      <c r="X1" s="51"/>
      <c r="Y1" s="55"/>
      <c r="Z1" s="55"/>
      <c r="AA1" s="57"/>
      <c r="AB1" s="58"/>
      <c r="AC1" s="88"/>
      <c r="AD1" s="183"/>
    </row>
    <row r="2" customFormat="false" ht="14.1" hidden="false" customHeight="true" outlineLevel="0" collapsed="false">
      <c r="A2" s="51" t="s">
        <v>1</v>
      </c>
      <c r="B2" s="51"/>
      <c r="C2" s="52"/>
      <c r="D2" s="59" t="n">
        <v>1.9835</v>
      </c>
      <c r="E2" s="52"/>
      <c r="F2" s="51"/>
      <c r="G2" s="51"/>
      <c r="H2" s="191"/>
      <c r="I2" s="51"/>
      <c r="J2" s="51"/>
      <c r="K2" s="60" t="s">
        <v>101</v>
      </c>
      <c r="L2" s="60"/>
      <c r="M2" s="60"/>
      <c r="N2" s="60"/>
      <c r="O2" s="60"/>
      <c r="P2" s="60"/>
      <c r="Q2" s="60"/>
      <c r="R2" s="60"/>
      <c r="S2" s="60"/>
      <c r="T2" s="60"/>
      <c r="U2" s="51"/>
      <c r="V2" s="52"/>
      <c r="W2" s="51"/>
      <c r="X2" s="51"/>
      <c r="Y2" s="55"/>
      <c r="Z2" s="55"/>
      <c r="AA2" s="57"/>
      <c r="AB2" s="58"/>
      <c r="AC2" s="88"/>
      <c r="AD2" s="183"/>
    </row>
    <row r="3" customFormat="false" ht="11.1" hidden="false" customHeight="true" outlineLevel="0" collapsed="false">
      <c r="A3" s="51"/>
      <c r="B3" s="51"/>
      <c r="C3" s="52"/>
      <c r="D3" s="61"/>
      <c r="E3" s="52"/>
      <c r="F3" s="51"/>
      <c r="G3" s="51"/>
      <c r="H3" s="191"/>
      <c r="I3" s="51"/>
      <c r="J3" s="51"/>
      <c r="K3" s="51"/>
      <c r="L3" s="51"/>
      <c r="M3" s="51"/>
      <c r="N3" s="51"/>
      <c r="O3" s="51"/>
      <c r="P3" s="51"/>
      <c r="Q3" s="51"/>
      <c r="R3" s="51"/>
      <c r="S3" s="52"/>
      <c r="T3" s="51"/>
      <c r="U3" s="51"/>
      <c r="V3" s="52"/>
      <c r="W3" s="51"/>
      <c r="X3" s="51"/>
      <c r="Y3" s="55"/>
      <c r="Z3" s="55"/>
      <c r="AA3" s="57"/>
      <c r="AB3" s="58"/>
      <c r="AC3" s="88"/>
      <c r="AD3" s="183"/>
    </row>
    <row r="4" customFormat="false" ht="11.1" hidden="false" customHeight="true" outlineLevel="0" collapsed="false">
      <c r="A4" s="62" t="s">
        <v>3</v>
      </c>
      <c r="B4" s="62" t="s">
        <v>4</v>
      </c>
      <c r="C4" s="63" t="s">
        <v>4</v>
      </c>
      <c r="D4" s="62" t="s">
        <v>5</v>
      </c>
      <c r="E4" s="63" t="s">
        <v>6</v>
      </c>
      <c r="F4" s="62" t="s">
        <v>7</v>
      </c>
      <c r="G4" s="62" t="s">
        <v>8</v>
      </c>
      <c r="H4" s="192" t="s">
        <v>9</v>
      </c>
      <c r="I4" s="62" t="s">
        <v>10</v>
      </c>
      <c r="J4" s="62" t="s">
        <v>11</v>
      </c>
      <c r="K4" s="62" t="s">
        <v>12</v>
      </c>
      <c r="L4" s="62" t="s">
        <v>11</v>
      </c>
      <c r="M4" s="62" t="s">
        <v>13</v>
      </c>
      <c r="N4" s="62"/>
      <c r="O4" s="62"/>
      <c r="P4" s="62"/>
      <c r="Q4" s="62" t="s">
        <v>14</v>
      </c>
      <c r="R4" s="62" t="s">
        <v>15</v>
      </c>
      <c r="S4" s="62" t="s">
        <v>12</v>
      </c>
      <c r="T4" s="63" t="s">
        <v>16</v>
      </c>
      <c r="U4" s="62" t="s">
        <v>17</v>
      </c>
      <c r="V4" s="62" t="s">
        <v>18</v>
      </c>
      <c r="W4" s="62" t="s">
        <v>10</v>
      </c>
      <c r="X4" s="62" t="s">
        <v>11</v>
      </c>
      <c r="Y4" s="62" t="s">
        <v>12</v>
      </c>
      <c r="Z4" s="166" t="s">
        <v>19</v>
      </c>
      <c r="AA4" s="66" t="s">
        <v>20</v>
      </c>
      <c r="AB4" s="66" t="s">
        <v>21</v>
      </c>
      <c r="AC4" s="66" t="s">
        <v>3</v>
      </c>
      <c r="AD4" s="184" t="s">
        <v>63</v>
      </c>
      <c r="AE4" s="88"/>
    </row>
    <row r="5" customFormat="false" ht="11.1" hidden="false" customHeight="true" outlineLevel="0" collapsed="false">
      <c r="A5" s="67" t="s">
        <v>102</v>
      </c>
      <c r="B5" s="62" t="s">
        <v>23</v>
      </c>
      <c r="C5" s="63" t="s">
        <v>5</v>
      </c>
      <c r="D5" s="62" t="s">
        <v>24</v>
      </c>
      <c r="E5" s="63" t="s">
        <v>25</v>
      </c>
      <c r="F5" s="62" t="s">
        <v>26</v>
      </c>
      <c r="G5" s="62" t="s">
        <v>27</v>
      </c>
      <c r="H5" s="192" t="s">
        <v>28</v>
      </c>
      <c r="I5" s="62" t="s">
        <v>29</v>
      </c>
      <c r="J5" s="62" t="s">
        <v>29</v>
      </c>
      <c r="K5" s="62" t="s">
        <v>29</v>
      </c>
      <c r="L5" s="62" t="s">
        <v>30</v>
      </c>
      <c r="M5" s="62" t="s">
        <v>31</v>
      </c>
      <c r="N5" s="62" t="s">
        <v>32</v>
      </c>
      <c r="O5" s="62" t="s">
        <v>33</v>
      </c>
      <c r="P5" s="62" t="s">
        <v>34</v>
      </c>
      <c r="Q5" s="62" t="s">
        <v>35</v>
      </c>
      <c r="R5" s="62" t="s">
        <v>36</v>
      </c>
      <c r="S5" s="62" t="s">
        <v>16</v>
      </c>
      <c r="T5" s="63" t="s">
        <v>37</v>
      </c>
      <c r="U5" s="62" t="s">
        <v>38</v>
      </c>
      <c r="V5" s="62" t="s">
        <v>39</v>
      </c>
      <c r="W5" s="62" t="s">
        <v>40</v>
      </c>
      <c r="X5" s="62" t="s">
        <v>40</v>
      </c>
      <c r="Y5" s="62" t="s">
        <v>40</v>
      </c>
      <c r="Z5" s="167"/>
      <c r="AA5" s="66" t="s">
        <v>41</v>
      </c>
      <c r="AB5" s="66" t="s">
        <v>41</v>
      </c>
      <c r="AC5" s="69" t="s">
        <v>102</v>
      </c>
      <c r="AD5" s="184" t="s">
        <v>98</v>
      </c>
      <c r="AE5" s="88"/>
      <c r="AG5" s="177"/>
      <c r="AH5" s="177"/>
    </row>
    <row r="6" customFormat="false" ht="11.1" hidden="false" customHeight="true" outlineLevel="0" collapsed="false">
      <c r="A6" s="70"/>
      <c r="B6" s="70"/>
      <c r="C6" s="71"/>
      <c r="D6" s="70"/>
      <c r="E6" s="71"/>
      <c r="F6" s="70"/>
      <c r="G6" s="70"/>
      <c r="H6" s="191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1"/>
      <c r="U6" s="70"/>
      <c r="V6" s="70"/>
      <c r="W6" s="70"/>
      <c r="X6" s="70"/>
      <c r="Y6" s="70"/>
      <c r="Z6" s="55"/>
      <c r="AA6" s="58"/>
      <c r="AB6" s="58"/>
      <c r="AC6" s="58"/>
      <c r="AD6" s="186"/>
      <c r="AE6" s="92"/>
      <c r="AF6" s="93"/>
      <c r="AG6" s="177"/>
      <c r="AH6" s="177"/>
    </row>
    <row r="7" customFormat="false" ht="11.1" hidden="false" customHeight="true" outlineLevel="0" collapsed="false">
      <c r="A7" s="51" t="s">
        <v>42</v>
      </c>
      <c r="B7" s="51"/>
      <c r="C7" s="52"/>
      <c r="D7" s="52"/>
      <c r="E7" s="52"/>
      <c r="F7" s="52" t="n">
        <f aca="false">SEP!F44</f>
        <v>39982.354423998</v>
      </c>
      <c r="G7" s="52" t="n">
        <f aca="false">SEP!G44</f>
        <v>193513</v>
      </c>
      <c r="H7" s="193" t="n">
        <f aca="false">SEP!H44</f>
        <v>12176</v>
      </c>
      <c r="I7" s="52" t="n">
        <f aca="false">SEP!I44</f>
        <v>205689</v>
      </c>
      <c r="J7" s="52" t="n">
        <f aca="false">SEP!J44</f>
        <v>41672.3962692211</v>
      </c>
      <c r="K7" s="52" t="n">
        <f aca="false">SEP!K44</f>
        <v>247361.396269221</v>
      </c>
      <c r="L7" s="52" t="n">
        <f aca="false">SEP!L44</f>
        <v>37666.354423998</v>
      </c>
      <c r="M7" s="52" t="n">
        <f aca="false">SEP!M44</f>
        <v>24529</v>
      </c>
      <c r="N7" s="52" t="n">
        <f aca="false">SEP!N44</f>
        <v>0</v>
      </c>
      <c r="O7" s="52" t="n">
        <f aca="false">SEP!O44</f>
        <v>0</v>
      </c>
      <c r="P7" s="52" t="n">
        <f aca="false">SEP!P44</f>
        <v>24529</v>
      </c>
      <c r="Q7" s="52" t="n">
        <f aca="false">SEP!Q44</f>
        <v>22827</v>
      </c>
      <c r="R7" s="52" t="n">
        <f aca="false">SEP!R44</f>
        <v>11895</v>
      </c>
      <c r="S7" s="52" t="n">
        <f aca="false">SEP!S44</f>
        <v>59251</v>
      </c>
      <c r="T7" s="52" t="n">
        <f aca="false">SEP!T44</f>
        <v>0</v>
      </c>
      <c r="U7" s="52" t="n">
        <f aca="false">SEP!U44</f>
        <v>0</v>
      </c>
      <c r="V7" s="52" t="n">
        <f aca="false">SEP!V44</f>
        <v>144122</v>
      </c>
      <c r="W7" s="52" t="n">
        <f aca="false">SEP!W44</f>
        <v>203373</v>
      </c>
      <c r="X7" s="52" t="n">
        <f aca="false">SEP!X44</f>
        <v>4006.04184522309</v>
      </c>
      <c r="Y7" s="52" t="n">
        <f aca="false">SEP!Y44</f>
        <v>207379.041845223</v>
      </c>
      <c r="Z7" s="55"/>
      <c r="AA7" s="57"/>
      <c r="AB7" s="57"/>
      <c r="AC7" s="58"/>
      <c r="AD7" s="186"/>
      <c r="AE7" s="93"/>
      <c r="AF7" s="93"/>
    </row>
    <row r="8" s="45" customFormat="true" ht="11.1" hidden="false" customHeight="true" outlineLevel="0" collapsed="false">
      <c r="A8" s="52" t="s">
        <v>43</v>
      </c>
      <c r="B8" s="73" t="n">
        <f aca="false">SEP!B39</f>
        <v>6900.35</v>
      </c>
      <c r="C8" s="52" t="n">
        <f aca="false">SEP!C39</f>
        <v>284876</v>
      </c>
      <c r="D8" s="52" t="n">
        <f aca="false">SEP!D48</f>
        <v>132832</v>
      </c>
      <c r="E8" s="52" t="n">
        <f aca="false">SEP!E48</f>
        <v>132898</v>
      </c>
      <c r="F8" s="52" t="n">
        <f aca="false">SEP!F47</f>
        <v>66968.4900428535</v>
      </c>
      <c r="G8" s="52" t="n">
        <f aca="false">SEP!G47</f>
        <v>219093</v>
      </c>
      <c r="H8" s="191" t="n">
        <f aca="false">SEP!H47</f>
        <v>14501.3</v>
      </c>
      <c r="I8" s="52" t="n">
        <f aca="false">SEP!I47</f>
        <v>232246.5</v>
      </c>
      <c r="J8" s="52" t="n">
        <f aca="false">SEP!J47</f>
        <v>55599.0760020166</v>
      </c>
      <c r="K8" s="52" t="n">
        <f aca="false">SEP!K47</f>
        <v>287845.576002017</v>
      </c>
      <c r="L8" s="52" t="n">
        <f aca="false">SEP!L47</f>
        <v>50611.0394504663</v>
      </c>
      <c r="M8" s="52" t="n">
        <f aca="false">SEP!M47</f>
        <v>24839</v>
      </c>
      <c r="N8" s="52" t="n">
        <f aca="false">SEP!N47</f>
        <v>0</v>
      </c>
      <c r="O8" s="52" t="n">
        <f aca="false">SEP!O47</f>
        <v>402.2</v>
      </c>
      <c r="P8" s="52" t="n">
        <f aca="false">SEP!P47</f>
        <v>24839</v>
      </c>
      <c r="Q8" s="52" t="n">
        <f aca="false">SEP!Q47</f>
        <v>23875</v>
      </c>
      <c r="R8" s="52" t="n">
        <f aca="false">SEP!R47</f>
        <v>11970</v>
      </c>
      <c r="S8" s="52" t="n">
        <f aca="false">SEP!S47</f>
        <v>62642.6589362238</v>
      </c>
      <c r="T8" s="52" t="n">
        <f aca="false">SEP!T47</f>
        <v>0</v>
      </c>
      <c r="U8" s="52" t="n">
        <f aca="false">SEP!U47</f>
        <v>0</v>
      </c>
      <c r="V8" s="52" t="n">
        <f aca="false">SEP!V47</f>
        <v>153246.390471389</v>
      </c>
      <c r="W8" s="52" t="n">
        <f aca="false">SEP!W47</f>
        <v>215889.049407613</v>
      </c>
      <c r="X8" s="52" t="n">
        <f aca="false">SEP!X47</f>
        <v>4988.03655155029</v>
      </c>
      <c r="Y8" s="52" t="n">
        <f aca="false">SEP!Y47</f>
        <v>220877.085959163</v>
      </c>
      <c r="Z8" s="55" t="n">
        <f aca="false">SEP!Z47</f>
        <v>22.59</v>
      </c>
      <c r="AA8" s="57"/>
      <c r="AB8" s="57"/>
      <c r="AC8" s="58"/>
      <c r="AD8" s="186"/>
      <c r="AE8" s="92"/>
      <c r="AF8" s="93"/>
      <c r="AG8" s="44"/>
      <c r="AH8" s="44"/>
    </row>
    <row r="9" customFormat="false" ht="3" hidden="false" customHeight="true" outlineLevel="0" collapsed="false">
      <c r="A9" s="74"/>
      <c r="B9" s="75"/>
      <c r="C9" s="76"/>
      <c r="D9" s="74"/>
      <c r="E9" s="76"/>
      <c r="F9" s="74"/>
      <c r="G9" s="74"/>
      <c r="H9" s="19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6"/>
      <c r="U9" s="74"/>
      <c r="V9" s="74"/>
      <c r="W9" s="74"/>
      <c r="X9" s="74"/>
      <c r="Y9" s="74"/>
      <c r="Z9" s="170"/>
      <c r="AA9" s="79"/>
      <c r="AB9" s="79"/>
      <c r="AC9" s="80"/>
      <c r="AD9" s="188"/>
      <c r="AE9" s="92"/>
      <c r="AF9" s="93"/>
    </row>
    <row r="10" customFormat="false" ht="11.1" hidden="false" customHeight="true" outlineLevel="0" collapsed="false">
      <c r="A10" s="58" t="n">
        <v>1</v>
      </c>
      <c r="B10" s="73" t="n">
        <v>6900.38</v>
      </c>
      <c r="C10" s="52" t="n">
        <v>284616</v>
      </c>
      <c r="D10" s="57" t="n">
        <f aca="false">C10-C8</f>
        <v>-260</v>
      </c>
      <c r="E10" s="52" t="n">
        <f aca="false">C10-152000</f>
        <v>132616</v>
      </c>
      <c r="F10" s="51" t="n">
        <f aca="false">D10/$D$2</f>
        <v>-131.081421729266</v>
      </c>
      <c r="G10" s="51" t="n">
        <v>345</v>
      </c>
      <c r="H10" s="191" t="n">
        <v>32</v>
      </c>
      <c r="I10" s="51" t="n">
        <f aca="false">G10+H10</f>
        <v>377</v>
      </c>
      <c r="J10" s="81" t="n">
        <f aca="false">IF(L10&gt;0,L10,0)</f>
        <v>0</v>
      </c>
      <c r="K10" s="51" t="n">
        <f aca="false">I10+J10</f>
        <v>377</v>
      </c>
      <c r="L10" s="51" t="n">
        <f aca="false">F10-(I10-W10)</f>
        <v>-321.081421729266</v>
      </c>
      <c r="M10" s="51" t="n">
        <v>33</v>
      </c>
      <c r="N10" s="51" t="n">
        <v>0</v>
      </c>
      <c r="O10" s="51" t="n">
        <v>0</v>
      </c>
      <c r="P10" s="6" t="n">
        <f aca="false">M10-(N10+O10)</f>
        <v>33</v>
      </c>
      <c r="Q10" s="51" t="n">
        <v>54</v>
      </c>
      <c r="R10" s="51" t="n">
        <v>20</v>
      </c>
      <c r="S10" s="51" t="n">
        <f aca="false">SUM(P10:R10)</f>
        <v>107</v>
      </c>
      <c r="T10" s="52"/>
      <c r="U10" s="51"/>
      <c r="V10" s="51" t="n">
        <v>80</v>
      </c>
      <c r="W10" s="6" t="n">
        <f aca="false">N10+O10+S10+U10+V10</f>
        <v>187</v>
      </c>
      <c r="X10" s="51" t="n">
        <f aca="false">IF(L10&lt;0,L10*-1,0)</f>
        <v>321.081421729266</v>
      </c>
      <c r="Y10" s="51" t="n">
        <f aca="false">W10+X10</f>
        <v>508.081421729267</v>
      </c>
      <c r="Z10" s="55" t="n">
        <v>0</v>
      </c>
      <c r="AA10" s="57" t="n">
        <v>62</v>
      </c>
      <c r="AB10" s="57" t="n">
        <v>30</v>
      </c>
      <c r="AC10" s="58" t="n">
        <v>1</v>
      </c>
      <c r="AD10" s="186" t="n">
        <f aca="false">IF(I10&gt;S10,I10-S10,I10-S10)</f>
        <v>270</v>
      </c>
      <c r="AE10" s="94"/>
      <c r="AF10" s="94"/>
    </row>
    <row r="11" customFormat="false" ht="11.1" hidden="false" customHeight="true" outlineLevel="0" collapsed="false">
      <c r="A11" s="58" t="n">
        <f aca="false">A10+1</f>
        <v>2</v>
      </c>
      <c r="B11" s="73" t="n">
        <v>6900.51</v>
      </c>
      <c r="C11" s="52" t="n">
        <v>285468</v>
      </c>
      <c r="D11" s="57" t="n">
        <f aca="false">C11-C10</f>
        <v>852</v>
      </c>
      <c r="E11" s="52" t="n">
        <f aca="false">C11-152000</f>
        <v>133468</v>
      </c>
      <c r="F11" s="51" t="n">
        <f aca="false">D11/$D$2</f>
        <v>429.543735820519</v>
      </c>
      <c r="G11" s="51" t="n">
        <v>352</v>
      </c>
      <c r="H11" s="191" t="n">
        <v>33</v>
      </c>
      <c r="I11" s="51" t="n">
        <f aca="false">G11+H11</f>
        <v>385</v>
      </c>
      <c r="J11" s="81" t="n">
        <f aca="false">IF(L11&gt;0,L11,0)</f>
        <v>234.543735820519</v>
      </c>
      <c r="K11" s="51" t="n">
        <f aca="false">I11+J11</f>
        <v>619.543735820519</v>
      </c>
      <c r="L11" s="51" t="n">
        <f aca="false">F11-(I11-W11)</f>
        <v>234.543735820519</v>
      </c>
      <c r="M11" s="51" t="n">
        <v>35</v>
      </c>
      <c r="N11" s="51" t="n">
        <v>0</v>
      </c>
      <c r="O11" s="51" t="n">
        <v>0</v>
      </c>
      <c r="P11" s="6" t="n">
        <f aca="false">M11-(N11+O11)</f>
        <v>35</v>
      </c>
      <c r="Q11" s="51" t="n">
        <v>54</v>
      </c>
      <c r="R11" s="51" t="n">
        <v>20</v>
      </c>
      <c r="S11" s="51" t="n">
        <f aca="false">SUM(P11:R11)</f>
        <v>109</v>
      </c>
      <c r="T11" s="52"/>
      <c r="U11" s="51"/>
      <c r="V11" s="51" t="n">
        <v>81</v>
      </c>
      <c r="W11" s="6" t="n">
        <f aca="false">N11+O11+S11+U11+V11</f>
        <v>190</v>
      </c>
      <c r="X11" s="51" t="n">
        <f aca="false">IF(L11&lt;0,L11*-1,0)</f>
        <v>0</v>
      </c>
      <c r="Y11" s="51" t="n">
        <f aca="false">W11+X11</f>
        <v>190</v>
      </c>
      <c r="Z11" s="55" t="n">
        <v>0.01</v>
      </c>
      <c r="AA11" s="57" t="n">
        <v>58</v>
      </c>
      <c r="AB11" s="57" t="n">
        <v>42</v>
      </c>
      <c r="AC11" s="58" t="n">
        <f aca="false">AC10+1</f>
        <v>2</v>
      </c>
      <c r="AD11" s="186" t="n">
        <f aca="false">IF(I11&gt;S11,I11-S11,I11-S11)</f>
        <v>276</v>
      </c>
      <c r="AE11" s="94"/>
      <c r="AF11" s="94"/>
    </row>
    <row r="12" customFormat="false" ht="11.1" hidden="false" customHeight="true" outlineLevel="0" collapsed="false">
      <c r="A12" s="58" t="n">
        <f aca="false">A11+1</f>
        <v>3</v>
      </c>
      <c r="B12" s="73" t="n">
        <v>6900.62</v>
      </c>
      <c r="C12" s="52" t="n">
        <v>285875</v>
      </c>
      <c r="D12" s="57" t="n">
        <f aca="false">C12-C11</f>
        <v>407</v>
      </c>
      <c r="E12" s="52" t="n">
        <f aca="false">C12-152000</f>
        <v>133875</v>
      </c>
      <c r="F12" s="51" t="n">
        <f aca="false">D12/$D$2</f>
        <v>205.192840937736</v>
      </c>
      <c r="G12" s="51" t="n">
        <v>497</v>
      </c>
      <c r="H12" s="191" t="n">
        <v>35</v>
      </c>
      <c r="I12" s="51" t="n">
        <f aca="false">G12+H12</f>
        <v>532</v>
      </c>
      <c r="J12" s="81" t="n">
        <f aca="false">IF(L12&gt;0,L12,0)</f>
        <v>0</v>
      </c>
      <c r="K12" s="51" t="n">
        <f aca="false">I12+J12</f>
        <v>532</v>
      </c>
      <c r="L12" s="51" t="n">
        <f aca="false">F12-(I12-W12)</f>
        <v>-136.807159062264</v>
      </c>
      <c r="M12" s="51" t="n">
        <v>35</v>
      </c>
      <c r="N12" s="51" t="n">
        <v>0</v>
      </c>
      <c r="O12" s="51" t="n">
        <v>0</v>
      </c>
      <c r="P12" s="6" t="n">
        <f aca="false">M12-(N12+O12)</f>
        <v>35</v>
      </c>
      <c r="Q12" s="51" t="n">
        <v>54</v>
      </c>
      <c r="R12" s="51" t="n">
        <v>20</v>
      </c>
      <c r="S12" s="51" t="n">
        <f aca="false">SUM(P12:R12)</f>
        <v>109</v>
      </c>
      <c r="T12" s="52"/>
      <c r="U12" s="51"/>
      <c r="V12" s="51" t="n">
        <v>81</v>
      </c>
      <c r="W12" s="6" t="n">
        <f aca="false">N12+O12+S12+U12+V12</f>
        <v>190</v>
      </c>
      <c r="X12" s="51" t="n">
        <f aca="false">IF(L12&lt;0,L12*-1,0)</f>
        <v>136.807159062264</v>
      </c>
      <c r="Y12" s="51" t="n">
        <f aca="false">W12+X12</f>
        <v>326.807159062264</v>
      </c>
      <c r="Z12" s="55" t="n">
        <v>0.18</v>
      </c>
      <c r="AA12" s="57" t="n">
        <v>43</v>
      </c>
      <c r="AB12" s="57" t="n">
        <v>40</v>
      </c>
      <c r="AC12" s="58" t="n">
        <f aca="false">AC11+1</f>
        <v>3</v>
      </c>
      <c r="AD12" s="186" t="n">
        <f aca="false">IF(I12&gt;S12,I12-S12,I12-S12)</f>
        <v>423</v>
      </c>
      <c r="AE12" s="94"/>
      <c r="AF12" s="94"/>
    </row>
    <row r="13" customFormat="false" ht="11.1" hidden="false" customHeight="true" outlineLevel="0" collapsed="false">
      <c r="A13" s="58" t="n">
        <f aca="false">A12+1</f>
        <v>4</v>
      </c>
      <c r="B13" s="73" t="n">
        <v>6900.7</v>
      </c>
      <c r="C13" s="52" t="n">
        <v>286171</v>
      </c>
      <c r="D13" s="57" t="n">
        <f aca="false">C13-C12</f>
        <v>296</v>
      </c>
      <c r="E13" s="52" t="n">
        <f aca="false">C13-152000</f>
        <v>134171</v>
      </c>
      <c r="F13" s="51" t="n">
        <f aca="false">D13/$D$2</f>
        <v>149.231157045626</v>
      </c>
      <c r="G13" s="51" t="n">
        <v>362</v>
      </c>
      <c r="H13" s="191" t="n">
        <v>34</v>
      </c>
      <c r="I13" s="51" t="n">
        <f aca="false">G13+H13</f>
        <v>396</v>
      </c>
      <c r="J13" s="81" t="n">
        <f aca="false">IF(L13&gt;0,L13,0)</f>
        <v>0</v>
      </c>
      <c r="K13" s="51" t="n">
        <f aca="false">I13+J13</f>
        <v>396</v>
      </c>
      <c r="L13" s="51" t="n">
        <f aca="false">F13-(I13-W13)</f>
        <v>-56.7688429543736</v>
      </c>
      <c r="M13" s="51" t="n">
        <v>35</v>
      </c>
      <c r="N13" s="51" t="n">
        <v>0</v>
      </c>
      <c r="O13" s="51" t="n">
        <v>0</v>
      </c>
      <c r="P13" s="6" t="n">
        <f aca="false">M13-(N13+O13)</f>
        <v>35</v>
      </c>
      <c r="Q13" s="51" t="n">
        <v>54</v>
      </c>
      <c r="R13" s="51" t="n">
        <v>20</v>
      </c>
      <c r="S13" s="51" t="n">
        <f aca="false">SUM(P13:R13)</f>
        <v>109</v>
      </c>
      <c r="T13" s="52"/>
      <c r="U13" s="51"/>
      <c r="V13" s="51" t="n">
        <v>81</v>
      </c>
      <c r="W13" s="6" t="n">
        <f aca="false">N13+O13+S13+U13+V13</f>
        <v>190</v>
      </c>
      <c r="X13" s="51" t="n">
        <f aca="false">IF(L13&lt;0,L13*-1,0)</f>
        <v>56.7688429543736</v>
      </c>
      <c r="Y13" s="51" t="n">
        <f aca="false">W13+X13</f>
        <v>246.768842954374</v>
      </c>
      <c r="Z13" s="55" t="n">
        <v>0.04</v>
      </c>
      <c r="AA13" s="57" t="n">
        <v>56</v>
      </c>
      <c r="AB13" s="57" t="n">
        <v>31</v>
      </c>
      <c r="AC13" s="58" t="n">
        <f aca="false">AC12+1</f>
        <v>4</v>
      </c>
      <c r="AD13" s="186" t="n">
        <f aca="false">IF(I13&gt;S13,I13-S13,I13-S13)</f>
        <v>287</v>
      </c>
      <c r="AE13" s="94"/>
      <c r="AF13" s="94"/>
    </row>
    <row r="14" customFormat="false" ht="11.1" hidden="false" customHeight="true" outlineLevel="0" collapsed="false">
      <c r="A14" s="58" t="n">
        <f aca="false">A13+1</f>
        <v>5</v>
      </c>
      <c r="B14" s="73" t="n">
        <v>6900.82</v>
      </c>
      <c r="C14" s="52" t="n">
        <v>286616</v>
      </c>
      <c r="D14" s="57" t="n">
        <f aca="false">C14-C13</f>
        <v>445</v>
      </c>
      <c r="E14" s="52" t="n">
        <f aca="false">C14-152000</f>
        <v>134616</v>
      </c>
      <c r="F14" s="51" t="n">
        <f aca="false">D14/$D$2</f>
        <v>224.350894882783</v>
      </c>
      <c r="G14" s="51" t="n">
        <v>364</v>
      </c>
      <c r="H14" s="191" t="n">
        <v>35</v>
      </c>
      <c r="I14" s="51" t="n">
        <f aca="false">G14+H14</f>
        <v>399</v>
      </c>
      <c r="J14" s="81" t="n">
        <f aca="false">IF(L14&gt;0,L14,0)</f>
        <v>16.350894882783</v>
      </c>
      <c r="K14" s="51" t="n">
        <f aca="false">I14+J14</f>
        <v>415.350894882783</v>
      </c>
      <c r="L14" s="51" t="n">
        <f aca="false">F14-(I14-W14)</f>
        <v>16.350894882783</v>
      </c>
      <c r="M14" s="51" t="n">
        <v>36</v>
      </c>
      <c r="N14" s="51" t="n">
        <v>0</v>
      </c>
      <c r="O14" s="51" t="n">
        <v>0</v>
      </c>
      <c r="P14" s="6" t="n">
        <f aca="false">M14-(N14+O14)</f>
        <v>36</v>
      </c>
      <c r="Q14" s="51" t="n">
        <v>54</v>
      </c>
      <c r="R14" s="51" t="n">
        <v>20</v>
      </c>
      <c r="S14" s="51" t="n">
        <f aca="false">SUM(P14:R14)</f>
        <v>110</v>
      </c>
      <c r="T14" s="52"/>
      <c r="U14" s="51"/>
      <c r="V14" s="51" t="n">
        <v>81</v>
      </c>
      <c r="W14" s="6" t="n">
        <f aca="false">N14+O14+S14+U14+V14</f>
        <v>191</v>
      </c>
      <c r="X14" s="51" t="n">
        <f aca="false">IF(L14&lt;0,L14*-1,0)</f>
        <v>0</v>
      </c>
      <c r="Y14" s="51" t="n">
        <f aca="false">W14+X14</f>
        <v>191</v>
      </c>
      <c r="Z14" s="55" t="n">
        <v>0.05</v>
      </c>
      <c r="AA14" s="57" t="n">
        <v>62</v>
      </c>
      <c r="AB14" s="57" t="n">
        <v>37</v>
      </c>
      <c r="AC14" s="58" t="n">
        <f aca="false">AC13+1</f>
        <v>5</v>
      </c>
      <c r="AD14" s="186" t="n">
        <f aca="false">IF(I14&gt;S14,I14-S14,I14-S14)</f>
        <v>289</v>
      </c>
      <c r="AE14" s="94"/>
      <c r="AF14" s="94"/>
    </row>
    <row r="15" customFormat="false" ht="11.1" hidden="false" customHeight="true" outlineLevel="0" collapsed="false">
      <c r="A15" s="58" t="n">
        <f aca="false">A14+1</f>
        <v>6</v>
      </c>
      <c r="B15" s="73" t="n">
        <v>6900.89</v>
      </c>
      <c r="C15" s="52" t="n">
        <v>286875</v>
      </c>
      <c r="D15" s="57" t="n">
        <f aca="false">C15-C14</f>
        <v>259</v>
      </c>
      <c r="E15" s="52" t="n">
        <f aca="false">C15-152000</f>
        <v>134875</v>
      </c>
      <c r="F15" s="51" t="n">
        <f aca="false">D15/$D$2</f>
        <v>130.577262414923</v>
      </c>
      <c r="G15" s="51" t="n">
        <v>351</v>
      </c>
      <c r="H15" s="191" t="n">
        <v>34</v>
      </c>
      <c r="I15" s="51" t="n">
        <f aca="false">G15+H15</f>
        <v>385</v>
      </c>
      <c r="J15" s="81" t="n">
        <f aca="false">IF(L15&gt;0,L15,0)</f>
        <v>0</v>
      </c>
      <c r="K15" s="51" t="n">
        <f aca="false">I15+J15</f>
        <v>385</v>
      </c>
      <c r="L15" s="51" t="n">
        <f aca="false">F15-(I15-W15)</f>
        <v>-90.4227375850769</v>
      </c>
      <c r="M15" s="51" t="n">
        <v>42</v>
      </c>
      <c r="N15" s="51" t="n">
        <v>0</v>
      </c>
      <c r="O15" s="51" t="n">
        <v>0</v>
      </c>
      <c r="P15" s="6" t="n">
        <f aca="false">M15-(N15+O15)</f>
        <v>42</v>
      </c>
      <c r="Q15" s="51" t="n">
        <v>22</v>
      </c>
      <c r="R15" s="51" t="n">
        <v>19</v>
      </c>
      <c r="S15" s="51" t="n">
        <f aca="false">SUM(P15:R15)</f>
        <v>83</v>
      </c>
      <c r="T15" s="52"/>
      <c r="U15" s="51"/>
      <c r="V15" s="51" t="n">
        <v>81</v>
      </c>
      <c r="W15" s="6" t="n">
        <f aca="false">N15+O15+S15+U15+V15</f>
        <v>164</v>
      </c>
      <c r="X15" s="51" t="n">
        <f aca="false">IF(L15&lt;0,L15*-1,0)</f>
        <v>90.4227375850769</v>
      </c>
      <c r="Y15" s="51" t="n">
        <f aca="false">W15+X15</f>
        <v>254.422737585077</v>
      </c>
      <c r="Z15" s="55" t="n">
        <v>0</v>
      </c>
      <c r="AA15" s="57" t="n">
        <v>62</v>
      </c>
      <c r="AB15" s="57" t="n">
        <v>27</v>
      </c>
      <c r="AC15" s="58" t="n">
        <f aca="false">AC14+1</f>
        <v>6</v>
      </c>
      <c r="AD15" s="186" t="n">
        <f aca="false">IF(I15&gt;S15,I15-S15,I15-S15)</f>
        <v>302</v>
      </c>
      <c r="AE15" s="94"/>
      <c r="AF15" s="94"/>
    </row>
    <row r="16" customFormat="false" ht="11.1" hidden="false" customHeight="true" outlineLevel="0" collapsed="false">
      <c r="A16" s="58" t="n">
        <f aca="false">A15+1</f>
        <v>7</v>
      </c>
      <c r="B16" s="73" t="n">
        <v>6900.97</v>
      </c>
      <c r="C16" s="52" t="n">
        <v>287171</v>
      </c>
      <c r="D16" s="57" t="n">
        <f aca="false">C16-C15</f>
        <v>296</v>
      </c>
      <c r="E16" s="52" t="n">
        <f aca="false">C16-152000</f>
        <v>135171</v>
      </c>
      <c r="F16" s="51" t="n">
        <f aca="false">D16/$D$2</f>
        <v>149.231157045626</v>
      </c>
      <c r="G16" s="51" t="n">
        <v>357</v>
      </c>
      <c r="H16" s="191" t="n">
        <v>33</v>
      </c>
      <c r="I16" s="51" t="n">
        <f aca="false">G16+H16</f>
        <v>390</v>
      </c>
      <c r="J16" s="81" t="n">
        <f aca="false">IF(L16&gt;0,L16,0)</f>
        <v>0</v>
      </c>
      <c r="K16" s="51" t="n">
        <f aca="false">I16+J16</f>
        <v>390</v>
      </c>
      <c r="L16" s="51" t="n">
        <f aca="false">F16-(I16-W16)</f>
        <v>-93.7688429543736</v>
      </c>
      <c r="M16" s="51" t="n">
        <v>43</v>
      </c>
      <c r="N16" s="51" t="n">
        <v>0</v>
      </c>
      <c r="O16" s="51" t="n">
        <v>0</v>
      </c>
      <c r="P16" s="6" t="n">
        <f aca="false">M16-(N16+O16)</f>
        <v>43</v>
      </c>
      <c r="Q16" s="51" t="n">
        <v>6</v>
      </c>
      <c r="R16" s="51" t="n">
        <v>17</v>
      </c>
      <c r="S16" s="51" t="n">
        <f aca="false">SUM(P16:R16)</f>
        <v>66</v>
      </c>
      <c r="T16" s="52"/>
      <c r="U16" s="51"/>
      <c r="V16" s="51" t="n">
        <v>81</v>
      </c>
      <c r="W16" s="6" t="n">
        <f aca="false">N16+O16+S16+U16+V16</f>
        <v>147</v>
      </c>
      <c r="X16" s="51" t="n">
        <f aca="false">IF(L16&lt;0,L16*-1,0)</f>
        <v>93.7688429543736</v>
      </c>
      <c r="Y16" s="51" t="n">
        <f aca="false">W16+X16</f>
        <v>240.768842954374</v>
      </c>
      <c r="Z16" s="55" t="n">
        <v>0</v>
      </c>
      <c r="AA16" s="57" t="n">
        <v>61</v>
      </c>
      <c r="AB16" s="57" t="n">
        <v>34</v>
      </c>
      <c r="AC16" s="58" t="n">
        <f aca="false">AC15+1</f>
        <v>7</v>
      </c>
      <c r="AD16" s="186" t="n">
        <f aca="false">IF(I16&gt;S16,I16-S16,I16-S16)</f>
        <v>324</v>
      </c>
      <c r="AE16" s="94"/>
      <c r="AF16" s="94"/>
    </row>
    <row r="17" customFormat="false" ht="11.1" hidden="false" customHeight="true" outlineLevel="0" collapsed="false">
      <c r="A17" s="58" t="n">
        <f aca="false">A16+1</f>
        <v>8</v>
      </c>
      <c r="B17" s="73" t="n">
        <v>6901.05</v>
      </c>
      <c r="C17" s="52" t="n">
        <v>287469</v>
      </c>
      <c r="D17" s="57" t="n">
        <f aca="false">C17-C16</f>
        <v>298</v>
      </c>
      <c r="E17" s="52" t="n">
        <f aca="false">C17-152000</f>
        <v>135469</v>
      </c>
      <c r="F17" s="51" t="n">
        <f aca="false">D17/$D$2</f>
        <v>150.239475674313</v>
      </c>
      <c r="G17" s="51" t="n">
        <v>348</v>
      </c>
      <c r="H17" s="191" t="n">
        <v>32</v>
      </c>
      <c r="I17" s="51" t="n">
        <f aca="false">G17+H17</f>
        <v>380</v>
      </c>
      <c r="J17" s="81" t="n">
        <f aca="false">IF(L17&gt;0,L17,0)</f>
        <v>0</v>
      </c>
      <c r="K17" s="51" t="n">
        <f aca="false">I17+J17</f>
        <v>380</v>
      </c>
      <c r="L17" s="51" t="n">
        <f aca="false">F17-(I17-W17)</f>
        <v>-89.7605243256869</v>
      </c>
      <c r="M17" s="51" t="n">
        <v>43</v>
      </c>
      <c r="N17" s="51" t="n">
        <v>0</v>
      </c>
      <c r="O17" s="51" t="n">
        <v>0</v>
      </c>
      <c r="P17" s="6" t="n">
        <f aca="false">M17-(N17+O17)</f>
        <v>43</v>
      </c>
      <c r="Q17" s="51" t="n">
        <v>0</v>
      </c>
      <c r="R17" s="51" t="n">
        <v>16</v>
      </c>
      <c r="S17" s="51" t="n">
        <f aca="false">SUM(P17:R17)</f>
        <v>59</v>
      </c>
      <c r="T17" s="52"/>
      <c r="U17" s="51"/>
      <c r="V17" s="51" t="n">
        <v>81</v>
      </c>
      <c r="W17" s="6" t="n">
        <f aca="false">N17+O17+S17+U17+V17</f>
        <v>140</v>
      </c>
      <c r="X17" s="51" t="n">
        <f aca="false">IF(L17&lt;0,L17*-1,0)</f>
        <v>89.7605243256869</v>
      </c>
      <c r="Y17" s="51" t="n">
        <f aca="false">W17+X17</f>
        <v>229.760524325687</v>
      </c>
      <c r="Z17" s="55" t="n">
        <v>0</v>
      </c>
      <c r="AA17" s="57" t="n">
        <v>63</v>
      </c>
      <c r="AB17" s="57" t="n">
        <v>32</v>
      </c>
      <c r="AC17" s="58" t="n">
        <f aca="false">AC16+1</f>
        <v>8</v>
      </c>
      <c r="AD17" s="186" t="n">
        <f aca="false">IF(I17&gt;S17,I17-S17,I17-S17)</f>
        <v>321</v>
      </c>
      <c r="AE17" s="94"/>
      <c r="AF17" s="94"/>
    </row>
    <row r="18" customFormat="false" ht="11.1" hidden="false" customHeight="true" outlineLevel="0" collapsed="false">
      <c r="A18" s="58" t="n">
        <f aca="false">A17+1</f>
        <v>9</v>
      </c>
      <c r="B18" s="73" t="n">
        <v>6901.2</v>
      </c>
      <c r="C18" s="52" t="n">
        <v>288028</v>
      </c>
      <c r="D18" s="57" t="n">
        <f aca="false">C18-C17</f>
        <v>559</v>
      </c>
      <c r="E18" s="52" t="n">
        <f aca="false">C18-152000</f>
        <v>136028</v>
      </c>
      <c r="F18" s="51" t="n">
        <f aca="false">D18/$D$2</f>
        <v>281.825056717923</v>
      </c>
      <c r="G18" s="51" t="n">
        <v>337</v>
      </c>
      <c r="H18" s="191" t="n">
        <v>30</v>
      </c>
      <c r="I18" s="51" t="n">
        <f aca="false">G18+H18</f>
        <v>367</v>
      </c>
      <c r="J18" s="81" t="n">
        <f aca="false">IF(L18&gt;0,L18,0)</f>
        <v>54.8250567179228</v>
      </c>
      <c r="K18" s="51" t="n">
        <f aca="false">I18+J18</f>
        <v>421.825056717923</v>
      </c>
      <c r="L18" s="51" t="n">
        <f aca="false">F18-(I18-W18)</f>
        <v>54.8250567179228</v>
      </c>
      <c r="M18" s="51" t="n">
        <v>43</v>
      </c>
      <c r="N18" s="51" t="n">
        <v>0</v>
      </c>
      <c r="O18" s="51" t="n">
        <v>0</v>
      </c>
      <c r="P18" s="6" t="n">
        <f aca="false">M18-(N18+O18)</f>
        <v>43</v>
      </c>
      <c r="Q18" s="51" t="n">
        <v>0</v>
      </c>
      <c r="R18" s="51" t="n">
        <v>16</v>
      </c>
      <c r="S18" s="51" t="n">
        <f aca="false">SUM(P18:R18)</f>
        <v>59</v>
      </c>
      <c r="T18" s="52"/>
      <c r="U18" s="51"/>
      <c r="V18" s="51" t="n">
        <v>81</v>
      </c>
      <c r="W18" s="6" t="n">
        <f aca="false">N18+O18+S18+U18+V18</f>
        <v>140</v>
      </c>
      <c r="X18" s="51" t="n">
        <f aca="false">IF(L18&lt;0,L18*-1,0)</f>
        <v>0</v>
      </c>
      <c r="Y18" s="51" t="n">
        <f aca="false">W18+X18</f>
        <v>140</v>
      </c>
      <c r="Z18" s="55" t="n">
        <v>0</v>
      </c>
      <c r="AA18" s="82" t="n">
        <v>64</v>
      </c>
      <c r="AB18" s="57" t="n">
        <v>34</v>
      </c>
      <c r="AC18" s="58" t="n">
        <f aca="false">AC17+1</f>
        <v>9</v>
      </c>
      <c r="AD18" s="186" t="n">
        <f aca="false">IF(I18&gt;S18,I18-S18,I18-S18)</f>
        <v>308</v>
      </c>
      <c r="AE18" s="94"/>
      <c r="AF18" s="94"/>
    </row>
    <row r="19" customFormat="false" ht="11.1" hidden="false" customHeight="true" outlineLevel="0" collapsed="false">
      <c r="A19" s="58" t="n">
        <f aca="false">A18+1</f>
        <v>10</v>
      </c>
      <c r="B19" s="73" t="n">
        <v>6901.35</v>
      </c>
      <c r="C19" s="52" t="n">
        <v>288588</v>
      </c>
      <c r="D19" s="57" t="n">
        <f aca="false">C19-C18</f>
        <v>560</v>
      </c>
      <c r="E19" s="52" t="n">
        <f aca="false">C19-152000</f>
        <v>136588</v>
      </c>
      <c r="F19" s="51" t="n">
        <f aca="false">D19/$D$2</f>
        <v>282.329216032266</v>
      </c>
      <c r="G19" s="51" t="n">
        <v>333</v>
      </c>
      <c r="H19" s="191" t="n">
        <v>27</v>
      </c>
      <c r="I19" s="51" t="n">
        <f aca="false">G19+H19</f>
        <v>360</v>
      </c>
      <c r="J19" s="81" t="n">
        <f aca="false">IF(L19&gt;0,L19,0)</f>
        <v>62.3292160322662</v>
      </c>
      <c r="K19" s="51" t="n">
        <f aca="false">I19+J19</f>
        <v>422.329216032266</v>
      </c>
      <c r="L19" s="51" t="n">
        <f aca="false">F19-(I19-W19)</f>
        <v>62.3292160322662</v>
      </c>
      <c r="M19" s="51" t="n">
        <v>43</v>
      </c>
      <c r="N19" s="51" t="n">
        <v>0</v>
      </c>
      <c r="O19" s="51" t="n">
        <v>0</v>
      </c>
      <c r="P19" s="6" t="n">
        <f aca="false">M19-(N19+O19)</f>
        <v>43</v>
      </c>
      <c r="Q19" s="51" t="n">
        <v>0</v>
      </c>
      <c r="R19" s="51" t="n">
        <v>16</v>
      </c>
      <c r="S19" s="51" t="n">
        <f aca="false">SUM(P19:R19)</f>
        <v>59</v>
      </c>
      <c r="T19" s="52"/>
      <c r="U19" s="51"/>
      <c r="V19" s="51" t="n">
        <v>81</v>
      </c>
      <c r="W19" s="6" t="n">
        <f aca="false">N19+O19+S19+U19+V19</f>
        <v>140</v>
      </c>
      <c r="X19" s="51" t="n">
        <f aca="false">IF(L19&lt;0,L19*-1,0)</f>
        <v>0</v>
      </c>
      <c r="Y19" s="51" t="n">
        <f aca="false">W19+X19</f>
        <v>140</v>
      </c>
      <c r="Z19" s="55" t="n">
        <v>1.2</v>
      </c>
      <c r="AA19" s="57" t="n">
        <v>61</v>
      </c>
      <c r="AB19" s="57" t="n">
        <v>34</v>
      </c>
      <c r="AC19" s="58" t="n">
        <f aca="false">AC18+1</f>
        <v>10</v>
      </c>
      <c r="AD19" s="186" t="n">
        <f aca="false">IF(I19&gt;S19,I19-S19,I19-S19)</f>
        <v>301</v>
      </c>
      <c r="AE19" s="94"/>
      <c r="AF19" s="94"/>
    </row>
    <row r="20" customFormat="false" ht="11.1" hidden="false" customHeight="true" outlineLevel="0" collapsed="false">
      <c r="A20" s="58" t="n">
        <f aca="false">A19+1</f>
        <v>11</v>
      </c>
      <c r="B20" s="73" t="n">
        <v>6901.68</v>
      </c>
      <c r="C20" s="52" t="n">
        <v>289820</v>
      </c>
      <c r="D20" s="57" t="n">
        <f aca="false">C20-C19</f>
        <v>1232</v>
      </c>
      <c r="E20" s="52" t="n">
        <f aca="false">C20-152000</f>
        <v>137820</v>
      </c>
      <c r="F20" s="51" t="n">
        <f aca="false">D20/$D$2</f>
        <v>621.124275270986</v>
      </c>
      <c r="G20" s="51" t="n">
        <v>382</v>
      </c>
      <c r="H20" s="191" t="n">
        <v>31</v>
      </c>
      <c r="I20" s="51" t="n">
        <f aca="false">G20+H20</f>
        <v>413</v>
      </c>
      <c r="J20" s="81" t="n">
        <f aca="false">IF(L20&gt;0,L20,0)</f>
        <v>348.124275270986</v>
      </c>
      <c r="K20" s="51" t="n">
        <f aca="false">I20+J20</f>
        <v>761.124275270986</v>
      </c>
      <c r="L20" s="51" t="n">
        <f aca="false">F20-(I20-W20)</f>
        <v>348.124275270986</v>
      </c>
      <c r="M20" s="51" t="n">
        <v>43</v>
      </c>
      <c r="N20" s="51" t="n">
        <v>0</v>
      </c>
      <c r="O20" s="51" t="n">
        <v>0</v>
      </c>
      <c r="P20" s="6" t="n">
        <f aca="false">M20-(N20+O20)</f>
        <v>43</v>
      </c>
      <c r="Q20" s="51" t="n">
        <v>0</v>
      </c>
      <c r="R20" s="51" t="n">
        <v>16</v>
      </c>
      <c r="S20" s="51" t="n">
        <f aca="false">SUM(P20:R20)</f>
        <v>59</v>
      </c>
      <c r="T20" s="52"/>
      <c r="U20" s="51"/>
      <c r="V20" s="51" t="n">
        <v>81</v>
      </c>
      <c r="W20" s="6" t="n">
        <f aca="false">N20+O20+S20+U20+V20</f>
        <v>140</v>
      </c>
      <c r="X20" s="51" t="n">
        <f aca="false">IF(L20&lt;0,L20*-1,0)</f>
        <v>0</v>
      </c>
      <c r="Y20" s="51" t="n">
        <f aca="false">W20+X20</f>
        <v>140</v>
      </c>
      <c r="Z20" s="55" t="n">
        <v>0.8</v>
      </c>
      <c r="AA20" s="57" t="n">
        <v>46</v>
      </c>
      <c r="AB20" s="57" t="n">
        <v>34</v>
      </c>
      <c r="AC20" s="58" t="n">
        <f aca="false">AC19+1</f>
        <v>11</v>
      </c>
      <c r="AD20" s="186" t="n">
        <f aca="false">IF(I20&gt;S20,I20-S20,I20-S20)</f>
        <v>354</v>
      </c>
      <c r="AE20" s="94"/>
      <c r="AF20" s="94"/>
      <c r="AG20" s="195"/>
      <c r="AH20" s="195"/>
      <c r="AI20" s="195"/>
    </row>
    <row r="21" customFormat="false" ht="11.1" hidden="false" customHeight="true" outlineLevel="0" collapsed="false">
      <c r="A21" s="58" t="n">
        <f aca="false">A20+1</f>
        <v>12</v>
      </c>
      <c r="B21" s="73" t="n">
        <v>6901.85</v>
      </c>
      <c r="C21" s="52" t="n">
        <v>290455</v>
      </c>
      <c r="D21" s="57" t="n">
        <f aca="false">C21-C20</f>
        <v>635</v>
      </c>
      <c r="E21" s="52" t="n">
        <f aca="false">C21-152000</f>
        <v>138455</v>
      </c>
      <c r="F21" s="51" t="n">
        <f aca="false">D21/$D$2</f>
        <v>320.141164608016</v>
      </c>
      <c r="G21" s="51" t="n">
        <v>423</v>
      </c>
      <c r="H21" s="191" t="n">
        <v>46</v>
      </c>
      <c r="I21" s="51" t="n">
        <f aca="false">G21+H21</f>
        <v>469</v>
      </c>
      <c r="J21" s="81" t="n">
        <f aca="false">IF(L21&gt;0,L21,0)</f>
        <v>0</v>
      </c>
      <c r="K21" s="51" t="n">
        <f aca="false">I21+J21</f>
        <v>469</v>
      </c>
      <c r="L21" s="51" t="n">
        <f aca="false">F21-(I21-W21)</f>
        <v>-8.85883539198386</v>
      </c>
      <c r="M21" s="51" t="n">
        <v>44</v>
      </c>
      <c r="N21" s="51" t="n">
        <v>0</v>
      </c>
      <c r="O21" s="51" t="n">
        <v>0</v>
      </c>
      <c r="P21" s="6" t="n">
        <f aca="false">M21-(N21+O21)</f>
        <v>44</v>
      </c>
      <c r="Q21" s="51" t="n">
        <v>0</v>
      </c>
      <c r="R21" s="51" t="n">
        <v>15</v>
      </c>
      <c r="S21" s="51" t="n">
        <f aca="false">SUM(P21:R21)</f>
        <v>59</v>
      </c>
      <c r="T21" s="52"/>
      <c r="U21" s="51"/>
      <c r="V21" s="51" t="n">
        <v>81</v>
      </c>
      <c r="W21" s="6" t="n">
        <f aca="false">N21+O21+S21+U21+V21</f>
        <v>140</v>
      </c>
      <c r="X21" s="51" t="n">
        <f aca="false">IF(L21&lt;0,L21*-1,0)</f>
        <v>8.85883539198386</v>
      </c>
      <c r="Y21" s="51" t="n">
        <f aca="false">W21+X21</f>
        <v>148.858835391984</v>
      </c>
      <c r="Z21" s="55" t="n">
        <v>0.56</v>
      </c>
      <c r="AA21" s="57" t="n">
        <v>39</v>
      </c>
      <c r="AB21" s="57" t="n">
        <v>32</v>
      </c>
      <c r="AC21" s="58" t="n">
        <f aca="false">AC20+1</f>
        <v>12</v>
      </c>
      <c r="AD21" s="186" t="n">
        <f aca="false">IF(I21&gt;S21,I21-S21,I21-S21)</f>
        <v>410</v>
      </c>
      <c r="AE21" s="92"/>
      <c r="AF21" s="94"/>
    </row>
    <row r="22" customFormat="false" ht="11.1" hidden="false" customHeight="true" outlineLevel="0" collapsed="false">
      <c r="A22" s="58" t="n">
        <f aca="false">A21+1</f>
        <v>13</v>
      </c>
      <c r="B22" s="73" t="n">
        <v>6902.07</v>
      </c>
      <c r="C22" s="52" t="n">
        <v>291278</v>
      </c>
      <c r="D22" s="57" t="n">
        <f aca="false">C22-C21</f>
        <v>823</v>
      </c>
      <c r="E22" s="52" t="n">
        <f aca="false">C22-152000</f>
        <v>139278</v>
      </c>
      <c r="F22" s="51" t="n">
        <f aca="false">D22/$D$2</f>
        <v>414.923115704563</v>
      </c>
      <c r="G22" s="51" t="n">
        <v>379</v>
      </c>
      <c r="H22" s="191" t="n">
        <v>37</v>
      </c>
      <c r="I22" s="51" t="n">
        <f aca="false">G22+H22</f>
        <v>416</v>
      </c>
      <c r="J22" s="81" t="n">
        <f aca="false">IF(L22&gt;0,L22,0)</f>
        <v>138.923115704563</v>
      </c>
      <c r="K22" s="51" t="n">
        <f aca="false">I22+J22</f>
        <v>554.923115704563</v>
      </c>
      <c r="L22" s="51" t="n">
        <f aca="false">F22-(I22-W22)</f>
        <v>138.923115704563</v>
      </c>
      <c r="M22" s="51" t="n">
        <v>44</v>
      </c>
      <c r="N22" s="51" t="n">
        <v>0</v>
      </c>
      <c r="O22" s="51" t="n">
        <v>0</v>
      </c>
      <c r="P22" s="6" t="n">
        <f aca="false">M22-(N22+O22)</f>
        <v>44</v>
      </c>
      <c r="Q22" s="51" t="n">
        <v>0</v>
      </c>
      <c r="R22" s="51" t="n">
        <v>15</v>
      </c>
      <c r="S22" s="51" t="n">
        <f aca="false">SUM(P22:R22)</f>
        <v>59</v>
      </c>
      <c r="T22" s="52"/>
      <c r="U22" s="51"/>
      <c r="V22" s="51" t="n">
        <v>81</v>
      </c>
      <c r="W22" s="6" t="n">
        <f aca="false">N22+O22+S22+U22+V22</f>
        <v>140</v>
      </c>
      <c r="X22" s="51" t="n">
        <f aca="false">IF(L22&lt;0,L22*-1,0)</f>
        <v>0</v>
      </c>
      <c r="Y22" s="51" t="n">
        <f aca="false">W22+X22</f>
        <v>140</v>
      </c>
      <c r="Z22" s="55" t="n">
        <v>0</v>
      </c>
      <c r="AA22" s="57" t="n">
        <v>47</v>
      </c>
      <c r="AB22" s="57" t="n">
        <v>16</v>
      </c>
      <c r="AC22" s="58" t="n">
        <f aca="false">AC21+1</f>
        <v>13</v>
      </c>
      <c r="AD22" s="186" t="n">
        <f aca="false">IF(I22&gt;S22,I22-S22,I22-S22)</f>
        <v>357</v>
      </c>
      <c r="AE22" s="92"/>
      <c r="AF22" s="94"/>
    </row>
    <row r="23" customFormat="false" ht="11.1" hidden="false" customHeight="true" outlineLevel="0" collapsed="false">
      <c r="A23" s="58" t="n">
        <f aca="false">A22+1</f>
        <v>14</v>
      </c>
      <c r="B23" s="73" t="n">
        <v>6901.97</v>
      </c>
      <c r="C23" s="52" t="n">
        <v>290902</v>
      </c>
      <c r="D23" s="57" t="n">
        <f aca="false">C23-C22</f>
        <v>-376</v>
      </c>
      <c r="E23" s="52" t="n">
        <f aca="false">C23-152000</f>
        <v>138902</v>
      </c>
      <c r="F23" s="51" t="n">
        <f aca="false">D23/$D$2</f>
        <v>-189.563902193093</v>
      </c>
      <c r="G23" s="51" t="n">
        <v>382</v>
      </c>
      <c r="H23" s="191" t="n">
        <v>38</v>
      </c>
      <c r="I23" s="51" t="n">
        <f aca="false">G23+H23</f>
        <v>420</v>
      </c>
      <c r="J23" s="81" t="n">
        <f aca="false">IF(L23&gt;0,L23,0)</f>
        <v>0</v>
      </c>
      <c r="K23" s="51" t="n">
        <f aca="false">I23+J23</f>
        <v>420</v>
      </c>
      <c r="L23" s="51" t="n">
        <f aca="false">F23-(I23-W23)</f>
        <v>-252.563902193093</v>
      </c>
      <c r="M23" s="51" t="n">
        <v>44</v>
      </c>
      <c r="N23" s="51" t="n">
        <v>0</v>
      </c>
      <c r="O23" s="51" t="n">
        <v>0</v>
      </c>
      <c r="P23" s="6" t="n">
        <f aca="false">M23-(N23+O23)</f>
        <v>44</v>
      </c>
      <c r="Q23" s="51" t="n">
        <v>0</v>
      </c>
      <c r="R23" s="101" t="n">
        <v>14</v>
      </c>
      <c r="S23" s="51" t="n">
        <f aca="false">SUM(P23:R23)</f>
        <v>58</v>
      </c>
      <c r="T23" s="52"/>
      <c r="U23" s="51"/>
      <c r="V23" s="51" t="n">
        <v>299</v>
      </c>
      <c r="W23" s="6" t="n">
        <f aca="false">N23+O23+S23+U23+V23</f>
        <v>357</v>
      </c>
      <c r="X23" s="51" t="n">
        <f aca="false">IF(L23&lt;0,L23*-1,0)</f>
        <v>252.563902193093</v>
      </c>
      <c r="Y23" s="51" t="n">
        <f aca="false">W23+X23</f>
        <v>609.563902193093</v>
      </c>
      <c r="Z23" s="55" t="n">
        <v>0</v>
      </c>
      <c r="AA23" s="82" t="n">
        <v>53</v>
      </c>
      <c r="AB23" s="57" t="n">
        <v>20</v>
      </c>
      <c r="AC23" s="58" t="n">
        <f aca="false">AC22+1</f>
        <v>14</v>
      </c>
      <c r="AD23" s="186" t="n">
        <f aca="false">IF(I23&gt;S23,I23-S23,I23-S23)</f>
        <v>362</v>
      </c>
      <c r="AE23" s="92"/>
      <c r="AF23" s="94"/>
    </row>
    <row r="24" customFormat="false" ht="11.1" hidden="false" customHeight="true" outlineLevel="0" collapsed="false">
      <c r="A24" s="58" t="n">
        <f aca="false">A23+1</f>
        <v>15</v>
      </c>
      <c r="B24" s="73" t="n">
        <v>6901.95</v>
      </c>
      <c r="C24" s="52" t="n">
        <v>290828</v>
      </c>
      <c r="D24" s="57" t="n">
        <f aca="false">C24-C23</f>
        <v>-74</v>
      </c>
      <c r="E24" s="52" t="n">
        <f aca="false">C24-152000</f>
        <v>138828</v>
      </c>
      <c r="F24" s="51" t="n">
        <f aca="false">D24/$D$2</f>
        <v>-37.3077892614066</v>
      </c>
      <c r="G24" s="51" t="n">
        <v>390</v>
      </c>
      <c r="H24" s="191" t="n">
        <v>40</v>
      </c>
      <c r="I24" s="51" t="n">
        <f aca="false">G24+H24</f>
        <v>430</v>
      </c>
      <c r="J24" s="81" t="n">
        <f aca="false">IF(L24&gt;0,L24,0)</f>
        <v>12.6922107385934</v>
      </c>
      <c r="K24" s="51" t="n">
        <f aca="false">I24+J24</f>
        <v>442.692210738593</v>
      </c>
      <c r="L24" s="51" t="n">
        <f aca="false">F24-(I24-W24)</f>
        <v>12.6922107385934</v>
      </c>
      <c r="M24" s="51" t="n">
        <v>44</v>
      </c>
      <c r="N24" s="51" t="n">
        <v>0</v>
      </c>
      <c r="O24" s="51" t="n">
        <v>0</v>
      </c>
      <c r="P24" s="6" t="n">
        <f aca="false">M24-(N24+O24)</f>
        <v>44</v>
      </c>
      <c r="Q24" s="51" t="n">
        <v>0</v>
      </c>
      <c r="R24" s="101" t="n">
        <v>13</v>
      </c>
      <c r="S24" s="51" t="n">
        <f aca="false">SUM(P24:R24)</f>
        <v>57</v>
      </c>
      <c r="T24" s="52"/>
      <c r="U24" s="51"/>
      <c r="V24" s="51" t="n">
        <v>423</v>
      </c>
      <c r="W24" s="6" t="n">
        <f aca="false">N24+O24+S24+U24+V24</f>
        <v>480</v>
      </c>
      <c r="X24" s="51" t="n">
        <f aca="false">IF(L24&lt;0,L24*-1,0)</f>
        <v>0</v>
      </c>
      <c r="Y24" s="51" t="n">
        <f aca="false">W24+X24</f>
        <v>480</v>
      </c>
      <c r="Z24" s="55" t="n">
        <v>0</v>
      </c>
      <c r="AA24" s="82" t="n">
        <v>60</v>
      </c>
      <c r="AB24" s="57" t="n">
        <v>24</v>
      </c>
      <c r="AC24" s="58" t="n">
        <f aca="false">AC23+1</f>
        <v>15</v>
      </c>
      <c r="AD24" s="186" t="n">
        <f aca="false">IF(I24&gt;S24,I24-S24,I24-S24)</f>
        <v>373</v>
      </c>
      <c r="AE24" s="92"/>
      <c r="AF24" s="94"/>
    </row>
    <row r="25" customFormat="false" ht="11.1" hidden="false" customHeight="true" outlineLevel="0" collapsed="false">
      <c r="A25" s="58" t="n">
        <f aca="false">A24+1</f>
        <v>16</v>
      </c>
      <c r="B25" s="73" t="n">
        <v>6901.91</v>
      </c>
      <c r="C25" s="52" t="n">
        <v>290678</v>
      </c>
      <c r="D25" s="57" t="n">
        <f aca="false">C25-C24</f>
        <v>-150</v>
      </c>
      <c r="E25" s="52" t="n">
        <f aca="false">C25-152000</f>
        <v>138678</v>
      </c>
      <c r="F25" s="51" t="n">
        <f aca="false">D25/$D$2</f>
        <v>-75.6238971514999</v>
      </c>
      <c r="G25" s="51" t="n">
        <v>396</v>
      </c>
      <c r="H25" s="191" t="n">
        <v>43</v>
      </c>
      <c r="I25" s="51" t="n">
        <f aca="false">G25+H25</f>
        <v>439</v>
      </c>
      <c r="J25" s="81" t="n">
        <f aca="false">IF(L25&gt;0,L25,0)</f>
        <v>0</v>
      </c>
      <c r="K25" s="51" t="n">
        <f aca="false">I25+J25</f>
        <v>439</v>
      </c>
      <c r="L25" s="51" t="n">
        <f aca="false">F25-(I25-W25)</f>
        <v>-55.6238971514999</v>
      </c>
      <c r="M25" s="51" t="n">
        <v>44</v>
      </c>
      <c r="N25" s="51" t="n">
        <v>0</v>
      </c>
      <c r="O25" s="51" t="n">
        <v>0</v>
      </c>
      <c r="P25" s="6" t="n">
        <f aca="false">M25-(N25+O25)</f>
        <v>44</v>
      </c>
      <c r="Q25" s="51" t="n">
        <v>0</v>
      </c>
      <c r="R25" s="51" t="n">
        <v>13</v>
      </c>
      <c r="S25" s="51" t="n">
        <f aca="false">SUM(P25:R25)</f>
        <v>57</v>
      </c>
      <c r="T25" s="52"/>
      <c r="U25" s="51"/>
      <c r="V25" s="51" t="n">
        <v>402</v>
      </c>
      <c r="W25" s="6" t="n">
        <f aca="false">N25+O25+S25+U25+V25</f>
        <v>459</v>
      </c>
      <c r="X25" s="51" t="n">
        <f aca="false">IF(L25&lt;0,L25*-1,0)</f>
        <v>55.6238971514999</v>
      </c>
      <c r="Y25" s="51" t="n">
        <f aca="false">W25+X25</f>
        <v>514.6238971515</v>
      </c>
      <c r="Z25" s="55" t="n">
        <v>0</v>
      </c>
      <c r="AA25" s="82" t="n">
        <v>60</v>
      </c>
      <c r="AB25" s="57" t="n">
        <v>24</v>
      </c>
      <c r="AC25" s="58" t="n">
        <f aca="false">AC24+1</f>
        <v>16</v>
      </c>
      <c r="AD25" s="186" t="n">
        <f aca="false">IF(I25&gt;S25,I25-S25,I25-S25)</f>
        <v>382</v>
      </c>
      <c r="AE25" s="92"/>
      <c r="AF25" s="94"/>
    </row>
    <row r="26" customFormat="false" ht="11.1" hidden="false" customHeight="true" outlineLevel="0" collapsed="false">
      <c r="A26" s="58" t="n">
        <f aca="false">A25+1</f>
        <v>17</v>
      </c>
      <c r="B26" s="73" t="n">
        <v>6901.92</v>
      </c>
      <c r="C26" s="52" t="n">
        <v>290716</v>
      </c>
      <c r="D26" s="57" t="n">
        <f aca="false">C26-C25</f>
        <v>38</v>
      </c>
      <c r="E26" s="52" t="n">
        <f aca="false">C26-152000</f>
        <v>138716</v>
      </c>
      <c r="F26" s="51" t="n">
        <f aca="false">D26/$D$2</f>
        <v>19.1580539450466</v>
      </c>
      <c r="G26" s="51" t="n">
        <v>387</v>
      </c>
      <c r="H26" s="191" t="n">
        <v>47</v>
      </c>
      <c r="I26" s="51" t="n">
        <f aca="false">G26+H26</f>
        <v>434</v>
      </c>
      <c r="J26" s="81" t="n">
        <f aca="false">IF(L26&gt;0,L26,0)</f>
        <v>43.1580539450466</v>
      </c>
      <c r="K26" s="51" t="n">
        <f aca="false">I26+J26</f>
        <v>477.158053945047</v>
      </c>
      <c r="L26" s="51" t="n">
        <f aca="false">F26-(I26-W26)</f>
        <v>43.1580539450466</v>
      </c>
      <c r="M26" s="51" t="n">
        <v>44</v>
      </c>
      <c r="N26" s="51" t="n">
        <v>0</v>
      </c>
      <c r="O26" s="51" t="n">
        <v>0</v>
      </c>
      <c r="P26" s="6" t="n">
        <f aca="false">M26-(N26+O26)</f>
        <v>44</v>
      </c>
      <c r="Q26" s="51" t="n">
        <v>0</v>
      </c>
      <c r="R26" s="51" t="n">
        <v>13</v>
      </c>
      <c r="S26" s="51" t="n">
        <f aca="false">SUM(P26:R26)</f>
        <v>57</v>
      </c>
      <c r="T26" s="52"/>
      <c r="U26" s="51"/>
      <c r="V26" s="51" t="n">
        <v>401</v>
      </c>
      <c r="W26" s="6" t="n">
        <f aca="false">N26+O26+S26+U26+V26</f>
        <v>458</v>
      </c>
      <c r="X26" s="51" t="n">
        <f aca="false">IF(L26&lt;0,L26*-1,0)</f>
        <v>0</v>
      </c>
      <c r="Y26" s="51" t="n">
        <f aca="false">W26+X26</f>
        <v>458</v>
      </c>
      <c r="Z26" s="55" t="n">
        <v>0</v>
      </c>
      <c r="AA26" s="82" t="n">
        <v>62</v>
      </c>
      <c r="AB26" s="57" t="n">
        <v>32</v>
      </c>
      <c r="AC26" s="58" t="n">
        <f aca="false">AC25+1</f>
        <v>17</v>
      </c>
      <c r="AD26" s="186" t="n">
        <v>0</v>
      </c>
      <c r="AE26" s="92"/>
      <c r="AF26" s="94"/>
    </row>
    <row r="27" customFormat="false" ht="11.1" hidden="false" customHeight="true" outlineLevel="0" collapsed="false">
      <c r="A27" s="58" t="n">
        <f aca="false">A26+1</f>
        <v>18</v>
      </c>
      <c r="B27" s="73" t="n">
        <v>6901.94</v>
      </c>
      <c r="C27" s="52" t="n">
        <v>290790</v>
      </c>
      <c r="D27" s="57" t="n">
        <f aca="false">C27-C26</f>
        <v>74</v>
      </c>
      <c r="E27" s="52" t="n">
        <f aca="false">C27-152000</f>
        <v>138790</v>
      </c>
      <c r="F27" s="51" t="n">
        <f aca="false">D27/$D$2</f>
        <v>37.3077892614066</v>
      </c>
      <c r="G27" s="51" t="n">
        <v>385</v>
      </c>
      <c r="H27" s="191" t="n">
        <v>50</v>
      </c>
      <c r="I27" s="51" t="n">
        <f aca="false">G27+H27</f>
        <v>435</v>
      </c>
      <c r="J27" s="81" t="n">
        <f aca="false">IF(L27&gt;0,L27,0)</f>
        <v>60.3077892614066</v>
      </c>
      <c r="K27" s="51" t="n">
        <f aca="false">I27+J27</f>
        <v>495.307789261407</v>
      </c>
      <c r="L27" s="51" t="n">
        <f aca="false">F27-(I27-W27)</f>
        <v>60.3077892614066</v>
      </c>
      <c r="M27" s="51" t="n">
        <v>44</v>
      </c>
      <c r="N27" s="51" t="n">
        <v>0</v>
      </c>
      <c r="O27" s="51" t="n">
        <v>0</v>
      </c>
      <c r="P27" s="6" t="n">
        <f aca="false">M27-(N27+O27)</f>
        <v>44</v>
      </c>
      <c r="Q27" s="51" t="n">
        <v>0</v>
      </c>
      <c r="R27" s="51" t="n">
        <v>13</v>
      </c>
      <c r="S27" s="51" t="n">
        <f aca="false">SUM(P27:R27)</f>
        <v>57</v>
      </c>
      <c r="T27" s="52"/>
      <c r="U27" s="51"/>
      <c r="V27" s="51" t="n">
        <v>401</v>
      </c>
      <c r="W27" s="6" t="n">
        <f aca="false">N27+O27+S27+U27+V27</f>
        <v>458</v>
      </c>
      <c r="X27" s="51" t="n">
        <f aca="false">IF(L27&lt;0,L27*-1,0)</f>
        <v>0</v>
      </c>
      <c r="Y27" s="51" t="n">
        <f aca="false">W27+X27</f>
        <v>458</v>
      </c>
      <c r="Z27" s="55" t="n">
        <v>0</v>
      </c>
      <c r="AA27" s="82" t="n">
        <v>59</v>
      </c>
      <c r="AB27" s="57" t="n">
        <v>34</v>
      </c>
      <c r="AC27" s="58" t="n">
        <f aca="false">AC26+1</f>
        <v>18</v>
      </c>
      <c r="AD27" s="186" t="n">
        <v>0</v>
      </c>
      <c r="AE27" s="92"/>
      <c r="AF27" s="94"/>
    </row>
    <row r="28" customFormat="false" ht="11.1" hidden="false" customHeight="true" outlineLevel="0" collapsed="false">
      <c r="A28" s="58" t="n">
        <f aca="false">A27+1</f>
        <v>19</v>
      </c>
      <c r="B28" s="73" t="n">
        <v>6901.82</v>
      </c>
      <c r="C28" s="99" t="n">
        <v>290343</v>
      </c>
      <c r="D28" s="57" t="n">
        <f aca="false">C28-C27</f>
        <v>-447</v>
      </c>
      <c r="E28" s="52" t="n">
        <f aca="false">C28-152000</f>
        <v>138343</v>
      </c>
      <c r="F28" s="51" t="n">
        <f aca="false">D28/$D$2</f>
        <v>-225.35921351147</v>
      </c>
      <c r="G28" s="51" t="n">
        <v>386</v>
      </c>
      <c r="H28" s="191" t="n">
        <v>52</v>
      </c>
      <c r="I28" s="51" t="n">
        <f aca="false">G28+H28</f>
        <v>438</v>
      </c>
      <c r="J28" s="81" t="n">
        <f aca="false">IF(L28&gt;0,L28,0)</f>
        <v>0</v>
      </c>
      <c r="K28" s="51" t="n">
        <f aca="false">I28+J28</f>
        <v>438</v>
      </c>
      <c r="L28" s="51" t="n">
        <f aca="false">F28-(I28-W28)</f>
        <v>-205.35921351147</v>
      </c>
      <c r="M28" s="51" t="n">
        <v>44</v>
      </c>
      <c r="N28" s="51" t="n">
        <v>0</v>
      </c>
      <c r="O28" s="51" t="n">
        <v>0</v>
      </c>
      <c r="P28" s="6" t="n">
        <f aca="false">M28-(N28+O28)</f>
        <v>44</v>
      </c>
      <c r="Q28" s="51" t="n">
        <v>0</v>
      </c>
      <c r="R28" s="51" t="n">
        <v>13</v>
      </c>
      <c r="S28" s="51" t="n">
        <f aca="false">SUM(P28:R28)</f>
        <v>57</v>
      </c>
      <c r="T28" s="52"/>
      <c r="U28" s="51"/>
      <c r="V28" s="51" t="n">
        <v>401</v>
      </c>
      <c r="W28" s="6" t="n">
        <f aca="false">N28+O28+S28+U28+V28</f>
        <v>458</v>
      </c>
      <c r="X28" s="51" t="n">
        <f aca="false">IF(L28&lt;0,L28*-1,0)</f>
        <v>205.35921351147</v>
      </c>
      <c r="Y28" s="51" t="n">
        <f aca="false">W28+X28</f>
        <v>663.35921351147</v>
      </c>
      <c r="Z28" s="55" t="n">
        <v>0.01</v>
      </c>
      <c r="AA28" s="82" t="n">
        <v>60</v>
      </c>
      <c r="AB28" s="57" t="n">
        <v>37</v>
      </c>
      <c r="AC28" s="58" t="n">
        <f aca="false">AC27+1</f>
        <v>19</v>
      </c>
      <c r="AD28" s="186" t="n">
        <v>0</v>
      </c>
      <c r="AE28" s="92"/>
      <c r="AF28" s="94"/>
    </row>
    <row r="29" customFormat="false" ht="11.1" hidden="false" customHeight="true" outlineLevel="0" collapsed="false">
      <c r="A29" s="58" t="n">
        <f aca="false">A28+1</f>
        <v>20</v>
      </c>
      <c r="B29" s="73" t="n">
        <v>6901.78</v>
      </c>
      <c r="C29" s="52" t="n">
        <v>290193</v>
      </c>
      <c r="D29" s="57" t="n">
        <f aca="false">C29-C28</f>
        <v>-150</v>
      </c>
      <c r="E29" s="52" t="n">
        <f aca="false">C29-152000</f>
        <v>138193</v>
      </c>
      <c r="F29" s="51" t="n">
        <f aca="false">D29/$D$2</f>
        <v>-75.6238971514999</v>
      </c>
      <c r="G29" s="51" t="n">
        <v>375</v>
      </c>
      <c r="H29" s="191" t="n">
        <v>49</v>
      </c>
      <c r="I29" s="51" t="n">
        <f aca="false">G29+H29</f>
        <v>424</v>
      </c>
      <c r="J29" s="81" t="n">
        <f aca="false">IF(L29&gt;0,L29,0)</f>
        <v>0</v>
      </c>
      <c r="K29" s="51" t="n">
        <f aca="false">I29+J29</f>
        <v>424</v>
      </c>
      <c r="L29" s="51" t="n">
        <f aca="false">F29-(I29-W29)</f>
        <v>-40.6238971514999</v>
      </c>
      <c r="M29" s="51" t="n">
        <v>44</v>
      </c>
      <c r="N29" s="51" t="n">
        <v>0</v>
      </c>
      <c r="O29" s="51" t="n">
        <v>0</v>
      </c>
      <c r="P29" s="6" t="n">
        <f aca="false">M29-(N29+O29)</f>
        <v>44</v>
      </c>
      <c r="Q29" s="51" t="n">
        <v>0</v>
      </c>
      <c r="R29" s="51" t="n">
        <v>13</v>
      </c>
      <c r="S29" s="51" t="n">
        <f aca="false">SUM(P29:R29)</f>
        <v>57</v>
      </c>
      <c r="T29" s="52"/>
      <c r="U29" s="51"/>
      <c r="V29" s="51" t="n">
        <v>402</v>
      </c>
      <c r="W29" s="6" t="n">
        <f aca="false">N29+O29+S29+U29+V29</f>
        <v>459</v>
      </c>
      <c r="X29" s="51" t="n">
        <f aca="false">IF(L29&lt;0,L29*-1,0)</f>
        <v>40.6238971514999</v>
      </c>
      <c r="Y29" s="51" t="n">
        <f aca="false">W29+X29</f>
        <v>499.6238971515</v>
      </c>
      <c r="Z29" s="55" t="n">
        <v>0</v>
      </c>
      <c r="AA29" s="82" t="n">
        <v>56</v>
      </c>
      <c r="AB29" s="57" t="n">
        <v>31</v>
      </c>
      <c r="AC29" s="58" t="n">
        <f aca="false">AC28+1</f>
        <v>20</v>
      </c>
      <c r="AD29" s="186" t="n">
        <v>0</v>
      </c>
      <c r="AE29" s="92"/>
      <c r="AF29" s="94"/>
    </row>
    <row r="30" customFormat="false" ht="11.1" hidden="false" customHeight="true" outlineLevel="0" collapsed="false">
      <c r="A30" s="58" t="n">
        <f aca="false">A29+1</f>
        <v>21</v>
      </c>
      <c r="B30" s="73" t="n">
        <v>6901.7</v>
      </c>
      <c r="C30" s="52" t="n">
        <v>289895</v>
      </c>
      <c r="D30" s="57" t="n">
        <f aca="false">C30-C29</f>
        <v>-298</v>
      </c>
      <c r="E30" s="52" t="n">
        <f aca="false">C30-152000</f>
        <v>137895</v>
      </c>
      <c r="F30" s="51" t="n">
        <f aca="false">D30/$D$2</f>
        <v>-150.239475674313</v>
      </c>
      <c r="G30" s="51" t="n">
        <v>359</v>
      </c>
      <c r="H30" s="191" t="n">
        <v>46</v>
      </c>
      <c r="I30" s="51" t="n">
        <f aca="false">G30+H30</f>
        <v>405</v>
      </c>
      <c r="J30" s="81" t="n">
        <f aca="false">IF(L30&gt;0,L30,0)</f>
        <v>0</v>
      </c>
      <c r="K30" s="51" t="n">
        <f aca="false">I30+J30</f>
        <v>405</v>
      </c>
      <c r="L30" s="51" t="n">
        <f aca="false">F30-(I30-W30)</f>
        <v>-96.2394756743131</v>
      </c>
      <c r="M30" s="51" t="n">
        <v>44</v>
      </c>
      <c r="N30" s="51" t="n">
        <v>0</v>
      </c>
      <c r="O30" s="51" t="n">
        <v>0</v>
      </c>
      <c r="P30" s="6" t="n">
        <f aca="false">M30-(N30+O30)</f>
        <v>44</v>
      </c>
      <c r="Q30" s="51" t="n">
        <v>0</v>
      </c>
      <c r="R30" s="51" t="n">
        <v>13</v>
      </c>
      <c r="S30" s="51" t="n">
        <f aca="false">SUM(P30:R30)</f>
        <v>57</v>
      </c>
      <c r="T30" s="52"/>
      <c r="U30" s="51"/>
      <c r="V30" s="51" t="n">
        <v>402</v>
      </c>
      <c r="W30" s="6" t="n">
        <f aca="false">N30+O30+S30+U30+V30</f>
        <v>459</v>
      </c>
      <c r="X30" s="51" t="n">
        <f aca="false">IF(L30&lt;0,L30*-1,0)</f>
        <v>96.2394756743131</v>
      </c>
      <c r="Y30" s="51" t="n">
        <f aca="false">W30+X30</f>
        <v>555.239475674313</v>
      </c>
      <c r="Z30" s="55" t="n">
        <v>0</v>
      </c>
      <c r="AA30" s="57" t="n">
        <v>56</v>
      </c>
      <c r="AB30" s="57" t="n">
        <v>25</v>
      </c>
      <c r="AC30" s="58" t="n">
        <f aca="false">AC29+1</f>
        <v>21</v>
      </c>
      <c r="AD30" s="186" t="n">
        <v>0</v>
      </c>
      <c r="AE30" s="92"/>
      <c r="AF30" s="94"/>
    </row>
    <row r="31" customFormat="false" ht="11.1" hidden="false" customHeight="true" outlineLevel="0" collapsed="false">
      <c r="A31" s="58" t="n">
        <f aca="false">A30+1</f>
        <v>22</v>
      </c>
      <c r="B31" s="73" t="n">
        <v>6901.8</v>
      </c>
      <c r="C31" s="52" t="n">
        <v>290268</v>
      </c>
      <c r="D31" s="57" t="n">
        <f aca="false">C31-C30</f>
        <v>373</v>
      </c>
      <c r="E31" s="52" t="n">
        <f aca="false">C31-152000</f>
        <v>138268</v>
      </c>
      <c r="F31" s="51" t="n">
        <f aca="false">D31/$D$2</f>
        <v>188.051424250063</v>
      </c>
      <c r="G31" s="51" t="n">
        <v>335</v>
      </c>
      <c r="H31" s="191" t="n">
        <v>40</v>
      </c>
      <c r="I31" s="51" t="n">
        <f aca="false">G31+H31</f>
        <v>375</v>
      </c>
      <c r="J31" s="81" t="n">
        <f aca="false">IF(L31&gt;0,L31,0)</f>
        <v>77.051424250063</v>
      </c>
      <c r="K31" s="51" t="n">
        <f aca="false">I31+J31</f>
        <v>452.051424250063</v>
      </c>
      <c r="L31" s="51" t="n">
        <f aca="false">F31-(I31-W31)</f>
        <v>77.051424250063</v>
      </c>
      <c r="M31" s="51" t="n">
        <v>44</v>
      </c>
      <c r="N31" s="51" t="n">
        <v>0</v>
      </c>
      <c r="O31" s="51" t="n">
        <v>0</v>
      </c>
      <c r="P31" s="6" t="n">
        <f aca="false">M31-(N31+O31)</f>
        <v>44</v>
      </c>
      <c r="Q31" s="51" t="n">
        <v>0</v>
      </c>
      <c r="R31" s="51" t="n">
        <v>13</v>
      </c>
      <c r="S31" s="51" t="n">
        <f aca="false">SUM(P31:R31)</f>
        <v>57</v>
      </c>
      <c r="T31" s="52"/>
      <c r="U31" s="51"/>
      <c r="V31" s="51" t="n">
        <v>207</v>
      </c>
      <c r="W31" s="6" t="n">
        <f aca="false">N31+O31+S31+U31+V31</f>
        <v>264</v>
      </c>
      <c r="X31" s="51" t="n">
        <f aca="false">IF(L31&lt;0,L31*-1,0)</f>
        <v>0</v>
      </c>
      <c r="Y31" s="51" t="n">
        <f aca="false">W31+X31</f>
        <v>264</v>
      </c>
      <c r="Z31" s="55" t="n">
        <v>0</v>
      </c>
      <c r="AA31" s="57" t="n">
        <v>52</v>
      </c>
      <c r="AB31" s="57" t="n">
        <v>25</v>
      </c>
      <c r="AC31" s="58" t="n">
        <f aca="false">AC30+1</f>
        <v>22</v>
      </c>
      <c r="AD31" s="186" t="n">
        <v>0</v>
      </c>
      <c r="AE31" s="92"/>
      <c r="AF31" s="94"/>
      <c r="AG31" s="195"/>
      <c r="AH31" s="195"/>
      <c r="AI31" s="195"/>
    </row>
    <row r="32" customFormat="false" ht="11.1" hidden="false" customHeight="true" outlineLevel="0" collapsed="false">
      <c r="A32" s="58" t="n">
        <f aca="false">A31+1</f>
        <v>23</v>
      </c>
      <c r="B32" s="73" t="n">
        <v>6901.77</v>
      </c>
      <c r="C32" s="52" t="n">
        <v>290156</v>
      </c>
      <c r="D32" s="57" t="n">
        <f aca="false">C32-C31</f>
        <v>-112</v>
      </c>
      <c r="E32" s="52" t="n">
        <f aca="false">C32-152000</f>
        <v>138156</v>
      </c>
      <c r="F32" s="51" t="n">
        <f aca="false">D32/$D$2</f>
        <v>-56.4658432064532</v>
      </c>
      <c r="G32" s="51" t="n">
        <v>315</v>
      </c>
      <c r="H32" s="191" t="n">
        <v>35</v>
      </c>
      <c r="I32" s="51" t="n">
        <f aca="false">G32+H32</f>
        <v>350</v>
      </c>
      <c r="J32" s="81" t="n">
        <f aca="false">IF(L32&gt;0,L32,0)</f>
        <v>0</v>
      </c>
      <c r="K32" s="51" t="n">
        <f aca="false">I32+J32</f>
        <v>350</v>
      </c>
      <c r="L32" s="51" t="n">
        <f aca="false">F32-(I32-W32)</f>
        <v>-120.465843206453</v>
      </c>
      <c r="M32" s="51" t="n">
        <v>44</v>
      </c>
      <c r="N32" s="51" t="n">
        <v>0</v>
      </c>
      <c r="O32" s="51" t="n">
        <v>0</v>
      </c>
      <c r="P32" s="6" t="n">
        <f aca="false">M32-(N32+O32)</f>
        <v>44</v>
      </c>
      <c r="Q32" s="51" t="n">
        <v>0</v>
      </c>
      <c r="R32" s="51" t="n">
        <v>13</v>
      </c>
      <c r="S32" s="51" t="n">
        <f aca="false">SUM(P32:R32)</f>
        <v>57</v>
      </c>
      <c r="T32" s="52"/>
      <c r="U32" s="51"/>
      <c r="V32" s="51" t="n">
        <v>229</v>
      </c>
      <c r="W32" s="6" t="n">
        <f aca="false">N32+O32+S32+U32+V32</f>
        <v>286</v>
      </c>
      <c r="X32" s="51" t="n">
        <f aca="false">IF(L32&lt;0,L32*-1,0)</f>
        <v>120.465843206453</v>
      </c>
      <c r="Y32" s="51" t="n">
        <f aca="false">W32+X32</f>
        <v>406.465843206453</v>
      </c>
      <c r="Z32" s="55" t="n">
        <v>0</v>
      </c>
      <c r="AA32" s="57" t="n">
        <v>56</v>
      </c>
      <c r="AB32" s="82" t="n">
        <v>26</v>
      </c>
      <c r="AC32" s="58" t="n">
        <f aca="false">AC31+1</f>
        <v>23</v>
      </c>
      <c r="AD32" s="186" t="n">
        <v>0</v>
      </c>
      <c r="AE32" s="92"/>
      <c r="AF32" s="94"/>
    </row>
    <row r="33" customFormat="false" ht="11.1" hidden="false" customHeight="true" outlineLevel="0" collapsed="false">
      <c r="A33" s="58" t="n">
        <f aca="false">A32+1</f>
        <v>24</v>
      </c>
      <c r="B33" s="73" t="n">
        <v>6901.76</v>
      </c>
      <c r="C33" s="52" t="n">
        <v>290119</v>
      </c>
      <c r="D33" s="57" t="n">
        <f aca="false">C33-C32</f>
        <v>-37</v>
      </c>
      <c r="E33" s="52" t="n">
        <f aca="false">C33-152000</f>
        <v>138119</v>
      </c>
      <c r="F33" s="51" t="n">
        <f aca="false">D33/$D$2</f>
        <v>-18.6538946307033</v>
      </c>
      <c r="G33" s="51" t="n">
        <v>302</v>
      </c>
      <c r="H33" s="191" t="n">
        <v>21</v>
      </c>
      <c r="I33" s="51" t="n">
        <f aca="false">G33+H33</f>
        <v>323</v>
      </c>
      <c r="J33" s="81" t="n">
        <f aca="false">IF(L33&gt;0,L33,0)</f>
        <v>6.3461053692967</v>
      </c>
      <c r="K33" s="51" t="n">
        <f aca="false">I33+J33</f>
        <v>329.346105369297</v>
      </c>
      <c r="L33" s="51" t="n">
        <f aca="false">F33-(I33-W33)</f>
        <v>6.3461053692967</v>
      </c>
      <c r="M33" s="51" t="n">
        <v>44</v>
      </c>
      <c r="N33" s="51" t="n">
        <v>0</v>
      </c>
      <c r="O33" s="51" t="n">
        <v>0</v>
      </c>
      <c r="P33" s="6" t="n">
        <f aca="false">M33-(N33+O33)</f>
        <v>44</v>
      </c>
      <c r="Q33" s="51" t="n">
        <v>0</v>
      </c>
      <c r="R33" s="51" t="n">
        <v>14</v>
      </c>
      <c r="S33" s="51" t="n">
        <f aca="false">SUM(P33:R33)</f>
        <v>58</v>
      </c>
      <c r="T33" s="52"/>
      <c r="U33" s="51"/>
      <c r="V33" s="51" t="n">
        <v>290</v>
      </c>
      <c r="W33" s="6" t="n">
        <f aca="false">N33+O33+S33+U33+V33</f>
        <v>348</v>
      </c>
      <c r="X33" s="51" t="n">
        <f aca="false">IF(L33&lt;0,L33*-1,0)</f>
        <v>0</v>
      </c>
      <c r="Y33" s="51" t="n">
        <f aca="false">W33+X33</f>
        <v>348</v>
      </c>
      <c r="Z33" s="55" t="n">
        <v>0</v>
      </c>
      <c r="AA33" s="57" t="n">
        <v>56</v>
      </c>
      <c r="AB33" s="82" t="n">
        <v>26</v>
      </c>
      <c r="AC33" s="58" t="n">
        <f aca="false">AC32+1</f>
        <v>24</v>
      </c>
      <c r="AD33" s="186" t="n">
        <v>0</v>
      </c>
      <c r="AE33" s="92"/>
      <c r="AF33" s="94"/>
    </row>
    <row r="34" customFormat="false" ht="11.1" hidden="false" customHeight="true" outlineLevel="0" collapsed="false">
      <c r="A34" s="58" t="n">
        <v>25</v>
      </c>
      <c r="B34" s="73" t="n">
        <v>6901.7</v>
      </c>
      <c r="C34" s="52" t="n">
        <v>289895</v>
      </c>
      <c r="D34" s="57" t="n">
        <f aca="false">C34-C33</f>
        <v>-224</v>
      </c>
      <c r="E34" s="52" t="n">
        <f aca="false">C34-152000</f>
        <v>137895</v>
      </c>
      <c r="F34" s="51" t="n">
        <f aca="false">D34/$D$2</f>
        <v>-112.931686412906</v>
      </c>
      <c r="G34" s="51" t="n">
        <v>286</v>
      </c>
      <c r="H34" s="191" t="n">
        <v>13</v>
      </c>
      <c r="I34" s="51" t="n">
        <f aca="false">G34+H34</f>
        <v>299</v>
      </c>
      <c r="J34" s="81" t="n">
        <f aca="false">IF(L34&gt;0,L34,0)</f>
        <v>0</v>
      </c>
      <c r="K34" s="51" t="n">
        <f aca="false">I34+J34</f>
        <v>299</v>
      </c>
      <c r="L34" s="51" t="n">
        <f aca="false">F34-(I34-W34)</f>
        <v>-75.9316864129065</v>
      </c>
      <c r="M34" s="51" t="n">
        <v>44</v>
      </c>
      <c r="N34" s="51" t="n">
        <v>0</v>
      </c>
      <c r="O34" s="51" t="n">
        <v>0</v>
      </c>
      <c r="P34" s="6" t="n">
        <f aca="false">M34-(N34+O34)</f>
        <v>44</v>
      </c>
      <c r="Q34" s="51" t="n">
        <v>0</v>
      </c>
      <c r="R34" s="51" t="n">
        <v>13</v>
      </c>
      <c r="S34" s="51" t="n">
        <f aca="false">SUM(P34:R34)</f>
        <v>57</v>
      </c>
      <c r="T34" s="52"/>
      <c r="U34" s="51"/>
      <c r="V34" s="51" t="n">
        <v>279</v>
      </c>
      <c r="W34" s="6" t="n">
        <f aca="false">N34+O34+S34+U34+V34</f>
        <v>336</v>
      </c>
      <c r="X34" s="51" t="n">
        <f aca="false">IF(L34&lt;0,L34*-1,0)</f>
        <v>75.9316864129065</v>
      </c>
      <c r="Y34" s="51" t="n">
        <f aca="false">W34+X34</f>
        <v>411.931686412907</v>
      </c>
      <c r="Z34" s="55" t="n">
        <v>0</v>
      </c>
      <c r="AA34" s="57" t="n">
        <v>56</v>
      </c>
      <c r="AB34" s="82" t="n">
        <v>26</v>
      </c>
      <c r="AC34" s="58" t="n">
        <v>25</v>
      </c>
      <c r="AD34" s="186" t="n">
        <v>0</v>
      </c>
      <c r="AE34" s="92"/>
      <c r="AF34" s="94"/>
    </row>
    <row r="35" customFormat="false" ht="11.1" hidden="false" customHeight="true" outlineLevel="0" collapsed="false">
      <c r="A35" s="58" t="n">
        <v>26</v>
      </c>
      <c r="B35" s="73" t="n">
        <v>6901.66</v>
      </c>
      <c r="C35" s="52" t="n">
        <v>289745</v>
      </c>
      <c r="D35" s="57" t="n">
        <f aca="false">C35-C34</f>
        <v>-150</v>
      </c>
      <c r="E35" s="52" t="n">
        <f aca="false">C35-152000</f>
        <v>137745</v>
      </c>
      <c r="F35" s="51" t="n">
        <f aca="false">D35/$D$2</f>
        <v>-75.6238971514999</v>
      </c>
      <c r="G35" s="51" t="n">
        <v>271</v>
      </c>
      <c r="H35" s="191" t="n">
        <v>12</v>
      </c>
      <c r="I35" s="51" t="n">
        <f aca="false">G35+H35</f>
        <v>283</v>
      </c>
      <c r="J35" s="81" t="n">
        <f aca="false">IF(L35&gt;0,L35,0)</f>
        <v>0</v>
      </c>
      <c r="K35" s="51" t="n">
        <f aca="false">I35+J35</f>
        <v>283</v>
      </c>
      <c r="L35" s="51" t="n">
        <f aca="false">F35-(I35-W35)</f>
        <v>-25.6238971514999</v>
      </c>
      <c r="M35" s="51" t="n">
        <v>44</v>
      </c>
      <c r="N35" s="51" t="n">
        <v>0</v>
      </c>
      <c r="O35" s="51" t="n">
        <v>0</v>
      </c>
      <c r="P35" s="6" t="n">
        <f aca="false">M35-(N35+O35)</f>
        <v>44</v>
      </c>
      <c r="Q35" s="51" t="n">
        <v>0</v>
      </c>
      <c r="R35" s="51" t="n">
        <v>10</v>
      </c>
      <c r="S35" s="51" t="n">
        <f aca="false">SUM(P35:R35)</f>
        <v>54</v>
      </c>
      <c r="T35" s="52"/>
      <c r="U35" s="51"/>
      <c r="V35" s="51" t="n">
        <v>279</v>
      </c>
      <c r="W35" s="6" t="n">
        <f aca="false">N35+O35+S35+U35+V35</f>
        <v>333</v>
      </c>
      <c r="X35" s="51" t="n">
        <f aca="false">IF(L35&lt;0,L35*-1,0)</f>
        <v>25.6238971514999</v>
      </c>
      <c r="Y35" s="51" t="n">
        <f aca="false">W35+X35</f>
        <v>358.6238971515</v>
      </c>
      <c r="Z35" s="55" t="n">
        <v>0</v>
      </c>
      <c r="AA35" s="57" t="n">
        <v>58</v>
      </c>
      <c r="AB35" s="82" t="n">
        <v>25</v>
      </c>
      <c r="AC35" s="58" t="n">
        <v>26</v>
      </c>
      <c r="AD35" s="186" t="n">
        <v>0</v>
      </c>
      <c r="AE35" s="92"/>
      <c r="AF35" s="94"/>
    </row>
    <row r="36" customFormat="false" ht="11.1" hidden="false" customHeight="true" outlineLevel="0" collapsed="false">
      <c r="A36" s="58" t="n">
        <v>27</v>
      </c>
      <c r="B36" s="73" t="n">
        <v>6901.65</v>
      </c>
      <c r="C36" s="52" t="n">
        <v>289708</v>
      </c>
      <c r="D36" s="57" t="n">
        <f aca="false">C36-C35</f>
        <v>-37</v>
      </c>
      <c r="E36" s="52" t="n">
        <f aca="false">C36-152000</f>
        <v>137708</v>
      </c>
      <c r="F36" s="51" t="n">
        <f aca="false">D36/$D$2</f>
        <v>-18.6538946307033</v>
      </c>
      <c r="G36" s="51" t="n">
        <v>266</v>
      </c>
      <c r="H36" s="191" t="n">
        <v>9</v>
      </c>
      <c r="I36" s="51" t="n">
        <f aca="false">G36+H36</f>
        <v>275</v>
      </c>
      <c r="J36" s="81" t="n">
        <f aca="false">IF(L36&gt;0,L36,0)</f>
        <v>0</v>
      </c>
      <c r="K36" s="51" t="n">
        <f aca="false">I36+J36</f>
        <v>275</v>
      </c>
      <c r="L36" s="51" t="n">
        <f aca="false">F36-(I36-W36)</f>
        <v>-3.6538946307033</v>
      </c>
      <c r="M36" s="51" t="n">
        <v>38</v>
      </c>
      <c r="N36" s="51" t="n">
        <v>0</v>
      </c>
      <c r="O36" s="51" t="n">
        <v>0</v>
      </c>
      <c r="P36" s="6" t="n">
        <f aca="false">M36-(N36+O36)</f>
        <v>38</v>
      </c>
      <c r="Q36" s="51" t="n">
        <v>0</v>
      </c>
      <c r="R36" s="51" t="n">
        <v>0</v>
      </c>
      <c r="S36" s="51" t="n">
        <f aca="false">SUM(P36:R36)</f>
        <v>38</v>
      </c>
      <c r="T36" s="52"/>
      <c r="U36" s="51"/>
      <c r="V36" s="51" t="n">
        <v>252</v>
      </c>
      <c r="W36" s="6" t="n">
        <f aca="false">N36+O36+S36+U36+V36</f>
        <v>290</v>
      </c>
      <c r="X36" s="51" t="n">
        <f aca="false">IF(L36&lt;0,L36*-1,0)</f>
        <v>3.6538946307033</v>
      </c>
      <c r="Y36" s="51" t="n">
        <f aca="false">W36+X36</f>
        <v>293.653894630703</v>
      </c>
      <c r="Z36" s="55" t="n">
        <v>0</v>
      </c>
      <c r="AA36" s="57" t="n">
        <v>57</v>
      </c>
      <c r="AB36" s="82" t="n">
        <v>30</v>
      </c>
      <c r="AC36" s="58" t="n">
        <v>27</v>
      </c>
      <c r="AD36" s="186" t="n">
        <v>0</v>
      </c>
      <c r="AE36" s="92"/>
      <c r="AF36" s="94"/>
    </row>
    <row r="37" customFormat="false" ht="11.1" hidden="false" customHeight="true" outlineLevel="0" collapsed="false">
      <c r="A37" s="58" t="n">
        <v>28</v>
      </c>
      <c r="B37" s="73" t="n">
        <v>6901.68</v>
      </c>
      <c r="C37" s="52" t="n">
        <v>289820</v>
      </c>
      <c r="D37" s="57" t="n">
        <f aca="false">C37-C36</f>
        <v>112</v>
      </c>
      <c r="E37" s="52" t="n">
        <f aca="false">C37-152000</f>
        <v>137820</v>
      </c>
      <c r="F37" s="51" t="n">
        <f aca="false">D37/$D$2</f>
        <v>56.4658432064532</v>
      </c>
      <c r="G37" s="51" t="n">
        <v>257</v>
      </c>
      <c r="H37" s="191" t="n">
        <v>7</v>
      </c>
      <c r="I37" s="51" t="n">
        <f aca="false">G37+H37</f>
        <v>264</v>
      </c>
      <c r="J37" s="81" t="n">
        <f aca="false">IF(L37&gt;0,L37,0)</f>
        <v>12.4658432064532</v>
      </c>
      <c r="K37" s="51" t="n">
        <f aca="false">I37+J37</f>
        <v>276.465843206453</v>
      </c>
      <c r="L37" s="51" t="n">
        <f aca="false">F37-(I37-W37)</f>
        <v>12.4658432064532</v>
      </c>
      <c r="M37" s="51" t="n">
        <v>34</v>
      </c>
      <c r="N37" s="51" t="n">
        <v>0</v>
      </c>
      <c r="O37" s="51" t="n">
        <v>0</v>
      </c>
      <c r="P37" s="6" t="n">
        <f aca="false">M37-(N37+O37)</f>
        <v>34</v>
      </c>
      <c r="Q37" s="51" t="n">
        <v>0</v>
      </c>
      <c r="R37" s="51" t="n">
        <v>0</v>
      </c>
      <c r="S37" s="51" t="n">
        <f aca="false">SUM(P37:R37)</f>
        <v>34</v>
      </c>
      <c r="T37" s="52"/>
      <c r="U37" s="51"/>
      <c r="V37" s="51" t="n">
        <v>186</v>
      </c>
      <c r="W37" s="6" t="n">
        <f aca="false">N37+O37+S37+U37+V37</f>
        <v>220</v>
      </c>
      <c r="X37" s="51" t="n">
        <f aca="false">IF(L37&lt;0,L37*-1,0)</f>
        <v>0</v>
      </c>
      <c r="Y37" s="51" t="n">
        <f aca="false">W37+X37</f>
        <v>220</v>
      </c>
      <c r="Z37" s="55" t="n">
        <v>0</v>
      </c>
      <c r="AA37" s="57" t="n">
        <v>61</v>
      </c>
      <c r="AB37" s="82" t="n">
        <v>28</v>
      </c>
      <c r="AC37" s="58" t="n">
        <v>28</v>
      </c>
      <c r="AD37" s="186" t="n">
        <v>0</v>
      </c>
      <c r="AE37" s="92"/>
      <c r="AF37" s="94"/>
    </row>
    <row r="38" customFormat="false" ht="11.1" hidden="false" customHeight="true" outlineLevel="0" collapsed="false">
      <c r="A38" s="58" t="n">
        <v>29</v>
      </c>
      <c r="B38" s="73" t="n">
        <v>6901.7</v>
      </c>
      <c r="C38" s="52" t="n">
        <v>289895</v>
      </c>
      <c r="D38" s="57" t="n">
        <f aca="false">C38-C37</f>
        <v>75</v>
      </c>
      <c r="E38" s="52" t="n">
        <f aca="false">C38-152000</f>
        <v>137895</v>
      </c>
      <c r="F38" s="51" t="n">
        <f aca="false">D38/$D$2</f>
        <v>37.8119485757499</v>
      </c>
      <c r="G38" s="51" t="n">
        <v>256</v>
      </c>
      <c r="H38" s="191" t="n">
        <v>7</v>
      </c>
      <c r="I38" s="51" t="n">
        <f aca="false">G38+H38</f>
        <v>263</v>
      </c>
      <c r="J38" s="81" t="n">
        <f aca="false">IF(L38&gt;0,L38,0)</f>
        <v>0</v>
      </c>
      <c r="K38" s="51" t="n">
        <f aca="false">I38+J38</f>
        <v>263</v>
      </c>
      <c r="L38" s="51" t="n">
        <f aca="false">F38-(I38-W38)</f>
        <v>-13.1880514242501</v>
      </c>
      <c r="M38" s="51" t="n">
        <v>34</v>
      </c>
      <c r="N38" s="51" t="n">
        <v>0</v>
      </c>
      <c r="O38" s="51" t="n">
        <v>0</v>
      </c>
      <c r="P38" s="6" t="n">
        <f aca="false">M38-(N38+O38)</f>
        <v>34</v>
      </c>
      <c r="Q38" s="51" t="n">
        <v>0</v>
      </c>
      <c r="R38" s="51" t="n">
        <v>0</v>
      </c>
      <c r="S38" s="51" t="n">
        <f aca="false">SUM(P38:R38)</f>
        <v>34</v>
      </c>
      <c r="T38" s="52"/>
      <c r="U38" s="51"/>
      <c r="V38" s="51" t="n">
        <v>178</v>
      </c>
      <c r="W38" s="6" t="n">
        <f aca="false">N38+O38+S38+U38+V38</f>
        <v>212</v>
      </c>
      <c r="X38" s="51" t="n">
        <f aca="false">IF(L38&lt;0,L38*-1,0)</f>
        <v>13.1880514242501</v>
      </c>
      <c r="Y38" s="51" t="n">
        <f aca="false">W38+X38</f>
        <v>225.18805142425</v>
      </c>
      <c r="Z38" s="55" t="n">
        <v>0</v>
      </c>
      <c r="AA38" s="57" t="n">
        <v>62</v>
      </c>
      <c r="AB38" s="82" t="n">
        <v>28</v>
      </c>
      <c r="AC38" s="58" t="n">
        <v>29</v>
      </c>
      <c r="AD38" s="186" t="n">
        <v>0</v>
      </c>
      <c r="AE38" s="92"/>
      <c r="AF38" s="94"/>
    </row>
    <row r="39" customFormat="false" ht="11.1" hidden="false" customHeight="true" outlineLevel="0" collapsed="false">
      <c r="A39" s="58" t="n">
        <v>30</v>
      </c>
      <c r="B39" s="73" t="n">
        <v>6901.71</v>
      </c>
      <c r="C39" s="52" t="n">
        <v>289932</v>
      </c>
      <c r="D39" s="57" t="n">
        <f aca="false">C39-C38</f>
        <v>37</v>
      </c>
      <c r="E39" s="52" t="n">
        <f aca="false">C39-152000</f>
        <v>137932</v>
      </c>
      <c r="F39" s="51" t="n">
        <f aca="false">D39/$D$2</f>
        <v>18.6538946307033</v>
      </c>
      <c r="G39" s="51" t="n">
        <v>245</v>
      </c>
      <c r="H39" s="191" t="n">
        <v>6</v>
      </c>
      <c r="I39" s="51" t="n">
        <f aca="false">G39+H39</f>
        <v>251</v>
      </c>
      <c r="J39" s="81" t="n">
        <f aca="false">IF(L39&gt;0,L39,0)</f>
        <v>0</v>
      </c>
      <c r="K39" s="51" t="n">
        <f aca="false">I39+J39</f>
        <v>251</v>
      </c>
      <c r="L39" s="51" t="n">
        <f aca="false">F39-(I39-W39)</f>
        <v>-20.3461053692967</v>
      </c>
      <c r="M39" s="51" t="n">
        <v>34</v>
      </c>
      <c r="N39" s="51" t="n">
        <v>0</v>
      </c>
      <c r="O39" s="51" t="n">
        <v>0</v>
      </c>
      <c r="P39" s="6" t="n">
        <f aca="false">M39-(N39+O39)</f>
        <v>34</v>
      </c>
      <c r="Q39" s="51" t="n">
        <v>0</v>
      </c>
      <c r="R39" s="51" t="n">
        <v>0</v>
      </c>
      <c r="S39" s="51" t="n">
        <f aca="false">SUM(P39:R39)</f>
        <v>34</v>
      </c>
      <c r="T39" s="52"/>
      <c r="U39" s="51"/>
      <c r="V39" s="51" t="n">
        <v>178</v>
      </c>
      <c r="W39" s="6" t="n">
        <f aca="false">N39+O39+S39+U39+V39</f>
        <v>212</v>
      </c>
      <c r="X39" s="51" t="n">
        <f aca="false">IF(L39&lt;0,L39*-1,0)</f>
        <v>20.3461053692967</v>
      </c>
      <c r="Y39" s="51" t="n">
        <f aca="false">W39+X39</f>
        <v>232.346105369297</v>
      </c>
      <c r="Z39" s="55" t="n">
        <v>0</v>
      </c>
      <c r="AA39" s="57" t="n">
        <v>61</v>
      </c>
      <c r="AB39" s="82" t="n">
        <v>29</v>
      </c>
      <c r="AC39" s="58" t="n">
        <v>30</v>
      </c>
      <c r="AD39" s="186" t="n">
        <v>0</v>
      </c>
      <c r="AE39" s="92"/>
      <c r="AF39" s="94"/>
    </row>
    <row r="40" customFormat="false" ht="11.1" hidden="false" customHeight="true" outlineLevel="0" collapsed="false">
      <c r="A40" s="58" t="n">
        <v>31</v>
      </c>
      <c r="B40" s="73" t="n">
        <v>6901.78</v>
      </c>
      <c r="C40" s="52" t="n">
        <v>290193</v>
      </c>
      <c r="D40" s="57" t="n">
        <f aca="false">C40-C39</f>
        <v>261</v>
      </c>
      <c r="E40" s="52" t="n">
        <f aca="false">C40-152000</f>
        <v>138193</v>
      </c>
      <c r="F40" s="51" t="n">
        <f aca="false">D40/$D$2</f>
        <v>131.58558104361</v>
      </c>
      <c r="G40" s="51" t="n">
        <v>245</v>
      </c>
      <c r="H40" s="191" t="n">
        <v>6</v>
      </c>
      <c r="I40" s="51" t="n">
        <f aca="false">G40+H40</f>
        <v>251</v>
      </c>
      <c r="J40" s="81" t="n">
        <f aca="false">IF(L40&gt;0,L40,0)</f>
        <v>86.5855810436098</v>
      </c>
      <c r="K40" s="51" t="n">
        <f aca="false">I40+J40</f>
        <v>337.58558104361</v>
      </c>
      <c r="L40" s="51" t="n">
        <f aca="false">F40-(I40-W40)</f>
        <v>86.5855810436098</v>
      </c>
      <c r="M40" s="51" t="n">
        <v>34</v>
      </c>
      <c r="N40" s="51" t="n">
        <v>0</v>
      </c>
      <c r="O40" s="51" t="n">
        <v>0</v>
      </c>
      <c r="P40" s="6" t="n">
        <f aca="false">M40-(N40+O40)</f>
        <v>34</v>
      </c>
      <c r="Q40" s="51" t="n">
        <v>0</v>
      </c>
      <c r="R40" s="51" t="n">
        <v>8</v>
      </c>
      <c r="S40" s="51" t="n">
        <f aca="false">SUM(P40:R40)</f>
        <v>42</v>
      </c>
      <c r="T40" s="52"/>
      <c r="U40" s="51"/>
      <c r="V40" s="51" t="n">
        <v>164</v>
      </c>
      <c r="W40" s="6" t="n">
        <f aca="false">N40+O40+S40+U40+V40</f>
        <v>206</v>
      </c>
      <c r="X40" s="51" t="n">
        <f aca="false">IF(L40&lt;0,L40*-1,0)</f>
        <v>0</v>
      </c>
      <c r="Y40" s="51" t="n">
        <f aca="false">W40+X40</f>
        <v>206</v>
      </c>
      <c r="Z40" s="55" t="n">
        <v>1.18</v>
      </c>
      <c r="AA40" s="57" t="n">
        <v>52</v>
      </c>
      <c r="AB40" s="82" t="n">
        <v>30</v>
      </c>
      <c r="AC40" s="58" t="n">
        <v>31</v>
      </c>
      <c r="AD40" s="94" t="n">
        <v>0</v>
      </c>
      <c r="AE40" s="92"/>
      <c r="AF40" s="94"/>
    </row>
    <row r="41" customFormat="false" ht="3" hidden="false" customHeight="true" outlineLevel="0" collapsed="false">
      <c r="A41" s="74"/>
      <c r="B41" s="74"/>
      <c r="C41" s="76"/>
      <c r="D41" s="74"/>
      <c r="E41" s="76"/>
      <c r="F41" s="74"/>
      <c r="G41" s="74"/>
      <c r="H41" s="194" t="n">
        <v>0</v>
      </c>
      <c r="I41" s="74"/>
      <c r="J41" s="74"/>
      <c r="K41" s="74"/>
      <c r="L41" s="74"/>
      <c r="M41" s="74" t="n">
        <v>0</v>
      </c>
      <c r="N41" s="74"/>
      <c r="O41" s="74"/>
      <c r="P41" s="74"/>
      <c r="Q41" s="74"/>
      <c r="R41" s="74" t="n">
        <v>0</v>
      </c>
      <c r="S41" s="74"/>
      <c r="T41" s="76"/>
      <c r="U41" s="74"/>
      <c r="V41" s="74" t="n">
        <v>0</v>
      </c>
      <c r="W41" s="74"/>
      <c r="X41" s="74"/>
      <c r="Y41" s="74"/>
      <c r="Z41" s="170"/>
      <c r="AA41" s="79"/>
      <c r="AB41" s="79"/>
      <c r="AC41" s="80"/>
      <c r="AD41" s="80"/>
      <c r="AE41" s="92"/>
      <c r="AF41" s="93"/>
    </row>
    <row r="42" customFormat="false" ht="11.1" hidden="false" customHeight="true" outlineLevel="0" collapsed="false">
      <c r="A42" s="51" t="s">
        <v>44</v>
      </c>
      <c r="B42" s="51"/>
      <c r="C42" s="52"/>
      <c r="D42" s="52"/>
      <c r="E42" s="52"/>
      <c r="F42" s="52" t="n">
        <f aca="false">SUM(F10:F40)</f>
        <v>2680.6150743635</v>
      </c>
      <c r="G42" s="52" t="n">
        <f aca="false">SUM(G10:G40)</f>
        <v>10668</v>
      </c>
      <c r="H42" s="191" t="n">
        <f aca="false">SUM(H10:H40)</f>
        <v>960</v>
      </c>
      <c r="I42" s="52" t="n">
        <f aca="false">SUM(I10:I40)</f>
        <v>11628</v>
      </c>
      <c r="J42" s="52" t="n">
        <f aca="false">SUM(J10:J40)</f>
        <v>1153.70330224351</v>
      </c>
      <c r="K42" s="52" t="n">
        <f aca="false">SUM(K10:K40)</f>
        <v>12781.7033022435</v>
      </c>
      <c r="L42" s="52" t="n">
        <f aca="false">SUM(L10:L40)</f>
        <v>-553.384925636501</v>
      </c>
      <c r="M42" s="52" t="n">
        <f aca="false">SUM(M10:M40)</f>
        <v>1265</v>
      </c>
      <c r="N42" s="52" t="n">
        <f aca="false">SUM(N10:N40)</f>
        <v>0</v>
      </c>
      <c r="O42" s="52" t="n">
        <f aca="false">SUM(O10:O40)</f>
        <v>0</v>
      </c>
      <c r="P42" s="52" t="n">
        <f aca="false">SUM(P10:P40)</f>
        <v>1265</v>
      </c>
      <c r="Q42" s="52" t="n">
        <f aca="false">SUM(Q10:Q40)</f>
        <v>298</v>
      </c>
      <c r="R42" s="52" t="n">
        <f aca="false">SUM(R10:R40)</f>
        <v>406</v>
      </c>
      <c r="S42" s="52" t="n">
        <f aca="false">SUM(S10:S40)</f>
        <v>1969</v>
      </c>
      <c r="T42" s="52"/>
      <c r="U42" s="52" t="n">
        <f aca="false">SUM(U10:U40)</f>
        <v>0</v>
      </c>
      <c r="V42" s="52" t="n">
        <f aca="false">SUM(V10:V40)</f>
        <v>6425</v>
      </c>
      <c r="W42" s="52" t="n">
        <f aca="false">SUM(W10:W40)</f>
        <v>8394</v>
      </c>
      <c r="X42" s="52" t="n">
        <f aca="false">SUM(X10:X40)</f>
        <v>1707.08822788001</v>
      </c>
      <c r="Y42" s="52" t="n">
        <f aca="false">SUM(Y10:Y40)</f>
        <v>10101.08822788</v>
      </c>
      <c r="Z42" s="55" t="n">
        <f aca="false">SUM(Z10:Z40)</f>
        <v>4.03</v>
      </c>
      <c r="AA42" s="57" t="n">
        <f aca="false">AVERAGE(AA10:AA40)</f>
        <v>56.8064516129032</v>
      </c>
      <c r="AB42" s="57" t="n">
        <f aca="false">AVERAGE(AB10:AB40)</f>
        <v>29.7741935483871</v>
      </c>
      <c r="AC42" s="58" t="s">
        <v>71</v>
      </c>
      <c r="AD42" s="94"/>
      <c r="AE42" s="92"/>
      <c r="AF42" s="93"/>
    </row>
    <row r="43" customFormat="false" ht="11.1" hidden="false" customHeight="true" outlineLevel="0" collapsed="false">
      <c r="A43" s="51" t="s">
        <v>46</v>
      </c>
      <c r="B43" s="51"/>
      <c r="C43" s="52"/>
      <c r="D43" s="52" t="n">
        <f aca="false">SUM(D10:D40)</f>
        <v>5317</v>
      </c>
      <c r="E43" s="52"/>
      <c r="F43" s="52" t="n">
        <f aca="false">F42*$D$2</f>
        <v>5317</v>
      </c>
      <c r="G43" s="52" t="n">
        <f aca="false">G42*$D$2</f>
        <v>21159.978</v>
      </c>
      <c r="H43" s="191" t="n">
        <f aca="false">H42*$D$2</f>
        <v>1904.16</v>
      </c>
      <c r="I43" s="52" t="n">
        <f aca="false">I42*$D$2</f>
        <v>23064.138</v>
      </c>
      <c r="J43" s="52" t="n">
        <f aca="false">J42*$D$2</f>
        <v>2288.3705</v>
      </c>
      <c r="K43" s="52" t="n">
        <f aca="false">K42*$D$2</f>
        <v>25352.5085</v>
      </c>
      <c r="L43" s="52" t="n">
        <f aca="false">L42*$D$2</f>
        <v>-1097.639</v>
      </c>
      <c r="M43" s="52" t="n">
        <f aca="false">M42*$D$2</f>
        <v>2509.1275</v>
      </c>
      <c r="N43" s="52" t="n">
        <f aca="false">N42*$D$2</f>
        <v>0</v>
      </c>
      <c r="O43" s="52" t="n">
        <f aca="false">O42*$D$2</f>
        <v>0</v>
      </c>
      <c r="P43" s="52" t="n">
        <f aca="false">P42*$D$2</f>
        <v>2509.1275</v>
      </c>
      <c r="Q43" s="52" t="n">
        <f aca="false">Q42*$D$2</f>
        <v>591.083</v>
      </c>
      <c r="R43" s="52" t="n">
        <f aca="false">R42*$D$2</f>
        <v>805.301</v>
      </c>
      <c r="S43" s="52" t="n">
        <f aca="false">S42*$D$2</f>
        <v>3905.5115</v>
      </c>
      <c r="T43" s="52"/>
      <c r="U43" s="52" t="n">
        <f aca="false">U42*$D$2</f>
        <v>0</v>
      </c>
      <c r="V43" s="52" t="n">
        <f aca="false">V42*$D$2</f>
        <v>12743.9875</v>
      </c>
      <c r="W43" s="52" t="n">
        <f aca="false">W42*$D$2</f>
        <v>16649.499</v>
      </c>
      <c r="X43" s="52" t="n">
        <f aca="false">X42*$D$2</f>
        <v>3386.0095</v>
      </c>
      <c r="Y43" s="52" t="n">
        <f aca="false">Y42*$D$2</f>
        <v>20035.5085</v>
      </c>
      <c r="Z43" s="55"/>
      <c r="AA43" s="57" t="n">
        <f aca="false">MAX(AA10:AA40)</f>
        <v>64</v>
      </c>
      <c r="AB43" s="57" t="n">
        <f aca="false">MAX(AB10:AB40)</f>
        <v>42</v>
      </c>
      <c r="AC43" s="58" t="s">
        <v>47</v>
      </c>
      <c r="AD43" s="94"/>
      <c r="AE43" s="92"/>
      <c r="AF43" s="93"/>
    </row>
    <row r="44" customFormat="false" ht="3" hidden="false" customHeight="true" outlineLevel="0" collapsed="false">
      <c r="A44" s="74"/>
      <c r="B44" s="74"/>
      <c r="C44" s="76"/>
      <c r="D44" s="76"/>
      <c r="E44" s="76"/>
      <c r="F44" s="76"/>
      <c r="G44" s="76"/>
      <c r="H44" s="194"/>
      <c r="I44" s="76"/>
      <c r="J44" s="76"/>
      <c r="K44" s="76"/>
      <c r="L44" s="76"/>
      <c r="M44" s="76"/>
      <c r="N44" s="76"/>
      <c r="O44" s="76"/>
      <c r="P44" s="76"/>
      <c r="Q44" s="76"/>
      <c r="R44" s="76"/>
      <c r="S44" s="76"/>
      <c r="T44" s="76"/>
      <c r="U44" s="76"/>
      <c r="V44" s="76"/>
      <c r="W44" s="76"/>
      <c r="X44" s="76"/>
      <c r="Y44" s="76"/>
      <c r="Z44" s="170"/>
      <c r="AA44" s="76"/>
      <c r="AB44" s="76"/>
      <c r="AC44" s="76"/>
      <c r="AD44" s="76"/>
      <c r="AE44" s="92"/>
      <c r="AF44" s="93"/>
    </row>
    <row r="45" customFormat="false" ht="11.1" hidden="false" customHeight="true" outlineLevel="0" collapsed="false">
      <c r="A45" s="51" t="s">
        <v>48</v>
      </c>
      <c r="B45" s="51"/>
      <c r="C45" s="52"/>
      <c r="D45" s="52"/>
      <c r="E45" s="52"/>
      <c r="F45" s="52" t="n">
        <f aca="false">F7+F42</f>
        <v>42662.9694983615</v>
      </c>
      <c r="G45" s="52" t="n">
        <f aca="false">G7+G42</f>
        <v>204181</v>
      </c>
      <c r="H45" s="191" t="n">
        <f aca="false">H7+H42</f>
        <v>13136</v>
      </c>
      <c r="I45" s="52" t="n">
        <f aca="false">I7+I42</f>
        <v>217317</v>
      </c>
      <c r="J45" s="52" t="n">
        <f aca="false">J7+J42</f>
        <v>42826.0995714646</v>
      </c>
      <c r="K45" s="52" t="n">
        <f aca="false">K7+K42</f>
        <v>260143.099571465</v>
      </c>
      <c r="L45" s="52" t="n">
        <f aca="false">L7+L42</f>
        <v>37112.9694983615</v>
      </c>
      <c r="M45" s="52" t="n">
        <f aca="false">M7+M42</f>
        <v>25794</v>
      </c>
      <c r="N45" s="52" t="n">
        <f aca="false">N7+N42</f>
        <v>0</v>
      </c>
      <c r="O45" s="52" t="n">
        <f aca="false">O7+O42</f>
        <v>0</v>
      </c>
      <c r="P45" s="52" t="n">
        <f aca="false">P7+P42</f>
        <v>25794</v>
      </c>
      <c r="Q45" s="52" t="n">
        <f aca="false">Q7+Q42</f>
        <v>23125</v>
      </c>
      <c r="R45" s="52" t="n">
        <f aca="false">R7+R42</f>
        <v>12301</v>
      </c>
      <c r="S45" s="52" t="n">
        <f aca="false">S7+S42</f>
        <v>61220</v>
      </c>
      <c r="T45" s="52" t="n">
        <f aca="false">T40</f>
        <v>0</v>
      </c>
      <c r="U45" s="52" t="n">
        <f aca="false">U7+U42</f>
        <v>0</v>
      </c>
      <c r="V45" s="52" t="n">
        <f aca="false">V7+V42</f>
        <v>150547</v>
      </c>
      <c r="W45" s="52" t="n">
        <f aca="false">W7+W42</f>
        <v>211767</v>
      </c>
      <c r="X45" s="52" t="n">
        <f aca="false">X7+X42</f>
        <v>5713.1300731031</v>
      </c>
      <c r="Y45" s="52" t="n">
        <f aca="false">Y7+Y42</f>
        <v>217480.130073103</v>
      </c>
      <c r="Z45" s="55"/>
      <c r="AA45" s="57" t="n">
        <f aca="false">MIN(AA10:AA40)</f>
        <v>39</v>
      </c>
      <c r="AB45" s="57" t="n">
        <f aca="false">MIN(AB10:AB40)</f>
        <v>16</v>
      </c>
      <c r="AC45" s="58" t="s">
        <v>49</v>
      </c>
      <c r="AD45" s="186"/>
      <c r="AE45" s="92"/>
      <c r="AF45" s="93"/>
    </row>
    <row r="46" customFormat="false" ht="11.1" hidden="false" customHeight="true" outlineLevel="0" collapsed="false">
      <c r="A46" s="51" t="s">
        <v>50</v>
      </c>
      <c r="B46" s="51"/>
      <c r="C46" s="52"/>
      <c r="D46" s="52"/>
      <c r="E46" s="52"/>
      <c r="F46" s="52" t="n">
        <f aca="false">F45*$D$2</f>
        <v>84622</v>
      </c>
      <c r="G46" s="52" t="n">
        <f aca="false">G45*$D$2</f>
        <v>404993.0135</v>
      </c>
      <c r="H46" s="191" t="n">
        <f aca="false">H45*$D$2</f>
        <v>26055.256</v>
      </c>
      <c r="I46" s="52" t="n">
        <f aca="false">I45*$D$2</f>
        <v>431048.2695</v>
      </c>
      <c r="J46" s="52" t="n">
        <f aca="false">J45*$D$2</f>
        <v>84945.5685</v>
      </c>
      <c r="K46" s="52" t="n">
        <f aca="false">K45*$D$2</f>
        <v>515993.838</v>
      </c>
      <c r="L46" s="52" t="n">
        <f aca="false">L45*$D$2</f>
        <v>73613.575</v>
      </c>
      <c r="M46" s="52" t="n">
        <f aca="false">M45*$D$2</f>
        <v>51162.399</v>
      </c>
      <c r="N46" s="52" t="n">
        <f aca="false">N45*$D$2</f>
        <v>0</v>
      </c>
      <c r="O46" s="52" t="n">
        <f aca="false">O45*$D$2</f>
        <v>0</v>
      </c>
      <c r="P46" s="52" t="n">
        <f aca="false">P45*$D$2</f>
        <v>51162.399</v>
      </c>
      <c r="Q46" s="52" t="n">
        <f aca="false">Q45*$D$2</f>
        <v>45868.4375</v>
      </c>
      <c r="R46" s="52" t="n">
        <f aca="false">R45*$D$2</f>
        <v>24399.0335</v>
      </c>
      <c r="S46" s="52" t="n">
        <f aca="false">S45*$D$2</f>
        <v>121429.87</v>
      </c>
      <c r="T46" s="52" t="n">
        <f aca="false">T45*$D$2</f>
        <v>0</v>
      </c>
      <c r="U46" s="52" t="n">
        <f aca="false">U45*$D$2</f>
        <v>0</v>
      </c>
      <c r="V46" s="52" t="n">
        <f aca="false">V45*$D$2</f>
        <v>298609.9745</v>
      </c>
      <c r="W46" s="52" t="n">
        <f aca="false">W45*$D$2</f>
        <v>420039.8445</v>
      </c>
      <c r="X46" s="52" t="n">
        <f aca="false">X45*$D$2</f>
        <v>11331.9935</v>
      </c>
      <c r="Y46" s="52" t="n">
        <f aca="false">Y45*$D$2</f>
        <v>431371.838</v>
      </c>
      <c r="Z46" s="55"/>
      <c r="AA46" s="57"/>
      <c r="AB46" s="57"/>
      <c r="AC46" s="58"/>
      <c r="AD46" s="44"/>
      <c r="AE46" s="92"/>
      <c r="AF46" s="93"/>
    </row>
    <row r="47" customFormat="false" ht="3" hidden="false" customHeight="true" outlineLevel="0" collapsed="false">
      <c r="A47" s="74"/>
      <c r="B47" s="74"/>
      <c r="C47" s="76"/>
      <c r="D47" s="76"/>
      <c r="E47" s="76"/>
      <c r="F47" s="76"/>
      <c r="G47" s="76"/>
      <c r="H47" s="194"/>
      <c r="I47" s="76"/>
      <c r="J47" s="76"/>
      <c r="K47" s="76"/>
      <c r="L47" s="76"/>
      <c r="M47" s="76"/>
      <c r="N47" s="76"/>
      <c r="O47" s="76"/>
      <c r="P47" s="76"/>
      <c r="Q47" s="76"/>
      <c r="R47" s="76"/>
      <c r="S47" s="76"/>
      <c r="T47" s="76"/>
      <c r="U47" s="76"/>
      <c r="V47" s="76"/>
      <c r="W47" s="76"/>
      <c r="X47" s="76"/>
      <c r="Y47" s="76"/>
      <c r="Z47" s="170"/>
      <c r="AA47" s="170"/>
      <c r="AB47" s="170"/>
      <c r="AC47" s="170"/>
      <c r="AD47" s="170"/>
      <c r="AE47" s="92"/>
      <c r="AF47" s="93"/>
    </row>
    <row r="48" customFormat="false" ht="11.1" hidden="false" customHeight="true" outlineLevel="0" collapsed="false">
      <c r="A48" s="51" t="s">
        <v>51</v>
      </c>
      <c r="B48" s="51"/>
      <c r="C48" s="52"/>
      <c r="D48" s="52"/>
      <c r="E48" s="52"/>
      <c r="F48" s="52" t="n">
        <f aca="false">F8+F42</f>
        <v>69649.105117217</v>
      </c>
      <c r="G48" s="52" t="n">
        <f aca="false">G8+G42</f>
        <v>229761</v>
      </c>
      <c r="H48" s="191" t="n">
        <f aca="false">H8+H42</f>
        <v>15461.3</v>
      </c>
      <c r="I48" s="52" t="n">
        <f aca="false">I8+I42</f>
        <v>243874.5</v>
      </c>
      <c r="J48" s="52" t="n">
        <f aca="false">J8+J42</f>
        <v>56752.7793042601</v>
      </c>
      <c r="K48" s="52" t="n">
        <f aca="false">K8+K42</f>
        <v>300627.27930426</v>
      </c>
      <c r="L48" s="52" t="n">
        <f aca="false">L8+L42</f>
        <v>50057.6545248298</v>
      </c>
      <c r="M48" s="52" t="n">
        <f aca="false">M8+M42</f>
        <v>26104</v>
      </c>
      <c r="N48" s="52" t="n">
        <f aca="false">N8+N42</f>
        <v>0</v>
      </c>
      <c r="O48" s="52" t="n">
        <f aca="false">O8+O42</f>
        <v>402.2</v>
      </c>
      <c r="P48" s="52" t="n">
        <f aca="false">P8+P42</f>
        <v>26104</v>
      </c>
      <c r="Q48" s="52" t="n">
        <f aca="false">Q8+Q42</f>
        <v>24173</v>
      </c>
      <c r="R48" s="52" t="n">
        <f aca="false">R8+R42</f>
        <v>12376</v>
      </c>
      <c r="S48" s="52" t="n">
        <f aca="false">S8+S42</f>
        <v>64611.6589362238</v>
      </c>
      <c r="T48" s="52" t="n">
        <f aca="false">T45</f>
        <v>0</v>
      </c>
      <c r="U48" s="52" t="n">
        <f aca="false">U8+U42</f>
        <v>0</v>
      </c>
      <c r="V48" s="52" t="n">
        <f aca="false">V8+V42</f>
        <v>159671.390471389</v>
      </c>
      <c r="W48" s="52" t="n">
        <f aca="false">W8+W42</f>
        <v>224283.049407613</v>
      </c>
      <c r="X48" s="52" t="n">
        <f aca="false">X8+X42</f>
        <v>6695.1247794303</v>
      </c>
      <c r="Y48" s="52" t="n">
        <f aca="false">Y8+Y42</f>
        <v>230978.174187043</v>
      </c>
      <c r="Z48" s="55" t="n">
        <f aca="false">Z8+Z42</f>
        <v>26.62</v>
      </c>
      <c r="AA48" s="57"/>
      <c r="AB48" s="57"/>
      <c r="AC48" s="58"/>
      <c r="AD48" s="186"/>
      <c r="AE48" s="92"/>
      <c r="AF48" s="93"/>
    </row>
    <row r="49" customFormat="false" ht="11.1" hidden="false" customHeight="true" outlineLevel="0" collapsed="false">
      <c r="A49" s="51" t="s">
        <v>52</v>
      </c>
      <c r="B49" s="51"/>
      <c r="C49" s="52"/>
      <c r="D49" s="52" t="n">
        <f aca="false">D8+D43</f>
        <v>138149</v>
      </c>
      <c r="E49" s="52" t="n">
        <f aca="false">E40</f>
        <v>138193</v>
      </c>
      <c r="F49" s="52" t="n">
        <f aca="false">F48*$D$2</f>
        <v>138149</v>
      </c>
      <c r="G49" s="52" t="n">
        <f aca="false">G48*$D$2</f>
        <v>455730.9435</v>
      </c>
      <c r="H49" s="191" t="n">
        <f aca="false">H48*$D$2</f>
        <v>30667.48855</v>
      </c>
      <c r="I49" s="52" t="n">
        <f aca="false">I48*$D$2</f>
        <v>483725.07075</v>
      </c>
      <c r="J49" s="52" t="n">
        <f aca="false">J48*$D$2</f>
        <v>112569.13775</v>
      </c>
      <c r="K49" s="52" t="n">
        <f aca="false">K48*$D$2</f>
        <v>596294.2085</v>
      </c>
      <c r="L49" s="52" t="n">
        <f aca="false">L48*$D$2</f>
        <v>99289.35775</v>
      </c>
      <c r="M49" s="52" t="n">
        <f aca="false">M48*$D$2</f>
        <v>51777.284</v>
      </c>
      <c r="N49" s="52" t="n">
        <f aca="false">N48*$D$2</f>
        <v>0</v>
      </c>
      <c r="O49" s="52" t="n">
        <f aca="false">O48*$D$2</f>
        <v>797.7637</v>
      </c>
      <c r="P49" s="52" t="n">
        <f aca="false">P48*$D$2</f>
        <v>51777.284</v>
      </c>
      <c r="Q49" s="52" t="n">
        <f aca="false">Q48*$D$2</f>
        <v>47947.1455</v>
      </c>
      <c r="R49" s="52" t="n">
        <f aca="false">R48*$D$2</f>
        <v>24547.796</v>
      </c>
      <c r="S49" s="52" t="n">
        <f aca="false">S48*$D$2</f>
        <v>128157.2255</v>
      </c>
      <c r="T49" s="52" t="n">
        <f aca="false">T48*$D$2</f>
        <v>0</v>
      </c>
      <c r="U49" s="52" t="n">
        <f aca="false">U48*$D$2</f>
        <v>0</v>
      </c>
      <c r="V49" s="52" t="n">
        <f aca="false">V48*$D$2</f>
        <v>316708.203</v>
      </c>
      <c r="W49" s="52" t="n">
        <f aca="false">W48*$D$2</f>
        <v>444865.4285</v>
      </c>
      <c r="X49" s="52" t="n">
        <f aca="false">X48*$D$2</f>
        <v>13279.78</v>
      </c>
      <c r="Y49" s="52" t="n">
        <f aca="false">Y48*$D$2</f>
        <v>458145.2085</v>
      </c>
      <c r="Z49" s="55"/>
      <c r="AA49" s="57"/>
      <c r="AB49" s="55"/>
      <c r="AC49" s="58"/>
      <c r="AD49" s="44"/>
      <c r="AE49" s="92"/>
      <c r="AF49" s="93"/>
    </row>
    <row r="50" customFormat="false" ht="3" hidden="false" customHeight="true" outlineLevel="0" collapsed="false">
      <c r="A50" s="74"/>
      <c r="B50" s="74"/>
      <c r="C50" s="76"/>
      <c r="D50" s="74"/>
      <c r="E50" s="76"/>
      <c r="F50" s="74"/>
      <c r="G50" s="74"/>
      <c r="H50" s="19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6"/>
      <c r="U50" s="74"/>
      <c r="V50" s="74"/>
      <c r="W50" s="74"/>
      <c r="X50" s="74"/>
      <c r="Y50" s="74"/>
      <c r="Z50" s="170"/>
      <c r="AA50" s="74"/>
      <c r="AB50" s="74"/>
      <c r="AC50" s="74"/>
      <c r="AD50" s="74"/>
      <c r="AE50" s="92"/>
      <c r="AF50" s="93"/>
    </row>
  </sheetData>
  <mergeCells count="2">
    <mergeCell ref="K2:T2"/>
    <mergeCell ref="M4:P4"/>
  </mergeCells>
  <printOptions headings="true" gridLines="true" gridLinesSet="true" horizontalCentered="true" verticalCentered="false"/>
  <pageMargins left="0.25" right="0.25" top="0" bottom="0" header="0.511811023622047" footer="0.511811023622047"/>
  <pageSetup paperSize="5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LibreOffice/7.3.7.2$Linux_AARCH64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1997-11-03T15:03:40Z</dcterms:created>
  <dc:creator>JOHN PORTER</dc:creator>
  <dc:description/>
  <dc:language>en-US</dc:language>
  <cp:lastModifiedBy>EA BIRK</cp:lastModifiedBy>
  <cp:lastPrinted>2010-03-01T09:01:00Z</cp:lastPrinted>
  <dcterms:modified xsi:type="dcterms:W3CDTF">2010-03-01T10:10:27Z</dcterms:modified>
  <cp:revision>0</cp:revision>
  <dc:subject>MCPHEE IN/OUT FLOW</dc:subject>
  <dc:title>RIVER</dc:title>
</cp:coreProperties>
</file>