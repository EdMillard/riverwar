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comments1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12.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externalReferences>
    <externalReference r:id="rId14"/>
  </externalReferences>
  <definedNames>
    <definedName function="false" hidden="false" localSheetId="5" name="_xlnm.Print_Area" vbProcedure="false">APR!$A$1:$AC$55</definedName>
    <definedName function="false" hidden="false" localSheetId="9" name="_xlnm.Print_Area" vbProcedure="false">AUG!$A$1:$AC$57</definedName>
    <definedName function="false" hidden="false" localSheetId="1" name="_xlnm.Print_Area" vbProcedure="false">DEC!$A$1:$AC$52</definedName>
    <definedName function="false" hidden="false" localSheetId="3" name="_xlnm.Print_Area" vbProcedure="false">FEB!$A$1:$AC$52</definedName>
    <definedName function="false" hidden="false" localSheetId="2" name="_xlnm.Print_Area" vbProcedure="false">JAN!$A$1:$AC$55</definedName>
    <definedName function="false" hidden="false" localSheetId="8" name="_xlnm.Print_Area" vbProcedure="false">JUL!$A$1:$AC$55</definedName>
    <definedName function="false" hidden="false" localSheetId="7" name="_xlnm.Print_Area" vbProcedure="false">JUN!$A$1:$AC$55</definedName>
    <definedName function="false" hidden="false" localSheetId="4" name="_xlnm.Print_Area" vbProcedure="false">MAR!$A$1:$AC$55</definedName>
    <definedName function="false" hidden="false" localSheetId="6" name="_xlnm.Print_Area" vbProcedure="false">MAY!$A$1:$AC$55</definedName>
    <definedName function="false" hidden="false" localSheetId="0" name="_xlnm.Print_Area" vbProcedure="false">NOV!$A$1:$AC$54</definedName>
    <definedName function="false" hidden="false" localSheetId="11" name="_xlnm.Print_Area" vbProcedure="false">OCT!$A$1:$AC$55</definedName>
    <definedName function="false" hidden="false" localSheetId="10" name="_xlnm.Print_Area" vbProcedure="false">SEP!$A$1:$AC$57</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V8" authorId="0">
      <text>
        <r>
          <rPr>
            <sz val="8"/>
            <color rgb="FF000000"/>
            <rFont val="Tahoma"/>
            <family val="0"/>
          </rPr>
          <t xml:space="preserve">This is the first year for accounting of the annual fish pool from Apr 1st through Mar 31st.  Therefore on a "water year" basis this amount is carried over from the 96 year to the 97 year.</t>
        </r>
      </text>
    </comment>
    <comment ref="V10" authorId="0">
      <text>
        <r>
          <rPr>
            <sz val="8"/>
            <color rgb="FF000000"/>
            <rFont val="Tahoma"/>
            <family val="0"/>
          </rPr>
          <t xml:space="preserve">This 800 AF in Cell V6 is the amount reserved for release to Totten Reservoir if needed.  When not needed at Totten, as was the case in 1996, it is added to the downstream release at the beginning of the new water year.</t>
        </r>
      </text>
    </comment>
  </commentList>
</comments>
</file>

<file path=xl/comments8.xml><?xml version="1.0" encoding="utf-8"?>
<comments xmlns="http://schemas.openxmlformats.org/spreadsheetml/2006/main" xmlns:xdr="http://schemas.openxmlformats.org/drawingml/2006/spreadsheetDrawing">
  <authors>
    <author> </author>
  </authors>
  <commentList>
    <comment ref="S51" authorId="0">
      <text>
        <r>
          <rPr>
            <sz val="8"/>
            <color rgb="FF000000"/>
            <rFont val="Tahoma"/>
            <family val="0"/>
          </rPr>
          <t xml:space="preserve">This cell accounts for non MVIC diversion. Use prior years diversion for Cortez = 1557 &amp; MWC = 340  </t>
        </r>
      </text>
    </comment>
  </commentList>
</comments>
</file>

<file path=xl/comments11.xml><?xml version="1.0" encoding="utf-8"?>
<comments xmlns="http://schemas.openxmlformats.org/spreadsheetml/2006/main" xmlns:xdr="http://schemas.openxmlformats.org/drawingml/2006/spreadsheetDrawing">
  <authors>
    <author> </author>
  </authors>
  <commentList>
    <comment ref="P22" authorId="0">
      <text>
        <r>
          <rPr>
            <sz val="8"/>
            <color rgb="FF000000"/>
            <rFont val="Tahoma"/>
            <family val="0"/>
          </rPr>
          <t xml:space="preserve">CELLS P-22 THRU Q24 ARE ESTIMATES.  sATELLITE QUIT.
</t>
        </r>
      </text>
    </comment>
  </commentList>
</comments>
</file>

<file path=xl/comments12.xml><?xml version="1.0" encoding="utf-8"?>
<comments xmlns="http://schemas.openxmlformats.org/spreadsheetml/2006/main" xmlns:xdr="http://schemas.openxmlformats.org/drawingml/2006/spreadsheetDrawing">
  <authors>
    <author> </author>
  </authors>
  <commentList>
    <comment ref="G14" authorId="0">
      <text>
        <r>
          <rPr>
            <sz val="8"/>
            <color rgb="FF000000"/>
            <rFont val="Tahoma"/>
            <family val="0"/>
          </rPr>
          <t xml:space="preserve">Groundhog turned off today</t>
        </r>
      </text>
    </comment>
  </commentList>
</comments>
</file>

<file path=xl/sharedStrings.xml><?xml version="1.0" encoding="utf-8"?>
<sst xmlns="http://schemas.openxmlformats.org/spreadsheetml/2006/main" count="864" uniqueCount="113">
  <si>
    <t xml:space="preserve">MC  PHEE  RESERVOIR  IN/OUT  FLOW  TABULATION</t>
  </si>
  <si>
    <t xml:space="preserve">AF/cfs  CONVERT FACTOR</t>
  </si>
  <si>
    <t xml:space="preserve">NOVEMBER  "96"</t>
  </si>
  <si>
    <t xml:space="preserve">DATE</t>
  </si>
  <si>
    <t xml:space="preserve">RESERV</t>
  </si>
  <si>
    <t xml:space="preserve">AC  FT</t>
  </si>
  <si>
    <t xml:space="preserve">ACTIVE</t>
  </si>
  <si>
    <t xml:space="preserve">CONV  TO</t>
  </si>
  <si>
    <t xml:space="preserve">DOLORES</t>
  </si>
  <si>
    <t xml:space="preserve">LOST</t>
  </si>
  <si>
    <t xml:space="preserve">RECORDED</t>
  </si>
  <si>
    <t xml:space="preserve">CALC</t>
  </si>
  <si>
    <t xml:space="preserve">TOTAL</t>
  </si>
  <si>
    <t xml:space="preserve">DOLORES TUNNEL</t>
  </si>
  <si>
    <t xml:space="preserve">LONE</t>
  </si>
  <si>
    <t xml:space="preserve">U</t>
  </si>
  <si>
    <t xml:space="preserve">MVI</t>
  </si>
  <si>
    <t xml:space="preserve">DV  CR</t>
  </si>
  <si>
    <t xml:space="preserve">BELOW</t>
  </si>
  <si>
    <t xml:space="preserve">REMAIN</t>
  </si>
  <si>
    <t xml:space="preserve">RAIN</t>
  </si>
  <si>
    <t xml:space="preserve">MAX</t>
  </si>
  <si>
    <t xml:space="preserve">MIN</t>
  </si>
  <si>
    <t xml:space="preserve">"NOV"</t>
  </si>
  <si>
    <t xml:space="preserve">ELEV</t>
  </si>
  <si>
    <t xml:space="preserve">CHANGE</t>
  </si>
  <si>
    <t xml:space="preserve">CAP</t>
  </si>
  <si>
    <t xml:space="preserve">CFS</t>
  </si>
  <si>
    <t xml:space="preserve">RIVER</t>
  </si>
  <si>
    <t xml:space="preserve">CANYON</t>
  </si>
  <si>
    <t xml:space="preserve">INFLOW</t>
  </si>
  <si>
    <t xml:space="preserve">INF/OTF</t>
  </si>
  <si>
    <t xml:space="preserve">TOT DIV</t>
  </si>
  <si>
    <t xml:space="preserve">UTE F&amp;R</t>
  </si>
  <si>
    <t xml:space="preserve">MVI,CTZ,MWC</t>
  </si>
  <si>
    <t xml:space="preserve">PINE</t>
  </si>
  <si>
    <t xml:space="preserve">LATERAL</t>
  </si>
  <si>
    <t xml:space="preserve">CALL</t>
  </si>
  <si>
    <t xml:space="preserve">CANAL</t>
  </si>
  <si>
    <t xml:space="preserve">MC  PHEE</t>
  </si>
  <si>
    <t xml:space="preserve">RELEASE</t>
  </si>
  <si>
    <t xml:space="preserve">OUTFLOW</t>
  </si>
  <si>
    <t xml:space="preserve">TMP</t>
  </si>
  <si>
    <t xml:space="preserve">SEASON BAL</t>
  </si>
  <si>
    <t xml:space="preserve">YTD</t>
  </si>
  <si>
    <t xml:space="preserve">MONTH / CFS</t>
  </si>
  <si>
    <t xml:space="preserve">MONTH / AF</t>
  </si>
  <si>
    <t xml:space="preserve">HI</t>
  </si>
  <si>
    <t xml:space="preserve">SEASON / CFS</t>
  </si>
  <si>
    <t xml:space="preserve">LO</t>
  </si>
  <si>
    <t xml:space="preserve">SEASON / AF</t>
  </si>
  <si>
    <t xml:space="preserve">YTD / CFS</t>
  </si>
  <si>
    <t xml:space="preserve">YTD / AF</t>
  </si>
  <si>
    <t xml:space="preserve">DECEMBER  "96"</t>
  </si>
  <si>
    <t xml:space="preserve">"DEC"</t>
  </si>
  <si>
    <t xml:space="preserve">MVI,CTZ</t>
  </si>
  <si>
    <t xml:space="preserve">FROZE</t>
  </si>
  <si>
    <t xml:space="preserve">JANUARY  "97"</t>
  </si>
  <si>
    <t xml:space="preserve">"JAN"</t>
  </si>
  <si>
    <t xml:space="preserve">FEBRUARY  "97"</t>
  </si>
  <si>
    <t xml:space="preserve">FEB</t>
  </si>
  <si>
    <t xml:space="preserve">Max active capacity</t>
  </si>
  <si>
    <t xml:space="preserve">Below capacity</t>
  </si>
  <si>
    <t xml:space="preserve">Season low</t>
  </si>
  <si>
    <t xml:space="preserve">MARCH  "97"</t>
  </si>
  <si>
    <t xml:space="preserve">MAR</t>
  </si>
  <si>
    <t xml:space="preserve">APRIL  "97"</t>
  </si>
  <si>
    <t xml:space="preserve">"APR"</t>
  </si>
  <si>
    <t xml:space="preserve">MVI/CTZ/MWC</t>
  </si>
  <si>
    <t xml:space="preserve">DIVER</t>
  </si>
  <si>
    <t xml:space="preserve">Avg</t>
  </si>
  <si>
    <t xml:space="preserve"> </t>
  </si>
  <si>
    <t xml:space="preserve">hi</t>
  </si>
  <si>
    <t xml:space="preserve">lo</t>
  </si>
  <si>
    <t xml:space="preserve">MAY  "97"</t>
  </si>
  <si>
    <t xml:space="preserve">"MAY"</t>
  </si>
  <si>
    <t xml:space="preserve">May 1996 use</t>
  </si>
  <si>
    <t xml:space="preserve">97 decrease</t>
  </si>
  <si>
    <t xml:space="preserve">Total</t>
  </si>
  <si>
    <t xml:space="preserve">JUNE  "97"</t>
  </si>
  <si>
    <t xml:space="preserve">"JUN"</t>
  </si>
  <si>
    <t xml:space="preserve">RUNOFF APR - JUN / 30 yr avg</t>
  </si>
  <si>
    <t xml:space="preserve">Non spill</t>
  </si>
  <si>
    <t xml:space="preserve">RUNOFF APR - JUN / percent</t>
  </si>
  <si>
    <t xml:space="preserve">Add to MVI call</t>
  </si>
  <si>
    <t xml:space="preserve">Ctz/MW</t>
  </si>
  <si>
    <t xml:space="preserve">RUNOFF MAR - JUN / 30 yr avg</t>
  </si>
  <si>
    <t xml:space="preserve">Totten</t>
  </si>
  <si>
    <t xml:space="preserve">RUNOFF MAR - JUN / runoff</t>
  </si>
  <si>
    <t xml:space="preserve">Grhog</t>
  </si>
  <si>
    <t xml:space="preserve">RUNOFF MAR - JUN / percent</t>
  </si>
  <si>
    <t xml:space="preserve">cfs</t>
  </si>
  <si>
    <t xml:space="preserve">JULY  "97"</t>
  </si>
  <si>
    <t xml:space="preserve">"JUL"</t>
  </si>
  <si>
    <t xml:space="preserve">MVI non-project water 6/30 = </t>
  </si>
  <si>
    <t xml:space="preserve">30 yr average</t>
  </si>
  <si>
    <t xml:space="preserve">1996 Runoff  =</t>
  </si>
  <si>
    <t xml:space="preserve">AUGUST  "97"</t>
  </si>
  <si>
    <t xml:space="preserve">"AUG"</t>
  </si>
  <si>
    <t xml:space="preserve">FS limit</t>
  </si>
  <si>
    <t xml:space="preserve">AF left</t>
  </si>
  <si>
    <t xml:space="preserve">Res for underuse</t>
  </si>
  <si>
    <t xml:space="preserve">Bal for wtr bnk / AF</t>
  </si>
  <si>
    <t xml:space="preserve">Bal for wtr bnk / cfs</t>
  </si>
  <si>
    <t xml:space="preserve">Days left @</t>
  </si>
  <si>
    <t xml:space="preserve">SEPTEMBER  "97"</t>
  </si>
  <si>
    <t xml:space="preserve">"SEP"</t>
  </si>
  <si>
    <t xml:space="preserve">EDS</t>
  </si>
  <si>
    <t xml:space="preserve">OCTOBER  "97"</t>
  </si>
  <si>
    <t xml:space="preserve">"OCT"</t>
  </si>
  <si>
    <t xml:space="preserve">Ctz &amp; Ute Div</t>
  </si>
  <si>
    <t xml:space="preserve">MWC Div</t>
  </si>
  <si>
    <t xml:space="preserve">MVIC Div</t>
  </si>
</sst>
</file>

<file path=xl/styles.xml><?xml version="1.0" encoding="utf-8"?>
<styleSheet xmlns="http://schemas.openxmlformats.org/spreadsheetml/2006/main">
  <numFmts count="14">
    <numFmt numFmtId="164" formatCode="General"/>
    <numFmt numFmtId="165" formatCode="#,##0"/>
    <numFmt numFmtId="166" formatCode="##0.0"/>
    <numFmt numFmtId="167" formatCode="0.0"/>
    <numFmt numFmtId="168" formatCode="0.00"/>
    <numFmt numFmtId="169" formatCode="0"/>
    <numFmt numFmtId="170" formatCode="#,##0.0"/>
    <numFmt numFmtId="171" formatCode="0.0000"/>
    <numFmt numFmtId="172" formatCode="0.000"/>
    <numFmt numFmtId="173" formatCode="#,##0.00"/>
    <numFmt numFmtId="174" formatCode="[$-409]d\-mmm"/>
    <numFmt numFmtId="175" formatCode="0%"/>
    <numFmt numFmtId="176" formatCode="[$-409]mmm\-yy"/>
    <numFmt numFmtId="177" formatCode="0.00%"/>
  </numFmts>
  <fonts count="18">
    <font>
      <sz val="8"/>
      <name val="LinePrinter"/>
      <family val="0"/>
    </font>
    <font>
      <sz val="10"/>
      <name val="Arial"/>
      <family val="0"/>
    </font>
    <font>
      <sz val="10"/>
      <name val="Arial"/>
      <family val="0"/>
    </font>
    <font>
      <sz val="10"/>
      <name val="Arial"/>
      <family val="0"/>
    </font>
    <font>
      <sz val="8"/>
      <name val="Arial Narrow"/>
      <family val="0"/>
    </font>
    <font>
      <b val="true"/>
      <i val="true"/>
      <sz val="12"/>
      <name val="Arial Narrow"/>
      <family val="0"/>
    </font>
    <font>
      <sz val="6"/>
      <name val="Arial"/>
      <family val="0"/>
    </font>
    <font>
      <sz val="6"/>
      <name val="Arial Narrow"/>
      <family val="0"/>
    </font>
    <font>
      <b val="true"/>
      <sz val="6"/>
      <name val="Arial Narrow"/>
      <family val="0"/>
    </font>
    <font>
      <sz val="4"/>
      <name val="Arial Narrow"/>
      <family val="2"/>
    </font>
    <font>
      <sz val="6"/>
      <name val="Arial Narrow"/>
      <family val="2"/>
    </font>
    <font>
      <b val="true"/>
      <sz val="9"/>
      <name val="Arial Narrow"/>
      <family val="0"/>
    </font>
    <font>
      <sz val="8"/>
      <color rgb="FF000000"/>
      <name val="Tahoma"/>
      <family val="0"/>
    </font>
    <font>
      <sz val="8"/>
      <name val="Arial"/>
      <family val="0"/>
    </font>
    <font>
      <b val="true"/>
      <sz val="12"/>
      <name val="Arial Narrow"/>
      <family val="0"/>
    </font>
    <font>
      <sz val="4"/>
      <name val="LinePrinter"/>
      <family val="3"/>
    </font>
    <font>
      <sz val="7"/>
      <name val="Arial Narrow"/>
      <family val="2"/>
    </font>
    <font>
      <b val="true"/>
      <sz val="8"/>
      <name val="Arial Narrow"/>
      <family val="0"/>
    </font>
  </fonts>
  <fills count="5">
    <fill>
      <patternFill patternType="none"/>
    </fill>
    <fill>
      <patternFill patternType="gray125"/>
    </fill>
    <fill>
      <patternFill patternType="solid">
        <fgColor rgb="FF464648"/>
        <bgColor rgb="FF2D2E30"/>
      </patternFill>
    </fill>
    <fill>
      <patternFill patternType="solid">
        <fgColor rgb="FF1EFC1E"/>
        <bgColor rgb="FF33CCCC"/>
      </patternFill>
    </fill>
    <fill>
      <patternFill patternType="solid">
        <fgColor rgb="FF2D2E30"/>
        <bgColor rgb="FF464648"/>
      </patternFill>
    </fill>
  </fills>
  <borders count="9">
    <border diagonalUp="false" diagonalDown="false">
      <left/>
      <right/>
      <top/>
      <bottom/>
      <diagonal/>
    </border>
    <border diagonalUp="false" diagonalDown="false">
      <left/>
      <right/>
      <top style="thin">
        <color rgb="FFEEEEEC"/>
      </top>
      <bottom style="thin">
        <color rgb="FFEEEEEC"/>
      </bottom>
      <diagonal/>
    </border>
    <border diagonalUp="false" diagonalDown="false">
      <left style="thin">
        <color rgb="FFEEEEEC"/>
      </left>
      <right style="thin">
        <color rgb="FFEEEEEC"/>
      </right>
      <top style="thin">
        <color rgb="FFEEEEEC"/>
      </top>
      <bottom style="thin">
        <color rgb="FFEEEEEC"/>
      </bottom>
      <diagonal/>
    </border>
    <border diagonalUp="false" diagonalDown="false">
      <left style="medium">
        <color rgb="FFEEEEEC"/>
      </left>
      <right/>
      <top style="medium">
        <color rgb="FFEEEEEC"/>
      </top>
      <bottom style="medium">
        <color rgb="FFEEEEEC"/>
      </bottom>
      <diagonal/>
    </border>
    <border diagonalUp="false" diagonalDown="false">
      <left/>
      <right/>
      <top style="medium">
        <color rgb="FFEEEEEC"/>
      </top>
      <bottom style="medium">
        <color rgb="FFEEEEEC"/>
      </bottom>
      <diagonal/>
    </border>
    <border diagonalUp="false" diagonalDown="false">
      <left/>
      <right style="medium">
        <color rgb="FFEEEEEC"/>
      </right>
      <top style="medium">
        <color rgb="FFEEEEEC"/>
      </top>
      <bottom style="medium">
        <color rgb="FFEEEEEC"/>
      </bottom>
      <diagonal/>
    </border>
    <border diagonalUp="false" diagonalDown="false">
      <left style="medium">
        <color rgb="FFEEEEEC"/>
      </left>
      <right style="medium">
        <color rgb="FFEEEEEC"/>
      </right>
      <top style="medium">
        <color rgb="FFEEEEEC"/>
      </top>
      <bottom style="medium">
        <color rgb="FFEEEEEC"/>
      </bottom>
      <diagonal/>
    </border>
    <border diagonalUp="false" diagonalDown="false">
      <left/>
      <right/>
      <top/>
      <bottom style="thin">
        <color rgb="FFEEEEEC"/>
      </bottom>
      <diagonal/>
    </border>
    <border diagonalUp="false" diagonalDown="false">
      <left/>
      <right/>
      <top/>
      <bottom style="double">
        <color rgb="FFEEEEE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3"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5" fontId="0" fillId="0" borderId="0" applyFont="true" applyBorder="false" applyAlignment="false" applyProtection="false"/>
    <xf numFmtId="164" fontId="0" fillId="0" borderId="0" applyFont="true" applyBorder="false" applyAlignment="true" applyProtection="true">
      <alignment horizontal="general" vertical="bottom" textRotation="0" wrapText="false" indent="0" shrinkToFit="false"/>
      <protection locked="true" hidden="false"/>
    </xf>
  </cellStyleXfs>
  <cellXfs count="14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70" fontId="7" fillId="0" borderId="0" xfId="0" applyFont="true" applyBorder="tru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9" fontId="7" fillId="0"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70" fontId="9"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0" fontId="4"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3"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0" fontId="4" fillId="2" borderId="1" xfId="0" applyFont="true" applyBorder="true" applyAlignment="false" applyProtection="false">
      <alignment horizontal="general" vertical="bottom" textRotation="0" wrapText="false" indent="0" shrinkToFit="false"/>
      <protection locked="true" hidden="false"/>
    </xf>
    <xf numFmtId="173" fontId="4" fillId="2" borderId="1" xfId="0" applyFont="true" applyBorder="true" applyAlignment="false" applyProtection="false">
      <alignment horizontal="general" vertical="bottom" textRotation="0" wrapText="false" indent="0" shrinkToFit="false"/>
      <protection locked="true" hidden="false"/>
    </xf>
    <xf numFmtId="165" fontId="4" fillId="2" borderId="1" xfId="0" applyFont="true" applyBorder="true" applyAlignment="false" applyProtection="false">
      <alignment horizontal="general" vertical="bottom" textRotation="0" wrapText="false" indent="0" shrinkToFit="false"/>
      <protection locked="true" hidden="false"/>
    </xf>
    <xf numFmtId="166" fontId="4" fillId="2" borderId="1" xfId="0" applyFont="true" applyBorder="true" applyAlignment="false" applyProtection="false">
      <alignment horizontal="general" vertical="bottom" textRotation="0" wrapText="false" indent="0" shrinkToFit="false"/>
      <protection locked="true" hidden="false"/>
    </xf>
    <xf numFmtId="168" fontId="4" fillId="2" borderId="1" xfId="0" applyFont="true" applyBorder="true" applyAlignment="false" applyProtection="false">
      <alignment horizontal="general" vertical="bottom" textRotation="0" wrapText="false" indent="0" shrinkToFit="false"/>
      <protection locked="true" hidden="false"/>
    </xf>
    <xf numFmtId="169" fontId="4" fillId="2" borderId="1" xfId="0" applyFont="true" applyBorder="true" applyAlignment="false" applyProtection="false">
      <alignment horizontal="general" vertical="bottom" textRotation="0" wrapText="false" indent="0" shrinkToFit="false"/>
      <protection locked="true" hidden="false"/>
    </xf>
    <xf numFmtId="169" fontId="4" fillId="2" borderId="1" xfId="0" applyFont="true" applyBorder="true" applyAlignment="true" applyProtection="false">
      <alignment horizontal="center" vertical="bottom" textRotation="0" wrapText="false" indent="0" shrinkToFit="false"/>
      <protection locked="true" hidden="false"/>
    </xf>
    <xf numFmtId="173" fontId="4" fillId="0" borderId="0" xfId="15"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75" fontId="4" fillId="0" borderId="0" xfId="19"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5"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20" applyFont="false" applyBorder="true" applyAlignment="false" applyProtection="false">
      <alignment horizontal="general" vertical="bottom" textRotation="0" wrapText="false" indent="0" shrinkToFit="false"/>
      <protection locked="true" hidden="false"/>
    </xf>
    <xf numFmtId="165" fontId="0" fillId="0" borderId="0" xfId="20" applyFont="false" applyBorder="true" applyAlignment="false" applyProtection="false">
      <alignment horizontal="general" vertical="bottom" textRotation="0" wrapText="false" indent="0" shrinkToFit="false"/>
      <protection locked="true" hidden="false"/>
    </xf>
    <xf numFmtId="166" fontId="0" fillId="0" borderId="0" xfId="20" applyFont="false" applyBorder="true" applyAlignment="false" applyProtection="false">
      <alignment horizontal="general" vertical="bottom" textRotation="0" wrapText="false" indent="0" shrinkToFit="false"/>
      <protection locked="true" hidden="false"/>
    </xf>
    <xf numFmtId="167" fontId="0" fillId="0" borderId="0" xfId="20" applyFont="false" applyBorder="true" applyAlignment="false" applyProtection="false">
      <alignment horizontal="general" vertical="bottom" textRotation="0" wrapText="false" indent="0" shrinkToFit="false"/>
      <protection locked="true" hidden="false"/>
    </xf>
    <xf numFmtId="168" fontId="0" fillId="0" borderId="0" xfId="20" applyFont="false" applyBorder="true" applyAlignment="false" applyProtection="false">
      <alignment horizontal="general" vertical="bottom" textRotation="0" wrapText="false" indent="0" shrinkToFit="false"/>
      <protection locked="true" hidden="false"/>
    </xf>
    <xf numFmtId="169" fontId="0" fillId="0" borderId="0" xfId="20" applyFont="false" applyBorder="true" applyAlignment="false" applyProtection="false">
      <alignment horizontal="general" vertical="bottom" textRotation="0" wrapText="false" indent="0" shrinkToFit="false"/>
      <protection locked="true" hidden="false"/>
    </xf>
    <xf numFmtId="169" fontId="0" fillId="0" borderId="0" xfId="20" applyFont="false" applyBorder="true" applyAlignment="true" applyProtection="false">
      <alignment horizontal="center"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xf numFmtId="170" fontId="5" fillId="0" borderId="0" xfId="20" applyFont="true" applyBorder="true" applyAlignment="false" applyProtection="false">
      <alignment horizontal="general" vertical="bottom" textRotation="0" wrapText="false" indent="0" shrinkToFit="false"/>
      <protection locked="true" hidden="false"/>
    </xf>
    <xf numFmtId="168" fontId="4" fillId="0" borderId="0"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true" applyProtection="false">
      <alignment horizontal="center" vertical="bottom" textRotation="0" wrapText="false" indent="0" shrinkToFit="false"/>
      <protection locked="true" hidden="false"/>
    </xf>
    <xf numFmtId="170" fontId="6" fillId="0" borderId="0"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false" applyProtection="false">
      <alignment horizontal="general" vertical="bottom" textRotation="0" wrapText="false" indent="0" shrinkToFit="false"/>
      <protection locked="true" hidden="false"/>
    </xf>
    <xf numFmtId="170" fontId="5" fillId="0" borderId="0" xfId="20" applyFont="true" applyBorder="true" applyAlignment="true" applyProtection="false">
      <alignment horizontal="center" vertical="bottom" textRotation="0" wrapText="false" indent="0" shrinkToFit="false"/>
      <protection locked="true" hidden="false"/>
    </xf>
    <xf numFmtId="172" fontId="4" fillId="0" borderId="0" xfId="20" applyFont="true" applyBorder="true" applyAlignment="false" applyProtection="false">
      <alignment horizontal="general" vertical="bottom" textRotation="0" wrapText="false" indent="0" shrinkToFit="false"/>
      <protection locked="true" hidden="false"/>
    </xf>
    <xf numFmtId="170" fontId="7" fillId="0" borderId="0"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6" fontId="7" fillId="0" borderId="0" xfId="20" applyFont="true" applyBorder="true" applyAlignment="true" applyProtection="false">
      <alignment horizontal="center" vertical="bottom" textRotation="0" wrapText="false" indent="0" shrinkToFit="false"/>
      <protection locked="true" hidden="false"/>
    </xf>
    <xf numFmtId="168" fontId="7" fillId="0" borderId="0" xfId="20" applyFont="true" applyBorder="true" applyAlignment="true" applyProtection="false">
      <alignment horizontal="center" vertical="bottom" textRotation="0" wrapText="false" indent="0" shrinkToFit="false"/>
      <protection locked="true" hidden="false"/>
    </xf>
    <xf numFmtId="169" fontId="7" fillId="0" borderId="0" xfId="20" applyFont="true" applyBorder="true" applyAlignment="true" applyProtection="false">
      <alignment horizontal="center" vertical="bottom" textRotation="0" wrapText="false" indent="0" shrinkToFit="false"/>
      <protection locked="true" hidden="false"/>
    </xf>
    <xf numFmtId="170" fontId="8" fillId="0" borderId="0" xfId="20" applyFont="true" applyBorder="true" applyAlignment="true" applyProtection="false">
      <alignment horizontal="center" vertical="bottom" textRotation="0" wrapText="false" indent="0" shrinkToFit="false"/>
      <protection locked="true" hidden="false"/>
    </xf>
    <xf numFmtId="168" fontId="7" fillId="0" borderId="0" xfId="20" applyFont="true" applyBorder="true" applyAlignment="false" applyProtection="false">
      <alignment horizontal="general" vertical="bottom" textRotation="0" wrapText="false" indent="0" shrinkToFit="false"/>
      <protection locked="true" hidden="false"/>
    </xf>
    <xf numFmtId="169" fontId="8" fillId="0" borderId="0" xfId="20" applyFont="true" applyBorder="true" applyAlignment="true" applyProtection="false">
      <alignment horizontal="center" vertical="bottom" textRotation="0" wrapText="false" indent="0" shrinkToFit="false"/>
      <protection locked="true" hidden="false"/>
    </xf>
    <xf numFmtId="170" fontId="4" fillId="0" borderId="0" xfId="20" applyFont="true" applyBorder="true" applyAlignment="true" applyProtection="false">
      <alignment horizontal="center" vertical="bottom" textRotation="0" wrapText="false" indent="0" shrinkToFit="false"/>
      <protection locked="true" hidden="false"/>
    </xf>
    <xf numFmtId="165" fontId="4" fillId="0" borderId="0" xfId="20" applyFont="true" applyBorder="true" applyAlignment="true" applyProtection="false">
      <alignment horizontal="center" vertical="bottom" textRotation="0" wrapText="false" indent="0" shrinkToFit="false"/>
      <protection locked="true" hidden="false"/>
    </xf>
    <xf numFmtId="166" fontId="4" fillId="0" borderId="0" xfId="20" applyFont="true" applyBorder="true" applyAlignment="true" applyProtection="false">
      <alignment horizontal="center" vertical="bottom" textRotation="0" wrapText="false" indent="0" shrinkToFit="false"/>
      <protection locked="true" hidden="false"/>
    </xf>
    <xf numFmtId="170" fontId="13" fillId="0" borderId="0" xfId="20" applyFont="true" applyBorder="true" applyAlignment="false" applyProtection="false">
      <alignment horizontal="general" vertical="bottom" textRotation="0" wrapText="false" indent="0" shrinkToFit="false"/>
      <protection locked="true" hidden="false"/>
    </xf>
    <xf numFmtId="164" fontId="13" fillId="0" borderId="0" xfId="20" applyFont="true" applyBorder="true" applyAlignment="false" applyProtection="false">
      <alignment horizontal="general" vertical="bottom" textRotation="0" wrapText="false" indent="0" shrinkToFit="false"/>
      <protection locked="true" hidden="false"/>
    </xf>
    <xf numFmtId="173" fontId="4" fillId="0" borderId="0"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65" fontId="13" fillId="0" borderId="0" xfId="20" applyFont="true" applyBorder="true" applyAlignment="false" applyProtection="false">
      <alignment horizontal="general" vertical="bottom" textRotation="0" wrapText="false" indent="0" shrinkToFit="false"/>
      <protection locked="true" hidden="false"/>
    </xf>
    <xf numFmtId="170" fontId="4" fillId="2" borderId="1" xfId="20" applyFont="true" applyBorder="true" applyAlignment="false" applyProtection="false">
      <alignment horizontal="general" vertical="bottom" textRotation="0" wrapText="false" indent="0" shrinkToFit="false"/>
      <protection locked="true" hidden="false"/>
    </xf>
    <xf numFmtId="173" fontId="4" fillId="2" borderId="1" xfId="20" applyFont="true" applyBorder="true" applyAlignment="false" applyProtection="false">
      <alignment horizontal="general" vertical="bottom" textRotation="0" wrapText="false" indent="0" shrinkToFit="false"/>
      <protection locked="true" hidden="false"/>
    </xf>
    <xf numFmtId="165" fontId="4" fillId="2" borderId="1" xfId="20" applyFont="true" applyBorder="true" applyAlignment="false" applyProtection="false">
      <alignment horizontal="general" vertical="bottom" textRotation="0" wrapText="false" indent="0" shrinkToFit="false"/>
      <protection locked="true" hidden="false"/>
    </xf>
    <xf numFmtId="166" fontId="4" fillId="2" borderId="1" xfId="20" applyFont="true" applyBorder="true" applyAlignment="false" applyProtection="false">
      <alignment horizontal="general" vertical="bottom" textRotation="0" wrapText="false" indent="0" shrinkToFit="false"/>
      <protection locked="true" hidden="false"/>
    </xf>
    <xf numFmtId="168" fontId="4" fillId="2" borderId="1" xfId="20" applyFont="true" applyBorder="true" applyAlignment="false" applyProtection="false">
      <alignment horizontal="general" vertical="bottom" textRotation="0" wrapText="false" indent="0" shrinkToFit="false"/>
      <protection locked="true" hidden="false"/>
    </xf>
    <xf numFmtId="169" fontId="4" fillId="2" borderId="1" xfId="20" applyFont="true" applyBorder="true" applyAlignment="false" applyProtection="false">
      <alignment horizontal="general" vertical="bottom" textRotation="0" wrapText="false" indent="0" shrinkToFit="false"/>
      <protection locked="true" hidden="false"/>
    </xf>
    <xf numFmtId="169" fontId="4" fillId="2" borderId="1"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5" fontId="13" fillId="0" borderId="2" xfId="20" applyFont="true" applyBorder="true" applyAlignment="false" applyProtection="false">
      <alignment horizontal="general" vertical="bottom" textRotation="0" wrapText="false" indent="0" shrinkToFit="false"/>
      <protection locked="true" hidden="false"/>
    </xf>
    <xf numFmtId="170" fontId="4" fillId="3" borderId="1" xfId="20" applyFont="true" applyBorder="true" applyAlignment="false" applyProtection="false">
      <alignment horizontal="general" vertical="bottom" textRotation="0" wrapText="false" indent="0" shrinkToFit="false"/>
      <protection locked="true" hidden="false"/>
    </xf>
    <xf numFmtId="174" fontId="4" fillId="0" borderId="0" xfId="20" applyFont="true" applyBorder="true" applyAlignment="false" applyProtection="false">
      <alignment horizontal="general" vertical="bottom" textRotation="0" wrapText="false" indent="0" shrinkToFit="false"/>
      <protection locked="true" hidden="false"/>
    </xf>
    <xf numFmtId="164" fontId="6" fillId="0" borderId="0" xfId="20" applyFont="true" applyBorder="true" applyAlignment="false" applyProtection="false">
      <alignment horizontal="general" vertical="bottom" textRotation="0" wrapText="false" indent="0" shrinkToFit="false"/>
      <protection locked="true" hidden="false"/>
    </xf>
    <xf numFmtId="175" fontId="4" fillId="0" borderId="0" xfId="20" applyFont="true" applyBorder="true" applyAlignment="false" applyProtection="false">
      <alignment horizontal="general" vertical="bottom" textRotation="0" wrapText="false" indent="0" shrinkToFit="false"/>
      <protection locked="true" hidden="false"/>
    </xf>
    <xf numFmtId="168" fontId="4" fillId="0" borderId="0" xfId="20" applyFont="true" applyBorder="true" applyAlignment="false" applyProtection="false">
      <alignment horizontal="general" vertical="bottom" textRotation="0" wrapText="false" indent="0" shrinkToFit="false"/>
      <protection locked="true" hidden="false"/>
    </xf>
    <xf numFmtId="165" fontId="4" fillId="0" borderId="0" xfId="15" applyFont="true" applyBorder="true" applyAlignment="true" applyProtection="true">
      <alignment horizontal="general" vertical="bottom" textRotation="0" wrapText="false" indent="0" shrinkToFit="false"/>
      <protection locked="true" hidden="false"/>
    </xf>
    <xf numFmtId="164" fontId="4" fillId="0" borderId="3" xfId="20" applyFont="true" applyBorder="true" applyAlignment="false" applyProtection="false">
      <alignment horizontal="general" vertical="bottom" textRotation="0" wrapText="false" indent="0" shrinkToFit="false"/>
      <protection locked="true" hidden="false"/>
    </xf>
    <xf numFmtId="165" fontId="4" fillId="0" borderId="4" xfId="20" applyFont="true" applyBorder="true" applyAlignment="false" applyProtection="false">
      <alignment horizontal="general" vertical="bottom" textRotation="0" wrapText="false" indent="0" shrinkToFit="false"/>
      <protection locked="true" hidden="false"/>
    </xf>
    <xf numFmtId="165" fontId="4" fillId="0" borderId="5" xfId="20" applyFont="true" applyBorder="true" applyAlignment="false" applyProtection="false">
      <alignment horizontal="general" vertical="bottom" textRotation="0" wrapText="false" indent="0" shrinkToFit="false"/>
      <protection locked="true" hidden="false"/>
    </xf>
    <xf numFmtId="165" fontId="4" fillId="0" borderId="6" xfId="20" applyFont="true" applyBorder="true" applyAlignment="false" applyProtection="false">
      <alignment horizontal="general" vertical="bottom" textRotation="0" wrapText="fals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xf numFmtId="170" fontId="14" fillId="0" borderId="0" xfId="0" applyFont="true" applyBorder="true" applyAlignment="true" applyProtection="false">
      <alignment horizontal="center" vertical="bottom" textRotation="0" wrapText="false" indent="0" shrinkToFit="false"/>
      <protection locked="true" hidden="false"/>
    </xf>
    <xf numFmtId="170" fontId="4" fillId="0" borderId="0" xfId="15" applyFont="true" applyBorder="true" applyAlignment="true" applyProtection="true">
      <alignment horizontal="general" vertical="bottom" textRotation="0" wrapText="false" indent="0" shrinkToFit="false"/>
      <protection locked="true" hidden="false"/>
    </xf>
    <xf numFmtId="176" fontId="4" fillId="0" borderId="0" xfId="0" applyFont="true" applyBorder="false" applyAlignment="false" applyProtection="false">
      <alignment horizontal="general" vertical="bottom" textRotation="0" wrapText="false" indent="0" shrinkToFit="false"/>
      <protection locked="true" hidden="false"/>
    </xf>
    <xf numFmtId="165" fontId="10" fillId="0" borderId="0" xfId="20" applyFont="true" applyBorder="true" applyAlignment="true" applyProtection="false">
      <alignment horizontal="center" vertical="bottom" textRotation="0" wrapText="false" indent="0" shrinkToFit="false"/>
      <protection locked="true" hidden="false"/>
    </xf>
    <xf numFmtId="173" fontId="4" fillId="0" borderId="0" xfId="20" applyFont="true" applyBorder="true" applyAlignment="false" applyProtection="false">
      <alignment horizontal="general"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76" fontId="4" fillId="0" borderId="0" xfId="20" applyFont="true" applyBorder="true" applyAlignment="false" applyProtection="false">
      <alignment horizontal="general" vertical="bottom" textRotation="0" wrapText="false" indent="0" shrinkToFit="false"/>
      <protection locked="true" hidden="false"/>
    </xf>
    <xf numFmtId="165" fontId="4" fillId="0" borderId="7" xfId="2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70" fontId="4" fillId="0" borderId="7" xfId="20" applyFont="true" applyBorder="true" applyAlignment="false" applyProtection="false">
      <alignment horizontal="general" vertical="bottom" textRotation="0" wrapText="false" indent="0" shrinkToFit="false"/>
      <protection locked="true" hidden="false"/>
    </xf>
    <xf numFmtId="168" fontId="4" fillId="0" borderId="7" xfId="20" applyFont="true" applyBorder="true" applyAlignment="false" applyProtection="false">
      <alignment horizontal="general" vertical="bottom" textRotation="0" wrapText="false" indent="0" shrinkToFit="false"/>
      <protection locked="true" hidden="false"/>
    </xf>
    <xf numFmtId="169" fontId="4" fillId="0" borderId="7" xfId="20" applyFont="true" applyBorder="true" applyAlignment="false" applyProtection="false">
      <alignment horizontal="general" vertical="bottom" textRotation="0" wrapText="false" indent="0" shrinkToFit="false"/>
      <protection locked="true" hidden="false"/>
    </xf>
    <xf numFmtId="165" fontId="16" fillId="0" borderId="0" xfId="15" applyFont="true" applyBorder="true" applyAlignment="true" applyProtection="true">
      <alignment horizontal="general" vertical="bottom" textRotation="0" wrapText="false" indent="0" shrinkToFit="false"/>
      <protection locked="true" hidden="false"/>
    </xf>
    <xf numFmtId="164" fontId="4" fillId="0" borderId="8" xfId="20" applyFont="true" applyBorder="true" applyAlignment="false" applyProtection="false">
      <alignment horizontal="general" vertical="bottom" textRotation="0" wrapText="false" indent="0" shrinkToFit="false"/>
      <protection locked="true" hidden="false"/>
    </xf>
    <xf numFmtId="175" fontId="17" fillId="0" borderId="0" xfId="20" applyFont="true" applyBorder="true" applyAlignment="false" applyProtection="false">
      <alignment horizontal="general" vertical="bottom" textRotation="0" wrapText="false" indent="0" shrinkToFit="false"/>
      <protection locked="true" hidden="false"/>
    </xf>
    <xf numFmtId="166" fontId="17" fillId="0" borderId="0" xfId="20" applyFont="true" applyBorder="true" applyAlignment="false" applyProtection="false">
      <alignment horizontal="general" vertical="bottom" textRotation="0" wrapText="false" indent="0" shrinkToFit="false"/>
      <protection locked="true" hidden="false"/>
    </xf>
    <xf numFmtId="165" fontId="17" fillId="0" borderId="0" xfId="2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0" fontId="4" fillId="0" borderId="0" xfId="0" applyFont="true" applyBorder="true" applyAlignment="false" applyProtection="false">
      <alignment horizontal="general" vertical="bottom" textRotation="0" wrapText="false" indent="0" shrinkToFit="false"/>
      <protection locked="true" hidden="false"/>
    </xf>
    <xf numFmtId="170" fontId="4" fillId="4" borderId="0" xfId="0" applyFont="true" applyBorder="true" applyAlignment="false" applyProtection="true">
      <alignment horizontal="general" vertical="bottom" textRotation="0" wrapText="false" indent="0" shrinkToFit="false"/>
      <protection locked="fals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5" fontId="10" fillId="0" borderId="7" xfId="0" applyFont="true" applyBorder="true" applyAlignment="false" applyProtection="false">
      <alignment horizontal="general" vertical="bottom" textRotation="0" wrapText="false" indent="0" shrinkToFit="false"/>
      <protection locked="true" hidden="false"/>
    </xf>
    <xf numFmtId="170" fontId="10" fillId="0" borderId="0" xfId="20" applyFont="true" applyBorder="true" applyAlignment="true" applyProtection="false">
      <alignment horizontal="center"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70" fontId="0" fillId="0" borderId="0" xfId="20" applyFont="false" applyBorder="true" applyAlignment="false" applyProtection="false">
      <alignment horizontal="general" vertical="bottom" textRotation="0" wrapText="false" indent="0" shrinkToFit="false"/>
      <protection locked="true" hidden="false"/>
    </xf>
    <xf numFmtId="164" fontId="0" fillId="0" borderId="0" xfId="20" applyFont="false" applyBorder="true" applyAlignment="true" applyProtection="false">
      <alignment horizontal="center" vertical="bottom" textRotation="0" wrapText="false" indent="0" shrinkToFit="false"/>
      <protection locked="true" hidden="false"/>
    </xf>
    <xf numFmtId="169" fontId="4" fillId="0" borderId="0" xfId="20" applyFont="true" applyBorder="true" applyAlignment="true" applyProtection="false">
      <alignment horizontal="center"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70" fontId="17" fillId="0" borderId="0" xfId="20" applyFont="true" applyBorder="true" applyAlignment="false" applyProtection="false">
      <alignment horizontal="general" vertical="bottom" textRotation="0" wrapText="false" indent="0" shrinkToFit="false"/>
      <protection locked="true" hidden="false"/>
    </xf>
    <xf numFmtId="164" fontId="17" fillId="0" borderId="0" xfId="20" applyFont="true" applyBorder="true" applyAlignment="true" applyProtection="false">
      <alignment horizontal="center" vertical="bottom" textRotation="0" wrapText="false" indent="0" shrinkToFit="false"/>
      <protection locked="true" hidden="false"/>
    </xf>
    <xf numFmtId="164" fontId="0" fillId="0" borderId="0" xfId="20" applyFont="true" applyBorder="true" applyAlignment="false" applyProtection="false">
      <alignment horizontal="general" vertical="bottom" textRotation="0" wrapText="false" indent="0" shrinkToFit="false"/>
      <protection locked="true" hidden="false"/>
    </xf>
    <xf numFmtId="164" fontId="0" fillId="0" borderId="0" xfId="20" applyFont="true" applyBorder="true" applyAlignment="true" applyProtection="false">
      <alignment horizontal="center" vertical="bottom" textRotation="0" wrapText="false" indent="0" shrinkToFit="false"/>
      <protection locked="true" hidden="false"/>
    </xf>
    <xf numFmtId="170" fontId="10" fillId="0" borderId="0" xfId="20" applyFont="true" applyBorder="true" applyAlignment="false" applyProtection="false">
      <alignment horizontal="general" vertical="bottom" textRotation="0" wrapText="false" indent="0" shrinkToFit="false"/>
      <protection locked="true" hidden="false"/>
    </xf>
    <xf numFmtId="177" fontId="4" fillId="0" borderId="0" xfId="19"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RIVER054" xfId="20"/>
  </cellStyles>
  <colors>
    <indexedColors>
      <rgbColor rgb="FF000000"/>
      <rgbColor rgb="FFEEEEEC"/>
      <rgbColor rgb="FFFF0000"/>
      <rgbColor rgb="FF1EFC1E"/>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464648"/>
      <rgbColor rgb="FF993300"/>
      <rgbColor rgb="FF993366"/>
      <rgbColor rgb="FF333399"/>
      <rgbColor rgb="FF2D2E3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externalLink" Target="externalLinks/externalLink1.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485280</xdr:colOff>
      <xdr:row>28</xdr:row>
      <xdr:rowOff>0</xdr:rowOff>
    </xdr:from>
    <xdr:to>
      <xdr:col>7</xdr:col>
      <xdr:colOff>22320</xdr:colOff>
      <xdr:row>29</xdr:row>
      <xdr:rowOff>28440</xdr:rowOff>
    </xdr:to>
    <xdr:sp>
      <xdr:nvSpPr>
        <xdr:cNvPr id="0" name="Text 1"/>
        <xdr:cNvSpPr/>
      </xdr:nvSpPr>
      <xdr:spPr>
        <a:xfrm>
          <a:off x="2889360" y="3920400"/>
          <a:ext cx="528840" cy="16956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eeeeec"/>
          </a:solidFill>
          <a:miter/>
        </a:ln>
      </xdr:spPr>
      <xdr:style>
        <a:lnRef idx="0"/>
        <a:fillRef idx="0"/>
        <a:effectRef idx="0"/>
        <a:fontRef idx="minor"/>
      </xdr:style>
      <xdr:txBody>
        <a:bodyPr lIns="20160" rIns="20160" tIns="20160" bIns="20160" anchor="t">
          <a:noAutofit/>
        </a:bodyPr>
        <a:p>
          <a:r>
            <a:rPr b="0" lang="en-US" sz="800" spc="-1" strike="noStrike">
              <a:latin typeface="LinePrinter"/>
            </a:rPr>
            <a:t>thawed</a:t>
          </a:r>
          <a:endParaRPr b="0" lang="en-US" sz="800" spc="-1" strike="noStrike">
            <a:latin typeface="Times New Roman"/>
          </a:endParaRPr>
        </a:p>
        <a:p>
          <a:endParaRPr b="0" lang="en-US" sz="8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129240</xdr:colOff>
      <xdr:row>9</xdr:row>
      <xdr:rowOff>57240</xdr:rowOff>
    </xdr:from>
    <xdr:to>
      <xdr:col>22</xdr:col>
      <xdr:colOff>216000</xdr:colOff>
      <xdr:row>11</xdr:row>
      <xdr:rowOff>19440</xdr:rowOff>
    </xdr:to>
    <xdr:sp>
      <xdr:nvSpPr>
        <xdr:cNvPr id="1" name="Text 2"/>
        <xdr:cNvSpPr/>
      </xdr:nvSpPr>
      <xdr:spPr>
        <a:xfrm>
          <a:off x="10217520" y="1299240"/>
          <a:ext cx="496440" cy="24408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eeeeec"/>
          </a:solidFill>
          <a:miter/>
        </a:ln>
      </xdr:spPr>
      <xdr:style>
        <a:lnRef idx="0"/>
        <a:fillRef idx="0"/>
        <a:effectRef idx="0"/>
        <a:fontRef idx="minor"/>
      </xdr:style>
      <xdr:txBody>
        <a:bodyPr lIns="20160" rIns="20160" tIns="20160" bIns="20160" anchor="t">
          <a:noAutofit/>
        </a:bodyPr>
        <a:p>
          <a:r>
            <a:rPr b="0" lang="en-US" sz="400" spc="-1" strike="noStrike">
              <a:latin typeface="LinePrinter"/>
            </a:rPr>
            <a:t>SPILL STARTED</a:t>
          </a:r>
          <a:endParaRPr b="0" lang="en-US" sz="400" spc="-1" strike="noStrike">
            <a:latin typeface="Times New Roman"/>
          </a:endParaRPr>
        </a:p>
        <a:p>
          <a:r>
            <a:rPr b="0" lang="en-US" sz="400" spc="-1" strike="noStrike">
              <a:latin typeface="LinePrinter"/>
            </a:rPr>
            <a:t>NO DEBIT</a:t>
          </a:r>
          <a:endParaRPr b="0" lang="en-US" sz="4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34</xdr:row>
      <xdr:rowOff>0</xdr:rowOff>
    </xdr:from>
    <xdr:to>
      <xdr:col>14</xdr:col>
      <xdr:colOff>720</xdr:colOff>
      <xdr:row>34</xdr:row>
      <xdr:rowOff>140760</xdr:rowOff>
    </xdr:to>
    <xdr:sp>
      <xdr:nvSpPr>
        <xdr:cNvPr id="2" name="Rectangle 1"/>
        <xdr:cNvSpPr/>
      </xdr:nvSpPr>
      <xdr:spPr>
        <a:xfrm>
          <a:off x="6369120" y="4766400"/>
          <a:ext cx="604440" cy="1407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13</xdr:col>
      <xdr:colOff>0</xdr:colOff>
      <xdr:row>34</xdr:row>
      <xdr:rowOff>0</xdr:rowOff>
    </xdr:from>
    <xdr:to>
      <xdr:col>14</xdr:col>
      <xdr:colOff>720</xdr:colOff>
      <xdr:row>34</xdr:row>
      <xdr:rowOff>140760</xdr:rowOff>
    </xdr:to>
    <xdr:sp>
      <xdr:nvSpPr>
        <xdr:cNvPr id="3" name="Rectangle 3"/>
        <xdr:cNvSpPr/>
      </xdr:nvSpPr>
      <xdr:spPr>
        <a:xfrm>
          <a:off x="6369120" y="4766400"/>
          <a:ext cx="604440" cy="1407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13</xdr:col>
      <xdr:colOff>0</xdr:colOff>
      <xdr:row>34</xdr:row>
      <xdr:rowOff>0</xdr:rowOff>
    </xdr:from>
    <xdr:to>
      <xdr:col>14</xdr:col>
      <xdr:colOff>720</xdr:colOff>
      <xdr:row>34</xdr:row>
      <xdr:rowOff>140760</xdr:rowOff>
    </xdr:to>
    <xdr:sp>
      <xdr:nvSpPr>
        <xdr:cNvPr id="4" name="Rectangle 4"/>
        <xdr:cNvSpPr/>
      </xdr:nvSpPr>
      <xdr:spPr>
        <a:xfrm>
          <a:off x="6369120" y="4766400"/>
          <a:ext cx="604440" cy="1407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13</xdr:col>
      <xdr:colOff>0</xdr:colOff>
      <xdr:row>34</xdr:row>
      <xdr:rowOff>0</xdr:rowOff>
    </xdr:from>
    <xdr:to>
      <xdr:col>14</xdr:col>
      <xdr:colOff>720</xdr:colOff>
      <xdr:row>34</xdr:row>
      <xdr:rowOff>140760</xdr:rowOff>
    </xdr:to>
    <xdr:sp>
      <xdr:nvSpPr>
        <xdr:cNvPr id="5" name="Rectangle 6"/>
        <xdr:cNvSpPr/>
      </xdr:nvSpPr>
      <xdr:spPr>
        <a:xfrm>
          <a:off x="6369120" y="4766400"/>
          <a:ext cx="604440" cy="14076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13</xdr:col>
      <xdr:colOff>0</xdr:colOff>
      <xdr:row>34</xdr:row>
      <xdr:rowOff>0</xdr:rowOff>
    </xdr:from>
    <xdr:to>
      <xdr:col>14</xdr:col>
      <xdr:colOff>720</xdr:colOff>
      <xdr:row>34</xdr:row>
      <xdr:rowOff>140760</xdr:rowOff>
    </xdr:to>
    <xdr:sp>
      <xdr:nvSpPr>
        <xdr:cNvPr id="6" name="Rectangle 8"/>
        <xdr:cNvSpPr/>
      </xdr:nvSpPr>
      <xdr:spPr>
        <a:xfrm>
          <a:off x="6369120" y="4766400"/>
          <a:ext cx="604440" cy="14076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13</xdr:col>
      <xdr:colOff>0</xdr:colOff>
      <xdr:row>34</xdr:row>
      <xdr:rowOff>124200</xdr:rowOff>
    </xdr:from>
    <xdr:to>
      <xdr:col>13</xdr:col>
      <xdr:colOff>11160</xdr:colOff>
      <xdr:row>34</xdr:row>
      <xdr:rowOff>140760</xdr:rowOff>
    </xdr:to>
    <xdr:sp>
      <xdr:nvSpPr>
        <xdr:cNvPr id="7" name="Rectangle 10"/>
        <xdr:cNvSpPr/>
      </xdr:nvSpPr>
      <xdr:spPr>
        <a:xfrm>
          <a:off x="6369120" y="4890600"/>
          <a:ext cx="11160" cy="165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13</xdr:col>
      <xdr:colOff>0</xdr:colOff>
      <xdr:row>34</xdr:row>
      <xdr:rowOff>0</xdr:rowOff>
    </xdr:from>
    <xdr:to>
      <xdr:col>14</xdr:col>
      <xdr:colOff>720</xdr:colOff>
      <xdr:row>34</xdr:row>
      <xdr:rowOff>140760</xdr:rowOff>
    </xdr:to>
    <xdr:sp>
      <xdr:nvSpPr>
        <xdr:cNvPr id="8" name="Rectangle 11"/>
        <xdr:cNvSpPr/>
      </xdr:nvSpPr>
      <xdr:spPr>
        <a:xfrm>
          <a:off x="6369120" y="4766400"/>
          <a:ext cx="604440" cy="140760"/>
        </a:xfrm>
        <a:prstGeom prst="rect">
          <a:avLst/>
        </a:prstGeom>
        <a:noFill/>
        <a:ln w="0">
          <a:noFill/>
        </a:ln>
      </xdr:spPr>
      <xdr:style>
        <a:lnRef idx="0"/>
        <a:fillRef idx="0"/>
        <a:effectRef idx="0"/>
        <a:fontRef idx="minor"/>
      </xdr:style>
    </xdr:sp>
    <xdr:clientData/>
  </xdr:twoCellAnchor>
  <xdr:twoCellAnchor editAs="oneCell">
    <xdr:from>
      <xdr:col>13</xdr:col>
      <xdr:colOff>0</xdr:colOff>
      <xdr:row>28</xdr:row>
      <xdr:rowOff>0</xdr:rowOff>
    </xdr:from>
    <xdr:to>
      <xdr:col>14</xdr:col>
      <xdr:colOff>720</xdr:colOff>
      <xdr:row>28</xdr:row>
      <xdr:rowOff>141120</xdr:rowOff>
    </xdr:to>
    <xdr:sp>
      <xdr:nvSpPr>
        <xdr:cNvPr id="9" name="Rectangle 12"/>
        <xdr:cNvSpPr/>
      </xdr:nvSpPr>
      <xdr:spPr>
        <a:xfrm>
          <a:off x="6369120" y="3920400"/>
          <a:ext cx="604440" cy="14112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13</xdr:col>
      <xdr:colOff>0</xdr:colOff>
      <xdr:row>28</xdr:row>
      <xdr:rowOff>0</xdr:rowOff>
    </xdr:from>
    <xdr:to>
      <xdr:col>14</xdr:col>
      <xdr:colOff>720</xdr:colOff>
      <xdr:row>28</xdr:row>
      <xdr:rowOff>141120</xdr:rowOff>
    </xdr:to>
    <xdr:sp>
      <xdr:nvSpPr>
        <xdr:cNvPr id="10" name="Rectangle 13"/>
        <xdr:cNvSpPr/>
      </xdr:nvSpPr>
      <xdr:spPr>
        <a:xfrm>
          <a:off x="6369120" y="3920400"/>
          <a:ext cx="604440" cy="14112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RIVER96.XLW"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NOV"/>
      <sheetName val="DEC"/>
      <sheetName val="JAN"/>
      <sheetName val="FEB"/>
      <sheetName val="MAR"/>
      <sheetName val="APR"/>
      <sheetName val="MAY"/>
      <sheetName val="JUN"/>
      <sheetName val="JUL"/>
      <sheetName val="AUG"/>
      <sheetName val="SEP"/>
      <sheetName val="OCT"/>
    </sheetNames>
    <sheetDataSet>
      <sheetData sheetId="0"/>
      <sheetData sheetId="1"/>
      <sheetData sheetId="2"/>
      <sheetData sheetId="3"/>
      <sheetData sheetId="4"/>
      <sheetData sheetId="5"/>
      <sheetData sheetId="6"/>
      <sheetData sheetId="7"/>
      <sheetData sheetId="8"/>
      <sheetData sheetId="9"/>
      <sheetData sheetId="10"/>
      <sheetData sheetId="11">
        <row r="40">
          <cell r="V40">
            <v>5234.32002268716</v>
          </cell>
        </row>
      </sheetData>
    </sheetDataSet>
  </externalBook>
</externalLink>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4"/>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pane xSplit="1" ySplit="8" topLeftCell="O10" activePane="bottomRight" state="frozen"/>
      <selection pane="topLeft" activeCell="A2" activeCellId="0" sqref="A2"/>
      <selection pane="topRight" activeCell="O2" activeCellId="0" sqref="O2"/>
      <selection pane="bottomLeft" activeCell="A10" activeCellId="0" sqref="A10"/>
      <selection pane="bottomRight" activeCell="P5" activeCellId="0" sqref="P5"/>
    </sheetView>
  </sheetViews>
  <sheetFormatPr defaultColWidth="9.2890625" defaultRowHeight="11.1" zeroHeight="false" outlineLevelRow="0" outlineLevelCol="0"/>
  <cols>
    <col collapsed="false" customWidth="true" hidden="false" outlineLevel="0" max="1" min="1" style="0" width="5.66"/>
    <col collapsed="false" customWidth="true" hidden="false" outlineLevel="0" max="3" min="3" style="1" width="7.32"/>
    <col collapsed="false" customWidth="true" hidden="false" outlineLevel="0" max="4" min="4" style="0" width="6.82"/>
    <col collapsed="false" customWidth="true" hidden="false" outlineLevel="0" max="5" min="5" style="1" width="7.32"/>
    <col collapsed="false" customWidth="true" hidden="false" outlineLevel="0" max="6" min="6" style="0" width="7.66"/>
    <col collapsed="false" customWidth="true" hidden="false" outlineLevel="0" max="7" min="7" style="0" width="6.66"/>
    <col collapsed="false" customWidth="true" hidden="false" outlineLevel="0" max="8" min="8" style="2" width="7.16"/>
    <col collapsed="false" customWidth="true" hidden="false" outlineLevel="0" max="9" min="9" style="0" width="8.82"/>
    <col collapsed="false" customWidth="true" hidden="false" outlineLevel="0" max="11" min="10" style="0" width="6.32"/>
    <col collapsed="false" customWidth="true" hidden="false" outlineLevel="0" max="12" min="12" style="0" width="6.49"/>
    <col collapsed="false" customWidth="true" hidden="false" outlineLevel="0" max="15" min="13" style="3" width="7.49"/>
    <col collapsed="false" customWidth="true" hidden="false" outlineLevel="0" max="16" min="16" style="0" width="5.82"/>
    <col collapsed="false" customWidth="true" hidden="false" outlineLevel="0" max="17" min="17" style="0" width="7.16"/>
    <col collapsed="false" customWidth="true" hidden="false" outlineLevel="0" max="18" min="18" style="0" width="6.66"/>
    <col collapsed="false" customWidth="true" hidden="false" outlineLevel="0" max="19" min="19" style="1" width="6.66"/>
    <col collapsed="false" customWidth="true" hidden="false" outlineLevel="0" max="20" min="20" style="0" width="5.82"/>
    <col collapsed="false" customWidth="true" hidden="false" outlineLevel="0" max="21" min="21" style="0" width="7.49"/>
    <col collapsed="false" customWidth="true" hidden="false" outlineLevel="0" max="22" min="22" style="1" width="6.32"/>
    <col collapsed="false" customWidth="true" hidden="false" outlineLevel="0" max="25" min="23" style="0" width="7.82"/>
    <col collapsed="false" customWidth="true" hidden="false" outlineLevel="0" max="26" min="26" style="4" width="5.66"/>
    <col collapsed="false" customWidth="true" hidden="false" outlineLevel="0" max="28" min="27" style="5" width="5.66"/>
    <col collapsed="false" customWidth="true" hidden="false" outlineLevel="0" max="29" min="29" style="6" width="5.66"/>
  </cols>
  <sheetData>
    <row r="1" customFormat="false" ht="14.1" hidden="false" customHeight="true" outlineLevel="0" collapsed="false">
      <c r="A1" s="7"/>
      <c r="B1" s="7"/>
      <c r="C1" s="8"/>
      <c r="D1" s="7"/>
      <c r="E1" s="8"/>
      <c r="F1" s="7"/>
      <c r="G1" s="7"/>
      <c r="H1" s="9"/>
      <c r="I1" s="7"/>
      <c r="J1" s="7"/>
      <c r="K1" s="10" t="s">
        <v>0</v>
      </c>
      <c r="L1" s="7"/>
      <c r="M1" s="7"/>
      <c r="N1" s="7"/>
      <c r="O1" s="7"/>
      <c r="P1" s="7"/>
      <c r="Q1" s="7"/>
      <c r="R1" s="7"/>
      <c r="S1" s="8"/>
      <c r="T1" s="7"/>
      <c r="U1" s="7"/>
      <c r="V1" s="8"/>
      <c r="W1" s="7"/>
      <c r="X1" s="7"/>
      <c r="Y1" s="7"/>
      <c r="Z1" s="11"/>
      <c r="AA1" s="12"/>
      <c r="AB1" s="12"/>
      <c r="AC1" s="13"/>
      <c r="AD1" s="14"/>
      <c r="AE1" s="14"/>
    </row>
    <row r="2" customFormat="false" ht="14.1" hidden="false" customHeight="true" outlineLevel="0" collapsed="false">
      <c r="A2" s="7" t="s">
        <v>1</v>
      </c>
      <c r="B2" s="7"/>
      <c r="C2" s="8"/>
      <c r="D2" s="15" t="n">
        <v>1.9835</v>
      </c>
      <c r="E2" s="8"/>
      <c r="F2" s="7"/>
      <c r="G2" s="7"/>
      <c r="H2" s="9"/>
      <c r="I2" s="7"/>
      <c r="J2" s="7"/>
      <c r="K2" s="7"/>
      <c r="L2" s="10" t="s">
        <v>2</v>
      </c>
      <c r="M2" s="7"/>
      <c r="N2" s="7"/>
      <c r="O2" s="7"/>
      <c r="P2" s="7"/>
      <c r="Q2" s="7"/>
      <c r="R2" s="7"/>
      <c r="S2" s="8"/>
      <c r="T2" s="7"/>
      <c r="U2" s="7"/>
      <c r="V2" s="8"/>
      <c r="W2" s="7"/>
      <c r="X2" s="7"/>
      <c r="Y2" s="7"/>
      <c r="Z2" s="11"/>
      <c r="AA2" s="12"/>
      <c r="AB2" s="12"/>
      <c r="AC2" s="13"/>
      <c r="AD2" s="14"/>
      <c r="AE2" s="14"/>
    </row>
    <row r="3" customFormat="false" ht="11.1" hidden="false" customHeight="true" outlineLevel="0" collapsed="false">
      <c r="A3" s="7"/>
      <c r="B3" s="7"/>
      <c r="C3" s="8"/>
      <c r="D3" s="16"/>
      <c r="E3" s="8"/>
      <c r="F3" s="7"/>
      <c r="G3" s="7"/>
      <c r="H3" s="9"/>
      <c r="I3" s="7"/>
      <c r="J3" s="7"/>
      <c r="K3" s="7"/>
      <c r="L3" s="7"/>
      <c r="M3" s="7"/>
      <c r="N3" s="7"/>
      <c r="O3" s="7"/>
      <c r="P3" s="7"/>
      <c r="Q3" s="7"/>
      <c r="R3" s="7"/>
      <c r="S3" s="8"/>
      <c r="T3" s="7"/>
      <c r="U3" s="7"/>
      <c r="V3" s="8"/>
      <c r="W3" s="7"/>
      <c r="X3" s="7"/>
      <c r="Y3" s="7"/>
      <c r="Z3" s="11"/>
      <c r="AA3" s="12"/>
      <c r="AB3" s="12"/>
      <c r="AC3" s="13"/>
      <c r="AD3" s="14"/>
      <c r="AE3" s="14"/>
    </row>
    <row r="4" customFormat="false" ht="11.1" hidden="false" customHeight="true" outlineLevel="0" collapsed="false">
      <c r="A4" s="17" t="s">
        <v>3</v>
      </c>
      <c r="B4" s="17" t="s">
        <v>4</v>
      </c>
      <c r="C4" s="18" t="s">
        <v>4</v>
      </c>
      <c r="D4" s="17" t="s">
        <v>5</v>
      </c>
      <c r="E4" s="18" t="s">
        <v>6</v>
      </c>
      <c r="F4" s="17" t="s">
        <v>7</v>
      </c>
      <c r="G4" s="17" t="s">
        <v>8</v>
      </c>
      <c r="H4" s="19" t="s">
        <v>9</v>
      </c>
      <c r="I4" s="17" t="s">
        <v>10</v>
      </c>
      <c r="J4" s="17" t="s">
        <v>11</v>
      </c>
      <c r="K4" s="17" t="s">
        <v>12</v>
      </c>
      <c r="L4" s="17" t="s">
        <v>11</v>
      </c>
      <c r="M4" s="20" t="s">
        <v>13</v>
      </c>
      <c r="N4" s="20"/>
      <c r="O4" s="20"/>
      <c r="P4" s="17" t="s">
        <v>14</v>
      </c>
      <c r="Q4" s="17" t="s">
        <v>15</v>
      </c>
      <c r="R4" s="17" t="s">
        <v>12</v>
      </c>
      <c r="S4" s="18" t="s">
        <v>16</v>
      </c>
      <c r="T4" s="17" t="s">
        <v>17</v>
      </c>
      <c r="U4" s="17" t="s">
        <v>18</v>
      </c>
      <c r="V4" s="18" t="s">
        <v>19</v>
      </c>
      <c r="W4" s="17" t="s">
        <v>10</v>
      </c>
      <c r="X4" s="17" t="s">
        <v>11</v>
      </c>
      <c r="Y4" s="17" t="s">
        <v>12</v>
      </c>
      <c r="Z4" s="21" t="s">
        <v>20</v>
      </c>
      <c r="AA4" s="22" t="s">
        <v>21</v>
      </c>
      <c r="AB4" s="22" t="s">
        <v>22</v>
      </c>
      <c r="AC4" s="22" t="s">
        <v>3</v>
      </c>
      <c r="AD4" s="14"/>
      <c r="AE4" s="14"/>
    </row>
    <row r="5" customFormat="false" ht="11.1" hidden="false" customHeight="true" outlineLevel="0" collapsed="false">
      <c r="A5" s="23" t="s">
        <v>23</v>
      </c>
      <c r="B5" s="17" t="s">
        <v>24</v>
      </c>
      <c r="C5" s="18" t="s">
        <v>5</v>
      </c>
      <c r="D5" s="17" t="s">
        <v>25</v>
      </c>
      <c r="E5" s="18" t="s">
        <v>26</v>
      </c>
      <c r="F5" s="17" t="s">
        <v>27</v>
      </c>
      <c r="G5" s="17" t="s">
        <v>28</v>
      </c>
      <c r="H5" s="19" t="s">
        <v>29</v>
      </c>
      <c r="I5" s="17" t="s">
        <v>30</v>
      </c>
      <c r="J5" s="17" t="s">
        <v>30</v>
      </c>
      <c r="K5" s="17" t="s">
        <v>30</v>
      </c>
      <c r="L5" s="17" t="s">
        <v>31</v>
      </c>
      <c r="M5" s="17" t="s">
        <v>32</v>
      </c>
      <c r="N5" s="17" t="s">
        <v>33</v>
      </c>
      <c r="O5" s="24" t="s">
        <v>34</v>
      </c>
      <c r="P5" s="17" t="s">
        <v>35</v>
      </c>
      <c r="Q5" s="17" t="s">
        <v>36</v>
      </c>
      <c r="R5" s="17" t="s">
        <v>16</v>
      </c>
      <c r="S5" s="18" t="s">
        <v>37</v>
      </c>
      <c r="T5" s="17" t="s">
        <v>38</v>
      </c>
      <c r="U5" s="17" t="s">
        <v>39</v>
      </c>
      <c r="V5" s="18" t="s">
        <v>40</v>
      </c>
      <c r="W5" s="17" t="s">
        <v>41</v>
      </c>
      <c r="X5" s="17" t="s">
        <v>41</v>
      </c>
      <c r="Y5" s="17" t="s">
        <v>41</v>
      </c>
      <c r="Z5" s="25"/>
      <c r="AA5" s="22" t="s">
        <v>42</v>
      </c>
      <c r="AB5" s="22" t="s">
        <v>42</v>
      </c>
      <c r="AC5" s="26" t="s">
        <v>23</v>
      </c>
      <c r="AD5" s="14"/>
      <c r="AE5" s="14"/>
    </row>
    <row r="6" customFormat="false" ht="11.1" hidden="false" customHeight="true" outlineLevel="0" collapsed="false">
      <c r="A6" s="27"/>
      <c r="B6" s="27"/>
      <c r="C6" s="28"/>
      <c r="D6" s="27"/>
      <c r="E6" s="28"/>
      <c r="F6" s="27"/>
      <c r="G6" s="27"/>
      <c r="H6" s="29"/>
      <c r="I6" s="27"/>
      <c r="J6" s="27"/>
      <c r="K6" s="27"/>
      <c r="L6" s="27"/>
      <c r="M6" s="27"/>
      <c r="N6" s="27"/>
      <c r="O6" s="27"/>
      <c r="P6" s="27"/>
      <c r="Q6" s="27"/>
      <c r="R6" s="27"/>
      <c r="S6" s="28"/>
      <c r="T6" s="27"/>
      <c r="U6" s="27"/>
      <c r="V6" s="30"/>
      <c r="W6" s="27"/>
      <c r="X6" s="27"/>
      <c r="Y6" s="27"/>
      <c r="Z6" s="11"/>
      <c r="AA6" s="13"/>
      <c r="AB6" s="13"/>
      <c r="AC6" s="13"/>
      <c r="AD6" s="14"/>
      <c r="AE6" s="14"/>
    </row>
    <row r="7" customFormat="false" ht="11.1" hidden="false" customHeight="true" outlineLevel="0" collapsed="false">
      <c r="A7" s="7" t="s">
        <v>43</v>
      </c>
      <c r="B7" s="7"/>
      <c r="C7" s="8"/>
      <c r="D7" s="8"/>
      <c r="E7" s="8"/>
      <c r="F7" s="8"/>
      <c r="G7" s="8"/>
      <c r="H7" s="12"/>
      <c r="I7" s="8"/>
      <c r="J7" s="8"/>
      <c r="K7" s="8"/>
      <c r="L7" s="8"/>
      <c r="M7" s="8"/>
      <c r="N7" s="8"/>
      <c r="O7" s="8"/>
      <c r="P7" s="8"/>
      <c r="Q7" s="8"/>
      <c r="R7" s="8"/>
      <c r="S7" s="8"/>
      <c r="T7" s="8"/>
      <c r="U7" s="8"/>
      <c r="V7" s="31" t="n">
        <f aca="false">V6/D2</f>
        <v>0</v>
      </c>
      <c r="W7" s="8"/>
      <c r="X7" s="8"/>
      <c r="Y7" s="8"/>
      <c r="Z7" s="11"/>
      <c r="AA7" s="12"/>
      <c r="AB7" s="12"/>
      <c r="AC7" s="13"/>
      <c r="AD7" s="14"/>
    </row>
    <row r="8" s="1" customFormat="true" ht="11.1" hidden="false" customHeight="true" outlineLevel="0" collapsed="false">
      <c r="A8" s="8" t="s">
        <v>44</v>
      </c>
      <c r="B8" s="32" t="n">
        <v>6889.36</v>
      </c>
      <c r="C8" s="8" t="n">
        <v>246013</v>
      </c>
      <c r="D8" s="8"/>
      <c r="E8" s="8"/>
      <c r="F8" s="8"/>
      <c r="G8" s="8"/>
      <c r="H8" s="12"/>
      <c r="I8" s="8"/>
      <c r="J8" s="8"/>
      <c r="K8" s="8"/>
      <c r="L8" s="8"/>
      <c r="M8" s="8"/>
      <c r="N8" s="8"/>
      <c r="O8" s="8"/>
      <c r="P8" s="8"/>
      <c r="Q8" s="8"/>
      <c r="R8" s="8"/>
      <c r="S8" s="8"/>
      <c r="T8" s="8"/>
      <c r="U8" s="8"/>
      <c r="V8" s="8" t="n">
        <f aca="false">[1]OCT!$V$40</f>
        <v>5234.32002268716</v>
      </c>
      <c r="W8" s="8"/>
      <c r="X8" s="8"/>
      <c r="Y8" s="8"/>
      <c r="Z8" s="33"/>
      <c r="AA8" s="12"/>
      <c r="AB8" s="12"/>
      <c r="AC8" s="13"/>
      <c r="AD8" s="34" t="n">
        <v>13149</v>
      </c>
      <c r="AE8" s="14" t="n">
        <v>17902</v>
      </c>
    </row>
    <row r="9" customFormat="false" ht="3" hidden="false" customHeight="true" outlineLevel="0" collapsed="false">
      <c r="A9" s="35"/>
      <c r="B9" s="36"/>
      <c r="C9" s="37"/>
      <c r="D9" s="35"/>
      <c r="E9" s="37"/>
      <c r="F9" s="35"/>
      <c r="G9" s="35"/>
      <c r="H9" s="38"/>
      <c r="I9" s="35"/>
      <c r="J9" s="35"/>
      <c r="K9" s="35"/>
      <c r="L9" s="35"/>
      <c r="M9" s="35"/>
      <c r="N9" s="35"/>
      <c r="O9" s="35"/>
      <c r="P9" s="35"/>
      <c r="Q9" s="35"/>
      <c r="R9" s="35"/>
      <c r="S9" s="37"/>
      <c r="T9" s="35"/>
      <c r="U9" s="35"/>
      <c r="V9" s="37"/>
      <c r="W9" s="35"/>
      <c r="X9" s="35"/>
      <c r="Y9" s="35"/>
      <c r="Z9" s="39"/>
      <c r="AA9" s="40"/>
      <c r="AB9" s="40"/>
      <c r="AC9" s="41"/>
      <c r="AD9" s="14"/>
      <c r="AE9" s="14"/>
    </row>
    <row r="10" customFormat="false" ht="11.1" hidden="false" customHeight="true" outlineLevel="0" collapsed="false">
      <c r="A10" s="13" t="n">
        <v>1</v>
      </c>
      <c r="B10" s="32" t="n">
        <v>6889.31</v>
      </c>
      <c r="C10" s="8" t="n">
        <v>245845</v>
      </c>
      <c r="D10" s="12" t="n">
        <f aca="false">C10-C8</f>
        <v>-168</v>
      </c>
      <c r="E10" s="8" t="n">
        <f aca="false">C10-152000</f>
        <v>93845</v>
      </c>
      <c r="F10" s="7" t="n">
        <f aca="false">D10/$D$2</f>
        <v>-84.6987648096799</v>
      </c>
      <c r="G10" s="7" t="n">
        <v>111</v>
      </c>
      <c r="H10" s="9" t="n">
        <v>2.2</v>
      </c>
      <c r="I10" s="7" t="n">
        <f aca="false">G10+H10</f>
        <v>113.2</v>
      </c>
      <c r="J10" s="33" t="n">
        <f aca="false">IF(L10&gt;0,L10,0)</f>
        <v>0</v>
      </c>
      <c r="K10" s="7" t="n">
        <f aca="false">I10+J10</f>
        <v>113.2</v>
      </c>
      <c r="L10" s="7" t="n">
        <f aca="false">F10-(I10-W10)</f>
        <v>-18.6287648096799</v>
      </c>
      <c r="M10" s="7" t="n">
        <v>20</v>
      </c>
      <c r="N10" s="7" t="n">
        <f aca="false">(5.4+0)*1.05</f>
        <v>5.67</v>
      </c>
      <c r="O10" s="7" t="n">
        <f aca="false">M10-N10</f>
        <v>14.33</v>
      </c>
      <c r="P10" s="7" t="n">
        <v>104.07</v>
      </c>
      <c r="Q10" s="7" t="n">
        <v>13</v>
      </c>
      <c r="R10" s="7" t="n">
        <f aca="false">SUM(O10:Q10)</f>
        <v>131.4</v>
      </c>
      <c r="S10" s="8"/>
      <c r="T10" s="7"/>
      <c r="U10" s="7" t="n">
        <v>42.2</v>
      </c>
      <c r="V10" s="8" t="n">
        <f aca="false">(V7+V8)-U10</f>
        <v>5192.12002268716</v>
      </c>
      <c r="W10" s="7" t="n">
        <f aca="false">N10+R10+T10+U10</f>
        <v>179.27</v>
      </c>
      <c r="X10" s="7" t="n">
        <f aca="false">IF(L10&lt;0,L10*-1,0)</f>
        <v>18.6287648096799</v>
      </c>
      <c r="Y10" s="7" t="n">
        <f aca="false">W10+X10</f>
        <v>197.89876480968</v>
      </c>
      <c r="Z10" s="11" t="n">
        <v>0</v>
      </c>
      <c r="AA10" s="12" t="n">
        <v>50</v>
      </c>
      <c r="AB10" s="12" t="n">
        <v>20</v>
      </c>
      <c r="AC10" s="13" t="n">
        <v>1</v>
      </c>
      <c r="AD10" s="12" t="n">
        <v>13243</v>
      </c>
      <c r="AE10" s="12"/>
      <c r="AF10" s="0" t="n">
        <v>7883</v>
      </c>
    </row>
    <row r="11" customFormat="false" ht="11.1" hidden="false" customHeight="true" outlineLevel="0" collapsed="false">
      <c r="A11" s="13" t="n">
        <f aca="false">A10+1</f>
        <v>2</v>
      </c>
      <c r="B11" s="42" t="n">
        <v>6889.33</v>
      </c>
      <c r="C11" s="8" t="n">
        <v>245912</v>
      </c>
      <c r="D11" s="12" t="n">
        <f aca="false">C11-C10</f>
        <v>67</v>
      </c>
      <c r="E11" s="8" t="n">
        <f aca="false">C11-152000</f>
        <v>93912</v>
      </c>
      <c r="F11" s="7" t="n">
        <f aca="false">D11/$D$2</f>
        <v>33.7786740610033</v>
      </c>
      <c r="G11" s="7" t="n">
        <v>101</v>
      </c>
      <c r="H11" s="9" t="n">
        <v>1.7</v>
      </c>
      <c r="I11" s="7" t="n">
        <f aca="false">G11+H11</f>
        <v>102.7</v>
      </c>
      <c r="J11" s="33" t="n">
        <f aca="false">IF(L11&gt;0,L11,0)</f>
        <v>5.24867406100328</v>
      </c>
      <c r="K11" s="7" t="n">
        <f aca="false">I11+J11</f>
        <v>107.948674061003</v>
      </c>
      <c r="L11" s="7" t="n">
        <f aca="false">F11-(I11-W11)</f>
        <v>5.24867406100328</v>
      </c>
      <c r="M11" s="7" t="n">
        <v>18</v>
      </c>
      <c r="N11" s="7" t="n">
        <v>0</v>
      </c>
      <c r="O11" s="7" t="n">
        <f aca="false">M11-N11</f>
        <v>18</v>
      </c>
      <c r="P11" s="7" t="n">
        <v>0</v>
      </c>
      <c r="Q11" s="7" t="n">
        <v>14</v>
      </c>
      <c r="R11" s="7" t="n">
        <f aca="false">SUM(O11:Q11)</f>
        <v>32</v>
      </c>
      <c r="S11" s="8"/>
      <c r="T11" s="7"/>
      <c r="U11" s="7" t="n">
        <v>42.17</v>
      </c>
      <c r="V11" s="8" t="n">
        <f aca="false">V10-U11</f>
        <v>5149.95002268716</v>
      </c>
      <c r="W11" s="7" t="n">
        <f aca="false">N11+R11+T11+U11</f>
        <v>74.17</v>
      </c>
      <c r="X11" s="7" t="n">
        <f aca="false">IF(L11&lt;0,L11*-1,0)</f>
        <v>0</v>
      </c>
      <c r="Y11" s="7" t="n">
        <f aca="false">W11+X11</f>
        <v>74.17</v>
      </c>
      <c r="Z11" s="11" t="n">
        <v>0</v>
      </c>
      <c r="AA11" s="12" t="n">
        <v>53</v>
      </c>
      <c r="AB11" s="12" t="n">
        <v>22</v>
      </c>
      <c r="AC11" s="13" t="n">
        <f aca="false">AC10+1</f>
        <v>2</v>
      </c>
      <c r="AD11" s="12" t="n">
        <v>13333</v>
      </c>
      <c r="AE11" s="12" t="n">
        <v>62</v>
      </c>
    </row>
    <row r="12" customFormat="false" ht="11.1" hidden="false" customHeight="true" outlineLevel="0" collapsed="false">
      <c r="A12" s="13" t="n">
        <f aca="false">A11+1</f>
        <v>3</v>
      </c>
      <c r="B12" s="32" t="n">
        <v>6889.41</v>
      </c>
      <c r="C12" s="8" t="n">
        <v>246182</v>
      </c>
      <c r="D12" s="12" t="n">
        <f aca="false">C12-C11</f>
        <v>270</v>
      </c>
      <c r="E12" s="8" t="n">
        <f aca="false">C12-152000</f>
        <v>94182</v>
      </c>
      <c r="F12" s="7" t="n">
        <f aca="false">D12/$D$2</f>
        <v>136.1230148727</v>
      </c>
      <c r="G12" s="7" t="n">
        <v>131</v>
      </c>
      <c r="H12" s="9" t="n">
        <v>2.6</v>
      </c>
      <c r="I12" s="7" t="n">
        <f aca="false">G12+H12</f>
        <v>133.6</v>
      </c>
      <c r="J12" s="33" t="n">
        <f aca="false">IF(L12&gt;0,L12,0)</f>
        <v>77.1130148726998</v>
      </c>
      <c r="K12" s="7" t="n">
        <f aca="false">I12+J12</f>
        <v>210.7130148727</v>
      </c>
      <c r="L12" s="7" t="n">
        <f aca="false">F12-(I12-W12)</f>
        <v>77.1130148726998</v>
      </c>
      <c r="M12" s="7" t="n">
        <v>18</v>
      </c>
      <c r="N12" s="7" t="n">
        <f aca="false">(0.5+0)*1.05</f>
        <v>0.525</v>
      </c>
      <c r="O12" s="7" t="n">
        <f aca="false">M12-N12</f>
        <v>17.475</v>
      </c>
      <c r="P12" s="7" t="n">
        <v>0</v>
      </c>
      <c r="Q12" s="7" t="n">
        <v>14</v>
      </c>
      <c r="R12" s="7" t="n">
        <f aca="false">SUM(O12:Q12)</f>
        <v>31.475</v>
      </c>
      <c r="S12" s="8"/>
      <c r="T12" s="7"/>
      <c r="U12" s="7" t="n">
        <v>42.59</v>
      </c>
      <c r="V12" s="8" t="n">
        <f aca="false">V11-U12</f>
        <v>5107.36002268716</v>
      </c>
      <c r="W12" s="7" t="n">
        <f aca="false">N12+R12+T12+U12</f>
        <v>74.59</v>
      </c>
      <c r="X12" s="7" t="n">
        <f aca="false">IF(L12&lt;0,L12*-1,0)</f>
        <v>0</v>
      </c>
      <c r="Y12" s="7" t="n">
        <f aca="false">W12+X12</f>
        <v>74.59</v>
      </c>
      <c r="Z12" s="11" t="n">
        <v>0.21</v>
      </c>
      <c r="AA12" s="12" t="n">
        <v>60</v>
      </c>
      <c r="AB12" s="12" t="n">
        <v>38</v>
      </c>
      <c r="AC12" s="13" t="n">
        <f aca="false">AC11+1</f>
        <v>3</v>
      </c>
      <c r="AD12" s="12" t="n">
        <v>13456</v>
      </c>
      <c r="AE12" s="12" t="n">
        <v>159</v>
      </c>
    </row>
    <row r="13" customFormat="false" ht="11.1" hidden="false" customHeight="true" outlineLevel="0" collapsed="false">
      <c r="A13" s="13" t="n">
        <f aca="false">A12+1</f>
        <v>4</v>
      </c>
      <c r="B13" s="32" t="n">
        <v>6889.46</v>
      </c>
      <c r="C13" s="8" t="n">
        <v>246350</v>
      </c>
      <c r="D13" s="12" t="n">
        <f aca="false">C13-C12</f>
        <v>168</v>
      </c>
      <c r="E13" s="8" t="n">
        <f aca="false">C13-152000</f>
        <v>94350</v>
      </c>
      <c r="F13" s="7" t="n">
        <f aca="false">D13/$D$2</f>
        <v>84.6987648096799</v>
      </c>
      <c r="G13" s="7" t="n">
        <v>128</v>
      </c>
      <c r="H13" s="9" t="n">
        <v>3.5</v>
      </c>
      <c r="I13" s="7" t="n">
        <f aca="false">G13+H13</f>
        <v>131.5</v>
      </c>
      <c r="J13" s="33" t="n">
        <f aca="false">IF(L13&gt;0,L13,0)</f>
        <v>25.8587648096799</v>
      </c>
      <c r="K13" s="7" t="n">
        <f aca="false">I13+J13</f>
        <v>157.35876480968</v>
      </c>
      <c r="L13" s="7" t="n">
        <f aca="false">F13-(I13-W13)</f>
        <v>25.8587648096799</v>
      </c>
      <c r="M13" s="7" t="n">
        <v>17</v>
      </c>
      <c r="N13" s="7" t="n">
        <f aca="false">(1+0)*1.05</f>
        <v>1.05</v>
      </c>
      <c r="O13" s="7" t="n">
        <f aca="false">M13-N13</f>
        <v>15.95</v>
      </c>
      <c r="P13" s="7" t="n">
        <v>0</v>
      </c>
      <c r="Q13" s="7" t="n">
        <v>13</v>
      </c>
      <c r="R13" s="7" t="n">
        <f aca="false">SUM(O13:Q13)</f>
        <v>28.95</v>
      </c>
      <c r="S13" s="8"/>
      <c r="T13" s="7"/>
      <c r="U13" s="7" t="n">
        <v>42.66</v>
      </c>
      <c r="V13" s="8" t="n">
        <f aca="false">V12-U13</f>
        <v>5064.70002268716</v>
      </c>
      <c r="W13" s="7" t="n">
        <f aca="false">N13+R13+T13+U13</f>
        <v>72.66</v>
      </c>
      <c r="X13" s="7" t="n">
        <f aca="false">IF(L13&lt;0,L13*-1,0)</f>
        <v>0</v>
      </c>
      <c r="Y13" s="7" t="n">
        <f aca="false">W13+X13</f>
        <v>72.66</v>
      </c>
      <c r="Z13" s="11" t="n">
        <v>0</v>
      </c>
      <c r="AA13" s="12" t="n">
        <v>60</v>
      </c>
      <c r="AB13" s="12" t="n">
        <v>23</v>
      </c>
      <c r="AC13" s="13" t="n">
        <f aca="false">AC12+1</f>
        <v>4</v>
      </c>
      <c r="AD13" s="12" t="n">
        <v>13563</v>
      </c>
      <c r="AE13" s="12" t="n">
        <v>263</v>
      </c>
    </row>
    <row r="14" customFormat="false" ht="11.1" hidden="false" customHeight="true" outlineLevel="0" collapsed="false">
      <c r="A14" s="13" t="n">
        <f aca="false">A13+1</f>
        <v>5</v>
      </c>
      <c r="B14" s="32" t="n">
        <v>6889.51</v>
      </c>
      <c r="C14" s="8" t="n">
        <v>246518</v>
      </c>
      <c r="D14" s="12" t="n">
        <f aca="false">C14-C13</f>
        <v>168</v>
      </c>
      <c r="E14" s="8" t="n">
        <f aca="false">C14-152000</f>
        <v>94518</v>
      </c>
      <c r="F14" s="7" t="n">
        <f aca="false">D14/$D$2</f>
        <v>84.6987648096799</v>
      </c>
      <c r="G14" s="7" t="n">
        <v>118</v>
      </c>
      <c r="H14" s="9" t="n">
        <v>3.3</v>
      </c>
      <c r="I14" s="7" t="n">
        <f aca="false">G14+H14</f>
        <v>121.3</v>
      </c>
      <c r="J14" s="33" t="n">
        <f aca="false">IF(L14&gt;0,L14,0)</f>
        <v>30.6787648096799</v>
      </c>
      <c r="K14" s="7" t="n">
        <f aca="false">I14+J14</f>
        <v>151.97876480968</v>
      </c>
      <c r="L14" s="7" t="n">
        <f aca="false">F14-(I14-W14)</f>
        <v>30.6787648096799</v>
      </c>
      <c r="M14" s="7" t="n">
        <v>17</v>
      </c>
      <c r="N14" s="7" t="n">
        <f aca="false">(1+0.35)*1.05</f>
        <v>1.4175</v>
      </c>
      <c r="O14" s="7" t="n">
        <f aca="false">M14-N14</f>
        <v>15.5825</v>
      </c>
      <c r="P14" s="7" t="n">
        <v>0</v>
      </c>
      <c r="Q14" s="7" t="n">
        <v>14</v>
      </c>
      <c r="R14" s="7" t="n">
        <f aca="false">SUM(O14:Q14)</f>
        <v>29.5825</v>
      </c>
      <c r="S14" s="8"/>
      <c r="T14" s="7"/>
      <c r="U14" s="7" t="n">
        <v>36.28</v>
      </c>
      <c r="V14" s="8" t="n">
        <f aca="false">V13-U14</f>
        <v>5028.42002268716</v>
      </c>
      <c r="W14" s="7" t="n">
        <f aca="false">N14+R14+T14+U14</f>
        <v>67.28</v>
      </c>
      <c r="X14" s="7" t="n">
        <f aca="false">IF(L14&lt;0,L14*-1,0)</f>
        <v>0</v>
      </c>
      <c r="Y14" s="7" t="n">
        <f aca="false">W14+X14</f>
        <v>67.28</v>
      </c>
      <c r="Z14" s="11" t="n">
        <v>0</v>
      </c>
      <c r="AA14" s="12" t="n">
        <v>50</v>
      </c>
      <c r="AB14" s="12" t="n">
        <v>30</v>
      </c>
      <c r="AC14" s="13" t="n">
        <f aca="false">AC13+1</f>
        <v>5</v>
      </c>
      <c r="AD14" s="12" t="n">
        <v>13678</v>
      </c>
      <c r="AE14" s="12" t="n">
        <v>367</v>
      </c>
    </row>
    <row r="15" customFormat="false" ht="11.1" hidden="false" customHeight="true" outlineLevel="0" collapsed="false">
      <c r="A15" s="13" t="n">
        <f aca="false">A14+1</f>
        <v>6</v>
      </c>
      <c r="B15" s="32" t="n">
        <v>6889.51</v>
      </c>
      <c r="C15" s="8" t="n">
        <v>246518</v>
      </c>
      <c r="D15" s="12" t="n">
        <f aca="false">C15-C14</f>
        <v>0</v>
      </c>
      <c r="E15" s="8" t="n">
        <f aca="false">C15-152000</f>
        <v>94518</v>
      </c>
      <c r="F15" s="7" t="n">
        <f aca="false">D15/$D$2</f>
        <v>0</v>
      </c>
      <c r="G15" s="7" t="n">
        <v>115</v>
      </c>
      <c r="H15" s="9" t="n">
        <v>2.8</v>
      </c>
      <c r="I15" s="7" t="n">
        <f aca="false">G15+H15</f>
        <v>117.8</v>
      </c>
      <c r="J15" s="33" t="n">
        <f aca="false">IF(L15&gt;0,L15,0)</f>
        <v>0</v>
      </c>
      <c r="K15" s="7" t="n">
        <f aca="false">I15+J15</f>
        <v>117.8</v>
      </c>
      <c r="L15" s="7" t="n">
        <f aca="false">F15-(I15-W15)</f>
        <v>-55.09</v>
      </c>
      <c r="M15" s="7" t="n">
        <v>15</v>
      </c>
      <c r="N15" s="7" t="n">
        <f aca="false">(1+0)*1.05</f>
        <v>1.05</v>
      </c>
      <c r="O15" s="7" t="n">
        <f aca="false">M15-N15</f>
        <v>13.95</v>
      </c>
      <c r="P15" s="7" t="n">
        <v>0</v>
      </c>
      <c r="Q15" s="7" t="n">
        <v>14</v>
      </c>
      <c r="R15" s="7" t="n">
        <f aca="false">SUM(O15:Q15)</f>
        <v>27.95</v>
      </c>
      <c r="S15" s="8"/>
      <c r="T15" s="7"/>
      <c r="U15" s="7" t="n">
        <v>33.71</v>
      </c>
      <c r="V15" s="8" t="n">
        <f aca="false">V14-U15</f>
        <v>4994.71002268716</v>
      </c>
      <c r="W15" s="7" t="n">
        <f aca="false">N15+R15+T15+U15</f>
        <v>62.71</v>
      </c>
      <c r="X15" s="7" t="n">
        <f aca="false">IF(L15&lt;0,L15*-1,0)</f>
        <v>55.09</v>
      </c>
      <c r="Y15" s="7" t="n">
        <f aca="false">W15+X15</f>
        <v>117.8</v>
      </c>
      <c r="Z15" s="11" t="n">
        <v>0</v>
      </c>
      <c r="AA15" s="12" t="n">
        <v>38</v>
      </c>
      <c r="AB15" s="12" t="n">
        <v>25</v>
      </c>
      <c r="AC15" s="13" t="n">
        <f aca="false">AC14+1</f>
        <v>6</v>
      </c>
      <c r="AD15" s="12" t="n">
        <v>13812</v>
      </c>
      <c r="AE15" s="12" t="n">
        <v>469</v>
      </c>
    </row>
    <row r="16" customFormat="false" ht="11.1" hidden="false" customHeight="true" outlineLevel="0" collapsed="false">
      <c r="A16" s="13" t="n">
        <f aca="false">A15+1</f>
        <v>7</v>
      </c>
      <c r="B16" s="32" t="n">
        <v>6889.53</v>
      </c>
      <c r="C16" s="8" t="n">
        <v>246586</v>
      </c>
      <c r="D16" s="12" t="n">
        <f aca="false">C16-C15</f>
        <v>68</v>
      </c>
      <c r="E16" s="8" t="n">
        <f aca="false">C16-152000</f>
        <v>94586</v>
      </c>
      <c r="F16" s="7" t="n">
        <f aca="false">D16/$D$2</f>
        <v>34.2828333753466</v>
      </c>
      <c r="G16" s="7" t="n">
        <v>89</v>
      </c>
      <c r="H16" s="9" t="n">
        <v>2.1</v>
      </c>
      <c r="I16" s="7" t="n">
        <f aca="false">G16+H16</f>
        <v>91.1</v>
      </c>
      <c r="J16" s="33" t="n">
        <f aca="false">IF(L16&gt;0,L16,0)</f>
        <v>6.08283337534661</v>
      </c>
      <c r="K16" s="7" t="n">
        <f aca="false">I16+J16</f>
        <v>97.1828333753466</v>
      </c>
      <c r="L16" s="7" t="n">
        <f aca="false">F16-(I16-W16)</f>
        <v>6.08283337534661</v>
      </c>
      <c r="M16" s="7" t="n">
        <v>14</v>
      </c>
      <c r="N16" s="7" t="n">
        <v>1.1</v>
      </c>
      <c r="O16" s="7" t="n">
        <f aca="false">M16-N16</f>
        <v>12.9</v>
      </c>
      <c r="P16" s="7" t="n">
        <v>0</v>
      </c>
      <c r="Q16" s="7" t="n">
        <v>14</v>
      </c>
      <c r="R16" s="7" t="n">
        <f aca="false">SUM(O16:Q16)</f>
        <v>26.9</v>
      </c>
      <c r="S16" s="8"/>
      <c r="T16" s="7"/>
      <c r="U16" s="7" t="n">
        <v>34.9</v>
      </c>
      <c r="V16" s="8" t="n">
        <f aca="false">V15-U16</f>
        <v>4959.81002268716</v>
      </c>
      <c r="W16" s="7" t="n">
        <f aca="false">N16+R16+T16+U16</f>
        <v>62.9</v>
      </c>
      <c r="X16" s="7" t="n">
        <f aca="false">IF(L16&lt;0,L16*-1,0)</f>
        <v>0</v>
      </c>
      <c r="Y16" s="7" t="n">
        <f aca="false">W16+X16</f>
        <v>62.9</v>
      </c>
      <c r="Z16" s="11" t="n">
        <v>0</v>
      </c>
      <c r="AA16" s="12" t="n">
        <v>44</v>
      </c>
      <c r="AB16" s="12" t="n">
        <v>14</v>
      </c>
      <c r="AC16" s="13" t="n">
        <f aca="false">AC15+1</f>
        <v>7</v>
      </c>
      <c r="AD16" s="12" t="n">
        <v>13968</v>
      </c>
      <c r="AE16" s="12" t="n">
        <v>587</v>
      </c>
    </row>
    <row r="17" customFormat="false" ht="11.1" hidden="false" customHeight="true" outlineLevel="0" collapsed="false">
      <c r="A17" s="13" t="n">
        <f aca="false">A16+1</f>
        <v>8</v>
      </c>
      <c r="B17" s="32" t="n">
        <v>6889.56</v>
      </c>
      <c r="C17" s="8" t="n">
        <v>246687</v>
      </c>
      <c r="D17" s="12" t="n">
        <f aca="false">C17-C16</f>
        <v>101</v>
      </c>
      <c r="E17" s="8" t="n">
        <f aca="false">C17-152000</f>
        <v>94687</v>
      </c>
      <c r="F17" s="7" t="n">
        <f aca="false">D17/$D$2</f>
        <v>50.9200907486766</v>
      </c>
      <c r="G17" s="7" t="n">
        <v>78</v>
      </c>
      <c r="H17" s="9" t="n">
        <v>1.2</v>
      </c>
      <c r="I17" s="7" t="n">
        <f aca="false">G17+H17</f>
        <v>79.2</v>
      </c>
      <c r="J17" s="33" t="n">
        <f aca="false">IF(L17&gt;0,L17,0)</f>
        <v>34.6200907486766</v>
      </c>
      <c r="K17" s="7" t="n">
        <f aca="false">I17+J17</f>
        <v>113.820090748677</v>
      </c>
      <c r="L17" s="7" t="n">
        <f aca="false">F17-(I17-W17)</f>
        <v>34.6200907486766</v>
      </c>
      <c r="M17" s="7" t="n">
        <v>14</v>
      </c>
      <c r="N17" s="7" t="n">
        <f aca="false">(2.1+0.93)*1.05</f>
        <v>3.1815</v>
      </c>
      <c r="O17" s="7" t="n">
        <f aca="false">M17-N17</f>
        <v>10.8185</v>
      </c>
      <c r="P17" s="7" t="n">
        <v>0</v>
      </c>
      <c r="Q17" s="7" t="n">
        <v>14</v>
      </c>
      <c r="R17" s="7" t="n">
        <f aca="false">SUM(O17:Q17)</f>
        <v>24.8185</v>
      </c>
      <c r="S17" s="8"/>
      <c r="T17" s="7"/>
      <c r="U17" s="7" t="n">
        <v>34.9</v>
      </c>
      <c r="V17" s="8" t="n">
        <f aca="false">V16-U17</f>
        <v>4924.91002268716</v>
      </c>
      <c r="W17" s="7" t="n">
        <f aca="false">N17+R17+T17+U17</f>
        <v>62.9</v>
      </c>
      <c r="X17" s="7" t="n">
        <f aca="false">IF(L17&lt;0,L17*-1,0)</f>
        <v>0</v>
      </c>
      <c r="Y17" s="7" t="n">
        <f aca="false">W17+X17</f>
        <v>62.9</v>
      </c>
      <c r="Z17" s="11" t="n">
        <v>0</v>
      </c>
      <c r="AA17" s="12" t="n">
        <v>44</v>
      </c>
      <c r="AB17" s="12" t="n">
        <v>14</v>
      </c>
      <c r="AC17" s="13" t="n">
        <f aca="false">AC16+1</f>
        <v>8</v>
      </c>
      <c r="AD17" s="12" t="n">
        <v>14117</v>
      </c>
      <c r="AE17" s="12" t="n">
        <v>707</v>
      </c>
    </row>
    <row r="18" customFormat="false" ht="11.1" hidden="false" customHeight="true" outlineLevel="0" collapsed="false">
      <c r="A18" s="13" t="n">
        <f aca="false">A17+1</f>
        <v>9</v>
      </c>
      <c r="B18" s="32" t="n">
        <v>6889.56</v>
      </c>
      <c r="C18" s="8" t="n">
        <v>246687</v>
      </c>
      <c r="D18" s="12" t="n">
        <f aca="false">C18-C17</f>
        <v>0</v>
      </c>
      <c r="E18" s="8" t="n">
        <f aca="false">C18-152000</f>
        <v>94687</v>
      </c>
      <c r="F18" s="7" t="n">
        <f aca="false">D18/$D$2</f>
        <v>0</v>
      </c>
      <c r="G18" s="7" t="n">
        <v>104</v>
      </c>
      <c r="H18" s="9" t="n">
        <v>1.3</v>
      </c>
      <c r="I18" s="7" t="n">
        <f aca="false">G18+H18</f>
        <v>105.3</v>
      </c>
      <c r="J18" s="33" t="n">
        <f aca="false">IF(L18&gt;0,L18,0)</f>
        <v>0</v>
      </c>
      <c r="K18" s="7" t="n">
        <f aca="false">I18+J18</f>
        <v>105.3</v>
      </c>
      <c r="L18" s="7" t="n">
        <f aca="false">F18-(I18-W18)</f>
        <v>-43.4</v>
      </c>
      <c r="M18" s="7" t="n">
        <v>13</v>
      </c>
      <c r="N18" s="7" t="n">
        <v>0</v>
      </c>
      <c r="O18" s="7" t="n">
        <f aca="false">M18-N18</f>
        <v>13</v>
      </c>
      <c r="P18" s="7" t="n">
        <v>0</v>
      </c>
      <c r="Q18" s="7" t="n">
        <v>14</v>
      </c>
      <c r="R18" s="7" t="n">
        <f aca="false">SUM(O18:Q18)</f>
        <v>27</v>
      </c>
      <c r="S18" s="8"/>
      <c r="T18" s="7"/>
      <c r="U18" s="7" t="n">
        <v>34.9</v>
      </c>
      <c r="V18" s="8" t="n">
        <f aca="false">V17-U18</f>
        <v>4890.01002268716</v>
      </c>
      <c r="W18" s="7" t="n">
        <f aca="false">N18+R18+T18+U18</f>
        <v>61.9</v>
      </c>
      <c r="X18" s="7" t="n">
        <f aca="false">IF(L18&lt;0,L18*-1,0)</f>
        <v>43.4</v>
      </c>
      <c r="Y18" s="7" t="n">
        <f aca="false">W18+X18</f>
        <v>105.3</v>
      </c>
      <c r="Z18" s="11" t="n">
        <v>0</v>
      </c>
      <c r="AA18" s="43" t="n">
        <v>56</v>
      </c>
      <c r="AB18" s="12" t="n">
        <v>17</v>
      </c>
      <c r="AC18" s="13" t="n">
        <f aca="false">AC17+1</f>
        <v>9</v>
      </c>
      <c r="AD18" s="12" t="n">
        <v>14264</v>
      </c>
      <c r="AE18" s="12" t="n">
        <v>826</v>
      </c>
    </row>
    <row r="19" customFormat="false" ht="11.1" hidden="false" customHeight="true" outlineLevel="0" collapsed="false">
      <c r="A19" s="13" t="n">
        <f aca="false">A18+1</f>
        <v>10</v>
      </c>
      <c r="B19" s="32" t="n">
        <v>6889.6</v>
      </c>
      <c r="C19" s="8" t="n">
        <v>246821</v>
      </c>
      <c r="D19" s="12" t="n">
        <f aca="false">C19-C18</f>
        <v>134</v>
      </c>
      <c r="E19" s="8" t="n">
        <f aca="false">C19-152000</f>
        <v>94821</v>
      </c>
      <c r="F19" s="7" t="n">
        <f aca="false">D19/$D$2</f>
        <v>67.5573481220066</v>
      </c>
      <c r="G19" s="7" t="n">
        <v>99</v>
      </c>
      <c r="H19" s="9" t="n">
        <v>1.9</v>
      </c>
      <c r="I19" s="7" t="n">
        <f aca="false">G19+H19</f>
        <v>100.9</v>
      </c>
      <c r="J19" s="33" t="n">
        <f aca="false">IF(L19&gt;0,L19,0)</f>
        <v>27.5573481220065</v>
      </c>
      <c r="K19" s="7" t="n">
        <f aca="false">I19+J19</f>
        <v>128.457348122007</v>
      </c>
      <c r="L19" s="7" t="n">
        <f aca="false">F19-(I19-W19)</f>
        <v>27.5573481220065</v>
      </c>
      <c r="M19" s="7" t="n">
        <v>13</v>
      </c>
      <c r="N19" s="7" t="n">
        <v>0</v>
      </c>
      <c r="O19" s="7" t="n">
        <f aca="false">M19-N19</f>
        <v>13</v>
      </c>
      <c r="P19" s="7" t="n">
        <v>0</v>
      </c>
      <c r="Q19" s="7" t="n">
        <v>13</v>
      </c>
      <c r="R19" s="7" t="n">
        <f aca="false">SUM(O19:Q19)</f>
        <v>26</v>
      </c>
      <c r="S19" s="8"/>
      <c r="T19" s="7"/>
      <c r="U19" s="7" t="n">
        <v>34.9</v>
      </c>
      <c r="V19" s="8" t="n">
        <f aca="false">V18-U19</f>
        <v>4855.11002268716</v>
      </c>
      <c r="W19" s="7" t="n">
        <f aca="false">N19+R19+T19+U19</f>
        <v>60.9</v>
      </c>
      <c r="X19" s="7" t="n">
        <f aca="false">IF(L19&lt;0,L19*-1,0)</f>
        <v>0</v>
      </c>
      <c r="Y19" s="7" t="n">
        <f aca="false">W19+X19</f>
        <v>60.9</v>
      </c>
      <c r="Z19" s="11" t="n">
        <v>0</v>
      </c>
      <c r="AA19" s="12" t="n">
        <v>64</v>
      </c>
      <c r="AB19" s="12" t="n">
        <v>23</v>
      </c>
      <c r="AC19" s="13" t="n">
        <f aca="false">AC18+1</f>
        <v>10</v>
      </c>
      <c r="AD19" s="12" t="n">
        <v>14413</v>
      </c>
      <c r="AE19" s="12" t="n">
        <v>964</v>
      </c>
    </row>
    <row r="20" customFormat="false" ht="11.1" hidden="false" customHeight="true" outlineLevel="0" collapsed="false">
      <c r="A20" s="13" t="n">
        <f aca="false">A19+1</f>
        <v>11</v>
      </c>
      <c r="B20" s="32" t="n">
        <v>6889.63</v>
      </c>
      <c r="C20" s="8" t="n">
        <v>246922</v>
      </c>
      <c r="D20" s="12" t="n">
        <f aca="false">C20-C19</f>
        <v>101</v>
      </c>
      <c r="E20" s="8" t="n">
        <f aca="false">C20-152000</f>
        <v>94922</v>
      </c>
      <c r="F20" s="7" t="n">
        <f aca="false">D20/$D$2</f>
        <v>50.9200907486766</v>
      </c>
      <c r="G20" s="7" t="n">
        <v>93</v>
      </c>
      <c r="H20" s="9" t="n">
        <v>1.5</v>
      </c>
      <c r="I20" s="7" t="n">
        <f aca="false">G20+H20</f>
        <v>94.5</v>
      </c>
      <c r="J20" s="33" t="n">
        <f aca="false">IF(L20&gt;0,L20,0)</f>
        <v>16.3200907486766</v>
      </c>
      <c r="K20" s="7" t="n">
        <f aca="false">I20+J20</f>
        <v>110.820090748677</v>
      </c>
      <c r="L20" s="7" t="n">
        <f aca="false">F20-(I20-W20)</f>
        <v>16.3200907486766</v>
      </c>
      <c r="M20" s="7" t="n">
        <v>12</v>
      </c>
      <c r="N20" s="7" t="n">
        <f aca="false">(0.23+0)*1.05</f>
        <v>0.2415</v>
      </c>
      <c r="O20" s="7" t="n">
        <f aca="false">M20-N20</f>
        <v>11.7585</v>
      </c>
      <c r="P20" s="7" t="n">
        <v>0</v>
      </c>
      <c r="Q20" s="7" t="n">
        <v>13</v>
      </c>
      <c r="R20" s="7" t="n">
        <f aca="false">SUM(O20:Q20)</f>
        <v>24.7585</v>
      </c>
      <c r="S20" s="8"/>
      <c r="T20" s="7"/>
      <c r="U20" s="7" t="n">
        <v>34.9</v>
      </c>
      <c r="V20" s="8" t="n">
        <f aca="false">V19-U20</f>
        <v>4820.21002268716</v>
      </c>
      <c r="W20" s="7" t="n">
        <f aca="false">N20+R20+T20+U20</f>
        <v>59.9</v>
      </c>
      <c r="X20" s="7" t="n">
        <f aca="false">IF(L20&lt;0,L20*-1,0)</f>
        <v>0</v>
      </c>
      <c r="Y20" s="7" t="n">
        <f aca="false">W20+X20</f>
        <v>59.9</v>
      </c>
      <c r="Z20" s="11" t="n">
        <v>0</v>
      </c>
      <c r="AA20" s="12" t="n">
        <v>63</v>
      </c>
      <c r="AB20" s="12" t="n">
        <v>26</v>
      </c>
      <c r="AC20" s="13" t="n">
        <f aca="false">AC19+1</f>
        <v>11</v>
      </c>
      <c r="AD20" s="12" t="n">
        <v>14571</v>
      </c>
      <c r="AE20" s="12" t="n">
        <v>1065</v>
      </c>
    </row>
    <row r="21" customFormat="false" ht="11.1" hidden="false" customHeight="true" outlineLevel="0" collapsed="false">
      <c r="A21" s="13" t="n">
        <f aca="false">A20+1</f>
        <v>12</v>
      </c>
      <c r="B21" s="32" t="n">
        <v>6889.68</v>
      </c>
      <c r="C21" s="8" t="n">
        <v>247091</v>
      </c>
      <c r="D21" s="12" t="n">
        <f aca="false">C21-C20</f>
        <v>169</v>
      </c>
      <c r="E21" s="8" t="n">
        <f aca="false">C21-152000</f>
        <v>95091</v>
      </c>
      <c r="F21" s="7" t="n">
        <f aca="false">D21/$D$2</f>
        <v>85.2029241240232</v>
      </c>
      <c r="G21" s="7" t="n">
        <v>99</v>
      </c>
      <c r="H21" s="9" t="n">
        <v>1.3</v>
      </c>
      <c r="I21" s="7" t="n">
        <f aca="false">G21+H21</f>
        <v>100.3</v>
      </c>
      <c r="J21" s="33" t="n">
        <f aca="false">IF(L21&gt;0,L21,0)</f>
        <v>45.7729241240232</v>
      </c>
      <c r="K21" s="7" t="n">
        <f aca="false">I21+J21</f>
        <v>146.072924124023</v>
      </c>
      <c r="L21" s="7" t="n">
        <f aca="false">F21-(I21-W21)</f>
        <v>45.7729241240232</v>
      </c>
      <c r="M21" s="7" t="n">
        <v>12</v>
      </c>
      <c r="N21" s="7" t="n">
        <f aca="false">(2.5+0)*1.05</f>
        <v>2.625</v>
      </c>
      <c r="O21" s="7" t="n">
        <f aca="false">M21-N21</f>
        <v>9.375</v>
      </c>
      <c r="P21" s="7" t="n">
        <v>0</v>
      </c>
      <c r="Q21" s="7" t="n">
        <v>14</v>
      </c>
      <c r="R21" s="7" t="n">
        <f aca="false">SUM(O21:Q21)</f>
        <v>23.375</v>
      </c>
      <c r="S21" s="8"/>
      <c r="T21" s="7"/>
      <c r="U21" s="7" t="n">
        <v>34.87</v>
      </c>
      <c r="V21" s="8" t="n">
        <f aca="false">V20-U21</f>
        <v>4785.34002268716</v>
      </c>
      <c r="W21" s="7" t="n">
        <f aca="false">N21+R21+T21+U21</f>
        <v>60.87</v>
      </c>
      <c r="X21" s="7" t="n">
        <f aca="false">IF(L21&lt;0,L21*-1,0)</f>
        <v>0</v>
      </c>
      <c r="Y21" s="7" t="n">
        <f aca="false">W21+X21</f>
        <v>60.87</v>
      </c>
      <c r="Z21" s="11" t="n">
        <v>0</v>
      </c>
      <c r="AA21" s="12" t="n">
        <v>64</v>
      </c>
      <c r="AB21" s="12" t="n">
        <v>28</v>
      </c>
      <c r="AC21" s="13" t="n">
        <f aca="false">AC20+1</f>
        <v>12</v>
      </c>
      <c r="AD21" s="12" t="n">
        <v>14696</v>
      </c>
      <c r="AE21" s="12" t="n">
        <v>1185</v>
      </c>
    </row>
    <row r="22" customFormat="false" ht="11.1" hidden="false" customHeight="true" outlineLevel="0" collapsed="false">
      <c r="A22" s="13" t="n">
        <f aca="false">A21+1</f>
        <v>13</v>
      </c>
      <c r="B22" s="32" t="n">
        <v>6889.7</v>
      </c>
      <c r="C22" s="8" t="n">
        <v>247158</v>
      </c>
      <c r="D22" s="12" t="n">
        <f aca="false">C22-C21</f>
        <v>67</v>
      </c>
      <c r="E22" s="8" t="n">
        <f aca="false">C22-152000</f>
        <v>95158</v>
      </c>
      <c r="F22" s="7" t="n">
        <f aca="false">D22/$D$2</f>
        <v>33.7786740610033</v>
      </c>
      <c r="G22" s="7" t="n">
        <v>108</v>
      </c>
      <c r="H22" s="9" t="n">
        <v>1.7</v>
      </c>
      <c r="I22" s="7" t="n">
        <f aca="false">G22+H22</f>
        <v>109.7</v>
      </c>
      <c r="J22" s="33" t="n">
        <f aca="false">IF(L22&gt;0,L22,0)</f>
        <v>0</v>
      </c>
      <c r="K22" s="7" t="n">
        <f aca="false">I22+J22</f>
        <v>109.7</v>
      </c>
      <c r="L22" s="7" t="n">
        <f aca="false">F22-(I22-W22)</f>
        <v>-15.5113259389967</v>
      </c>
      <c r="M22" s="7" t="n">
        <v>12</v>
      </c>
      <c r="N22" s="7" t="n">
        <f aca="false">(3.4+0)*1.05</f>
        <v>3.57</v>
      </c>
      <c r="O22" s="7" t="n">
        <f aca="false">M22-N22</f>
        <v>8.43</v>
      </c>
      <c r="P22" s="7" t="n">
        <v>0</v>
      </c>
      <c r="Q22" s="7" t="n">
        <v>14</v>
      </c>
      <c r="R22" s="7" t="n">
        <f aca="false">SUM(O22:Q22)</f>
        <v>22.43</v>
      </c>
      <c r="S22" s="8"/>
      <c r="T22" s="7"/>
      <c r="U22" s="7" t="n">
        <v>34.41</v>
      </c>
      <c r="V22" s="8" t="n">
        <f aca="false">V21-U22</f>
        <v>4750.93002268716</v>
      </c>
      <c r="W22" s="7" t="n">
        <f aca="false">N22+R22+T22+U22</f>
        <v>60.41</v>
      </c>
      <c r="X22" s="7" t="n">
        <f aca="false">IF(L22&lt;0,L22*-1,0)</f>
        <v>15.5113259389967</v>
      </c>
      <c r="Y22" s="7" t="n">
        <f aca="false">W22+X22</f>
        <v>75.9213259389967</v>
      </c>
      <c r="Z22" s="11" t="n">
        <v>0</v>
      </c>
      <c r="AA22" s="12" t="n">
        <v>66</v>
      </c>
      <c r="AB22" s="12" t="n">
        <v>30</v>
      </c>
      <c r="AC22" s="13" t="n">
        <f aca="false">AC21+1</f>
        <v>13</v>
      </c>
      <c r="AD22" s="12" t="n">
        <v>14771</v>
      </c>
      <c r="AE22" s="12" t="n">
        <v>1299</v>
      </c>
    </row>
    <row r="23" customFormat="false" ht="11.1" hidden="false" customHeight="true" outlineLevel="0" collapsed="false">
      <c r="A23" s="13" t="n">
        <f aca="false">A22+1</f>
        <v>14</v>
      </c>
      <c r="B23" s="32" t="n">
        <v>6889.73</v>
      </c>
      <c r="C23" s="8" t="n">
        <v>247259</v>
      </c>
      <c r="D23" s="12" t="n">
        <f aca="false">C23-C22</f>
        <v>101</v>
      </c>
      <c r="E23" s="8" t="n">
        <f aca="false">C23-152000</f>
        <v>95259</v>
      </c>
      <c r="F23" s="7" t="n">
        <f aca="false">D23/$D$2</f>
        <v>50.9200907486766</v>
      </c>
      <c r="G23" s="7" t="n">
        <v>108</v>
      </c>
      <c r="H23" s="9" t="n">
        <v>2.1</v>
      </c>
      <c r="I23" s="7" t="n">
        <f aca="false">G23+H23</f>
        <v>110.1</v>
      </c>
      <c r="J23" s="33" t="n">
        <f aca="false">IF(L23&gt;0,L23,0)</f>
        <v>1.02009074867659</v>
      </c>
      <c r="K23" s="7" t="n">
        <f aca="false">I23+J23</f>
        <v>111.120090748677</v>
      </c>
      <c r="L23" s="7" t="n">
        <f aca="false">F23-(I23-W23)</f>
        <v>1.02009074867659</v>
      </c>
      <c r="M23" s="7" t="n">
        <v>12</v>
      </c>
      <c r="N23" s="7" t="n">
        <f aca="false">(2.3+0)*1.05</f>
        <v>2.415</v>
      </c>
      <c r="O23" s="7" t="n">
        <f aca="false">M23-N23</f>
        <v>9.585</v>
      </c>
      <c r="P23" s="7" t="n">
        <v>0</v>
      </c>
      <c r="Q23" s="7" t="n">
        <v>14</v>
      </c>
      <c r="R23" s="7" t="n">
        <f aca="false">SUM(O23:Q23)</f>
        <v>23.585</v>
      </c>
      <c r="S23" s="8"/>
      <c r="T23" s="7"/>
      <c r="U23" s="7" t="n">
        <v>34.2</v>
      </c>
      <c r="V23" s="8" t="n">
        <f aca="false">V22-U23</f>
        <v>4716.73002268716</v>
      </c>
      <c r="W23" s="7" t="n">
        <f aca="false">N23+R23+T23+U23</f>
        <v>60.2</v>
      </c>
      <c r="X23" s="7" t="n">
        <f aca="false">IF(L23&lt;0,L23*-1,0)</f>
        <v>0</v>
      </c>
      <c r="Y23" s="7" t="n">
        <f aca="false">W23+X23</f>
        <v>60.2</v>
      </c>
      <c r="Z23" s="11" t="n">
        <v>0</v>
      </c>
      <c r="AA23" s="43" t="n">
        <v>54</v>
      </c>
      <c r="AB23" s="12" t="n">
        <v>36</v>
      </c>
      <c r="AC23" s="13" t="n">
        <f aca="false">AC22+1</f>
        <v>14</v>
      </c>
      <c r="AD23" s="12" t="n">
        <v>14842</v>
      </c>
      <c r="AE23" s="12" t="n">
        <v>1407</v>
      </c>
    </row>
    <row r="24" customFormat="false" ht="11.1" hidden="false" customHeight="true" outlineLevel="0" collapsed="false">
      <c r="A24" s="13" t="n">
        <f aca="false">A23+1</f>
        <v>15</v>
      </c>
      <c r="B24" s="32" t="n">
        <v>6889.88</v>
      </c>
      <c r="C24" s="8" t="n">
        <v>247764</v>
      </c>
      <c r="D24" s="12" t="n">
        <f aca="false">C24-C23</f>
        <v>505</v>
      </c>
      <c r="E24" s="8" t="n">
        <f aca="false">C24-152000</f>
        <v>95764</v>
      </c>
      <c r="F24" s="7" t="n">
        <f aca="false">D24/$D$2</f>
        <v>254.600453743383</v>
      </c>
      <c r="G24" s="7" t="n">
        <v>113</v>
      </c>
      <c r="H24" s="9" t="n">
        <v>2.3</v>
      </c>
      <c r="I24" s="7" t="n">
        <f aca="false">G24</f>
        <v>113</v>
      </c>
      <c r="J24" s="33" t="n">
        <f aca="false">IF(L24&gt;0,L24,0)</f>
        <v>191.080453743383</v>
      </c>
      <c r="K24" s="7" t="n">
        <f aca="false">I24+J24</f>
        <v>304.080453743383</v>
      </c>
      <c r="L24" s="7" t="n">
        <f aca="false">F24-(I24-W24)</f>
        <v>191.080453743383</v>
      </c>
      <c r="M24" s="7" t="n">
        <v>8.2</v>
      </c>
      <c r="N24" s="7" t="n">
        <f aca="false">(0.65+0)*1.05</f>
        <v>0.6825</v>
      </c>
      <c r="O24" s="7" t="n">
        <f aca="false">M24-N24</f>
        <v>7.5175</v>
      </c>
      <c r="P24" s="7" t="n">
        <v>0</v>
      </c>
      <c r="Q24" s="7" t="n">
        <v>6.8</v>
      </c>
      <c r="R24" s="7" t="n">
        <f aca="false">SUM(O24:Q24)</f>
        <v>14.3175</v>
      </c>
      <c r="S24" s="8"/>
      <c r="T24" s="7"/>
      <c r="U24" s="7" t="n">
        <v>34.48</v>
      </c>
      <c r="V24" s="8" t="n">
        <f aca="false">V23-U24</f>
        <v>4682.25002268716</v>
      </c>
      <c r="W24" s="7" t="n">
        <f aca="false">N24+R24+T24+U24</f>
        <v>49.48</v>
      </c>
      <c r="X24" s="7" t="n">
        <f aca="false">IF(L24&lt;0,L24*-1,0)</f>
        <v>0</v>
      </c>
      <c r="Y24" s="7" t="n">
        <f aca="false">W24+X24</f>
        <v>49.48</v>
      </c>
      <c r="Z24" s="11" t="n">
        <v>0.7</v>
      </c>
      <c r="AA24" s="43" t="n">
        <v>50</v>
      </c>
      <c r="AB24" s="12" t="n">
        <v>36</v>
      </c>
      <c r="AC24" s="13" t="n">
        <f aca="false">AC23+1</f>
        <v>15</v>
      </c>
      <c r="AD24" s="12" t="n">
        <v>14927</v>
      </c>
      <c r="AE24" s="12" t="n">
        <v>1516</v>
      </c>
    </row>
    <row r="25" customFormat="false" ht="11.1" hidden="false" customHeight="true" outlineLevel="0" collapsed="false">
      <c r="A25" s="13" t="n">
        <f aca="false">A24+1</f>
        <v>16</v>
      </c>
      <c r="B25" s="32" t="n">
        <v>6889.91</v>
      </c>
      <c r="C25" s="8" t="n">
        <v>247865</v>
      </c>
      <c r="D25" s="12" t="n">
        <f aca="false">C25-C24</f>
        <v>101</v>
      </c>
      <c r="E25" s="8" t="n">
        <f aca="false">C25-152000</f>
        <v>95865</v>
      </c>
      <c r="F25" s="7" t="n">
        <f aca="false">D25/$D$2</f>
        <v>50.9200907486766</v>
      </c>
      <c r="G25" s="7" t="n">
        <v>110</v>
      </c>
      <c r="H25" s="9" t="n">
        <v>2.8</v>
      </c>
      <c r="I25" s="7" t="n">
        <f aca="false">G25+H25</f>
        <v>112.8</v>
      </c>
      <c r="J25" s="33" t="n">
        <f aca="false">IF(L25&gt;0,L25,0)</f>
        <v>0</v>
      </c>
      <c r="K25" s="7" t="n">
        <f aca="false">I25+J25</f>
        <v>112.8</v>
      </c>
      <c r="L25" s="7" t="n">
        <f aca="false">F25-(I25-W25)</f>
        <v>-23.9399092513234</v>
      </c>
      <c r="M25" s="7" t="n">
        <v>3.7</v>
      </c>
      <c r="N25" s="7" t="n">
        <v>0</v>
      </c>
      <c r="O25" s="7" t="n">
        <f aca="false">M25-N25</f>
        <v>3.7</v>
      </c>
      <c r="P25" s="7" t="n">
        <v>0</v>
      </c>
      <c r="Q25" s="7" t="n">
        <v>0</v>
      </c>
      <c r="R25" s="7" t="n">
        <f aca="false">SUM(O25:Q25)</f>
        <v>3.7</v>
      </c>
      <c r="S25" s="8"/>
      <c r="T25" s="7"/>
      <c r="U25" s="7" t="n">
        <v>34.24</v>
      </c>
      <c r="V25" s="8" t="n">
        <f aca="false">V24-U25</f>
        <v>4648.01002268716</v>
      </c>
      <c r="W25" s="7" t="n">
        <f aca="false">N25+R25+T25+U25</f>
        <v>37.94</v>
      </c>
      <c r="X25" s="7" t="n">
        <f aca="false">IF(L25&lt;0,L25*-1,0)</f>
        <v>23.9399092513234</v>
      </c>
      <c r="Y25" s="7" t="n">
        <f aca="false">W25+X25</f>
        <v>61.8799092513234</v>
      </c>
      <c r="Z25" s="11" t="n">
        <v>0.15</v>
      </c>
      <c r="AA25" s="43" t="n">
        <v>42</v>
      </c>
      <c r="AB25" s="12" t="n">
        <v>38</v>
      </c>
      <c r="AC25" s="13" t="n">
        <f aca="false">AC24+1</f>
        <v>16</v>
      </c>
      <c r="AD25" s="12" t="n">
        <v>15009</v>
      </c>
      <c r="AE25" s="12" t="n">
        <v>1615</v>
      </c>
    </row>
    <row r="26" customFormat="false" ht="11.1" hidden="false" customHeight="true" outlineLevel="0" collapsed="false">
      <c r="A26" s="13" t="n">
        <f aca="false">A25+1</f>
        <v>17</v>
      </c>
      <c r="B26" s="32" t="n">
        <v>6889.95</v>
      </c>
      <c r="C26" s="8" t="n">
        <v>248000</v>
      </c>
      <c r="D26" s="12" t="n">
        <f aca="false">C26-C25</f>
        <v>135</v>
      </c>
      <c r="E26" s="8" t="n">
        <f aca="false">C26-152000</f>
        <v>96000</v>
      </c>
      <c r="F26" s="7" t="n">
        <f aca="false">D26/$D$2</f>
        <v>68.0615074363499</v>
      </c>
      <c r="G26" s="7" t="n">
        <v>80</v>
      </c>
      <c r="H26" s="9" t="n">
        <v>1.4</v>
      </c>
      <c r="I26" s="7" t="n">
        <f aca="false">G26+H26</f>
        <v>81.4</v>
      </c>
      <c r="J26" s="33" t="n">
        <f aca="false">IF(L26&gt;0,L26,0)</f>
        <v>24.5615074363499</v>
      </c>
      <c r="K26" s="7" t="n">
        <f aca="false">I26+J26</f>
        <v>105.96150743635</v>
      </c>
      <c r="L26" s="7" t="n">
        <f aca="false">F26-(I26-W26)</f>
        <v>24.5615074363499</v>
      </c>
      <c r="M26" s="7" t="n">
        <v>3.7</v>
      </c>
      <c r="N26" s="7" t="n">
        <v>0</v>
      </c>
      <c r="O26" s="7" t="n">
        <f aca="false">M26-N26</f>
        <v>3.7</v>
      </c>
      <c r="P26" s="7" t="n">
        <v>0</v>
      </c>
      <c r="Q26" s="7" t="n">
        <v>0</v>
      </c>
      <c r="R26" s="7" t="n">
        <f aca="false">SUM(O26:Q26)</f>
        <v>3.7</v>
      </c>
      <c r="S26" s="8"/>
      <c r="T26" s="7"/>
      <c r="U26" s="7" t="n">
        <v>34.2</v>
      </c>
      <c r="V26" s="8" t="n">
        <f aca="false">V25-U26</f>
        <v>4613.81002268716</v>
      </c>
      <c r="W26" s="7" t="n">
        <f aca="false">N26+R26+T26+U26</f>
        <v>37.9</v>
      </c>
      <c r="X26" s="7" t="n">
        <f aca="false">IF(L26&lt;0,L26*-1,0)</f>
        <v>0</v>
      </c>
      <c r="Y26" s="7" t="n">
        <f aca="false">W26+X26</f>
        <v>37.9</v>
      </c>
      <c r="Z26" s="11" t="n">
        <v>0.06</v>
      </c>
      <c r="AA26" s="43" t="n">
        <v>32</v>
      </c>
      <c r="AB26" s="12" t="n">
        <v>14</v>
      </c>
      <c r="AC26" s="13" t="n">
        <f aca="false">AC25+1</f>
        <v>17</v>
      </c>
      <c r="AD26" s="12" t="n">
        <v>15112</v>
      </c>
      <c r="AE26" s="12" t="n">
        <v>1714</v>
      </c>
    </row>
    <row r="27" customFormat="false" ht="11.1" hidden="false" customHeight="true" outlineLevel="0" collapsed="false">
      <c r="A27" s="13" t="n">
        <f aca="false">A26+1</f>
        <v>18</v>
      </c>
      <c r="B27" s="32" t="n">
        <v>6890.01</v>
      </c>
      <c r="C27" s="8" t="n">
        <v>248202</v>
      </c>
      <c r="D27" s="12" t="n">
        <f aca="false">C27-C26</f>
        <v>202</v>
      </c>
      <c r="E27" s="8" t="n">
        <f aca="false">C27-152000</f>
        <v>96202</v>
      </c>
      <c r="F27" s="7" t="n">
        <f aca="false">D27/$D$2</f>
        <v>101.840181497353</v>
      </c>
      <c r="G27" s="7" t="n">
        <v>110</v>
      </c>
      <c r="H27" s="9" t="n">
        <v>3.1</v>
      </c>
      <c r="I27" s="7" t="n">
        <f aca="false">G27+H27</f>
        <v>113.1</v>
      </c>
      <c r="J27" s="33" t="n">
        <f aca="false">IF(L27&gt;0,L27,0)</f>
        <v>26.6401814973532</v>
      </c>
      <c r="K27" s="7" t="n">
        <f aca="false">I27+J27</f>
        <v>139.740181497353</v>
      </c>
      <c r="L27" s="7" t="n">
        <f aca="false">F27-(I27-W27)</f>
        <v>26.6401814973532</v>
      </c>
      <c r="M27" s="7" t="n">
        <v>3.7</v>
      </c>
      <c r="N27" s="7" t="n">
        <f aca="false">(1.7+1.7)*1.05</f>
        <v>3.57</v>
      </c>
      <c r="O27" s="7" t="n">
        <f aca="false">M27-N27</f>
        <v>0.13</v>
      </c>
      <c r="P27" s="7" t="n">
        <v>0</v>
      </c>
      <c r="Q27" s="7" t="n">
        <v>0</v>
      </c>
      <c r="R27" s="7" t="n">
        <f aca="false">SUM(O27:Q27)</f>
        <v>0.13</v>
      </c>
      <c r="S27" s="8"/>
      <c r="T27" s="7"/>
      <c r="U27" s="7" t="n">
        <v>34.2</v>
      </c>
      <c r="V27" s="8" t="n">
        <f aca="false">V26-U27</f>
        <v>4579.61002268716</v>
      </c>
      <c r="W27" s="7" t="n">
        <f aca="false">N27+R27+T27+U27</f>
        <v>37.9</v>
      </c>
      <c r="X27" s="7" t="n">
        <f aca="false">IF(L27&lt;0,L27*-1,0)</f>
        <v>0</v>
      </c>
      <c r="Y27" s="7" t="n">
        <f aca="false">W27+X27</f>
        <v>37.9</v>
      </c>
      <c r="Z27" s="11" t="n">
        <v>0</v>
      </c>
      <c r="AA27" s="43" t="n">
        <v>51</v>
      </c>
      <c r="AB27" s="12" t="n">
        <v>34</v>
      </c>
      <c r="AC27" s="13" t="n">
        <f aca="false">AC26+1</f>
        <v>18</v>
      </c>
      <c r="AD27" s="12" t="n">
        <v>15213</v>
      </c>
      <c r="AE27" s="12" t="n">
        <v>1812</v>
      </c>
    </row>
    <row r="28" customFormat="false" ht="11.1" hidden="false" customHeight="true" outlineLevel="0" collapsed="false">
      <c r="A28" s="13" t="n">
        <f aca="false">A27+1</f>
        <v>19</v>
      </c>
      <c r="B28" s="32" t="n">
        <v>6890.08</v>
      </c>
      <c r="C28" s="8" t="n">
        <v>248440</v>
      </c>
      <c r="D28" s="12" t="n">
        <f aca="false">C28-C27</f>
        <v>238</v>
      </c>
      <c r="E28" s="8" t="n">
        <f aca="false">C28-152000</f>
        <v>96440</v>
      </c>
      <c r="F28" s="7" t="n">
        <f aca="false">D28/$D$2</f>
        <v>119.989916813713</v>
      </c>
      <c r="G28" s="7" t="n">
        <v>123</v>
      </c>
      <c r="H28" s="9" t="n">
        <v>3.4</v>
      </c>
      <c r="I28" s="7" t="n">
        <f aca="false">G28+H28</f>
        <v>126.4</v>
      </c>
      <c r="J28" s="33" t="n">
        <f aca="false">IF(L28&gt;0,L28,0)</f>
        <v>30.4899168137131</v>
      </c>
      <c r="K28" s="7" t="n">
        <f aca="false">I28+J28</f>
        <v>156.889916813713</v>
      </c>
      <c r="L28" s="7" t="n">
        <f aca="false">F28-(I28-W28)</f>
        <v>30.4899168137131</v>
      </c>
      <c r="M28" s="7" t="n">
        <v>3.5</v>
      </c>
      <c r="N28" s="7" t="n">
        <f aca="false">(6.5+6.3)*1.05</f>
        <v>13.44</v>
      </c>
      <c r="O28" s="7" t="n">
        <f aca="false">M28-N28</f>
        <v>-9.94</v>
      </c>
      <c r="P28" s="7" t="n">
        <v>0</v>
      </c>
      <c r="Q28" s="7" t="n">
        <v>0</v>
      </c>
      <c r="R28" s="7" t="n">
        <f aca="false">SUM(O28:Q28)</f>
        <v>-9.94</v>
      </c>
      <c r="S28" s="8"/>
      <c r="T28" s="7"/>
      <c r="U28" s="7" t="n">
        <v>33.4</v>
      </c>
      <c r="V28" s="8" t="n">
        <f aca="false">V27-U28</f>
        <v>4546.21002268716</v>
      </c>
      <c r="W28" s="7" t="n">
        <f aca="false">N28+R28+T28+U28</f>
        <v>36.9</v>
      </c>
      <c r="X28" s="7" t="n">
        <f aca="false">IF(L28&lt;0,L28*-1,0)</f>
        <v>0</v>
      </c>
      <c r="Y28" s="7" t="n">
        <f aca="false">W28+X28</f>
        <v>36.9</v>
      </c>
      <c r="Z28" s="11" t="n">
        <v>0</v>
      </c>
      <c r="AA28" s="43" t="n">
        <v>59</v>
      </c>
      <c r="AB28" s="12" t="n">
        <v>31</v>
      </c>
      <c r="AC28" s="13" t="n">
        <f aca="false">AC27+1</f>
        <v>19</v>
      </c>
      <c r="AD28" s="12" t="n">
        <v>15295</v>
      </c>
      <c r="AE28" s="12" t="n">
        <v>1909</v>
      </c>
    </row>
    <row r="29" customFormat="false" ht="11.1" hidden="false" customHeight="true" outlineLevel="0" collapsed="false">
      <c r="A29" s="13" t="n">
        <f aca="false">A28+1</f>
        <v>20</v>
      </c>
      <c r="B29" s="32" t="n">
        <v>6890.15</v>
      </c>
      <c r="C29" s="8" t="n">
        <v>248678</v>
      </c>
      <c r="D29" s="12" t="n">
        <f aca="false">C29-C28</f>
        <v>238</v>
      </c>
      <c r="E29" s="8" t="n">
        <f aca="false">C29-152000</f>
        <v>96678</v>
      </c>
      <c r="F29" s="7" t="n">
        <f aca="false">D29/$D$2</f>
        <v>119.989916813713</v>
      </c>
      <c r="G29" s="7" t="n">
        <v>118</v>
      </c>
      <c r="H29" s="9" t="n">
        <v>3.7</v>
      </c>
      <c r="I29" s="7" t="n">
        <f aca="false">G29+H29</f>
        <v>121.7</v>
      </c>
      <c r="J29" s="33" t="n">
        <f aca="false">IF(L29&gt;0,L29,0)</f>
        <v>35.4899168137131</v>
      </c>
      <c r="K29" s="7" t="n">
        <f aca="false">I29+J29</f>
        <v>157.189916813713</v>
      </c>
      <c r="L29" s="7" t="n">
        <f aca="false">F29-(I29-W29)</f>
        <v>35.4899168137131</v>
      </c>
      <c r="M29" s="7" t="n">
        <v>3.8</v>
      </c>
      <c r="N29" s="7" t="n">
        <f aca="false">(8.3+7.8)*1.05</f>
        <v>16.905</v>
      </c>
      <c r="O29" s="7" t="n">
        <f aca="false">M29-N29</f>
        <v>-13.105</v>
      </c>
      <c r="P29" s="7" t="n">
        <v>0</v>
      </c>
      <c r="Q29" s="7" t="n">
        <v>0</v>
      </c>
      <c r="R29" s="7" t="n">
        <f aca="false">SUM(O29:Q29)</f>
        <v>-13.105</v>
      </c>
      <c r="S29" s="8"/>
      <c r="T29" s="7"/>
      <c r="U29" s="7" t="n">
        <v>33.4</v>
      </c>
      <c r="V29" s="8" t="n">
        <f aca="false">V28-U29</f>
        <v>4512.81002268717</v>
      </c>
      <c r="W29" s="7" t="n">
        <f aca="false">N29+R29+T29+U29</f>
        <v>37.2</v>
      </c>
      <c r="X29" s="7" t="n">
        <f aca="false">IF(L29&lt;0,L29*-1,0)</f>
        <v>0</v>
      </c>
      <c r="Y29" s="7" t="n">
        <f aca="false">W29+X29</f>
        <v>37.2</v>
      </c>
      <c r="Z29" s="11" t="n">
        <v>0</v>
      </c>
      <c r="AA29" s="43" t="n">
        <v>61</v>
      </c>
      <c r="AB29" s="12" t="n">
        <v>29</v>
      </c>
      <c r="AC29" s="13" t="n">
        <f aca="false">AC28+1</f>
        <v>20</v>
      </c>
      <c r="AD29" s="12" t="n">
        <v>15367</v>
      </c>
      <c r="AE29" s="12" t="n">
        <v>2006</v>
      </c>
    </row>
    <row r="30" customFormat="false" ht="11.1" hidden="false" customHeight="true" outlineLevel="0" collapsed="false">
      <c r="A30" s="13" t="n">
        <f aca="false">A29+1</f>
        <v>21</v>
      </c>
      <c r="B30" s="32" t="n">
        <v>6890.16</v>
      </c>
      <c r="C30" s="8" t="n">
        <v>248712</v>
      </c>
      <c r="D30" s="12" t="n">
        <f aca="false">C30-C29</f>
        <v>34</v>
      </c>
      <c r="E30" s="8" t="n">
        <f aca="false">C30-152000</f>
        <v>96712</v>
      </c>
      <c r="F30" s="7" t="n">
        <f aca="false">D30/$D$2</f>
        <v>17.1414166876733</v>
      </c>
      <c r="G30" s="7" t="n">
        <v>114</v>
      </c>
      <c r="H30" s="9" t="n">
        <v>3.6</v>
      </c>
      <c r="I30" s="7" t="n">
        <f aca="false">G30+H30</f>
        <v>117.6</v>
      </c>
      <c r="J30" s="33" t="n">
        <f aca="false">IF(L30&gt;0,L30,0)</f>
        <v>0</v>
      </c>
      <c r="K30" s="7" t="n">
        <f aca="false">I30+J30</f>
        <v>117.6</v>
      </c>
      <c r="L30" s="7" t="n">
        <f aca="false">F30-(I30-W30)</f>
        <v>-60.3685833123267</v>
      </c>
      <c r="M30" s="7" t="n">
        <v>3.9</v>
      </c>
      <c r="N30" s="7" t="n">
        <f aca="false">(2.3+2.1)*1.05</f>
        <v>4.62</v>
      </c>
      <c r="O30" s="7" t="n">
        <f aca="false">M30-N30</f>
        <v>-0.720000000000001</v>
      </c>
      <c r="P30" s="7" t="n">
        <v>0</v>
      </c>
      <c r="Q30" s="7" t="n">
        <v>0</v>
      </c>
      <c r="R30" s="7" t="n">
        <f aca="false">SUM(O30:Q30)</f>
        <v>-0.720000000000001</v>
      </c>
      <c r="S30" s="8"/>
      <c r="T30" s="7"/>
      <c r="U30" s="7" t="n">
        <v>36.19</v>
      </c>
      <c r="V30" s="8" t="n">
        <f aca="false">V29-U30</f>
        <v>4476.62002268717</v>
      </c>
      <c r="W30" s="7" t="n">
        <f aca="false">N30+R30+T30+U30</f>
        <v>40.09</v>
      </c>
      <c r="X30" s="7" t="n">
        <f aca="false">IF(L30&lt;0,L30*-1,0)</f>
        <v>60.3685833123267</v>
      </c>
      <c r="Y30" s="7" t="n">
        <f aca="false">W30+X30</f>
        <v>100.458583312327</v>
      </c>
      <c r="Z30" s="11" t="n">
        <v>0.07</v>
      </c>
      <c r="AA30" s="12" t="n">
        <v>57</v>
      </c>
      <c r="AB30" s="12" t="n">
        <v>35</v>
      </c>
      <c r="AC30" s="13" t="n">
        <f aca="false">AC29+1</f>
        <v>21</v>
      </c>
      <c r="AD30" s="12" t="n">
        <v>15445</v>
      </c>
      <c r="AE30" s="12" t="n">
        <v>2106</v>
      </c>
      <c r="AF30" s="0" t="n">
        <v>273.4</v>
      </c>
    </row>
    <row r="31" customFormat="false" ht="11.1" hidden="false" customHeight="true" outlineLevel="0" collapsed="false">
      <c r="A31" s="13" t="n">
        <f aca="false">A30+1</f>
        <v>22</v>
      </c>
      <c r="B31" s="32" t="n">
        <v>6890.46</v>
      </c>
      <c r="C31" s="8" t="n">
        <v>249732</v>
      </c>
      <c r="D31" s="12" t="n">
        <f aca="false">C31-C30</f>
        <v>1020</v>
      </c>
      <c r="E31" s="8" t="n">
        <f aca="false">C31-152000</f>
        <v>97732</v>
      </c>
      <c r="F31" s="7" t="n">
        <f aca="false">D31/$D$2</f>
        <v>514.242500630199</v>
      </c>
      <c r="G31" s="7" t="n">
        <v>179</v>
      </c>
      <c r="H31" s="9" t="n">
        <v>6.2</v>
      </c>
      <c r="I31" s="7" t="n">
        <f aca="false">G31+H31</f>
        <v>185.2</v>
      </c>
      <c r="J31" s="33" t="n">
        <f aca="false">IF(L31&gt;0,L31,0)</f>
        <v>366.242500630199</v>
      </c>
      <c r="K31" s="7" t="n">
        <f aca="false">I31+J31</f>
        <v>551.442500630199</v>
      </c>
      <c r="L31" s="7" t="n">
        <f aca="false">F31-(I31-W31)</f>
        <v>366.242500630199</v>
      </c>
      <c r="M31" s="7" t="n">
        <v>3.5</v>
      </c>
      <c r="N31" s="7" t="n">
        <v>0</v>
      </c>
      <c r="O31" s="7" t="n">
        <f aca="false">M31-N31</f>
        <v>3.5</v>
      </c>
      <c r="P31" s="7" t="n">
        <v>0</v>
      </c>
      <c r="Q31" s="7" t="n">
        <v>0</v>
      </c>
      <c r="R31" s="7" t="n">
        <f aca="false">SUM(O31:Q31)</f>
        <v>3.5</v>
      </c>
      <c r="S31" s="8"/>
      <c r="T31" s="7"/>
      <c r="U31" s="7" t="n">
        <v>33.7</v>
      </c>
      <c r="V31" s="8" t="n">
        <f aca="false">V30-U31</f>
        <v>4442.92002268717</v>
      </c>
      <c r="W31" s="7" t="n">
        <f aca="false">N31+R31+T31+U31</f>
        <v>37.2</v>
      </c>
      <c r="X31" s="7" t="n">
        <f aca="false">IF(L31&lt;0,L31*-1,0)</f>
        <v>0</v>
      </c>
      <c r="Y31" s="7" t="n">
        <f aca="false">W31+X31</f>
        <v>37.2</v>
      </c>
      <c r="Z31" s="11" t="n">
        <v>0.6</v>
      </c>
      <c r="AA31" s="12" t="n">
        <v>45</v>
      </c>
      <c r="AB31" s="12" t="n">
        <v>42</v>
      </c>
      <c r="AC31" s="13" t="n">
        <f aca="false">AC30+1</f>
        <v>22</v>
      </c>
      <c r="AD31" s="12" t="n">
        <v>15524</v>
      </c>
      <c r="AE31" s="12" t="n">
        <v>2203</v>
      </c>
      <c r="AF31" s="0" t="n">
        <v>249.63</v>
      </c>
    </row>
    <row r="32" customFormat="false" ht="11.1" hidden="false" customHeight="true" outlineLevel="0" collapsed="false">
      <c r="A32" s="13" t="n">
        <f aca="false">A31+1</f>
        <v>23</v>
      </c>
      <c r="B32" s="32" t="n">
        <v>6890.68</v>
      </c>
      <c r="C32" s="8" t="n">
        <v>250481</v>
      </c>
      <c r="D32" s="12" t="n">
        <f aca="false">C32-C31</f>
        <v>749</v>
      </c>
      <c r="E32" s="8" t="n">
        <f aca="false">C32-152000</f>
        <v>98481</v>
      </c>
      <c r="F32" s="7" t="n">
        <f aca="false">D32/$D$2</f>
        <v>377.615326443156</v>
      </c>
      <c r="G32" s="7" t="n">
        <v>234</v>
      </c>
      <c r="H32" s="9" t="n">
        <v>9.7</v>
      </c>
      <c r="I32" s="7" t="n">
        <v>45.1</v>
      </c>
      <c r="J32" s="33" t="n">
        <f aca="false">IF(L32&gt;0,L32,0)</f>
        <v>369.595326443156</v>
      </c>
      <c r="K32" s="7" t="n">
        <f aca="false">I32+J32</f>
        <v>414.695326443156</v>
      </c>
      <c r="L32" s="7" t="n">
        <f aca="false">F32-(I32-W32)</f>
        <v>369.595326443156</v>
      </c>
      <c r="M32" s="7" t="n">
        <v>3.58</v>
      </c>
      <c r="N32" s="7" t="n">
        <v>0</v>
      </c>
      <c r="O32" s="7" t="n">
        <f aca="false">M32-N32</f>
        <v>3.58</v>
      </c>
      <c r="P32" s="7" t="n">
        <v>0</v>
      </c>
      <c r="Q32" s="7" t="n">
        <v>0</v>
      </c>
      <c r="R32" s="7" t="n">
        <f aca="false">SUM(O32:Q32)</f>
        <v>3.58</v>
      </c>
      <c r="S32" s="8"/>
      <c r="T32" s="7"/>
      <c r="U32" s="7" t="n">
        <v>33.5</v>
      </c>
      <c r="V32" s="8" t="n">
        <f aca="false">V31-U32</f>
        <v>4409.42002268717</v>
      </c>
      <c r="W32" s="7" t="n">
        <f aca="false">N32+R32+T32+U32</f>
        <v>37.08</v>
      </c>
      <c r="X32" s="7" t="n">
        <f aca="false">IF(L32&lt;0,L32*-1,0)</f>
        <v>0</v>
      </c>
      <c r="Y32" s="7" t="n">
        <f aca="false">W32+X32</f>
        <v>37.08</v>
      </c>
      <c r="Z32" s="11" t="n">
        <v>0.12</v>
      </c>
      <c r="AA32" s="12" t="n">
        <v>49</v>
      </c>
      <c r="AB32" s="43" t="n">
        <v>36</v>
      </c>
      <c r="AC32" s="13" t="n">
        <f aca="false">AC31+1</f>
        <v>23</v>
      </c>
      <c r="AD32" s="12" t="n">
        <v>15607</v>
      </c>
      <c r="AE32" s="12" t="n">
        <v>2299</v>
      </c>
      <c r="AF32" s="0" t="n">
        <v>243.94</v>
      </c>
    </row>
    <row r="33" customFormat="false" ht="11.1" hidden="false" customHeight="true" outlineLevel="0" collapsed="false">
      <c r="A33" s="13" t="n">
        <f aca="false">A32+1</f>
        <v>24</v>
      </c>
      <c r="B33" s="32" t="n">
        <v>6890.75</v>
      </c>
      <c r="C33" s="8" t="n">
        <v>250719</v>
      </c>
      <c r="D33" s="12" t="n">
        <f aca="false">C33-C32</f>
        <v>238</v>
      </c>
      <c r="E33" s="8" t="n">
        <f aca="false">C33-152000</f>
        <v>98719</v>
      </c>
      <c r="F33" s="7" t="n">
        <f aca="false">D33/$D$2</f>
        <v>119.989916813713</v>
      </c>
      <c r="G33" s="7" t="n">
        <v>166</v>
      </c>
      <c r="H33" s="9" t="n">
        <v>6.7</v>
      </c>
      <c r="I33" s="7" t="n">
        <f aca="false">G33+H33</f>
        <v>172.7</v>
      </c>
      <c r="J33" s="33" t="n">
        <f aca="false">IF(L33&gt;0,L33,0)</f>
        <v>0</v>
      </c>
      <c r="K33" s="7" t="n">
        <f aca="false">I33+J33</f>
        <v>172.7</v>
      </c>
      <c r="L33" s="7" t="n">
        <f aca="false">F33-(I33-W33)</f>
        <v>-15.6100831862869</v>
      </c>
      <c r="M33" s="7" t="n">
        <v>3.7</v>
      </c>
      <c r="N33" s="7" t="n">
        <v>0</v>
      </c>
      <c r="O33" s="7" t="n">
        <f aca="false">M33-N33</f>
        <v>3.7</v>
      </c>
      <c r="P33" s="7" t="n">
        <v>0</v>
      </c>
      <c r="Q33" s="7" t="n">
        <v>0</v>
      </c>
      <c r="R33" s="7" t="n">
        <f aca="false">SUM(O33:Q33)</f>
        <v>3.7</v>
      </c>
      <c r="S33" s="8"/>
      <c r="T33" s="7"/>
      <c r="U33" s="7" t="n">
        <v>33.4</v>
      </c>
      <c r="V33" s="8" t="n">
        <f aca="false">V32-U33</f>
        <v>4376.02002268717</v>
      </c>
      <c r="W33" s="7" t="n">
        <f aca="false">N33+R33+T33+U33</f>
        <v>37.1</v>
      </c>
      <c r="X33" s="7" t="n">
        <f aca="false">IF(L33&lt;0,L33*-1,0)</f>
        <v>15.6100831862869</v>
      </c>
      <c r="Y33" s="7" t="n">
        <f aca="false">W33+X33</f>
        <v>52.7100831862869</v>
      </c>
      <c r="Z33" s="11" t="n">
        <v>0</v>
      </c>
      <c r="AA33" s="12" t="n">
        <v>50</v>
      </c>
      <c r="AB33" s="43" t="n">
        <v>24</v>
      </c>
      <c r="AC33" s="13" t="n">
        <f aca="false">AC32+1</f>
        <v>24</v>
      </c>
      <c r="AD33" s="12" t="n">
        <v>15666</v>
      </c>
      <c r="AE33" s="12" t="n">
        <v>2395</v>
      </c>
      <c r="AF33" s="0" t="n">
        <v>243.15</v>
      </c>
    </row>
    <row r="34" customFormat="false" ht="11.1" hidden="false" customHeight="true" outlineLevel="0" collapsed="false">
      <c r="A34" s="13" t="n">
        <f aca="false">A33+1</f>
        <v>25</v>
      </c>
      <c r="B34" s="32" t="n">
        <v>6890.83</v>
      </c>
      <c r="C34" s="8" t="n">
        <v>250991</v>
      </c>
      <c r="D34" s="12" t="n">
        <f aca="false">C34-C33</f>
        <v>272</v>
      </c>
      <c r="E34" s="8" t="n">
        <f aca="false">C34-152000</f>
        <v>98991</v>
      </c>
      <c r="F34" s="7" t="n">
        <f aca="false">D34/$D$2</f>
        <v>137.131333501386</v>
      </c>
      <c r="G34" s="7" t="n">
        <v>148</v>
      </c>
      <c r="H34" s="9" t="n">
        <v>8.4</v>
      </c>
      <c r="I34" s="7" t="n">
        <f aca="false">G34+H34</f>
        <v>156.4</v>
      </c>
      <c r="J34" s="33" t="n">
        <f aca="false">IF(L34&gt;0,L34,0)</f>
        <v>19.9913335013864</v>
      </c>
      <c r="K34" s="7" t="n">
        <f aca="false">I34+J34</f>
        <v>176.391333501386</v>
      </c>
      <c r="L34" s="7" t="n">
        <f aca="false">F34-(I34-W34)</f>
        <v>19.9913335013864</v>
      </c>
      <c r="M34" s="7" t="n">
        <v>3.7</v>
      </c>
      <c r="N34" s="7" t="n">
        <v>0</v>
      </c>
      <c r="O34" s="7" t="n">
        <f aca="false">M34-N34</f>
        <v>3.7</v>
      </c>
      <c r="P34" s="7" t="n">
        <v>0</v>
      </c>
      <c r="Q34" s="7" t="n">
        <v>0</v>
      </c>
      <c r="R34" s="7" t="n">
        <f aca="false">SUM(O34:Q34)</f>
        <v>3.7</v>
      </c>
      <c r="S34" s="8"/>
      <c r="T34" s="7"/>
      <c r="U34" s="7" t="n">
        <v>35.56</v>
      </c>
      <c r="V34" s="8" t="n">
        <f aca="false">V33-U34</f>
        <v>4340.46002268717</v>
      </c>
      <c r="W34" s="7" t="n">
        <f aca="false">N34+R34+T34+U34</f>
        <v>39.26</v>
      </c>
      <c r="X34" s="7" t="n">
        <f aca="false">IF(L34&lt;0,L34*-1,0)</f>
        <v>0</v>
      </c>
      <c r="Y34" s="7" t="n">
        <f aca="false">W34+X34</f>
        <v>39.26</v>
      </c>
      <c r="Z34" s="11" t="n">
        <v>0</v>
      </c>
      <c r="AA34" s="12" t="n">
        <v>49</v>
      </c>
      <c r="AB34" s="43" t="n">
        <v>21</v>
      </c>
      <c r="AC34" s="13" t="n">
        <f aca="false">AC33+1</f>
        <v>25</v>
      </c>
      <c r="AD34" s="12" t="n">
        <v>15726</v>
      </c>
      <c r="AE34" s="12" t="n">
        <v>2491</v>
      </c>
      <c r="AF34" s="0" t="n">
        <v>242.11</v>
      </c>
    </row>
    <row r="35" customFormat="false" ht="11.1" hidden="false" customHeight="true" outlineLevel="0" collapsed="false">
      <c r="A35" s="13" t="n">
        <f aca="false">A34+1</f>
        <v>26</v>
      </c>
      <c r="B35" s="32" t="n">
        <v>6890.93</v>
      </c>
      <c r="C35" s="8" t="n">
        <v>251331</v>
      </c>
      <c r="D35" s="12" t="n">
        <f aca="false">C35-C34</f>
        <v>340</v>
      </c>
      <c r="E35" s="8" t="n">
        <f aca="false">C35-152000</f>
        <v>99331</v>
      </c>
      <c r="F35" s="7" t="n">
        <f aca="false">D35/$D$2</f>
        <v>171.414166876733</v>
      </c>
      <c r="G35" s="7" t="n">
        <v>143</v>
      </c>
      <c r="H35" s="9" t="n">
        <v>8</v>
      </c>
      <c r="I35" s="7" t="n">
        <f aca="false">G35+H35</f>
        <v>151</v>
      </c>
      <c r="J35" s="33" t="n">
        <f aca="false">IF(L35&gt;0,L35,0)</f>
        <v>62.3641668767331</v>
      </c>
      <c r="K35" s="7" t="n">
        <f aca="false">I35+J35</f>
        <v>213.364166876733</v>
      </c>
      <c r="L35" s="7" t="n">
        <f aca="false">F35-(I35-W35)</f>
        <v>62.3641668767331</v>
      </c>
      <c r="M35" s="7" t="n">
        <v>3.5</v>
      </c>
      <c r="N35" s="7" t="n">
        <v>0</v>
      </c>
      <c r="O35" s="7" t="n">
        <f aca="false">M35-N35</f>
        <v>3.5</v>
      </c>
      <c r="P35" s="7" t="n">
        <v>0</v>
      </c>
      <c r="Q35" s="7" t="n">
        <v>0</v>
      </c>
      <c r="R35" s="7" t="n">
        <f aca="false">SUM(O35:Q35)</f>
        <v>3.5</v>
      </c>
      <c r="S35" s="8"/>
      <c r="T35" s="7"/>
      <c r="U35" s="7" t="n">
        <v>38.45</v>
      </c>
      <c r="V35" s="8" t="n">
        <f aca="false">V34-U35</f>
        <v>4302.01002268717</v>
      </c>
      <c r="W35" s="7" t="n">
        <f aca="false">N35+R35+T35+U35</f>
        <v>41.95</v>
      </c>
      <c r="X35" s="7" t="n">
        <f aca="false">IF(L35&lt;0,L35*-1,0)</f>
        <v>0</v>
      </c>
      <c r="Y35" s="7" t="n">
        <f aca="false">W35+X35</f>
        <v>41.95</v>
      </c>
      <c r="Z35" s="11" t="n">
        <v>0.04</v>
      </c>
      <c r="AA35" s="12" t="n">
        <v>45</v>
      </c>
      <c r="AB35" s="12" t="n">
        <v>23</v>
      </c>
      <c r="AC35" s="13" t="n">
        <f aca="false">AC34+1</f>
        <v>26</v>
      </c>
      <c r="AD35" s="12" t="n">
        <v>15781</v>
      </c>
      <c r="AE35" s="12" t="n">
        <v>2589</v>
      </c>
      <c r="AF35" s="0" t="n">
        <v>244.72</v>
      </c>
    </row>
    <row r="36" customFormat="false" ht="11.1" hidden="false" customHeight="true" outlineLevel="0" collapsed="false">
      <c r="A36" s="13" t="n">
        <f aca="false">A35+1</f>
        <v>27</v>
      </c>
      <c r="B36" s="32" t="n">
        <v>6890.99</v>
      </c>
      <c r="C36" s="8" t="n">
        <v>251535</v>
      </c>
      <c r="D36" s="12" t="n">
        <f aca="false">C36-C35</f>
        <v>204</v>
      </c>
      <c r="E36" s="8" t="n">
        <f aca="false">C36-152000</f>
        <v>99535</v>
      </c>
      <c r="F36" s="7" t="n">
        <f aca="false">D36/$D$2</f>
        <v>102.84850012604</v>
      </c>
      <c r="G36" s="7" t="n">
        <v>120</v>
      </c>
      <c r="H36" s="9" t="n">
        <v>7.5</v>
      </c>
      <c r="I36" s="7" t="n">
        <f aca="false">G36+H36</f>
        <v>127.5</v>
      </c>
      <c r="J36" s="33" t="n">
        <f aca="false">IF(L36&gt;0,L36,0)</f>
        <v>13.7485001260398</v>
      </c>
      <c r="K36" s="7" t="n">
        <f aca="false">I36+J36</f>
        <v>141.24850012604</v>
      </c>
      <c r="L36" s="7" t="n">
        <f aca="false">F36-(I36-W36)</f>
        <v>13.7485001260398</v>
      </c>
      <c r="M36" s="7" t="n">
        <v>3.4</v>
      </c>
      <c r="N36" s="7" t="n">
        <v>0</v>
      </c>
      <c r="O36" s="7" t="n">
        <f aca="false">M36-N36</f>
        <v>3.4</v>
      </c>
      <c r="P36" s="7" t="n">
        <v>0</v>
      </c>
      <c r="Q36" s="7" t="n">
        <v>0</v>
      </c>
      <c r="R36" s="7" t="n">
        <f aca="false">SUM(O36:Q36)</f>
        <v>3.4</v>
      </c>
      <c r="S36" s="8"/>
      <c r="T36" s="7"/>
      <c r="U36" s="7" t="n">
        <v>35</v>
      </c>
      <c r="V36" s="8" t="n">
        <f aca="false">V35-U36</f>
        <v>4267.01002268717</v>
      </c>
      <c r="W36" s="7" t="n">
        <f aca="false">N36+R36+T36+U36</f>
        <v>38.4</v>
      </c>
      <c r="X36" s="7" t="n">
        <f aca="false">IF(L36&lt;0,L36*-1,0)</f>
        <v>0</v>
      </c>
      <c r="Y36" s="7" t="n">
        <f aca="false">W36+X36</f>
        <v>38.4</v>
      </c>
      <c r="Z36" s="11" t="n">
        <v>0</v>
      </c>
      <c r="AA36" s="12" t="n">
        <v>44</v>
      </c>
      <c r="AB36" s="12" t="n">
        <v>25</v>
      </c>
      <c r="AC36" s="13" t="n">
        <f aca="false">AC35+1</f>
        <v>27</v>
      </c>
      <c r="AD36" s="12" t="n">
        <v>15841</v>
      </c>
      <c r="AE36" s="12" t="n">
        <v>2686</v>
      </c>
      <c r="AF36" s="0" t="n">
        <v>252.4</v>
      </c>
    </row>
    <row r="37" customFormat="false" ht="11.1" hidden="false" customHeight="true" outlineLevel="0" collapsed="false">
      <c r="A37" s="13" t="n">
        <f aca="false">A36+1</f>
        <v>28</v>
      </c>
      <c r="B37" s="32" t="n">
        <v>6891.03</v>
      </c>
      <c r="C37" s="8" t="n">
        <v>251672</v>
      </c>
      <c r="D37" s="12" t="n">
        <f aca="false">C37-C36</f>
        <v>137</v>
      </c>
      <c r="E37" s="8" t="n">
        <f aca="false">C37-152000</f>
        <v>99672</v>
      </c>
      <c r="F37" s="7" t="n">
        <f aca="false">D37/$D$2</f>
        <v>69.0698260650366</v>
      </c>
      <c r="G37" s="7" t="n">
        <v>95</v>
      </c>
      <c r="H37" s="9" t="n">
        <v>5.4</v>
      </c>
      <c r="I37" s="7" t="n">
        <f aca="false">G37+H37</f>
        <v>100.4</v>
      </c>
      <c r="J37" s="33" t="n">
        <f aca="false">IF(L37&gt;0,L37,0)</f>
        <v>7.06982606503654</v>
      </c>
      <c r="K37" s="7" t="n">
        <f aca="false">I37+J37</f>
        <v>107.469826065037</v>
      </c>
      <c r="L37" s="7" t="n">
        <f aca="false">F37-(I37-W37)</f>
        <v>7.06982606503654</v>
      </c>
      <c r="M37" s="7" t="n">
        <v>3.4</v>
      </c>
      <c r="N37" s="7" t="n">
        <v>0</v>
      </c>
      <c r="O37" s="7" t="n">
        <f aca="false">M37-N37</f>
        <v>3.4</v>
      </c>
      <c r="P37" s="7" t="n">
        <v>0</v>
      </c>
      <c r="Q37" s="7" t="n">
        <v>0</v>
      </c>
      <c r="R37" s="7" t="n">
        <f aca="false">SUM(O37:Q37)</f>
        <v>3.4</v>
      </c>
      <c r="S37" s="8"/>
      <c r="T37" s="7"/>
      <c r="U37" s="7" t="n">
        <v>35</v>
      </c>
      <c r="V37" s="8" t="n">
        <f aca="false">V36-U37</f>
        <v>4232.01002268717</v>
      </c>
      <c r="W37" s="7" t="n">
        <f aca="false">N37+R37+T37+U37</f>
        <v>38.4</v>
      </c>
      <c r="X37" s="7" t="n">
        <f aca="false">IF(L37&lt;0,L37*-1,0)</f>
        <v>0</v>
      </c>
      <c r="Y37" s="7" t="n">
        <f aca="false">W37+X37</f>
        <v>38.4</v>
      </c>
      <c r="Z37" s="11" t="n">
        <v>0</v>
      </c>
      <c r="AA37" s="12" t="n">
        <v>50</v>
      </c>
      <c r="AB37" s="12" t="n">
        <v>19</v>
      </c>
      <c r="AC37" s="13" t="n">
        <f aca="false">AC36+1</f>
        <v>28</v>
      </c>
      <c r="AD37" s="12" t="n">
        <v>804</v>
      </c>
      <c r="AE37" s="12" t="n">
        <v>2779</v>
      </c>
      <c r="AF37" s="0" t="n">
        <v>254.14</v>
      </c>
    </row>
    <row r="38" customFormat="false" ht="11.1" hidden="false" customHeight="true" outlineLevel="0" collapsed="false">
      <c r="A38" s="13" t="n">
        <f aca="false">A37+1</f>
        <v>29</v>
      </c>
      <c r="B38" s="32" t="n">
        <v>6891.21</v>
      </c>
      <c r="C38" s="8" t="n">
        <v>252290</v>
      </c>
      <c r="D38" s="12" t="n">
        <f aca="false">C38-C37</f>
        <v>618</v>
      </c>
      <c r="E38" s="8" t="n">
        <f aca="false">C38-152000</f>
        <v>100290</v>
      </c>
      <c r="F38" s="7" t="n">
        <f aca="false">D38/$D$2</f>
        <v>311.570456264179</v>
      </c>
      <c r="G38" s="7" t="n">
        <v>153.16</v>
      </c>
      <c r="H38" s="9" t="n">
        <v>6.3</v>
      </c>
      <c r="I38" s="7" t="n">
        <f aca="false">G38+H38</f>
        <v>159.46</v>
      </c>
      <c r="J38" s="33" t="n">
        <f aca="false">IF(L38&gt;0,L38,0)</f>
        <v>190.510456264179</v>
      </c>
      <c r="K38" s="7" t="n">
        <f aca="false">I38+J38</f>
        <v>349.970456264179</v>
      </c>
      <c r="L38" s="7" t="n">
        <f aca="false">F38-(I38-W38)</f>
        <v>190.510456264179</v>
      </c>
      <c r="M38" s="7" t="n">
        <v>3.4</v>
      </c>
      <c r="N38" s="7" t="n">
        <v>0</v>
      </c>
      <c r="O38" s="7" t="n">
        <f aca="false">M38-N38</f>
        <v>3.4</v>
      </c>
      <c r="P38" s="7" t="n">
        <v>0</v>
      </c>
      <c r="Q38" s="7" t="n">
        <v>0</v>
      </c>
      <c r="R38" s="7" t="n">
        <f aca="false">SUM(O38:Q38)</f>
        <v>3.4</v>
      </c>
      <c r="S38" s="8"/>
      <c r="T38" s="7"/>
      <c r="U38" s="7" t="n">
        <v>35</v>
      </c>
      <c r="V38" s="8" t="n">
        <f aca="false">V37-U38</f>
        <v>4197.01002268717</v>
      </c>
      <c r="W38" s="7" t="n">
        <f aca="false">N38+R38+T38+U38</f>
        <v>38.4</v>
      </c>
      <c r="X38" s="7" t="n">
        <f aca="false">IF(L38&lt;0,L38*-1,0)</f>
        <v>0</v>
      </c>
      <c r="Y38" s="7" t="n">
        <f aca="false">W38+X38</f>
        <v>38.4</v>
      </c>
      <c r="Z38" s="11" t="n">
        <v>0.75</v>
      </c>
      <c r="AA38" s="43" t="n">
        <v>38</v>
      </c>
      <c r="AB38" s="12" t="n">
        <v>22</v>
      </c>
      <c r="AC38" s="13" t="n">
        <f aca="false">AC37+1</f>
        <v>29</v>
      </c>
      <c r="AD38" s="12" t="n">
        <v>862</v>
      </c>
      <c r="AE38" s="12" t="n">
        <v>2872</v>
      </c>
      <c r="AF38" s="0" t="n">
        <v>256.51</v>
      </c>
    </row>
    <row r="39" customFormat="false" ht="11.1" hidden="false" customHeight="true" outlineLevel="0" collapsed="false">
      <c r="A39" s="13" t="n">
        <v>30</v>
      </c>
      <c r="B39" s="32" t="n">
        <v>6891.24</v>
      </c>
      <c r="C39" s="8" t="n">
        <v>252392</v>
      </c>
      <c r="D39" s="12" t="n">
        <f aca="false">C39-C38</f>
        <v>102</v>
      </c>
      <c r="E39" s="8" t="n">
        <f aca="false">C39-152000</f>
        <v>100392</v>
      </c>
      <c r="F39" s="7" t="n">
        <f aca="false">D39/$D$2</f>
        <v>51.4242500630199</v>
      </c>
      <c r="G39" s="7" t="n">
        <v>164.55</v>
      </c>
      <c r="H39" s="9" t="n">
        <v>11</v>
      </c>
      <c r="I39" s="7" t="n">
        <f aca="false">G39+H39</f>
        <v>175.55</v>
      </c>
      <c r="J39" s="33" t="n">
        <f aca="false">IF(L39&gt;0,L39,0)</f>
        <v>0</v>
      </c>
      <c r="K39" s="7" t="n">
        <f aca="false">I39+J39</f>
        <v>175.55</v>
      </c>
      <c r="L39" s="7" t="n">
        <f aca="false">F39-(I39-W39)</f>
        <v>-85.7257499369801</v>
      </c>
      <c r="M39" s="7" t="n">
        <v>3.4</v>
      </c>
      <c r="N39" s="7" t="n">
        <v>0</v>
      </c>
      <c r="O39" s="7" t="n">
        <f aca="false">M39-N39</f>
        <v>3.4</v>
      </c>
      <c r="P39" s="7" t="n">
        <v>0</v>
      </c>
      <c r="Q39" s="7" t="n">
        <v>0</v>
      </c>
      <c r="R39" s="7" t="n">
        <f aca="false">SUM(O39:Q39)</f>
        <v>3.4</v>
      </c>
      <c r="S39" s="8"/>
      <c r="T39" s="7"/>
      <c r="U39" s="7" t="n">
        <v>35</v>
      </c>
      <c r="V39" s="8" t="n">
        <f aca="false">V38-U39</f>
        <v>4162.01002268717</v>
      </c>
      <c r="W39" s="7" t="n">
        <f aca="false">N39+R39+T39+U39</f>
        <v>38.4</v>
      </c>
      <c r="X39" s="7" t="n">
        <f aca="false">IF(L39&lt;0,L39*-1,0)</f>
        <v>85.7257499369801</v>
      </c>
      <c r="Y39" s="7" t="n">
        <f aca="false">W39+X39</f>
        <v>124.12574993698</v>
      </c>
      <c r="Z39" s="11" t="n">
        <v>0</v>
      </c>
      <c r="AA39" s="43" t="n">
        <v>34</v>
      </c>
      <c r="AB39" s="12" t="n">
        <v>14</v>
      </c>
      <c r="AC39" s="13" t="n">
        <v>30</v>
      </c>
      <c r="AD39" s="12" t="n">
        <v>927</v>
      </c>
      <c r="AE39" s="12" t="n">
        <v>2965</v>
      </c>
      <c r="AF39" s="0" t="n">
        <v>248.45</v>
      </c>
    </row>
    <row r="40" customFormat="false" ht="3" hidden="false" customHeight="true" outlineLevel="0" collapsed="false">
      <c r="A40" s="35"/>
      <c r="B40" s="35"/>
      <c r="C40" s="37"/>
      <c r="D40" s="35"/>
      <c r="E40" s="37"/>
      <c r="F40" s="35"/>
      <c r="G40" s="35"/>
      <c r="H40" s="38"/>
      <c r="I40" s="35"/>
      <c r="J40" s="35"/>
      <c r="K40" s="35"/>
      <c r="L40" s="35"/>
      <c r="M40" s="35"/>
      <c r="N40" s="35"/>
      <c r="O40" s="35"/>
      <c r="P40" s="35"/>
      <c r="Q40" s="35"/>
      <c r="R40" s="35"/>
      <c r="S40" s="37"/>
      <c r="T40" s="35"/>
      <c r="U40" s="35"/>
      <c r="V40" s="35"/>
      <c r="W40" s="35"/>
      <c r="X40" s="35"/>
      <c r="Y40" s="35"/>
      <c r="Z40" s="39"/>
      <c r="AA40" s="40" t="n">
        <v>73</v>
      </c>
      <c r="AB40" s="40"/>
      <c r="AC40" s="41"/>
      <c r="AD40" s="14"/>
      <c r="AE40" s="14"/>
    </row>
    <row r="41" customFormat="false" ht="11.1" hidden="false" customHeight="true" outlineLevel="0" collapsed="false">
      <c r="A41" s="7" t="s">
        <v>45</v>
      </c>
      <c r="B41" s="7"/>
      <c r="C41" s="8"/>
      <c r="D41" s="8"/>
      <c r="E41" s="8"/>
      <c r="F41" s="8" t="n">
        <f aca="false">SUM(F10:F39)</f>
        <v>3216.03226619612</v>
      </c>
      <c r="G41" s="8" t="n">
        <f aca="false">SUM(G10:G39)</f>
        <v>3652.71</v>
      </c>
      <c r="H41" s="8" t="n">
        <f aca="false">SUM(H10:H39)</f>
        <v>118.7</v>
      </c>
      <c r="I41" s="8" t="n">
        <f aca="false">SUM(I10:I39)</f>
        <v>3570.51</v>
      </c>
      <c r="J41" s="8" t="n">
        <f aca="false">SUM(J10:J39)</f>
        <v>1608.05668263171</v>
      </c>
      <c r="K41" s="8" t="n">
        <f aca="false">SUM(K10:K39)</f>
        <v>5178.56668263171</v>
      </c>
      <c r="L41" s="8" t="n">
        <f aca="false">SUM(L10:L39)</f>
        <v>1289.78226619612</v>
      </c>
      <c r="M41" s="8" t="n">
        <f aca="false">SUM(M10:M39)</f>
        <v>269.08</v>
      </c>
      <c r="N41" s="8" t="n">
        <f aca="false">SUM(N10:N39)</f>
        <v>62.063</v>
      </c>
      <c r="O41" s="8" t="n">
        <f aca="false">SUM(O10:O39)</f>
        <v>207.017</v>
      </c>
      <c r="P41" s="8" t="n">
        <f aca="false">SUM(P10:P39)</f>
        <v>104.07</v>
      </c>
      <c r="Q41" s="8" t="n">
        <f aca="false">SUM(Q10:Q39)</f>
        <v>198.8</v>
      </c>
      <c r="R41" s="8" t="n">
        <f aca="false">SUM(R10:R39)</f>
        <v>509.887</v>
      </c>
      <c r="S41" s="8"/>
      <c r="T41" s="8" t="n">
        <f aca="false">SUM(T10:T39)</f>
        <v>0</v>
      </c>
      <c r="U41" s="8" t="n">
        <f aca="false">SUM(U10:U39)</f>
        <v>1072.31</v>
      </c>
      <c r="V41" s="8"/>
      <c r="W41" s="8" t="n">
        <f aca="false">SUM(W10:W39)</f>
        <v>1644.26</v>
      </c>
      <c r="X41" s="8" t="n">
        <f aca="false">SUM(X10:X39)</f>
        <v>318.274416435594</v>
      </c>
      <c r="Y41" s="8" t="n">
        <f aca="false">SUM(Y10:Y39)</f>
        <v>1962.53441643559</v>
      </c>
      <c r="Z41" s="11" t="n">
        <f aca="false">SUM(Z10:Z39)</f>
        <v>2.7</v>
      </c>
      <c r="AA41" s="12" t="n">
        <f aca="false">AVERAGE(AA10:AA39)</f>
        <v>50.7333333333333</v>
      </c>
      <c r="AB41" s="12" t="n">
        <f aca="false">AVERAGE(AB10:AB39)</f>
        <v>26.3</v>
      </c>
      <c r="AC41" s="13"/>
      <c r="AD41" s="14"/>
      <c r="AE41" s="14"/>
    </row>
    <row r="42" customFormat="false" ht="11.1" hidden="false" customHeight="true" outlineLevel="0" collapsed="false">
      <c r="A42" s="7" t="s">
        <v>46</v>
      </c>
      <c r="B42" s="7"/>
      <c r="C42" s="8"/>
      <c r="D42" s="8" t="n">
        <f aca="false">SUM(D10:D39)</f>
        <v>6379</v>
      </c>
      <c r="E42" s="8"/>
      <c r="F42" s="8" t="n">
        <f aca="false">F41*$D$2</f>
        <v>6379</v>
      </c>
      <c r="G42" s="8" t="n">
        <f aca="false">G41*$D$2</f>
        <v>7245.150285</v>
      </c>
      <c r="H42" s="8" t="n">
        <f aca="false">H41*$D$2</f>
        <v>235.44145</v>
      </c>
      <c r="I42" s="8" t="n">
        <f aca="false">I41*$D$2</f>
        <v>7082.106585</v>
      </c>
      <c r="J42" s="8" t="n">
        <f aca="false">J41*$D$2</f>
        <v>3189.58043</v>
      </c>
      <c r="K42" s="8" t="n">
        <f aca="false">K41*$D$2</f>
        <v>10271.687015</v>
      </c>
      <c r="L42" s="8" t="n">
        <f aca="false">L41*$D$2</f>
        <v>2558.283125</v>
      </c>
      <c r="M42" s="8" t="n">
        <f aca="false">M41*$D$2</f>
        <v>533.72018</v>
      </c>
      <c r="N42" s="8" t="n">
        <f aca="false">N41*$D$2</f>
        <v>123.1019605</v>
      </c>
      <c r="O42" s="8" t="n">
        <f aca="false">O41*$D$2</f>
        <v>410.6182195</v>
      </c>
      <c r="P42" s="8" t="n">
        <f aca="false">P41*$D$2</f>
        <v>206.422845</v>
      </c>
      <c r="Q42" s="8" t="n">
        <f aca="false">Q41*$D$2</f>
        <v>394.3198</v>
      </c>
      <c r="R42" s="8" t="n">
        <f aca="false">R41*$D$2</f>
        <v>1011.3608645</v>
      </c>
      <c r="S42" s="8"/>
      <c r="T42" s="8" t="n">
        <f aca="false">T41*$D$2</f>
        <v>0</v>
      </c>
      <c r="U42" s="8" t="n">
        <f aca="false">U41*$D$2</f>
        <v>2126.926885</v>
      </c>
      <c r="V42" s="8"/>
      <c r="W42" s="8" t="n">
        <f aca="false">W41*$D$2</f>
        <v>3261.38971</v>
      </c>
      <c r="X42" s="8" t="n">
        <f aca="false">X41*$D$2</f>
        <v>631.297305</v>
      </c>
      <c r="Y42" s="8" t="n">
        <f aca="false">Y41*$D$2</f>
        <v>3892.687015</v>
      </c>
      <c r="Z42" s="11"/>
      <c r="AA42" s="12" t="n">
        <f aca="false">MAX(AA10:AA39)</f>
        <v>66</v>
      </c>
      <c r="AB42" s="12" t="n">
        <f aca="false">MAX(AB10:AB39)</f>
        <v>42</v>
      </c>
      <c r="AC42" s="13" t="s">
        <v>47</v>
      </c>
      <c r="AD42" s="14"/>
      <c r="AE42" s="14"/>
    </row>
    <row r="43" customFormat="false" ht="3" hidden="false" customHeight="true" outlineLevel="0" collapsed="false">
      <c r="A43" s="35"/>
      <c r="B43" s="35"/>
      <c r="C43" s="37"/>
      <c r="D43" s="37"/>
      <c r="E43" s="37"/>
      <c r="F43" s="37"/>
      <c r="G43" s="37"/>
      <c r="H43" s="37"/>
      <c r="I43" s="37"/>
      <c r="J43" s="37"/>
      <c r="K43" s="37"/>
      <c r="L43" s="37"/>
      <c r="M43" s="37"/>
      <c r="N43" s="37"/>
      <c r="O43" s="37"/>
      <c r="P43" s="37"/>
      <c r="Q43" s="37"/>
      <c r="R43" s="37"/>
      <c r="S43" s="37"/>
      <c r="T43" s="37"/>
      <c r="U43" s="37"/>
      <c r="V43" s="35"/>
      <c r="W43" s="37"/>
      <c r="X43" s="37"/>
      <c r="Y43" s="37"/>
      <c r="Z43" s="11"/>
      <c r="AA43" s="12"/>
      <c r="AB43" s="12"/>
      <c r="AC43" s="13"/>
      <c r="AD43" s="14"/>
      <c r="AE43" s="14"/>
    </row>
    <row r="44" customFormat="false" ht="11.1" hidden="false" customHeight="true" outlineLevel="0" collapsed="false">
      <c r="A44" s="7" t="s">
        <v>48</v>
      </c>
      <c r="B44" s="7"/>
      <c r="C44" s="8"/>
      <c r="D44" s="8"/>
      <c r="E44" s="8"/>
      <c r="F44" s="8"/>
      <c r="G44" s="8"/>
      <c r="H44" s="12"/>
      <c r="I44" s="8"/>
      <c r="J44" s="8"/>
      <c r="K44" s="8"/>
      <c r="L44" s="8"/>
      <c r="M44" s="8"/>
      <c r="N44" s="8"/>
      <c r="O44" s="8"/>
      <c r="P44" s="8"/>
      <c r="Q44" s="8"/>
      <c r="R44" s="8"/>
      <c r="S44" s="8"/>
      <c r="T44" s="8"/>
      <c r="U44" s="8"/>
      <c r="V44" s="8"/>
      <c r="W44" s="8"/>
      <c r="X44" s="8"/>
      <c r="Y44" s="8"/>
      <c r="Z44" s="11"/>
      <c r="AA44" s="12" t="n">
        <f aca="false">MIN(AA10:AA39)</f>
        <v>32</v>
      </c>
      <c r="AB44" s="12" t="n">
        <f aca="false">MIN(AB10:AB39)</f>
        <v>14</v>
      </c>
      <c r="AC44" s="13" t="s">
        <v>49</v>
      </c>
      <c r="AD44" s="14"/>
      <c r="AE44" s="14"/>
    </row>
    <row r="45" customFormat="false" ht="11.1" hidden="false" customHeight="true" outlineLevel="0" collapsed="false">
      <c r="A45" s="7" t="s">
        <v>50</v>
      </c>
      <c r="B45" s="7"/>
      <c r="C45" s="8"/>
      <c r="D45" s="8"/>
      <c r="E45" s="8"/>
      <c r="F45" s="8"/>
      <c r="G45" s="8"/>
      <c r="H45" s="12"/>
      <c r="I45" s="8"/>
      <c r="J45" s="8"/>
      <c r="K45" s="8"/>
      <c r="L45" s="8"/>
      <c r="M45" s="8"/>
      <c r="N45" s="8"/>
      <c r="O45" s="8"/>
      <c r="P45" s="8"/>
      <c r="Q45" s="8"/>
      <c r="R45" s="8"/>
      <c r="S45" s="8"/>
      <c r="T45" s="8"/>
      <c r="U45" s="8"/>
      <c r="V45" s="8"/>
      <c r="W45" s="8"/>
      <c r="X45" s="8"/>
      <c r="Y45" s="8"/>
      <c r="Z45" s="11"/>
      <c r="AA45" s="12"/>
      <c r="AB45" s="12"/>
      <c r="AC45" s="13"/>
      <c r="AD45" s="14"/>
      <c r="AE45" s="14"/>
    </row>
    <row r="46" customFormat="false" ht="3" hidden="false" customHeight="true" outlineLevel="0" collapsed="false">
      <c r="A46" s="35"/>
      <c r="B46" s="35"/>
      <c r="C46" s="37"/>
      <c r="D46" s="37"/>
      <c r="E46" s="37"/>
      <c r="F46" s="37"/>
      <c r="G46" s="37"/>
      <c r="H46" s="40"/>
      <c r="I46" s="37"/>
      <c r="J46" s="37"/>
      <c r="K46" s="37"/>
      <c r="L46" s="37"/>
      <c r="M46" s="37"/>
      <c r="N46" s="37"/>
      <c r="O46" s="37"/>
      <c r="P46" s="37"/>
      <c r="Q46" s="37"/>
      <c r="R46" s="37"/>
      <c r="S46" s="37"/>
      <c r="T46" s="37"/>
      <c r="U46" s="37"/>
      <c r="V46" s="37"/>
      <c r="W46" s="37"/>
      <c r="X46" s="37"/>
      <c r="Y46" s="37"/>
      <c r="Z46" s="39"/>
      <c r="AA46" s="12"/>
      <c r="AB46" s="12"/>
      <c r="AC46" s="13"/>
      <c r="AD46" s="14"/>
      <c r="AE46" s="14"/>
    </row>
    <row r="47" customFormat="false" ht="11.1" hidden="false" customHeight="true" outlineLevel="0" collapsed="false">
      <c r="A47" s="7" t="s">
        <v>51</v>
      </c>
      <c r="B47" s="7"/>
      <c r="C47" s="8"/>
      <c r="D47" s="8"/>
      <c r="E47" s="8"/>
      <c r="F47" s="8" t="n">
        <f aca="false">F8+F41</f>
        <v>3216.03226619612</v>
      </c>
      <c r="G47" s="8" t="n">
        <f aca="false">G8+G41</f>
        <v>3652.71</v>
      </c>
      <c r="H47" s="12" t="n">
        <f aca="false">H8+H41</f>
        <v>118.7</v>
      </c>
      <c r="I47" s="8" t="n">
        <f aca="false">I8+I41</f>
        <v>3570.51</v>
      </c>
      <c r="J47" s="8" t="n">
        <f aca="false">J8+J41</f>
        <v>1608.05668263171</v>
      </c>
      <c r="K47" s="8" t="n">
        <f aca="false">K8+K41</f>
        <v>5178.56668263171</v>
      </c>
      <c r="L47" s="8" t="n">
        <f aca="false">L8+L41</f>
        <v>1289.78226619612</v>
      </c>
      <c r="M47" s="8" t="n">
        <f aca="false">M8+M41</f>
        <v>269.08</v>
      </c>
      <c r="N47" s="8"/>
      <c r="O47" s="8"/>
      <c r="P47" s="8" t="n">
        <f aca="false">P8+P41</f>
        <v>104.07</v>
      </c>
      <c r="Q47" s="8" t="n">
        <f aca="false">Q8+Q41</f>
        <v>198.8</v>
      </c>
      <c r="R47" s="8" t="n">
        <f aca="false">R8+R41</f>
        <v>509.887</v>
      </c>
      <c r="S47" s="8"/>
      <c r="T47" s="8" t="n">
        <f aca="false">T8+T41</f>
        <v>0</v>
      </c>
      <c r="U47" s="8" t="n">
        <f aca="false">U8+U41</f>
        <v>1072.31</v>
      </c>
      <c r="V47" s="8" t="n">
        <f aca="false">V39</f>
        <v>4162.01002268717</v>
      </c>
      <c r="W47" s="8" t="n">
        <f aca="false">W8+W41</f>
        <v>1644.26</v>
      </c>
      <c r="X47" s="8" t="n">
        <f aca="false">X8+X41</f>
        <v>318.274416435594</v>
      </c>
      <c r="Y47" s="8" t="n">
        <f aca="false">Y8+Y41</f>
        <v>1962.53441643559</v>
      </c>
      <c r="Z47" s="33" t="n">
        <f aca="false">Z8+Z41</f>
        <v>2.7</v>
      </c>
      <c r="AA47" s="12"/>
      <c r="AB47" s="12"/>
      <c r="AC47" s="13"/>
      <c r="AD47" s="14"/>
      <c r="AE47" s="14"/>
    </row>
    <row r="48" customFormat="false" ht="11.1" hidden="false" customHeight="true" outlineLevel="0" collapsed="false">
      <c r="A48" s="7" t="s">
        <v>52</v>
      </c>
      <c r="B48" s="7"/>
      <c r="C48" s="8"/>
      <c r="D48" s="8" t="n">
        <f aca="false">D8+D42</f>
        <v>6379</v>
      </c>
      <c r="E48" s="8" t="n">
        <f aca="false">E39</f>
        <v>100392</v>
      </c>
      <c r="F48" s="8" t="n">
        <f aca="false">F47*$D$2</f>
        <v>6379</v>
      </c>
      <c r="G48" s="8" t="n">
        <f aca="false">G47*$D$2</f>
        <v>7245.150285</v>
      </c>
      <c r="H48" s="12" t="n">
        <f aca="false">H47*$D$2</f>
        <v>235.44145</v>
      </c>
      <c r="I48" s="8" t="n">
        <f aca="false">I47*$D$2</f>
        <v>7082.106585</v>
      </c>
      <c r="J48" s="8" t="n">
        <f aca="false">J47*$D$2</f>
        <v>3189.58043</v>
      </c>
      <c r="K48" s="8" t="n">
        <f aca="false">K47*$D$2</f>
        <v>10271.687015</v>
      </c>
      <c r="L48" s="8" t="n">
        <f aca="false">L47*$D$2</f>
        <v>2558.283125</v>
      </c>
      <c r="M48" s="8" t="n">
        <f aca="false">M47*$D$2</f>
        <v>533.72018</v>
      </c>
      <c r="N48" s="8"/>
      <c r="O48" s="8"/>
      <c r="P48" s="8" t="n">
        <f aca="false">P47*$D$2</f>
        <v>206.422845</v>
      </c>
      <c r="Q48" s="8" t="n">
        <f aca="false">Q47*$D$2</f>
        <v>394.3198</v>
      </c>
      <c r="R48" s="8" t="n">
        <f aca="false">R47*$D$2</f>
        <v>1011.3608645</v>
      </c>
      <c r="S48" s="8" t="n">
        <f aca="false">S47*$D$2</f>
        <v>0</v>
      </c>
      <c r="T48" s="8" t="n">
        <f aca="false">T47*$D$2</f>
        <v>0</v>
      </c>
      <c r="U48" s="8" t="n">
        <f aca="false">U47*$D$2</f>
        <v>2126.926885</v>
      </c>
      <c r="V48" s="8" t="n">
        <f aca="false">V47*$D$2</f>
        <v>8255.34687999999</v>
      </c>
      <c r="W48" s="8" t="n">
        <f aca="false">W47*$D$2</f>
        <v>3261.38971</v>
      </c>
      <c r="X48" s="8" t="n">
        <f aca="false">X47*$D$2</f>
        <v>631.297305</v>
      </c>
      <c r="Y48" s="8" t="n">
        <f aca="false">Y47*$D$2</f>
        <v>3892.687015</v>
      </c>
      <c r="Z48" s="11"/>
      <c r="AA48" s="12"/>
      <c r="AB48" s="12"/>
      <c r="AC48" s="13"/>
      <c r="AD48" s="14"/>
      <c r="AE48" s="14"/>
    </row>
    <row r="49" customFormat="false" ht="11.1" hidden="false" customHeight="true" outlineLevel="0" collapsed="false">
      <c r="A49" s="35"/>
      <c r="B49" s="35"/>
      <c r="C49" s="37"/>
      <c r="D49" s="35"/>
      <c r="E49" s="37"/>
      <c r="F49" s="35"/>
      <c r="G49" s="35"/>
      <c r="H49" s="38"/>
      <c r="I49" s="35"/>
      <c r="J49" s="35"/>
      <c r="K49" s="35"/>
      <c r="L49" s="35"/>
      <c r="M49" s="35"/>
      <c r="N49" s="35"/>
      <c r="O49" s="35"/>
      <c r="P49" s="35"/>
      <c r="Q49" s="35"/>
      <c r="R49" s="35"/>
      <c r="S49" s="37"/>
      <c r="T49" s="35"/>
      <c r="U49" s="35"/>
      <c r="V49" s="37"/>
      <c r="W49" s="35"/>
      <c r="X49" s="35"/>
      <c r="Y49" s="35"/>
      <c r="Z49" s="11"/>
      <c r="AA49" s="12"/>
      <c r="AB49" s="12"/>
      <c r="AC49" s="13"/>
      <c r="AD49" s="14"/>
      <c r="AE49" s="14"/>
    </row>
    <row r="50" customFormat="false" ht="14.1" hidden="false" customHeight="true" outlineLevel="0" collapsed="false">
      <c r="A50" s="44"/>
      <c r="B50" s="45"/>
      <c r="C50" s="8"/>
      <c r="D50" s="7"/>
      <c r="E50" s="8"/>
      <c r="F50" s="7"/>
      <c r="G50" s="7"/>
      <c r="H50" s="9"/>
      <c r="I50" s="7"/>
      <c r="J50" s="7"/>
      <c r="K50" s="7"/>
      <c r="L50" s="7"/>
      <c r="M50" s="7"/>
      <c r="N50" s="7"/>
      <c r="O50" s="7"/>
      <c r="P50" s="7"/>
      <c r="Q50" s="7"/>
      <c r="R50" s="7"/>
      <c r="S50" s="8"/>
      <c r="T50" s="7"/>
      <c r="U50" s="7"/>
      <c r="V50" s="8"/>
      <c r="W50" s="7"/>
      <c r="X50" s="7"/>
      <c r="Y50" s="7"/>
      <c r="Z50" s="11"/>
      <c r="AA50" s="12"/>
      <c r="AB50" s="12"/>
      <c r="AC50" s="13"/>
      <c r="AD50" s="14"/>
      <c r="AE50" s="14"/>
    </row>
    <row r="51" customFormat="false" ht="11.1" hidden="false" customHeight="true" outlineLevel="0" collapsed="false">
      <c r="A51" s="7"/>
      <c r="B51" s="32"/>
      <c r="C51" s="8"/>
      <c r="D51" s="43"/>
      <c r="E51" s="8"/>
      <c r="F51" s="7"/>
      <c r="G51" s="7"/>
      <c r="H51" s="43"/>
      <c r="I51" s="9"/>
      <c r="J51" s="7"/>
      <c r="K51" s="46"/>
      <c r="L51" s="7"/>
      <c r="M51" s="7"/>
      <c r="N51" s="7"/>
      <c r="O51" s="7"/>
      <c r="P51" s="7"/>
      <c r="Q51" s="7"/>
      <c r="R51" s="7"/>
      <c r="S51" s="8"/>
      <c r="T51" s="7"/>
      <c r="U51" s="7"/>
      <c r="V51" s="8"/>
      <c r="W51" s="7"/>
      <c r="X51" s="7"/>
      <c r="Y51" s="7"/>
      <c r="Z51" s="11"/>
      <c r="AA51" s="12"/>
      <c r="AB51" s="12"/>
      <c r="AC51" s="13"/>
      <c r="AD51" s="14"/>
      <c r="AE51" s="14"/>
    </row>
    <row r="52" customFormat="false" ht="11.1" hidden="false" customHeight="true" outlineLevel="0" collapsed="false">
      <c r="B52" s="43"/>
      <c r="C52" s="8"/>
      <c r="D52" s="8"/>
      <c r="E52" s="8"/>
      <c r="F52" s="43"/>
      <c r="G52" s="43"/>
      <c r="H52" s="9"/>
      <c r="I52" s="43"/>
      <c r="J52" s="43"/>
      <c r="K52" s="43"/>
      <c r="L52" s="43"/>
      <c r="M52" s="33"/>
      <c r="N52" s="33"/>
      <c r="O52" s="33"/>
      <c r="P52" s="43"/>
      <c r="Q52" s="43"/>
      <c r="R52" s="43"/>
      <c r="S52" s="8"/>
      <c r="T52" s="43"/>
      <c r="U52" s="43"/>
      <c r="V52" s="8"/>
      <c r="W52" s="43"/>
      <c r="X52" s="43"/>
      <c r="Y52" s="43"/>
      <c r="Z52" s="11"/>
      <c r="AA52" s="12"/>
      <c r="AB52" s="12"/>
      <c r="AC52" s="13"/>
      <c r="AD52" s="47"/>
      <c r="AE52" s="47"/>
    </row>
    <row r="53" customFormat="false" ht="11.1" hidden="false" customHeight="true" outlineLevel="0" collapsed="false">
      <c r="A53" s="43"/>
      <c r="B53" s="11"/>
      <c r="C53" s="8"/>
      <c r="D53" s="8"/>
      <c r="E53" s="8"/>
      <c r="F53" s="43"/>
      <c r="G53" s="43"/>
      <c r="H53" s="9"/>
      <c r="I53" s="43"/>
      <c r="J53" s="43"/>
      <c r="K53" s="43"/>
      <c r="L53" s="43"/>
      <c r="M53" s="33"/>
      <c r="N53" s="33"/>
      <c r="O53" s="33"/>
      <c r="P53" s="43"/>
      <c r="Q53" s="43"/>
      <c r="R53" s="43"/>
      <c r="S53" s="8"/>
      <c r="T53" s="43"/>
      <c r="U53" s="43"/>
      <c r="V53" s="8"/>
      <c r="W53" s="43"/>
      <c r="X53" s="43"/>
      <c r="Y53" s="43"/>
      <c r="Z53" s="11"/>
      <c r="AA53" s="12"/>
      <c r="AB53" s="12"/>
      <c r="AC53" s="13"/>
      <c r="AD53" s="47"/>
      <c r="AE53" s="47"/>
    </row>
    <row r="54" customFormat="false" ht="11.1" hidden="false" customHeight="true" outlineLevel="0" collapsed="false">
      <c r="A54" s="43"/>
      <c r="B54" s="43"/>
      <c r="C54" s="8"/>
      <c r="D54" s="43"/>
      <c r="E54" s="8"/>
      <c r="F54" s="43"/>
      <c r="G54" s="48"/>
      <c r="H54" s="9"/>
      <c r="I54" s="43"/>
      <c r="J54" s="43"/>
      <c r="K54" s="43"/>
      <c r="L54" s="43"/>
      <c r="M54" s="33"/>
      <c r="N54" s="33"/>
      <c r="O54" s="33"/>
      <c r="P54" s="43"/>
      <c r="Q54" s="43"/>
      <c r="R54" s="43"/>
      <c r="S54" s="8"/>
      <c r="T54" s="43"/>
      <c r="U54" s="43"/>
      <c r="V54" s="8"/>
      <c r="W54" s="43"/>
      <c r="X54" s="43"/>
      <c r="Y54" s="43"/>
      <c r="Z54" s="11"/>
      <c r="AA54" s="12"/>
      <c r="AB54" s="12"/>
      <c r="AC54" s="13"/>
      <c r="AD54" s="47"/>
      <c r="AE54" s="47"/>
    </row>
  </sheetData>
  <mergeCells count="1">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5"/>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U32" activeCellId="0" sqref="U32"/>
    </sheetView>
  </sheetViews>
  <sheetFormatPr defaultColWidth="9.328125" defaultRowHeight="11.1" zeroHeight="false" outlineLevelRow="0" outlineLevelCol="0"/>
  <cols>
    <col collapsed="false" customWidth="true" hidden="false" outlineLevel="0" max="1" min="1" style="49" width="5.66"/>
    <col collapsed="false" customWidth="false" hidden="false" outlineLevel="0" max="2" min="2" style="49" width="9.32"/>
    <col collapsed="false" customWidth="true" hidden="false" outlineLevel="0" max="3" min="3" style="50" width="7.66"/>
    <col collapsed="false" customWidth="true" hidden="false" outlineLevel="0" max="4" min="4" style="49" width="6.82"/>
    <col collapsed="false" customWidth="true" hidden="false" outlineLevel="0" max="5" min="5" style="50" width="7.66"/>
    <col collapsed="false" customWidth="true" hidden="false" outlineLevel="0" max="7" min="6" style="49" width="7.66"/>
    <col collapsed="false" customWidth="true" hidden="false" outlineLevel="0" max="8" min="8" style="51" width="7.16"/>
    <col collapsed="false" customWidth="true" hidden="false" outlineLevel="0" max="9" min="9" style="49" width="8.82"/>
    <col collapsed="false" customWidth="true" hidden="false" outlineLevel="0" max="11" min="10" style="49" width="7.66"/>
    <col collapsed="false" customWidth="true" hidden="false" outlineLevel="0" max="12" min="12" style="49" width="6.49"/>
    <col collapsed="false" customWidth="true" hidden="false" outlineLevel="0" max="15" min="13" style="52" width="7.49"/>
    <col collapsed="false" customWidth="true" hidden="false" outlineLevel="0" max="16" min="16" style="49" width="7.66"/>
    <col collapsed="false" customWidth="true" hidden="false" outlineLevel="0" max="17" min="17" style="49" width="7.16"/>
    <col collapsed="false" customWidth="true" hidden="false" outlineLevel="0" max="18" min="18" style="49" width="6.66"/>
    <col collapsed="false" customWidth="true" hidden="false" outlineLevel="0" max="19" min="19" style="50" width="6.66"/>
    <col collapsed="false" customWidth="true" hidden="false" outlineLevel="0" max="20" min="20" style="49" width="5.82"/>
    <col collapsed="false" customWidth="true" hidden="false" outlineLevel="0" max="21" min="21" style="49" width="7.49"/>
    <col collapsed="false" customWidth="true" hidden="false" outlineLevel="0" max="22" min="22" style="50" width="6.32"/>
    <col collapsed="false" customWidth="true" hidden="false" outlineLevel="0" max="25" min="23" style="49" width="7.82"/>
    <col collapsed="false" customWidth="true" hidden="false" outlineLevel="0" max="26" min="26" style="53" width="5.66"/>
    <col collapsed="false" customWidth="true" hidden="false" outlineLevel="0" max="28" min="27" style="54" width="5.66"/>
    <col collapsed="false" customWidth="true" hidden="false" outlineLevel="0" max="29" min="29" style="55" width="5.66"/>
    <col collapsed="false" customWidth="false" hidden="false" outlineLevel="0" max="257" min="30" style="49" width="9.32"/>
  </cols>
  <sheetData>
    <row r="1" customFormat="false" ht="14.1" hidden="false" customHeight="true" outlineLevel="0" collapsed="false">
      <c r="A1" s="56"/>
      <c r="B1" s="56"/>
      <c r="C1" s="57"/>
      <c r="D1" s="56"/>
      <c r="E1" s="57"/>
      <c r="F1" s="56"/>
      <c r="G1" s="56"/>
      <c r="H1" s="58"/>
      <c r="I1" s="56"/>
      <c r="J1" s="56"/>
      <c r="K1" s="59" t="s">
        <v>0</v>
      </c>
      <c r="L1" s="56"/>
      <c r="M1" s="56"/>
      <c r="N1" s="56"/>
      <c r="O1" s="56"/>
      <c r="P1" s="56"/>
      <c r="Q1" s="56"/>
      <c r="R1" s="56"/>
      <c r="S1" s="57"/>
      <c r="T1" s="56"/>
      <c r="U1" s="56"/>
      <c r="V1" s="57"/>
      <c r="W1" s="56"/>
      <c r="X1" s="56"/>
      <c r="Y1" s="56"/>
      <c r="Z1" s="60"/>
      <c r="AA1" s="61"/>
      <c r="AB1" s="61"/>
      <c r="AC1" s="62"/>
      <c r="AD1" s="63"/>
      <c r="AE1" s="63"/>
    </row>
    <row r="2" customFormat="false" ht="14.1" hidden="false" customHeight="true" outlineLevel="0" collapsed="false">
      <c r="A2" s="56" t="s">
        <v>1</v>
      </c>
      <c r="B2" s="56"/>
      <c r="C2" s="57"/>
      <c r="D2" s="64" t="n">
        <v>1.9835</v>
      </c>
      <c r="E2" s="57"/>
      <c r="F2" s="56"/>
      <c r="G2" s="56"/>
      <c r="H2" s="58"/>
      <c r="I2" s="56"/>
      <c r="J2" s="56"/>
      <c r="K2" s="65" t="s">
        <v>53</v>
      </c>
      <c r="L2" s="65"/>
      <c r="M2" s="65"/>
      <c r="N2" s="65"/>
      <c r="O2" s="65"/>
      <c r="P2" s="65"/>
      <c r="Q2" s="65"/>
      <c r="R2" s="65"/>
      <c r="S2" s="65"/>
      <c r="T2" s="65"/>
      <c r="U2" s="56"/>
      <c r="V2" s="57"/>
      <c r="W2" s="56"/>
      <c r="X2" s="56"/>
      <c r="Y2" s="56"/>
      <c r="Z2" s="60"/>
      <c r="AA2" s="61"/>
      <c r="AB2" s="61"/>
      <c r="AC2" s="62"/>
      <c r="AD2" s="63"/>
      <c r="AE2" s="63"/>
    </row>
    <row r="3" customFormat="false" ht="11.1" hidden="false" customHeight="true" outlineLevel="0" collapsed="false">
      <c r="A3" s="56"/>
      <c r="B3" s="56"/>
      <c r="C3" s="57"/>
      <c r="D3" s="66"/>
      <c r="E3" s="57"/>
      <c r="F3" s="56"/>
      <c r="G3" s="56"/>
      <c r="H3" s="58"/>
      <c r="I3" s="56"/>
      <c r="J3" s="56"/>
      <c r="K3" s="56"/>
      <c r="L3" s="56"/>
      <c r="M3" s="56"/>
      <c r="N3" s="56"/>
      <c r="O3" s="56"/>
      <c r="P3" s="56"/>
      <c r="Q3" s="56"/>
      <c r="R3" s="56"/>
      <c r="S3" s="57"/>
      <c r="T3" s="56"/>
      <c r="U3" s="56"/>
      <c r="V3" s="57"/>
      <c r="W3" s="56"/>
      <c r="X3" s="56"/>
      <c r="Y3" s="56"/>
      <c r="Z3" s="60"/>
      <c r="AA3" s="61"/>
      <c r="AB3" s="61"/>
      <c r="AC3" s="62"/>
      <c r="AD3" s="63"/>
      <c r="AE3" s="63"/>
    </row>
    <row r="4" customFormat="false" ht="11.1" hidden="false" customHeight="true" outlineLevel="0" collapsed="false">
      <c r="A4" s="67" t="s">
        <v>3</v>
      </c>
      <c r="B4" s="67" t="s">
        <v>4</v>
      </c>
      <c r="C4" s="68" t="s">
        <v>4</v>
      </c>
      <c r="D4" s="67" t="s">
        <v>5</v>
      </c>
      <c r="E4" s="68" t="s">
        <v>6</v>
      </c>
      <c r="F4" s="67" t="s">
        <v>7</v>
      </c>
      <c r="G4" s="67" t="s">
        <v>8</v>
      </c>
      <c r="H4" s="69" t="s">
        <v>9</v>
      </c>
      <c r="I4" s="67" t="s">
        <v>10</v>
      </c>
      <c r="J4" s="67" t="s">
        <v>11</v>
      </c>
      <c r="K4" s="67" t="s">
        <v>12</v>
      </c>
      <c r="L4" s="67" t="s">
        <v>11</v>
      </c>
      <c r="M4" s="67" t="s">
        <v>13</v>
      </c>
      <c r="N4" s="67"/>
      <c r="O4" s="67"/>
      <c r="P4" s="67" t="s">
        <v>14</v>
      </c>
      <c r="Q4" s="67" t="s">
        <v>15</v>
      </c>
      <c r="R4" s="67" t="s">
        <v>12</v>
      </c>
      <c r="S4" s="68" t="s">
        <v>16</v>
      </c>
      <c r="T4" s="67" t="s">
        <v>17</v>
      </c>
      <c r="U4" s="67" t="s">
        <v>18</v>
      </c>
      <c r="V4" s="68" t="s">
        <v>19</v>
      </c>
      <c r="W4" s="67" t="s">
        <v>10</v>
      </c>
      <c r="X4" s="67" t="s">
        <v>11</v>
      </c>
      <c r="Y4" s="67" t="s">
        <v>12</v>
      </c>
      <c r="Z4" s="70" t="s">
        <v>20</v>
      </c>
      <c r="AA4" s="71" t="s">
        <v>21</v>
      </c>
      <c r="AB4" s="71" t="s">
        <v>22</v>
      </c>
      <c r="AC4" s="71" t="s">
        <v>3</v>
      </c>
      <c r="AD4" s="63"/>
      <c r="AE4" s="63"/>
    </row>
    <row r="5" customFormat="false" ht="11.1" hidden="false" customHeight="true" outlineLevel="0" collapsed="false">
      <c r="A5" s="72" t="s">
        <v>54</v>
      </c>
      <c r="B5" s="67" t="s">
        <v>24</v>
      </c>
      <c r="C5" s="68" t="s">
        <v>5</v>
      </c>
      <c r="D5" s="67" t="s">
        <v>25</v>
      </c>
      <c r="E5" s="68" t="s">
        <v>26</v>
      </c>
      <c r="F5" s="67" t="s">
        <v>27</v>
      </c>
      <c r="G5" s="67" t="s">
        <v>28</v>
      </c>
      <c r="H5" s="69" t="s">
        <v>29</v>
      </c>
      <c r="I5" s="67" t="s">
        <v>30</v>
      </c>
      <c r="J5" s="67" t="s">
        <v>30</v>
      </c>
      <c r="K5" s="67" t="s">
        <v>30</v>
      </c>
      <c r="L5" s="67" t="s">
        <v>31</v>
      </c>
      <c r="M5" s="67" t="s">
        <v>32</v>
      </c>
      <c r="N5" s="67" t="s">
        <v>33</v>
      </c>
      <c r="O5" s="67" t="s">
        <v>55</v>
      </c>
      <c r="P5" s="67" t="s">
        <v>35</v>
      </c>
      <c r="Q5" s="67" t="s">
        <v>36</v>
      </c>
      <c r="R5" s="67" t="s">
        <v>16</v>
      </c>
      <c r="S5" s="68" t="s">
        <v>37</v>
      </c>
      <c r="T5" s="67" t="s">
        <v>38</v>
      </c>
      <c r="U5" s="67" t="s">
        <v>39</v>
      </c>
      <c r="V5" s="68" t="s">
        <v>40</v>
      </c>
      <c r="W5" s="67" t="s">
        <v>41</v>
      </c>
      <c r="X5" s="67" t="s">
        <v>41</v>
      </c>
      <c r="Y5" s="67" t="s">
        <v>41</v>
      </c>
      <c r="Z5" s="73"/>
      <c r="AA5" s="71" t="s">
        <v>42</v>
      </c>
      <c r="AB5" s="71" t="s">
        <v>42</v>
      </c>
      <c r="AC5" s="74" t="s">
        <v>54</v>
      </c>
      <c r="AD5" s="63"/>
      <c r="AE5" s="63"/>
    </row>
    <row r="6" customFormat="false" ht="11.1" hidden="false" customHeight="true" outlineLevel="0" collapsed="false">
      <c r="A6" s="75"/>
      <c r="B6" s="75"/>
      <c r="C6" s="76"/>
      <c r="D6" s="75"/>
      <c r="E6" s="76"/>
      <c r="F6" s="75"/>
      <c r="G6" s="75"/>
      <c r="H6" s="77"/>
      <c r="I6" s="75"/>
      <c r="J6" s="75"/>
      <c r="K6" s="75"/>
      <c r="L6" s="75"/>
      <c r="M6" s="75"/>
      <c r="N6" s="75"/>
      <c r="O6" s="75"/>
      <c r="P6" s="75"/>
      <c r="Q6" s="75"/>
      <c r="R6" s="75"/>
      <c r="S6" s="76"/>
      <c r="T6" s="75"/>
      <c r="U6" s="75"/>
      <c r="V6" s="76"/>
      <c r="W6" s="75"/>
      <c r="X6" s="75"/>
      <c r="Y6" s="75"/>
      <c r="Z6" s="60"/>
      <c r="AA6" s="62"/>
      <c r="AB6" s="62"/>
      <c r="AC6" s="62"/>
      <c r="AD6" s="78" t="n">
        <v>741</v>
      </c>
      <c r="AE6" s="78" t="n">
        <v>742</v>
      </c>
      <c r="AF6" s="79"/>
    </row>
    <row r="7" customFormat="false" ht="11.1" hidden="false" customHeight="true" outlineLevel="0" collapsed="false">
      <c r="A7" s="56" t="s">
        <v>43</v>
      </c>
      <c r="B7" s="56"/>
      <c r="C7" s="57"/>
      <c r="D7" s="57"/>
      <c r="E7" s="57"/>
      <c r="F7" s="57"/>
      <c r="G7" s="57"/>
      <c r="H7" s="61"/>
      <c r="I7" s="57"/>
      <c r="J7" s="57"/>
      <c r="K7" s="57"/>
      <c r="L7" s="57"/>
      <c r="M7" s="57"/>
      <c r="N7" s="57"/>
      <c r="O7" s="57"/>
      <c r="P7" s="57"/>
      <c r="Q7" s="57"/>
      <c r="R7" s="57"/>
      <c r="S7" s="57"/>
      <c r="T7" s="57"/>
      <c r="U7" s="57"/>
      <c r="V7" s="57"/>
      <c r="W7" s="57"/>
      <c r="X7" s="57"/>
      <c r="Y7" s="57"/>
      <c r="Z7" s="60"/>
      <c r="AA7" s="61"/>
      <c r="AB7" s="61"/>
      <c r="AC7" s="62"/>
      <c r="AD7" s="78"/>
      <c r="AE7" s="79"/>
      <c r="AF7" s="79"/>
    </row>
    <row r="8" s="50" customFormat="true" ht="11.1" hidden="false" customHeight="true" outlineLevel="0" collapsed="false">
      <c r="A8" s="57" t="s">
        <v>44</v>
      </c>
      <c r="B8" s="80" t="n">
        <f aca="false" t="array" ref="B8:C8">NOV!$B$39:$C$39</f>
        <v>6891.24</v>
      </c>
      <c r="C8" s="57" t="n">
        <v>252392</v>
      </c>
      <c r="D8" s="57" t="n">
        <f aca="false" t="array" ref="D8:E8">NOV!$D$48:$E$48</f>
        <v>6379</v>
      </c>
      <c r="E8" s="57" t="n">
        <v>100392</v>
      </c>
      <c r="F8" s="57" t="n">
        <f aca="false" t="array" ref="F8:Z8">NOV!$F$47:$Z$47</f>
        <v>3216.03226619612</v>
      </c>
      <c r="G8" s="57" t="n">
        <v>3652.71</v>
      </c>
      <c r="H8" s="61" t="n">
        <v>118.7</v>
      </c>
      <c r="I8" s="57" t="n">
        <v>3570.51</v>
      </c>
      <c r="J8" s="57" t="n">
        <v>1608.05668263171</v>
      </c>
      <c r="K8" s="57" t="n">
        <v>5178.56668263171</v>
      </c>
      <c r="L8" s="57" t="n">
        <v>1289.78226619612</v>
      </c>
      <c r="M8" s="57" t="n">
        <v>269.08</v>
      </c>
      <c r="N8" s="57" t="n">
        <v>0</v>
      </c>
      <c r="O8" s="57" t="n">
        <v>0</v>
      </c>
      <c r="P8" s="57" t="n">
        <v>104.07</v>
      </c>
      <c r="Q8" s="57" t="n">
        <v>198.8</v>
      </c>
      <c r="R8" s="57" t="n">
        <v>509.887</v>
      </c>
      <c r="S8" s="57" t="n">
        <v>0</v>
      </c>
      <c r="T8" s="57" t="n">
        <v>0</v>
      </c>
      <c r="U8" s="57" t="n">
        <v>1072.31</v>
      </c>
      <c r="V8" s="57" t="n">
        <v>4162.01002268717</v>
      </c>
      <c r="W8" s="57" t="n">
        <v>1644.26</v>
      </c>
      <c r="X8" s="57" t="n">
        <v>318.274416435594</v>
      </c>
      <c r="Y8" s="57" t="n">
        <v>1962.53441643559</v>
      </c>
      <c r="Z8" s="81" t="n">
        <v>2.7</v>
      </c>
      <c r="AA8" s="61"/>
      <c r="AB8" s="61"/>
      <c r="AC8" s="62"/>
      <c r="AD8" s="82" t="n">
        <v>285</v>
      </c>
      <c r="AE8" s="78" t="n">
        <v>251</v>
      </c>
      <c r="AF8" s="82" t="n">
        <v>1207.63</v>
      </c>
    </row>
    <row r="9" customFormat="false" ht="3" hidden="false" customHeight="true" outlineLevel="0" collapsed="false">
      <c r="A9" s="83"/>
      <c r="B9" s="84"/>
      <c r="C9" s="85"/>
      <c r="D9" s="83"/>
      <c r="E9" s="85"/>
      <c r="F9" s="83"/>
      <c r="G9" s="83"/>
      <c r="H9" s="86"/>
      <c r="I9" s="83"/>
      <c r="J9" s="83"/>
      <c r="K9" s="83"/>
      <c r="L9" s="83"/>
      <c r="M9" s="83"/>
      <c r="N9" s="83"/>
      <c r="O9" s="83"/>
      <c r="P9" s="83"/>
      <c r="Q9" s="83"/>
      <c r="R9" s="83"/>
      <c r="S9" s="85"/>
      <c r="T9" s="83"/>
      <c r="U9" s="83"/>
      <c r="V9" s="85"/>
      <c r="W9" s="83"/>
      <c r="X9" s="83"/>
      <c r="Y9" s="83"/>
      <c r="Z9" s="87"/>
      <c r="AA9" s="88"/>
      <c r="AB9" s="88"/>
      <c r="AC9" s="89"/>
      <c r="AD9" s="78"/>
      <c r="AE9" s="78"/>
      <c r="AF9" s="79"/>
    </row>
    <row r="10" customFormat="false" ht="11.1" hidden="false" customHeight="true" outlineLevel="0" collapsed="false">
      <c r="A10" s="62" t="n">
        <v>1</v>
      </c>
      <c r="B10" s="80" t="n">
        <v>6891.24</v>
      </c>
      <c r="C10" s="57" t="n">
        <v>252392</v>
      </c>
      <c r="D10" s="61" t="n">
        <f aca="false">C10-C8</f>
        <v>0</v>
      </c>
      <c r="E10" s="57" t="n">
        <f aca="false">C10-152000</f>
        <v>100392</v>
      </c>
      <c r="F10" s="56" t="n">
        <f aca="false">D10/$D$2</f>
        <v>0</v>
      </c>
      <c r="G10" s="56" t="n">
        <v>114.58</v>
      </c>
      <c r="H10" s="58" t="n">
        <v>0</v>
      </c>
      <c r="I10" s="56" t="n">
        <f aca="false">G10+H10</f>
        <v>114.58</v>
      </c>
      <c r="J10" s="81" t="n">
        <f aca="false">IF(L10&gt;0,L10,0)</f>
        <v>0</v>
      </c>
      <c r="K10" s="56" t="n">
        <f aca="false">I10+J10</f>
        <v>114.58</v>
      </c>
      <c r="L10" s="56" t="n">
        <f aca="false">F10-(I10-W10)</f>
        <v>-77.19</v>
      </c>
      <c r="M10" s="56" t="n">
        <v>3.39</v>
      </c>
      <c r="N10" s="56" t="n">
        <v>0</v>
      </c>
      <c r="O10" s="56" t="n">
        <f aca="false">M10-N10</f>
        <v>3.39</v>
      </c>
      <c r="P10" s="56" t="n">
        <v>0</v>
      </c>
      <c r="Q10" s="56" t="n">
        <v>0</v>
      </c>
      <c r="R10" s="56" t="n">
        <f aca="false">SUM(O10:Q10)</f>
        <v>3.39</v>
      </c>
      <c r="S10" s="57"/>
      <c r="T10" s="56" t="n">
        <v>0</v>
      </c>
      <c r="U10" s="56" t="n">
        <v>34</v>
      </c>
      <c r="V10" s="57" t="n">
        <f aca="false">V8-U10</f>
        <v>4128.01002268717</v>
      </c>
      <c r="W10" s="56" t="n">
        <f aca="false">R10+T10+N10+U10</f>
        <v>37.39</v>
      </c>
      <c r="X10" s="56" t="n">
        <f aca="false">IF(L10&lt;0,L10*-1,0)</f>
        <v>77.19</v>
      </c>
      <c r="Y10" s="56" t="n">
        <f aca="false">W10+X10</f>
        <v>114.58</v>
      </c>
      <c r="Z10" s="60" t="n">
        <v>0</v>
      </c>
      <c r="AA10" s="61" t="n">
        <v>38</v>
      </c>
      <c r="AB10" s="61" t="n">
        <v>2</v>
      </c>
      <c r="AC10" s="62" t="n">
        <v>1</v>
      </c>
      <c r="AD10" s="79" t="n">
        <v>303</v>
      </c>
      <c r="AE10" s="82" t="n">
        <v>273</v>
      </c>
      <c r="AF10" s="79" t="n">
        <v>1256.86</v>
      </c>
    </row>
    <row r="11" customFormat="false" ht="11.1" hidden="false" customHeight="true" outlineLevel="0" collapsed="false">
      <c r="A11" s="62" t="n">
        <f aca="false">A10+1</f>
        <v>2</v>
      </c>
      <c r="B11" s="80" t="n">
        <v>6891.29</v>
      </c>
      <c r="C11" s="57" t="n">
        <v>252565</v>
      </c>
      <c r="D11" s="61" t="n">
        <f aca="false">C11-C10</f>
        <v>173</v>
      </c>
      <c r="E11" s="57" t="n">
        <f aca="false">C11-152000</f>
        <v>100565</v>
      </c>
      <c r="F11" s="56" t="n">
        <f aca="false">D11/$D$2</f>
        <v>87.2195613813965</v>
      </c>
      <c r="G11" s="56" t="n">
        <v>127.61</v>
      </c>
      <c r="H11" s="58" t="n">
        <v>0</v>
      </c>
      <c r="I11" s="56" t="n">
        <f aca="false">G11+H11</f>
        <v>127.61</v>
      </c>
      <c r="J11" s="81" t="n">
        <f aca="false">IF(L11&gt;0,L11,0)</f>
        <v>0</v>
      </c>
      <c r="K11" s="56" t="n">
        <f aca="false">I11+J11</f>
        <v>127.61</v>
      </c>
      <c r="L11" s="56" t="n">
        <f aca="false">F11-(I11-W11)</f>
        <v>-3.00043861860348</v>
      </c>
      <c r="M11" s="56" t="n">
        <v>3.39</v>
      </c>
      <c r="N11" s="56" t="n">
        <v>0</v>
      </c>
      <c r="O11" s="56" t="n">
        <f aca="false">M11-N11</f>
        <v>3.39</v>
      </c>
      <c r="P11" s="56" t="n">
        <v>0</v>
      </c>
      <c r="Q11" s="56" t="n">
        <v>0</v>
      </c>
      <c r="R11" s="56" t="n">
        <f aca="false">SUM(O11:Q11)</f>
        <v>3.39</v>
      </c>
      <c r="S11" s="57"/>
      <c r="T11" s="56" t="n">
        <v>0</v>
      </c>
      <c r="U11" s="56" t="n">
        <v>34</v>
      </c>
      <c r="V11" s="57" t="n">
        <f aca="false">V10-U11</f>
        <v>4094.01002268717</v>
      </c>
      <c r="W11" s="56" t="n">
        <f aca="false">R11+T11+N11+U11</f>
        <v>37.39</v>
      </c>
      <c r="X11" s="56" t="n">
        <f aca="false">IF(L11&lt;0,L11*-1,0)</f>
        <v>3.00043861860348</v>
      </c>
      <c r="Y11" s="56" t="n">
        <f aca="false">W11+X11</f>
        <v>40.3904386186035</v>
      </c>
      <c r="Z11" s="60" t="n">
        <v>0</v>
      </c>
      <c r="AA11" s="61" t="n">
        <v>30</v>
      </c>
      <c r="AB11" s="61" t="n">
        <v>14</v>
      </c>
      <c r="AC11" s="62" t="n">
        <f aca="false">AC10+1</f>
        <v>2</v>
      </c>
      <c r="AD11" s="79" t="n">
        <v>306</v>
      </c>
      <c r="AE11" s="82" t="n">
        <v>300</v>
      </c>
      <c r="AF11" s="79" t="n">
        <v>1306.42</v>
      </c>
    </row>
    <row r="12" customFormat="false" ht="11.1" hidden="false" customHeight="true" outlineLevel="0" collapsed="false">
      <c r="A12" s="62" t="n">
        <f aca="false">A11+1</f>
        <v>3</v>
      </c>
      <c r="B12" s="80" t="n">
        <v>6891.29</v>
      </c>
      <c r="C12" s="57" t="n">
        <v>252565</v>
      </c>
      <c r="D12" s="61" t="n">
        <f aca="false">C12-C11</f>
        <v>0</v>
      </c>
      <c r="E12" s="57" t="n">
        <f aca="false">C12-152000</f>
        <v>100565</v>
      </c>
      <c r="F12" s="56" t="n">
        <f aca="false">D12/$D$2</f>
        <v>0</v>
      </c>
      <c r="G12" s="56" t="n">
        <v>115.71</v>
      </c>
      <c r="H12" s="58" t="n">
        <v>0</v>
      </c>
      <c r="I12" s="56" t="n">
        <f aca="false">G12+H12</f>
        <v>115.71</v>
      </c>
      <c r="J12" s="81" t="n">
        <f aca="false">IF(L12&gt;0,L12,0)</f>
        <v>0</v>
      </c>
      <c r="K12" s="56" t="n">
        <f aca="false">I12+J12</f>
        <v>115.71</v>
      </c>
      <c r="L12" s="56" t="n">
        <f aca="false">F12-(I12-W12)</f>
        <v>-78.08</v>
      </c>
      <c r="M12" s="56" t="n">
        <v>3.39</v>
      </c>
      <c r="N12" s="56" t="n">
        <v>0</v>
      </c>
      <c r="O12" s="56" t="n">
        <f aca="false">M12-N12</f>
        <v>3.39</v>
      </c>
      <c r="P12" s="56" t="n">
        <v>0</v>
      </c>
      <c r="Q12" s="56" t="n">
        <v>0</v>
      </c>
      <c r="R12" s="56" t="n">
        <f aca="false">SUM(O12:Q12)</f>
        <v>3.39</v>
      </c>
      <c r="S12" s="57"/>
      <c r="T12" s="56" t="n">
        <v>0</v>
      </c>
      <c r="U12" s="56" t="n">
        <v>34.24</v>
      </c>
      <c r="V12" s="57" t="n">
        <f aca="false">V11-U12</f>
        <v>4059.77002268717</v>
      </c>
      <c r="W12" s="56" t="n">
        <f aca="false">R12+T12+N12+U12</f>
        <v>37.63</v>
      </c>
      <c r="X12" s="56" t="n">
        <f aca="false">IF(L12&lt;0,L12*-1,0)</f>
        <v>78.08</v>
      </c>
      <c r="Y12" s="56" t="n">
        <f aca="false">W12+X12</f>
        <v>115.71</v>
      </c>
      <c r="Z12" s="60" t="n">
        <v>0</v>
      </c>
      <c r="AA12" s="61" t="n">
        <v>34</v>
      </c>
      <c r="AB12" s="61" t="n">
        <v>6</v>
      </c>
      <c r="AC12" s="62" t="n">
        <f aca="false">AC11+1</f>
        <v>3</v>
      </c>
      <c r="AD12" s="79" t="n">
        <v>316</v>
      </c>
      <c r="AE12" s="82" t="n">
        <v>341</v>
      </c>
      <c r="AF12" s="79" t="n">
        <v>1355.74</v>
      </c>
    </row>
    <row r="13" customFormat="false" ht="11.1" hidden="false" customHeight="true" outlineLevel="0" collapsed="false">
      <c r="A13" s="62" t="n">
        <f aca="false">A12+1</f>
        <v>4</v>
      </c>
      <c r="B13" s="80" t="n">
        <v>6891.33</v>
      </c>
      <c r="C13" s="57" t="n">
        <v>252702</v>
      </c>
      <c r="D13" s="61" t="n">
        <f aca="false">C13-C12</f>
        <v>137</v>
      </c>
      <c r="E13" s="57" t="n">
        <f aca="false">C13-152000</f>
        <v>100702</v>
      </c>
      <c r="F13" s="56" t="n">
        <f aca="false">D13/$D$2</f>
        <v>69.0698260650366</v>
      </c>
      <c r="G13" s="56" t="n">
        <v>117.67</v>
      </c>
      <c r="H13" s="58" t="n">
        <v>0</v>
      </c>
      <c r="I13" s="56" t="n">
        <f aca="false">G13+H13</f>
        <v>117.67</v>
      </c>
      <c r="J13" s="81" t="n">
        <f aca="false">IF(L13&gt;0,L13,0)</f>
        <v>0</v>
      </c>
      <c r="K13" s="56" t="n">
        <f aca="false">I13+J13</f>
        <v>117.67</v>
      </c>
      <c r="L13" s="56" t="n">
        <f aca="false">F13-(I13-W13)</f>
        <v>-10.2101739349635</v>
      </c>
      <c r="M13" s="56" t="n">
        <v>3.39</v>
      </c>
      <c r="N13" s="56" t="n">
        <v>0</v>
      </c>
      <c r="O13" s="56" t="n">
        <f aca="false">M13-N13</f>
        <v>3.39</v>
      </c>
      <c r="P13" s="56" t="n">
        <v>0</v>
      </c>
      <c r="Q13" s="56" t="n">
        <v>0</v>
      </c>
      <c r="R13" s="56" t="n">
        <f aca="false">SUM(O13:Q13)</f>
        <v>3.39</v>
      </c>
      <c r="S13" s="57"/>
      <c r="T13" s="56" t="n">
        <v>0</v>
      </c>
      <c r="U13" s="56" t="n">
        <v>35</v>
      </c>
      <c r="V13" s="57" t="n">
        <f aca="false">V12-U13</f>
        <v>4024.77002268717</v>
      </c>
      <c r="W13" s="56" t="n">
        <f aca="false">R13+T13+N13+U13</f>
        <v>38.39</v>
      </c>
      <c r="X13" s="56" t="n">
        <f aca="false">IF(L13&lt;0,L13*-1,0)</f>
        <v>10.2101739349635</v>
      </c>
      <c r="Y13" s="56" t="n">
        <f aca="false">W13+X13</f>
        <v>48.6001739349635</v>
      </c>
      <c r="Z13" s="60" t="n">
        <v>0</v>
      </c>
      <c r="AA13" s="61" t="n">
        <v>35</v>
      </c>
      <c r="AB13" s="61" t="n">
        <v>14</v>
      </c>
      <c r="AC13" s="62" t="n">
        <f aca="false">AC12+1</f>
        <v>4</v>
      </c>
      <c r="AD13" s="79" t="n">
        <v>316</v>
      </c>
      <c r="AE13" s="82" t="n">
        <v>395</v>
      </c>
      <c r="AF13" s="79" t="n">
        <v>1405.31</v>
      </c>
    </row>
    <row r="14" customFormat="false" ht="11.1" hidden="false" customHeight="true" outlineLevel="0" collapsed="false">
      <c r="A14" s="62" t="n">
        <f aca="false">A13+1</f>
        <v>5</v>
      </c>
      <c r="B14" s="80" t="n">
        <v>6891.34</v>
      </c>
      <c r="C14" s="57" t="n">
        <v>252736</v>
      </c>
      <c r="D14" s="61" t="n">
        <f aca="false">C14-C13</f>
        <v>34</v>
      </c>
      <c r="E14" s="57" t="n">
        <f aca="false">C14-152000</f>
        <v>100736</v>
      </c>
      <c r="F14" s="56" t="n">
        <f aca="false">D14/$D$2</f>
        <v>17.1414166876733</v>
      </c>
      <c r="G14" s="56" t="n">
        <v>126.55</v>
      </c>
      <c r="H14" s="58" t="n">
        <v>0</v>
      </c>
      <c r="I14" s="56" t="n">
        <f aca="false">G14+H14</f>
        <v>126.55</v>
      </c>
      <c r="J14" s="81" t="n">
        <f aca="false">IF(L14&gt;0,L14,0)</f>
        <v>0</v>
      </c>
      <c r="K14" s="56" t="n">
        <f aca="false">I14+J14</f>
        <v>126.55</v>
      </c>
      <c r="L14" s="56" t="n">
        <f aca="false">F14-(I14-W14)</f>
        <v>-71.1185833123267</v>
      </c>
      <c r="M14" s="56" t="n">
        <v>3.39</v>
      </c>
      <c r="N14" s="56" t="n">
        <v>0</v>
      </c>
      <c r="O14" s="56" t="n">
        <f aca="false">M14-N14</f>
        <v>3.39</v>
      </c>
      <c r="P14" s="56" t="n">
        <v>0</v>
      </c>
      <c r="Q14" s="56" t="n">
        <v>0</v>
      </c>
      <c r="R14" s="56" t="n">
        <f aca="false">SUM(O14:Q14)</f>
        <v>3.39</v>
      </c>
      <c r="S14" s="57"/>
      <c r="T14" s="56" t="n">
        <v>0</v>
      </c>
      <c r="U14" s="56" t="n">
        <v>34.9</v>
      </c>
      <c r="V14" s="57" t="n">
        <f aca="false">V13-U14</f>
        <v>3989.87002268717</v>
      </c>
      <c r="W14" s="56" t="n">
        <f aca="false">R14+T14+N14+U14</f>
        <v>38.29</v>
      </c>
      <c r="X14" s="56" t="n">
        <f aca="false">IF(L14&lt;0,L14*-1,0)</f>
        <v>71.1185833123267</v>
      </c>
      <c r="Y14" s="56" t="n">
        <f aca="false">W14+X14</f>
        <v>109.408583312327</v>
      </c>
      <c r="Z14" s="60" t="n">
        <v>0</v>
      </c>
      <c r="AA14" s="61" t="n">
        <v>41</v>
      </c>
      <c r="AB14" s="61" t="n">
        <v>22</v>
      </c>
      <c r="AC14" s="62" t="n">
        <f aca="false">AC13+1</f>
        <v>5</v>
      </c>
      <c r="AD14" s="79" t="n">
        <v>316</v>
      </c>
      <c r="AE14" s="82" t="n">
        <v>466</v>
      </c>
      <c r="AF14" s="79" t="n">
        <v>1437.16</v>
      </c>
    </row>
    <row r="15" customFormat="false" ht="11.1" hidden="false" customHeight="true" outlineLevel="0" collapsed="false">
      <c r="A15" s="62" t="n">
        <f aca="false">A14+1</f>
        <v>6</v>
      </c>
      <c r="B15" s="80" t="n">
        <v>6891.46</v>
      </c>
      <c r="C15" s="57" t="n">
        <v>253148</v>
      </c>
      <c r="D15" s="61" t="n">
        <f aca="false">C15-C14</f>
        <v>412</v>
      </c>
      <c r="E15" s="57" t="n">
        <f aca="false">C15-152000</f>
        <v>101148</v>
      </c>
      <c r="F15" s="56" t="n">
        <f aca="false">D15/$D$2</f>
        <v>207.713637509453</v>
      </c>
      <c r="G15" s="56" t="n">
        <v>246.1</v>
      </c>
      <c r="H15" s="58" t="s">
        <v>56</v>
      </c>
      <c r="I15" s="56" t="n">
        <f aca="false">G15</f>
        <v>246.1</v>
      </c>
      <c r="J15" s="81" t="n">
        <f aca="false">IF(L15&gt;0,L15,0)</f>
        <v>0</v>
      </c>
      <c r="K15" s="56" t="n">
        <f aca="false">I15+J15</f>
        <v>246.1</v>
      </c>
      <c r="L15" s="56" t="n">
        <f aca="false">F15-(I15-W15)</f>
        <v>-0.0963624905470226</v>
      </c>
      <c r="M15" s="56" t="n">
        <v>3.39</v>
      </c>
      <c r="N15" s="56" t="n">
        <v>0</v>
      </c>
      <c r="O15" s="56" t="n">
        <f aca="false">M15-N15</f>
        <v>3.39</v>
      </c>
      <c r="P15" s="56" t="n">
        <v>0</v>
      </c>
      <c r="Q15" s="56" t="n">
        <v>0</v>
      </c>
      <c r="R15" s="56" t="n">
        <f aca="false">SUM(O15:Q15)</f>
        <v>3.39</v>
      </c>
      <c r="S15" s="57"/>
      <c r="T15" s="56" t="n">
        <v>0</v>
      </c>
      <c r="U15" s="56" t="n">
        <v>34.9</v>
      </c>
      <c r="V15" s="57" t="n">
        <f aca="false">V14-U15</f>
        <v>3954.97002268717</v>
      </c>
      <c r="W15" s="56" t="n">
        <f aca="false">R15+T15+N15+U15</f>
        <v>38.29</v>
      </c>
      <c r="X15" s="56" t="n">
        <f aca="false">IF(L15&lt;0,L15*-1,0)</f>
        <v>0.0963624905470226</v>
      </c>
      <c r="Y15" s="56" t="n">
        <f aca="false">W15+X15</f>
        <v>38.386362490547</v>
      </c>
      <c r="Z15" s="60" t="n">
        <v>0.07</v>
      </c>
      <c r="AA15" s="61" t="n">
        <v>44</v>
      </c>
      <c r="AB15" s="61" t="n">
        <v>27</v>
      </c>
      <c r="AC15" s="62" t="n">
        <f aca="false">AC14+1</f>
        <v>6</v>
      </c>
      <c r="AD15" s="78" t="n">
        <v>325</v>
      </c>
      <c r="AE15" s="82" t="n">
        <v>538</v>
      </c>
      <c r="AF15" s="79" t="n">
        <v>1467.01</v>
      </c>
    </row>
    <row r="16" customFormat="false" ht="11.1" hidden="false" customHeight="true" outlineLevel="0" collapsed="false">
      <c r="A16" s="62" t="n">
        <f aca="false">A15+1</f>
        <v>7</v>
      </c>
      <c r="B16" s="80" t="n">
        <v>6891.48</v>
      </c>
      <c r="C16" s="57" t="n">
        <v>253217</v>
      </c>
      <c r="D16" s="61" t="n">
        <f aca="false">C16-C15</f>
        <v>69</v>
      </c>
      <c r="E16" s="57" t="n">
        <f aca="false">C16-152000</f>
        <v>101217</v>
      </c>
      <c r="F16" s="56" t="n">
        <f aca="false">D16/$D$2</f>
        <v>34.7869926896899</v>
      </c>
      <c r="G16" s="56" t="n">
        <v>73.1</v>
      </c>
      <c r="H16" s="58" t="n">
        <v>0</v>
      </c>
      <c r="I16" s="56" t="n">
        <f aca="false">G16+H16</f>
        <v>73.1</v>
      </c>
      <c r="J16" s="81" t="n">
        <f aca="false">IF(L16&gt;0,L16,0)</f>
        <v>0</v>
      </c>
      <c r="K16" s="56" t="n">
        <f aca="false">I16+J16</f>
        <v>73.1</v>
      </c>
      <c r="L16" s="56" t="n">
        <f aca="false">F16-(I16-W16)</f>
        <v>-0.0230073103100565</v>
      </c>
      <c r="M16" s="56" t="n">
        <v>3.39</v>
      </c>
      <c r="N16" s="56" t="n">
        <v>0</v>
      </c>
      <c r="O16" s="56" t="n">
        <f aca="false">M16-N16</f>
        <v>3.39</v>
      </c>
      <c r="P16" s="56" t="n">
        <v>0</v>
      </c>
      <c r="Q16" s="56" t="n">
        <v>0</v>
      </c>
      <c r="R16" s="56" t="n">
        <f aca="false">SUM(O16:Q16)</f>
        <v>3.39</v>
      </c>
      <c r="S16" s="57"/>
      <c r="T16" s="56" t="n">
        <v>0</v>
      </c>
      <c r="U16" s="56" t="n">
        <v>34.9</v>
      </c>
      <c r="V16" s="57" t="n">
        <f aca="false">V15-U16</f>
        <v>3920.07002268717</v>
      </c>
      <c r="W16" s="56" t="n">
        <f aca="false">R16+T16+N16+U16</f>
        <v>38.29</v>
      </c>
      <c r="X16" s="56" t="n">
        <f aca="false">IF(L16&lt;0,L16*-1,0)</f>
        <v>0.0230073103100565</v>
      </c>
      <c r="Y16" s="56" t="n">
        <f aca="false">W16+X16</f>
        <v>38.3130073103101</v>
      </c>
      <c r="Z16" s="60" t="n">
        <v>0</v>
      </c>
      <c r="AA16" s="61" t="n">
        <v>48</v>
      </c>
      <c r="AB16" s="61" t="n">
        <v>13</v>
      </c>
      <c r="AC16" s="62" t="n">
        <f aca="false">AC15+1</f>
        <v>7</v>
      </c>
      <c r="AD16" s="78" t="n">
        <v>342</v>
      </c>
      <c r="AE16" s="82" t="n">
        <v>618</v>
      </c>
      <c r="AF16" s="79" t="n">
        <v>1496.64</v>
      </c>
    </row>
    <row r="17" customFormat="false" ht="11.1" hidden="false" customHeight="true" outlineLevel="0" collapsed="false">
      <c r="A17" s="62" t="n">
        <f aca="false">A16+1</f>
        <v>8</v>
      </c>
      <c r="B17" s="80" t="n">
        <v>6891.51</v>
      </c>
      <c r="C17" s="57" t="n">
        <v>253320</v>
      </c>
      <c r="D17" s="61" t="n">
        <f aca="false">C17-C16</f>
        <v>103</v>
      </c>
      <c r="E17" s="57" t="n">
        <f aca="false">C17-152000</f>
        <v>101320</v>
      </c>
      <c r="F17" s="56" t="n">
        <f aca="false">D17/$D$2</f>
        <v>51.9284093773632</v>
      </c>
      <c r="G17" s="56" t="n">
        <v>90.2</v>
      </c>
      <c r="H17" s="58" t="n">
        <v>0</v>
      </c>
      <c r="I17" s="56" t="n">
        <f aca="false">G17+H17</f>
        <v>90.2</v>
      </c>
      <c r="J17" s="81" t="n">
        <f aca="false">IF(L17&gt;0,L17,0)</f>
        <v>0.0184093773632412</v>
      </c>
      <c r="K17" s="56" t="n">
        <f aca="false">I17+J17</f>
        <v>90.2184093773633</v>
      </c>
      <c r="L17" s="56" t="n">
        <f aca="false">F17-(I17-W17)</f>
        <v>0.0184093773632412</v>
      </c>
      <c r="M17" s="56" t="n">
        <v>3.39</v>
      </c>
      <c r="N17" s="56" t="n">
        <v>0</v>
      </c>
      <c r="O17" s="56" t="n">
        <f aca="false">M17-N17</f>
        <v>3.39</v>
      </c>
      <c r="P17" s="56" t="n">
        <v>0</v>
      </c>
      <c r="Q17" s="56" t="n">
        <v>0</v>
      </c>
      <c r="R17" s="56" t="n">
        <f aca="false">SUM(O17:Q17)</f>
        <v>3.39</v>
      </c>
      <c r="S17" s="57"/>
      <c r="T17" s="56" t="n">
        <v>0</v>
      </c>
      <c r="U17" s="56" t="n">
        <v>34.9</v>
      </c>
      <c r="V17" s="57" t="n">
        <f aca="false">V16-U17</f>
        <v>3885.17002268717</v>
      </c>
      <c r="W17" s="56" t="n">
        <f aca="false">R17+T17+N17+U17</f>
        <v>38.29</v>
      </c>
      <c r="X17" s="56" t="n">
        <f aca="false">IF(L17&lt;0,L17*-1,0)</f>
        <v>0</v>
      </c>
      <c r="Y17" s="56" t="n">
        <f aca="false">W17+X17</f>
        <v>38.29</v>
      </c>
      <c r="Z17" s="60" t="n">
        <v>0</v>
      </c>
      <c r="AA17" s="61" t="n">
        <v>53</v>
      </c>
      <c r="AB17" s="61" t="n">
        <v>14</v>
      </c>
      <c r="AC17" s="62" t="n">
        <f aca="false">AC16+1</f>
        <v>8</v>
      </c>
      <c r="AD17" s="78" t="n">
        <v>367</v>
      </c>
      <c r="AE17" s="82" t="n">
        <v>704</v>
      </c>
      <c r="AF17" s="79" t="n">
        <v>1526.51</v>
      </c>
    </row>
    <row r="18" customFormat="false" ht="11.1" hidden="false" customHeight="true" outlineLevel="0" collapsed="false">
      <c r="A18" s="62" t="n">
        <f aca="false">A17+1</f>
        <v>9</v>
      </c>
      <c r="B18" s="80" t="n">
        <v>6891.54</v>
      </c>
      <c r="C18" s="57" t="n">
        <v>253423</v>
      </c>
      <c r="D18" s="61" t="n">
        <f aca="false">C18-C17</f>
        <v>103</v>
      </c>
      <c r="E18" s="57" t="n">
        <f aca="false">C18-152000</f>
        <v>101423</v>
      </c>
      <c r="F18" s="56" t="n">
        <f aca="false">D18/$D$2</f>
        <v>51.9284093773632</v>
      </c>
      <c r="G18" s="56" t="n">
        <v>90.2</v>
      </c>
      <c r="H18" s="58" t="n">
        <v>0</v>
      </c>
      <c r="I18" s="56" t="n">
        <f aca="false">G18+H18</f>
        <v>90.2</v>
      </c>
      <c r="J18" s="81" t="n">
        <f aca="false">IF(L18&gt;0,L18,0)</f>
        <v>0.0184093773632412</v>
      </c>
      <c r="K18" s="56" t="n">
        <f aca="false">I18+J18</f>
        <v>90.2184093773633</v>
      </c>
      <c r="L18" s="56" t="n">
        <f aca="false">F18-(I18-W18)</f>
        <v>0.0184093773632412</v>
      </c>
      <c r="M18" s="56" t="n">
        <v>3.39</v>
      </c>
      <c r="N18" s="56" t="n">
        <v>0</v>
      </c>
      <c r="O18" s="56" t="n">
        <f aca="false">M18-N18</f>
        <v>3.39</v>
      </c>
      <c r="P18" s="56" t="n">
        <v>0</v>
      </c>
      <c r="Q18" s="56" t="n">
        <v>0</v>
      </c>
      <c r="R18" s="56" t="n">
        <f aca="false">SUM(O18:Q18)</f>
        <v>3.39</v>
      </c>
      <c r="S18" s="57"/>
      <c r="T18" s="56" t="n">
        <v>0</v>
      </c>
      <c r="U18" s="56" t="n">
        <v>34.9</v>
      </c>
      <c r="V18" s="57" t="n">
        <f aca="false">V17-U18</f>
        <v>3850.27002268716</v>
      </c>
      <c r="W18" s="56" t="n">
        <f aca="false">R18+T18+N18+U18</f>
        <v>38.29</v>
      </c>
      <c r="X18" s="56" t="n">
        <f aca="false">IF(L18&lt;0,L18*-1,0)</f>
        <v>0</v>
      </c>
      <c r="Y18" s="56" t="n">
        <f aca="false">W18+X18</f>
        <v>38.29</v>
      </c>
      <c r="Z18" s="60" t="n">
        <v>0.39</v>
      </c>
      <c r="AA18" s="90" t="n">
        <v>57</v>
      </c>
      <c r="AB18" s="61" t="n">
        <v>24</v>
      </c>
      <c r="AC18" s="62" t="n">
        <f aca="false">AC17+1</f>
        <v>9</v>
      </c>
      <c r="AD18" s="78" t="n">
        <v>390</v>
      </c>
      <c r="AE18" s="82" t="n">
        <v>805</v>
      </c>
      <c r="AF18" s="79" t="n">
        <v>1561.24</v>
      </c>
    </row>
    <row r="19" customFormat="false" ht="11.1" hidden="false" customHeight="true" outlineLevel="0" collapsed="false">
      <c r="A19" s="62" t="n">
        <f aca="false">A18+1</f>
        <v>10</v>
      </c>
      <c r="B19" s="80" t="n">
        <v>6991.69</v>
      </c>
      <c r="C19" s="57" t="n">
        <v>253938</v>
      </c>
      <c r="D19" s="61" t="n">
        <f aca="false">C19-C18</f>
        <v>515</v>
      </c>
      <c r="E19" s="57" t="n">
        <f aca="false">C19-152000</f>
        <v>101938</v>
      </c>
      <c r="F19" s="56" t="n">
        <f aca="false">D19/$D$2</f>
        <v>259.642046886816</v>
      </c>
      <c r="G19" s="56" t="n">
        <v>298.1</v>
      </c>
      <c r="H19" s="58" t="n">
        <v>0</v>
      </c>
      <c r="I19" s="56" t="n">
        <f aca="false">G19+H19</f>
        <v>298.1</v>
      </c>
      <c r="J19" s="81" t="n">
        <f aca="false">IF(L19&gt;0,L19,0)</f>
        <v>0</v>
      </c>
      <c r="K19" s="56" t="n">
        <f aca="false">I19+J19</f>
        <v>298.1</v>
      </c>
      <c r="L19" s="56" t="n">
        <f aca="false">F19-(I19-W19)</f>
        <v>-0.0379531131837894</v>
      </c>
      <c r="M19" s="56" t="n">
        <v>3.39</v>
      </c>
      <c r="N19" s="56" t="n">
        <v>0</v>
      </c>
      <c r="O19" s="56" t="n">
        <f aca="false">M19-N19</f>
        <v>3.39</v>
      </c>
      <c r="P19" s="56" t="n">
        <v>0</v>
      </c>
      <c r="Q19" s="56" t="n">
        <v>0</v>
      </c>
      <c r="R19" s="56" t="n">
        <f aca="false">SUM(O19:Q19)</f>
        <v>3.39</v>
      </c>
      <c r="S19" s="57"/>
      <c r="T19" s="56" t="n">
        <v>0</v>
      </c>
      <c r="U19" s="56" t="n">
        <v>35.03</v>
      </c>
      <c r="V19" s="57" t="n">
        <f aca="false">V18-U19</f>
        <v>3815.24002268717</v>
      </c>
      <c r="W19" s="56" t="n">
        <f aca="false">R19+T19+N19+U19</f>
        <v>38.42</v>
      </c>
      <c r="X19" s="56" t="n">
        <f aca="false">IF(L19&lt;0,L19*-1,0)</f>
        <v>0.0379531131837894</v>
      </c>
      <c r="Y19" s="56" t="n">
        <f aca="false">W19+X19</f>
        <v>38.4579531131838</v>
      </c>
      <c r="Z19" s="60" t="n">
        <v>0.29</v>
      </c>
      <c r="AA19" s="61" t="n">
        <v>43</v>
      </c>
      <c r="AB19" s="61" t="n">
        <v>30</v>
      </c>
      <c r="AC19" s="62" t="n">
        <f aca="false">AC18+1</f>
        <v>10</v>
      </c>
      <c r="AD19" s="78" t="n">
        <v>437</v>
      </c>
      <c r="AE19" s="82" t="n">
        <v>920</v>
      </c>
      <c r="AF19" s="79" t="n">
        <v>1600.39</v>
      </c>
    </row>
    <row r="20" customFormat="false" ht="11.1" hidden="false" customHeight="true" outlineLevel="0" collapsed="false">
      <c r="A20" s="62" t="n">
        <f aca="false">A19+1</f>
        <v>11</v>
      </c>
      <c r="B20" s="80" t="n">
        <v>6891.78</v>
      </c>
      <c r="C20" s="57" t="n">
        <v>254247</v>
      </c>
      <c r="D20" s="61" t="n">
        <f aca="false">C20-C19</f>
        <v>309</v>
      </c>
      <c r="E20" s="57" t="n">
        <f aca="false">C20-152000</f>
        <v>102247</v>
      </c>
      <c r="F20" s="56" t="n">
        <f aca="false">D20/$D$2</f>
        <v>155.78522813209</v>
      </c>
      <c r="G20" s="56" t="n">
        <v>193.6</v>
      </c>
      <c r="H20" s="58" t="n">
        <v>0</v>
      </c>
      <c r="I20" s="56" t="n">
        <f aca="false">G20+H20</f>
        <v>193.6</v>
      </c>
      <c r="J20" s="81" t="n">
        <f aca="false">IF(L20&gt;0,L20,0)</f>
        <v>0</v>
      </c>
      <c r="K20" s="56" t="n">
        <f aca="false">I20+J20</f>
        <v>193.6</v>
      </c>
      <c r="L20" s="56" t="n">
        <f aca="false">F20-(I20-W20)</f>
        <v>-0.0447718679102422</v>
      </c>
      <c r="M20" s="56" t="n">
        <v>3.17</v>
      </c>
      <c r="N20" s="56" t="n">
        <v>0</v>
      </c>
      <c r="O20" s="56" t="n">
        <f aca="false">M20-N20</f>
        <v>3.17</v>
      </c>
      <c r="P20" s="56" t="n">
        <v>0</v>
      </c>
      <c r="Q20" s="56" t="n">
        <v>0</v>
      </c>
      <c r="R20" s="56" t="n">
        <f aca="false">SUM(O20:Q20)</f>
        <v>3.17</v>
      </c>
      <c r="S20" s="57"/>
      <c r="T20" s="56" t="n">
        <v>0</v>
      </c>
      <c r="U20" s="56" t="n">
        <v>34.6</v>
      </c>
      <c r="V20" s="57" t="n">
        <f aca="false">V19-U20</f>
        <v>3780.64002268716</v>
      </c>
      <c r="W20" s="56" t="n">
        <f aca="false">R20+T20+N20+U20</f>
        <v>37.77</v>
      </c>
      <c r="X20" s="56" t="n">
        <f aca="false">IF(L20&lt;0,L20*-1,0)</f>
        <v>0.0447718679102422</v>
      </c>
      <c r="Y20" s="56" t="n">
        <f aca="false">W20+X20</f>
        <v>37.8147718679102</v>
      </c>
      <c r="Z20" s="60" t="n">
        <v>0</v>
      </c>
      <c r="AA20" s="61" t="n">
        <v>42</v>
      </c>
      <c r="AB20" s="61" t="n">
        <v>33</v>
      </c>
      <c r="AC20" s="62" t="n">
        <f aca="false">AC19+1</f>
        <v>11</v>
      </c>
      <c r="AD20" s="78" t="n">
        <v>498</v>
      </c>
      <c r="AE20" s="82" t="n">
        <v>1048</v>
      </c>
      <c r="AF20" s="79" t="n">
        <v>1642</v>
      </c>
    </row>
    <row r="21" customFormat="false" ht="11.1" hidden="false" customHeight="true" outlineLevel="0" collapsed="false">
      <c r="A21" s="62" t="n">
        <f aca="false">A20+1</f>
        <v>12</v>
      </c>
      <c r="B21" s="80" t="n">
        <v>6891.86</v>
      </c>
      <c r="C21" s="57" t="n">
        <v>254522</v>
      </c>
      <c r="D21" s="61" t="n">
        <f aca="false">C21-C20</f>
        <v>275</v>
      </c>
      <c r="E21" s="57" t="n">
        <f aca="false">C21-152000</f>
        <v>102522</v>
      </c>
      <c r="F21" s="56" t="n">
        <f aca="false">D21/$D$2</f>
        <v>138.643811444416</v>
      </c>
      <c r="G21" s="56" t="n">
        <v>176</v>
      </c>
      <c r="H21" s="58" t="n">
        <v>0</v>
      </c>
      <c r="I21" s="56" t="n">
        <f aca="false">G21+H21</f>
        <v>176</v>
      </c>
      <c r="J21" s="81" t="n">
        <f aca="false">IF(L21&gt;0,L21,0)</f>
        <v>0</v>
      </c>
      <c r="K21" s="56" t="n">
        <f aca="false">I21+J21</f>
        <v>176</v>
      </c>
      <c r="L21" s="56" t="n">
        <f aca="false">F21-(I21-W21)</f>
        <v>-0.0761885555835704</v>
      </c>
      <c r="M21" s="56" t="n">
        <v>3.08</v>
      </c>
      <c r="N21" s="56" t="n">
        <v>0</v>
      </c>
      <c r="O21" s="56" t="n">
        <f aca="false">M21-N21</f>
        <v>3.08</v>
      </c>
      <c r="P21" s="56" t="n">
        <v>0</v>
      </c>
      <c r="Q21" s="56" t="n">
        <v>0</v>
      </c>
      <c r="R21" s="56" t="n">
        <f aca="false">SUM(O21:Q21)</f>
        <v>3.08</v>
      </c>
      <c r="S21" s="57"/>
      <c r="T21" s="56" t="n">
        <v>0</v>
      </c>
      <c r="U21" s="56" t="n">
        <v>34.2</v>
      </c>
      <c r="V21" s="57" t="n">
        <f aca="false">V20-U21</f>
        <v>3746.44002268717</v>
      </c>
      <c r="W21" s="56" t="n">
        <f aca="false">R21+T21+N21+U21</f>
        <v>37.28</v>
      </c>
      <c r="X21" s="56" t="n">
        <f aca="false">IF(L21&lt;0,L21*-1,0)</f>
        <v>0.0761885555835704</v>
      </c>
      <c r="Y21" s="56" t="n">
        <f aca="false">W21+X21</f>
        <v>37.3561885555836</v>
      </c>
      <c r="Z21" s="60" t="n">
        <v>0</v>
      </c>
      <c r="AA21" s="61" t="n">
        <v>50</v>
      </c>
      <c r="AB21" s="61" t="n">
        <v>33</v>
      </c>
      <c r="AC21" s="62" t="n">
        <f aca="false">AC20+1</f>
        <v>12</v>
      </c>
      <c r="AD21" s="78" t="n">
        <v>572</v>
      </c>
      <c r="AE21" s="82" t="n">
        <v>1182</v>
      </c>
      <c r="AF21" s="79" t="n">
        <v>1683.42</v>
      </c>
    </row>
    <row r="22" customFormat="false" ht="11.1" hidden="false" customHeight="true" outlineLevel="0" collapsed="false">
      <c r="A22" s="62" t="n">
        <f aca="false">A21+1</f>
        <v>13</v>
      </c>
      <c r="B22" s="80" t="n">
        <v>6891.93</v>
      </c>
      <c r="C22" s="57" t="n">
        <v>254762</v>
      </c>
      <c r="D22" s="61" t="n">
        <f aca="false">C22-C21</f>
        <v>240</v>
      </c>
      <c r="E22" s="57" t="n">
        <f aca="false">C22-152000</f>
        <v>102762</v>
      </c>
      <c r="F22" s="56" t="n">
        <f aca="false">D22/$D$2</f>
        <v>120.9982354424</v>
      </c>
      <c r="G22" s="56" t="n">
        <v>158.3</v>
      </c>
      <c r="H22" s="58" t="n">
        <v>0</v>
      </c>
      <c r="I22" s="56" t="n">
        <f aca="false">G22+H22</f>
        <v>158.3</v>
      </c>
      <c r="J22" s="81" t="n">
        <f aca="false">IF(L22&gt;0,L22,0)</f>
        <v>0</v>
      </c>
      <c r="K22" s="56" t="n">
        <f aca="false">I22+J22</f>
        <v>158.3</v>
      </c>
      <c r="L22" s="56" t="n">
        <f aca="false">F22-(I22-W22)</f>
        <v>-0.0217645576002212</v>
      </c>
      <c r="M22" s="56" t="n">
        <v>3.08</v>
      </c>
      <c r="N22" s="56" t="n">
        <v>0</v>
      </c>
      <c r="O22" s="56" t="n">
        <f aca="false">M22-N22</f>
        <v>3.08</v>
      </c>
      <c r="P22" s="56" t="n">
        <v>0</v>
      </c>
      <c r="Q22" s="56" t="n">
        <v>0</v>
      </c>
      <c r="R22" s="56" t="n">
        <f aca="false">SUM(O22:Q22)</f>
        <v>3.08</v>
      </c>
      <c r="S22" s="57"/>
      <c r="T22" s="56" t="n">
        <v>0</v>
      </c>
      <c r="U22" s="56" t="n">
        <v>34.2</v>
      </c>
      <c r="V22" s="57" t="n">
        <f aca="false">V21-U22</f>
        <v>3712.24002268717</v>
      </c>
      <c r="W22" s="56" t="n">
        <f aca="false">R22+T22+N22+U22</f>
        <v>37.28</v>
      </c>
      <c r="X22" s="56" t="n">
        <f aca="false">IF(L22&lt;0,L22*-1,0)</f>
        <v>0.0217645576002212</v>
      </c>
      <c r="Y22" s="56" t="n">
        <f aca="false">W22+X22</f>
        <v>37.3017645576002</v>
      </c>
      <c r="Z22" s="60" t="n">
        <v>0</v>
      </c>
      <c r="AA22" s="61" t="n">
        <v>53</v>
      </c>
      <c r="AB22" s="61" t="n">
        <v>29</v>
      </c>
      <c r="AC22" s="62" t="n">
        <f aca="false">AC21+1</f>
        <v>13</v>
      </c>
      <c r="AD22" s="78" t="n">
        <v>716</v>
      </c>
      <c r="AE22" s="82" t="n">
        <v>1339</v>
      </c>
      <c r="AF22" s="79" t="n">
        <v>1725.1</v>
      </c>
    </row>
    <row r="23" customFormat="false" ht="11.1" hidden="false" customHeight="true" outlineLevel="0" collapsed="false">
      <c r="A23" s="62" t="n">
        <f aca="false">A22+1</f>
        <v>14</v>
      </c>
      <c r="B23" s="80" t="n">
        <v>6891.96</v>
      </c>
      <c r="C23" s="57" t="n">
        <v>254865</v>
      </c>
      <c r="D23" s="61" t="n">
        <f aca="false">C23-C22</f>
        <v>103</v>
      </c>
      <c r="E23" s="57" t="n">
        <f aca="false">C23-152000</f>
        <v>102865</v>
      </c>
      <c r="F23" s="56" t="n">
        <f aca="false">D23/$D$2</f>
        <v>51.9284093773632</v>
      </c>
      <c r="G23" s="56" t="n">
        <v>89.2</v>
      </c>
      <c r="H23" s="58" t="n">
        <v>0</v>
      </c>
      <c r="I23" s="56" t="n">
        <f aca="false">G23+H23</f>
        <v>89.2</v>
      </c>
      <c r="J23" s="81" t="n">
        <f aca="false">IF(L23&gt;0,L23,0)</f>
        <v>0.00840937736324321</v>
      </c>
      <c r="K23" s="56" t="n">
        <f aca="false">I23+J23</f>
        <v>89.2084093773632</v>
      </c>
      <c r="L23" s="56" t="n">
        <f aca="false">F23-(I23-W23)</f>
        <v>0.00840937736324321</v>
      </c>
      <c r="M23" s="56" t="n">
        <v>3.08</v>
      </c>
      <c r="N23" s="56" t="n">
        <v>0</v>
      </c>
      <c r="O23" s="56" t="n">
        <f aca="false">M23-N23</f>
        <v>3.08</v>
      </c>
      <c r="P23" s="56" t="n">
        <v>0</v>
      </c>
      <c r="Q23" s="56" t="n">
        <v>0</v>
      </c>
      <c r="R23" s="56" t="n">
        <f aca="false">SUM(O23:Q23)</f>
        <v>3.08</v>
      </c>
      <c r="S23" s="57"/>
      <c r="T23" s="56" t="n">
        <v>0</v>
      </c>
      <c r="U23" s="56" t="n">
        <v>34.2</v>
      </c>
      <c r="V23" s="57" t="n">
        <f aca="false">V22-U23</f>
        <v>3678.04002268717</v>
      </c>
      <c r="W23" s="56" t="n">
        <f aca="false">R23+T23+N23+U23</f>
        <v>37.28</v>
      </c>
      <c r="X23" s="56" t="n">
        <f aca="false">IF(L23&lt;0,L23*-1,0)</f>
        <v>0</v>
      </c>
      <c r="Y23" s="56" t="n">
        <f aca="false">W23+X23</f>
        <v>37.28</v>
      </c>
      <c r="Z23" s="60" t="n">
        <v>0</v>
      </c>
      <c r="AA23" s="90" t="n">
        <v>44</v>
      </c>
      <c r="AB23" s="61" t="n">
        <v>28</v>
      </c>
      <c r="AC23" s="62" t="n">
        <f aca="false">AC22+1</f>
        <v>14</v>
      </c>
      <c r="AD23" s="78" t="n">
        <v>901</v>
      </c>
      <c r="AE23" s="82" t="n">
        <v>1500</v>
      </c>
      <c r="AF23" s="79" t="n">
        <v>1766.22</v>
      </c>
    </row>
    <row r="24" customFormat="false" ht="11.1" hidden="false" customHeight="true" outlineLevel="0" collapsed="false">
      <c r="A24" s="62" t="n">
        <f aca="false">A23+1</f>
        <v>15</v>
      </c>
      <c r="B24" s="80" t="n">
        <v>6891.98</v>
      </c>
      <c r="C24" s="57" t="n">
        <v>254934</v>
      </c>
      <c r="D24" s="61" t="n">
        <f aca="false">C24-C23</f>
        <v>69</v>
      </c>
      <c r="E24" s="57" t="n">
        <f aca="false">C24-152000</f>
        <v>102934</v>
      </c>
      <c r="F24" s="56" t="n">
        <f aca="false">D24/$D$2</f>
        <v>34.7869926896899</v>
      </c>
      <c r="G24" s="56" t="n">
        <v>72.1</v>
      </c>
      <c r="H24" s="58" t="n">
        <v>0</v>
      </c>
      <c r="I24" s="56" t="n">
        <f aca="false">G24+H24</f>
        <v>72.1</v>
      </c>
      <c r="J24" s="81" t="n">
        <f aca="false">IF(L24&gt;0,L24,0)</f>
        <v>0</v>
      </c>
      <c r="K24" s="56" t="n">
        <f aca="false">I24+J24</f>
        <v>72.1</v>
      </c>
      <c r="L24" s="56" t="n">
        <f aca="false">F24-(I24-W24)</f>
        <v>-0.0330073103100545</v>
      </c>
      <c r="M24" s="56" t="n">
        <v>3.08</v>
      </c>
      <c r="N24" s="56" t="n">
        <v>0</v>
      </c>
      <c r="O24" s="56" t="n">
        <f aca="false">M24-N24</f>
        <v>3.08</v>
      </c>
      <c r="P24" s="56" t="n">
        <v>0</v>
      </c>
      <c r="Q24" s="56" t="n">
        <v>0</v>
      </c>
      <c r="R24" s="56" t="n">
        <f aca="false">SUM(O24:Q24)</f>
        <v>3.08</v>
      </c>
      <c r="S24" s="57"/>
      <c r="T24" s="56" t="n">
        <v>0</v>
      </c>
      <c r="U24" s="56" t="n">
        <v>34.2</v>
      </c>
      <c r="V24" s="57" t="n">
        <f aca="false">V23-U24</f>
        <v>3643.84002268717</v>
      </c>
      <c r="W24" s="56" t="n">
        <f aca="false">R24+T24+N24+U24</f>
        <v>37.28</v>
      </c>
      <c r="X24" s="56" t="n">
        <f aca="false">IF(L24&lt;0,L24*-1,0)</f>
        <v>0.0330073103100545</v>
      </c>
      <c r="Y24" s="56" t="n">
        <f aca="false">W24+X24</f>
        <v>37.3130073103101</v>
      </c>
      <c r="Z24" s="60" t="n">
        <v>0</v>
      </c>
      <c r="AA24" s="90" t="n">
        <v>39</v>
      </c>
      <c r="AB24" s="61" t="n">
        <v>18</v>
      </c>
      <c r="AC24" s="62" t="n">
        <f aca="false">AC23+1</f>
        <v>15</v>
      </c>
      <c r="AD24" s="78" t="n">
        <v>1075</v>
      </c>
      <c r="AE24" s="82" t="n">
        <v>1662</v>
      </c>
      <c r="AF24" s="79" t="n">
        <v>1807.54</v>
      </c>
    </row>
    <row r="25" customFormat="false" ht="11.1" hidden="false" customHeight="true" outlineLevel="0" collapsed="false">
      <c r="A25" s="62" t="n">
        <f aca="false">A24+1</f>
        <v>16</v>
      </c>
      <c r="B25" s="80" t="n">
        <v>6891.98</v>
      </c>
      <c r="C25" s="57" t="n">
        <v>254934</v>
      </c>
      <c r="D25" s="61" t="n">
        <f aca="false">C25-C24</f>
        <v>0</v>
      </c>
      <c r="E25" s="57" t="n">
        <f aca="false">C25-152000</f>
        <v>102934</v>
      </c>
      <c r="F25" s="56" t="n">
        <f aca="false">D25/$D$2</f>
        <v>0</v>
      </c>
      <c r="G25" s="56" t="n">
        <v>37.4</v>
      </c>
      <c r="H25" s="58" t="n">
        <v>0</v>
      </c>
      <c r="I25" s="56" t="n">
        <f aca="false">G25+H25</f>
        <v>37.4</v>
      </c>
      <c r="J25" s="81" t="n">
        <f aca="false">IF(L25&gt;0,L25,0)</f>
        <v>0</v>
      </c>
      <c r="K25" s="56" t="n">
        <f aca="false">I25+J25</f>
        <v>37.4</v>
      </c>
      <c r="L25" s="56" t="n">
        <f aca="false">F25-(I25-W25)</f>
        <v>-0.0499999999999972</v>
      </c>
      <c r="M25" s="56" t="n">
        <v>3.15</v>
      </c>
      <c r="N25" s="56" t="n">
        <v>0</v>
      </c>
      <c r="O25" s="56" t="n">
        <f aca="false">M25-N25</f>
        <v>3.15</v>
      </c>
      <c r="P25" s="56" t="n">
        <v>0</v>
      </c>
      <c r="Q25" s="56" t="n">
        <v>0</v>
      </c>
      <c r="R25" s="56" t="n">
        <f aca="false">SUM(O25:Q25)</f>
        <v>3.15</v>
      </c>
      <c r="S25" s="57"/>
      <c r="T25" s="56" t="n">
        <v>0</v>
      </c>
      <c r="U25" s="56" t="n">
        <v>34.2</v>
      </c>
      <c r="V25" s="57" t="n">
        <f aca="false">V24-U25</f>
        <v>3609.64002268717</v>
      </c>
      <c r="W25" s="56" t="n">
        <f aca="false">R25+T25+N25+U25</f>
        <v>37.35</v>
      </c>
      <c r="X25" s="56" t="n">
        <f aca="false">IF(L25&lt;0,L25*-1,0)</f>
        <v>0.0499999999999972</v>
      </c>
      <c r="Y25" s="56" t="n">
        <f aca="false">W25+X25</f>
        <v>37.4</v>
      </c>
      <c r="Z25" s="60" t="n">
        <v>0</v>
      </c>
      <c r="AA25" s="90" t="n">
        <v>35</v>
      </c>
      <c r="AB25" s="61" t="n">
        <v>21</v>
      </c>
      <c r="AC25" s="62" t="n">
        <f aca="false">AC24+1</f>
        <v>16</v>
      </c>
      <c r="AD25" s="78" t="n">
        <v>1313</v>
      </c>
      <c r="AE25" s="91" t="n">
        <v>1828</v>
      </c>
      <c r="AF25" s="79" t="n">
        <v>1858.73</v>
      </c>
    </row>
    <row r="26" customFormat="false" ht="11.1" hidden="false" customHeight="true" outlineLevel="0" collapsed="false">
      <c r="A26" s="62" t="n">
        <f aca="false">A25+1</f>
        <v>17</v>
      </c>
      <c r="B26" s="80" t="n">
        <v>6891.98</v>
      </c>
      <c r="C26" s="57" t="n">
        <v>254934</v>
      </c>
      <c r="D26" s="61" t="n">
        <f aca="false">C26-C25</f>
        <v>0</v>
      </c>
      <c r="E26" s="57" t="n">
        <f aca="false">C26-152000</f>
        <v>102934</v>
      </c>
      <c r="F26" s="56" t="n">
        <f aca="false">D26/$D$2</f>
        <v>0</v>
      </c>
      <c r="G26" s="56" t="n">
        <v>37.5</v>
      </c>
      <c r="H26" s="58" t="n">
        <v>0</v>
      </c>
      <c r="I26" s="56" t="n">
        <f aca="false">G26+H26</f>
        <v>37.5</v>
      </c>
      <c r="J26" s="81" t="n">
        <f aca="false">IF(L26&gt;0,L26,0)</f>
        <v>0.0300000000000011</v>
      </c>
      <c r="K26" s="56" t="n">
        <f aca="false">I26+J26</f>
        <v>37.53</v>
      </c>
      <c r="L26" s="56" t="n">
        <f aca="false">F26-(I26-W26)</f>
        <v>0.0300000000000011</v>
      </c>
      <c r="M26" s="56" t="n">
        <v>3.27</v>
      </c>
      <c r="N26" s="56" t="n">
        <v>0</v>
      </c>
      <c r="O26" s="56" t="n">
        <f aca="false">M26-N26</f>
        <v>3.27</v>
      </c>
      <c r="P26" s="56" t="n">
        <v>0</v>
      </c>
      <c r="Q26" s="56" t="n">
        <v>0</v>
      </c>
      <c r="R26" s="56" t="n">
        <f aca="false">SUM(O26:Q26)</f>
        <v>3.27</v>
      </c>
      <c r="S26" s="57"/>
      <c r="T26" s="56" t="n">
        <v>0</v>
      </c>
      <c r="U26" s="56" t="n">
        <v>34.26</v>
      </c>
      <c r="V26" s="57" t="n">
        <f aca="false">V25-U26</f>
        <v>3575.38002268717</v>
      </c>
      <c r="W26" s="56" t="n">
        <f aca="false">R26+T26+N26+U26</f>
        <v>37.53</v>
      </c>
      <c r="X26" s="56" t="n">
        <f aca="false">IF(L26&lt;0,L26*-1,0)</f>
        <v>0</v>
      </c>
      <c r="Y26" s="56" t="n">
        <f aca="false">W26+X26</f>
        <v>37.53</v>
      </c>
      <c r="Z26" s="60" t="n">
        <v>0</v>
      </c>
      <c r="AA26" s="90" t="n">
        <v>14</v>
      </c>
      <c r="AB26" s="61" t="n">
        <v>6</v>
      </c>
      <c r="AC26" s="62" t="n">
        <f aca="false">AC25+1</f>
        <v>17</v>
      </c>
      <c r="AD26" s="78" t="n">
        <v>1559</v>
      </c>
      <c r="AE26" s="82" t="n">
        <v>1968</v>
      </c>
      <c r="AF26" s="79" t="n">
        <v>1921.09</v>
      </c>
    </row>
    <row r="27" customFormat="false" ht="11.1" hidden="false" customHeight="true" outlineLevel="0" collapsed="false">
      <c r="A27" s="62" t="n">
        <f aca="false">A26+1</f>
        <v>18</v>
      </c>
      <c r="B27" s="80" t="n">
        <v>6891.96</v>
      </c>
      <c r="C27" s="57" t="n">
        <v>254865</v>
      </c>
      <c r="D27" s="61" t="n">
        <f aca="false">C27-C26</f>
        <v>-69</v>
      </c>
      <c r="E27" s="57" t="n">
        <f aca="false">C27-152000</f>
        <v>102865</v>
      </c>
      <c r="F27" s="56" t="n">
        <f aca="false">D27/$D$2</f>
        <v>-34.7869926896899</v>
      </c>
      <c r="G27" s="56" t="n">
        <v>2.6</v>
      </c>
      <c r="H27" s="58" t="n">
        <v>0</v>
      </c>
      <c r="I27" s="56" t="n">
        <f aca="false">G27+H27</f>
        <v>2.6</v>
      </c>
      <c r="J27" s="81" t="n">
        <f aca="false">IF(L27&gt;0,L27,0)</f>
        <v>0</v>
      </c>
      <c r="K27" s="56" t="n">
        <f aca="false">I27+J27</f>
        <v>2.6</v>
      </c>
      <c r="L27" s="56" t="n">
        <f aca="false">F27-(I27-W27)</f>
        <v>-0.0369926896899386</v>
      </c>
      <c r="M27" s="56" t="n">
        <v>3.08</v>
      </c>
      <c r="N27" s="56" t="n">
        <v>0</v>
      </c>
      <c r="O27" s="56" t="n">
        <f aca="false">M27-N27</f>
        <v>3.08</v>
      </c>
      <c r="P27" s="56" t="n">
        <v>0</v>
      </c>
      <c r="Q27" s="56" t="n">
        <v>0</v>
      </c>
      <c r="R27" s="56" t="n">
        <f aca="false">SUM(O27:Q27)</f>
        <v>3.08</v>
      </c>
      <c r="S27" s="57"/>
      <c r="T27" s="56" t="n">
        <v>0</v>
      </c>
      <c r="U27" s="56" t="n">
        <v>34.27</v>
      </c>
      <c r="V27" s="57" t="n">
        <f aca="false">V26-U27</f>
        <v>3541.11002268717</v>
      </c>
      <c r="W27" s="56" t="n">
        <f aca="false">R27+T27+N27+U27</f>
        <v>37.35</v>
      </c>
      <c r="X27" s="56" t="n">
        <f aca="false">IF(L27&lt;0,L27*-1,0)</f>
        <v>0.0369926896899386</v>
      </c>
      <c r="Y27" s="56" t="n">
        <f aca="false">W27+X27</f>
        <v>37.3869926896899</v>
      </c>
      <c r="Z27" s="60" t="n">
        <v>0</v>
      </c>
      <c r="AA27" s="90" t="n">
        <v>27</v>
      </c>
      <c r="AB27" s="61" t="n">
        <v>2</v>
      </c>
      <c r="AC27" s="62" t="n">
        <f aca="false">AC26+1</f>
        <v>18</v>
      </c>
      <c r="AD27" s="78" t="n">
        <v>1867</v>
      </c>
      <c r="AE27" s="82" t="n">
        <v>2133</v>
      </c>
      <c r="AF27" s="79" t="n">
        <v>1990.83</v>
      </c>
    </row>
    <row r="28" customFormat="false" ht="11.1" hidden="false" customHeight="true" outlineLevel="0" collapsed="false">
      <c r="A28" s="62" t="n">
        <f aca="false">A27+1</f>
        <v>19</v>
      </c>
      <c r="B28" s="80" t="n">
        <v>6891.93</v>
      </c>
      <c r="C28" s="57" t="n">
        <v>254762</v>
      </c>
      <c r="D28" s="61" t="n">
        <f aca="false">C28-C27</f>
        <v>-103</v>
      </c>
      <c r="E28" s="57" t="n">
        <f aca="false">C28-152000</f>
        <v>102762</v>
      </c>
      <c r="F28" s="56" t="n">
        <f aca="false">D28/$D$2</f>
        <v>-51.9284093773632</v>
      </c>
      <c r="G28" s="56" t="n">
        <v>2.6</v>
      </c>
      <c r="H28" s="58" t="n">
        <v>0</v>
      </c>
      <c r="I28" s="56" t="n">
        <f aca="false">G28+H28</f>
        <v>2.6</v>
      </c>
      <c r="J28" s="81" t="n">
        <f aca="false">IF(L28&gt;0,L28,0)</f>
        <v>0</v>
      </c>
      <c r="K28" s="56" t="n">
        <f aca="false">I28+J28</f>
        <v>2.6</v>
      </c>
      <c r="L28" s="56" t="n">
        <f aca="false">F28-(I28-W28)</f>
        <v>-17.2484093773632</v>
      </c>
      <c r="M28" s="56" t="n">
        <v>3.08</v>
      </c>
      <c r="N28" s="56" t="n">
        <v>0</v>
      </c>
      <c r="O28" s="56" t="n">
        <f aca="false">M28-N28</f>
        <v>3.08</v>
      </c>
      <c r="P28" s="56" t="n">
        <v>0</v>
      </c>
      <c r="Q28" s="56" t="n">
        <v>0</v>
      </c>
      <c r="R28" s="56" t="n">
        <f aca="false">SUM(O28:Q28)</f>
        <v>3.08</v>
      </c>
      <c r="S28" s="57"/>
      <c r="T28" s="56" t="n">
        <v>0</v>
      </c>
      <c r="U28" s="56" t="n">
        <v>34.2</v>
      </c>
      <c r="V28" s="57" t="n">
        <f aca="false">V27-U28</f>
        <v>3506.91002268717</v>
      </c>
      <c r="W28" s="56" t="n">
        <f aca="false">R28+T28+N28+U28</f>
        <v>37.28</v>
      </c>
      <c r="X28" s="56" t="n">
        <f aca="false">IF(L28&lt;0,L28*-1,0)</f>
        <v>17.2484093773632</v>
      </c>
      <c r="Y28" s="56" t="n">
        <f aca="false">W28+X28</f>
        <v>54.5284093773632</v>
      </c>
      <c r="Z28" s="60" t="n">
        <v>0</v>
      </c>
      <c r="AA28" s="90" t="n">
        <v>29</v>
      </c>
      <c r="AB28" s="61" t="n">
        <v>10</v>
      </c>
      <c r="AC28" s="62" t="n">
        <f aca="false">AC27+1</f>
        <v>19</v>
      </c>
      <c r="AD28" s="78" t="n">
        <v>2157</v>
      </c>
      <c r="AE28" s="82" t="n">
        <v>2304</v>
      </c>
      <c r="AF28" s="79" t="n">
        <v>2064.09</v>
      </c>
    </row>
    <row r="29" customFormat="false" ht="11.1" hidden="false" customHeight="true" outlineLevel="0" collapsed="false">
      <c r="A29" s="62" t="n">
        <f aca="false">A28+1</f>
        <v>20</v>
      </c>
      <c r="B29" s="80" t="n">
        <v>6891.98</v>
      </c>
      <c r="C29" s="57" t="n">
        <v>254934</v>
      </c>
      <c r="D29" s="61" t="n">
        <f aca="false">C29-C28</f>
        <v>172</v>
      </c>
      <c r="E29" s="57" t="n">
        <f aca="false">C29-152000</f>
        <v>102934</v>
      </c>
      <c r="F29" s="56" t="n">
        <f aca="false">D29/$D$2</f>
        <v>86.7154020670532</v>
      </c>
      <c r="G29" s="56" t="n">
        <v>124</v>
      </c>
      <c r="H29" s="58" t="n">
        <v>0</v>
      </c>
      <c r="I29" s="56" t="n">
        <f aca="false">G29+H29</f>
        <v>124</v>
      </c>
      <c r="J29" s="81" t="n">
        <f aca="false">IF(L29&gt;0,L29,0)</f>
        <v>0</v>
      </c>
      <c r="K29" s="56" t="n">
        <f aca="false">I29+J29</f>
        <v>124</v>
      </c>
      <c r="L29" s="56" t="n">
        <f aca="false">F29-(I29-W29)</f>
        <v>-0.00459793294680821</v>
      </c>
      <c r="M29" s="56" t="n">
        <v>3.08</v>
      </c>
      <c r="N29" s="56" t="n">
        <v>0</v>
      </c>
      <c r="O29" s="56" t="n">
        <f aca="false">M29-N29</f>
        <v>3.08</v>
      </c>
      <c r="P29" s="56" t="n">
        <v>0</v>
      </c>
      <c r="Q29" s="56" t="n">
        <v>0</v>
      </c>
      <c r="R29" s="56" t="n">
        <f aca="false">SUM(O29:Q29)</f>
        <v>3.08</v>
      </c>
      <c r="S29" s="57"/>
      <c r="T29" s="56" t="n">
        <v>0</v>
      </c>
      <c r="U29" s="56" t="n">
        <v>34.2</v>
      </c>
      <c r="V29" s="57" t="n">
        <f aca="false">V28-U29</f>
        <v>3472.71002268717</v>
      </c>
      <c r="W29" s="56" t="n">
        <f aca="false">R29+T29+N29+U29</f>
        <v>37.28</v>
      </c>
      <c r="X29" s="56" t="n">
        <f aca="false">IF(L29&lt;0,L29*-1,0)</f>
        <v>0.00459793294680821</v>
      </c>
      <c r="Y29" s="56" t="n">
        <f aca="false">W29+X29</f>
        <v>37.2845979329468</v>
      </c>
      <c r="Z29" s="60" t="n">
        <v>0</v>
      </c>
      <c r="AA29" s="90" t="n">
        <v>36</v>
      </c>
      <c r="AB29" s="61" t="n">
        <v>9</v>
      </c>
      <c r="AC29" s="62" t="n">
        <f aca="false">AC28+1</f>
        <v>20</v>
      </c>
      <c r="AD29" s="78" t="n">
        <v>2443</v>
      </c>
      <c r="AE29" s="82" t="n">
        <v>2474</v>
      </c>
      <c r="AF29" s="79" t="n">
        <v>2135.47</v>
      </c>
    </row>
    <row r="30" customFormat="false" ht="11.1" hidden="false" customHeight="true" outlineLevel="0" collapsed="false">
      <c r="A30" s="62" t="n">
        <f aca="false">A29+1</f>
        <v>21</v>
      </c>
      <c r="B30" s="80" t="n">
        <v>6892.01</v>
      </c>
      <c r="C30" s="57" t="n">
        <v>255037</v>
      </c>
      <c r="D30" s="61" t="n">
        <f aca="false">C30-C29</f>
        <v>103</v>
      </c>
      <c r="E30" s="57" t="n">
        <f aca="false">C30-152000</f>
        <v>103037</v>
      </c>
      <c r="F30" s="56" t="n">
        <f aca="false">D30/$D$2</f>
        <v>51.9284093773632</v>
      </c>
      <c r="G30" s="56" t="n">
        <v>89.2</v>
      </c>
      <c r="H30" s="58" t="n">
        <v>0</v>
      </c>
      <c r="I30" s="56" t="n">
        <f aca="false">G30+H30</f>
        <v>89.2</v>
      </c>
      <c r="J30" s="81" t="n">
        <f aca="false">IF(L30&gt;0,L30,0)</f>
        <v>0.00840937736324321</v>
      </c>
      <c r="K30" s="56" t="n">
        <f aca="false">I30+J30</f>
        <v>89.2084093773632</v>
      </c>
      <c r="L30" s="56" t="n">
        <f aca="false">F30-(I30-W30)</f>
        <v>0.00840937736324321</v>
      </c>
      <c r="M30" s="56" t="n">
        <v>3.08</v>
      </c>
      <c r="N30" s="56" t="n">
        <v>0</v>
      </c>
      <c r="O30" s="56" t="n">
        <f aca="false">M30-N30</f>
        <v>3.08</v>
      </c>
      <c r="P30" s="56" t="n">
        <v>0</v>
      </c>
      <c r="Q30" s="56" t="n">
        <v>0</v>
      </c>
      <c r="R30" s="56" t="n">
        <f aca="false">SUM(O30:Q30)</f>
        <v>3.08</v>
      </c>
      <c r="S30" s="57"/>
      <c r="T30" s="56" t="n">
        <v>0</v>
      </c>
      <c r="U30" s="56" t="n">
        <v>34.2</v>
      </c>
      <c r="V30" s="57" t="n">
        <f aca="false">V29-U30</f>
        <v>3438.51002268717</v>
      </c>
      <c r="W30" s="56" t="n">
        <f aca="false">R30+T30+N30+U30</f>
        <v>37.28</v>
      </c>
      <c r="X30" s="56" t="n">
        <f aca="false">IF(L30&lt;0,L30*-1,0)</f>
        <v>0</v>
      </c>
      <c r="Y30" s="56" t="n">
        <f aca="false">W30+X30</f>
        <v>37.28</v>
      </c>
      <c r="Z30" s="60" t="n">
        <v>0</v>
      </c>
      <c r="AA30" s="61" t="n">
        <v>36</v>
      </c>
      <c r="AB30" s="61" t="n">
        <v>27</v>
      </c>
      <c r="AC30" s="62" t="n">
        <f aca="false">AC29+1</f>
        <v>21</v>
      </c>
      <c r="AD30" s="78" t="n">
        <v>2760</v>
      </c>
      <c r="AE30" s="82" t="n">
        <v>2645</v>
      </c>
      <c r="AF30" s="79" t="n">
        <v>2202.37</v>
      </c>
    </row>
    <row r="31" customFormat="false" ht="11.1" hidden="false" customHeight="true" outlineLevel="0" collapsed="false">
      <c r="A31" s="62" t="n">
        <f aca="false">A30+1</f>
        <v>22</v>
      </c>
      <c r="B31" s="80" t="n">
        <v>6892.16</v>
      </c>
      <c r="C31" s="57" t="n">
        <v>255557</v>
      </c>
      <c r="D31" s="61" t="n">
        <f aca="false">C31-C30</f>
        <v>520</v>
      </c>
      <c r="E31" s="57" t="n">
        <f aca="false">C31-152000</f>
        <v>103557</v>
      </c>
      <c r="F31" s="56" t="n">
        <f aca="false">D31/$D$2</f>
        <v>262.162843458533</v>
      </c>
      <c r="G31" s="56" t="n">
        <v>299.5</v>
      </c>
      <c r="H31" s="58" t="n">
        <v>0</v>
      </c>
      <c r="I31" s="56" t="n">
        <f aca="false">G31+H31</f>
        <v>299.5</v>
      </c>
      <c r="J31" s="81" t="n">
        <f aca="false">IF(L31&gt;0,L31,0)</f>
        <v>0</v>
      </c>
      <c r="K31" s="56" t="n">
        <f aca="false">I31+J31</f>
        <v>299.5</v>
      </c>
      <c r="L31" s="56" t="n">
        <f aca="false">F31-(I31-W31)</f>
        <v>-0.0171565414671022</v>
      </c>
      <c r="M31" s="56" t="n">
        <v>3.08</v>
      </c>
      <c r="N31" s="56" t="n">
        <v>0</v>
      </c>
      <c r="O31" s="56" t="n">
        <f aca="false">M31-N31</f>
        <v>3.08</v>
      </c>
      <c r="P31" s="56" t="n">
        <v>0</v>
      </c>
      <c r="Q31" s="56" t="n">
        <v>0</v>
      </c>
      <c r="R31" s="56" t="n">
        <f aca="false">SUM(O31:Q31)</f>
        <v>3.08</v>
      </c>
      <c r="S31" s="57"/>
      <c r="T31" s="56" t="n">
        <v>0</v>
      </c>
      <c r="U31" s="56" t="n">
        <v>34.24</v>
      </c>
      <c r="V31" s="57" t="n">
        <f aca="false">V30-U31</f>
        <v>3404.27002268717</v>
      </c>
      <c r="W31" s="56" t="n">
        <f aca="false">R31+T31+N31+U31</f>
        <v>37.32</v>
      </c>
      <c r="X31" s="56" t="n">
        <f aca="false">IF(L31&lt;0,L31*-1,0)</f>
        <v>0.0171565414671022</v>
      </c>
      <c r="Y31" s="56" t="n">
        <f aca="false">W31+X31</f>
        <v>37.3371565414671</v>
      </c>
      <c r="Z31" s="60" t="n">
        <v>0.42</v>
      </c>
      <c r="AA31" s="61" t="n">
        <v>44</v>
      </c>
      <c r="AB31" s="61" t="n">
        <v>29</v>
      </c>
      <c r="AC31" s="62" t="n">
        <f aca="false">AC30+1</f>
        <v>22</v>
      </c>
      <c r="AD31" s="78" t="n">
        <v>3077</v>
      </c>
      <c r="AE31" s="82" t="n">
        <v>2820</v>
      </c>
      <c r="AF31" s="79" t="n">
        <v>2257.56</v>
      </c>
    </row>
    <row r="32" customFormat="false" ht="11.1" hidden="false" customHeight="true" outlineLevel="0" collapsed="false">
      <c r="A32" s="62" t="n">
        <f aca="false">A31+1</f>
        <v>23</v>
      </c>
      <c r="B32" s="80" t="n">
        <v>6892.14</v>
      </c>
      <c r="C32" s="57" t="n">
        <v>255488</v>
      </c>
      <c r="D32" s="61" t="n">
        <f aca="false">C32-C31</f>
        <v>-69</v>
      </c>
      <c r="E32" s="57" t="n">
        <f aca="false">C32-152000</f>
        <v>103488</v>
      </c>
      <c r="F32" s="56" t="n">
        <f aca="false">D32/$D$2</f>
        <v>-34.7869926896899</v>
      </c>
      <c r="G32" s="56" t="n">
        <v>3</v>
      </c>
      <c r="H32" s="58" t="n">
        <v>0</v>
      </c>
      <c r="I32" s="56" t="n">
        <f aca="false">G32+H32</f>
        <v>3</v>
      </c>
      <c r="J32" s="81" t="n">
        <f aca="false">IF(L32&gt;0,L32,0)</f>
        <v>0</v>
      </c>
      <c r="K32" s="56" t="n">
        <f aca="false">I32+J32</f>
        <v>3</v>
      </c>
      <c r="L32" s="56" t="n">
        <f aca="false">F32-(I32-W32)</f>
        <v>-0.0369926896899386</v>
      </c>
      <c r="M32" s="56" t="n">
        <v>3.08</v>
      </c>
      <c r="N32" s="56" t="n">
        <v>0</v>
      </c>
      <c r="O32" s="56" t="n">
        <f aca="false">M32-N32</f>
        <v>3.08</v>
      </c>
      <c r="P32" s="56" t="n">
        <v>0</v>
      </c>
      <c r="Q32" s="56" t="n">
        <v>0</v>
      </c>
      <c r="R32" s="56" t="n">
        <f aca="false">SUM(O32:Q32)</f>
        <v>3.08</v>
      </c>
      <c r="S32" s="57"/>
      <c r="T32" s="56" t="n">
        <v>0</v>
      </c>
      <c r="U32" s="56" t="n">
        <v>34.67</v>
      </c>
      <c r="V32" s="57" t="n">
        <f aca="false">V31-U32</f>
        <v>3369.60002268717</v>
      </c>
      <c r="W32" s="56" t="n">
        <f aca="false">R32+T32+N32+U32</f>
        <v>37.75</v>
      </c>
      <c r="X32" s="56" t="n">
        <f aca="false">IF(L32&lt;0,L32*-1,0)</f>
        <v>0.0369926896899386</v>
      </c>
      <c r="Y32" s="56" t="n">
        <f aca="false">W32+X32</f>
        <v>37.7869926896899</v>
      </c>
      <c r="Z32" s="60" t="n">
        <v>0</v>
      </c>
      <c r="AA32" s="61" t="n">
        <v>30</v>
      </c>
      <c r="AB32" s="90" t="n">
        <v>22</v>
      </c>
      <c r="AC32" s="62" t="n">
        <f aca="false">AC31+1</f>
        <v>23</v>
      </c>
      <c r="AD32" s="78" t="n">
        <v>3431</v>
      </c>
      <c r="AE32" s="82" t="n">
        <v>2986</v>
      </c>
      <c r="AF32" s="79" t="n">
        <v>2305.82</v>
      </c>
    </row>
    <row r="33" customFormat="false" ht="11.1" hidden="false" customHeight="true" outlineLevel="0" collapsed="false">
      <c r="A33" s="62" t="n">
        <f aca="false">A32+1</f>
        <v>24</v>
      </c>
      <c r="B33" s="80" t="n">
        <v>6892.16</v>
      </c>
      <c r="C33" s="57" t="n">
        <v>255557</v>
      </c>
      <c r="D33" s="61" t="n">
        <f aca="false">C33-C32</f>
        <v>69</v>
      </c>
      <c r="E33" s="57" t="n">
        <f aca="false">C33-152000</f>
        <v>103557</v>
      </c>
      <c r="F33" s="56" t="n">
        <f aca="false">D33/$D$2</f>
        <v>34.7869926896899</v>
      </c>
      <c r="G33" s="56" t="n">
        <v>72.6</v>
      </c>
      <c r="H33" s="58" t="n">
        <v>0</v>
      </c>
      <c r="I33" s="56" t="n">
        <f aca="false">G33+H33</f>
        <v>72.6</v>
      </c>
      <c r="J33" s="81" t="n">
        <f aca="false">IF(L33&gt;0,L33,0)</f>
        <v>0</v>
      </c>
      <c r="K33" s="56" t="n">
        <f aca="false">I33+J33</f>
        <v>72.6</v>
      </c>
      <c r="L33" s="56" t="n">
        <f aca="false">F33-(I33-W33)</f>
        <v>-0.00300731031006052</v>
      </c>
      <c r="M33" s="56" t="n">
        <v>3.08</v>
      </c>
      <c r="N33" s="56" t="n">
        <v>0</v>
      </c>
      <c r="O33" s="56" t="n">
        <f aca="false">M33-N33</f>
        <v>3.08</v>
      </c>
      <c r="P33" s="56" t="n">
        <v>0</v>
      </c>
      <c r="Q33" s="56" t="n">
        <v>0</v>
      </c>
      <c r="R33" s="56" t="n">
        <f aca="false">SUM(O33:Q33)</f>
        <v>3.08</v>
      </c>
      <c r="S33" s="57"/>
      <c r="T33" s="56" t="n">
        <v>0</v>
      </c>
      <c r="U33" s="56" t="n">
        <v>34.73</v>
      </c>
      <c r="V33" s="57" t="n">
        <f aca="false">V32-U33</f>
        <v>3334.87002268717</v>
      </c>
      <c r="W33" s="56" t="n">
        <f aca="false">R33+T33+N33+U33</f>
        <v>37.81</v>
      </c>
      <c r="X33" s="56" t="n">
        <f aca="false">IF(L33&lt;0,L33*-1,0)</f>
        <v>0.00300731031006052</v>
      </c>
      <c r="Y33" s="56" t="n">
        <f aca="false">W33+X33</f>
        <v>37.8130073103101</v>
      </c>
      <c r="Z33" s="60" t="n">
        <v>0</v>
      </c>
      <c r="AA33" s="61" t="n">
        <v>35</v>
      </c>
      <c r="AB33" s="90" t="n">
        <v>6</v>
      </c>
      <c r="AC33" s="62" t="n">
        <f aca="false">AC32+1</f>
        <v>24</v>
      </c>
      <c r="AD33" s="78" t="n">
        <v>3778</v>
      </c>
      <c r="AE33" s="82" t="n">
        <v>3159</v>
      </c>
      <c r="AF33" s="79" t="n">
        <v>2351.3</v>
      </c>
    </row>
    <row r="34" customFormat="false" ht="11.1" hidden="false" customHeight="true" outlineLevel="0" collapsed="false">
      <c r="A34" s="62" t="n">
        <f aca="false">A33+1</f>
        <v>25</v>
      </c>
      <c r="B34" s="80" t="n">
        <v>6892.16</v>
      </c>
      <c r="C34" s="57" t="n">
        <v>255557</v>
      </c>
      <c r="D34" s="61" t="n">
        <f aca="false">C34-C33</f>
        <v>0</v>
      </c>
      <c r="E34" s="57" t="n">
        <f aca="false">C34-152000</f>
        <v>103557</v>
      </c>
      <c r="F34" s="56" t="n">
        <f aca="false">D34/$D$2</f>
        <v>0</v>
      </c>
      <c r="G34" s="56" t="n">
        <v>37.3</v>
      </c>
      <c r="H34" s="58" t="n">
        <v>0</v>
      </c>
      <c r="I34" s="56" t="n">
        <f aca="false">G34+H34</f>
        <v>37.3</v>
      </c>
      <c r="J34" s="81" t="n">
        <f aca="false">IF(L34&gt;0,L34,0)</f>
        <v>0.0399999999999991</v>
      </c>
      <c r="K34" s="56" t="n">
        <f aca="false">I34+J34</f>
        <v>37.34</v>
      </c>
      <c r="L34" s="56" t="n">
        <f aca="false">F34-(I34-W34)</f>
        <v>0.0399999999999991</v>
      </c>
      <c r="M34" s="56" t="n">
        <v>3.08</v>
      </c>
      <c r="N34" s="56" t="n">
        <v>0</v>
      </c>
      <c r="O34" s="56" t="n">
        <f aca="false">M34-N34</f>
        <v>3.08</v>
      </c>
      <c r="P34" s="56" t="n">
        <v>0</v>
      </c>
      <c r="Q34" s="56" t="n">
        <v>0</v>
      </c>
      <c r="R34" s="56" t="n">
        <f aca="false">SUM(O34:Q34)</f>
        <v>3.08</v>
      </c>
      <c r="S34" s="57"/>
      <c r="T34" s="56" t="n">
        <v>0</v>
      </c>
      <c r="U34" s="56" t="n">
        <v>34.26</v>
      </c>
      <c r="V34" s="57" t="n">
        <f aca="false">V33-U34</f>
        <v>3300.61002268717</v>
      </c>
      <c r="W34" s="56" t="n">
        <f aca="false">R34+T34+N34+U34</f>
        <v>37.34</v>
      </c>
      <c r="X34" s="56" t="n">
        <f aca="false">IF(L34&lt;0,L34*-1,0)</f>
        <v>0</v>
      </c>
      <c r="Y34" s="56" t="n">
        <f aca="false">W34+X34</f>
        <v>37.34</v>
      </c>
      <c r="Z34" s="60" t="n">
        <v>0</v>
      </c>
      <c r="AA34" s="61" t="n">
        <v>45</v>
      </c>
      <c r="AB34" s="90" t="n">
        <v>8</v>
      </c>
      <c r="AC34" s="62" t="n">
        <f aca="false">AC33+1</f>
        <v>25</v>
      </c>
      <c r="AD34" s="78" t="n">
        <v>4048</v>
      </c>
      <c r="AE34" s="82" t="n">
        <v>3332</v>
      </c>
      <c r="AF34" s="79" t="n">
        <v>2362.83</v>
      </c>
    </row>
    <row r="35" customFormat="false" ht="11.1" hidden="false" customHeight="true" outlineLevel="0" collapsed="false">
      <c r="A35" s="62" t="n">
        <f aca="false">A34+1</f>
        <v>26</v>
      </c>
      <c r="B35" s="80" t="n">
        <v>6892.19</v>
      </c>
      <c r="C35" s="57" t="n">
        <v>255661</v>
      </c>
      <c r="D35" s="61" t="n">
        <f aca="false">C35-C34</f>
        <v>104</v>
      </c>
      <c r="E35" s="57" t="n">
        <f aca="false">C35-152000</f>
        <v>103661</v>
      </c>
      <c r="F35" s="56" t="n">
        <f aca="false">D35/$D$2</f>
        <v>52.4325686917066</v>
      </c>
      <c r="G35" s="56" t="n">
        <v>90.6</v>
      </c>
      <c r="H35" s="58" t="n">
        <v>0</v>
      </c>
      <c r="I35" s="56" t="n">
        <f aca="false">G35+H35</f>
        <v>90.6</v>
      </c>
      <c r="J35" s="81" t="n">
        <f aca="false">IF(L35&gt;0,L35,0)</f>
        <v>0</v>
      </c>
      <c r="K35" s="56" t="n">
        <f aca="false">I35+J35</f>
        <v>90.6</v>
      </c>
      <c r="L35" s="56" t="n">
        <f aca="false">F35-(I35-W35)</f>
        <v>-0.00743130829341965</v>
      </c>
      <c r="M35" s="56" t="n">
        <v>3.26</v>
      </c>
      <c r="N35" s="56" t="n">
        <v>0</v>
      </c>
      <c r="O35" s="56" t="n">
        <f aca="false">M35-N35</f>
        <v>3.26</v>
      </c>
      <c r="P35" s="56" t="n">
        <v>0</v>
      </c>
      <c r="Q35" s="56" t="n">
        <v>0</v>
      </c>
      <c r="R35" s="56" t="n">
        <f aca="false">SUM(O35:Q35)</f>
        <v>3.26</v>
      </c>
      <c r="S35" s="57"/>
      <c r="T35" s="56" t="n">
        <v>0</v>
      </c>
      <c r="U35" s="56" t="n">
        <v>34.9</v>
      </c>
      <c r="V35" s="57" t="n">
        <f aca="false">V34-U35</f>
        <v>3265.71002268717</v>
      </c>
      <c r="W35" s="56" t="n">
        <f aca="false">R35+T35+N35+U35</f>
        <v>38.16</v>
      </c>
      <c r="X35" s="56" t="n">
        <f aca="false">IF(L35&lt;0,L35*-1,0)</f>
        <v>0.00743130829341965</v>
      </c>
      <c r="Y35" s="56" t="n">
        <f aca="false">W35+X35</f>
        <v>38.1674313082934</v>
      </c>
      <c r="Z35" s="60" t="n">
        <v>0</v>
      </c>
      <c r="AA35" s="61" t="n">
        <v>47</v>
      </c>
      <c r="AB35" s="61" t="n">
        <v>16</v>
      </c>
      <c r="AC35" s="62" t="n">
        <f aca="false">AC34+1</f>
        <v>26</v>
      </c>
      <c r="AD35" s="78" t="n">
        <v>4274</v>
      </c>
      <c r="AE35" s="82" t="n">
        <v>3506</v>
      </c>
      <c r="AF35" s="79" t="n">
        <v>2362.83</v>
      </c>
    </row>
    <row r="36" customFormat="false" ht="11.1" hidden="false" customHeight="true" outlineLevel="0" collapsed="false">
      <c r="A36" s="62" t="n">
        <f aca="false">A35+1</f>
        <v>27</v>
      </c>
      <c r="B36" s="80" t="n">
        <v>6892.24</v>
      </c>
      <c r="C36" s="57" t="n">
        <v>255835</v>
      </c>
      <c r="D36" s="61" t="n">
        <f aca="false">C36-C35</f>
        <v>174</v>
      </c>
      <c r="E36" s="57" t="n">
        <f aca="false">C36-152000</f>
        <v>103835</v>
      </c>
      <c r="F36" s="56" t="n">
        <f aca="false">D36/$D$2</f>
        <v>87.7237206957399</v>
      </c>
      <c r="G36" s="56" t="n">
        <v>126</v>
      </c>
      <c r="H36" s="58" t="n">
        <v>0</v>
      </c>
      <c r="I36" s="56" t="n">
        <f aca="false">G36+H36</f>
        <v>126</v>
      </c>
      <c r="J36" s="81" t="n">
        <f aca="false">IF(L36&gt;0,L36,0)</f>
        <v>0</v>
      </c>
      <c r="K36" s="56" t="n">
        <f aca="false">I36+J36</f>
        <v>126</v>
      </c>
      <c r="L36" s="56" t="n">
        <f aca="false">F36-(I36-W36)</f>
        <v>-0.0362793042601481</v>
      </c>
      <c r="M36" s="56" t="n">
        <v>3.34</v>
      </c>
      <c r="N36" s="56" t="n">
        <v>0</v>
      </c>
      <c r="O36" s="56" t="n">
        <f aca="false">M36-N36</f>
        <v>3.34</v>
      </c>
      <c r="P36" s="56" t="n">
        <v>0</v>
      </c>
      <c r="Q36" s="56" t="n">
        <v>0</v>
      </c>
      <c r="R36" s="56" t="n">
        <f aca="false">SUM(O36:Q36)</f>
        <v>3.34</v>
      </c>
      <c r="S36" s="57"/>
      <c r="T36" s="56" t="n">
        <v>0</v>
      </c>
      <c r="U36" s="56" t="n">
        <v>34.9</v>
      </c>
      <c r="V36" s="57" t="n">
        <f aca="false">V35-U36</f>
        <v>3230.81002268717</v>
      </c>
      <c r="W36" s="56" t="n">
        <f aca="false">R36+T36+N36+U36</f>
        <v>38.24</v>
      </c>
      <c r="X36" s="56" t="n">
        <f aca="false">IF(L36&lt;0,L36*-1,0)</f>
        <v>0.0362793042601481</v>
      </c>
      <c r="Y36" s="56" t="n">
        <f aca="false">W36+X36</f>
        <v>38.2762793042601</v>
      </c>
      <c r="Z36" s="60" t="n">
        <v>0.16</v>
      </c>
      <c r="AA36" s="61" t="n">
        <v>38</v>
      </c>
      <c r="AB36" s="61" t="n">
        <v>11</v>
      </c>
      <c r="AC36" s="62" t="n">
        <f aca="false">AC35+1</f>
        <v>27</v>
      </c>
      <c r="AD36" s="78" t="n">
        <v>4501</v>
      </c>
      <c r="AE36" s="82" t="n">
        <v>3671</v>
      </c>
      <c r="AF36" s="79" t="n">
        <v>2362.83</v>
      </c>
    </row>
    <row r="37" customFormat="false" ht="11.1" hidden="false" customHeight="true" outlineLevel="0" collapsed="false">
      <c r="A37" s="62" t="n">
        <f aca="false">A36+1</f>
        <v>28</v>
      </c>
      <c r="B37" s="80" t="n">
        <v>6892.31</v>
      </c>
      <c r="C37" s="57" t="n">
        <v>256077</v>
      </c>
      <c r="D37" s="61" t="n">
        <f aca="false">C37-C36</f>
        <v>242</v>
      </c>
      <c r="E37" s="57" t="n">
        <f aca="false">C37-152000</f>
        <v>104077</v>
      </c>
      <c r="F37" s="56" t="n">
        <f aca="false">D37/$D$2</f>
        <v>122.006554071086</v>
      </c>
      <c r="G37" s="56" t="n">
        <v>160.3</v>
      </c>
      <c r="H37" s="58" t="n">
        <v>0</v>
      </c>
      <c r="I37" s="56" t="n">
        <f aca="false">G37+H37</f>
        <v>160.3</v>
      </c>
      <c r="J37" s="81" t="n">
        <f aca="false">IF(L37&gt;0,L37,0)</f>
        <v>0</v>
      </c>
      <c r="K37" s="56" t="n">
        <f aca="false">I37+J37</f>
        <v>160.3</v>
      </c>
      <c r="L37" s="56" t="n">
        <f aca="false">F37-(I37-W37)</f>
        <v>-0.00344592891356399</v>
      </c>
      <c r="M37" s="56" t="n">
        <v>3.39</v>
      </c>
      <c r="N37" s="56" t="n">
        <v>0</v>
      </c>
      <c r="O37" s="56" t="n">
        <f aca="false">M37-N37</f>
        <v>3.39</v>
      </c>
      <c r="P37" s="56" t="n">
        <v>0</v>
      </c>
      <c r="Q37" s="56" t="n">
        <v>0</v>
      </c>
      <c r="R37" s="56" t="n">
        <f aca="false">SUM(O37:Q37)</f>
        <v>3.39</v>
      </c>
      <c r="S37" s="57"/>
      <c r="T37" s="56" t="n">
        <v>0</v>
      </c>
      <c r="U37" s="56" t="n">
        <v>34.9</v>
      </c>
      <c r="V37" s="57" t="n">
        <f aca="false">V36-U37</f>
        <v>3195.91002268717</v>
      </c>
      <c r="W37" s="56" t="n">
        <f aca="false">R37+T37+N37+U37</f>
        <v>38.29</v>
      </c>
      <c r="X37" s="56" t="n">
        <f aca="false">IF(L37&lt;0,L37*-1,0)</f>
        <v>0.00344592891356399</v>
      </c>
      <c r="Y37" s="56" t="n">
        <f aca="false">W37+X37</f>
        <v>38.2934459289136</v>
      </c>
      <c r="Z37" s="60" t="n">
        <v>0</v>
      </c>
      <c r="AA37" s="61" t="n">
        <v>45</v>
      </c>
      <c r="AB37" s="61" t="n">
        <v>31</v>
      </c>
      <c r="AC37" s="62" t="n">
        <f aca="false">AC36+1</f>
        <v>28</v>
      </c>
      <c r="AD37" s="78" t="n">
        <v>4723</v>
      </c>
      <c r="AE37" s="82" t="n">
        <v>3836</v>
      </c>
      <c r="AF37" s="79" t="n">
        <v>2362.83</v>
      </c>
    </row>
    <row r="38" customFormat="false" ht="11.1" hidden="false" customHeight="true" outlineLevel="0" collapsed="false">
      <c r="A38" s="62" t="n">
        <f aca="false">A37+1</f>
        <v>29</v>
      </c>
      <c r="B38" s="80" t="n">
        <v>6892.34</v>
      </c>
      <c r="C38" s="57" t="n">
        <v>256181</v>
      </c>
      <c r="D38" s="61" t="n">
        <f aca="false">C38-C37</f>
        <v>104</v>
      </c>
      <c r="E38" s="57" t="n">
        <f aca="false">C38-152000</f>
        <v>104181</v>
      </c>
      <c r="F38" s="56" t="n">
        <f aca="false">D38/$D$2</f>
        <v>52.4325686917066</v>
      </c>
      <c r="G38" s="56" t="n">
        <v>90.8</v>
      </c>
      <c r="H38" s="58" t="n">
        <v>0</v>
      </c>
      <c r="I38" s="56" t="n">
        <f aca="false">G38+H38</f>
        <v>90.8</v>
      </c>
      <c r="J38" s="81" t="n">
        <f aca="false">IF(L38&gt;0,L38,0)</f>
        <v>0.0325686917065795</v>
      </c>
      <c r="K38" s="56" t="n">
        <f aca="false">I38+J38</f>
        <v>90.8325686917066</v>
      </c>
      <c r="L38" s="56" t="n">
        <f aca="false">F38-(I38-W38)</f>
        <v>0.0325686917065795</v>
      </c>
      <c r="M38" s="56" t="n">
        <v>3.5</v>
      </c>
      <c r="N38" s="56" t="n">
        <v>0</v>
      </c>
      <c r="O38" s="56" t="n">
        <f aca="false">M38-N38</f>
        <v>3.5</v>
      </c>
      <c r="P38" s="56" t="n">
        <v>0</v>
      </c>
      <c r="Q38" s="56" t="n">
        <v>0</v>
      </c>
      <c r="R38" s="56" t="n">
        <f aca="false">SUM(O38:Q38)</f>
        <v>3.5</v>
      </c>
      <c r="S38" s="57"/>
      <c r="T38" s="56" t="n">
        <v>0</v>
      </c>
      <c r="U38" s="56" t="n">
        <v>34.9</v>
      </c>
      <c r="V38" s="57" t="n">
        <f aca="false">V37-U38</f>
        <v>3161.01002268717</v>
      </c>
      <c r="W38" s="56" t="n">
        <f aca="false">R38+T38+N38+U38</f>
        <v>38.4</v>
      </c>
      <c r="X38" s="56" t="n">
        <f aca="false">IF(L38&lt;0,L38*-1,0)</f>
        <v>0</v>
      </c>
      <c r="Y38" s="56" t="n">
        <f aca="false">W38+X38</f>
        <v>38.4</v>
      </c>
      <c r="Z38" s="60" t="n">
        <v>0.02</v>
      </c>
      <c r="AA38" s="90" t="n">
        <v>51</v>
      </c>
      <c r="AB38" s="61" t="n">
        <v>25</v>
      </c>
      <c r="AC38" s="62" t="n">
        <f aca="false">AC37+1</f>
        <v>29</v>
      </c>
      <c r="AD38" s="78" t="n">
        <v>4963</v>
      </c>
      <c r="AE38" s="82" t="n">
        <v>4000</v>
      </c>
      <c r="AF38" s="79" t="n">
        <v>2362.83</v>
      </c>
    </row>
    <row r="39" customFormat="false" ht="11.1" hidden="false" customHeight="true" outlineLevel="0" collapsed="false">
      <c r="A39" s="62" t="n">
        <v>30</v>
      </c>
      <c r="B39" s="80" t="n">
        <v>6892.39</v>
      </c>
      <c r="C39" s="57" t="n">
        <v>256355</v>
      </c>
      <c r="D39" s="61" t="n">
        <f aca="false">C39-C38</f>
        <v>174</v>
      </c>
      <c r="E39" s="57" t="n">
        <f aca="false">C39-152000</f>
        <v>104355</v>
      </c>
      <c r="F39" s="56" t="n">
        <f aca="false">D39/$D$2</f>
        <v>87.7237206957399</v>
      </c>
      <c r="G39" s="56" t="n">
        <v>126.4</v>
      </c>
      <c r="H39" s="58" t="n">
        <v>0</v>
      </c>
      <c r="I39" s="56" t="n">
        <f aca="false">G39+H39</f>
        <v>126.4</v>
      </c>
      <c r="J39" s="81" t="n">
        <f aca="false">IF(L39&gt;0,L39,0)</f>
        <v>0</v>
      </c>
      <c r="K39" s="56" t="n">
        <f aca="false">I39+J39</f>
        <v>126.4</v>
      </c>
      <c r="L39" s="56" t="n">
        <f aca="false">F39-(I39-W39)</f>
        <v>-0.0562793042601442</v>
      </c>
      <c r="M39" s="56" t="n">
        <v>3.72</v>
      </c>
      <c r="N39" s="56" t="n">
        <v>0</v>
      </c>
      <c r="O39" s="56" t="n">
        <f aca="false">M39-N39</f>
        <v>3.72</v>
      </c>
      <c r="P39" s="56" t="n">
        <v>0</v>
      </c>
      <c r="Q39" s="56" t="n">
        <v>0</v>
      </c>
      <c r="R39" s="56" t="n">
        <f aca="false">SUM(O39:Q39)</f>
        <v>3.72</v>
      </c>
      <c r="S39" s="57"/>
      <c r="T39" s="56" t="n">
        <v>0</v>
      </c>
      <c r="U39" s="56" t="n">
        <v>34.9</v>
      </c>
      <c r="V39" s="57" t="n">
        <f aca="false">V38-U39</f>
        <v>3126.11002268717</v>
      </c>
      <c r="W39" s="56" t="n">
        <f aca="false">R39+T39+N39+U39</f>
        <v>38.62</v>
      </c>
      <c r="X39" s="56" t="n">
        <f aca="false">IF(L39&lt;0,L39*-1,0)</f>
        <v>0.0562793042601442</v>
      </c>
      <c r="Y39" s="56" t="n">
        <f aca="false">W39+X39</f>
        <v>38.6762793042601</v>
      </c>
      <c r="Z39" s="60" t="n">
        <v>0</v>
      </c>
      <c r="AA39" s="90" t="n">
        <v>48</v>
      </c>
      <c r="AB39" s="61" t="n">
        <v>22</v>
      </c>
      <c r="AC39" s="62" t="n">
        <v>30</v>
      </c>
      <c r="AD39" s="78" t="n">
        <v>5210</v>
      </c>
      <c r="AE39" s="82" t="n">
        <v>4166</v>
      </c>
      <c r="AF39" s="79" t="n">
        <v>2362.83</v>
      </c>
    </row>
    <row r="40" customFormat="false" ht="11.1" hidden="false" customHeight="true" outlineLevel="0" collapsed="false">
      <c r="A40" s="62" t="n">
        <v>31</v>
      </c>
      <c r="B40" s="80" t="n">
        <v>6892.44</v>
      </c>
      <c r="C40" s="57" t="n">
        <v>256528</v>
      </c>
      <c r="D40" s="61" t="n">
        <f aca="false">C40-C39</f>
        <v>173</v>
      </c>
      <c r="E40" s="57" t="n">
        <f aca="false">C40-152000</f>
        <v>104528</v>
      </c>
      <c r="F40" s="56" t="n">
        <f aca="false">D40/$D$2</f>
        <v>87.2195613813965</v>
      </c>
      <c r="G40" s="56" t="n">
        <v>125.6</v>
      </c>
      <c r="H40" s="58" t="n">
        <v>0</v>
      </c>
      <c r="I40" s="56" t="n">
        <f aca="false">G40+H40</f>
        <v>125.6</v>
      </c>
      <c r="J40" s="81" t="n">
        <f aca="false">IF(L40&gt;0,L40,0)</f>
        <v>0.0195613813965281</v>
      </c>
      <c r="K40" s="56" t="n">
        <f aca="false">I40+J40</f>
        <v>125.619561381397</v>
      </c>
      <c r="L40" s="56" t="n">
        <f aca="false">F40-(I40-W40)</f>
        <v>0.0195613813965281</v>
      </c>
      <c r="M40" s="56" t="n">
        <v>3.5</v>
      </c>
      <c r="N40" s="56" t="n">
        <v>0</v>
      </c>
      <c r="O40" s="56" t="n">
        <f aca="false">M40-N40</f>
        <v>3.5</v>
      </c>
      <c r="P40" s="56" t="n">
        <v>0</v>
      </c>
      <c r="Q40" s="56" t="n">
        <v>0</v>
      </c>
      <c r="R40" s="56" t="n">
        <f aca="false">SUM(O40:Q40)</f>
        <v>3.5</v>
      </c>
      <c r="S40" s="57"/>
      <c r="T40" s="56" t="n">
        <v>0</v>
      </c>
      <c r="U40" s="56" t="n">
        <v>34.9</v>
      </c>
      <c r="V40" s="57" t="n">
        <f aca="false">V39-U40</f>
        <v>3091.21002268717</v>
      </c>
      <c r="W40" s="56" t="n">
        <f aca="false">R40+T40+N40+U40</f>
        <v>38.4</v>
      </c>
      <c r="X40" s="56" t="n">
        <f aca="false">IF(L40&lt;0,L40*-1,0)</f>
        <v>0</v>
      </c>
      <c r="Y40" s="56" t="n">
        <f aca="false">W40+X40</f>
        <v>38.4</v>
      </c>
      <c r="Z40" s="60" t="n">
        <v>0</v>
      </c>
      <c r="AA40" s="90" t="n">
        <v>55</v>
      </c>
      <c r="AB40" s="61" t="n">
        <v>26</v>
      </c>
      <c r="AC40" s="62" t="n">
        <v>31</v>
      </c>
      <c r="AD40" s="78" t="n">
        <v>5455</v>
      </c>
      <c r="AE40" s="78" t="n">
        <v>4334</v>
      </c>
      <c r="AF40" s="79" t="n">
        <v>2403.37</v>
      </c>
    </row>
    <row r="41" customFormat="false" ht="3" hidden="false" customHeight="true" outlineLevel="0" collapsed="false">
      <c r="A41" s="83"/>
      <c r="B41" s="83"/>
      <c r="C41" s="85"/>
      <c r="D41" s="83"/>
      <c r="E41" s="85"/>
      <c r="F41" s="83"/>
      <c r="G41" s="83"/>
      <c r="H41" s="86"/>
      <c r="I41" s="83"/>
      <c r="J41" s="83"/>
      <c r="K41" s="83"/>
      <c r="L41" s="92"/>
      <c r="M41" s="92"/>
      <c r="N41" s="83"/>
      <c r="O41" s="83"/>
      <c r="P41" s="83"/>
      <c r="Q41" s="83"/>
      <c r="R41" s="83"/>
      <c r="S41" s="85"/>
      <c r="T41" s="83"/>
      <c r="U41" s="92"/>
      <c r="V41" s="83"/>
      <c r="W41" s="83"/>
      <c r="X41" s="83"/>
      <c r="Y41" s="83"/>
      <c r="Z41" s="87"/>
      <c r="AA41" s="88" t="n">
        <v>73</v>
      </c>
      <c r="AB41" s="88"/>
      <c r="AC41" s="89"/>
      <c r="AD41" s="78"/>
      <c r="AE41" s="78"/>
      <c r="AF41" s="79"/>
    </row>
    <row r="42" customFormat="false" ht="11.1" hidden="false" customHeight="true" outlineLevel="0" collapsed="false">
      <c r="A42" s="56" t="s">
        <v>45</v>
      </c>
      <c r="B42" s="56"/>
      <c r="C42" s="57"/>
      <c r="D42" s="57"/>
      <c r="E42" s="57"/>
      <c r="F42" s="57" t="n">
        <f aca="false">SUM(F10:F40)</f>
        <v>2085.20292412402</v>
      </c>
      <c r="G42" s="57" t="n">
        <f aca="false">SUM(G10:G40)</f>
        <v>3514.42</v>
      </c>
      <c r="H42" s="57" t="n">
        <f aca="false">SUM(H10:H40)</f>
        <v>0</v>
      </c>
      <c r="I42" s="57" t="n">
        <f aca="false">SUM(I10:I40)</f>
        <v>3514.42</v>
      </c>
      <c r="J42" s="57" t="n">
        <f aca="false">SUM(J10:J40)</f>
        <v>0.175767582556077</v>
      </c>
      <c r="K42" s="57" t="n">
        <f aca="false">SUM(K10:K40)</f>
        <v>3514.59576758256</v>
      </c>
      <c r="L42" s="57" t="n">
        <f aca="false">SUM(L10:L40)</f>
        <v>-257.257075875977</v>
      </c>
      <c r="M42" s="57" t="n">
        <f aca="false">SUM(M10:M40)</f>
        <v>101.16</v>
      </c>
      <c r="N42" s="57" t="n">
        <f aca="false">SUM(N10:N40)</f>
        <v>0</v>
      </c>
      <c r="O42" s="57" t="n">
        <f aca="false">SUM(O10:O40)</f>
        <v>101.16</v>
      </c>
      <c r="P42" s="57" t="n">
        <f aca="false">SUM(P10:P40)</f>
        <v>0</v>
      </c>
      <c r="Q42" s="57" t="n">
        <f aca="false">SUM(Q10:Q40)</f>
        <v>0</v>
      </c>
      <c r="R42" s="57" t="n">
        <f aca="false">SUM(R10:R40)</f>
        <v>101.16</v>
      </c>
      <c r="S42" s="57"/>
      <c r="T42" s="57" t="n">
        <f aca="false">SUM(T10:T40)</f>
        <v>0</v>
      </c>
      <c r="U42" s="57" t="n">
        <f aca="false">SUM(U10:U40)</f>
        <v>1070.8</v>
      </c>
      <c r="V42" s="57" t="n">
        <f aca="false">V40</f>
        <v>3091.21002268717</v>
      </c>
      <c r="W42" s="57" t="n">
        <f aca="false">SUM(W10:W40)</f>
        <v>1171.96</v>
      </c>
      <c r="X42" s="57" t="n">
        <f aca="false">SUM(X10:X40)</f>
        <v>257.432843458533</v>
      </c>
      <c r="Y42" s="57" t="n">
        <f aca="false">SUM(Y10:Y40)</f>
        <v>1429.39284345853</v>
      </c>
      <c r="Z42" s="60" t="n">
        <f aca="false">SUM(Z10:Z40)</f>
        <v>1.35</v>
      </c>
      <c r="AA42" s="61" t="n">
        <f aca="false">AVERAGE(AA10:AA40)</f>
        <v>40.8387096774194</v>
      </c>
      <c r="AB42" s="61" t="n">
        <f aca="false">AVERAGE(AB10:AB40)</f>
        <v>18.6451612903226</v>
      </c>
      <c r="AC42" s="62"/>
      <c r="AD42" s="78"/>
      <c r="AE42" s="78"/>
      <c r="AF42" s="79"/>
    </row>
    <row r="43" customFormat="false" ht="11.1" hidden="false" customHeight="true" outlineLevel="0" collapsed="false">
      <c r="A43" s="56" t="s">
        <v>46</v>
      </c>
      <c r="B43" s="56"/>
      <c r="C43" s="57"/>
      <c r="D43" s="57" t="n">
        <f aca="false">SUM(D10:D40)</f>
        <v>4136</v>
      </c>
      <c r="E43" s="57"/>
      <c r="F43" s="57" t="n">
        <f aca="false">F42*$D$2</f>
        <v>4136</v>
      </c>
      <c r="G43" s="57" t="n">
        <f aca="false">G42*$D$2</f>
        <v>6970.85207</v>
      </c>
      <c r="H43" s="57" t="n">
        <f aca="false">H42*$D$2</f>
        <v>0</v>
      </c>
      <c r="I43" s="57" t="n">
        <f aca="false">I42*$D$2</f>
        <v>6970.85207</v>
      </c>
      <c r="J43" s="57" t="n">
        <f aca="false">J42*$D$2</f>
        <v>0.348634999999978</v>
      </c>
      <c r="K43" s="57" t="n">
        <f aca="false">K42*$D$2</f>
        <v>6971.200705</v>
      </c>
      <c r="L43" s="57" t="n">
        <f aca="false">L42*$D$2</f>
        <v>-510.26941</v>
      </c>
      <c r="M43" s="57" t="n">
        <f aca="false">M42*$D$2</f>
        <v>200.65086</v>
      </c>
      <c r="N43" s="57" t="n">
        <f aca="false">N42*$D$2</f>
        <v>0</v>
      </c>
      <c r="O43" s="57" t="n">
        <f aca="false">O42*$D$2</f>
        <v>200.65086</v>
      </c>
      <c r="P43" s="57" t="n">
        <f aca="false">P42*$D$2</f>
        <v>0</v>
      </c>
      <c r="Q43" s="57" t="n">
        <f aca="false">Q42*$D$2</f>
        <v>0</v>
      </c>
      <c r="R43" s="57" t="n">
        <f aca="false">R42*$D$2</f>
        <v>200.65086</v>
      </c>
      <c r="S43" s="57"/>
      <c r="T43" s="57" t="n">
        <f aca="false">T42*$D$2</f>
        <v>0</v>
      </c>
      <c r="U43" s="57" t="n">
        <f aca="false">U42*$D$2</f>
        <v>2123.9318</v>
      </c>
      <c r="V43" s="57" t="n">
        <f aca="false">V42*$D$2</f>
        <v>6131.41507999999</v>
      </c>
      <c r="W43" s="57" t="n">
        <f aca="false">W42*$D$2</f>
        <v>2324.58266</v>
      </c>
      <c r="X43" s="57" t="n">
        <f aca="false">X42*$D$2</f>
        <v>510.618045</v>
      </c>
      <c r="Y43" s="57" t="n">
        <f aca="false">Y42*$D$2</f>
        <v>2835.200705</v>
      </c>
      <c r="Z43" s="60"/>
      <c r="AA43" s="61" t="n">
        <f aca="false">MAX(AA10:AA40)</f>
        <v>57</v>
      </c>
      <c r="AB43" s="61" t="n">
        <f aca="false">MAX(AB10:AB40)</f>
        <v>33</v>
      </c>
      <c r="AC43" s="62" t="s">
        <v>47</v>
      </c>
      <c r="AD43" s="78"/>
      <c r="AE43" s="78"/>
      <c r="AF43" s="79"/>
    </row>
    <row r="44" customFormat="false" ht="3" hidden="false" customHeight="true" outlineLevel="0" collapsed="false">
      <c r="A44" s="83"/>
      <c r="B44" s="83"/>
      <c r="C44" s="85"/>
      <c r="D44" s="85"/>
      <c r="E44" s="85"/>
      <c r="F44" s="85"/>
      <c r="G44" s="85"/>
      <c r="H44" s="85"/>
      <c r="I44" s="85"/>
      <c r="J44" s="85"/>
      <c r="K44" s="85"/>
      <c r="L44" s="85"/>
      <c r="M44" s="85"/>
      <c r="N44" s="85"/>
      <c r="O44" s="85"/>
      <c r="P44" s="85"/>
      <c r="Q44" s="85"/>
      <c r="R44" s="85"/>
      <c r="S44" s="85"/>
      <c r="T44" s="85"/>
      <c r="U44" s="85"/>
      <c r="V44" s="83"/>
      <c r="W44" s="85"/>
      <c r="X44" s="85"/>
      <c r="Y44" s="85"/>
      <c r="Z44" s="60"/>
      <c r="AA44" s="61"/>
      <c r="AB44" s="61"/>
      <c r="AC44" s="62"/>
      <c r="AD44" s="78"/>
      <c r="AE44" s="78"/>
      <c r="AF44" s="79"/>
    </row>
    <row r="45" customFormat="false" ht="11.1" hidden="false" customHeight="true" outlineLevel="0" collapsed="false">
      <c r="A45" s="56" t="s">
        <v>48</v>
      </c>
      <c r="B45" s="56"/>
      <c r="C45" s="57"/>
      <c r="D45" s="57"/>
      <c r="E45" s="57"/>
      <c r="F45" s="57"/>
      <c r="G45" s="57"/>
      <c r="H45" s="57"/>
      <c r="I45" s="57"/>
      <c r="J45" s="57"/>
      <c r="K45" s="57"/>
      <c r="L45" s="57"/>
      <c r="M45" s="57"/>
      <c r="N45" s="57"/>
      <c r="O45" s="57"/>
      <c r="P45" s="57"/>
      <c r="Q45" s="57"/>
      <c r="R45" s="57"/>
      <c r="S45" s="57"/>
      <c r="T45" s="57"/>
      <c r="U45" s="57"/>
      <c r="V45" s="57"/>
      <c r="W45" s="57"/>
      <c r="X45" s="57"/>
      <c r="Y45" s="57"/>
      <c r="Z45" s="60"/>
      <c r="AA45" s="61" t="n">
        <f aca="false">MIN(AA10:AA40)</f>
        <v>14</v>
      </c>
      <c r="AB45" s="61" t="n">
        <f aca="false">MIN(AB10:AB40)</f>
        <v>2</v>
      </c>
      <c r="AC45" s="62" t="s">
        <v>49</v>
      </c>
      <c r="AD45" s="78"/>
      <c r="AE45" s="78"/>
      <c r="AF45" s="79"/>
    </row>
    <row r="46" customFormat="false" ht="11.1" hidden="false" customHeight="true" outlineLevel="0" collapsed="false">
      <c r="A46" s="56" t="s">
        <v>50</v>
      </c>
      <c r="B46" s="56"/>
      <c r="C46" s="57"/>
      <c r="D46" s="57"/>
      <c r="E46" s="57"/>
      <c r="F46" s="57"/>
      <c r="G46" s="57"/>
      <c r="H46" s="57"/>
      <c r="I46" s="57"/>
      <c r="J46" s="57"/>
      <c r="K46" s="57"/>
      <c r="L46" s="57"/>
      <c r="M46" s="57"/>
      <c r="N46" s="57"/>
      <c r="O46" s="57"/>
      <c r="P46" s="57"/>
      <c r="Q46" s="57"/>
      <c r="R46" s="57"/>
      <c r="S46" s="57"/>
      <c r="T46" s="57"/>
      <c r="U46" s="57"/>
      <c r="V46" s="57"/>
      <c r="W46" s="57"/>
      <c r="X46" s="57"/>
      <c r="Y46" s="57"/>
      <c r="Z46" s="60"/>
      <c r="AA46" s="61"/>
      <c r="AB46" s="61"/>
      <c r="AC46" s="62"/>
      <c r="AD46" s="78"/>
      <c r="AE46" s="78"/>
      <c r="AF46" s="79"/>
    </row>
    <row r="47" customFormat="false" ht="3" hidden="false" customHeight="true" outlineLevel="0" collapsed="false">
      <c r="A47" s="83"/>
      <c r="B47" s="83"/>
      <c r="C47" s="85"/>
      <c r="D47" s="85"/>
      <c r="E47" s="85"/>
      <c r="F47" s="85"/>
      <c r="G47" s="85"/>
      <c r="H47" s="88"/>
      <c r="I47" s="85"/>
      <c r="J47" s="85"/>
      <c r="K47" s="85"/>
      <c r="L47" s="85"/>
      <c r="M47" s="85"/>
      <c r="N47" s="85"/>
      <c r="O47" s="85"/>
      <c r="P47" s="85"/>
      <c r="Q47" s="85"/>
      <c r="R47" s="85"/>
      <c r="S47" s="85"/>
      <c r="T47" s="85"/>
      <c r="U47" s="85"/>
      <c r="V47" s="85"/>
      <c r="W47" s="85"/>
      <c r="X47" s="85"/>
      <c r="Y47" s="85"/>
      <c r="Z47" s="87"/>
      <c r="AA47" s="61"/>
      <c r="AB47" s="61"/>
      <c r="AC47" s="62"/>
      <c r="AD47" s="78"/>
      <c r="AE47" s="78"/>
      <c r="AF47" s="79"/>
    </row>
    <row r="48" customFormat="false" ht="11.1" hidden="false" customHeight="true" outlineLevel="0" collapsed="false">
      <c r="A48" s="56" t="s">
        <v>51</v>
      </c>
      <c r="B48" s="56"/>
      <c r="C48" s="57"/>
      <c r="D48" s="57"/>
      <c r="E48" s="57"/>
      <c r="F48" s="57" t="n">
        <f aca="false">F8+F42</f>
        <v>5301.23519032014</v>
      </c>
      <c r="G48" s="57" t="n">
        <f aca="false">G8+G42</f>
        <v>7167.13</v>
      </c>
      <c r="H48" s="61" t="n">
        <f aca="false">H8+H42</f>
        <v>118.7</v>
      </c>
      <c r="I48" s="57" t="n">
        <f aca="false">I8+I42</f>
        <v>7084.93</v>
      </c>
      <c r="J48" s="57" t="n">
        <f aca="false">J8+J42</f>
        <v>1608.23245021427</v>
      </c>
      <c r="K48" s="57" t="n">
        <f aca="false">K8+K42</f>
        <v>8693.16245021427</v>
      </c>
      <c r="L48" s="57" t="n">
        <f aca="false">L8+L42</f>
        <v>1032.52519032014</v>
      </c>
      <c r="M48" s="57" t="n">
        <f aca="false">M8+M42</f>
        <v>370.24</v>
      </c>
      <c r="N48" s="57" t="n">
        <f aca="false">N8+N42</f>
        <v>0</v>
      </c>
      <c r="O48" s="57" t="n">
        <f aca="false">O8+O42</f>
        <v>101.16</v>
      </c>
      <c r="P48" s="57" t="n">
        <f aca="false">P8+P42</f>
        <v>104.07</v>
      </c>
      <c r="Q48" s="57" t="n">
        <f aca="false">Q8+Q42</f>
        <v>198.8</v>
      </c>
      <c r="R48" s="57" t="n">
        <f aca="false">R8+R42</f>
        <v>611.047</v>
      </c>
      <c r="S48" s="57"/>
      <c r="T48" s="57" t="n">
        <f aca="false">T8+T42</f>
        <v>0</v>
      </c>
      <c r="U48" s="57" t="n">
        <f aca="false">U8+U42</f>
        <v>2143.11</v>
      </c>
      <c r="V48" s="57" t="n">
        <f aca="false">V40</f>
        <v>3091.21002268717</v>
      </c>
      <c r="W48" s="57" t="n">
        <f aca="false">W8+W42</f>
        <v>2816.22</v>
      </c>
      <c r="X48" s="57" t="n">
        <f aca="false">X8+X42</f>
        <v>575.707259894127</v>
      </c>
      <c r="Y48" s="57" t="n">
        <f aca="false">Y8+Y42</f>
        <v>3391.92725989413</v>
      </c>
      <c r="Z48" s="81" t="n">
        <f aca="false">Z8+Z42</f>
        <v>4.05</v>
      </c>
      <c r="AA48" s="61"/>
      <c r="AB48" s="61"/>
      <c r="AC48" s="62"/>
      <c r="AD48" s="78"/>
      <c r="AE48" s="78"/>
      <c r="AF48" s="79"/>
    </row>
    <row r="49" customFormat="false" ht="11.1" hidden="false" customHeight="true" outlineLevel="0" collapsed="false">
      <c r="A49" s="56" t="s">
        <v>52</v>
      </c>
      <c r="B49" s="56"/>
      <c r="C49" s="57"/>
      <c r="D49" s="57" t="n">
        <f aca="false">D8+D43</f>
        <v>10515</v>
      </c>
      <c r="E49" s="57" t="n">
        <f aca="false">E40</f>
        <v>104528</v>
      </c>
      <c r="F49" s="57" t="n">
        <f aca="false">F48*$D$2</f>
        <v>10515</v>
      </c>
      <c r="G49" s="57" t="n">
        <f aca="false">G48*$D$2</f>
        <v>14216.002355</v>
      </c>
      <c r="H49" s="61" t="n">
        <f aca="false">H48*$D$2</f>
        <v>235.44145</v>
      </c>
      <c r="I49" s="57" t="n">
        <f aca="false">I48*$D$2</f>
        <v>14052.958655</v>
      </c>
      <c r="J49" s="57" t="n">
        <f aca="false">J48*$D$2</f>
        <v>3189.929065</v>
      </c>
      <c r="K49" s="57" t="n">
        <f aca="false">K48*$D$2</f>
        <v>17242.88772</v>
      </c>
      <c r="L49" s="57" t="n">
        <f aca="false">L48*$D$2</f>
        <v>2048.013715</v>
      </c>
      <c r="M49" s="57" t="n">
        <f aca="false">M48*$D$2</f>
        <v>734.37104</v>
      </c>
      <c r="N49" s="57" t="n">
        <f aca="false">N48*$D$2</f>
        <v>0</v>
      </c>
      <c r="O49" s="57" t="n">
        <f aca="false">O48*$D$2</f>
        <v>200.65086</v>
      </c>
      <c r="P49" s="57" t="n">
        <f aca="false">P48*$D$2</f>
        <v>206.422845</v>
      </c>
      <c r="Q49" s="57" t="n">
        <f aca="false">Q48*$D$2</f>
        <v>394.3198</v>
      </c>
      <c r="R49" s="57" t="n">
        <f aca="false">R48*$D$2</f>
        <v>1212.0117245</v>
      </c>
      <c r="S49" s="57" t="n">
        <f aca="false">S48*$D$2</f>
        <v>0</v>
      </c>
      <c r="T49" s="57" t="n">
        <f aca="false">T48*$D$2</f>
        <v>0</v>
      </c>
      <c r="U49" s="57" t="n">
        <f aca="false">U48*$D$2</f>
        <v>4250.858685</v>
      </c>
      <c r="V49" s="57" t="n">
        <f aca="false">V40*$D$2</f>
        <v>6131.41507999999</v>
      </c>
      <c r="W49" s="57" t="n">
        <f aca="false">W48*$D$2</f>
        <v>5585.97237</v>
      </c>
      <c r="X49" s="57" t="n">
        <f aca="false">X48*$D$2</f>
        <v>1141.91535</v>
      </c>
      <c r="Y49" s="57" t="n">
        <f aca="false">Y48*$D$2</f>
        <v>6727.88772</v>
      </c>
      <c r="Z49" s="60"/>
      <c r="AA49" s="61"/>
      <c r="AB49" s="61"/>
      <c r="AC49" s="62"/>
      <c r="AD49" s="78"/>
      <c r="AE49" s="78"/>
      <c r="AF49" s="79"/>
    </row>
    <row r="50" customFormat="false" ht="3" hidden="false" customHeight="true" outlineLevel="0" collapsed="false">
      <c r="A50" s="83"/>
      <c r="B50" s="83"/>
      <c r="C50" s="85"/>
      <c r="D50" s="83"/>
      <c r="E50" s="85"/>
      <c r="F50" s="83"/>
      <c r="G50" s="83"/>
      <c r="H50" s="86"/>
      <c r="I50" s="83"/>
      <c r="J50" s="83"/>
      <c r="K50" s="83"/>
      <c r="L50" s="83"/>
      <c r="M50" s="83"/>
      <c r="N50" s="83"/>
      <c r="O50" s="83"/>
      <c r="P50" s="83"/>
      <c r="Q50" s="83"/>
      <c r="R50" s="83"/>
      <c r="S50" s="85"/>
      <c r="T50" s="83"/>
      <c r="U50" s="83"/>
      <c r="V50" s="85"/>
      <c r="W50" s="83"/>
      <c r="X50" s="83"/>
      <c r="Y50" s="83"/>
      <c r="Z50" s="60"/>
      <c r="AA50" s="61"/>
      <c r="AB50" s="61"/>
      <c r="AC50" s="62"/>
      <c r="AD50" s="78"/>
      <c r="AE50" s="78"/>
      <c r="AF50" s="79"/>
    </row>
    <row r="51" customFormat="false" ht="11.1" hidden="false" customHeight="true" outlineLevel="0" collapsed="false">
      <c r="A51" s="56" t="str">
        <f aca="false">"JUN /9"</f>
        <v>JUN /9</v>
      </c>
      <c r="B51" s="93"/>
      <c r="C51" s="57"/>
      <c r="D51" s="56"/>
      <c r="E51" s="57"/>
      <c r="F51" s="56"/>
      <c r="G51" s="56"/>
      <c r="H51" s="58"/>
      <c r="I51" s="56"/>
      <c r="J51" s="56"/>
      <c r="K51" s="56"/>
      <c r="L51" s="56"/>
      <c r="M51" s="56"/>
      <c r="N51" s="56"/>
      <c r="O51" s="56"/>
      <c r="P51" s="56"/>
      <c r="Q51" s="56"/>
      <c r="R51" s="56"/>
      <c r="S51" s="57"/>
      <c r="T51" s="56"/>
      <c r="U51" s="56"/>
      <c r="V51" s="57"/>
      <c r="W51" s="56"/>
      <c r="X51" s="56"/>
      <c r="Y51" s="56"/>
      <c r="Z51" s="60"/>
      <c r="AA51" s="61"/>
      <c r="AB51" s="61"/>
      <c r="AC51" s="62"/>
      <c r="AD51" s="63"/>
      <c r="AE51" s="63"/>
    </row>
    <row r="52" customFormat="false" ht="11.1" hidden="false" customHeight="true" outlineLevel="0" collapsed="false">
      <c r="A52" s="56"/>
      <c r="B52" s="80" t="n">
        <v>6924.15</v>
      </c>
      <c r="C52" s="57" t="n">
        <v>381833</v>
      </c>
      <c r="D52" s="90"/>
      <c r="E52" s="57" t="n">
        <f aca="false">C52-152000</f>
        <v>229833</v>
      </c>
      <c r="F52" s="56"/>
      <c r="G52" s="56"/>
      <c r="H52" s="90"/>
      <c r="I52" s="58"/>
      <c r="J52" s="56"/>
      <c r="K52" s="46"/>
      <c r="L52" s="56"/>
      <c r="M52" s="56"/>
      <c r="N52" s="56"/>
      <c r="O52" s="56"/>
      <c r="P52" s="56"/>
      <c r="Q52" s="56"/>
      <c r="R52" s="56"/>
      <c r="S52" s="57"/>
      <c r="T52" s="56"/>
      <c r="U52" s="56"/>
      <c r="V52" s="57"/>
      <c r="W52" s="56"/>
      <c r="X52" s="56"/>
      <c r="Y52" s="56"/>
      <c r="Z52" s="60"/>
      <c r="AA52" s="61"/>
      <c r="AB52" s="61"/>
      <c r="AC52" s="62"/>
      <c r="AD52" s="63"/>
      <c r="AE52" s="63"/>
    </row>
    <row r="53" customFormat="false" ht="11.1" hidden="false" customHeight="true" outlineLevel="0" collapsed="false">
      <c r="A53" s="90" t="str">
        <f aca="false">"5/12/94 thru 6/9/94"</f>
        <v>5/12/94 thru 6/9/94</v>
      </c>
      <c r="B53" s="90"/>
      <c r="C53" s="57"/>
      <c r="D53" s="57"/>
      <c r="E53" s="57"/>
      <c r="F53" s="90"/>
      <c r="G53" s="90"/>
      <c r="H53" s="58"/>
      <c r="I53" s="90"/>
      <c r="J53" s="90"/>
      <c r="K53" s="90"/>
      <c r="L53" s="90"/>
      <c r="M53" s="81"/>
      <c r="N53" s="81"/>
      <c r="O53" s="81"/>
      <c r="P53" s="90"/>
      <c r="Q53" s="90"/>
      <c r="R53" s="90"/>
      <c r="S53" s="57"/>
      <c r="T53" s="90"/>
      <c r="U53" s="90"/>
      <c r="V53" s="57"/>
      <c r="W53" s="90"/>
      <c r="X53" s="90"/>
      <c r="Y53" s="90"/>
      <c r="Z53" s="60"/>
      <c r="AA53" s="61"/>
      <c r="AB53" s="61"/>
      <c r="AC53" s="62"/>
      <c r="AD53" s="94"/>
      <c r="AE53" s="94"/>
    </row>
    <row r="54" customFormat="false" ht="11.1" hidden="false" customHeight="true" outlineLevel="0" collapsed="false">
      <c r="A54" s="90"/>
      <c r="B54" s="60" t="n">
        <f aca="false">B52-B21</f>
        <v>32.29</v>
      </c>
      <c r="C54" s="57"/>
      <c r="D54" s="57" t="n">
        <f aca="false">C52-C22</f>
        <v>127071</v>
      </c>
      <c r="E54" s="57"/>
      <c r="F54" s="90"/>
      <c r="G54" s="90"/>
      <c r="H54" s="58"/>
      <c r="I54" s="90"/>
      <c r="J54" s="90"/>
      <c r="K54" s="90"/>
      <c r="L54" s="90"/>
      <c r="M54" s="81"/>
      <c r="N54" s="81"/>
      <c r="O54" s="81"/>
      <c r="P54" s="90"/>
      <c r="Q54" s="90"/>
      <c r="R54" s="90"/>
      <c r="S54" s="57"/>
      <c r="T54" s="90"/>
      <c r="U54" s="90"/>
      <c r="V54" s="57"/>
      <c r="W54" s="90"/>
      <c r="X54" s="90"/>
      <c r="Y54" s="90"/>
      <c r="Z54" s="60"/>
      <c r="AA54" s="61"/>
      <c r="AB54" s="61"/>
      <c r="AC54" s="62"/>
      <c r="AD54" s="94"/>
      <c r="AE54" s="94"/>
    </row>
    <row r="55" customFormat="false" ht="11.1" hidden="false" customHeight="true" outlineLevel="0" collapsed="false">
      <c r="A55" s="90"/>
      <c r="B55" s="90"/>
      <c r="C55" s="57"/>
      <c r="D55" s="90"/>
      <c r="E55" s="57"/>
      <c r="F55" s="90"/>
      <c r="G55" s="95"/>
      <c r="H55" s="58"/>
      <c r="I55" s="90"/>
      <c r="J55" s="90"/>
      <c r="K55" s="90"/>
      <c r="L55" s="90"/>
      <c r="M55" s="81"/>
      <c r="N55" s="81"/>
      <c r="O55" s="81"/>
      <c r="P55" s="90"/>
      <c r="Q55" s="90"/>
      <c r="R55" s="90"/>
      <c r="S55" s="57"/>
      <c r="T55" s="90"/>
      <c r="U55" s="90"/>
      <c r="V55" s="57"/>
      <c r="W55" s="90"/>
      <c r="X55" s="90"/>
      <c r="Y55" s="90"/>
      <c r="Z55" s="60"/>
      <c r="AA55" s="61"/>
      <c r="AB55" s="61"/>
      <c r="AC55" s="62"/>
      <c r="AD55" s="94"/>
      <c r="AE55" s="94"/>
    </row>
  </sheetData>
  <mergeCells count="2">
    <mergeCell ref="K2:T2"/>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5"/>
  <sheetViews>
    <sheetView showFormulas="false" showGridLines="true" showRowColHeaders="true" showZeros="true" rightToLeft="false" tabSelected="false" showOutlineSymbols="true" defaultGridColor="true" view="normal" topLeftCell="N1" colorId="64" zoomScale="100" zoomScaleNormal="100" zoomScalePageLayoutView="100" workbookViewId="0">
      <selection pane="topLeft" activeCell="U10" activeCellId="0" sqref="U10"/>
    </sheetView>
  </sheetViews>
  <sheetFormatPr defaultColWidth="9.328125" defaultRowHeight="11.1" zeroHeight="false" outlineLevelRow="0" outlineLevelCol="0"/>
  <cols>
    <col collapsed="false" customWidth="true" hidden="false" outlineLevel="0" max="1" min="1" style="49" width="5.66"/>
    <col collapsed="false" customWidth="false" hidden="false" outlineLevel="0" max="2" min="2" style="49" width="9.32"/>
    <col collapsed="false" customWidth="true" hidden="false" outlineLevel="0" max="3" min="3" style="50" width="7.66"/>
    <col collapsed="false" customWidth="true" hidden="false" outlineLevel="0" max="4" min="4" style="49" width="6.82"/>
    <col collapsed="false" customWidth="true" hidden="false" outlineLevel="0" max="5" min="5" style="50" width="7.66"/>
    <col collapsed="false" customWidth="true" hidden="false" outlineLevel="0" max="7" min="6" style="49" width="7.66"/>
    <col collapsed="false" customWidth="true" hidden="false" outlineLevel="0" max="8" min="8" style="51" width="7.16"/>
    <col collapsed="false" customWidth="true" hidden="false" outlineLevel="0" max="9" min="9" style="49" width="8.82"/>
    <col collapsed="false" customWidth="true" hidden="false" outlineLevel="0" max="11" min="10" style="49" width="7.66"/>
    <col collapsed="false" customWidth="true" hidden="false" outlineLevel="0" max="12" min="12" style="49" width="6.49"/>
    <col collapsed="false" customWidth="true" hidden="false" outlineLevel="0" max="15" min="13" style="52" width="7.49"/>
    <col collapsed="false" customWidth="true" hidden="false" outlineLevel="0" max="16" min="16" style="49" width="7.66"/>
    <col collapsed="false" customWidth="true" hidden="false" outlineLevel="0" max="17" min="17" style="49" width="7.16"/>
    <col collapsed="false" customWidth="true" hidden="false" outlineLevel="0" max="18" min="18" style="49" width="6.66"/>
    <col collapsed="false" customWidth="true" hidden="false" outlineLevel="0" max="19" min="19" style="50" width="6.66"/>
    <col collapsed="false" customWidth="true" hidden="false" outlineLevel="0" max="20" min="20" style="49" width="5.82"/>
    <col collapsed="false" customWidth="true" hidden="false" outlineLevel="0" max="21" min="21" style="49" width="7.49"/>
    <col collapsed="false" customWidth="true" hidden="false" outlineLevel="0" max="22" min="22" style="50" width="6.32"/>
    <col collapsed="false" customWidth="true" hidden="false" outlineLevel="0" max="25" min="23" style="49" width="7.82"/>
    <col collapsed="false" customWidth="true" hidden="false" outlineLevel="0" max="26" min="26" style="53" width="5.66"/>
    <col collapsed="false" customWidth="true" hidden="false" outlineLevel="0" max="28" min="27" style="54" width="5.66"/>
    <col collapsed="false" customWidth="true" hidden="false" outlineLevel="0" max="29" min="29" style="55" width="5.66"/>
    <col collapsed="false" customWidth="false" hidden="false" outlineLevel="0" max="257" min="30" style="49" width="9.32"/>
  </cols>
  <sheetData>
    <row r="1" customFormat="false" ht="14.1" hidden="false" customHeight="true" outlineLevel="0" collapsed="false">
      <c r="A1" s="56"/>
      <c r="B1" s="56"/>
      <c r="C1" s="57"/>
      <c r="D1" s="56"/>
      <c r="E1" s="57"/>
      <c r="F1" s="56"/>
      <c r="G1" s="56"/>
      <c r="H1" s="58"/>
      <c r="I1" s="56"/>
      <c r="J1" s="56"/>
      <c r="K1" s="59" t="s">
        <v>0</v>
      </c>
      <c r="L1" s="56"/>
      <c r="M1" s="56"/>
      <c r="N1" s="56"/>
      <c r="O1" s="56"/>
      <c r="P1" s="56"/>
      <c r="Q1" s="56"/>
      <c r="R1" s="56"/>
      <c r="S1" s="57"/>
      <c r="T1" s="56"/>
      <c r="U1" s="56"/>
      <c r="V1" s="57"/>
      <c r="W1" s="56"/>
      <c r="X1" s="56"/>
      <c r="Y1" s="56"/>
      <c r="Z1" s="60"/>
      <c r="AA1" s="61"/>
      <c r="AB1" s="61"/>
      <c r="AC1" s="62"/>
      <c r="AD1" s="63"/>
      <c r="AE1" s="63"/>
    </row>
    <row r="2" customFormat="false" ht="14.1" hidden="false" customHeight="true" outlineLevel="0" collapsed="false">
      <c r="A2" s="56" t="s">
        <v>1</v>
      </c>
      <c r="B2" s="56"/>
      <c r="C2" s="57"/>
      <c r="D2" s="64" t="n">
        <v>1.9835</v>
      </c>
      <c r="E2" s="57"/>
      <c r="F2" s="56"/>
      <c r="G2" s="56"/>
      <c r="H2" s="58"/>
      <c r="I2" s="56"/>
      <c r="J2" s="56"/>
      <c r="K2" s="65" t="s">
        <v>57</v>
      </c>
      <c r="L2" s="65"/>
      <c r="M2" s="65"/>
      <c r="N2" s="65"/>
      <c r="O2" s="65"/>
      <c r="P2" s="65"/>
      <c r="Q2" s="65"/>
      <c r="R2" s="65"/>
      <c r="S2" s="65"/>
      <c r="T2" s="65"/>
      <c r="U2" s="56"/>
      <c r="V2" s="57"/>
      <c r="W2" s="56"/>
      <c r="X2" s="56"/>
      <c r="Y2" s="56"/>
      <c r="Z2" s="60"/>
      <c r="AA2" s="61"/>
      <c r="AB2" s="61"/>
      <c r="AC2" s="62"/>
      <c r="AD2" s="63"/>
      <c r="AE2" s="63"/>
    </row>
    <row r="3" customFormat="false" ht="11.1" hidden="false" customHeight="true" outlineLevel="0" collapsed="false">
      <c r="A3" s="56"/>
      <c r="B3" s="56"/>
      <c r="C3" s="57"/>
      <c r="D3" s="66"/>
      <c r="E3" s="57"/>
      <c r="F3" s="56"/>
      <c r="G3" s="56"/>
      <c r="H3" s="58"/>
      <c r="I3" s="56"/>
      <c r="J3" s="56"/>
      <c r="K3" s="56"/>
      <c r="L3" s="56"/>
      <c r="M3" s="56"/>
      <c r="N3" s="56"/>
      <c r="O3" s="56"/>
      <c r="P3" s="56"/>
      <c r="Q3" s="56"/>
      <c r="R3" s="56"/>
      <c r="S3" s="57"/>
      <c r="T3" s="56"/>
      <c r="U3" s="56"/>
      <c r="V3" s="57"/>
      <c r="W3" s="56"/>
      <c r="X3" s="56"/>
      <c r="Y3" s="56"/>
      <c r="Z3" s="60"/>
      <c r="AA3" s="61"/>
      <c r="AB3" s="61"/>
      <c r="AC3" s="62"/>
      <c r="AD3" s="63"/>
      <c r="AE3" s="63"/>
    </row>
    <row r="4" customFormat="false" ht="11.1" hidden="false" customHeight="true" outlineLevel="0" collapsed="false">
      <c r="A4" s="67" t="s">
        <v>3</v>
      </c>
      <c r="B4" s="67" t="s">
        <v>4</v>
      </c>
      <c r="C4" s="68" t="s">
        <v>4</v>
      </c>
      <c r="D4" s="67" t="s">
        <v>5</v>
      </c>
      <c r="E4" s="68" t="s">
        <v>6</v>
      </c>
      <c r="F4" s="67" t="s">
        <v>7</v>
      </c>
      <c r="G4" s="67" t="s">
        <v>8</v>
      </c>
      <c r="H4" s="69" t="s">
        <v>9</v>
      </c>
      <c r="I4" s="67" t="s">
        <v>10</v>
      </c>
      <c r="J4" s="67" t="s">
        <v>11</v>
      </c>
      <c r="K4" s="67" t="s">
        <v>12</v>
      </c>
      <c r="L4" s="67" t="s">
        <v>11</v>
      </c>
      <c r="M4" s="67" t="s">
        <v>13</v>
      </c>
      <c r="N4" s="67"/>
      <c r="O4" s="67"/>
      <c r="P4" s="67" t="s">
        <v>14</v>
      </c>
      <c r="Q4" s="67" t="s">
        <v>15</v>
      </c>
      <c r="R4" s="67" t="s">
        <v>12</v>
      </c>
      <c r="S4" s="68" t="s">
        <v>16</v>
      </c>
      <c r="T4" s="67" t="s">
        <v>17</v>
      </c>
      <c r="U4" s="67" t="s">
        <v>18</v>
      </c>
      <c r="V4" s="68" t="s">
        <v>19</v>
      </c>
      <c r="W4" s="67" t="s">
        <v>10</v>
      </c>
      <c r="X4" s="67" t="s">
        <v>11</v>
      </c>
      <c r="Y4" s="67" t="s">
        <v>12</v>
      </c>
      <c r="Z4" s="70" t="s">
        <v>20</v>
      </c>
      <c r="AA4" s="71" t="s">
        <v>21</v>
      </c>
      <c r="AB4" s="71" t="s">
        <v>22</v>
      </c>
      <c r="AC4" s="71" t="s">
        <v>3</v>
      </c>
      <c r="AD4" s="63"/>
      <c r="AE4" s="63"/>
    </row>
    <row r="5" customFormat="false" ht="11.1" hidden="false" customHeight="true" outlineLevel="0" collapsed="false">
      <c r="A5" s="72" t="s">
        <v>58</v>
      </c>
      <c r="B5" s="67" t="s">
        <v>24</v>
      </c>
      <c r="C5" s="68" t="s">
        <v>5</v>
      </c>
      <c r="D5" s="67" t="s">
        <v>25</v>
      </c>
      <c r="E5" s="68" t="s">
        <v>26</v>
      </c>
      <c r="F5" s="67" t="s">
        <v>27</v>
      </c>
      <c r="G5" s="67" t="s">
        <v>28</v>
      </c>
      <c r="H5" s="69" t="s">
        <v>29</v>
      </c>
      <c r="I5" s="67" t="s">
        <v>30</v>
      </c>
      <c r="J5" s="67" t="s">
        <v>30</v>
      </c>
      <c r="K5" s="67" t="s">
        <v>30</v>
      </c>
      <c r="L5" s="67" t="s">
        <v>31</v>
      </c>
      <c r="M5" s="67" t="s">
        <v>32</v>
      </c>
      <c r="N5" s="67" t="s">
        <v>33</v>
      </c>
      <c r="O5" s="67" t="s">
        <v>55</v>
      </c>
      <c r="P5" s="67" t="s">
        <v>35</v>
      </c>
      <c r="Q5" s="67" t="s">
        <v>36</v>
      </c>
      <c r="R5" s="67" t="s">
        <v>16</v>
      </c>
      <c r="S5" s="68" t="s">
        <v>37</v>
      </c>
      <c r="T5" s="67" t="s">
        <v>38</v>
      </c>
      <c r="U5" s="67" t="s">
        <v>39</v>
      </c>
      <c r="V5" s="68" t="s">
        <v>40</v>
      </c>
      <c r="W5" s="67" t="s">
        <v>41</v>
      </c>
      <c r="X5" s="67" t="s">
        <v>41</v>
      </c>
      <c r="Y5" s="67" t="s">
        <v>41</v>
      </c>
      <c r="Z5" s="73"/>
      <c r="AA5" s="71" t="s">
        <v>42</v>
      </c>
      <c r="AB5" s="71" t="s">
        <v>42</v>
      </c>
      <c r="AC5" s="74" t="s">
        <v>58</v>
      </c>
      <c r="AD5" s="63"/>
      <c r="AE5" s="63"/>
    </row>
    <row r="6" customFormat="false" ht="11.1" hidden="false" customHeight="true" outlineLevel="0" collapsed="false">
      <c r="A6" s="75"/>
      <c r="B6" s="75"/>
      <c r="C6" s="76"/>
      <c r="D6" s="75"/>
      <c r="E6" s="76"/>
      <c r="F6" s="75"/>
      <c r="G6" s="75"/>
      <c r="H6" s="77"/>
      <c r="I6" s="75"/>
      <c r="J6" s="75"/>
      <c r="K6" s="75"/>
      <c r="L6" s="75"/>
      <c r="M6" s="75"/>
      <c r="N6" s="75"/>
      <c r="O6" s="75"/>
      <c r="P6" s="75"/>
      <c r="Q6" s="75"/>
      <c r="R6" s="75"/>
      <c r="S6" s="76"/>
      <c r="T6" s="75"/>
      <c r="U6" s="75"/>
      <c r="V6" s="76"/>
      <c r="W6" s="75"/>
      <c r="X6" s="75"/>
      <c r="Y6" s="75"/>
      <c r="Z6" s="60"/>
      <c r="AA6" s="62"/>
      <c r="AB6" s="62"/>
      <c r="AC6" s="62"/>
      <c r="AD6" s="78"/>
      <c r="AE6" s="78"/>
      <c r="AF6" s="79"/>
    </row>
    <row r="7" customFormat="false" ht="11.1" hidden="false" customHeight="true" outlineLevel="0" collapsed="false">
      <c r="A7" s="56" t="s">
        <v>43</v>
      </c>
      <c r="B7" s="56"/>
      <c r="C7" s="57"/>
      <c r="D7" s="57"/>
      <c r="E7" s="57"/>
      <c r="F7" s="57"/>
      <c r="G7" s="57"/>
      <c r="H7" s="61"/>
      <c r="I7" s="57"/>
      <c r="J7" s="57"/>
      <c r="K7" s="57"/>
      <c r="L7" s="57"/>
      <c r="M7" s="57"/>
      <c r="N7" s="57"/>
      <c r="O7" s="57"/>
      <c r="P7" s="57"/>
      <c r="Q7" s="57"/>
      <c r="R7" s="57"/>
      <c r="S7" s="57"/>
      <c r="T7" s="57"/>
      <c r="U7" s="57"/>
      <c r="V7" s="57"/>
      <c r="W7" s="57"/>
      <c r="X7" s="57"/>
      <c r="Y7" s="57"/>
      <c r="Z7" s="60"/>
      <c r="AA7" s="61"/>
      <c r="AB7" s="61"/>
      <c r="AC7" s="62"/>
      <c r="AD7" s="78"/>
      <c r="AE7" s="79"/>
      <c r="AF7" s="79"/>
    </row>
    <row r="8" s="50" customFormat="true" ht="11.1" hidden="false" customHeight="true" outlineLevel="0" collapsed="false">
      <c r="A8" s="57" t="s">
        <v>44</v>
      </c>
      <c r="B8" s="80" t="n">
        <f aca="false" t="array" ref="B8:C8">DEC!$B$40:$C$40</f>
        <v>6892.44</v>
      </c>
      <c r="C8" s="57" t="n">
        <v>256528</v>
      </c>
      <c r="D8" s="57" t="n">
        <f aca="false" t="array" ref="D8:E8">DEC!$D$49:$E$49</f>
        <v>10515</v>
      </c>
      <c r="E8" s="57" t="n">
        <v>104528</v>
      </c>
      <c r="F8" s="57" t="n">
        <f aca="false" t="array" ref="F8:Z8">DEC!$F$48:$Z$48</f>
        <v>5301.23519032014</v>
      </c>
      <c r="G8" s="57" t="n">
        <v>7167.13</v>
      </c>
      <c r="H8" s="61" t="n">
        <v>118.7</v>
      </c>
      <c r="I8" s="57" t="n">
        <v>7084.93</v>
      </c>
      <c r="J8" s="57" t="n">
        <v>1608.23245021427</v>
      </c>
      <c r="K8" s="57" t="n">
        <v>8693.16245021427</v>
      </c>
      <c r="L8" s="57" t="n">
        <v>1032.52519032014</v>
      </c>
      <c r="M8" s="57" t="n">
        <v>370.24</v>
      </c>
      <c r="N8" s="57" t="n">
        <v>0</v>
      </c>
      <c r="O8" s="57" t="n">
        <v>101.16</v>
      </c>
      <c r="P8" s="57" t="n">
        <v>104.07</v>
      </c>
      <c r="Q8" s="57" t="n">
        <v>198.8</v>
      </c>
      <c r="R8" s="57" t="n">
        <v>611.047</v>
      </c>
      <c r="S8" s="57" t="n">
        <v>0</v>
      </c>
      <c r="T8" s="57" t="n">
        <v>0</v>
      </c>
      <c r="U8" s="57" t="n">
        <v>2143.11</v>
      </c>
      <c r="V8" s="57" t="n">
        <v>3091.21002268717</v>
      </c>
      <c r="W8" s="57" t="n">
        <v>2816.22</v>
      </c>
      <c r="X8" s="57" t="n">
        <v>575.707259894127</v>
      </c>
      <c r="Y8" s="57" t="n">
        <v>3391.92725989413</v>
      </c>
      <c r="Z8" s="81" t="n">
        <v>4.05</v>
      </c>
      <c r="AA8" s="61"/>
      <c r="AB8" s="61"/>
      <c r="AC8" s="62"/>
      <c r="AD8" s="82"/>
      <c r="AE8" s="78"/>
      <c r="AF8" s="82"/>
    </row>
    <row r="9" customFormat="false" ht="3" hidden="false" customHeight="true" outlineLevel="0" collapsed="false">
      <c r="A9" s="83"/>
      <c r="B9" s="84"/>
      <c r="C9" s="85"/>
      <c r="D9" s="83"/>
      <c r="E9" s="85"/>
      <c r="F9" s="83"/>
      <c r="G9" s="83"/>
      <c r="H9" s="86"/>
      <c r="I9" s="83"/>
      <c r="J9" s="83"/>
      <c r="K9" s="83"/>
      <c r="L9" s="83"/>
      <c r="M9" s="83"/>
      <c r="N9" s="83"/>
      <c r="O9" s="83"/>
      <c r="P9" s="83"/>
      <c r="Q9" s="83"/>
      <c r="R9" s="83"/>
      <c r="S9" s="85"/>
      <c r="T9" s="83"/>
      <c r="U9" s="83"/>
      <c r="V9" s="85"/>
      <c r="W9" s="83"/>
      <c r="X9" s="83"/>
      <c r="Y9" s="83"/>
      <c r="Z9" s="87"/>
      <c r="AA9" s="88"/>
      <c r="AB9" s="88"/>
      <c r="AC9" s="89"/>
      <c r="AD9" s="78"/>
      <c r="AE9" s="78"/>
      <c r="AF9" s="79"/>
    </row>
    <row r="10" customFormat="false" ht="11.1" hidden="false" customHeight="true" outlineLevel="0" collapsed="false">
      <c r="A10" s="62" t="n">
        <v>1</v>
      </c>
      <c r="B10" s="80" t="n">
        <v>6892.46</v>
      </c>
      <c r="C10" s="57" t="n">
        <v>256597</v>
      </c>
      <c r="D10" s="61" t="n">
        <f aca="false">C10-C8</f>
        <v>69</v>
      </c>
      <c r="E10" s="57" t="n">
        <f aca="false">C10-152000</f>
        <v>104597</v>
      </c>
      <c r="F10" s="56" t="n">
        <f aca="false">D10/$D$2</f>
        <v>34.7869926896899</v>
      </c>
      <c r="G10" s="56" t="n">
        <v>73.1</v>
      </c>
      <c r="H10" s="58" t="n">
        <v>0</v>
      </c>
      <c r="I10" s="56" t="n">
        <f aca="false">G10+H10</f>
        <v>73.1</v>
      </c>
      <c r="J10" s="81" t="n">
        <f aca="false">IF(L10&gt;0,L10,0)</f>
        <v>0</v>
      </c>
      <c r="K10" s="56" t="n">
        <f aca="false">I10+J10</f>
        <v>73.1</v>
      </c>
      <c r="L10" s="56" t="n">
        <f aca="false">F10-(I10-W10)</f>
        <v>-0.0230073103100565</v>
      </c>
      <c r="M10" s="56" t="n">
        <v>3.39</v>
      </c>
      <c r="N10" s="56" t="n">
        <v>0</v>
      </c>
      <c r="O10" s="56" t="n">
        <f aca="false">M10-N10</f>
        <v>3.39</v>
      </c>
      <c r="P10" s="56" t="n">
        <v>0</v>
      </c>
      <c r="Q10" s="56" t="n">
        <v>0</v>
      </c>
      <c r="R10" s="56" t="n">
        <f aca="false">SUM(O10:Q10)</f>
        <v>3.39</v>
      </c>
      <c r="S10" s="57"/>
      <c r="T10" s="56" t="n">
        <v>0</v>
      </c>
      <c r="U10" s="56" t="n">
        <v>34.9</v>
      </c>
      <c r="V10" s="57" t="n">
        <f aca="false">V8-U10</f>
        <v>3056.31002268717</v>
      </c>
      <c r="W10" s="56" t="n">
        <f aca="false">R10+T10+N10+U10</f>
        <v>38.29</v>
      </c>
      <c r="X10" s="56" t="n">
        <f aca="false">IF(L10&lt;0,L10*-1,0)</f>
        <v>0.0230073103100565</v>
      </c>
      <c r="Y10" s="56" t="n">
        <f aca="false">W10+X10</f>
        <v>38.3130073103101</v>
      </c>
      <c r="Z10" s="60" t="n">
        <v>0</v>
      </c>
      <c r="AA10" s="61" t="n">
        <v>57</v>
      </c>
      <c r="AB10" s="61" t="n">
        <v>25</v>
      </c>
      <c r="AC10" s="62" t="n">
        <v>1</v>
      </c>
      <c r="AD10" s="79"/>
      <c r="AE10" s="82"/>
      <c r="AF10" s="79"/>
    </row>
    <row r="11" customFormat="false" ht="11.1" hidden="false" customHeight="true" outlineLevel="0" collapsed="false">
      <c r="A11" s="62" t="n">
        <f aca="false">A10+1</f>
        <v>2</v>
      </c>
      <c r="B11" s="80" t="n">
        <v>6892.51</v>
      </c>
      <c r="C11" s="57" t="n">
        <v>256771</v>
      </c>
      <c r="D11" s="61" t="n">
        <f aca="false">C11-C10</f>
        <v>174</v>
      </c>
      <c r="E11" s="57" t="n">
        <f aca="false">C11-152000</f>
        <v>104771</v>
      </c>
      <c r="F11" s="56" t="n">
        <f aca="false">D11/$D$2</f>
        <v>87.7237206957399</v>
      </c>
      <c r="G11" s="56" t="n">
        <v>126</v>
      </c>
      <c r="H11" s="58" t="n">
        <v>0</v>
      </c>
      <c r="I11" s="56" t="n">
        <f aca="false">G11+H11</f>
        <v>126</v>
      </c>
      <c r="J11" s="81" t="n">
        <f aca="false">IF(L11&gt;0,L11,0)</f>
        <v>0.013720695739849</v>
      </c>
      <c r="K11" s="56" t="n">
        <f aca="false">I11+J11</f>
        <v>126.01372069574</v>
      </c>
      <c r="L11" s="56" t="n">
        <f aca="false">F11-(I11-W11)</f>
        <v>0.013720695739849</v>
      </c>
      <c r="M11" s="56" t="n">
        <v>3.39</v>
      </c>
      <c r="N11" s="56" t="n">
        <v>0</v>
      </c>
      <c r="O11" s="56" t="n">
        <f aca="false">M11-N11</f>
        <v>3.39</v>
      </c>
      <c r="P11" s="56" t="n">
        <v>0</v>
      </c>
      <c r="Q11" s="56" t="n">
        <v>0</v>
      </c>
      <c r="R11" s="56" t="n">
        <f aca="false">SUM(O11:Q11)</f>
        <v>3.39</v>
      </c>
      <c r="S11" s="57"/>
      <c r="T11" s="56" t="n">
        <v>0</v>
      </c>
      <c r="U11" s="56" t="n">
        <v>34.9</v>
      </c>
      <c r="V11" s="57" t="n">
        <f aca="false">V10-U11</f>
        <v>3021.41002268717</v>
      </c>
      <c r="W11" s="56" t="n">
        <f aca="false">R11+T11+N11+U11</f>
        <v>38.29</v>
      </c>
      <c r="X11" s="56" t="n">
        <f aca="false">IF(L11&lt;0,L11*-1,0)</f>
        <v>0</v>
      </c>
      <c r="Y11" s="56" t="n">
        <f aca="false">W11+X11</f>
        <v>38.29</v>
      </c>
      <c r="Z11" s="60" t="n">
        <v>0</v>
      </c>
      <c r="AA11" s="61" t="n">
        <v>52</v>
      </c>
      <c r="AB11" s="61" t="n">
        <v>26</v>
      </c>
      <c r="AC11" s="62" t="n">
        <f aca="false">AC10+1</f>
        <v>2</v>
      </c>
      <c r="AD11" s="79"/>
      <c r="AE11" s="82"/>
      <c r="AF11" s="79"/>
    </row>
    <row r="12" customFormat="false" ht="11.1" hidden="false" customHeight="true" outlineLevel="0" collapsed="false">
      <c r="A12" s="62" t="n">
        <f aca="false">A11+1</f>
        <v>3</v>
      </c>
      <c r="B12" s="80" t="n">
        <v>6892.66</v>
      </c>
      <c r="C12" s="57" t="n">
        <v>257291</v>
      </c>
      <c r="D12" s="61" t="n">
        <f aca="false">C12-C11</f>
        <v>520</v>
      </c>
      <c r="E12" s="57" t="n">
        <f aca="false">C12-152000</f>
        <v>105291</v>
      </c>
      <c r="F12" s="56" t="n">
        <f aca="false">D12/$D$2</f>
        <v>262.162843458533</v>
      </c>
      <c r="G12" s="56" t="n">
        <v>300.6</v>
      </c>
      <c r="H12" s="58" t="n">
        <v>0</v>
      </c>
      <c r="I12" s="56" t="n">
        <f aca="false">G12+H12</f>
        <v>300.6</v>
      </c>
      <c r="J12" s="81" t="n">
        <f aca="false">IF(L12&gt;0,L12,0)</f>
        <v>0</v>
      </c>
      <c r="K12" s="56" t="n">
        <f aca="false">I12+J12</f>
        <v>300.6</v>
      </c>
      <c r="L12" s="56" t="n">
        <f aca="false">F12-(I12-W12)</f>
        <v>-0.0471565414671318</v>
      </c>
      <c r="M12" s="56" t="n">
        <v>3.49</v>
      </c>
      <c r="N12" s="56" t="n">
        <v>0</v>
      </c>
      <c r="O12" s="56" t="n">
        <f aca="false">M12-N12</f>
        <v>3.49</v>
      </c>
      <c r="P12" s="56" t="n">
        <v>0</v>
      </c>
      <c r="Q12" s="56" t="n">
        <v>0</v>
      </c>
      <c r="R12" s="56" t="n">
        <f aca="false">SUM(O12:Q12)</f>
        <v>3.49</v>
      </c>
      <c r="S12" s="57"/>
      <c r="T12" s="56" t="n">
        <v>0</v>
      </c>
      <c r="U12" s="56" t="n">
        <v>34.9</v>
      </c>
      <c r="V12" s="57" t="n">
        <f aca="false">V11-U12</f>
        <v>2986.51002268717</v>
      </c>
      <c r="W12" s="56" t="n">
        <f aca="false">R12+T12+N12+U12</f>
        <v>38.39</v>
      </c>
      <c r="X12" s="56" t="n">
        <f aca="false">IF(L12&lt;0,L12*-1,0)</f>
        <v>0.0471565414671318</v>
      </c>
      <c r="Y12" s="56" t="n">
        <f aca="false">W12+X12</f>
        <v>38.4371565414671</v>
      </c>
      <c r="Z12" s="60" t="n">
        <v>0</v>
      </c>
      <c r="AA12" s="61" t="n">
        <v>37</v>
      </c>
      <c r="AB12" s="61" t="n">
        <v>30</v>
      </c>
      <c r="AC12" s="62" t="n">
        <f aca="false">AC11+1</f>
        <v>3</v>
      </c>
      <c r="AD12" s="79"/>
      <c r="AE12" s="82"/>
      <c r="AF12" s="79"/>
    </row>
    <row r="13" customFormat="false" ht="11.1" hidden="false" customHeight="true" outlineLevel="0" collapsed="false">
      <c r="A13" s="62" t="n">
        <f aca="false">A12+1</f>
        <v>4</v>
      </c>
      <c r="B13" s="80" t="n">
        <v>6892.66</v>
      </c>
      <c r="C13" s="57" t="n">
        <v>257291</v>
      </c>
      <c r="D13" s="61" t="n">
        <f aca="false">C13-C12</f>
        <v>0</v>
      </c>
      <c r="E13" s="57" t="n">
        <f aca="false">C13-152000</f>
        <v>105291</v>
      </c>
      <c r="F13" s="56" t="n">
        <f aca="false">D13/$D$2</f>
        <v>0</v>
      </c>
      <c r="G13" s="56" t="n">
        <v>40</v>
      </c>
      <c r="H13" s="58" t="n">
        <v>0</v>
      </c>
      <c r="I13" s="56" t="n">
        <f aca="false">G13+H13</f>
        <v>40</v>
      </c>
      <c r="J13" s="81" t="n">
        <f aca="false">IF(L13&gt;0,L13,0)</f>
        <v>0.0499999999999972</v>
      </c>
      <c r="K13" s="56" t="n">
        <f aca="false">I13+J13</f>
        <v>40.05</v>
      </c>
      <c r="L13" s="56" t="n">
        <f aca="false">F13-(I13-W13)</f>
        <v>0.0499999999999972</v>
      </c>
      <c r="M13" s="56" t="n">
        <v>5.15</v>
      </c>
      <c r="N13" s="56" t="n">
        <v>0</v>
      </c>
      <c r="O13" s="56" t="n">
        <f aca="false">M13-N13</f>
        <v>5.15</v>
      </c>
      <c r="P13" s="56" t="n">
        <v>0</v>
      </c>
      <c r="Q13" s="56" t="n">
        <v>0</v>
      </c>
      <c r="R13" s="56" t="n">
        <f aca="false">SUM(O13:Q13)</f>
        <v>5.15</v>
      </c>
      <c r="S13" s="57"/>
      <c r="T13" s="56" t="n">
        <v>0</v>
      </c>
      <c r="U13" s="56" t="n">
        <v>34.9</v>
      </c>
      <c r="V13" s="57" t="n">
        <f aca="false">V12-U13</f>
        <v>2951.61002268717</v>
      </c>
      <c r="W13" s="56" t="n">
        <f aca="false">R13+T13+N13+U13</f>
        <v>40.05</v>
      </c>
      <c r="X13" s="56" t="n">
        <f aca="false">IF(L13&lt;0,L13*-1,0)</f>
        <v>0</v>
      </c>
      <c r="Y13" s="56" t="n">
        <f aca="false">W13+X13</f>
        <v>40.05</v>
      </c>
      <c r="Z13" s="60" t="n">
        <v>0</v>
      </c>
      <c r="AA13" s="61" t="n">
        <v>34</v>
      </c>
      <c r="AB13" s="61" t="n">
        <v>22</v>
      </c>
      <c r="AC13" s="62" t="n">
        <f aca="false">AC12+1</f>
        <v>4</v>
      </c>
      <c r="AD13" s="79"/>
      <c r="AE13" s="82"/>
      <c r="AF13" s="79"/>
    </row>
    <row r="14" customFormat="false" ht="11.1" hidden="false" customHeight="true" outlineLevel="0" collapsed="false">
      <c r="A14" s="62" t="n">
        <f aca="false">A13+1</f>
        <v>5</v>
      </c>
      <c r="B14" s="80" t="n">
        <v>6892.76</v>
      </c>
      <c r="C14" s="57" t="n">
        <v>257637</v>
      </c>
      <c r="D14" s="61" t="n">
        <f aca="false">C14-C13</f>
        <v>346</v>
      </c>
      <c r="E14" s="57" t="n">
        <f aca="false">C14-152000</f>
        <v>105637</v>
      </c>
      <c r="F14" s="56" t="n">
        <f aca="false">D14/$D$2</f>
        <v>174.439122762793</v>
      </c>
      <c r="G14" s="56" t="n">
        <v>214.5</v>
      </c>
      <c r="H14" s="58" t="n">
        <v>0</v>
      </c>
      <c r="I14" s="56" t="n">
        <f aca="false">G14+H14</f>
        <v>214.5</v>
      </c>
      <c r="J14" s="81" t="n">
        <f aca="false">IF(L14&gt;0,L14,0)</f>
        <v>0</v>
      </c>
      <c r="K14" s="56" t="n">
        <f aca="false">I14+J14</f>
        <v>214.5</v>
      </c>
      <c r="L14" s="56" t="n">
        <f aca="false">F14-(I14-W14)</f>
        <v>-0.0308772372069654</v>
      </c>
      <c r="M14" s="56" t="n">
        <v>5.13</v>
      </c>
      <c r="N14" s="56" t="n">
        <v>0</v>
      </c>
      <c r="O14" s="56" t="n">
        <f aca="false">M14-N14</f>
        <v>5.13</v>
      </c>
      <c r="P14" s="56" t="n">
        <v>0</v>
      </c>
      <c r="Q14" s="56" t="n">
        <v>0</v>
      </c>
      <c r="R14" s="56" t="n">
        <f aca="false">SUM(O14:Q14)</f>
        <v>5.13</v>
      </c>
      <c r="S14" s="57"/>
      <c r="T14" s="56" t="n">
        <v>0</v>
      </c>
      <c r="U14" s="56" t="n">
        <v>34.9</v>
      </c>
      <c r="V14" s="57" t="n">
        <f aca="false">V13-U14</f>
        <v>2916.71002268716</v>
      </c>
      <c r="W14" s="56" t="n">
        <f aca="false">R14+T14+N14+U14</f>
        <v>40.03</v>
      </c>
      <c r="X14" s="56" t="n">
        <f aca="false">IF(L14&lt;0,L14*-1,0)</f>
        <v>0.0308772372069654</v>
      </c>
      <c r="Y14" s="56" t="n">
        <f aca="false">W14+X14</f>
        <v>40.060877237207</v>
      </c>
      <c r="Z14" s="60" t="n">
        <v>0.27</v>
      </c>
      <c r="AA14" s="61" t="n">
        <v>33</v>
      </c>
      <c r="AB14" s="61" t="n">
        <v>20</v>
      </c>
      <c r="AC14" s="62" t="n">
        <f aca="false">AC13+1</f>
        <v>5</v>
      </c>
      <c r="AD14" s="79"/>
      <c r="AE14" s="82"/>
      <c r="AF14" s="79"/>
    </row>
    <row r="15" customFormat="false" ht="11.1" hidden="false" customHeight="true" outlineLevel="0" collapsed="false">
      <c r="A15" s="62" t="n">
        <f aca="false">A14+1</f>
        <v>6</v>
      </c>
      <c r="B15" s="80" t="n">
        <v>6892.78</v>
      </c>
      <c r="C15" s="57" t="n">
        <v>257706</v>
      </c>
      <c r="D15" s="61" t="n">
        <f aca="false">C15-C14</f>
        <v>69</v>
      </c>
      <c r="E15" s="57" t="n">
        <f aca="false">C15-152000</f>
        <v>105706</v>
      </c>
      <c r="F15" s="56" t="n">
        <f aca="false">D15/$D$2</f>
        <v>34.7869926896899</v>
      </c>
      <c r="G15" s="56" t="n">
        <v>74.8</v>
      </c>
      <c r="H15" s="58" t="n">
        <v>0</v>
      </c>
      <c r="I15" s="56" t="n">
        <f aca="false">G15+H15</f>
        <v>74.8</v>
      </c>
      <c r="J15" s="81" t="n">
        <f aca="false">IF(L15&gt;0,L15,0)</f>
        <v>0.0169926896899426</v>
      </c>
      <c r="K15" s="56" t="n">
        <f aca="false">I15+J15</f>
        <v>74.8169926896899</v>
      </c>
      <c r="L15" s="56" t="n">
        <f aca="false">F15-(I15-W15)</f>
        <v>0.0169926896899426</v>
      </c>
      <c r="M15" s="56" t="n">
        <v>5.13</v>
      </c>
      <c r="N15" s="56" t="n">
        <v>0</v>
      </c>
      <c r="O15" s="56" t="n">
        <f aca="false">M15-N15</f>
        <v>5.13</v>
      </c>
      <c r="P15" s="56" t="n">
        <v>0</v>
      </c>
      <c r="Q15" s="56" t="n">
        <v>0</v>
      </c>
      <c r="R15" s="56" t="n">
        <f aca="false">SUM(O15:Q15)</f>
        <v>5.13</v>
      </c>
      <c r="S15" s="57"/>
      <c r="T15" s="56" t="n">
        <v>0</v>
      </c>
      <c r="U15" s="56" t="n">
        <v>34.9</v>
      </c>
      <c r="V15" s="57" t="n">
        <f aca="false">V14-U15</f>
        <v>2881.81002268717</v>
      </c>
      <c r="W15" s="56" t="n">
        <f aca="false">R15+T15+N15+U15</f>
        <v>40.03</v>
      </c>
      <c r="X15" s="56" t="n">
        <f aca="false">IF(L15&lt;0,L15*-1,0)</f>
        <v>0</v>
      </c>
      <c r="Y15" s="56" t="n">
        <f aca="false">W15+X15</f>
        <v>40.03</v>
      </c>
      <c r="Z15" s="60" t="n">
        <v>0.27</v>
      </c>
      <c r="AA15" s="61" t="n">
        <v>27</v>
      </c>
      <c r="AB15" s="61" t="n">
        <v>20</v>
      </c>
      <c r="AC15" s="62" t="n">
        <f aca="false">AC14+1</f>
        <v>6</v>
      </c>
      <c r="AD15" s="78"/>
      <c r="AE15" s="82"/>
      <c r="AF15" s="79"/>
    </row>
    <row r="16" customFormat="false" ht="11.1" hidden="false" customHeight="true" outlineLevel="0" collapsed="false">
      <c r="A16" s="62" t="n">
        <f aca="false">A15+1</f>
        <v>7</v>
      </c>
      <c r="B16" s="80" t="n">
        <v>6892.86</v>
      </c>
      <c r="C16" s="57" t="n">
        <v>257984</v>
      </c>
      <c r="D16" s="61" t="n">
        <f aca="false">C16-C15</f>
        <v>278</v>
      </c>
      <c r="E16" s="57" t="n">
        <f aca="false">C16-152000</f>
        <v>105984</v>
      </c>
      <c r="F16" s="56" t="n">
        <f aca="false">D16/$D$2</f>
        <v>140.156289387446</v>
      </c>
      <c r="G16" s="56" t="n">
        <v>180.1</v>
      </c>
      <c r="H16" s="58" t="n">
        <v>0</v>
      </c>
      <c r="I16" s="56" t="n">
        <f aca="false">G16+H16</f>
        <v>180.1</v>
      </c>
      <c r="J16" s="81" t="n">
        <f aca="false">IF(L16&gt;0,L16,0)</f>
        <v>0</v>
      </c>
      <c r="K16" s="56" t="n">
        <f aca="false">I16+J16</f>
        <v>180.1</v>
      </c>
      <c r="L16" s="56" t="n">
        <f aca="false">F16-(I16-W16)</f>
        <v>-0.0237106125535718</v>
      </c>
      <c r="M16" s="56" t="n">
        <v>5.02</v>
      </c>
      <c r="N16" s="56" t="n">
        <v>0</v>
      </c>
      <c r="O16" s="56" t="n">
        <f aca="false">M16-N16</f>
        <v>5.02</v>
      </c>
      <c r="P16" s="56" t="n">
        <v>0</v>
      </c>
      <c r="Q16" s="56" t="n">
        <v>0</v>
      </c>
      <c r="R16" s="56" t="n">
        <f aca="false">SUM(O16:Q16)</f>
        <v>5.02</v>
      </c>
      <c r="S16" s="57"/>
      <c r="T16" s="56" t="n">
        <v>0</v>
      </c>
      <c r="U16" s="56" t="n">
        <v>34.9</v>
      </c>
      <c r="V16" s="57" t="n">
        <f aca="false">V15-U16</f>
        <v>2846.91002268717</v>
      </c>
      <c r="W16" s="56" t="n">
        <f aca="false">R16+T16+N16+U16</f>
        <v>39.92</v>
      </c>
      <c r="X16" s="56" t="n">
        <f aca="false">IF(L16&lt;0,L16*-1,0)</f>
        <v>0.0237106125535718</v>
      </c>
      <c r="Y16" s="56" t="n">
        <f aca="false">W16+X16</f>
        <v>39.9437106125536</v>
      </c>
      <c r="Z16" s="60" t="n">
        <v>0</v>
      </c>
      <c r="AA16" s="61" t="n">
        <v>30</v>
      </c>
      <c r="AB16" s="61" t="n">
        <v>0</v>
      </c>
      <c r="AC16" s="62" t="n">
        <f aca="false">AC15+1</f>
        <v>7</v>
      </c>
      <c r="AD16" s="78"/>
      <c r="AE16" s="82"/>
      <c r="AF16" s="79"/>
    </row>
    <row r="17" customFormat="false" ht="11.1" hidden="false" customHeight="true" outlineLevel="0" collapsed="false">
      <c r="A17" s="62" t="n">
        <f aca="false">A16+1</f>
        <v>8</v>
      </c>
      <c r="B17" s="80" t="n">
        <v>6892.87</v>
      </c>
      <c r="C17" s="57" t="n">
        <v>258018</v>
      </c>
      <c r="D17" s="61" t="n">
        <f aca="false">C17-C16</f>
        <v>34</v>
      </c>
      <c r="E17" s="57" t="n">
        <f aca="false">C17-152000</f>
        <v>106018</v>
      </c>
      <c r="F17" s="56" t="n">
        <f aca="false">D17/$D$2</f>
        <v>17.1414166876733</v>
      </c>
      <c r="G17" s="56" t="n">
        <v>56.9</v>
      </c>
      <c r="H17" s="58" t="n">
        <v>0</v>
      </c>
      <c r="I17" s="56" t="n">
        <f aca="false">G17+H17</f>
        <v>56.9</v>
      </c>
      <c r="J17" s="81" t="n">
        <f aca="false">IF(L17&gt;0,L17,0)</f>
        <v>0</v>
      </c>
      <c r="K17" s="56" t="n">
        <f aca="false">I17+J17</f>
        <v>56.9</v>
      </c>
      <c r="L17" s="56" t="n">
        <f aca="false">F17-(I17-W17)</f>
        <v>-0.048583312326695</v>
      </c>
      <c r="M17" s="56" t="n">
        <v>4.76</v>
      </c>
      <c r="N17" s="56" t="n">
        <v>0</v>
      </c>
      <c r="O17" s="56" t="n">
        <f aca="false">M17-N17</f>
        <v>4.76</v>
      </c>
      <c r="P17" s="56" t="n">
        <v>0</v>
      </c>
      <c r="Q17" s="56" t="n">
        <v>0</v>
      </c>
      <c r="R17" s="56" t="n">
        <f aca="false">SUM(O17:Q17)</f>
        <v>4.76</v>
      </c>
      <c r="S17" s="57"/>
      <c r="T17" s="56" t="n">
        <v>0</v>
      </c>
      <c r="U17" s="56" t="n">
        <v>34.95</v>
      </c>
      <c r="V17" s="57" t="n">
        <f aca="false">V16-U17</f>
        <v>2811.96002268717</v>
      </c>
      <c r="W17" s="56" t="n">
        <f aca="false">R17+T17+N17+U17</f>
        <v>39.71</v>
      </c>
      <c r="X17" s="56" t="n">
        <f aca="false">IF(L17&lt;0,L17*-1,0)</f>
        <v>0.048583312326695</v>
      </c>
      <c r="Y17" s="56" t="n">
        <f aca="false">W17+X17</f>
        <v>39.7585833123267</v>
      </c>
      <c r="Z17" s="60" t="n">
        <v>0</v>
      </c>
      <c r="AA17" s="61" t="n">
        <v>29</v>
      </c>
      <c r="AB17" s="61" t="n">
        <v>16</v>
      </c>
      <c r="AC17" s="62" t="n">
        <f aca="false">AC16+1</f>
        <v>8</v>
      </c>
      <c r="AD17" s="78"/>
      <c r="AE17" s="82"/>
      <c r="AF17" s="79"/>
    </row>
    <row r="18" customFormat="false" ht="11.1" hidden="false" customHeight="true" outlineLevel="0" collapsed="false">
      <c r="A18" s="62" t="n">
        <f aca="false">A17+1</f>
        <v>9</v>
      </c>
      <c r="B18" s="80" t="n">
        <v>6892.96</v>
      </c>
      <c r="C18" s="57" t="n">
        <v>258330</v>
      </c>
      <c r="D18" s="61" t="n">
        <f aca="false">C18-C17</f>
        <v>312</v>
      </c>
      <c r="E18" s="57" t="n">
        <f aca="false">C18-152000</f>
        <v>106330</v>
      </c>
      <c r="F18" s="56" t="n">
        <f aca="false">D18/$D$2</f>
        <v>157.29770607512</v>
      </c>
      <c r="G18" s="56" t="n">
        <v>197</v>
      </c>
      <c r="H18" s="58" t="n">
        <v>0</v>
      </c>
      <c r="I18" s="56" t="n">
        <f aca="false">G18+H18</f>
        <v>197</v>
      </c>
      <c r="J18" s="81" t="n">
        <f aca="false">IF(L18&gt;0,L18,0)</f>
        <v>0</v>
      </c>
      <c r="K18" s="56" t="n">
        <f aca="false">I18+J18</f>
        <v>197</v>
      </c>
      <c r="L18" s="56" t="n">
        <f aca="false">F18-(I18-W18)</f>
        <v>-0.042293924880255</v>
      </c>
      <c r="M18" s="56" t="n">
        <v>4.76</v>
      </c>
      <c r="N18" s="56" t="n">
        <v>0</v>
      </c>
      <c r="O18" s="56" t="n">
        <f aca="false">M18-N18</f>
        <v>4.76</v>
      </c>
      <c r="P18" s="56" t="n">
        <v>0</v>
      </c>
      <c r="Q18" s="56" t="n">
        <v>0</v>
      </c>
      <c r="R18" s="56" t="n">
        <f aca="false">SUM(O18:Q18)</f>
        <v>4.76</v>
      </c>
      <c r="S18" s="57"/>
      <c r="T18" s="56" t="n">
        <v>0</v>
      </c>
      <c r="U18" s="56" t="n">
        <v>34.9</v>
      </c>
      <c r="V18" s="57" t="n">
        <f aca="false">V17-U18</f>
        <v>2777.06002268717</v>
      </c>
      <c r="W18" s="56" t="n">
        <f aca="false">R18+T18+N18+U18</f>
        <v>39.66</v>
      </c>
      <c r="X18" s="56" t="n">
        <f aca="false">IF(L18&lt;0,L18*-1,0)</f>
        <v>0.042293924880255</v>
      </c>
      <c r="Y18" s="56" t="n">
        <f aca="false">W18+X18</f>
        <v>39.7022939248802</v>
      </c>
      <c r="Z18" s="60" t="n">
        <v>0</v>
      </c>
      <c r="AA18" s="90" t="n">
        <v>37</v>
      </c>
      <c r="AB18" s="61" t="n">
        <v>12</v>
      </c>
      <c r="AC18" s="62" t="n">
        <f aca="false">AC17+1</f>
        <v>9</v>
      </c>
      <c r="AD18" s="78"/>
      <c r="AE18" s="82"/>
      <c r="AF18" s="79"/>
    </row>
    <row r="19" customFormat="false" ht="11.1" hidden="false" customHeight="true" outlineLevel="0" collapsed="false">
      <c r="A19" s="62" t="n">
        <f aca="false">A18+1</f>
        <v>10</v>
      </c>
      <c r="B19" s="80" t="n">
        <v>6893.01</v>
      </c>
      <c r="C19" s="57" t="n">
        <v>258504</v>
      </c>
      <c r="D19" s="61" t="n">
        <f aca="false">C19-C18</f>
        <v>174</v>
      </c>
      <c r="E19" s="57" t="n">
        <f aca="false">C19-152000</f>
        <v>106504</v>
      </c>
      <c r="F19" s="56" t="n">
        <f aca="false">D19/$D$2</f>
        <v>87.7237206957399</v>
      </c>
      <c r="G19" s="56" t="n">
        <v>127.4</v>
      </c>
      <c r="H19" s="58" t="n">
        <v>0</v>
      </c>
      <c r="I19" s="56" t="n">
        <f aca="false">G19+H19</f>
        <v>127.4</v>
      </c>
      <c r="J19" s="81" t="n">
        <f aca="false">IF(L19&gt;0,L19,0)</f>
        <v>0</v>
      </c>
      <c r="K19" s="56" t="n">
        <f aca="false">I19+J19</f>
        <v>127.4</v>
      </c>
      <c r="L19" s="56" t="n">
        <f aca="false">F19-(I19-W19)</f>
        <v>-0.0162793042601521</v>
      </c>
      <c r="M19" s="56" t="n">
        <v>4.76</v>
      </c>
      <c r="N19" s="56" t="n">
        <v>0</v>
      </c>
      <c r="O19" s="56" t="n">
        <f aca="false">M19-N19</f>
        <v>4.76</v>
      </c>
      <c r="P19" s="56" t="n">
        <v>0</v>
      </c>
      <c r="Q19" s="56" t="n">
        <v>0</v>
      </c>
      <c r="R19" s="56" t="n">
        <f aca="false">SUM(O19:Q19)</f>
        <v>4.76</v>
      </c>
      <c r="S19" s="57"/>
      <c r="T19" s="56" t="n">
        <v>0</v>
      </c>
      <c r="U19" s="56" t="n">
        <v>34.9</v>
      </c>
      <c r="V19" s="57" t="n">
        <f aca="false">V18-U19</f>
        <v>2742.16002268717</v>
      </c>
      <c r="W19" s="56" t="n">
        <f aca="false">R19+T19+N19+U19</f>
        <v>39.66</v>
      </c>
      <c r="X19" s="56" t="n">
        <f aca="false">IF(L19&lt;0,L19*-1,0)</f>
        <v>0.0162793042601521</v>
      </c>
      <c r="Y19" s="56" t="n">
        <f aca="false">W19+X19</f>
        <v>39.6762793042601</v>
      </c>
      <c r="Z19" s="60" t="n">
        <v>0</v>
      </c>
      <c r="AA19" s="61" t="n">
        <v>38</v>
      </c>
      <c r="AB19" s="61" t="n">
        <v>13</v>
      </c>
      <c r="AC19" s="62" t="n">
        <f aca="false">AC18+1</f>
        <v>10</v>
      </c>
      <c r="AD19" s="78"/>
      <c r="AE19" s="82"/>
      <c r="AF19" s="79"/>
    </row>
    <row r="20" customFormat="false" ht="11.1" hidden="false" customHeight="true" outlineLevel="0" collapsed="false">
      <c r="A20" s="62" t="n">
        <f aca="false">A19+1</f>
        <v>11</v>
      </c>
      <c r="B20" s="80" t="n">
        <v>6893.14</v>
      </c>
      <c r="C20" s="57" t="n">
        <v>258959</v>
      </c>
      <c r="D20" s="61" t="n">
        <f aca="false">C20-C19</f>
        <v>455</v>
      </c>
      <c r="E20" s="57" t="n">
        <f aca="false">C20-152000</f>
        <v>106959</v>
      </c>
      <c r="F20" s="56" t="n">
        <f aca="false">D20/$D$2</f>
        <v>229.392488026216</v>
      </c>
      <c r="G20" s="56" t="n">
        <v>269.1</v>
      </c>
      <c r="H20" s="58" t="n">
        <v>0</v>
      </c>
      <c r="I20" s="56" t="n">
        <f aca="false">G20+H20</f>
        <v>269.1</v>
      </c>
      <c r="J20" s="81" t="n">
        <f aca="false">IF(L20&gt;0,L20,0)</f>
        <v>0</v>
      </c>
      <c r="K20" s="56" t="n">
        <f aca="false">I20+J20</f>
        <v>269.1</v>
      </c>
      <c r="L20" s="56" t="n">
        <f aca="false">F20-(I20-W20)</f>
        <v>-0.0475119737837417</v>
      </c>
      <c r="M20" s="56" t="n">
        <v>4.76</v>
      </c>
      <c r="N20" s="56" t="n">
        <v>0</v>
      </c>
      <c r="O20" s="56" t="n">
        <f aca="false">M20-N20</f>
        <v>4.76</v>
      </c>
      <c r="P20" s="56" t="n">
        <v>0</v>
      </c>
      <c r="Q20" s="56" t="n">
        <v>0</v>
      </c>
      <c r="R20" s="56" t="n">
        <f aca="false">SUM(O20:Q20)</f>
        <v>4.76</v>
      </c>
      <c r="S20" s="57"/>
      <c r="T20" s="56" t="n">
        <v>0</v>
      </c>
      <c r="U20" s="56" t="n">
        <v>34.9</v>
      </c>
      <c r="V20" s="57" t="n">
        <f aca="false">V19-U20</f>
        <v>2707.26002268716</v>
      </c>
      <c r="W20" s="56" t="n">
        <f aca="false">R20+T20+N20+U20</f>
        <v>39.66</v>
      </c>
      <c r="X20" s="56" t="n">
        <f aca="false">IF(L20&lt;0,L20*-1,0)</f>
        <v>0.0475119737837417</v>
      </c>
      <c r="Y20" s="56" t="n">
        <f aca="false">W20+X20</f>
        <v>39.7075119737837</v>
      </c>
      <c r="Z20" s="60" t="n">
        <v>0.32</v>
      </c>
      <c r="AA20" s="61" t="n">
        <v>38</v>
      </c>
      <c r="AB20" s="61" t="n">
        <v>14</v>
      </c>
      <c r="AC20" s="62" t="n">
        <f aca="false">AC19+1</f>
        <v>11</v>
      </c>
      <c r="AD20" s="78"/>
      <c r="AE20" s="82"/>
      <c r="AF20" s="79"/>
    </row>
    <row r="21" customFormat="false" ht="11.1" hidden="false" customHeight="true" outlineLevel="0" collapsed="false">
      <c r="A21" s="62" t="n">
        <f aca="false">A20+1</f>
        <v>12</v>
      </c>
      <c r="B21" s="80" t="n">
        <v>6893.22</v>
      </c>
      <c r="C21" s="57" t="n">
        <v>259204</v>
      </c>
      <c r="D21" s="61" t="n">
        <f aca="false">C21-C20</f>
        <v>245</v>
      </c>
      <c r="E21" s="57" t="n">
        <f aca="false">C21-152000</f>
        <v>107204</v>
      </c>
      <c r="F21" s="56" t="n">
        <f aca="false">D21/$D$2</f>
        <v>123.519032014116</v>
      </c>
      <c r="G21" s="56" t="n">
        <v>163.8</v>
      </c>
      <c r="H21" s="58" t="n">
        <v>0</v>
      </c>
      <c r="I21" s="56" t="n">
        <f aca="false">G21+H21</f>
        <v>163.8</v>
      </c>
      <c r="J21" s="81" t="n">
        <f aca="false">IF(L21&gt;0,L21,0)</f>
        <v>0</v>
      </c>
      <c r="K21" s="56" t="n">
        <f aca="false">I21+J21</f>
        <v>163.8</v>
      </c>
      <c r="L21" s="56" t="n">
        <f aca="false">F21-(I21-W21)</f>
        <v>-0.0709679858835415</v>
      </c>
      <c r="M21" s="56" t="n">
        <v>4.51</v>
      </c>
      <c r="N21" s="56" t="n">
        <v>0</v>
      </c>
      <c r="O21" s="56" t="n">
        <f aca="false">M21-N21</f>
        <v>4.51</v>
      </c>
      <c r="P21" s="56" t="n">
        <v>0</v>
      </c>
      <c r="Q21" s="56" t="n">
        <v>0</v>
      </c>
      <c r="R21" s="56" t="n">
        <f aca="false">SUM(O21:Q21)</f>
        <v>4.51</v>
      </c>
      <c r="S21" s="57"/>
      <c r="T21" s="56" t="n">
        <v>0</v>
      </c>
      <c r="U21" s="56" t="n">
        <v>35.7</v>
      </c>
      <c r="V21" s="57" t="n">
        <f aca="false">V20-U21</f>
        <v>2671.56002268717</v>
      </c>
      <c r="W21" s="56" t="n">
        <f aca="false">R21+T21+N21+U21</f>
        <v>40.21</v>
      </c>
      <c r="X21" s="56" t="n">
        <f aca="false">IF(L21&lt;0,L21*-1,0)</f>
        <v>0.0709679858835415</v>
      </c>
      <c r="Y21" s="56" t="n">
        <f aca="false">W21+X21</f>
        <v>40.2809679858835</v>
      </c>
      <c r="Z21" s="60" t="n">
        <v>0.32</v>
      </c>
      <c r="AA21" s="61" t="n">
        <v>33</v>
      </c>
      <c r="AB21" s="61" t="n">
        <v>27</v>
      </c>
      <c r="AC21" s="62" t="n">
        <f aca="false">AC20+1</f>
        <v>12</v>
      </c>
      <c r="AD21" s="78"/>
      <c r="AE21" s="82"/>
      <c r="AF21" s="79"/>
    </row>
    <row r="22" customFormat="false" ht="11.1" hidden="false" customHeight="true" outlineLevel="0" collapsed="false">
      <c r="A22" s="62" t="n">
        <v>13</v>
      </c>
      <c r="B22" s="80" t="n">
        <v>6893.24</v>
      </c>
      <c r="C22" s="57" t="n">
        <v>259309</v>
      </c>
      <c r="D22" s="61" t="n">
        <f aca="false">C22-C21</f>
        <v>105</v>
      </c>
      <c r="E22" s="57" t="n">
        <f aca="false">C22-152000</f>
        <v>107309</v>
      </c>
      <c r="F22" s="56" t="n">
        <f aca="false">D22/$D$2</f>
        <v>52.9367280060499</v>
      </c>
      <c r="G22" s="56" t="n">
        <v>93</v>
      </c>
      <c r="H22" s="58" t="n">
        <v>0</v>
      </c>
      <c r="I22" s="56" t="n">
        <f aca="false">G22+H22</f>
        <v>93</v>
      </c>
      <c r="J22" s="81" t="n">
        <f aca="false">IF(L22&gt;0,L22,0)</f>
        <v>0.0267280060499147</v>
      </c>
      <c r="K22" s="56" t="n">
        <f aca="false">I22+J22</f>
        <v>93.0267280060499</v>
      </c>
      <c r="L22" s="56" t="n">
        <f aca="false">F22-(I22-W22)</f>
        <v>0.0267280060499147</v>
      </c>
      <c r="M22" s="56" t="n">
        <v>4.39</v>
      </c>
      <c r="N22" s="56" t="n">
        <v>0</v>
      </c>
      <c r="O22" s="56" t="n">
        <f aca="false">M22-N22</f>
        <v>4.39</v>
      </c>
      <c r="P22" s="56" t="n">
        <v>0</v>
      </c>
      <c r="Q22" s="56" t="n">
        <v>0</v>
      </c>
      <c r="R22" s="56" t="n">
        <f aca="false">SUM(O22:Q22)</f>
        <v>4.39</v>
      </c>
      <c r="S22" s="57"/>
      <c r="T22" s="56" t="n">
        <v>0</v>
      </c>
      <c r="U22" s="56" t="n">
        <v>35.7</v>
      </c>
      <c r="V22" s="57" t="n">
        <f aca="false">V21-U22</f>
        <v>2635.86002268717</v>
      </c>
      <c r="W22" s="56" t="n">
        <f aca="false">R22+T22+N22+U22</f>
        <v>40.09</v>
      </c>
      <c r="X22" s="56" t="n">
        <f aca="false">IF(L22&lt;0,L22*-1,0)</f>
        <v>0</v>
      </c>
      <c r="Y22" s="56" t="n">
        <f aca="false">W22+X22</f>
        <v>40.09</v>
      </c>
      <c r="Z22" s="60" t="n">
        <v>0.38</v>
      </c>
      <c r="AA22" s="61" t="n">
        <v>26</v>
      </c>
      <c r="AB22" s="61" t="n">
        <v>24</v>
      </c>
      <c r="AC22" s="62" t="n">
        <f aca="false">AC21+1</f>
        <v>13</v>
      </c>
      <c r="AD22" s="78"/>
      <c r="AE22" s="82"/>
      <c r="AF22" s="79"/>
    </row>
    <row r="23" customFormat="false" ht="11.1" hidden="false" customHeight="true" outlineLevel="0" collapsed="false">
      <c r="A23" s="62" t="n">
        <f aca="false">A22+1</f>
        <v>14</v>
      </c>
      <c r="B23" s="80" t="n">
        <v>6893.31</v>
      </c>
      <c r="C23" s="57" t="n">
        <v>259553</v>
      </c>
      <c r="D23" s="61" t="n">
        <f aca="false">C23-C22</f>
        <v>244</v>
      </c>
      <c r="E23" s="57" t="n">
        <f aca="false">C23-152000</f>
        <v>107553</v>
      </c>
      <c r="F23" s="56" t="n">
        <f aca="false">D23/$D$2</f>
        <v>123.014872699773</v>
      </c>
      <c r="G23" s="56" t="n">
        <v>163.1</v>
      </c>
      <c r="H23" s="58" t="n">
        <v>0</v>
      </c>
      <c r="I23" s="56" t="n">
        <f aca="false">G23+H23</f>
        <v>163.1</v>
      </c>
      <c r="J23" s="81" t="n">
        <f aca="false">IF(L23&gt;0,L23,0)</f>
        <v>0.0148726997731217</v>
      </c>
      <c r="K23" s="56" t="n">
        <f aca="false">I23+J23</f>
        <v>163.114872699773</v>
      </c>
      <c r="L23" s="56" t="n">
        <f aca="false">F23-(I23-W23)</f>
        <v>0.0148726997731217</v>
      </c>
      <c r="M23" s="56" t="n">
        <v>4.4</v>
      </c>
      <c r="N23" s="56" t="n">
        <v>0</v>
      </c>
      <c r="O23" s="56" t="n">
        <f aca="false">M23-N23</f>
        <v>4.4</v>
      </c>
      <c r="P23" s="56" t="n">
        <v>0</v>
      </c>
      <c r="Q23" s="56" t="n">
        <v>0</v>
      </c>
      <c r="R23" s="56" t="n">
        <f aca="false">SUM(O23:Q23)</f>
        <v>4.4</v>
      </c>
      <c r="S23" s="57"/>
      <c r="T23" s="56" t="n">
        <v>0</v>
      </c>
      <c r="U23" s="56" t="n">
        <v>35.7</v>
      </c>
      <c r="V23" s="57" t="n">
        <f aca="false">V22-U23</f>
        <v>2600.16002268717</v>
      </c>
      <c r="W23" s="56" t="n">
        <f aca="false">R23+T23+N23+U23</f>
        <v>40.1</v>
      </c>
      <c r="X23" s="56" t="n">
        <f aca="false">IF(L23&lt;0,L23*-1,0)</f>
        <v>0</v>
      </c>
      <c r="Y23" s="56" t="n">
        <f aca="false">W23+X23</f>
        <v>40.1</v>
      </c>
      <c r="Z23" s="60" t="n">
        <v>0.17</v>
      </c>
      <c r="AA23" s="90" t="n">
        <v>24</v>
      </c>
      <c r="AB23" s="61" t="n">
        <v>20</v>
      </c>
      <c r="AC23" s="62" t="n">
        <f aca="false">AC22+1</f>
        <v>14</v>
      </c>
      <c r="AD23" s="78"/>
      <c r="AE23" s="82"/>
      <c r="AF23" s="79"/>
    </row>
    <row r="24" customFormat="false" ht="11.1" hidden="false" customHeight="true" outlineLevel="0" collapsed="false">
      <c r="A24" s="62" t="n">
        <f aca="false">A23+1</f>
        <v>15</v>
      </c>
      <c r="B24" s="80" t="n">
        <v>6893.32</v>
      </c>
      <c r="C24" s="57" t="n">
        <v>259588</v>
      </c>
      <c r="D24" s="61" t="n">
        <f aca="false">C24-C23</f>
        <v>35</v>
      </c>
      <c r="E24" s="57" t="n">
        <f aca="false">C24-152000</f>
        <v>107588</v>
      </c>
      <c r="F24" s="56" t="n">
        <f aca="false">D24/$D$2</f>
        <v>17.6455760020166</v>
      </c>
      <c r="G24" s="56" t="n">
        <v>57.8</v>
      </c>
      <c r="H24" s="58" t="n">
        <v>0</v>
      </c>
      <c r="I24" s="56" t="n">
        <f aca="false">G24+H24</f>
        <v>57.8</v>
      </c>
      <c r="J24" s="81" t="n">
        <f aca="false">IF(L24&gt;0,L24,0)</f>
        <v>0</v>
      </c>
      <c r="K24" s="56" t="n">
        <f aca="false">I24+J24</f>
        <v>57.8</v>
      </c>
      <c r="L24" s="56" t="n">
        <f aca="false">F24-(I24-W24)</f>
        <v>-0.0544239979833598</v>
      </c>
      <c r="M24" s="56" t="n">
        <v>4.4</v>
      </c>
      <c r="N24" s="56" t="n">
        <v>0</v>
      </c>
      <c r="O24" s="56" t="n">
        <f aca="false">M24-N24</f>
        <v>4.4</v>
      </c>
      <c r="P24" s="56" t="n">
        <v>0</v>
      </c>
      <c r="Q24" s="56" t="n">
        <v>0</v>
      </c>
      <c r="R24" s="56" t="n">
        <f aca="false">SUM(O24:Q24)</f>
        <v>4.4</v>
      </c>
      <c r="S24" s="57"/>
      <c r="T24" s="56" t="n">
        <v>0</v>
      </c>
      <c r="U24" s="56" t="n">
        <v>35.7</v>
      </c>
      <c r="V24" s="57" t="n">
        <f aca="false">V23-U24</f>
        <v>2564.46002268717</v>
      </c>
      <c r="W24" s="56" t="n">
        <f aca="false">R24+T24+N24+U24</f>
        <v>40.1</v>
      </c>
      <c r="X24" s="56" t="n">
        <f aca="false">IF(L24&lt;0,L24*-1,0)</f>
        <v>0.0544239979833598</v>
      </c>
      <c r="Y24" s="56" t="n">
        <f aca="false">W24+X24</f>
        <v>40.1544239979834</v>
      </c>
      <c r="Z24" s="60" t="n">
        <v>0</v>
      </c>
      <c r="AA24" s="90" t="n">
        <v>23</v>
      </c>
      <c r="AB24" s="61" t="n">
        <v>-6</v>
      </c>
      <c r="AC24" s="62" t="n">
        <f aca="false">AC23+1</f>
        <v>15</v>
      </c>
      <c r="AD24" s="78"/>
      <c r="AE24" s="82"/>
      <c r="AF24" s="79"/>
    </row>
    <row r="25" customFormat="false" ht="11.1" hidden="false" customHeight="true" outlineLevel="0" collapsed="false">
      <c r="A25" s="62" t="n">
        <f aca="false">A24+1</f>
        <v>16</v>
      </c>
      <c r="B25" s="80" t="n">
        <v>6893.39</v>
      </c>
      <c r="C25" s="57" t="n">
        <v>259883</v>
      </c>
      <c r="D25" s="61" t="n">
        <f aca="false">C25-C24</f>
        <v>295</v>
      </c>
      <c r="E25" s="57" t="n">
        <f aca="false">C25-152000</f>
        <v>107883</v>
      </c>
      <c r="F25" s="56" t="n">
        <f aca="false">D25/$D$2</f>
        <v>148.726997731283</v>
      </c>
      <c r="G25" s="56" t="n">
        <v>188.9</v>
      </c>
      <c r="H25" s="58" t="n">
        <v>0</v>
      </c>
      <c r="I25" s="56" t="n">
        <f aca="false">G25+H25</f>
        <v>188.9</v>
      </c>
      <c r="J25" s="81" t="n">
        <f aca="false">IF(L25&gt;0,L25,0)</f>
        <v>0</v>
      </c>
      <c r="K25" s="56" t="n">
        <f aca="false">I25+J25</f>
        <v>188.9</v>
      </c>
      <c r="L25" s="56" t="n">
        <f aca="false">F25-(I25-W25)</f>
        <v>-0.0730022687169196</v>
      </c>
      <c r="M25" s="56" t="n">
        <v>4.4</v>
      </c>
      <c r="N25" s="56" t="n">
        <v>0</v>
      </c>
      <c r="O25" s="56" t="n">
        <f aca="false">M25-N25</f>
        <v>4.4</v>
      </c>
      <c r="P25" s="56" t="n">
        <v>0</v>
      </c>
      <c r="Q25" s="56" t="n">
        <v>0</v>
      </c>
      <c r="R25" s="56" t="n">
        <f aca="false">SUM(O25:Q25)</f>
        <v>4.4</v>
      </c>
      <c r="S25" s="57"/>
      <c r="T25" s="56" t="n">
        <v>0</v>
      </c>
      <c r="U25" s="56" t="n">
        <v>35.7</v>
      </c>
      <c r="V25" s="57" t="n">
        <f aca="false">V24-U25</f>
        <v>2528.76002268717</v>
      </c>
      <c r="W25" s="56" t="n">
        <f aca="false">R25+T25+N25+U25</f>
        <v>40.1</v>
      </c>
      <c r="X25" s="56" t="n">
        <f aca="false">IF(L25&lt;0,L25*-1,0)</f>
        <v>0.0730022687169196</v>
      </c>
      <c r="Y25" s="56" t="n">
        <f aca="false">W25+X25</f>
        <v>40.1730022687169</v>
      </c>
      <c r="Z25" s="60" t="n">
        <v>0</v>
      </c>
      <c r="AA25" s="90" t="n">
        <v>31</v>
      </c>
      <c r="AB25" s="61" t="n">
        <v>2</v>
      </c>
      <c r="AC25" s="62" t="n">
        <f aca="false">AC24+1</f>
        <v>16</v>
      </c>
      <c r="AD25" s="78"/>
      <c r="AE25" s="91"/>
      <c r="AF25" s="79"/>
    </row>
    <row r="26" customFormat="false" ht="11.1" hidden="false" customHeight="true" outlineLevel="0" collapsed="false">
      <c r="A26" s="62" t="n">
        <f aca="false">A25+1</f>
        <v>17</v>
      </c>
      <c r="B26" s="80" t="n">
        <v>6893.41</v>
      </c>
      <c r="C26" s="57" t="n">
        <v>259903</v>
      </c>
      <c r="D26" s="61" t="n">
        <f aca="false">C26-C25</f>
        <v>20</v>
      </c>
      <c r="E26" s="57" t="n">
        <f aca="false">C26-152000</f>
        <v>107903</v>
      </c>
      <c r="F26" s="56" t="n">
        <f aca="false">D26/$D$2</f>
        <v>10.0831862868667</v>
      </c>
      <c r="G26" s="56" t="n">
        <v>50.2</v>
      </c>
      <c r="H26" s="58" t="n">
        <v>0</v>
      </c>
      <c r="I26" s="56" t="n">
        <f aca="false">G26+H26</f>
        <v>50.2</v>
      </c>
      <c r="J26" s="81" t="n">
        <f aca="false">IF(L26&gt;0,L26,0)</f>
        <v>0</v>
      </c>
      <c r="K26" s="56" t="n">
        <f aca="false">I26+J26</f>
        <v>50.2</v>
      </c>
      <c r="L26" s="56" t="n">
        <f aca="false">F26-(I26-W26)</f>
        <v>-0.0168137131333523</v>
      </c>
      <c r="M26" s="56" t="n">
        <v>4.4</v>
      </c>
      <c r="N26" s="56" t="n">
        <v>0</v>
      </c>
      <c r="O26" s="56" t="n">
        <f aca="false">M26-N26</f>
        <v>4.4</v>
      </c>
      <c r="P26" s="56" t="n">
        <v>0</v>
      </c>
      <c r="Q26" s="56" t="n">
        <v>0</v>
      </c>
      <c r="R26" s="56" t="n">
        <f aca="false">SUM(O26:Q26)</f>
        <v>4.4</v>
      </c>
      <c r="S26" s="57"/>
      <c r="T26" s="56" t="n">
        <v>0</v>
      </c>
      <c r="U26" s="56" t="n">
        <v>35.7</v>
      </c>
      <c r="V26" s="57" t="n">
        <f aca="false">V25-U26</f>
        <v>2493.06002268717</v>
      </c>
      <c r="W26" s="56" t="n">
        <f aca="false">R26+T26+N26+U26</f>
        <v>40.1</v>
      </c>
      <c r="X26" s="56" t="n">
        <f aca="false">IF(L26&lt;0,L26*-1,0)</f>
        <v>0.0168137131333523</v>
      </c>
      <c r="Y26" s="56" t="n">
        <f aca="false">W26+X26</f>
        <v>40.1168137131334</v>
      </c>
      <c r="Z26" s="60" t="n">
        <v>0</v>
      </c>
      <c r="AA26" s="90" t="n">
        <v>30</v>
      </c>
      <c r="AB26" s="61" t="n">
        <v>-3</v>
      </c>
      <c r="AC26" s="62" t="n">
        <f aca="false">AC25+1</f>
        <v>17</v>
      </c>
      <c r="AD26" s="78"/>
      <c r="AE26" s="82"/>
      <c r="AF26" s="79"/>
    </row>
    <row r="27" customFormat="false" ht="11.1" hidden="false" customHeight="true" outlineLevel="0" collapsed="false">
      <c r="A27" s="62" t="n">
        <f aca="false">A26+1</f>
        <v>18</v>
      </c>
      <c r="B27" s="80" t="n">
        <v>6893.46</v>
      </c>
      <c r="C27" s="57" t="n">
        <v>260078</v>
      </c>
      <c r="D27" s="61" t="n">
        <f aca="false">C27-C26</f>
        <v>175</v>
      </c>
      <c r="E27" s="57" t="n">
        <f aca="false">C27-152000</f>
        <v>108078</v>
      </c>
      <c r="F27" s="56" t="n">
        <f aca="false">D27/$D$2</f>
        <v>88.2278800100832</v>
      </c>
      <c r="G27" s="56" t="n">
        <v>128.1</v>
      </c>
      <c r="H27" s="58" t="n">
        <v>0</v>
      </c>
      <c r="I27" s="56" t="n">
        <f aca="false">G27+H27</f>
        <v>128.1</v>
      </c>
      <c r="J27" s="81" t="n">
        <f aca="false">IF(L27&gt;0,L27,0)</f>
        <v>0</v>
      </c>
      <c r="K27" s="56" t="n">
        <f aca="false">I27+J27</f>
        <v>128.1</v>
      </c>
      <c r="L27" s="56" t="n">
        <f aca="false">F27-(I27-W27)</f>
        <v>-0.0121199899168118</v>
      </c>
      <c r="M27" s="56" t="n">
        <v>4.16</v>
      </c>
      <c r="N27" s="56" t="n">
        <v>0</v>
      </c>
      <c r="O27" s="56" t="n">
        <f aca="false">M27-N27</f>
        <v>4.16</v>
      </c>
      <c r="P27" s="56" t="n">
        <v>0</v>
      </c>
      <c r="Q27" s="56" t="n">
        <v>0</v>
      </c>
      <c r="R27" s="56" t="n">
        <f aca="false">SUM(O27:Q27)</f>
        <v>4.16</v>
      </c>
      <c r="S27" s="57"/>
      <c r="T27" s="56" t="n">
        <v>0</v>
      </c>
      <c r="U27" s="56" t="n">
        <v>35.7</v>
      </c>
      <c r="V27" s="57" t="n">
        <f aca="false">V26-U27</f>
        <v>2457.36002268717</v>
      </c>
      <c r="W27" s="56" t="n">
        <f aca="false">R27+T27+N27+U27</f>
        <v>39.86</v>
      </c>
      <c r="X27" s="56" t="n">
        <f aca="false">IF(L27&lt;0,L27*-1,0)</f>
        <v>0.0121199899168118</v>
      </c>
      <c r="Y27" s="56" t="n">
        <f aca="false">W27+X27</f>
        <v>39.8721199899168</v>
      </c>
      <c r="Z27" s="60" t="n">
        <v>0</v>
      </c>
      <c r="AA27" s="90" t="n">
        <v>35</v>
      </c>
      <c r="AB27" s="61" t="n">
        <v>-1</v>
      </c>
      <c r="AC27" s="62" t="n">
        <f aca="false">AC26+1</f>
        <v>18</v>
      </c>
      <c r="AD27" s="78"/>
      <c r="AE27" s="82"/>
      <c r="AF27" s="79"/>
    </row>
    <row r="28" customFormat="false" ht="11.1" hidden="false" customHeight="true" outlineLevel="0" collapsed="false">
      <c r="A28" s="62" t="n">
        <f aca="false">A27+1</f>
        <v>19</v>
      </c>
      <c r="B28" s="80" t="n">
        <v>6893.49</v>
      </c>
      <c r="C28" s="57" t="n">
        <v>260183</v>
      </c>
      <c r="D28" s="61" t="n">
        <f aca="false">C28-C27</f>
        <v>105</v>
      </c>
      <c r="E28" s="57" t="n">
        <f aca="false">C28-152000</f>
        <v>108183</v>
      </c>
      <c r="F28" s="56" t="n">
        <f aca="false">D28/$D$2</f>
        <v>52.9367280060499</v>
      </c>
      <c r="G28" s="56" t="n">
        <v>92.7</v>
      </c>
      <c r="H28" s="58" t="n">
        <v>0</v>
      </c>
      <c r="I28" s="56" t="n">
        <f aca="false">G28+H28</f>
        <v>92.7</v>
      </c>
      <c r="J28" s="81" t="n">
        <f aca="false">IF(L28&gt;0,L28,0)</f>
        <v>0</v>
      </c>
      <c r="K28" s="56" t="n">
        <f aca="false">I28+J28</f>
        <v>92.7</v>
      </c>
      <c r="L28" s="56" t="n">
        <f aca="false">F28-(I28-W28)</f>
        <v>-0.00327199395008648</v>
      </c>
      <c r="M28" s="56" t="n">
        <v>4.06</v>
      </c>
      <c r="N28" s="56" t="n">
        <v>0</v>
      </c>
      <c r="O28" s="56" t="n">
        <f aca="false">M28-N28</f>
        <v>4.06</v>
      </c>
      <c r="P28" s="56" t="n">
        <v>0</v>
      </c>
      <c r="Q28" s="56" t="n">
        <v>0</v>
      </c>
      <c r="R28" s="56" t="n">
        <f aca="false">SUM(O28:Q28)</f>
        <v>4.06</v>
      </c>
      <c r="S28" s="57"/>
      <c r="T28" s="56" t="n">
        <v>0</v>
      </c>
      <c r="U28" s="56" t="n">
        <v>35.7</v>
      </c>
      <c r="V28" s="57" t="n">
        <f aca="false">V27-U28</f>
        <v>2421.66002268717</v>
      </c>
      <c r="W28" s="56" t="n">
        <f aca="false">R28+T28+N28+U28</f>
        <v>39.76</v>
      </c>
      <c r="X28" s="56" t="n">
        <f aca="false">IF(L28&lt;0,L28*-1,0)</f>
        <v>0.00327199395008648</v>
      </c>
      <c r="Y28" s="56" t="n">
        <f aca="false">W28+X28</f>
        <v>39.7632719939501</v>
      </c>
      <c r="Z28" s="60" t="n">
        <v>0</v>
      </c>
      <c r="AA28" s="90" t="n">
        <v>50</v>
      </c>
      <c r="AB28" s="61" t="n">
        <v>2</v>
      </c>
      <c r="AC28" s="62" t="n">
        <f aca="false">AC27+1</f>
        <v>19</v>
      </c>
      <c r="AD28" s="78"/>
      <c r="AE28" s="82"/>
      <c r="AF28" s="79"/>
    </row>
    <row r="29" customFormat="false" ht="11.1" hidden="false" customHeight="true" outlineLevel="0" collapsed="false">
      <c r="A29" s="62" t="n">
        <f aca="false">A28+1</f>
        <v>20</v>
      </c>
      <c r="B29" s="80" t="n">
        <v>6893.54</v>
      </c>
      <c r="C29" s="57" t="n">
        <v>260358</v>
      </c>
      <c r="D29" s="61" t="n">
        <f aca="false">C29-C28</f>
        <v>175</v>
      </c>
      <c r="E29" s="57" t="n">
        <f aca="false">C29-152000</f>
        <v>108358</v>
      </c>
      <c r="F29" s="56" t="n">
        <f aca="false">D29/$D$2</f>
        <v>88.2278800100832</v>
      </c>
      <c r="G29" s="56" t="n">
        <v>128</v>
      </c>
      <c r="H29" s="58" t="n">
        <v>0</v>
      </c>
      <c r="I29" s="56" t="n">
        <f aca="false">G29+H29</f>
        <v>128</v>
      </c>
      <c r="J29" s="81" t="n">
        <f aca="false">IF(L29&gt;0,L29,0)</f>
        <v>0</v>
      </c>
      <c r="K29" s="56" t="n">
        <f aca="false">I29+J29</f>
        <v>128</v>
      </c>
      <c r="L29" s="56" t="n">
        <f aca="false">F29-(I29-W29)</f>
        <v>-0.0121199899168118</v>
      </c>
      <c r="M29" s="56" t="n">
        <v>4.06</v>
      </c>
      <c r="N29" s="56" t="n">
        <v>0</v>
      </c>
      <c r="O29" s="56" t="n">
        <f aca="false">M29-N29</f>
        <v>4.06</v>
      </c>
      <c r="P29" s="56" t="n">
        <v>0</v>
      </c>
      <c r="Q29" s="56" t="n">
        <v>0</v>
      </c>
      <c r="R29" s="56" t="n">
        <f aca="false">SUM(O29:Q29)</f>
        <v>4.06</v>
      </c>
      <c r="S29" s="57"/>
      <c r="T29" s="56" t="n">
        <v>0</v>
      </c>
      <c r="U29" s="56" t="n">
        <v>35.7</v>
      </c>
      <c r="V29" s="57" t="n">
        <f aca="false">V28-U29</f>
        <v>2385.96002268717</v>
      </c>
      <c r="W29" s="56" t="n">
        <f aca="false">R29+T29+N29+U29</f>
        <v>39.76</v>
      </c>
      <c r="X29" s="56" t="n">
        <f aca="false">IF(L29&lt;0,L29*-1,0)</f>
        <v>0.0121199899168118</v>
      </c>
      <c r="Y29" s="56" t="n">
        <f aca="false">W29+X29</f>
        <v>39.7721199899168</v>
      </c>
      <c r="Z29" s="60" t="n">
        <v>0</v>
      </c>
      <c r="AA29" s="90" t="n">
        <v>46</v>
      </c>
      <c r="AB29" s="61" t="n">
        <v>2</v>
      </c>
      <c r="AC29" s="62" t="n">
        <f aca="false">AC28+1</f>
        <v>20</v>
      </c>
      <c r="AD29" s="78"/>
      <c r="AE29" s="82"/>
      <c r="AF29" s="79"/>
    </row>
    <row r="30" customFormat="false" ht="11.1" hidden="false" customHeight="true" outlineLevel="0" collapsed="false">
      <c r="A30" s="62" t="n">
        <f aca="false">A29+1</f>
        <v>21</v>
      </c>
      <c r="B30" s="80" t="n">
        <v>6893.61</v>
      </c>
      <c r="C30" s="57" t="n">
        <v>260603</v>
      </c>
      <c r="D30" s="61" t="n">
        <f aca="false">C30-C29</f>
        <v>245</v>
      </c>
      <c r="E30" s="57" t="n">
        <f aca="false">C30-152000</f>
        <v>108603</v>
      </c>
      <c r="F30" s="56" t="n">
        <f aca="false">D30/$D$2</f>
        <v>123.519032014116</v>
      </c>
      <c r="G30" s="56" t="n">
        <v>163.3</v>
      </c>
      <c r="H30" s="58" t="n">
        <v>0</v>
      </c>
      <c r="I30" s="56" t="n">
        <f aca="false">G30+H30</f>
        <v>163.3</v>
      </c>
      <c r="J30" s="81" t="n">
        <f aca="false">IF(L30&gt;0,L30,0)</f>
        <v>0</v>
      </c>
      <c r="K30" s="56" t="n">
        <f aca="false">I30+J30</f>
        <v>163.3</v>
      </c>
      <c r="L30" s="56" t="n">
        <f aca="false">F30-(I30-W30)</f>
        <v>-0.0209679858835443</v>
      </c>
      <c r="M30" s="56" t="n">
        <v>4.06</v>
      </c>
      <c r="N30" s="56" t="n">
        <v>0</v>
      </c>
      <c r="O30" s="56" t="n">
        <f aca="false">M30-N30</f>
        <v>4.06</v>
      </c>
      <c r="P30" s="56" t="n">
        <v>0</v>
      </c>
      <c r="Q30" s="56" t="n">
        <v>0</v>
      </c>
      <c r="R30" s="56" t="n">
        <f aca="false">SUM(O30:Q30)</f>
        <v>4.06</v>
      </c>
      <c r="S30" s="57"/>
      <c r="T30" s="56" t="n">
        <v>0</v>
      </c>
      <c r="U30" s="56" t="n">
        <v>35.7</v>
      </c>
      <c r="V30" s="57" t="n">
        <f aca="false">V29-U30</f>
        <v>2350.26002268717</v>
      </c>
      <c r="W30" s="56" t="n">
        <f aca="false">R30+T30+N30+U30</f>
        <v>39.76</v>
      </c>
      <c r="X30" s="56" t="n">
        <f aca="false">IF(L30&lt;0,L30*-1,0)</f>
        <v>0.0209679858835443</v>
      </c>
      <c r="Y30" s="56" t="n">
        <f aca="false">W30+X30</f>
        <v>39.7809679858835</v>
      </c>
      <c r="Z30" s="60" t="n">
        <v>0</v>
      </c>
      <c r="AA30" s="61" t="n">
        <v>37</v>
      </c>
      <c r="AB30" s="61" t="n">
        <v>20</v>
      </c>
      <c r="AC30" s="62" t="n">
        <f aca="false">AC29+1</f>
        <v>21</v>
      </c>
      <c r="AD30" s="78"/>
      <c r="AE30" s="82"/>
      <c r="AF30" s="79"/>
    </row>
    <row r="31" customFormat="false" ht="11.1" hidden="false" customHeight="true" outlineLevel="0" collapsed="false">
      <c r="A31" s="62" t="n">
        <f aca="false">A30+1</f>
        <v>22</v>
      </c>
      <c r="B31" s="80" t="n">
        <v>6893.66</v>
      </c>
      <c r="C31" s="57" t="n">
        <v>260778</v>
      </c>
      <c r="D31" s="61" t="n">
        <f aca="false">C31-C30</f>
        <v>175</v>
      </c>
      <c r="E31" s="57" t="n">
        <f aca="false">C31-152000</f>
        <v>108778</v>
      </c>
      <c r="F31" s="56" t="n">
        <f aca="false">D31/$D$2</f>
        <v>88.2278800100832</v>
      </c>
      <c r="G31" s="56" t="n">
        <v>128</v>
      </c>
      <c r="H31" s="58" t="n">
        <v>0</v>
      </c>
      <c r="I31" s="56" t="n">
        <f aca="false">G31+H31</f>
        <v>128</v>
      </c>
      <c r="J31" s="81" t="n">
        <f aca="false">IF(L31&gt;0,L31,0)</f>
        <v>0</v>
      </c>
      <c r="K31" s="56" t="n">
        <f aca="false">I31+J31</f>
        <v>128</v>
      </c>
      <c r="L31" s="56" t="n">
        <f aca="false">F31-(I31-W31)</f>
        <v>-0.0121199899168118</v>
      </c>
      <c r="M31" s="56" t="n">
        <v>4.06</v>
      </c>
      <c r="N31" s="56" t="n">
        <v>0</v>
      </c>
      <c r="O31" s="56" t="n">
        <f aca="false">M31-N31</f>
        <v>4.06</v>
      </c>
      <c r="P31" s="56" t="n">
        <v>0</v>
      </c>
      <c r="Q31" s="56" t="n">
        <v>0</v>
      </c>
      <c r="R31" s="56" t="n">
        <f aca="false">SUM(O31:Q31)</f>
        <v>4.06</v>
      </c>
      <c r="S31" s="57"/>
      <c r="T31" s="56" t="n">
        <v>0</v>
      </c>
      <c r="U31" s="56" t="n">
        <v>35.7</v>
      </c>
      <c r="V31" s="57" t="n">
        <f aca="false">V30-U31</f>
        <v>2314.56002268717</v>
      </c>
      <c r="W31" s="56" t="n">
        <f aca="false">R31+T31+N31+U31</f>
        <v>39.76</v>
      </c>
      <c r="X31" s="56" t="n">
        <f aca="false">IF(L31&lt;0,L31*-1,0)</f>
        <v>0.0121199899168118</v>
      </c>
      <c r="Y31" s="56" t="n">
        <f aca="false">W31+X31</f>
        <v>39.7721199899168</v>
      </c>
      <c r="Z31" s="60" t="n">
        <v>0.29</v>
      </c>
      <c r="AA31" s="61" t="n">
        <v>36</v>
      </c>
      <c r="AB31" s="61" t="n">
        <v>10</v>
      </c>
      <c r="AC31" s="62" t="n">
        <f aca="false">AC30+1</f>
        <v>22</v>
      </c>
      <c r="AD31" s="78"/>
      <c r="AE31" s="82"/>
      <c r="AF31" s="79"/>
    </row>
    <row r="32" customFormat="false" ht="11.1" hidden="false" customHeight="true" outlineLevel="0" collapsed="false">
      <c r="A32" s="62" t="n">
        <f aca="false">A31+1</f>
        <v>23</v>
      </c>
      <c r="B32" s="80" t="n">
        <v>6893.8</v>
      </c>
      <c r="C32" s="57" t="n">
        <v>261267</v>
      </c>
      <c r="D32" s="61" t="n">
        <f aca="false">C32-C31</f>
        <v>489</v>
      </c>
      <c r="E32" s="57" t="n">
        <f aca="false">C32-152000</f>
        <v>109267</v>
      </c>
      <c r="F32" s="56" t="n">
        <f aca="false">D32/$D$2</f>
        <v>246.53390471389</v>
      </c>
      <c r="G32" s="56" t="n">
        <v>286.4</v>
      </c>
      <c r="H32" s="58" t="n">
        <v>0</v>
      </c>
      <c r="I32" s="56" t="n">
        <f aca="false">G32+H32</f>
        <v>286.4</v>
      </c>
      <c r="J32" s="81" t="n">
        <f aca="false">IF(L32&gt;0,L32,0)</f>
        <v>0</v>
      </c>
      <c r="K32" s="56" t="n">
        <f aca="false">I32+J32</f>
        <v>286.4</v>
      </c>
      <c r="L32" s="56" t="n">
        <f aca="false">F32-(I32-W32)</f>
        <v>-0.106095286110389</v>
      </c>
      <c r="M32" s="56" t="n">
        <v>4.06</v>
      </c>
      <c r="N32" s="56" t="n">
        <v>0</v>
      </c>
      <c r="O32" s="56" t="n">
        <f aca="false">M32-N32</f>
        <v>4.06</v>
      </c>
      <c r="P32" s="56" t="n">
        <v>0</v>
      </c>
      <c r="Q32" s="56" t="n">
        <v>0</v>
      </c>
      <c r="R32" s="56" t="n">
        <f aca="false">SUM(O32:Q32)</f>
        <v>4.06</v>
      </c>
      <c r="S32" s="57"/>
      <c r="T32" s="56" t="n">
        <v>0</v>
      </c>
      <c r="U32" s="56" t="n">
        <v>35.7</v>
      </c>
      <c r="V32" s="57" t="n">
        <f aca="false">V31-U32</f>
        <v>2278.86002268717</v>
      </c>
      <c r="W32" s="56" t="n">
        <f aca="false">R32+T32+N32+U32</f>
        <v>39.76</v>
      </c>
      <c r="X32" s="56" t="n">
        <f aca="false">IF(L32&lt;0,L32*-1,0)</f>
        <v>0.106095286110389</v>
      </c>
      <c r="Y32" s="56" t="n">
        <f aca="false">W32+X32</f>
        <v>39.8660952861104</v>
      </c>
      <c r="Z32" s="60" t="n">
        <v>0.47</v>
      </c>
      <c r="AA32" s="61" t="n">
        <v>32</v>
      </c>
      <c r="AB32" s="90" t="n">
        <v>26</v>
      </c>
      <c r="AC32" s="62" t="n">
        <f aca="false">AC31+1</f>
        <v>23</v>
      </c>
      <c r="AD32" s="78"/>
      <c r="AE32" s="82"/>
      <c r="AF32" s="79"/>
    </row>
    <row r="33" customFormat="false" ht="11.1" hidden="false" customHeight="true" outlineLevel="0" collapsed="false">
      <c r="A33" s="62" t="n">
        <f aca="false">A32+1</f>
        <v>24</v>
      </c>
      <c r="B33" s="80" t="n">
        <v>6893.84</v>
      </c>
      <c r="C33" s="57" t="n">
        <v>261407</v>
      </c>
      <c r="D33" s="61" t="n">
        <f aca="false">C33-C32</f>
        <v>140</v>
      </c>
      <c r="E33" s="57" t="n">
        <f aca="false">C33-152000</f>
        <v>109407</v>
      </c>
      <c r="F33" s="56" t="n">
        <f aca="false">D33/$D$2</f>
        <v>70.5823040080665</v>
      </c>
      <c r="G33" s="56" t="n">
        <v>110.4</v>
      </c>
      <c r="H33" s="58" t="n">
        <v>0</v>
      </c>
      <c r="I33" s="56" t="n">
        <f aca="false">G33+H33</f>
        <v>110.4</v>
      </c>
      <c r="J33" s="81" t="n">
        <f aca="false">IF(L33&gt;0,L33,0)</f>
        <v>0</v>
      </c>
      <c r="K33" s="56" t="n">
        <f aca="false">I33+J33</f>
        <v>110.4</v>
      </c>
      <c r="L33" s="56" t="n">
        <f aca="false">F33-(I33-W33)</f>
        <v>-0.057695991933457</v>
      </c>
      <c r="M33" s="56" t="n">
        <v>4.06</v>
      </c>
      <c r="N33" s="56" t="n">
        <v>0</v>
      </c>
      <c r="O33" s="56" t="n">
        <f aca="false">M33-N33</f>
        <v>4.06</v>
      </c>
      <c r="P33" s="56" t="n">
        <v>0</v>
      </c>
      <c r="Q33" s="56" t="n">
        <v>0</v>
      </c>
      <c r="R33" s="56" t="n">
        <f aca="false">SUM(O33:Q33)</f>
        <v>4.06</v>
      </c>
      <c r="S33" s="57"/>
      <c r="T33" s="56" t="n">
        <v>0</v>
      </c>
      <c r="U33" s="56" t="n">
        <v>35.7</v>
      </c>
      <c r="V33" s="57" t="n">
        <f aca="false">V32-U33</f>
        <v>2243.16002268717</v>
      </c>
      <c r="W33" s="56" t="n">
        <f aca="false">R33+T33+N33+U33</f>
        <v>39.76</v>
      </c>
      <c r="X33" s="56" t="n">
        <f aca="false">IF(L33&lt;0,L33*-1,0)</f>
        <v>0.057695991933457</v>
      </c>
      <c r="Y33" s="56" t="n">
        <f aca="false">W33+X33</f>
        <v>39.8176959919335</v>
      </c>
      <c r="Z33" s="60" t="n">
        <v>0</v>
      </c>
      <c r="AA33" s="61" t="n">
        <v>43</v>
      </c>
      <c r="AB33" s="90" t="n">
        <v>8</v>
      </c>
      <c r="AC33" s="62" t="n">
        <f aca="false">AC32+1</f>
        <v>24</v>
      </c>
      <c r="AD33" s="78"/>
      <c r="AE33" s="82"/>
      <c r="AF33" s="79"/>
    </row>
    <row r="34" customFormat="false" ht="11.1" hidden="false" customHeight="true" outlineLevel="0" collapsed="false">
      <c r="A34" s="62" t="n">
        <f aca="false">A33+1</f>
        <v>25</v>
      </c>
      <c r="B34" s="80" t="n">
        <v>6893.87</v>
      </c>
      <c r="C34" s="57" t="n">
        <v>261512</v>
      </c>
      <c r="D34" s="61" t="n">
        <f aca="false">C34-C33</f>
        <v>105</v>
      </c>
      <c r="E34" s="57" t="n">
        <f aca="false">C34-152000</f>
        <v>109512</v>
      </c>
      <c r="F34" s="56" t="n">
        <f aca="false">D34/$D$2</f>
        <v>52.9367280060499</v>
      </c>
      <c r="G34" s="56" t="n">
        <v>92.7</v>
      </c>
      <c r="H34" s="58" t="n">
        <v>0</v>
      </c>
      <c r="I34" s="56" t="n">
        <f aca="false">G34+H34</f>
        <v>92.7</v>
      </c>
      <c r="J34" s="81" t="n">
        <f aca="false">IF(L34&gt;0,L34,0)</f>
        <v>0</v>
      </c>
      <c r="K34" s="56" t="n">
        <f aca="false">I34+J34</f>
        <v>92.7</v>
      </c>
      <c r="L34" s="56" t="n">
        <f aca="false">F34-(I34-W34)</f>
        <v>-0.00327199395008648</v>
      </c>
      <c r="M34" s="56" t="n">
        <v>4.06</v>
      </c>
      <c r="N34" s="56" t="n">
        <v>0</v>
      </c>
      <c r="O34" s="56" t="n">
        <f aca="false">M34-N34</f>
        <v>4.06</v>
      </c>
      <c r="P34" s="56" t="n">
        <v>0</v>
      </c>
      <c r="Q34" s="56" t="n">
        <v>0</v>
      </c>
      <c r="R34" s="56" t="n">
        <f aca="false">SUM(O34:Q34)</f>
        <v>4.06</v>
      </c>
      <c r="S34" s="57"/>
      <c r="T34" s="56" t="n">
        <v>0</v>
      </c>
      <c r="U34" s="56" t="n">
        <v>35.7</v>
      </c>
      <c r="V34" s="57" t="n">
        <f aca="false">V33-U34</f>
        <v>2207.46002268717</v>
      </c>
      <c r="W34" s="56" t="n">
        <f aca="false">R34+T34+N34+U34</f>
        <v>39.76</v>
      </c>
      <c r="X34" s="56" t="n">
        <f aca="false">IF(L34&lt;0,L34*-1,0)</f>
        <v>0.00327199395008648</v>
      </c>
      <c r="Y34" s="56" t="n">
        <f aca="false">W34+X34</f>
        <v>39.7632719939501</v>
      </c>
      <c r="Z34" s="60" t="n">
        <v>0.39</v>
      </c>
      <c r="AA34" s="61" t="n">
        <v>37</v>
      </c>
      <c r="AB34" s="90" t="n">
        <v>12</v>
      </c>
      <c r="AC34" s="62" t="n">
        <f aca="false">AC33+1</f>
        <v>25</v>
      </c>
      <c r="AD34" s="78"/>
      <c r="AE34" s="82"/>
      <c r="AF34" s="79"/>
    </row>
    <row r="35" customFormat="false" ht="11.1" hidden="false" customHeight="true" outlineLevel="0" collapsed="false">
      <c r="A35" s="62" t="n">
        <f aca="false">A34+1</f>
        <v>26</v>
      </c>
      <c r="B35" s="80" t="n">
        <v>6894.01</v>
      </c>
      <c r="C35" s="57" t="n">
        <v>262002</v>
      </c>
      <c r="D35" s="61" t="n">
        <f aca="false">C35-C34</f>
        <v>490</v>
      </c>
      <c r="E35" s="57" t="n">
        <f aca="false">C35-152000</f>
        <v>110002</v>
      </c>
      <c r="F35" s="56" t="n">
        <f aca="false">D35/$D$2</f>
        <v>247.038064028233</v>
      </c>
      <c r="G35" s="56" t="n">
        <v>287.2</v>
      </c>
      <c r="H35" s="58" t="n">
        <v>0</v>
      </c>
      <c r="I35" s="56" t="n">
        <f aca="false">G35+H35</f>
        <v>287.2</v>
      </c>
      <c r="J35" s="81" t="n">
        <f aca="false">IF(L35&gt;0,L35,0)</f>
        <v>0</v>
      </c>
      <c r="K35" s="56" t="n">
        <f aca="false">I35+J35</f>
        <v>287.2</v>
      </c>
      <c r="L35" s="56" t="n">
        <f aca="false">F35-(I35-W35)</f>
        <v>-0.0319359717670693</v>
      </c>
      <c r="M35" s="56" t="n">
        <v>4.06</v>
      </c>
      <c r="N35" s="56" t="n">
        <v>0</v>
      </c>
      <c r="O35" s="56" t="n">
        <f aca="false">M35-N35</f>
        <v>4.06</v>
      </c>
      <c r="P35" s="56" t="n">
        <v>0</v>
      </c>
      <c r="Q35" s="56" t="n">
        <v>0</v>
      </c>
      <c r="R35" s="56" t="n">
        <f aca="false">SUM(O35:Q35)</f>
        <v>4.06</v>
      </c>
      <c r="S35" s="57"/>
      <c r="T35" s="56" t="n">
        <v>0</v>
      </c>
      <c r="U35" s="56" t="n">
        <v>36.07</v>
      </c>
      <c r="V35" s="57" t="n">
        <f aca="false">V34-U35</f>
        <v>2171.39002268717</v>
      </c>
      <c r="W35" s="56" t="n">
        <f aca="false">R35+T35+N35+U35</f>
        <v>40.13</v>
      </c>
      <c r="X35" s="56" t="n">
        <f aca="false">IF(L35&lt;0,L35*-1,0)</f>
        <v>0.0319359717670693</v>
      </c>
      <c r="Y35" s="56" t="n">
        <f aca="false">W35+X35</f>
        <v>40.1619359717671</v>
      </c>
      <c r="Z35" s="60" t="n">
        <v>0.64</v>
      </c>
      <c r="AA35" s="61" t="n">
        <v>36</v>
      </c>
      <c r="AB35" s="61" t="n">
        <v>26</v>
      </c>
      <c r="AC35" s="62" t="n">
        <f aca="false">AC34+1</f>
        <v>26</v>
      </c>
      <c r="AD35" s="78"/>
      <c r="AE35" s="82"/>
      <c r="AF35" s="79"/>
    </row>
    <row r="36" customFormat="false" ht="11.1" hidden="false" customHeight="true" outlineLevel="0" collapsed="false">
      <c r="A36" s="62" t="n">
        <f aca="false">A35+1</f>
        <v>27</v>
      </c>
      <c r="B36" s="80" t="n">
        <v>6894.06</v>
      </c>
      <c r="C36" s="57" t="n">
        <v>262179</v>
      </c>
      <c r="D36" s="61" t="n">
        <f aca="false">C36-C35</f>
        <v>177</v>
      </c>
      <c r="E36" s="57" t="n">
        <f aca="false">C36-152000</f>
        <v>110179</v>
      </c>
      <c r="F36" s="56" t="n">
        <f aca="false">D36/$D$2</f>
        <v>89.2361986387698</v>
      </c>
      <c r="G36" s="56" t="n">
        <v>128.8</v>
      </c>
      <c r="H36" s="58" t="n">
        <v>0</v>
      </c>
      <c r="I36" s="56" t="n">
        <f aca="false">G36+H36</f>
        <v>128.8</v>
      </c>
      <c r="J36" s="81" t="n">
        <f aca="false">IF(L36&gt;0,L36,0)</f>
        <v>0</v>
      </c>
      <c r="K36" s="56" t="n">
        <f aca="false">I36+J36</f>
        <v>128.8</v>
      </c>
      <c r="L36" s="56" t="n">
        <f aca="false">F36-(I36-W36)</f>
        <v>-0.0438013612301518</v>
      </c>
      <c r="M36" s="56" t="n">
        <v>3.82</v>
      </c>
      <c r="N36" s="56" t="n">
        <v>0</v>
      </c>
      <c r="O36" s="56" t="n">
        <f aca="false">M36-N36</f>
        <v>3.82</v>
      </c>
      <c r="P36" s="56" t="n">
        <v>0</v>
      </c>
      <c r="Q36" s="56" t="n">
        <v>0</v>
      </c>
      <c r="R36" s="56" t="n">
        <f aca="false">SUM(O36:Q36)</f>
        <v>3.82</v>
      </c>
      <c r="S36" s="57"/>
      <c r="T36" s="56" t="n">
        <v>0</v>
      </c>
      <c r="U36" s="56" t="n">
        <v>35.7</v>
      </c>
      <c r="V36" s="57" t="n">
        <f aca="false">V35-U36</f>
        <v>2135.69002268717</v>
      </c>
      <c r="W36" s="56" t="n">
        <f aca="false">R36+T36+N36+U36</f>
        <v>39.52</v>
      </c>
      <c r="X36" s="56" t="n">
        <f aca="false">IF(L36&lt;0,L36*-1,0)</f>
        <v>0.0438013612301518</v>
      </c>
      <c r="Y36" s="56" t="n">
        <f aca="false">W36+X36</f>
        <v>39.5638013612302</v>
      </c>
      <c r="Z36" s="60" t="n">
        <v>0</v>
      </c>
      <c r="AA36" s="61" t="n">
        <v>45</v>
      </c>
      <c r="AB36" s="61" t="n">
        <v>28</v>
      </c>
      <c r="AC36" s="62" t="n">
        <f aca="false">AC35+1</f>
        <v>27</v>
      </c>
      <c r="AD36" s="78"/>
      <c r="AE36" s="82"/>
      <c r="AF36" s="79"/>
    </row>
    <row r="37" customFormat="false" ht="11.1" hidden="false" customHeight="true" outlineLevel="0" collapsed="false">
      <c r="A37" s="62" t="n">
        <f aca="false">A36+1</f>
        <v>28</v>
      </c>
      <c r="B37" s="80" t="n">
        <v>6894.09</v>
      </c>
      <c r="C37" s="57" t="n">
        <v>262284</v>
      </c>
      <c r="D37" s="61" t="n">
        <f aca="false">C37-C36</f>
        <v>105</v>
      </c>
      <c r="E37" s="57" t="n">
        <f aca="false">C37-152000</f>
        <v>110284</v>
      </c>
      <c r="F37" s="56" t="n">
        <f aca="false">D37/$D$2</f>
        <v>52.9367280060499</v>
      </c>
      <c r="G37" s="56" t="n">
        <v>92.4</v>
      </c>
      <c r="H37" s="58" t="n">
        <v>0</v>
      </c>
      <c r="I37" s="56" t="n">
        <f aca="false">G37+H37</f>
        <v>92.4</v>
      </c>
      <c r="J37" s="81" t="n">
        <f aca="false">IF(L37&gt;0,L37,0)</f>
        <v>0</v>
      </c>
      <c r="K37" s="56" t="n">
        <f aca="false">I37+J37</f>
        <v>92.4</v>
      </c>
      <c r="L37" s="56" t="n">
        <f aca="false">F37-(I37-W37)</f>
        <v>-0.0432719939500927</v>
      </c>
      <c r="M37" s="56" t="n">
        <v>3.72</v>
      </c>
      <c r="N37" s="56" t="n">
        <v>0</v>
      </c>
      <c r="O37" s="56" t="n">
        <f aca="false">M37-N37</f>
        <v>3.72</v>
      </c>
      <c r="P37" s="56" t="n">
        <v>0</v>
      </c>
      <c r="Q37" s="56" t="n">
        <v>0</v>
      </c>
      <c r="R37" s="56" t="n">
        <f aca="false">SUM(O37:Q37)</f>
        <v>3.72</v>
      </c>
      <c r="S37" s="57"/>
      <c r="T37" s="56" t="n">
        <v>0</v>
      </c>
      <c r="U37" s="56" t="n">
        <v>35.7</v>
      </c>
      <c r="V37" s="57" t="n">
        <f aca="false">V36-U37</f>
        <v>2099.99002268717</v>
      </c>
      <c r="W37" s="56" t="n">
        <f aca="false">R37+T37+N37+U37</f>
        <v>39.42</v>
      </c>
      <c r="X37" s="56" t="n">
        <f aca="false">IF(L37&lt;0,L37*-1,0)</f>
        <v>0.0432719939500927</v>
      </c>
      <c r="Y37" s="56" t="n">
        <f aca="false">W37+X37</f>
        <v>39.4632719939501</v>
      </c>
      <c r="Z37" s="60" t="n">
        <v>0</v>
      </c>
      <c r="AA37" s="61" t="n">
        <v>44</v>
      </c>
      <c r="AB37" s="61" t="n">
        <v>15</v>
      </c>
      <c r="AC37" s="62" t="n">
        <f aca="false">AC36+1</f>
        <v>28</v>
      </c>
      <c r="AD37" s="78"/>
      <c r="AE37" s="82"/>
      <c r="AF37" s="79"/>
    </row>
    <row r="38" customFormat="false" ht="11.1" hidden="false" customHeight="true" outlineLevel="0" collapsed="false">
      <c r="A38" s="62" t="n">
        <f aca="false">A37+1</f>
        <v>29</v>
      </c>
      <c r="B38" s="80" t="n">
        <v>6894.14</v>
      </c>
      <c r="C38" s="57" t="n">
        <v>262461</v>
      </c>
      <c r="D38" s="61" t="n">
        <f aca="false">C38-C37</f>
        <v>177</v>
      </c>
      <c r="E38" s="57" t="n">
        <f aca="false">C38-152000</f>
        <v>110461</v>
      </c>
      <c r="F38" s="56" t="n">
        <f aca="false">D38/$D$2</f>
        <v>89.2361986387698</v>
      </c>
      <c r="G38" s="56" t="n">
        <v>128.7</v>
      </c>
      <c r="H38" s="58" t="n">
        <v>0</v>
      </c>
      <c r="I38" s="56" t="n">
        <f aca="false">G38+H38</f>
        <v>128.7</v>
      </c>
      <c r="J38" s="81" t="n">
        <f aca="false">IF(L38&gt;0,L38,0)</f>
        <v>0</v>
      </c>
      <c r="K38" s="56" t="n">
        <f aca="false">I38+J38</f>
        <v>128.7</v>
      </c>
      <c r="L38" s="56" t="n">
        <f aca="false">F38-(I38-W38)</f>
        <v>-0.0438013612301376</v>
      </c>
      <c r="M38" s="56" t="n">
        <v>3.72</v>
      </c>
      <c r="N38" s="56" t="n">
        <v>0</v>
      </c>
      <c r="O38" s="56" t="n">
        <f aca="false">M38-N38</f>
        <v>3.72</v>
      </c>
      <c r="P38" s="56" t="n">
        <v>0</v>
      </c>
      <c r="Q38" s="56" t="n">
        <v>0</v>
      </c>
      <c r="R38" s="56" t="n">
        <f aca="false">SUM(O38:Q38)</f>
        <v>3.72</v>
      </c>
      <c r="S38" s="57"/>
      <c r="T38" s="56" t="n">
        <v>0</v>
      </c>
      <c r="U38" s="56" t="n">
        <v>35.7</v>
      </c>
      <c r="V38" s="57" t="n">
        <f aca="false">V37-U38</f>
        <v>2064.29002268717</v>
      </c>
      <c r="W38" s="56" t="n">
        <f aca="false">R38+T38+N38+U38</f>
        <v>39.42</v>
      </c>
      <c r="X38" s="56" t="n">
        <f aca="false">IF(L38&lt;0,L38*-1,0)</f>
        <v>0.0438013612301376</v>
      </c>
      <c r="Y38" s="56" t="n">
        <f aca="false">W38+X38</f>
        <v>39.4638013612301</v>
      </c>
      <c r="Z38" s="60" t="n">
        <v>0</v>
      </c>
      <c r="AA38" s="90" t="n">
        <v>50</v>
      </c>
      <c r="AB38" s="61" t="n">
        <v>20</v>
      </c>
      <c r="AC38" s="62" t="n">
        <f aca="false">AC37+1</f>
        <v>29</v>
      </c>
      <c r="AD38" s="78"/>
      <c r="AE38" s="82"/>
      <c r="AF38" s="79"/>
    </row>
    <row r="39" customFormat="false" ht="11.1" hidden="false" customHeight="true" outlineLevel="0" collapsed="false">
      <c r="A39" s="62" t="n">
        <v>30</v>
      </c>
      <c r="B39" s="80" t="n">
        <v>6894.19</v>
      </c>
      <c r="C39" s="57" t="n">
        <v>262637</v>
      </c>
      <c r="D39" s="61" t="n">
        <f aca="false">C39-C38</f>
        <v>176</v>
      </c>
      <c r="E39" s="57" t="n">
        <f aca="false">C39-152000</f>
        <v>110637</v>
      </c>
      <c r="F39" s="56" t="n">
        <f aca="false">D39/$D$2</f>
        <v>88.7320393244265</v>
      </c>
      <c r="G39" s="56" t="n">
        <v>128.4</v>
      </c>
      <c r="H39" s="58" t="n">
        <v>0</v>
      </c>
      <c r="I39" s="56" t="n">
        <f aca="false">G39+H39</f>
        <v>128.4</v>
      </c>
      <c r="J39" s="81" t="n">
        <f aca="false">IF(L39&gt;0,L39,0)</f>
        <v>0</v>
      </c>
      <c r="K39" s="56" t="n">
        <f aca="false">I39+J39</f>
        <v>128.4</v>
      </c>
      <c r="L39" s="56" t="n">
        <f aca="false">F39-(I39-W39)</f>
        <v>-0.00796067557348579</v>
      </c>
      <c r="M39" s="56" t="n">
        <v>3.96</v>
      </c>
      <c r="N39" s="56" t="n">
        <v>0</v>
      </c>
      <c r="O39" s="56" t="n">
        <f aca="false">M39-N39</f>
        <v>3.96</v>
      </c>
      <c r="P39" s="56" t="n">
        <v>0</v>
      </c>
      <c r="Q39" s="56" t="n">
        <v>0</v>
      </c>
      <c r="R39" s="56" t="n">
        <f aca="false">SUM(O39:Q39)</f>
        <v>3.96</v>
      </c>
      <c r="S39" s="57"/>
      <c r="T39" s="56" t="n">
        <v>0</v>
      </c>
      <c r="U39" s="56" t="n">
        <v>35.7</v>
      </c>
      <c r="V39" s="57" t="n">
        <f aca="false">V38-U39</f>
        <v>2028.59002268717</v>
      </c>
      <c r="W39" s="56" t="n">
        <f aca="false">R39+T39+N39+U39</f>
        <v>39.66</v>
      </c>
      <c r="X39" s="56" t="n">
        <f aca="false">IF(L39&lt;0,L39*-1,0)</f>
        <v>0.00796067557348579</v>
      </c>
      <c r="Y39" s="56" t="n">
        <f aca="false">W39+X39</f>
        <v>39.6679606755735</v>
      </c>
      <c r="Z39" s="60" t="n">
        <v>0</v>
      </c>
      <c r="AA39" s="90" t="n">
        <v>42</v>
      </c>
      <c r="AB39" s="61" t="n">
        <v>13</v>
      </c>
      <c r="AC39" s="62" t="n">
        <v>30</v>
      </c>
      <c r="AD39" s="78"/>
      <c r="AE39" s="82"/>
      <c r="AF39" s="79"/>
    </row>
    <row r="40" customFormat="false" ht="11.1" hidden="false" customHeight="true" outlineLevel="0" collapsed="false">
      <c r="A40" s="62" t="n">
        <v>31</v>
      </c>
      <c r="B40" s="80" t="n">
        <v>6894.24</v>
      </c>
      <c r="C40" s="57" t="n">
        <v>262814</v>
      </c>
      <c r="D40" s="61" t="n">
        <f aca="false">C40-C39</f>
        <v>177</v>
      </c>
      <c r="E40" s="57" t="n">
        <f aca="false">C40-152000</f>
        <v>110814</v>
      </c>
      <c r="F40" s="56" t="n">
        <f aca="false">D40/$D$2</f>
        <v>89.2361986387698</v>
      </c>
      <c r="G40" s="56" t="n">
        <v>129</v>
      </c>
      <c r="H40" s="58" t="n">
        <v>0</v>
      </c>
      <c r="I40" s="56" t="n">
        <f aca="false">G40+H40</f>
        <v>129</v>
      </c>
      <c r="J40" s="81" t="n">
        <f aca="false">IF(L40&gt;0,L40,0)</f>
        <v>0</v>
      </c>
      <c r="K40" s="56" t="n">
        <f aca="false">I40+J40</f>
        <v>129</v>
      </c>
      <c r="L40" s="56" t="n">
        <f aca="false">F40-(I40-W40)</f>
        <v>-0.00380136123014552</v>
      </c>
      <c r="M40" s="56" t="n">
        <v>4.06</v>
      </c>
      <c r="N40" s="56" t="n">
        <v>0</v>
      </c>
      <c r="O40" s="56" t="n">
        <f aca="false">M40-N40</f>
        <v>4.06</v>
      </c>
      <c r="P40" s="56" t="n">
        <v>0</v>
      </c>
      <c r="Q40" s="56" t="n">
        <v>0</v>
      </c>
      <c r="R40" s="56" t="n">
        <f aca="false">SUM(O40:Q40)</f>
        <v>4.06</v>
      </c>
      <c r="S40" s="57"/>
      <c r="T40" s="56" t="n">
        <v>0</v>
      </c>
      <c r="U40" s="56" t="n">
        <v>35.7</v>
      </c>
      <c r="V40" s="57" t="n">
        <f aca="false">V39-U40</f>
        <v>1992.89002268717</v>
      </c>
      <c r="W40" s="56" t="n">
        <f aca="false">R40+T40+N40+U40</f>
        <v>39.76</v>
      </c>
      <c r="X40" s="56" t="n">
        <f aca="false">IF(L40&lt;0,L40*-1,0)</f>
        <v>0.00380136123014552</v>
      </c>
      <c r="Y40" s="56" t="n">
        <f aca="false">W40+X40</f>
        <v>39.7638013612301</v>
      </c>
      <c r="Z40" s="60" t="n">
        <v>0</v>
      </c>
      <c r="AA40" s="90" t="n">
        <v>48</v>
      </c>
      <c r="AB40" s="61" t="n">
        <v>18</v>
      </c>
      <c r="AC40" s="62" t="n">
        <v>31</v>
      </c>
      <c r="AD40" s="78"/>
      <c r="AE40" s="78"/>
      <c r="AF40" s="79"/>
    </row>
    <row r="41" customFormat="false" ht="3" hidden="false" customHeight="true" outlineLevel="0" collapsed="false">
      <c r="A41" s="83"/>
      <c r="B41" s="92"/>
      <c r="C41" s="85"/>
      <c r="D41" s="83"/>
      <c r="E41" s="85"/>
      <c r="F41" s="83"/>
      <c r="G41" s="92"/>
      <c r="H41" s="86"/>
      <c r="I41" s="83"/>
      <c r="J41" s="83"/>
      <c r="K41" s="83"/>
      <c r="L41" s="83"/>
      <c r="M41" s="92"/>
      <c r="N41" s="83"/>
      <c r="O41" s="83"/>
      <c r="P41" s="83"/>
      <c r="Q41" s="83"/>
      <c r="R41" s="83"/>
      <c r="S41" s="85"/>
      <c r="T41" s="83"/>
      <c r="U41" s="92"/>
      <c r="V41" s="83"/>
      <c r="W41" s="83"/>
      <c r="X41" s="83"/>
      <c r="Y41" s="83"/>
      <c r="Z41" s="87"/>
      <c r="AA41" s="88" t="n">
        <v>73</v>
      </c>
      <c r="AB41" s="88"/>
      <c r="AC41" s="89"/>
      <c r="AD41" s="78"/>
      <c r="AE41" s="78"/>
      <c r="AF41" s="79"/>
    </row>
    <row r="42" customFormat="false" ht="11.1" hidden="false" customHeight="true" outlineLevel="0" collapsed="false">
      <c r="A42" s="56" t="s">
        <v>45</v>
      </c>
      <c r="B42" s="56"/>
      <c r="C42" s="57"/>
      <c r="D42" s="57"/>
      <c r="E42" s="57"/>
      <c r="F42" s="57" t="n">
        <f aca="false">SUM(F10:F40)</f>
        <v>3169.14544996219</v>
      </c>
      <c r="G42" s="57" t="n">
        <f aca="false">SUM(G10:G40)</f>
        <v>4400.4</v>
      </c>
      <c r="H42" s="57" t="n">
        <f aca="false">SUM(H10:H40)</f>
        <v>0</v>
      </c>
      <c r="I42" s="57" t="n">
        <f aca="false">SUM(I10:I40)</f>
        <v>4400.4</v>
      </c>
      <c r="J42" s="57" t="n">
        <f aca="false">SUM(J10:J40)</f>
        <v>0.122314091252825</v>
      </c>
      <c r="K42" s="57" t="n">
        <f aca="false">SUM(K10:K40)</f>
        <v>4400.52231409125</v>
      </c>
      <c r="L42" s="57" t="n">
        <f aca="false">SUM(L10:L40)</f>
        <v>-0.774550037811999</v>
      </c>
      <c r="M42" s="57" t="n">
        <f aca="false">SUM(M10:M40)</f>
        <v>132.16</v>
      </c>
      <c r="N42" s="57" t="n">
        <f aca="false">SUM(N10:N40)</f>
        <v>0</v>
      </c>
      <c r="O42" s="57" t="n">
        <f aca="false">SUM(O10:O40)</f>
        <v>132.16</v>
      </c>
      <c r="P42" s="57" t="n">
        <f aca="false">SUM(P10:P40)</f>
        <v>0</v>
      </c>
      <c r="Q42" s="57" t="n">
        <f aca="false">SUM(Q10:Q40)</f>
        <v>0</v>
      </c>
      <c r="R42" s="57" t="n">
        <f aca="false">SUM(R10:R40)</f>
        <v>132.16</v>
      </c>
      <c r="S42" s="57"/>
      <c r="T42" s="57" t="n">
        <f aca="false">SUM(T10:T40)</f>
        <v>0</v>
      </c>
      <c r="U42" s="57" t="n">
        <f aca="false">SUM(U10:U40)</f>
        <v>1098.32</v>
      </c>
      <c r="V42" s="57"/>
      <c r="W42" s="57" t="n">
        <f aca="false">SUM(W10:W40)</f>
        <v>1230.48</v>
      </c>
      <c r="X42" s="57" t="n">
        <f aca="false">SUM(X10:X40)</f>
        <v>0.896864129064824</v>
      </c>
      <c r="Y42" s="57" t="n">
        <f aca="false">SUM(Y10:Y40)</f>
        <v>1231.37686412906</v>
      </c>
      <c r="Z42" s="60" t="n">
        <f aca="false">SUM(Z10:Z40)</f>
        <v>3.52</v>
      </c>
      <c r="AA42" s="61" t="n">
        <f aca="false">AVERAGE(AA10:AA40)</f>
        <v>37.4193548387097</v>
      </c>
      <c r="AB42" s="61" t="n">
        <f aca="false">AVERAGE(AB10:AB40)</f>
        <v>14.8709677419355</v>
      </c>
      <c r="AC42" s="62"/>
      <c r="AD42" s="78"/>
      <c r="AE42" s="78"/>
      <c r="AF42" s="79"/>
    </row>
    <row r="43" customFormat="false" ht="11.1" hidden="false" customHeight="true" outlineLevel="0" collapsed="false">
      <c r="A43" s="56" t="s">
        <v>46</v>
      </c>
      <c r="B43" s="56"/>
      <c r="C43" s="57"/>
      <c r="D43" s="57" t="n">
        <f aca="false">SUM(D10:D40)</f>
        <v>6286</v>
      </c>
      <c r="E43" s="57"/>
      <c r="F43" s="57" t="n">
        <f aca="false">F42*$D$2</f>
        <v>6286</v>
      </c>
      <c r="G43" s="57" t="n">
        <f aca="false">G42*$D$2</f>
        <v>8728.1934</v>
      </c>
      <c r="H43" s="57" t="n">
        <f aca="false">H42*$D$2</f>
        <v>0</v>
      </c>
      <c r="I43" s="57" t="n">
        <f aca="false">I42*$D$2</f>
        <v>8728.1934</v>
      </c>
      <c r="J43" s="57" t="n">
        <f aca="false">J42*$D$2</f>
        <v>0.242609999999979</v>
      </c>
      <c r="K43" s="57" t="n">
        <f aca="false">K42*$D$2</f>
        <v>8728.43601</v>
      </c>
      <c r="L43" s="57" t="n">
        <f aca="false">L42*$D$2</f>
        <v>-1.5363200000001</v>
      </c>
      <c r="M43" s="57" t="n">
        <f aca="false">M42*$D$2</f>
        <v>262.13936</v>
      </c>
      <c r="N43" s="57" t="n">
        <f aca="false">N42*$D$2</f>
        <v>0</v>
      </c>
      <c r="O43" s="57" t="n">
        <f aca="false">O42*$D$2</f>
        <v>262.13936</v>
      </c>
      <c r="P43" s="57" t="n">
        <f aca="false">P42*$D$2</f>
        <v>0</v>
      </c>
      <c r="Q43" s="57" t="n">
        <f aca="false">Q42*$D$2</f>
        <v>0</v>
      </c>
      <c r="R43" s="57" t="n">
        <f aca="false">R42*$D$2</f>
        <v>262.13936</v>
      </c>
      <c r="S43" s="57"/>
      <c r="T43" s="57" t="n">
        <f aca="false">T42*$D$2</f>
        <v>0</v>
      </c>
      <c r="U43" s="57" t="n">
        <f aca="false">U42*$D$2</f>
        <v>2178.51772</v>
      </c>
      <c r="V43" s="57"/>
      <c r="W43" s="57" t="n">
        <f aca="false">W42*$D$2</f>
        <v>2440.65708</v>
      </c>
      <c r="X43" s="57" t="n">
        <f aca="false">X42*$D$2</f>
        <v>1.77893000000008</v>
      </c>
      <c r="Y43" s="57" t="n">
        <f aca="false">Y42*$D$2</f>
        <v>2442.43601</v>
      </c>
      <c r="Z43" s="60"/>
      <c r="AA43" s="61" t="n">
        <f aca="false">MAX(AA10:AA40)</f>
        <v>57</v>
      </c>
      <c r="AB43" s="61" t="n">
        <f aca="false">MAX(AB10:AB40)</f>
        <v>30</v>
      </c>
      <c r="AC43" s="62" t="s">
        <v>47</v>
      </c>
      <c r="AD43" s="78"/>
      <c r="AE43" s="78"/>
      <c r="AF43" s="79"/>
    </row>
    <row r="44" customFormat="false" ht="3" hidden="false" customHeight="true" outlineLevel="0" collapsed="false">
      <c r="A44" s="83"/>
      <c r="B44" s="83"/>
      <c r="C44" s="85"/>
      <c r="D44" s="85"/>
      <c r="E44" s="85"/>
      <c r="F44" s="85"/>
      <c r="G44" s="85"/>
      <c r="H44" s="85"/>
      <c r="I44" s="85"/>
      <c r="J44" s="85"/>
      <c r="K44" s="85"/>
      <c r="L44" s="85"/>
      <c r="M44" s="85"/>
      <c r="N44" s="85"/>
      <c r="O44" s="85"/>
      <c r="P44" s="85"/>
      <c r="Q44" s="85"/>
      <c r="R44" s="85"/>
      <c r="S44" s="85"/>
      <c r="T44" s="85"/>
      <c r="U44" s="85"/>
      <c r="V44" s="83"/>
      <c r="W44" s="85"/>
      <c r="X44" s="85"/>
      <c r="Y44" s="85"/>
      <c r="Z44" s="60"/>
      <c r="AA44" s="61"/>
      <c r="AB44" s="61"/>
      <c r="AC44" s="62"/>
      <c r="AD44" s="78"/>
      <c r="AE44" s="78"/>
      <c r="AF44" s="79"/>
    </row>
    <row r="45" customFormat="false" ht="11.1" hidden="false" customHeight="true" outlineLevel="0" collapsed="false">
      <c r="A45" s="56" t="s">
        <v>48</v>
      </c>
      <c r="B45" s="56"/>
      <c r="C45" s="57"/>
      <c r="D45" s="57"/>
      <c r="E45" s="57"/>
      <c r="F45" s="57"/>
      <c r="G45" s="57"/>
      <c r="H45" s="57"/>
      <c r="I45" s="57"/>
      <c r="J45" s="57"/>
      <c r="K45" s="57"/>
      <c r="L45" s="57"/>
      <c r="M45" s="57"/>
      <c r="N45" s="57"/>
      <c r="O45" s="57"/>
      <c r="P45" s="57"/>
      <c r="Q45" s="57"/>
      <c r="R45" s="57"/>
      <c r="S45" s="57"/>
      <c r="T45" s="57"/>
      <c r="U45" s="57"/>
      <c r="V45" s="57"/>
      <c r="W45" s="57"/>
      <c r="X45" s="57"/>
      <c r="Y45" s="57"/>
      <c r="Z45" s="60"/>
      <c r="AA45" s="61" t="n">
        <f aca="false">MIN(AA10:AA40)</f>
        <v>23</v>
      </c>
      <c r="AB45" s="61" t="n">
        <f aca="false">MIN(AB10:AB40)</f>
        <v>-6</v>
      </c>
      <c r="AC45" s="62" t="s">
        <v>49</v>
      </c>
      <c r="AD45" s="78"/>
      <c r="AE45" s="78"/>
      <c r="AF45" s="79"/>
    </row>
    <row r="46" customFormat="false" ht="11.1" hidden="false" customHeight="true" outlineLevel="0" collapsed="false">
      <c r="A46" s="56" t="s">
        <v>50</v>
      </c>
      <c r="B46" s="56"/>
      <c r="C46" s="57"/>
      <c r="D46" s="57"/>
      <c r="E46" s="57"/>
      <c r="F46" s="57"/>
      <c r="G46" s="57"/>
      <c r="H46" s="57"/>
      <c r="I46" s="57"/>
      <c r="J46" s="57"/>
      <c r="K46" s="57"/>
      <c r="L46" s="57"/>
      <c r="M46" s="57"/>
      <c r="N46" s="57"/>
      <c r="O46" s="57"/>
      <c r="P46" s="57"/>
      <c r="Q46" s="57"/>
      <c r="R46" s="57"/>
      <c r="S46" s="57"/>
      <c r="T46" s="57"/>
      <c r="U46" s="57"/>
      <c r="V46" s="57"/>
      <c r="W46" s="57"/>
      <c r="X46" s="57"/>
      <c r="Y46" s="57"/>
      <c r="Z46" s="60"/>
      <c r="AA46" s="61"/>
      <c r="AB46" s="61"/>
      <c r="AC46" s="62"/>
      <c r="AD46" s="78"/>
      <c r="AE46" s="78"/>
      <c r="AF46" s="79"/>
    </row>
    <row r="47" customFormat="false" ht="3" hidden="false" customHeight="true" outlineLevel="0" collapsed="false">
      <c r="A47" s="83"/>
      <c r="B47" s="83"/>
      <c r="C47" s="85"/>
      <c r="D47" s="85"/>
      <c r="E47" s="85"/>
      <c r="F47" s="85"/>
      <c r="G47" s="85"/>
      <c r="H47" s="88"/>
      <c r="I47" s="85"/>
      <c r="J47" s="85"/>
      <c r="K47" s="85"/>
      <c r="L47" s="85"/>
      <c r="M47" s="85"/>
      <c r="N47" s="85"/>
      <c r="O47" s="85"/>
      <c r="P47" s="85"/>
      <c r="Q47" s="85"/>
      <c r="R47" s="85"/>
      <c r="S47" s="85"/>
      <c r="T47" s="85"/>
      <c r="U47" s="85"/>
      <c r="V47" s="85"/>
      <c r="W47" s="85"/>
      <c r="X47" s="85"/>
      <c r="Y47" s="85"/>
      <c r="Z47" s="87"/>
      <c r="AA47" s="61"/>
      <c r="AB47" s="61"/>
      <c r="AC47" s="62"/>
      <c r="AD47" s="78"/>
      <c r="AE47" s="78"/>
      <c r="AF47" s="79"/>
    </row>
    <row r="48" customFormat="false" ht="11.1" hidden="false" customHeight="true" outlineLevel="0" collapsed="false">
      <c r="A48" s="56" t="s">
        <v>51</v>
      </c>
      <c r="B48" s="56"/>
      <c r="C48" s="57"/>
      <c r="D48" s="57"/>
      <c r="E48" s="57"/>
      <c r="F48" s="57" t="n">
        <f aca="false">F8+F42</f>
        <v>8470.38064028233</v>
      </c>
      <c r="G48" s="57" t="n">
        <f aca="false">G8+G42</f>
        <v>11567.53</v>
      </c>
      <c r="H48" s="61" t="n">
        <f aca="false">H8+H42</f>
        <v>118.7</v>
      </c>
      <c r="I48" s="57" t="n">
        <f aca="false">I8+I42</f>
        <v>11485.33</v>
      </c>
      <c r="J48" s="57" t="n">
        <f aca="false">J8+J42</f>
        <v>1608.35476430552</v>
      </c>
      <c r="K48" s="57" t="n">
        <f aca="false">K8+K42</f>
        <v>13093.6847643055</v>
      </c>
      <c r="L48" s="57" t="n">
        <f aca="false">L8+L42</f>
        <v>1031.75064028233</v>
      </c>
      <c r="M48" s="57" t="n">
        <f aca="false">M8+M42</f>
        <v>502.4</v>
      </c>
      <c r="N48" s="57" t="n">
        <f aca="false">N8+N42</f>
        <v>0</v>
      </c>
      <c r="O48" s="57" t="n">
        <f aca="false">O8+O42</f>
        <v>233.32</v>
      </c>
      <c r="P48" s="57" t="n">
        <f aca="false">P8+P42</f>
        <v>104.07</v>
      </c>
      <c r="Q48" s="57" t="n">
        <f aca="false">Q8+Q42</f>
        <v>198.8</v>
      </c>
      <c r="R48" s="57" t="n">
        <f aca="false">R8+R42</f>
        <v>743.207</v>
      </c>
      <c r="S48" s="57"/>
      <c r="T48" s="57" t="n">
        <f aca="false">T8+T42</f>
        <v>0</v>
      </c>
      <c r="U48" s="57" t="n">
        <f aca="false">U8+U42</f>
        <v>3241.43</v>
      </c>
      <c r="V48" s="57" t="n">
        <f aca="false">V40</f>
        <v>1992.89002268717</v>
      </c>
      <c r="W48" s="57" t="n">
        <f aca="false">W8+W42</f>
        <v>4046.7</v>
      </c>
      <c r="X48" s="57" t="n">
        <f aca="false">X8+X42</f>
        <v>576.604124023191</v>
      </c>
      <c r="Y48" s="57" t="n">
        <f aca="false">Y8+Y42</f>
        <v>4623.30412402319</v>
      </c>
      <c r="Z48" s="81" t="n">
        <f aca="false">Z8+Z42</f>
        <v>7.57</v>
      </c>
      <c r="AA48" s="61"/>
      <c r="AB48" s="61"/>
      <c r="AC48" s="62"/>
      <c r="AD48" s="78"/>
      <c r="AE48" s="78"/>
      <c r="AF48" s="79"/>
    </row>
    <row r="49" customFormat="false" ht="11.1" hidden="false" customHeight="true" outlineLevel="0" collapsed="false">
      <c r="A49" s="56" t="s">
        <v>52</v>
      </c>
      <c r="B49" s="56"/>
      <c r="C49" s="57"/>
      <c r="D49" s="57" t="n">
        <f aca="false">D8+D43</f>
        <v>16801</v>
      </c>
      <c r="E49" s="57" t="n">
        <f aca="false">E40</f>
        <v>110814</v>
      </c>
      <c r="F49" s="57" t="n">
        <f aca="false">F48*$D$2</f>
        <v>16801</v>
      </c>
      <c r="G49" s="57" t="n">
        <f aca="false">G48*$D$2</f>
        <v>22944.195755</v>
      </c>
      <c r="H49" s="61" t="n">
        <f aca="false">H48*$D$2</f>
        <v>235.44145</v>
      </c>
      <c r="I49" s="57" t="n">
        <f aca="false">I48*$D$2</f>
        <v>22781.152055</v>
      </c>
      <c r="J49" s="57" t="n">
        <f aca="false">J48*$D$2</f>
        <v>3190.171675</v>
      </c>
      <c r="K49" s="57" t="n">
        <f aca="false">K48*$D$2</f>
        <v>25971.32373</v>
      </c>
      <c r="L49" s="57" t="n">
        <f aca="false">L48*$D$2</f>
        <v>2046.477395</v>
      </c>
      <c r="M49" s="57" t="n">
        <f aca="false">M48*$D$2</f>
        <v>996.5104</v>
      </c>
      <c r="N49" s="57" t="n">
        <f aca="false">N48*$D$2</f>
        <v>0</v>
      </c>
      <c r="O49" s="57" t="n">
        <f aca="false">O48*$D$2</f>
        <v>462.79022</v>
      </c>
      <c r="P49" s="57" t="n">
        <f aca="false">P48*$D$2</f>
        <v>206.422845</v>
      </c>
      <c r="Q49" s="57" t="n">
        <f aca="false">Q48*$D$2</f>
        <v>394.3198</v>
      </c>
      <c r="R49" s="57" t="n">
        <f aca="false">R48*$D$2</f>
        <v>1474.1510845</v>
      </c>
      <c r="S49" s="57" t="n">
        <f aca="false">S48*$D$2</f>
        <v>0</v>
      </c>
      <c r="T49" s="57" t="n">
        <f aca="false">T48*$D$2</f>
        <v>0</v>
      </c>
      <c r="U49" s="57" t="n">
        <f aca="false">U48*$D$2</f>
        <v>6429.376405</v>
      </c>
      <c r="V49" s="57" t="n">
        <f aca="false">V40*$D$2</f>
        <v>3952.89736</v>
      </c>
      <c r="W49" s="57" t="n">
        <f aca="false">W48*$D$2</f>
        <v>8026.62945</v>
      </c>
      <c r="X49" s="57" t="n">
        <f aca="false">X48*$D$2</f>
        <v>1143.69428</v>
      </c>
      <c r="Y49" s="57" t="n">
        <f aca="false">Y48*$D$2</f>
        <v>9170.32373</v>
      </c>
      <c r="Z49" s="60"/>
      <c r="AA49" s="61"/>
      <c r="AB49" s="61"/>
      <c r="AC49" s="62"/>
      <c r="AD49" s="78"/>
      <c r="AE49" s="78"/>
      <c r="AF49" s="79"/>
    </row>
    <row r="50" customFormat="false" ht="3" hidden="false" customHeight="true" outlineLevel="0" collapsed="false">
      <c r="A50" s="83"/>
      <c r="B50" s="83"/>
      <c r="C50" s="85"/>
      <c r="D50" s="83"/>
      <c r="E50" s="85"/>
      <c r="F50" s="83"/>
      <c r="G50" s="83"/>
      <c r="H50" s="86"/>
      <c r="I50" s="83"/>
      <c r="J50" s="83"/>
      <c r="K50" s="83"/>
      <c r="L50" s="83"/>
      <c r="M50" s="83"/>
      <c r="N50" s="83"/>
      <c r="O50" s="83"/>
      <c r="P50" s="83"/>
      <c r="Q50" s="83"/>
      <c r="R50" s="83"/>
      <c r="S50" s="85"/>
      <c r="T50" s="83"/>
      <c r="U50" s="83"/>
      <c r="V50" s="85"/>
      <c r="W50" s="83"/>
      <c r="X50" s="83"/>
      <c r="Y50" s="83"/>
      <c r="Z50" s="60"/>
      <c r="AA50" s="61"/>
      <c r="AB50" s="61"/>
      <c r="AC50" s="62"/>
      <c r="AD50" s="78"/>
      <c r="AE50" s="78"/>
      <c r="AF50" s="79"/>
    </row>
    <row r="51" customFormat="false" ht="11.1" hidden="false" customHeight="true" outlineLevel="0" collapsed="false">
      <c r="A51" s="56" t="str">
        <f aca="false">"JUN /9"</f>
        <v>JUN /9</v>
      </c>
      <c r="B51" s="93"/>
      <c r="C51" s="57"/>
      <c r="D51" s="56"/>
      <c r="E51" s="57"/>
      <c r="F51" s="56"/>
      <c r="G51" s="56"/>
      <c r="H51" s="58"/>
      <c r="I51" s="56"/>
      <c r="J51" s="56"/>
      <c r="K51" s="56"/>
      <c r="L51" s="56"/>
      <c r="M51" s="56"/>
      <c r="N51" s="56"/>
      <c r="O51" s="56"/>
      <c r="P51" s="56"/>
      <c r="Q51" s="56"/>
      <c r="R51" s="56"/>
      <c r="S51" s="57"/>
      <c r="T51" s="56"/>
      <c r="U51" s="56"/>
      <c r="V51" s="57" t="n">
        <v>2615</v>
      </c>
      <c r="W51" s="56"/>
      <c r="X51" s="56"/>
      <c r="Y51" s="56"/>
      <c r="Z51" s="60"/>
      <c r="AA51" s="61"/>
      <c r="AB51" s="61"/>
      <c r="AC51" s="62"/>
      <c r="AD51" s="63"/>
      <c r="AE51" s="63"/>
    </row>
    <row r="52" customFormat="false" ht="11.1" hidden="false" customHeight="true" outlineLevel="0" collapsed="false">
      <c r="A52" s="56"/>
      <c r="B52" s="80" t="n">
        <v>6924.15</v>
      </c>
      <c r="C52" s="57" t="n">
        <v>381833</v>
      </c>
      <c r="D52" s="90"/>
      <c r="E52" s="57" t="n">
        <f aca="false">C52-152000</f>
        <v>229833</v>
      </c>
      <c r="F52" s="56"/>
      <c r="G52" s="56"/>
      <c r="H52" s="90"/>
      <c r="I52" s="58"/>
      <c r="J52" s="56"/>
      <c r="K52" s="46"/>
      <c r="L52" s="56"/>
      <c r="M52" s="56"/>
      <c r="N52" s="56"/>
      <c r="O52" s="56"/>
      <c r="P52" s="56"/>
      <c r="Q52" s="56"/>
      <c r="R52" s="56"/>
      <c r="S52" s="57"/>
      <c r="T52" s="56"/>
      <c r="U52" s="56"/>
      <c r="V52" s="57" t="n">
        <f aca="false">V49-V51</f>
        <v>1337.89736</v>
      </c>
      <c r="W52" s="56"/>
      <c r="X52" s="56"/>
      <c r="Y52" s="56"/>
      <c r="Z52" s="60"/>
      <c r="AA52" s="61"/>
      <c r="AB52" s="61"/>
      <c r="AC52" s="62"/>
      <c r="AD52" s="63"/>
      <c r="AE52" s="63"/>
    </row>
    <row r="53" customFormat="false" ht="11.1" hidden="false" customHeight="true" outlineLevel="0" collapsed="false">
      <c r="A53" s="90" t="str">
        <f aca="false">"5/12/94 thru 6/9/94"</f>
        <v>5/12/94 thru 6/9/94</v>
      </c>
      <c r="B53" s="90"/>
      <c r="C53" s="57"/>
      <c r="D53" s="57"/>
      <c r="E53" s="57"/>
      <c r="F53" s="90"/>
      <c r="G53" s="90"/>
      <c r="H53" s="58"/>
      <c r="I53" s="90"/>
      <c r="J53" s="90"/>
      <c r="K53" s="90"/>
      <c r="L53" s="90"/>
      <c r="M53" s="81"/>
      <c r="N53" s="81"/>
      <c r="O53" s="81"/>
      <c r="P53" s="90"/>
      <c r="Q53" s="90"/>
      <c r="R53" s="90"/>
      <c r="S53" s="57"/>
      <c r="T53" s="90"/>
      <c r="U53" s="90"/>
      <c r="V53" s="57"/>
      <c r="W53" s="90"/>
      <c r="X53" s="90"/>
      <c r="Y53" s="90"/>
      <c r="Z53" s="60"/>
      <c r="AA53" s="61"/>
      <c r="AB53" s="61"/>
      <c r="AC53" s="62"/>
      <c r="AD53" s="94"/>
      <c r="AE53" s="94"/>
    </row>
    <row r="54" customFormat="false" ht="11.1" hidden="false" customHeight="true" outlineLevel="0" collapsed="false">
      <c r="A54" s="90"/>
      <c r="B54" s="60" t="n">
        <f aca="false">B52-B21</f>
        <v>30.9299999999994</v>
      </c>
      <c r="C54" s="57"/>
      <c r="D54" s="57" t="n">
        <f aca="false">C52-C23</f>
        <v>122280</v>
      </c>
      <c r="E54" s="57"/>
      <c r="F54" s="90"/>
      <c r="G54" s="90"/>
      <c r="H54" s="58"/>
      <c r="I54" s="90"/>
      <c r="J54" s="90"/>
      <c r="K54" s="90"/>
      <c r="L54" s="90"/>
      <c r="M54" s="81"/>
      <c r="N54" s="81"/>
      <c r="O54" s="81"/>
      <c r="P54" s="90"/>
      <c r="Q54" s="90"/>
      <c r="R54" s="90"/>
      <c r="S54" s="57"/>
      <c r="T54" s="90"/>
      <c r="U54" s="90"/>
      <c r="V54" s="57"/>
      <c r="W54" s="90"/>
      <c r="X54" s="90"/>
      <c r="Y54" s="90"/>
      <c r="Z54" s="60"/>
      <c r="AA54" s="61"/>
      <c r="AB54" s="61"/>
      <c r="AC54" s="62"/>
      <c r="AD54" s="94"/>
      <c r="AE54" s="94"/>
    </row>
    <row r="55" customFormat="false" ht="11.1" hidden="false" customHeight="true" outlineLevel="0" collapsed="false">
      <c r="A55" s="90"/>
      <c r="B55" s="90"/>
      <c r="C55" s="57"/>
      <c r="D55" s="90"/>
      <c r="E55" s="57"/>
      <c r="F55" s="90"/>
      <c r="G55" s="95"/>
      <c r="H55" s="58"/>
      <c r="I55" s="90"/>
      <c r="J55" s="90"/>
      <c r="K55" s="90"/>
      <c r="L55" s="90"/>
      <c r="M55" s="81"/>
      <c r="N55" s="81"/>
      <c r="O55" s="81"/>
      <c r="P55" s="90"/>
      <c r="Q55" s="90"/>
      <c r="R55" s="90"/>
      <c r="S55" s="57"/>
      <c r="T55" s="90"/>
      <c r="U55" s="90"/>
      <c r="V55" s="57"/>
      <c r="W55" s="90"/>
      <c r="X55" s="90"/>
      <c r="Y55" s="90"/>
      <c r="Z55" s="60"/>
      <c r="AA55" s="61"/>
      <c r="AB55" s="61"/>
      <c r="AC55" s="62"/>
      <c r="AD55" s="94"/>
      <c r="AE55" s="94"/>
    </row>
  </sheetData>
  <mergeCells count="2">
    <mergeCell ref="K2:T2"/>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2"/>
  <sheetViews>
    <sheetView showFormulas="false" showGridLines="true" showRowColHeaders="true" showZeros="true" rightToLeft="false" tabSelected="false" showOutlineSymbols="true" defaultGridColor="true" view="normal" topLeftCell="N3" colorId="64" zoomScale="100" zoomScaleNormal="100" zoomScalePageLayoutView="100" workbookViewId="0">
      <selection pane="topLeft" activeCell="M37" activeCellId="0" sqref="M37"/>
    </sheetView>
  </sheetViews>
  <sheetFormatPr defaultColWidth="9.328125" defaultRowHeight="11.1" zeroHeight="false" outlineLevelRow="0" outlineLevelCol="0"/>
  <cols>
    <col collapsed="false" customWidth="true" hidden="false" outlineLevel="0" max="1" min="1" style="49" width="5.66"/>
    <col collapsed="false" customWidth="false" hidden="false" outlineLevel="0" max="2" min="2" style="49" width="9.32"/>
    <col collapsed="false" customWidth="true" hidden="false" outlineLevel="0" max="3" min="3" style="50" width="7.66"/>
    <col collapsed="false" customWidth="true" hidden="false" outlineLevel="0" max="4" min="4" style="49" width="6.82"/>
    <col collapsed="false" customWidth="true" hidden="false" outlineLevel="0" max="5" min="5" style="50" width="7.66"/>
    <col collapsed="false" customWidth="true" hidden="false" outlineLevel="0" max="7" min="6" style="49" width="7.66"/>
    <col collapsed="false" customWidth="true" hidden="false" outlineLevel="0" max="8" min="8" style="51" width="7.16"/>
    <col collapsed="false" customWidth="true" hidden="false" outlineLevel="0" max="9" min="9" style="49" width="8.82"/>
    <col collapsed="false" customWidth="true" hidden="false" outlineLevel="0" max="11" min="10" style="49" width="7.66"/>
    <col collapsed="false" customWidth="true" hidden="false" outlineLevel="0" max="12" min="12" style="49" width="6.49"/>
    <col collapsed="false" customWidth="true" hidden="false" outlineLevel="0" max="15" min="13" style="52" width="7.49"/>
    <col collapsed="false" customWidth="true" hidden="false" outlineLevel="0" max="16" min="16" style="49" width="7.66"/>
    <col collapsed="false" customWidth="true" hidden="false" outlineLevel="0" max="17" min="17" style="49" width="7.16"/>
    <col collapsed="false" customWidth="true" hidden="false" outlineLevel="0" max="18" min="18" style="49" width="6.66"/>
    <col collapsed="false" customWidth="true" hidden="false" outlineLevel="0" max="19" min="19" style="50" width="6.66"/>
    <col collapsed="false" customWidth="true" hidden="false" outlineLevel="0" max="20" min="20" style="49" width="5.82"/>
    <col collapsed="false" customWidth="true" hidden="false" outlineLevel="0" max="21" min="21" style="49" width="7.49"/>
    <col collapsed="false" customWidth="true" hidden="false" outlineLevel="0" max="22" min="22" style="50" width="6.32"/>
    <col collapsed="false" customWidth="true" hidden="false" outlineLevel="0" max="25" min="23" style="49" width="7.82"/>
    <col collapsed="false" customWidth="true" hidden="false" outlineLevel="0" max="26" min="26" style="53" width="5.66"/>
    <col collapsed="false" customWidth="true" hidden="false" outlineLevel="0" max="28" min="27" style="54" width="5.66"/>
    <col collapsed="false" customWidth="true" hidden="false" outlineLevel="0" max="29" min="29" style="55" width="5.66"/>
    <col collapsed="false" customWidth="false" hidden="false" outlineLevel="0" max="257" min="30" style="49" width="9.32"/>
  </cols>
  <sheetData>
    <row r="1" customFormat="false" ht="14.1" hidden="false" customHeight="true" outlineLevel="0" collapsed="false">
      <c r="A1" s="56"/>
      <c r="B1" s="56"/>
      <c r="C1" s="57"/>
      <c r="D1" s="56"/>
      <c r="E1" s="57"/>
      <c r="F1" s="56"/>
      <c r="G1" s="56"/>
      <c r="H1" s="58"/>
      <c r="I1" s="56"/>
      <c r="J1" s="56"/>
      <c r="K1" s="59" t="s">
        <v>0</v>
      </c>
      <c r="L1" s="56"/>
      <c r="M1" s="56"/>
      <c r="N1" s="56"/>
      <c r="O1" s="56"/>
      <c r="P1" s="56"/>
      <c r="Q1" s="56"/>
      <c r="R1" s="56"/>
      <c r="S1" s="57"/>
      <c r="T1" s="56"/>
      <c r="U1" s="56"/>
      <c r="V1" s="57"/>
      <c r="W1" s="56"/>
      <c r="X1" s="56"/>
      <c r="Y1" s="56"/>
      <c r="Z1" s="60"/>
      <c r="AA1" s="61"/>
      <c r="AB1" s="61"/>
      <c r="AC1" s="62"/>
      <c r="AD1" s="63"/>
      <c r="AE1" s="63"/>
    </row>
    <row r="2" customFormat="false" ht="14.1" hidden="false" customHeight="true" outlineLevel="0" collapsed="false">
      <c r="A2" s="56" t="s">
        <v>1</v>
      </c>
      <c r="B2" s="56"/>
      <c r="C2" s="57"/>
      <c r="D2" s="64" t="n">
        <v>1.9835</v>
      </c>
      <c r="E2" s="57"/>
      <c r="F2" s="56"/>
      <c r="G2" s="56"/>
      <c r="H2" s="58"/>
      <c r="I2" s="56"/>
      <c r="J2" s="56"/>
      <c r="K2" s="65" t="s">
        <v>59</v>
      </c>
      <c r="L2" s="65"/>
      <c r="M2" s="65"/>
      <c r="N2" s="65"/>
      <c r="O2" s="65"/>
      <c r="P2" s="65"/>
      <c r="Q2" s="65"/>
      <c r="R2" s="65"/>
      <c r="S2" s="65"/>
      <c r="T2" s="65"/>
      <c r="U2" s="56"/>
      <c r="V2" s="57"/>
      <c r="W2" s="56"/>
      <c r="X2" s="56"/>
      <c r="Y2" s="56"/>
      <c r="Z2" s="60"/>
      <c r="AA2" s="61"/>
      <c r="AB2" s="61"/>
      <c r="AC2" s="62"/>
      <c r="AD2" s="63"/>
      <c r="AE2" s="63"/>
    </row>
    <row r="3" customFormat="false" ht="11.1" hidden="false" customHeight="true" outlineLevel="0" collapsed="false">
      <c r="A3" s="56"/>
      <c r="B3" s="56"/>
      <c r="C3" s="57"/>
      <c r="D3" s="66"/>
      <c r="E3" s="57"/>
      <c r="F3" s="56"/>
      <c r="G3" s="56"/>
      <c r="H3" s="58"/>
      <c r="I3" s="56"/>
      <c r="J3" s="56"/>
      <c r="K3" s="56"/>
      <c r="L3" s="56"/>
      <c r="M3" s="56"/>
      <c r="N3" s="56"/>
      <c r="O3" s="56"/>
      <c r="P3" s="56"/>
      <c r="Q3" s="56"/>
      <c r="R3" s="56"/>
      <c r="S3" s="57"/>
      <c r="T3" s="56"/>
      <c r="U3" s="56"/>
      <c r="V3" s="57"/>
      <c r="W3" s="56"/>
      <c r="X3" s="56"/>
      <c r="Y3" s="56"/>
      <c r="Z3" s="60"/>
      <c r="AA3" s="61"/>
      <c r="AB3" s="61"/>
      <c r="AC3" s="62"/>
      <c r="AD3" s="63"/>
      <c r="AE3" s="63"/>
    </row>
    <row r="4" customFormat="false" ht="11.1" hidden="false" customHeight="true" outlineLevel="0" collapsed="false">
      <c r="A4" s="67" t="s">
        <v>3</v>
      </c>
      <c r="B4" s="67" t="s">
        <v>4</v>
      </c>
      <c r="C4" s="68" t="s">
        <v>4</v>
      </c>
      <c r="D4" s="67" t="s">
        <v>5</v>
      </c>
      <c r="E4" s="68" t="s">
        <v>6</v>
      </c>
      <c r="F4" s="67" t="s">
        <v>7</v>
      </c>
      <c r="G4" s="67" t="s">
        <v>8</v>
      </c>
      <c r="H4" s="69" t="s">
        <v>9</v>
      </c>
      <c r="I4" s="67" t="s">
        <v>10</v>
      </c>
      <c r="J4" s="67" t="s">
        <v>11</v>
      </c>
      <c r="K4" s="67" t="s">
        <v>12</v>
      </c>
      <c r="L4" s="67" t="s">
        <v>11</v>
      </c>
      <c r="M4" s="67" t="s">
        <v>13</v>
      </c>
      <c r="N4" s="67"/>
      <c r="O4" s="67"/>
      <c r="P4" s="67" t="s">
        <v>14</v>
      </c>
      <c r="Q4" s="67" t="s">
        <v>15</v>
      </c>
      <c r="R4" s="67" t="s">
        <v>12</v>
      </c>
      <c r="S4" s="68" t="s">
        <v>16</v>
      </c>
      <c r="T4" s="67" t="s">
        <v>17</v>
      </c>
      <c r="U4" s="67" t="s">
        <v>18</v>
      </c>
      <c r="V4" s="68" t="s">
        <v>19</v>
      </c>
      <c r="W4" s="67" t="s">
        <v>10</v>
      </c>
      <c r="X4" s="67" t="s">
        <v>11</v>
      </c>
      <c r="Y4" s="67" t="s">
        <v>12</v>
      </c>
      <c r="Z4" s="70" t="s">
        <v>20</v>
      </c>
      <c r="AA4" s="71" t="s">
        <v>21</v>
      </c>
      <c r="AB4" s="71" t="s">
        <v>22</v>
      </c>
      <c r="AC4" s="71" t="s">
        <v>3</v>
      </c>
      <c r="AD4" s="63"/>
      <c r="AE4" s="63"/>
    </row>
    <row r="5" customFormat="false" ht="11.1" hidden="false" customHeight="true" outlineLevel="0" collapsed="false">
      <c r="A5" s="72" t="s">
        <v>60</v>
      </c>
      <c r="B5" s="67" t="s">
        <v>24</v>
      </c>
      <c r="C5" s="68" t="s">
        <v>5</v>
      </c>
      <c r="D5" s="67" t="s">
        <v>25</v>
      </c>
      <c r="E5" s="68" t="s">
        <v>26</v>
      </c>
      <c r="F5" s="67" t="s">
        <v>27</v>
      </c>
      <c r="G5" s="67" t="s">
        <v>28</v>
      </c>
      <c r="H5" s="69" t="s">
        <v>29</v>
      </c>
      <c r="I5" s="67" t="s">
        <v>30</v>
      </c>
      <c r="J5" s="67" t="s">
        <v>30</v>
      </c>
      <c r="K5" s="67" t="s">
        <v>30</v>
      </c>
      <c r="L5" s="67" t="s">
        <v>31</v>
      </c>
      <c r="M5" s="67" t="s">
        <v>32</v>
      </c>
      <c r="N5" s="67" t="s">
        <v>33</v>
      </c>
      <c r="O5" s="67" t="s">
        <v>55</v>
      </c>
      <c r="P5" s="67" t="s">
        <v>35</v>
      </c>
      <c r="Q5" s="67" t="s">
        <v>36</v>
      </c>
      <c r="R5" s="67" t="s">
        <v>16</v>
      </c>
      <c r="S5" s="68" t="s">
        <v>37</v>
      </c>
      <c r="T5" s="67" t="s">
        <v>38</v>
      </c>
      <c r="U5" s="67" t="s">
        <v>39</v>
      </c>
      <c r="V5" s="68" t="s">
        <v>40</v>
      </c>
      <c r="W5" s="67" t="s">
        <v>41</v>
      </c>
      <c r="X5" s="67" t="s">
        <v>41</v>
      </c>
      <c r="Y5" s="67" t="s">
        <v>41</v>
      </c>
      <c r="Z5" s="73"/>
      <c r="AA5" s="71" t="s">
        <v>42</v>
      </c>
      <c r="AB5" s="71" t="s">
        <v>42</v>
      </c>
      <c r="AC5" s="74" t="s">
        <v>60</v>
      </c>
      <c r="AD5" s="63"/>
      <c r="AE5" s="63"/>
    </row>
    <row r="6" customFormat="false" ht="11.1" hidden="false" customHeight="true" outlineLevel="0" collapsed="false">
      <c r="A6" s="75"/>
      <c r="B6" s="75"/>
      <c r="C6" s="76"/>
      <c r="D6" s="75"/>
      <c r="E6" s="76"/>
      <c r="F6" s="75"/>
      <c r="G6" s="75"/>
      <c r="H6" s="77"/>
      <c r="I6" s="75"/>
      <c r="J6" s="75"/>
      <c r="K6" s="75"/>
      <c r="L6" s="75"/>
      <c r="M6" s="75"/>
      <c r="N6" s="75"/>
      <c r="O6" s="75"/>
      <c r="P6" s="75"/>
      <c r="Q6" s="75"/>
      <c r="R6" s="75"/>
      <c r="S6" s="76"/>
      <c r="T6" s="75"/>
      <c r="U6" s="75"/>
      <c r="V6" s="76"/>
      <c r="W6" s="75"/>
      <c r="X6" s="75"/>
      <c r="Y6" s="75"/>
      <c r="Z6" s="60"/>
      <c r="AA6" s="62"/>
      <c r="AB6" s="62"/>
      <c r="AC6" s="62"/>
      <c r="AD6" s="78"/>
      <c r="AE6" s="78"/>
      <c r="AF6" s="79"/>
    </row>
    <row r="7" customFormat="false" ht="11.1" hidden="false" customHeight="true" outlineLevel="0" collapsed="false">
      <c r="A7" s="56" t="s">
        <v>43</v>
      </c>
      <c r="B7" s="56"/>
      <c r="C7" s="57"/>
      <c r="D7" s="57"/>
      <c r="E7" s="57"/>
      <c r="F7" s="57"/>
      <c r="G7" s="57"/>
      <c r="H7" s="61"/>
      <c r="I7" s="57"/>
      <c r="J7" s="57"/>
      <c r="K7" s="57"/>
      <c r="L7" s="57"/>
      <c r="M7" s="57"/>
      <c r="N7" s="57"/>
      <c r="O7" s="57"/>
      <c r="P7" s="57"/>
      <c r="Q7" s="57"/>
      <c r="R7" s="57"/>
      <c r="S7" s="57"/>
      <c r="T7" s="57"/>
      <c r="U7" s="57"/>
      <c r="V7" s="57"/>
      <c r="W7" s="57"/>
      <c r="X7" s="57"/>
      <c r="Y7" s="57"/>
      <c r="Z7" s="60"/>
      <c r="AA7" s="61"/>
      <c r="AB7" s="61"/>
      <c r="AC7" s="62"/>
      <c r="AD7" s="78"/>
      <c r="AE7" s="79"/>
      <c r="AF7" s="79"/>
    </row>
    <row r="8" s="50" customFormat="true" ht="11.1" hidden="false" customHeight="true" outlineLevel="0" collapsed="false">
      <c r="A8" s="57" t="s">
        <v>44</v>
      </c>
      <c r="B8" s="80" t="n">
        <f aca="false" t="array" ref="B8:C8">JAN!$B$40:$C$40</f>
        <v>6894.24</v>
      </c>
      <c r="C8" s="57" t="n">
        <v>262814</v>
      </c>
      <c r="D8" s="57" t="n">
        <f aca="false" t="array" ref="D8:E8">JAN!$D$49:$E$49</f>
        <v>16801</v>
      </c>
      <c r="E8" s="57" t="n">
        <v>110814</v>
      </c>
      <c r="F8" s="57" t="n">
        <f aca="false" t="array" ref="F8:Z8">JAN!$F$48:$Z$48</f>
        <v>8470.38064028233</v>
      </c>
      <c r="G8" s="57" t="n">
        <v>11567.53</v>
      </c>
      <c r="H8" s="61" t="n">
        <v>118.7</v>
      </c>
      <c r="I8" s="57" t="n">
        <v>11485.33</v>
      </c>
      <c r="J8" s="57" t="n">
        <v>1608.35476430552</v>
      </c>
      <c r="K8" s="57" t="n">
        <v>13093.6847643055</v>
      </c>
      <c r="L8" s="57" t="n">
        <v>1031.75064028233</v>
      </c>
      <c r="M8" s="57" t="n">
        <v>502.4</v>
      </c>
      <c r="N8" s="57" t="n">
        <v>0</v>
      </c>
      <c r="O8" s="57" t="n">
        <v>233.32</v>
      </c>
      <c r="P8" s="57" t="n">
        <v>104.07</v>
      </c>
      <c r="Q8" s="57" t="n">
        <v>198.8</v>
      </c>
      <c r="R8" s="57" t="n">
        <v>743.207</v>
      </c>
      <c r="S8" s="57" t="n">
        <v>0</v>
      </c>
      <c r="T8" s="57" t="n">
        <v>0</v>
      </c>
      <c r="U8" s="57" t="n">
        <v>3241.43</v>
      </c>
      <c r="V8" s="57" t="n">
        <v>1992.89002268717</v>
      </c>
      <c r="W8" s="57" t="n">
        <v>4046.7</v>
      </c>
      <c r="X8" s="57" t="n">
        <v>576.604124023191</v>
      </c>
      <c r="Y8" s="57" t="n">
        <v>4623.30412402319</v>
      </c>
      <c r="Z8" s="81" t="n">
        <v>7.57</v>
      </c>
      <c r="AA8" s="61"/>
      <c r="AB8" s="61"/>
      <c r="AC8" s="62"/>
      <c r="AD8" s="82"/>
      <c r="AE8" s="78"/>
      <c r="AF8" s="82"/>
    </row>
    <row r="9" customFormat="false" ht="3" hidden="false" customHeight="true" outlineLevel="0" collapsed="false">
      <c r="A9" s="83"/>
      <c r="B9" s="84"/>
      <c r="C9" s="85"/>
      <c r="D9" s="83"/>
      <c r="E9" s="85"/>
      <c r="F9" s="83"/>
      <c r="G9" s="83"/>
      <c r="H9" s="86"/>
      <c r="I9" s="83"/>
      <c r="J9" s="83"/>
      <c r="K9" s="83"/>
      <c r="L9" s="83"/>
      <c r="M9" s="83"/>
      <c r="N9" s="83"/>
      <c r="O9" s="83"/>
      <c r="P9" s="83"/>
      <c r="Q9" s="83"/>
      <c r="R9" s="83"/>
      <c r="S9" s="85"/>
      <c r="T9" s="83"/>
      <c r="U9" s="83"/>
      <c r="V9" s="85"/>
      <c r="W9" s="83"/>
      <c r="X9" s="83"/>
      <c r="Y9" s="83"/>
      <c r="Z9" s="87"/>
      <c r="AA9" s="88"/>
      <c r="AB9" s="88"/>
      <c r="AC9" s="89"/>
      <c r="AD9" s="78"/>
      <c r="AE9" s="78"/>
      <c r="AF9" s="79"/>
    </row>
    <row r="10" customFormat="false" ht="11.1" hidden="false" customHeight="true" outlineLevel="0" collapsed="false">
      <c r="A10" s="62" t="n">
        <v>1</v>
      </c>
      <c r="B10" s="80" t="n">
        <v>6894.29</v>
      </c>
      <c r="C10" s="57" t="n">
        <v>262990</v>
      </c>
      <c r="D10" s="61" t="n">
        <f aca="false">C10-C8</f>
        <v>176</v>
      </c>
      <c r="E10" s="57" t="n">
        <f aca="false">C10-152000</f>
        <v>110990</v>
      </c>
      <c r="F10" s="56" t="n">
        <f aca="false">D10/$D$2</f>
        <v>88.7320393244265</v>
      </c>
      <c r="G10" s="56" t="n">
        <v>128.5</v>
      </c>
      <c r="H10" s="58" t="n">
        <v>0</v>
      </c>
      <c r="I10" s="56" t="n">
        <f aca="false">G10+H10</f>
        <v>128.5</v>
      </c>
      <c r="J10" s="81" t="n">
        <f aca="false">IF(L10&gt;0,L10,0)</f>
        <v>0</v>
      </c>
      <c r="K10" s="56" t="n">
        <f aca="false">I10+J10</f>
        <v>128.5</v>
      </c>
      <c r="L10" s="56" t="n">
        <f aca="false">F10-(I10-W10)</f>
        <v>-0.00796067557347158</v>
      </c>
      <c r="M10" s="56" t="n">
        <v>4.06</v>
      </c>
      <c r="N10" s="56" t="n">
        <v>0</v>
      </c>
      <c r="O10" s="56" t="n">
        <f aca="false">M10-N10</f>
        <v>4.06</v>
      </c>
      <c r="P10" s="56" t="n">
        <v>0</v>
      </c>
      <c r="Q10" s="56" t="n">
        <v>0</v>
      </c>
      <c r="R10" s="56" t="n">
        <f aca="false">SUM(O10:Q10)</f>
        <v>4.06</v>
      </c>
      <c r="S10" s="57"/>
      <c r="T10" s="56" t="n">
        <v>0</v>
      </c>
      <c r="U10" s="56" t="n">
        <v>35.7</v>
      </c>
      <c r="V10" s="57" t="n">
        <f aca="false">V8-U10</f>
        <v>1957.19002268717</v>
      </c>
      <c r="W10" s="56" t="n">
        <f aca="false">R10+T10+N10+U10</f>
        <v>39.76</v>
      </c>
      <c r="X10" s="56" t="n">
        <f aca="false">IF(L10&lt;0,L10*-1,0)</f>
        <v>0.00796067557347158</v>
      </c>
      <c r="Y10" s="56" t="n">
        <f aca="false">W10+X10</f>
        <v>39.7679606755735</v>
      </c>
      <c r="Z10" s="60" t="n">
        <v>0</v>
      </c>
      <c r="AA10" s="61" t="n">
        <v>51</v>
      </c>
      <c r="AB10" s="61" t="n">
        <v>20</v>
      </c>
      <c r="AC10" s="62" t="n">
        <v>1</v>
      </c>
      <c r="AD10" s="79"/>
      <c r="AE10" s="82"/>
      <c r="AF10" s="79"/>
    </row>
    <row r="11" customFormat="false" ht="11.1" hidden="false" customHeight="true" outlineLevel="0" collapsed="false">
      <c r="A11" s="62" t="n">
        <f aca="false">A10+1</f>
        <v>2</v>
      </c>
      <c r="B11" s="80" t="n">
        <v>6894.34</v>
      </c>
      <c r="C11" s="57" t="n">
        <v>263167</v>
      </c>
      <c r="D11" s="61" t="n">
        <f aca="false">C11-C10</f>
        <v>177</v>
      </c>
      <c r="E11" s="57" t="n">
        <f aca="false">C11-152000</f>
        <v>111167</v>
      </c>
      <c r="F11" s="56" t="n">
        <f aca="false">D11/$D$2</f>
        <v>89.2361986387698</v>
      </c>
      <c r="G11" s="56" t="n">
        <v>129.4</v>
      </c>
      <c r="H11" s="58" t="n">
        <v>0</v>
      </c>
      <c r="I11" s="56" t="n">
        <f aca="false">G11+H11</f>
        <v>129.4</v>
      </c>
      <c r="J11" s="81" t="n">
        <f aca="false">IF(L11&gt;0,L11,0)</f>
        <v>0.0161986387698505</v>
      </c>
      <c r="K11" s="56" t="n">
        <f aca="false">I11+J11</f>
        <v>129.41619863877</v>
      </c>
      <c r="L11" s="56" t="n">
        <f aca="false">F11-(I11-W11)</f>
        <v>0.0161986387698505</v>
      </c>
      <c r="M11" s="56" t="n">
        <v>4.06</v>
      </c>
      <c r="N11" s="56" t="n">
        <v>0</v>
      </c>
      <c r="O11" s="56" t="n">
        <f aca="false">M11-N11</f>
        <v>4.06</v>
      </c>
      <c r="P11" s="56" t="n">
        <v>0</v>
      </c>
      <c r="Q11" s="56" t="n">
        <v>0</v>
      </c>
      <c r="R11" s="56" t="n">
        <f aca="false">SUM(O11:Q11)</f>
        <v>4.06</v>
      </c>
      <c r="S11" s="57"/>
      <c r="T11" s="56" t="n">
        <v>0</v>
      </c>
      <c r="U11" s="56" t="n">
        <v>36.12</v>
      </c>
      <c r="V11" s="57" t="n">
        <f aca="false">V10-U11</f>
        <v>1921.07002268717</v>
      </c>
      <c r="W11" s="56" t="n">
        <f aca="false">R11+T11+N11+U11</f>
        <v>40.18</v>
      </c>
      <c r="X11" s="56" t="n">
        <f aca="false">IF(L11&lt;0,L11*-1,0)</f>
        <v>0</v>
      </c>
      <c r="Y11" s="56" t="n">
        <f aca="false">W11+X11</f>
        <v>40.18</v>
      </c>
      <c r="Z11" s="60" t="n">
        <v>0.29</v>
      </c>
      <c r="AA11" s="61" t="n">
        <v>50</v>
      </c>
      <c r="AB11" s="61" t="n">
        <v>22</v>
      </c>
      <c r="AC11" s="62" t="n">
        <f aca="false">AC10+1</f>
        <v>2</v>
      </c>
      <c r="AD11" s="79"/>
      <c r="AE11" s="82"/>
      <c r="AF11" s="79"/>
    </row>
    <row r="12" customFormat="false" ht="11.1" hidden="false" customHeight="true" outlineLevel="0" collapsed="false">
      <c r="A12" s="62" t="n">
        <f aca="false">A11+1</f>
        <v>3</v>
      </c>
      <c r="B12" s="80" t="n">
        <v>6894.37</v>
      </c>
      <c r="C12" s="57" t="n">
        <v>263273</v>
      </c>
      <c r="D12" s="61" t="n">
        <f aca="false">C12-C11</f>
        <v>106</v>
      </c>
      <c r="E12" s="57" t="n">
        <f aca="false">C12-152000</f>
        <v>111273</v>
      </c>
      <c r="F12" s="56" t="n">
        <f aca="false">D12/$D$2</f>
        <v>53.4408873203932</v>
      </c>
      <c r="G12" s="56" t="n">
        <v>93.4</v>
      </c>
      <c r="H12" s="58" t="n">
        <v>0</v>
      </c>
      <c r="I12" s="56" t="n">
        <f aca="false">G12+H12</f>
        <v>93.4</v>
      </c>
      <c r="J12" s="81" t="n">
        <f aca="false">IF(L12&gt;0,L12,0)</f>
        <v>0.000887320393239577</v>
      </c>
      <c r="K12" s="56" t="n">
        <f aca="false">I12+J12</f>
        <v>93.4008873203933</v>
      </c>
      <c r="L12" s="56" t="n">
        <f aca="false">F12-(I12-W12)</f>
        <v>0.000887320393239577</v>
      </c>
      <c r="M12" s="56" t="n">
        <v>4.26</v>
      </c>
      <c r="N12" s="56" t="n">
        <v>0</v>
      </c>
      <c r="O12" s="56" t="n">
        <f aca="false">M12-N12</f>
        <v>4.26</v>
      </c>
      <c r="P12" s="56" t="n">
        <v>0</v>
      </c>
      <c r="Q12" s="56" t="n">
        <v>0</v>
      </c>
      <c r="R12" s="56" t="n">
        <f aca="false">SUM(O12:Q12)</f>
        <v>4.26</v>
      </c>
      <c r="S12" s="57"/>
      <c r="T12" s="56" t="n">
        <v>0</v>
      </c>
      <c r="U12" s="56" t="n">
        <v>35.7</v>
      </c>
      <c r="V12" s="57" t="n">
        <f aca="false">V11-U12</f>
        <v>1885.37002268717</v>
      </c>
      <c r="W12" s="56" t="n">
        <f aca="false">R12+T12+N12+U12</f>
        <v>39.96</v>
      </c>
      <c r="X12" s="56" t="n">
        <f aca="false">IF(L12&lt;0,L12*-1,0)</f>
        <v>0</v>
      </c>
      <c r="Y12" s="56" t="n">
        <f aca="false">W12+X12</f>
        <v>39.96</v>
      </c>
      <c r="Z12" s="60" t="n">
        <v>0</v>
      </c>
      <c r="AA12" s="61" t="n">
        <v>37</v>
      </c>
      <c r="AB12" s="61" t="n">
        <v>17</v>
      </c>
      <c r="AC12" s="62" t="n">
        <f aca="false">AC11+1</f>
        <v>3</v>
      </c>
      <c r="AD12" s="79"/>
      <c r="AE12" s="82"/>
      <c r="AF12" s="79"/>
    </row>
    <row r="13" customFormat="false" ht="11.1" hidden="false" customHeight="true" outlineLevel="0" collapsed="false">
      <c r="A13" s="62" t="n">
        <f aca="false">A12+1</f>
        <v>4</v>
      </c>
      <c r="B13" s="80" t="n">
        <v>6894.41</v>
      </c>
      <c r="C13" s="57" t="n">
        <v>263414</v>
      </c>
      <c r="D13" s="61" t="n">
        <f aca="false">C13-C12</f>
        <v>141</v>
      </c>
      <c r="E13" s="57" t="n">
        <f aca="false">C13-152000</f>
        <v>111414</v>
      </c>
      <c r="F13" s="56" t="n">
        <f aca="false">D13/$D$2</f>
        <v>71.0864633224099</v>
      </c>
      <c r="G13" s="56" t="n">
        <v>111.2</v>
      </c>
      <c r="H13" s="58" t="n">
        <v>0</v>
      </c>
      <c r="I13" s="56" t="n">
        <f aca="false">G13+H13</f>
        <v>111.2</v>
      </c>
      <c r="J13" s="81" t="n">
        <f aca="false">IF(L13&gt;0,L13,0)</f>
        <v>0</v>
      </c>
      <c r="K13" s="56" t="n">
        <f aca="false">I13+J13</f>
        <v>111.2</v>
      </c>
      <c r="L13" s="56" t="n">
        <f aca="false">F13-(I13-W13)</f>
        <v>-0.0135366775901105</v>
      </c>
      <c r="M13" s="56" t="n">
        <v>4.4</v>
      </c>
      <c r="N13" s="56" t="n">
        <v>0</v>
      </c>
      <c r="O13" s="56" t="n">
        <f aca="false">M13-N13</f>
        <v>4.4</v>
      </c>
      <c r="P13" s="56" t="n">
        <v>0</v>
      </c>
      <c r="Q13" s="56" t="n">
        <v>0</v>
      </c>
      <c r="R13" s="56" t="n">
        <f aca="false">SUM(O13:Q13)</f>
        <v>4.4</v>
      </c>
      <c r="S13" s="57"/>
      <c r="T13" s="56" t="n">
        <v>0</v>
      </c>
      <c r="U13" s="56" t="n">
        <v>35.7</v>
      </c>
      <c r="V13" s="57" t="n">
        <f aca="false">V12-U13</f>
        <v>1849.67002268717</v>
      </c>
      <c r="W13" s="56" t="n">
        <f aca="false">R13+T13+N13+U13</f>
        <v>40.1</v>
      </c>
      <c r="X13" s="56" t="n">
        <f aca="false">IF(L13&lt;0,L13*-1,0)</f>
        <v>0.0135366775901105</v>
      </c>
      <c r="Y13" s="56" t="n">
        <f aca="false">W13+X13</f>
        <v>40.1135366775901</v>
      </c>
      <c r="Z13" s="60" t="n">
        <v>0</v>
      </c>
      <c r="AA13" s="61" t="n">
        <v>45</v>
      </c>
      <c r="AB13" s="61" t="n">
        <v>8</v>
      </c>
      <c r="AC13" s="62" t="n">
        <f aca="false">AC12+1</f>
        <v>4</v>
      </c>
      <c r="AD13" s="79"/>
      <c r="AE13" s="82"/>
      <c r="AF13" s="79"/>
    </row>
    <row r="14" customFormat="false" ht="11.1" hidden="false" customHeight="true" outlineLevel="0" collapsed="false">
      <c r="A14" s="62" t="n">
        <f aca="false">A13+1</f>
        <v>5</v>
      </c>
      <c r="B14" s="80" t="n">
        <v>6894.45</v>
      </c>
      <c r="C14" s="57" t="n">
        <v>263555</v>
      </c>
      <c r="D14" s="61" t="n">
        <f aca="false">C14-C13</f>
        <v>141</v>
      </c>
      <c r="E14" s="57" t="n">
        <f aca="false">C14-152000</f>
        <v>111555</v>
      </c>
      <c r="F14" s="56" t="n">
        <f aca="false">D14/$D$2</f>
        <v>71.0864633224099</v>
      </c>
      <c r="G14" s="56" t="n">
        <v>111.2</v>
      </c>
      <c r="H14" s="58" t="n">
        <v>0</v>
      </c>
      <c r="I14" s="56" t="n">
        <f aca="false">G14+H14</f>
        <v>111.2</v>
      </c>
      <c r="J14" s="81" t="n">
        <f aca="false">IF(L14&gt;0,L14,0)</f>
        <v>0.0164633224098907</v>
      </c>
      <c r="K14" s="56" t="n">
        <f aca="false">I14+J14</f>
        <v>111.21646332241</v>
      </c>
      <c r="L14" s="56" t="n">
        <f aca="false">F14-(I14-W14)</f>
        <v>0.0164633224098907</v>
      </c>
      <c r="M14" s="56" t="n">
        <v>4.2</v>
      </c>
      <c r="N14" s="56" t="n">
        <v>0</v>
      </c>
      <c r="O14" s="56" t="n">
        <f aca="false">M14-N14</f>
        <v>4.2</v>
      </c>
      <c r="P14" s="56" t="n">
        <v>0</v>
      </c>
      <c r="Q14" s="56" t="n">
        <v>0</v>
      </c>
      <c r="R14" s="56" t="n">
        <f aca="false">SUM(O14:Q14)</f>
        <v>4.2</v>
      </c>
      <c r="S14" s="57"/>
      <c r="T14" s="56" t="n">
        <v>0</v>
      </c>
      <c r="U14" s="56" t="n">
        <v>35.93</v>
      </c>
      <c r="V14" s="57" t="n">
        <f aca="false">V13-U14</f>
        <v>1813.74002268717</v>
      </c>
      <c r="W14" s="56" t="n">
        <f aca="false">R14+T14+N14+U14</f>
        <v>40.13</v>
      </c>
      <c r="X14" s="56" t="n">
        <f aca="false">IF(L14&lt;0,L14*-1,0)</f>
        <v>0</v>
      </c>
      <c r="Y14" s="56" t="n">
        <f aca="false">W14+X14</f>
        <v>40.13</v>
      </c>
      <c r="Z14" s="60" t="n">
        <v>0</v>
      </c>
      <c r="AA14" s="61" t="n">
        <v>42</v>
      </c>
      <c r="AB14" s="61" t="n">
        <v>10</v>
      </c>
      <c r="AC14" s="62" t="n">
        <f aca="false">AC13+1</f>
        <v>5</v>
      </c>
      <c r="AD14" s="79"/>
      <c r="AE14" s="82"/>
      <c r="AF14" s="79"/>
    </row>
    <row r="15" customFormat="false" ht="11.1" hidden="false" customHeight="true" outlineLevel="0" collapsed="false">
      <c r="A15" s="62" t="n">
        <f aca="false">A14+1</f>
        <v>6</v>
      </c>
      <c r="B15" s="80" t="n">
        <v>6894.49</v>
      </c>
      <c r="C15" s="57" t="n">
        <v>263696</v>
      </c>
      <c r="D15" s="61" t="n">
        <f aca="false">C15-C14</f>
        <v>141</v>
      </c>
      <c r="E15" s="57" t="n">
        <f aca="false">C15-152000</f>
        <v>111696</v>
      </c>
      <c r="F15" s="56" t="n">
        <f aca="false">D15/$D$2</f>
        <v>71.0864633224099</v>
      </c>
      <c r="G15" s="56" t="n">
        <v>110.8</v>
      </c>
      <c r="H15" s="58" t="n">
        <v>0</v>
      </c>
      <c r="I15" s="56" t="n">
        <f aca="false">G15+H15</f>
        <v>110.8</v>
      </c>
      <c r="J15" s="81" t="n">
        <f aca="false">IF(L15&gt;0,L15,0)</f>
        <v>0</v>
      </c>
      <c r="K15" s="56" t="n">
        <f aca="false">I15+J15</f>
        <v>110.8</v>
      </c>
      <c r="L15" s="56" t="n">
        <f aca="false">F15-(I15-W15)</f>
        <v>-0.0535366775901025</v>
      </c>
      <c r="M15" s="56" t="n">
        <v>3.96</v>
      </c>
      <c r="N15" s="56" t="n">
        <v>0</v>
      </c>
      <c r="O15" s="56" t="n">
        <f aca="false">M15-N15</f>
        <v>3.96</v>
      </c>
      <c r="P15" s="56" t="n">
        <v>0</v>
      </c>
      <c r="Q15" s="56" t="n">
        <v>0</v>
      </c>
      <c r="R15" s="56" t="n">
        <f aca="false">SUM(O15:Q15)</f>
        <v>3.96</v>
      </c>
      <c r="S15" s="57"/>
      <c r="T15" s="56" t="n">
        <v>0</v>
      </c>
      <c r="U15" s="56" t="n">
        <v>35.7</v>
      </c>
      <c r="V15" s="57" t="n">
        <f aca="false">V14-U15</f>
        <v>1778.04002268717</v>
      </c>
      <c r="W15" s="56" t="n">
        <f aca="false">R15+T15+N15+U15</f>
        <v>39.66</v>
      </c>
      <c r="X15" s="56" t="n">
        <f aca="false">IF(L15&lt;0,L15*-1,0)</f>
        <v>0.0535366775901025</v>
      </c>
      <c r="Y15" s="56" t="n">
        <f aca="false">W15+X15</f>
        <v>39.7135366775901</v>
      </c>
      <c r="Z15" s="60" t="n">
        <v>0.02</v>
      </c>
      <c r="AA15" s="61" t="n">
        <v>42</v>
      </c>
      <c r="AB15" s="61" t="n">
        <v>0</v>
      </c>
      <c r="AC15" s="62" t="n">
        <f aca="false">AC14+1</f>
        <v>6</v>
      </c>
      <c r="AD15" s="78"/>
      <c r="AE15" s="82"/>
      <c r="AF15" s="79"/>
    </row>
    <row r="16" customFormat="false" ht="11.1" hidden="false" customHeight="true" outlineLevel="0" collapsed="false">
      <c r="A16" s="62" t="n">
        <f aca="false">A15+1</f>
        <v>7</v>
      </c>
      <c r="B16" s="80" t="n">
        <v>6894.54</v>
      </c>
      <c r="C16" s="57" t="n">
        <v>263872</v>
      </c>
      <c r="D16" s="61" t="n">
        <f aca="false">C16-C15</f>
        <v>176</v>
      </c>
      <c r="E16" s="57" t="n">
        <f aca="false">C16-152000</f>
        <v>111872</v>
      </c>
      <c r="F16" s="56" t="n">
        <f aca="false">D16/$D$2</f>
        <v>88.7320393244265</v>
      </c>
      <c r="G16" s="56" t="n">
        <v>128.5</v>
      </c>
      <c r="H16" s="58" t="n">
        <v>0</v>
      </c>
      <c r="I16" s="56" t="n">
        <f aca="false">G16+H16</f>
        <v>128.5</v>
      </c>
      <c r="J16" s="81" t="n">
        <f aca="false">IF(L16&gt;0,L16,0)</f>
        <v>0</v>
      </c>
      <c r="K16" s="56" t="n">
        <f aca="false">I16+J16</f>
        <v>128.5</v>
      </c>
      <c r="L16" s="56" t="n">
        <f aca="false">F16-(I16-W16)</f>
        <v>-0.00796067557347158</v>
      </c>
      <c r="M16" s="56" t="n">
        <v>4.06</v>
      </c>
      <c r="N16" s="56" t="n">
        <v>0</v>
      </c>
      <c r="O16" s="56" t="n">
        <f aca="false">M16-N16</f>
        <v>4.06</v>
      </c>
      <c r="P16" s="56" t="n">
        <v>0</v>
      </c>
      <c r="Q16" s="56" t="n">
        <v>0</v>
      </c>
      <c r="R16" s="56" t="n">
        <f aca="false">SUM(O16:Q16)</f>
        <v>4.06</v>
      </c>
      <c r="S16" s="57"/>
      <c r="T16" s="56" t="n">
        <v>0</v>
      </c>
      <c r="U16" s="56" t="n">
        <v>35.7</v>
      </c>
      <c r="V16" s="57" t="n">
        <f aca="false">V15-U16</f>
        <v>1742.34002268717</v>
      </c>
      <c r="W16" s="56" t="n">
        <f aca="false">R16+T16+N16+U16</f>
        <v>39.76</v>
      </c>
      <c r="X16" s="56" t="n">
        <f aca="false">IF(L16&lt;0,L16*-1,0)</f>
        <v>0.00796067557347158</v>
      </c>
      <c r="Y16" s="56" t="n">
        <f aca="false">W16+X16</f>
        <v>39.7679606755735</v>
      </c>
      <c r="Z16" s="60" t="n">
        <v>0</v>
      </c>
      <c r="AA16" s="61" t="n">
        <v>44</v>
      </c>
      <c r="AB16" s="61" t="n">
        <v>2</v>
      </c>
      <c r="AC16" s="62" t="n">
        <f aca="false">AC15+1</f>
        <v>7</v>
      </c>
      <c r="AD16" s="78"/>
      <c r="AE16" s="82"/>
      <c r="AF16" s="79"/>
    </row>
    <row r="17" customFormat="false" ht="11.1" hidden="false" customHeight="true" outlineLevel="0" collapsed="false">
      <c r="A17" s="62" t="n">
        <f aca="false">A16+1</f>
        <v>8</v>
      </c>
      <c r="B17" s="80" t="n">
        <v>6894.63</v>
      </c>
      <c r="C17" s="57" t="n">
        <v>264190</v>
      </c>
      <c r="D17" s="61" t="n">
        <f aca="false">C17-C16</f>
        <v>318</v>
      </c>
      <c r="E17" s="57" t="n">
        <f aca="false">C17-152000</f>
        <v>112190</v>
      </c>
      <c r="F17" s="56" t="n">
        <f aca="false">D17/$D$2</f>
        <v>160.32266196118</v>
      </c>
      <c r="G17" s="56" t="n">
        <v>200.1</v>
      </c>
      <c r="H17" s="58" t="n">
        <v>0</v>
      </c>
      <c r="I17" s="56" t="n">
        <f aca="false">G17+H17</f>
        <v>200.1</v>
      </c>
      <c r="J17" s="81" t="n">
        <f aca="false">IF(L17&gt;0,L17,0)</f>
        <v>0</v>
      </c>
      <c r="K17" s="56" t="n">
        <f aca="false">I17+J17</f>
        <v>200.1</v>
      </c>
      <c r="L17" s="56" t="n">
        <f aca="false">F17-(I17-W17)</f>
        <v>-0.0173380388202418</v>
      </c>
      <c r="M17" s="56" t="n">
        <v>4.06</v>
      </c>
      <c r="N17" s="56" t="n">
        <v>0</v>
      </c>
      <c r="O17" s="56" t="n">
        <f aca="false">M17-N17</f>
        <v>4.06</v>
      </c>
      <c r="P17" s="56" t="n">
        <v>0</v>
      </c>
      <c r="Q17" s="56" t="n">
        <v>0</v>
      </c>
      <c r="R17" s="56" t="n">
        <f aca="false">SUM(O17:Q17)</f>
        <v>4.06</v>
      </c>
      <c r="S17" s="57"/>
      <c r="T17" s="56" t="n">
        <v>0</v>
      </c>
      <c r="U17" s="56" t="n">
        <v>35.7</v>
      </c>
      <c r="V17" s="57" t="n">
        <f aca="false">V16-U17</f>
        <v>1706.64002268717</v>
      </c>
      <c r="W17" s="56" t="n">
        <f aca="false">R17+T17+N17+U17</f>
        <v>39.76</v>
      </c>
      <c r="X17" s="56" t="n">
        <f aca="false">IF(L17&lt;0,L17*-1,0)</f>
        <v>0.0173380388202418</v>
      </c>
      <c r="Y17" s="56" t="n">
        <f aca="false">W17+X17</f>
        <v>39.7773380388202</v>
      </c>
      <c r="Z17" s="60" t="n">
        <v>0</v>
      </c>
      <c r="AA17" s="61" t="n">
        <v>47</v>
      </c>
      <c r="AB17" s="61" t="n">
        <v>4</v>
      </c>
      <c r="AC17" s="62" t="n">
        <f aca="false">AC16+1</f>
        <v>8</v>
      </c>
      <c r="AD17" s="78"/>
      <c r="AE17" s="82"/>
      <c r="AF17" s="79"/>
    </row>
    <row r="18" customFormat="false" ht="11.1" hidden="false" customHeight="true" outlineLevel="0" collapsed="false">
      <c r="A18" s="62" t="n">
        <f aca="false">A17+1</f>
        <v>9</v>
      </c>
      <c r="B18" s="80" t="n">
        <v>6894.67</v>
      </c>
      <c r="C18" s="57" t="n">
        <v>264331</v>
      </c>
      <c r="D18" s="61" t="n">
        <f aca="false">C18-C17</f>
        <v>141</v>
      </c>
      <c r="E18" s="57" t="n">
        <f aca="false">C18-152000</f>
        <v>112331</v>
      </c>
      <c r="F18" s="56" t="n">
        <f aca="false">D18/$D$2</f>
        <v>71.0864633224099</v>
      </c>
      <c r="G18" s="56" t="n">
        <v>110.9</v>
      </c>
      <c r="H18" s="58" t="n">
        <v>0</v>
      </c>
      <c r="I18" s="56" t="n">
        <f aca="false">G18+H18</f>
        <v>110.9</v>
      </c>
      <c r="J18" s="81" t="n">
        <f aca="false">IF(L18&gt;0,L18,0)</f>
        <v>0</v>
      </c>
      <c r="K18" s="56" t="n">
        <f aca="false">I18+J18</f>
        <v>110.9</v>
      </c>
      <c r="L18" s="56" t="n">
        <f aca="false">F18-(I18-W18)</f>
        <v>-0.0535366775901167</v>
      </c>
      <c r="M18" s="56" t="n">
        <v>4.06</v>
      </c>
      <c r="N18" s="56" t="n">
        <v>0</v>
      </c>
      <c r="O18" s="56" t="n">
        <f aca="false">M18-N18</f>
        <v>4.06</v>
      </c>
      <c r="P18" s="56" t="n">
        <v>0</v>
      </c>
      <c r="Q18" s="56" t="n">
        <v>0</v>
      </c>
      <c r="R18" s="56" t="n">
        <f aca="false">SUM(O18:Q18)</f>
        <v>4.06</v>
      </c>
      <c r="S18" s="57"/>
      <c r="T18" s="56" t="n">
        <v>0</v>
      </c>
      <c r="U18" s="56" t="n">
        <v>35.7</v>
      </c>
      <c r="V18" s="57" t="n">
        <f aca="false">V17-U18</f>
        <v>1670.94002268717</v>
      </c>
      <c r="W18" s="56" t="n">
        <f aca="false">R18+T18+N18+U18</f>
        <v>39.76</v>
      </c>
      <c r="X18" s="56" t="n">
        <f aca="false">IF(L18&lt;0,L18*-1,0)</f>
        <v>0.0535366775901167</v>
      </c>
      <c r="Y18" s="56" t="n">
        <f aca="false">W18+X18</f>
        <v>39.8135366775901</v>
      </c>
      <c r="Z18" s="60" t="n">
        <v>0</v>
      </c>
      <c r="AA18" s="90" t="n">
        <v>37</v>
      </c>
      <c r="AB18" s="61" t="n">
        <v>3</v>
      </c>
      <c r="AC18" s="62" t="n">
        <f aca="false">AC17+1</f>
        <v>9</v>
      </c>
      <c r="AD18" s="78"/>
      <c r="AE18" s="82"/>
      <c r="AF18" s="79"/>
    </row>
    <row r="19" customFormat="false" ht="11.1" hidden="false" customHeight="true" outlineLevel="0" collapsed="false">
      <c r="A19" s="62" t="n">
        <f aca="false">A18+1</f>
        <v>10</v>
      </c>
      <c r="B19" s="80" t="n">
        <v>6894.74</v>
      </c>
      <c r="C19" s="57" t="n">
        <v>264578</v>
      </c>
      <c r="D19" s="61" t="n">
        <f aca="false">C19-C18</f>
        <v>247</v>
      </c>
      <c r="E19" s="57" t="n">
        <f aca="false">C19-152000</f>
        <v>112578</v>
      </c>
      <c r="F19" s="56" t="n">
        <f aca="false">D19/$D$2</f>
        <v>124.527350642803</v>
      </c>
      <c r="G19" s="56" t="n">
        <v>164.3</v>
      </c>
      <c r="H19" s="58" t="n">
        <v>0</v>
      </c>
      <c r="I19" s="56" t="n">
        <f aca="false">G19+H19</f>
        <v>164.3</v>
      </c>
      <c r="J19" s="81" t="n">
        <f aca="false">IF(L19&gt;0,L19,0)</f>
        <v>0</v>
      </c>
      <c r="K19" s="56" t="n">
        <f aca="false">I19+J19</f>
        <v>164.3</v>
      </c>
      <c r="L19" s="56" t="n">
        <f aca="false">F19-(I19-W19)</f>
        <v>-0.012649357196878</v>
      </c>
      <c r="M19" s="56" t="n">
        <v>4.06</v>
      </c>
      <c r="N19" s="56" t="n">
        <v>0</v>
      </c>
      <c r="O19" s="56" t="n">
        <f aca="false">M19-N19</f>
        <v>4.06</v>
      </c>
      <c r="P19" s="56" t="n">
        <v>0</v>
      </c>
      <c r="Q19" s="56" t="n">
        <v>0</v>
      </c>
      <c r="R19" s="56" t="n">
        <f aca="false">SUM(O19:Q19)</f>
        <v>4.06</v>
      </c>
      <c r="S19" s="57"/>
      <c r="T19" s="56" t="n">
        <v>0</v>
      </c>
      <c r="U19" s="56" t="n">
        <v>35.7</v>
      </c>
      <c r="V19" s="57" t="n">
        <f aca="false">V18-U19</f>
        <v>1635.24002268717</v>
      </c>
      <c r="W19" s="56" t="n">
        <f aca="false">R19+T19+N19+U19</f>
        <v>39.76</v>
      </c>
      <c r="X19" s="56" t="n">
        <f aca="false">IF(L19&lt;0,L19*-1,0)</f>
        <v>0.012649357196878</v>
      </c>
      <c r="Y19" s="56" t="n">
        <f aca="false">W19+X19</f>
        <v>39.7726493571969</v>
      </c>
      <c r="Z19" s="60" t="n">
        <v>0</v>
      </c>
      <c r="AA19" s="61" t="n">
        <v>51</v>
      </c>
      <c r="AB19" s="61" t="n">
        <v>6</v>
      </c>
      <c r="AC19" s="62" t="n">
        <f aca="false">AC18+1</f>
        <v>10</v>
      </c>
      <c r="AD19" s="78"/>
      <c r="AE19" s="82"/>
      <c r="AF19" s="79"/>
    </row>
    <row r="20" customFormat="false" ht="11.1" hidden="false" customHeight="true" outlineLevel="0" collapsed="false">
      <c r="A20" s="62" t="n">
        <f aca="false">A19+1</f>
        <v>11</v>
      </c>
      <c r="B20" s="80" t="n">
        <v>6894.81</v>
      </c>
      <c r="C20" s="57" t="n">
        <v>264825</v>
      </c>
      <c r="D20" s="61" t="n">
        <f aca="false">C20-C19</f>
        <v>247</v>
      </c>
      <c r="E20" s="57" t="n">
        <f aca="false">C20-152000</f>
        <v>112825</v>
      </c>
      <c r="F20" s="56" t="n">
        <f aca="false">D20/$D$2</f>
        <v>124.527350642803</v>
      </c>
      <c r="G20" s="56" t="n">
        <v>164.3</v>
      </c>
      <c r="H20" s="58" t="n">
        <v>0</v>
      </c>
      <c r="I20" s="56" t="n">
        <f aca="false">G20+H20</f>
        <v>164.3</v>
      </c>
      <c r="J20" s="81" t="n">
        <f aca="false">IF(L20&gt;0,L20,0)</f>
        <v>0</v>
      </c>
      <c r="K20" s="56" t="n">
        <f aca="false">I20+J20</f>
        <v>164.3</v>
      </c>
      <c r="L20" s="56" t="n">
        <f aca="false">F20-(I20-W20)</f>
        <v>-0.012649357196878</v>
      </c>
      <c r="M20" s="56" t="n">
        <v>4.06</v>
      </c>
      <c r="N20" s="56" t="n">
        <v>0</v>
      </c>
      <c r="O20" s="56" t="n">
        <f aca="false">M20-N20</f>
        <v>4.06</v>
      </c>
      <c r="P20" s="56" t="n">
        <v>0</v>
      </c>
      <c r="Q20" s="56" t="n">
        <v>0</v>
      </c>
      <c r="R20" s="56" t="n">
        <f aca="false">SUM(O20:Q20)</f>
        <v>4.06</v>
      </c>
      <c r="S20" s="57"/>
      <c r="T20" s="56" t="n">
        <v>0</v>
      </c>
      <c r="U20" s="56" t="n">
        <v>35.7</v>
      </c>
      <c r="V20" s="57" t="n">
        <f aca="false">V19-U20</f>
        <v>1599.54002268717</v>
      </c>
      <c r="W20" s="56" t="n">
        <f aca="false">R20+T20+N20+U20</f>
        <v>39.76</v>
      </c>
      <c r="X20" s="56" t="n">
        <f aca="false">IF(L20&lt;0,L20*-1,0)</f>
        <v>0.012649357196878</v>
      </c>
      <c r="Y20" s="56" t="n">
        <f aca="false">W20+X20</f>
        <v>39.7726493571969</v>
      </c>
      <c r="Z20" s="60" t="n">
        <v>0</v>
      </c>
      <c r="AA20" s="61" t="n">
        <v>50</v>
      </c>
      <c r="AB20" s="61" t="n">
        <v>20</v>
      </c>
      <c r="AC20" s="62" t="n">
        <f aca="false">AC19+1</f>
        <v>11</v>
      </c>
      <c r="AD20" s="78"/>
      <c r="AE20" s="82"/>
      <c r="AF20" s="79"/>
    </row>
    <row r="21" customFormat="false" ht="11.1" hidden="false" customHeight="true" outlineLevel="0" collapsed="false">
      <c r="A21" s="62" t="n">
        <f aca="false">A20+1</f>
        <v>12</v>
      </c>
      <c r="B21" s="80" t="n">
        <v>6894.82</v>
      </c>
      <c r="C21" s="57" t="n">
        <v>264860</v>
      </c>
      <c r="D21" s="61" t="n">
        <f aca="false">C21-C20</f>
        <v>35</v>
      </c>
      <c r="E21" s="57" t="n">
        <f aca="false">C21-152000</f>
        <v>112860</v>
      </c>
      <c r="F21" s="56" t="n">
        <f aca="false">D21/$D$2</f>
        <v>17.6455760020166</v>
      </c>
      <c r="G21" s="56" t="n">
        <v>57.4</v>
      </c>
      <c r="H21" s="58" t="n">
        <v>0</v>
      </c>
      <c r="I21" s="56" t="n">
        <f aca="false">G21+H21</f>
        <v>57.4</v>
      </c>
      <c r="J21" s="81" t="n">
        <f aca="false">IF(L21&gt;0,L21,0)</f>
        <v>0.00557600201664243</v>
      </c>
      <c r="K21" s="56" t="n">
        <f aca="false">I21+J21</f>
        <v>57.4055760020166</v>
      </c>
      <c r="L21" s="56" t="n">
        <f aca="false">F21-(I21-W21)</f>
        <v>0.00557600201664243</v>
      </c>
      <c r="M21" s="56" t="n">
        <v>4.06</v>
      </c>
      <c r="N21" s="56" t="n">
        <v>0</v>
      </c>
      <c r="O21" s="56" t="n">
        <f aca="false">M21-N21</f>
        <v>4.06</v>
      </c>
      <c r="P21" s="56" t="n">
        <v>0</v>
      </c>
      <c r="Q21" s="56" t="n">
        <v>0</v>
      </c>
      <c r="R21" s="56" t="n">
        <f aca="false">SUM(O21:Q21)</f>
        <v>4.06</v>
      </c>
      <c r="S21" s="57"/>
      <c r="T21" s="56" t="n">
        <v>0</v>
      </c>
      <c r="U21" s="56" t="n">
        <v>35.7</v>
      </c>
      <c r="V21" s="57" t="n">
        <f aca="false">V20-U21</f>
        <v>1563.84002268717</v>
      </c>
      <c r="W21" s="56" t="n">
        <f aca="false">R21+T21+N21+U21</f>
        <v>39.76</v>
      </c>
      <c r="X21" s="56" t="n">
        <f aca="false">IF(L21&lt;0,L21*-1,0)</f>
        <v>0</v>
      </c>
      <c r="Y21" s="56" t="n">
        <f aca="false">W21+X21</f>
        <v>39.76</v>
      </c>
      <c r="Z21" s="60" t="n">
        <v>0.17</v>
      </c>
      <c r="AA21" s="61" t="n">
        <v>50</v>
      </c>
      <c r="AB21" s="61" t="n">
        <v>10</v>
      </c>
      <c r="AC21" s="62" t="n">
        <f aca="false">AC20+1</f>
        <v>12</v>
      </c>
      <c r="AD21" s="78"/>
      <c r="AE21" s="82"/>
      <c r="AF21" s="79"/>
    </row>
    <row r="22" customFormat="false" ht="11.1" hidden="false" customHeight="true" outlineLevel="0" collapsed="false">
      <c r="A22" s="62" t="n">
        <f aca="false">A21+1</f>
        <v>13</v>
      </c>
      <c r="B22" s="80" t="n">
        <v>6894.87</v>
      </c>
      <c r="C22" s="57" t="n">
        <v>265037</v>
      </c>
      <c r="D22" s="61" t="n">
        <f aca="false">C22-C21</f>
        <v>177</v>
      </c>
      <c r="E22" s="57" t="n">
        <f aca="false">C22-152000</f>
        <v>113037</v>
      </c>
      <c r="F22" s="56" t="n">
        <f aca="false">D22/$D$2</f>
        <v>89.2361986387698</v>
      </c>
      <c r="G22" s="56" t="n">
        <v>129</v>
      </c>
      <c r="H22" s="58" t="n">
        <v>0</v>
      </c>
      <c r="I22" s="56" t="n">
        <f aca="false">G22+H22</f>
        <v>129</v>
      </c>
      <c r="J22" s="81" t="n">
        <f aca="false">IF(L22&gt;0,L22,0)</f>
        <v>0</v>
      </c>
      <c r="K22" s="56" t="n">
        <f aca="false">I22+J22</f>
        <v>129</v>
      </c>
      <c r="L22" s="56" t="n">
        <f aca="false">F22-(I22-W22)</f>
        <v>-0.00380136123014552</v>
      </c>
      <c r="M22" s="56" t="n">
        <v>4.06</v>
      </c>
      <c r="N22" s="56" t="n">
        <v>0</v>
      </c>
      <c r="O22" s="56" t="n">
        <f aca="false">M22-N22</f>
        <v>4.06</v>
      </c>
      <c r="P22" s="56" t="n">
        <v>0</v>
      </c>
      <c r="Q22" s="56" t="n">
        <v>0</v>
      </c>
      <c r="R22" s="56" t="n">
        <f aca="false">SUM(O22:Q22)</f>
        <v>4.06</v>
      </c>
      <c r="S22" s="57"/>
      <c r="T22" s="56" t="n">
        <v>0</v>
      </c>
      <c r="U22" s="56" t="n">
        <v>35.7</v>
      </c>
      <c r="V22" s="57" t="n">
        <f aca="false">V21-U22</f>
        <v>1528.14002268717</v>
      </c>
      <c r="W22" s="56" t="n">
        <f aca="false">R22+T22+N22+U22</f>
        <v>39.76</v>
      </c>
      <c r="X22" s="56" t="n">
        <f aca="false">IF(L22&lt;0,L22*-1,0)</f>
        <v>0.00380136123014552</v>
      </c>
      <c r="Y22" s="56" t="n">
        <f aca="false">W22+X22</f>
        <v>39.7638013612301</v>
      </c>
      <c r="Z22" s="60" t="n">
        <v>0</v>
      </c>
      <c r="AA22" s="61" t="n">
        <v>44</v>
      </c>
      <c r="AB22" s="61" t="n">
        <v>17</v>
      </c>
      <c r="AC22" s="62" t="n">
        <f aca="false">AC21+1</f>
        <v>13</v>
      </c>
      <c r="AD22" s="78"/>
      <c r="AE22" s="82"/>
      <c r="AF22" s="79"/>
    </row>
    <row r="23" customFormat="false" ht="11.1" hidden="false" customHeight="true" outlineLevel="0" collapsed="false">
      <c r="A23" s="62" t="n">
        <f aca="false">A22+1</f>
        <v>14</v>
      </c>
      <c r="B23" s="80" t="n">
        <v>6894.92</v>
      </c>
      <c r="C23" s="57" t="n">
        <v>265213</v>
      </c>
      <c r="D23" s="61" t="n">
        <f aca="false">C23-C22</f>
        <v>176</v>
      </c>
      <c r="E23" s="57" t="n">
        <f aca="false">C23-152000</f>
        <v>113213</v>
      </c>
      <c r="F23" s="56" t="n">
        <f aca="false">D23/$D$2</f>
        <v>88.7320393244265</v>
      </c>
      <c r="G23" s="56" t="n">
        <v>128.5</v>
      </c>
      <c r="H23" s="58" t="n">
        <v>0</v>
      </c>
      <c r="I23" s="56" t="n">
        <f aca="false">G23+H23</f>
        <v>128.5</v>
      </c>
      <c r="J23" s="81" t="n">
        <f aca="false">IF(L23&gt;0,L23,0)</f>
        <v>0</v>
      </c>
      <c r="K23" s="56" t="n">
        <f aca="false">I23+J23</f>
        <v>128.5</v>
      </c>
      <c r="L23" s="56" t="n">
        <f aca="false">F23-(I23-W23)</f>
        <v>-0.00796067557347158</v>
      </c>
      <c r="M23" s="56" t="n">
        <v>4.06</v>
      </c>
      <c r="N23" s="56" t="n">
        <v>0</v>
      </c>
      <c r="O23" s="56" t="n">
        <f aca="false">M23-N23</f>
        <v>4.06</v>
      </c>
      <c r="P23" s="56" t="n">
        <v>0</v>
      </c>
      <c r="Q23" s="56" t="n">
        <v>0</v>
      </c>
      <c r="R23" s="56" t="n">
        <f aca="false">SUM(O23:Q23)</f>
        <v>4.06</v>
      </c>
      <c r="S23" s="57"/>
      <c r="T23" s="56" t="n">
        <v>0</v>
      </c>
      <c r="U23" s="56" t="n">
        <v>35.7</v>
      </c>
      <c r="V23" s="57" t="n">
        <f aca="false">V22-U23</f>
        <v>1492.44002268717</v>
      </c>
      <c r="W23" s="56" t="n">
        <f aca="false">R23+T23+N23+U23</f>
        <v>39.76</v>
      </c>
      <c r="X23" s="56" t="n">
        <f aca="false">IF(L23&lt;0,L23*-1,0)</f>
        <v>0.00796067557347158</v>
      </c>
      <c r="Y23" s="56" t="n">
        <f aca="false">W23+X23</f>
        <v>39.7679606755735</v>
      </c>
      <c r="Z23" s="60" t="n">
        <v>0</v>
      </c>
      <c r="AA23" s="90" t="n">
        <v>42</v>
      </c>
      <c r="AB23" s="61" t="n">
        <v>6</v>
      </c>
      <c r="AC23" s="62" t="n">
        <f aca="false">AC22+1</f>
        <v>14</v>
      </c>
      <c r="AD23" s="78"/>
      <c r="AE23" s="82"/>
      <c r="AF23" s="79"/>
    </row>
    <row r="24" customFormat="false" ht="11.1" hidden="false" customHeight="true" outlineLevel="0" collapsed="false">
      <c r="A24" s="62" t="n">
        <f aca="false">A23+1</f>
        <v>15</v>
      </c>
      <c r="B24" s="80" t="n">
        <v>6894.97</v>
      </c>
      <c r="C24" s="57" t="n">
        <v>265390</v>
      </c>
      <c r="D24" s="61" t="n">
        <f aca="false">C24-C23</f>
        <v>177</v>
      </c>
      <c r="E24" s="57" t="n">
        <f aca="false">C24-152000</f>
        <v>113390</v>
      </c>
      <c r="F24" s="56" t="n">
        <f aca="false">D24/$D$2</f>
        <v>89.2361986387698</v>
      </c>
      <c r="G24" s="56" t="n">
        <v>129</v>
      </c>
      <c r="H24" s="58" t="n">
        <v>0</v>
      </c>
      <c r="I24" s="56" t="n">
        <f aca="false">G24+H24</f>
        <v>129</v>
      </c>
      <c r="J24" s="81" t="n">
        <f aca="false">IF(L24&gt;0,L24,0)</f>
        <v>0</v>
      </c>
      <c r="K24" s="56" t="n">
        <f aca="false">I24+J24</f>
        <v>129</v>
      </c>
      <c r="L24" s="56" t="n">
        <f aca="false">F24-(I24-W24)</f>
        <v>-0.00380136123014552</v>
      </c>
      <c r="M24" s="56" t="n">
        <v>4.06</v>
      </c>
      <c r="N24" s="56" t="n">
        <v>0</v>
      </c>
      <c r="O24" s="56" t="n">
        <f aca="false">M24-N24</f>
        <v>4.06</v>
      </c>
      <c r="P24" s="56" t="n">
        <v>0</v>
      </c>
      <c r="Q24" s="56" t="n">
        <v>0</v>
      </c>
      <c r="R24" s="56" t="n">
        <f aca="false">SUM(O24:Q24)</f>
        <v>4.06</v>
      </c>
      <c r="S24" s="57"/>
      <c r="T24" s="56" t="n">
        <v>0</v>
      </c>
      <c r="U24" s="56" t="n">
        <v>35.7</v>
      </c>
      <c r="V24" s="57" t="n">
        <f aca="false">V23-U24</f>
        <v>1456.74002268717</v>
      </c>
      <c r="W24" s="56" t="n">
        <f aca="false">R24+T24+N24+U24</f>
        <v>39.76</v>
      </c>
      <c r="X24" s="56" t="n">
        <f aca="false">IF(L24&lt;0,L24*-1,0)</f>
        <v>0.00380136123014552</v>
      </c>
      <c r="Y24" s="56" t="n">
        <f aca="false">W24+X24</f>
        <v>39.7638013612301</v>
      </c>
      <c r="Z24" s="60" t="n">
        <v>0</v>
      </c>
      <c r="AA24" s="90" t="n">
        <v>48</v>
      </c>
      <c r="AB24" s="61" t="n">
        <v>8</v>
      </c>
      <c r="AC24" s="62" t="n">
        <f aca="false">AC23+1</f>
        <v>15</v>
      </c>
      <c r="AD24" s="78"/>
      <c r="AE24" s="82"/>
      <c r="AF24" s="79"/>
    </row>
    <row r="25" customFormat="false" ht="11.1" hidden="false" customHeight="true" outlineLevel="0" collapsed="false">
      <c r="A25" s="62" t="n">
        <f aca="false">A24+1</f>
        <v>16</v>
      </c>
      <c r="B25" s="80" t="n">
        <v>6895.04</v>
      </c>
      <c r="C25" s="57" t="n">
        <v>265638</v>
      </c>
      <c r="D25" s="61" t="n">
        <f aca="false">C25-C24</f>
        <v>248</v>
      </c>
      <c r="E25" s="57" t="n">
        <f aca="false">C25-152000</f>
        <v>113638</v>
      </c>
      <c r="F25" s="56" t="n">
        <f aca="false">D25/$D$2</f>
        <v>125.031509957146</v>
      </c>
      <c r="G25" s="56" t="n">
        <v>164.8</v>
      </c>
      <c r="H25" s="58" t="n">
        <v>0</v>
      </c>
      <c r="I25" s="56" t="n">
        <f aca="false">G25+H25</f>
        <v>164.8</v>
      </c>
      <c r="J25" s="81" t="n">
        <f aca="false">IF(L25&gt;0,L25,0)</f>
        <v>0</v>
      </c>
      <c r="K25" s="56" t="n">
        <f aca="false">I25+J25</f>
        <v>164.8</v>
      </c>
      <c r="L25" s="56" t="n">
        <f aca="false">F25-(I25-W25)</f>
        <v>-0.00849004285355193</v>
      </c>
      <c r="M25" s="56" t="n">
        <v>4.06</v>
      </c>
      <c r="N25" s="56" t="n">
        <v>0</v>
      </c>
      <c r="O25" s="56" t="n">
        <f aca="false">M25-N25</f>
        <v>4.06</v>
      </c>
      <c r="P25" s="56" t="n">
        <v>0</v>
      </c>
      <c r="Q25" s="56" t="n">
        <v>0</v>
      </c>
      <c r="R25" s="56" t="n">
        <f aca="false">SUM(O25:Q25)</f>
        <v>4.06</v>
      </c>
      <c r="S25" s="57"/>
      <c r="T25" s="56" t="n">
        <v>0</v>
      </c>
      <c r="U25" s="56" t="n">
        <v>35.7</v>
      </c>
      <c r="V25" s="57" t="n">
        <f aca="false">V24-U25</f>
        <v>1421.04002268717</v>
      </c>
      <c r="W25" s="56" t="n">
        <f aca="false">R25+T25+N25+U25</f>
        <v>39.76</v>
      </c>
      <c r="X25" s="56" t="n">
        <f aca="false">IF(L25&lt;0,L25*-1,0)</f>
        <v>0.00849004285355193</v>
      </c>
      <c r="Y25" s="56" t="n">
        <f aca="false">W25+X25</f>
        <v>39.7684900428536</v>
      </c>
      <c r="Z25" s="60" t="n">
        <v>0</v>
      </c>
      <c r="AA25" s="90" t="n">
        <v>50</v>
      </c>
      <c r="AB25" s="61" t="n">
        <v>15</v>
      </c>
      <c r="AC25" s="62" t="n">
        <f aca="false">AC24+1</f>
        <v>16</v>
      </c>
      <c r="AD25" s="78"/>
      <c r="AE25" s="91"/>
      <c r="AF25" s="79"/>
    </row>
    <row r="26" customFormat="false" ht="11.1" hidden="false" customHeight="true" outlineLevel="0" collapsed="false">
      <c r="A26" s="62" t="n">
        <f aca="false">A25+1</f>
        <v>17</v>
      </c>
      <c r="B26" s="80" t="n">
        <v>6895.09</v>
      </c>
      <c r="C26" s="57" t="n">
        <v>265816</v>
      </c>
      <c r="D26" s="61" t="n">
        <f aca="false">C26-C25</f>
        <v>178</v>
      </c>
      <c r="E26" s="57" t="n">
        <f aca="false">C26-152000</f>
        <v>113816</v>
      </c>
      <c r="F26" s="56" t="n">
        <f aca="false">D26/$D$2</f>
        <v>89.7403579531132</v>
      </c>
      <c r="G26" s="56" t="n">
        <v>128.5</v>
      </c>
      <c r="H26" s="58" t="n">
        <v>0</v>
      </c>
      <c r="I26" s="56" t="n">
        <f aca="false">G26+H26</f>
        <v>128.5</v>
      </c>
      <c r="J26" s="81" t="n">
        <f aca="false">IF(L26&gt;0,L26,0)</f>
        <v>0.0203579531131766</v>
      </c>
      <c r="K26" s="56" t="n">
        <f aca="false">I26+J26</f>
        <v>128.520357953113</v>
      </c>
      <c r="L26" s="56" t="n">
        <f aca="false">F26-(I26-W26)</f>
        <v>0.0203579531131766</v>
      </c>
      <c r="M26" s="56" t="n">
        <v>4.06</v>
      </c>
      <c r="N26" s="56" t="n">
        <v>0</v>
      </c>
      <c r="O26" s="56" t="n">
        <f aca="false">M26-N26</f>
        <v>4.06</v>
      </c>
      <c r="P26" s="56" t="n">
        <v>0</v>
      </c>
      <c r="Q26" s="56" t="n">
        <v>0</v>
      </c>
      <c r="R26" s="56" t="n">
        <f aca="false">SUM(O26:Q26)</f>
        <v>4.06</v>
      </c>
      <c r="S26" s="57"/>
      <c r="T26" s="56" t="n">
        <v>0</v>
      </c>
      <c r="U26" s="56" t="n">
        <v>34.72</v>
      </c>
      <c r="V26" s="57" t="n">
        <f aca="false">V25-U26</f>
        <v>1386.32002268717</v>
      </c>
      <c r="W26" s="56" t="n">
        <f aca="false">R26+T26+N26+U26</f>
        <v>38.78</v>
      </c>
      <c r="X26" s="56" t="n">
        <f aca="false">IF(L26&lt;0,L26*-1,0)</f>
        <v>0</v>
      </c>
      <c r="Y26" s="56" t="n">
        <f aca="false">W26+X26</f>
        <v>38.78</v>
      </c>
      <c r="Z26" s="60" t="n">
        <v>0</v>
      </c>
      <c r="AA26" s="90" t="n">
        <v>46</v>
      </c>
      <c r="AB26" s="61" t="n">
        <v>26</v>
      </c>
      <c r="AC26" s="62" t="n">
        <f aca="false">AC25+1</f>
        <v>17</v>
      </c>
      <c r="AD26" s="78"/>
      <c r="AE26" s="82"/>
      <c r="AF26" s="79"/>
    </row>
    <row r="27" customFormat="false" ht="11.1" hidden="false" customHeight="true" outlineLevel="0" collapsed="false">
      <c r="A27" s="62" t="n">
        <f aca="false">A26+1</f>
        <v>18</v>
      </c>
      <c r="B27" s="80" t="n">
        <v>6895.16</v>
      </c>
      <c r="C27" s="57" t="n">
        <v>266065</v>
      </c>
      <c r="D27" s="61" t="n">
        <f aca="false">C27-C26</f>
        <v>249</v>
      </c>
      <c r="E27" s="57" t="n">
        <f aca="false">C27-152000</f>
        <v>114065</v>
      </c>
      <c r="F27" s="56" t="n">
        <f aca="false">D27/$D$2</f>
        <v>125.53566927149</v>
      </c>
      <c r="G27" s="56" t="n">
        <v>163.8</v>
      </c>
      <c r="H27" s="58" t="n">
        <v>0</v>
      </c>
      <c r="I27" s="56" t="n">
        <f aca="false">G27+H27</f>
        <v>163.8</v>
      </c>
      <c r="J27" s="81" t="n">
        <f aca="false">IF(L27&gt;0,L27,0)</f>
        <v>0</v>
      </c>
      <c r="K27" s="56" t="n">
        <f aca="false">I27+J27</f>
        <v>163.8</v>
      </c>
      <c r="L27" s="56" t="n">
        <f aca="false">F27-(I27-W27)</f>
        <v>-0.00433072851021166</v>
      </c>
      <c r="M27" s="56" t="n">
        <v>4.06</v>
      </c>
      <c r="N27" s="56" t="n">
        <v>0</v>
      </c>
      <c r="O27" s="56" t="n">
        <f aca="false">M27-N27</f>
        <v>4.06</v>
      </c>
      <c r="P27" s="56" t="n">
        <v>0</v>
      </c>
      <c r="Q27" s="56" t="n">
        <v>0</v>
      </c>
      <c r="R27" s="56" t="n">
        <f aca="false">SUM(O27:Q27)</f>
        <v>4.06</v>
      </c>
      <c r="S27" s="57"/>
      <c r="T27" s="56" t="n">
        <v>0</v>
      </c>
      <c r="U27" s="56" t="n">
        <v>34.2</v>
      </c>
      <c r="V27" s="57" t="n">
        <f aca="false">V26-U27</f>
        <v>1352.12002268717</v>
      </c>
      <c r="W27" s="56" t="n">
        <f aca="false">R27+T27+N27+U27</f>
        <v>38.26</v>
      </c>
      <c r="X27" s="56" t="n">
        <f aca="false">IF(L27&lt;0,L27*-1,0)</f>
        <v>0.00433072851021166</v>
      </c>
      <c r="Y27" s="56" t="n">
        <f aca="false">W27+X27</f>
        <v>38.2643307285102</v>
      </c>
      <c r="Z27" s="96" t="n">
        <v>0</v>
      </c>
      <c r="AA27" s="90" t="n">
        <v>57</v>
      </c>
      <c r="AB27" s="61" t="n">
        <v>30</v>
      </c>
      <c r="AC27" s="62" t="n">
        <f aca="false">AC26+1</f>
        <v>18</v>
      </c>
      <c r="AD27" s="78"/>
      <c r="AE27" s="82"/>
      <c r="AF27" s="79"/>
    </row>
    <row r="28" customFormat="false" ht="11.1" hidden="false" customHeight="true" outlineLevel="0" collapsed="false">
      <c r="A28" s="62" t="n">
        <f aca="false">A27+1</f>
        <v>19</v>
      </c>
      <c r="B28" s="80" t="n">
        <v>6895.2</v>
      </c>
      <c r="C28" s="97" t="n">
        <v>266207</v>
      </c>
      <c r="D28" s="61" t="n">
        <f aca="false">C28-C27</f>
        <v>142</v>
      </c>
      <c r="E28" s="57" t="n">
        <f aca="false">C28-152000</f>
        <v>114207</v>
      </c>
      <c r="F28" s="56" t="n">
        <f aca="false">D28/$D$2</f>
        <v>71.5906226367532</v>
      </c>
      <c r="G28" s="56" t="n">
        <v>110.5</v>
      </c>
      <c r="H28" s="58" t="n">
        <v>0</v>
      </c>
      <c r="I28" s="56" t="n">
        <f aca="false">G28+H28</f>
        <v>110.5</v>
      </c>
      <c r="J28" s="81" t="n">
        <f aca="false">IF(L28&gt;0,L28,0)</f>
        <v>0.0306226367532076</v>
      </c>
      <c r="K28" s="56" t="n">
        <f aca="false">I28+J28</f>
        <v>110.530622636753</v>
      </c>
      <c r="L28" s="56" t="n">
        <f aca="false">F28-(I28-W28)</f>
        <v>0.0306226367532076</v>
      </c>
      <c r="M28" s="56" t="n">
        <v>4.06</v>
      </c>
      <c r="N28" s="56" t="n">
        <v>0</v>
      </c>
      <c r="O28" s="56" t="n">
        <f aca="false">M28-N28</f>
        <v>4.06</v>
      </c>
      <c r="P28" s="56" t="n">
        <v>0</v>
      </c>
      <c r="Q28" s="56" t="n">
        <v>0</v>
      </c>
      <c r="R28" s="56" t="n">
        <f aca="false">SUM(O28:Q28)</f>
        <v>4.06</v>
      </c>
      <c r="S28" s="57"/>
      <c r="T28" s="56" t="n">
        <v>0</v>
      </c>
      <c r="U28" s="56" t="n">
        <v>34.88</v>
      </c>
      <c r="V28" s="57" t="n">
        <f aca="false">V27-U28</f>
        <v>1317.24002268717</v>
      </c>
      <c r="W28" s="56" t="n">
        <f aca="false">R28+T28+N28+U28</f>
        <v>38.94</v>
      </c>
      <c r="X28" s="56" t="n">
        <f aca="false">IF(L28&lt;0,L28*-1,0)</f>
        <v>0</v>
      </c>
      <c r="Y28" s="56" t="n">
        <f aca="false">W28+X28</f>
        <v>38.94</v>
      </c>
      <c r="Z28" s="60" t="n">
        <v>0</v>
      </c>
      <c r="AA28" s="90" t="n">
        <v>56</v>
      </c>
      <c r="AB28" s="61" t="n">
        <v>22</v>
      </c>
      <c r="AC28" s="62" t="n">
        <f aca="false">AC27+1</f>
        <v>19</v>
      </c>
      <c r="AD28" s="78"/>
      <c r="AE28" s="82"/>
      <c r="AF28" s="79"/>
    </row>
    <row r="29" customFormat="false" ht="11.1" hidden="false" customHeight="true" outlineLevel="0" collapsed="false">
      <c r="A29" s="62" t="n">
        <f aca="false">A28+1</f>
        <v>20</v>
      </c>
      <c r="B29" s="80" t="n">
        <v>6895.27</v>
      </c>
      <c r="C29" s="57" t="n">
        <v>266457</v>
      </c>
      <c r="D29" s="61" t="n">
        <f aca="false">C29-C28</f>
        <v>250</v>
      </c>
      <c r="E29" s="57" t="n">
        <f aca="false">C29-152000</f>
        <v>114457</v>
      </c>
      <c r="F29" s="56" t="n">
        <f aca="false">D29/$D$2</f>
        <v>126.039828585833</v>
      </c>
      <c r="G29" s="56" t="n">
        <v>165.1</v>
      </c>
      <c r="H29" s="58" t="n">
        <v>0</v>
      </c>
      <c r="I29" s="56" t="n">
        <f aca="false">G29+H29</f>
        <v>165.1</v>
      </c>
      <c r="J29" s="81" t="n">
        <f aca="false">IF(L29&gt;0,L29,0)</f>
        <v>0</v>
      </c>
      <c r="K29" s="56" t="n">
        <f aca="false">I29+J29</f>
        <v>165.1</v>
      </c>
      <c r="L29" s="56" t="n">
        <f aca="false">F29-(I29-W29)</f>
        <v>-0.0101714141668623</v>
      </c>
      <c r="M29" s="56" t="n">
        <v>4.06</v>
      </c>
      <c r="N29" s="56" t="n">
        <v>0</v>
      </c>
      <c r="O29" s="56" t="n">
        <f aca="false">M29-N29</f>
        <v>4.06</v>
      </c>
      <c r="P29" s="56" t="n">
        <v>0</v>
      </c>
      <c r="Q29" s="56" t="n">
        <v>0</v>
      </c>
      <c r="R29" s="56" t="n">
        <f aca="false">SUM(O29:Q29)</f>
        <v>4.06</v>
      </c>
      <c r="S29" s="57"/>
      <c r="T29" s="56" t="n">
        <v>0</v>
      </c>
      <c r="U29" s="56" t="n">
        <v>34.99</v>
      </c>
      <c r="V29" s="57" t="n">
        <f aca="false">V28-U29</f>
        <v>1282.25002268717</v>
      </c>
      <c r="W29" s="56" t="n">
        <f aca="false">R29+T29+N29+U29</f>
        <v>39.05</v>
      </c>
      <c r="X29" s="56" t="n">
        <f aca="false">IF(L29&lt;0,L29*-1,0)</f>
        <v>0.0101714141668623</v>
      </c>
      <c r="Y29" s="56" t="n">
        <f aca="false">W29+X29</f>
        <v>39.0601714141669</v>
      </c>
      <c r="Z29" s="60" t="n">
        <v>0</v>
      </c>
      <c r="AA29" s="90" t="n">
        <v>44</v>
      </c>
      <c r="AB29" s="61" t="n">
        <v>20</v>
      </c>
      <c r="AC29" s="62" t="n">
        <f aca="false">AC28+1</f>
        <v>20</v>
      </c>
      <c r="AD29" s="78"/>
      <c r="AE29" s="82"/>
      <c r="AF29" s="79"/>
    </row>
    <row r="30" customFormat="false" ht="11.1" hidden="false" customHeight="true" outlineLevel="0" collapsed="false">
      <c r="A30" s="62" t="n">
        <f aca="false">A29+1</f>
        <v>21</v>
      </c>
      <c r="B30" s="80" t="n">
        <v>6895.39</v>
      </c>
      <c r="C30" s="57" t="n">
        <v>266884</v>
      </c>
      <c r="D30" s="61" t="n">
        <f aca="false">C30-C29</f>
        <v>427</v>
      </c>
      <c r="E30" s="57" t="n">
        <f aca="false">C30-152000</f>
        <v>114884</v>
      </c>
      <c r="F30" s="56" t="n">
        <f aca="false">D30/$D$2</f>
        <v>215.276027224603</v>
      </c>
      <c r="G30" s="56" t="n">
        <v>254.3</v>
      </c>
      <c r="H30" s="58" t="n">
        <v>0</v>
      </c>
      <c r="I30" s="56" t="n">
        <f aca="false">G30+H30</f>
        <v>254.3</v>
      </c>
      <c r="J30" s="81" t="n">
        <f aca="false">IF(L30&gt;0,L30,0)</f>
        <v>0</v>
      </c>
      <c r="K30" s="56" t="n">
        <f aca="false">I30+J30</f>
        <v>254.3</v>
      </c>
      <c r="L30" s="56" t="n">
        <f aca="false">F30-(I30-W30)</f>
        <v>-0.0639727753970192</v>
      </c>
      <c r="M30" s="56" t="n">
        <v>4.06</v>
      </c>
      <c r="N30" s="56" t="n">
        <v>0</v>
      </c>
      <c r="O30" s="56" t="n">
        <f aca="false">M30-N30</f>
        <v>4.06</v>
      </c>
      <c r="P30" s="56" t="n">
        <v>0</v>
      </c>
      <c r="Q30" s="56" t="n">
        <v>0</v>
      </c>
      <c r="R30" s="56" t="n">
        <f aca="false">SUM(O30:Q30)</f>
        <v>4.06</v>
      </c>
      <c r="S30" s="57"/>
      <c r="T30" s="56" t="n">
        <v>0</v>
      </c>
      <c r="U30" s="56" t="n">
        <v>34.9</v>
      </c>
      <c r="V30" s="57" t="n">
        <f aca="false">V29-U30</f>
        <v>1247.35002268717</v>
      </c>
      <c r="W30" s="56" t="n">
        <f aca="false">R30+T30+N30+U30</f>
        <v>38.96</v>
      </c>
      <c r="X30" s="56" t="n">
        <f aca="false">IF(L30&lt;0,L30*-1,0)</f>
        <v>0.0639727753970192</v>
      </c>
      <c r="Y30" s="56" t="n">
        <f aca="false">W30+X30</f>
        <v>39.023972775397</v>
      </c>
      <c r="Z30" s="60" t="n">
        <v>0</v>
      </c>
      <c r="AA30" s="61" t="n">
        <v>41</v>
      </c>
      <c r="AB30" s="61" t="n">
        <v>14</v>
      </c>
      <c r="AC30" s="62" t="n">
        <f aca="false">AC29+1</f>
        <v>21</v>
      </c>
      <c r="AD30" s="78"/>
      <c r="AE30" s="82"/>
      <c r="AF30" s="79"/>
    </row>
    <row r="31" customFormat="false" ht="11.1" hidden="false" customHeight="true" outlineLevel="0" collapsed="false">
      <c r="A31" s="62" t="n">
        <f aca="false">A30+1</f>
        <v>22</v>
      </c>
      <c r="B31" s="80" t="n">
        <v>6895.4</v>
      </c>
      <c r="C31" s="57" t="n">
        <v>266919</v>
      </c>
      <c r="D31" s="61" t="n">
        <f aca="false">C31-C30</f>
        <v>35</v>
      </c>
      <c r="E31" s="57" t="n">
        <f aca="false">C31-152000</f>
        <v>114919</v>
      </c>
      <c r="F31" s="56" t="n">
        <f aca="false">D31/$D$2</f>
        <v>17.6455760020166</v>
      </c>
      <c r="G31" s="56" t="n">
        <v>57</v>
      </c>
      <c r="H31" s="58" t="n">
        <v>0</v>
      </c>
      <c r="I31" s="56" t="n">
        <f aca="false">G31+H31</f>
        <v>57</v>
      </c>
      <c r="J31" s="81" t="n">
        <f aca="false">IF(L31&gt;0,L31,0)</f>
        <v>0.00557600201663533</v>
      </c>
      <c r="K31" s="56" t="n">
        <f aca="false">I31+J31</f>
        <v>57.0055760020166</v>
      </c>
      <c r="L31" s="56" t="n">
        <f aca="false">F31-(I31-W31)</f>
        <v>0.00557600201663533</v>
      </c>
      <c r="M31" s="56" t="n">
        <v>4.06</v>
      </c>
      <c r="N31" s="56" t="n">
        <v>0</v>
      </c>
      <c r="O31" s="56" t="n">
        <f aca="false">M31-N31</f>
        <v>4.06</v>
      </c>
      <c r="P31" s="56" t="n">
        <v>0</v>
      </c>
      <c r="Q31" s="56" t="n">
        <v>0</v>
      </c>
      <c r="R31" s="56" t="n">
        <f aca="false">SUM(O31:Q31)</f>
        <v>4.06</v>
      </c>
      <c r="S31" s="57"/>
      <c r="T31" s="56" t="n">
        <v>0</v>
      </c>
      <c r="U31" s="56" t="n">
        <v>35.3</v>
      </c>
      <c r="V31" s="57" t="n">
        <f aca="false">V30-U31</f>
        <v>1212.05002268717</v>
      </c>
      <c r="W31" s="56" t="n">
        <f aca="false">R31+T31+N31+U31</f>
        <v>39.36</v>
      </c>
      <c r="X31" s="56" t="n">
        <f aca="false">IF(L31&lt;0,L31*-1,0)</f>
        <v>0</v>
      </c>
      <c r="Y31" s="56" t="n">
        <f aca="false">W31+X31</f>
        <v>39.36</v>
      </c>
      <c r="Z31" s="60" t="n">
        <v>0</v>
      </c>
      <c r="AA31" s="61" t="n">
        <v>40</v>
      </c>
      <c r="AB31" s="61" t="n">
        <v>5</v>
      </c>
      <c r="AC31" s="62" t="n">
        <f aca="false">AC30+1</f>
        <v>22</v>
      </c>
      <c r="AD31" s="78"/>
      <c r="AE31" s="82"/>
      <c r="AF31" s="79"/>
    </row>
    <row r="32" customFormat="false" ht="11.1" hidden="false" customHeight="true" outlineLevel="0" collapsed="false">
      <c r="A32" s="62" t="n">
        <f aca="false">A31+1</f>
        <v>23</v>
      </c>
      <c r="B32" s="80" t="n">
        <v>6895.44</v>
      </c>
      <c r="C32" s="57" t="n">
        <v>267062</v>
      </c>
      <c r="D32" s="61" t="n">
        <f aca="false">C32-C31</f>
        <v>143</v>
      </c>
      <c r="E32" s="57" t="n">
        <f aca="false">C32-152000</f>
        <v>115062</v>
      </c>
      <c r="F32" s="56" t="n">
        <f aca="false">D32/$D$2</f>
        <v>72.0947819510966</v>
      </c>
      <c r="G32" s="56" t="n">
        <v>111.1</v>
      </c>
      <c r="H32" s="58" t="n">
        <v>0</v>
      </c>
      <c r="I32" s="56" t="n">
        <f aca="false">G32+H32</f>
        <v>111.1</v>
      </c>
      <c r="J32" s="81" t="n">
        <f aca="false">IF(L32&gt;0,L32,0)</f>
        <v>0</v>
      </c>
      <c r="K32" s="56" t="n">
        <f aca="false">I32+J32</f>
        <v>111.1</v>
      </c>
      <c r="L32" s="56" t="n">
        <f aca="false">F32-(I32-W32)</f>
        <v>-0.0452180489034362</v>
      </c>
      <c r="M32" s="56" t="n">
        <v>4.06</v>
      </c>
      <c r="N32" s="56" t="n">
        <v>0</v>
      </c>
      <c r="O32" s="56" t="n">
        <f aca="false">M32-N32</f>
        <v>4.06</v>
      </c>
      <c r="P32" s="56" t="n">
        <v>0</v>
      </c>
      <c r="Q32" s="56" t="n">
        <v>0</v>
      </c>
      <c r="R32" s="56" t="n">
        <f aca="false">SUM(O32:Q32)</f>
        <v>4.06</v>
      </c>
      <c r="S32" s="57"/>
      <c r="T32" s="56" t="n">
        <v>0</v>
      </c>
      <c r="U32" s="56" t="n">
        <v>34.9</v>
      </c>
      <c r="V32" s="57" t="n">
        <f aca="false">V31-U32</f>
        <v>1177.15002268717</v>
      </c>
      <c r="W32" s="56" t="n">
        <f aca="false">R32+T32+N32+U32</f>
        <v>38.96</v>
      </c>
      <c r="X32" s="56" t="n">
        <f aca="false">IF(L32&lt;0,L32*-1,0)</f>
        <v>0.0452180489034362</v>
      </c>
      <c r="Y32" s="56" t="n">
        <f aca="false">W32+X32</f>
        <v>39.0052180489034</v>
      </c>
      <c r="Z32" s="60" t="n">
        <v>0.05</v>
      </c>
      <c r="AA32" s="61" t="n">
        <v>39</v>
      </c>
      <c r="AB32" s="90" t="n">
        <v>20</v>
      </c>
      <c r="AC32" s="62" t="n">
        <f aca="false">AC31+1</f>
        <v>23</v>
      </c>
      <c r="AD32" s="78"/>
      <c r="AE32" s="82"/>
      <c r="AF32" s="79"/>
    </row>
    <row r="33" customFormat="false" ht="11.1" hidden="false" customHeight="true" outlineLevel="0" collapsed="false">
      <c r="A33" s="62" t="n">
        <f aca="false">A32+1</f>
        <v>24</v>
      </c>
      <c r="B33" s="80" t="n">
        <v>6895.5</v>
      </c>
      <c r="C33" s="57" t="n">
        <v>267275</v>
      </c>
      <c r="D33" s="61" t="n">
        <f aca="false">C33-C32</f>
        <v>213</v>
      </c>
      <c r="E33" s="57" t="n">
        <f aca="false">C33-152000</f>
        <v>115275</v>
      </c>
      <c r="F33" s="56" t="n">
        <f aca="false">D33/$D$2</f>
        <v>107.38593395513</v>
      </c>
      <c r="G33" s="56" t="n">
        <v>146.5</v>
      </c>
      <c r="H33" s="58" t="n">
        <v>0</v>
      </c>
      <c r="I33" s="56" t="n">
        <f aca="false">G33+H33</f>
        <v>146.5</v>
      </c>
      <c r="J33" s="81" t="n">
        <f aca="false">IF(L33&gt;0,L33,0)</f>
        <v>0.0159339551298103</v>
      </c>
      <c r="K33" s="56" t="n">
        <f aca="false">I33+J33</f>
        <v>146.51593395513</v>
      </c>
      <c r="L33" s="56" t="n">
        <f aca="false">F33-(I33-W33)</f>
        <v>0.0159339551298103</v>
      </c>
      <c r="M33" s="56" t="n">
        <v>4.06</v>
      </c>
      <c r="N33" s="56" t="n">
        <v>0</v>
      </c>
      <c r="O33" s="56" t="n">
        <f aca="false">M33-N33</f>
        <v>4.06</v>
      </c>
      <c r="P33" s="56" t="n">
        <v>0</v>
      </c>
      <c r="Q33" s="56" t="n">
        <v>0</v>
      </c>
      <c r="R33" s="56" t="n">
        <f aca="false">SUM(O33:Q33)</f>
        <v>4.06</v>
      </c>
      <c r="S33" s="57"/>
      <c r="T33" s="56" t="n">
        <v>0</v>
      </c>
      <c r="U33" s="56" t="n">
        <v>35.07</v>
      </c>
      <c r="V33" s="57" t="n">
        <f aca="false">V32-U33</f>
        <v>1142.08002268717</v>
      </c>
      <c r="W33" s="56" t="n">
        <f aca="false">R33+T33+N33+U33</f>
        <v>39.13</v>
      </c>
      <c r="X33" s="56" t="n">
        <f aca="false">IF(L33&lt;0,L33*-1,0)</f>
        <v>0</v>
      </c>
      <c r="Y33" s="56" t="n">
        <f aca="false">W33+X33</f>
        <v>39.13</v>
      </c>
      <c r="Z33" s="60" t="n">
        <v>0.1</v>
      </c>
      <c r="AA33" s="61" t="n">
        <v>37</v>
      </c>
      <c r="AB33" s="90" t="n">
        <v>18</v>
      </c>
      <c r="AC33" s="62" t="n">
        <f aca="false">AC32+1</f>
        <v>24</v>
      </c>
      <c r="AD33" s="78"/>
      <c r="AE33" s="82"/>
      <c r="AF33" s="79"/>
    </row>
    <row r="34" customFormat="false" ht="11.1" hidden="false" customHeight="true" outlineLevel="0" collapsed="false">
      <c r="A34" s="62" t="n">
        <f aca="false">A33+1</f>
        <v>25</v>
      </c>
      <c r="B34" s="80" t="n">
        <v>6895.59</v>
      </c>
      <c r="C34" s="57" t="n">
        <v>267595</v>
      </c>
      <c r="D34" s="61" t="n">
        <f aca="false">C34-C33</f>
        <v>320</v>
      </c>
      <c r="E34" s="57" t="n">
        <f aca="false">C34-152000</f>
        <v>115595</v>
      </c>
      <c r="F34" s="56" t="n">
        <f aca="false">D34/$D$2</f>
        <v>161.330980589866</v>
      </c>
      <c r="G34" s="56" t="n">
        <v>200.3</v>
      </c>
      <c r="H34" s="58" t="n">
        <v>0</v>
      </c>
      <c r="I34" s="56" t="n">
        <f aca="false">G34+H34</f>
        <v>200.3</v>
      </c>
      <c r="J34" s="81" t="n">
        <f aca="false">IF(L34&gt;0,L34,0)</f>
        <v>0</v>
      </c>
      <c r="K34" s="56" t="n">
        <f aca="false">I34+J34</f>
        <v>200.3</v>
      </c>
      <c r="L34" s="56" t="n">
        <f aca="false">F34-(I34-W34)</f>
        <v>-0.00901941013361807</v>
      </c>
      <c r="M34" s="56" t="n">
        <v>4.06</v>
      </c>
      <c r="N34" s="56" t="n">
        <v>0</v>
      </c>
      <c r="O34" s="56" t="n">
        <f aca="false">M34-N34</f>
        <v>4.06</v>
      </c>
      <c r="P34" s="56" t="n">
        <v>0</v>
      </c>
      <c r="Q34" s="56" t="n">
        <v>0</v>
      </c>
      <c r="R34" s="56" t="n">
        <f aca="false">SUM(O34:Q34)</f>
        <v>4.06</v>
      </c>
      <c r="S34" s="57"/>
      <c r="T34" s="56" t="n">
        <v>0</v>
      </c>
      <c r="U34" s="56" t="n">
        <v>34.9</v>
      </c>
      <c r="V34" s="57" t="n">
        <f aca="false">V33-U34</f>
        <v>1107.18002268717</v>
      </c>
      <c r="W34" s="56" t="n">
        <f aca="false">R34+T34+N34+U34</f>
        <v>38.96</v>
      </c>
      <c r="X34" s="56" t="n">
        <f aca="false">IF(L34&lt;0,L34*-1,0)</f>
        <v>0.00901941013361807</v>
      </c>
      <c r="Y34" s="56" t="n">
        <f aca="false">W34+X34</f>
        <v>38.9690194101336</v>
      </c>
      <c r="Z34" s="60" t="n">
        <v>0</v>
      </c>
      <c r="AA34" s="61" t="n">
        <v>38</v>
      </c>
      <c r="AB34" s="90" t="n">
        <v>24</v>
      </c>
      <c r="AC34" s="62" t="n">
        <f aca="false">AC33+1</f>
        <v>25</v>
      </c>
      <c r="AD34" s="78"/>
      <c r="AE34" s="82"/>
      <c r="AF34" s="79"/>
    </row>
    <row r="35" customFormat="false" ht="11.1" hidden="false" customHeight="true" outlineLevel="0" collapsed="false">
      <c r="A35" s="62" t="n">
        <f aca="false">A34+1</f>
        <v>26</v>
      </c>
      <c r="B35" s="80" t="n">
        <v>6895.64</v>
      </c>
      <c r="C35" s="57" t="n">
        <v>267773</v>
      </c>
      <c r="D35" s="61" t="n">
        <f aca="false">C35-C34</f>
        <v>178</v>
      </c>
      <c r="E35" s="57" t="n">
        <f aca="false">C35-152000</f>
        <v>115773</v>
      </c>
      <c r="F35" s="56" t="n">
        <f aca="false">D35/$D$2</f>
        <v>89.7403579531132</v>
      </c>
      <c r="G35" s="56" t="n">
        <v>129.5</v>
      </c>
      <c r="H35" s="58" t="n">
        <v>0</v>
      </c>
      <c r="I35" s="56" t="n">
        <f aca="false">G35+H35</f>
        <v>129.5</v>
      </c>
      <c r="J35" s="81" t="n">
        <f aca="false">IF(L35&gt;0,L35,0)</f>
        <v>0</v>
      </c>
      <c r="K35" s="56" t="n">
        <f aca="false">I35+J35</f>
        <v>129.5</v>
      </c>
      <c r="L35" s="56" t="n">
        <f aca="false">F35-(I35-W35)</f>
        <v>-0.0296420468868206</v>
      </c>
      <c r="M35" s="56" t="n">
        <v>4.06</v>
      </c>
      <c r="N35" s="56" t="n">
        <v>0</v>
      </c>
      <c r="O35" s="56" t="n">
        <f aca="false">M35-N35</f>
        <v>4.06</v>
      </c>
      <c r="P35" s="56" t="n">
        <v>0</v>
      </c>
      <c r="Q35" s="56" t="n">
        <v>0</v>
      </c>
      <c r="R35" s="56" t="n">
        <f aca="false">SUM(O35:Q35)</f>
        <v>4.06</v>
      </c>
      <c r="S35" s="57"/>
      <c r="T35" s="56" t="n">
        <v>0</v>
      </c>
      <c r="U35" s="56" t="n">
        <v>35.67</v>
      </c>
      <c r="V35" s="57" t="n">
        <f aca="false">V34-U35</f>
        <v>1071.51002268717</v>
      </c>
      <c r="W35" s="56" t="n">
        <f aca="false">R35+T35+N35+U35</f>
        <v>39.73</v>
      </c>
      <c r="X35" s="56" t="n">
        <f aca="false">IF(L35&lt;0,L35*-1,0)</f>
        <v>0.0296420468868206</v>
      </c>
      <c r="Y35" s="56" t="n">
        <f aca="false">W35+X35</f>
        <v>39.7596420468868</v>
      </c>
      <c r="Z35" s="60" t="n">
        <v>0.04</v>
      </c>
      <c r="AA35" s="61" t="n">
        <v>38</v>
      </c>
      <c r="AB35" s="61" t="n">
        <v>5</v>
      </c>
      <c r="AC35" s="62" t="n">
        <f aca="false">AC34+1</f>
        <v>26</v>
      </c>
      <c r="AD35" s="78"/>
      <c r="AE35" s="82"/>
      <c r="AF35" s="79"/>
    </row>
    <row r="36" customFormat="false" ht="11.1" hidden="false" customHeight="true" outlineLevel="0" collapsed="false">
      <c r="A36" s="62" t="n">
        <f aca="false">A35+1</f>
        <v>27</v>
      </c>
      <c r="B36" s="80" t="n">
        <v>6895.79</v>
      </c>
      <c r="C36" s="57" t="n">
        <v>268307</v>
      </c>
      <c r="D36" s="61" t="n">
        <f aca="false">C36-C35</f>
        <v>534</v>
      </c>
      <c r="E36" s="57" t="n">
        <f aca="false">C36-152000</f>
        <v>116307</v>
      </c>
      <c r="F36" s="56" t="n">
        <f aca="false">D36/$D$2</f>
        <v>269.221073859339</v>
      </c>
      <c r="G36" s="56" t="n">
        <v>309</v>
      </c>
      <c r="H36" s="58" t="n">
        <v>0</v>
      </c>
      <c r="I36" s="56" t="n">
        <f aca="false">G36+H36</f>
        <v>309</v>
      </c>
      <c r="J36" s="81" t="n">
        <f aca="false">IF(L36&gt;0,L36,0)</f>
        <v>0</v>
      </c>
      <c r="K36" s="56" t="n">
        <f aca="false">I36+J36</f>
        <v>309</v>
      </c>
      <c r="L36" s="56" t="n">
        <f aca="false">F36-(I36-W36)</f>
        <v>-0.0189261406604828</v>
      </c>
      <c r="M36" s="56" t="n">
        <v>4.06</v>
      </c>
      <c r="N36" s="56" t="n">
        <v>0</v>
      </c>
      <c r="O36" s="56" t="n">
        <f aca="false">M36-N36</f>
        <v>4.06</v>
      </c>
      <c r="P36" s="56" t="n">
        <v>0</v>
      </c>
      <c r="Q36" s="56" t="n">
        <v>0</v>
      </c>
      <c r="R36" s="56" t="n">
        <f aca="false">SUM(O36:Q36)</f>
        <v>4.06</v>
      </c>
      <c r="S36" s="57"/>
      <c r="T36" s="56" t="n">
        <v>0</v>
      </c>
      <c r="U36" s="56" t="n">
        <v>35.7</v>
      </c>
      <c r="V36" s="57" t="n">
        <f aca="false">V35-U36</f>
        <v>1035.81002268717</v>
      </c>
      <c r="W36" s="56" t="n">
        <f aca="false">R36+T36+N36+U36</f>
        <v>39.76</v>
      </c>
      <c r="X36" s="56" t="n">
        <f aca="false">IF(L36&lt;0,L36*-1,0)</f>
        <v>0.0189261406604828</v>
      </c>
      <c r="Y36" s="56" t="n">
        <f aca="false">W36+X36</f>
        <v>39.7789261406605</v>
      </c>
      <c r="Z36" s="60" t="n">
        <v>0.89</v>
      </c>
      <c r="AA36" s="61" t="n">
        <v>28</v>
      </c>
      <c r="AB36" s="61" t="n">
        <v>22</v>
      </c>
      <c r="AC36" s="62" t="n">
        <f aca="false">AC35+1</f>
        <v>27</v>
      </c>
      <c r="AD36" s="78"/>
      <c r="AE36" s="82"/>
      <c r="AF36" s="79"/>
    </row>
    <row r="37" customFormat="false" ht="11.1" hidden="false" customHeight="true" outlineLevel="0" collapsed="false">
      <c r="A37" s="62" t="n">
        <v>28</v>
      </c>
      <c r="B37" s="80" t="n">
        <v>6895.84</v>
      </c>
      <c r="C37" s="57" t="n">
        <v>268485</v>
      </c>
      <c r="D37" s="61" t="n">
        <f aca="false">C37-C35</f>
        <v>712</v>
      </c>
      <c r="E37" s="57" t="n">
        <f aca="false">C37-152000</f>
        <v>116485</v>
      </c>
      <c r="F37" s="56" t="n">
        <f aca="false">D37/$D$2</f>
        <v>358.961431812453</v>
      </c>
      <c r="G37" s="56" t="n">
        <v>398.8</v>
      </c>
      <c r="H37" s="58" t="n">
        <v>0</v>
      </c>
      <c r="I37" s="56" t="n">
        <f aca="false">G37+H37</f>
        <v>398.8</v>
      </c>
      <c r="J37" s="81" t="n">
        <f aca="false">IF(L37&gt;0,L37,0)</f>
        <v>0</v>
      </c>
      <c r="K37" s="56" t="n">
        <f aca="false">I37+J37</f>
        <v>398.8</v>
      </c>
      <c r="L37" s="56" t="n">
        <f aca="false">F37-(I37-W37)</f>
        <v>-0.0785681875473188</v>
      </c>
      <c r="M37" s="56" t="n">
        <v>4.06</v>
      </c>
      <c r="N37" s="56" t="n">
        <v>0</v>
      </c>
      <c r="O37" s="56" t="n">
        <f aca="false">M37-N37</f>
        <v>4.06</v>
      </c>
      <c r="P37" s="56" t="n">
        <v>0</v>
      </c>
      <c r="Q37" s="56" t="n">
        <v>0</v>
      </c>
      <c r="R37" s="56" t="n">
        <f aca="false">SUM(O37:Q37)</f>
        <v>4.06</v>
      </c>
      <c r="S37" s="57"/>
      <c r="T37" s="56" t="n">
        <v>0</v>
      </c>
      <c r="U37" s="56" t="n">
        <v>35.7</v>
      </c>
      <c r="V37" s="57" t="n">
        <f aca="false">V35-U37</f>
        <v>1035.81002268717</v>
      </c>
      <c r="W37" s="56" t="n">
        <f aca="false">R37+T37+N37+U37</f>
        <v>39.76</v>
      </c>
      <c r="X37" s="56" t="n">
        <f aca="false">IF(L37&lt;0,L37*-1,0)</f>
        <v>0.0785681875473188</v>
      </c>
      <c r="Y37" s="56" t="n">
        <f aca="false">W37+X37</f>
        <v>39.8385681875473</v>
      </c>
      <c r="Z37" s="60" t="n">
        <v>0</v>
      </c>
      <c r="AA37" s="61" t="n">
        <v>36</v>
      </c>
      <c r="AB37" s="61" t="n">
        <v>24</v>
      </c>
      <c r="AC37" s="62" t="n">
        <v>28</v>
      </c>
      <c r="AD37" s="78"/>
      <c r="AE37" s="82"/>
      <c r="AF37" s="79"/>
    </row>
    <row r="38" customFormat="false" ht="3" hidden="false" customHeight="true" outlineLevel="0" collapsed="false">
      <c r="A38" s="83"/>
      <c r="B38" s="83"/>
      <c r="C38" s="85"/>
      <c r="D38" s="83"/>
      <c r="E38" s="85"/>
      <c r="F38" s="83"/>
      <c r="G38" s="83"/>
      <c r="H38" s="86"/>
      <c r="I38" s="83"/>
      <c r="J38" s="83"/>
      <c r="K38" s="83"/>
      <c r="L38" s="83"/>
      <c r="M38" s="83"/>
      <c r="N38" s="83"/>
      <c r="O38" s="83"/>
      <c r="P38" s="83"/>
      <c r="Q38" s="83"/>
      <c r="R38" s="83"/>
      <c r="S38" s="85"/>
      <c r="T38" s="83"/>
      <c r="U38" s="83"/>
      <c r="V38" s="83"/>
      <c r="W38" s="83"/>
      <c r="X38" s="83"/>
      <c r="Y38" s="83"/>
      <c r="Z38" s="87"/>
      <c r="AA38" s="88" t="n">
        <v>73</v>
      </c>
      <c r="AB38" s="88"/>
      <c r="AC38" s="89"/>
      <c r="AD38" s="78"/>
      <c r="AE38" s="78"/>
      <c r="AF38" s="79"/>
    </row>
    <row r="39" customFormat="false" ht="11.1" hidden="false" customHeight="true" outlineLevel="0" collapsed="false">
      <c r="A39" s="56" t="s">
        <v>45</v>
      </c>
      <c r="B39" s="56"/>
      <c r="C39" s="57"/>
      <c r="D39" s="57"/>
      <c r="E39" s="57"/>
      <c r="F39" s="57" t="n">
        <f aca="false">SUM(F10:F37)</f>
        <v>3128.30854550038</v>
      </c>
      <c r="G39" s="57" t="n">
        <f aca="false">SUM(G10:G37)</f>
        <v>4235.7</v>
      </c>
      <c r="H39" s="57" t="n">
        <f aca="false">SUM(H10:H37)</f>
        <v>0</v>
      </c>
      <c r="I39" s="57" t="n">
        <f aca="false">SUM(I10:I37)</f>
        <v>4235.7</v>
      </c>
      <c r="J39" s="57" t="n">
        <f aca="false">SUM(J10:J37)</f>
        <v>0.111615830602453</v>
      </c>
      <c r="K39" s="57" t="n">
        <f aca="false">SUM(K10:K37)</f>
        <v>4235.8116158306</v>
      </c>
      <c r="L39" s="57" t="n">
        <f aca="false">SUM(L10:L37)</f>
        <v>-0.351454499621902</v>
      </c>
      <c r="M39" s="57" t="n">
        <f aca="false">SUM(M10:M37)</f>
        <v>114.26</v>
      </c>
      <c r="N39" s="57" t="n">
        <f aca="false">SUM(N10:N37)</f>
        <v>0</v>
      </c>
      <c r="O39" s="57" t="n">
        <f aca="false">SUM(O10:O37)</f>
        <v>114.26</v>
      </c>
      <c r="P39" s="57" t="n">
        <f aca="false">SUM(P10:P37)</f>
        <v>0</v>
      </c>
      <c r="Q39" s="57" t="n">
        <f aca="false">SUM(Q10:Q37)</f>
        <v>0</v>
      </c>
      <c r="R39" s="57" t="n">
        <f aca="false">SUM(R10:R37)</f>
        <v>114.26</v>
      </c>
      <c r="S39" s="57"/>
      <c r="T39" s="57" t="n">
        <f aca="false">SUM(T10:T37)</f>
        <v>0</v>
      </c>
      <c r="U39" s="57" t="n">
        <f aca="false">SUM(U10:U37)</f>
        <v>992.78</v>
      </c>
      <c r="V39" s="57"/>
      <c r="W39" s="57" t="n">
        <f aca="false">SUM(W10:W37)</f>
        <v>1107.04</v>
      </c>
      <c r="X39" s="57" t="n">
        <f aca="false">SUM(X10:X37)</f>
        <v>0.463070330224355</v>
      </c>
      <c r="Y39" s="57" t="n">
        <f aca="false">SUM(Y10:Y37)</f>
        <v>1107.50307033022</v>
      </c>
      <c r="Z39" s="60" t="n">
        <f aca="false">SUM(Z10:Z37)</f>
        <v>1.56</v>
      </c>
      <c r="AA39" s="61" t="n">
        <f aca="false">AVERAGE(AA10:AA37)</f>
        <v>43.9285714285714</v>
      </c>
      <c r="AB39" s="61" t="n">
        <f aca="false">AVERAGE(AB10:AB37)</f>
        <v>14.2142857142857</v>
      </c>
      <c r="AC39" s="62"/>
      <c r="AD39" s="78"/>
      <c r="AE39" s="78"/>
      <c r="AF39" s="79"/>
    </row>
    <row r="40" customFormat="false" ht="11.1" hidden="false" customHeight="true" outlineLevel="0" collapsed="false">
      <c r="A40" s="56" t="s">
        <v>46</v>
      </c>
      <c r="B40" s="56"/>
      <c r="C40" s="57"/>
      <c r="D40" s="57" t="n">
        <f aca="false">SUM(D10:D37)</f>
        <v>6205</v>
      </c>
      <c r="E40" s="57"/>
      <c r="F40" s="57" t="n">
        <f aca="false">F39*$D$2</f>
        <v>6205</v>
      </c>
      <c r="G40" s="57" t="n">
        <f aca="false">G39*$D$2</f>
        <v>8401.51095</v>
      </c>
      <c r="H40" s="57" t="n">
        <f aca="false">H39*$D$2</f>
        <v>0</v>
      </c>
      <c r="I40" s="57" t="n">
        <f aca="false">I39*$D$2</f>
        <v>8401.51095</v>
      </c>
      <c r="J40" s="57" t="n">
        <f aca="false">J39*$D$2</f>
        <v>0.221389999999966</v>
      </c>
      <c r="K40" s="57" t="n">
        <f aca="false">K39*$D$2</f>
        <v>8401.73234</v>
      </c>
      <c r="L40" s="57" t="n">
        <f aca="false">L39*$D$2</f>
        <v>-0.697110000000042</v>
      </c>
      <c r="M40" s="57" t="n">
        <f aca="false">M39*$D$2</f>
        <v>226.63471</v>
      </c>
      <c r="N40" s="57" t="n">
        <f aca="false">N39*$D$2</f>
        <v>0</v>
      </c>
      <c r="O40" s="57" t="n">
        <f aca="false">O39*$D$2</f>
        <v>226.63471</v>
      </c>
      <c r="P40" s="57" t="n">
        <f aca="false">P39*$D$2</f>
        <v>0</v>
      </c>
      <c r="Q40" s="57" t="n">
        <f aca="false">Q39*$D$2</f>
        <v>0</v>
      </c>
      <c r="R40" s="57" t="n">
        <f aca="false">R39*$D$2</f>
        <v>226.63471</v>
      </c>
      <c r="S40" s="57"/>
      <c r="T40" s="57" t="n">
        <f aca="false">T39*$D$2</f>
        <v>0</v>
      </c>
      <c r="U40" s="57" t="n">
        <f aca="false">U39*$D$2</f>
        <v>1969.17913</v>
      </c>
      <c r="V40" s="57" t="n">
        <f aca="false">V39*$D$2</f>
        <v>0</v>
      </c>
      <c r="W40" s="57" t="n">
        <f aca="false">W39*$D$2</f>
        <v>2195.81384</v>
      </c>
      <c r="X40" s="57" t="n">
        <f aca="false">X39*$D$2</f>
        <v>0.918500000000007</v>
      </c>
      <c r="Y40" s="57" t="n">
        <f aca="false">Y39*$D$2</f>
        <v>2196.73234</v>
      </c>
      <c r="Z40" s="60"/>
      <c r="AA40" s="61" t="n">
        <f aca="false">MAX(AA10:AA37)</f>
        <v>57</v>
      </c>
      <c r="AB40" s="61" t="n">
        <f aca="false">MAX(AB10:AB37)</f>
        <v>30</v>
      </c>
      <c r="AC40" s="62" t="s">
        <v>47</v>
      </c>
      <c r="AD40" s="78"/>
      <c r="AE40" s="78"/>
      <c r="AF40" s="79"/>
    </row>
    <row r="41" customFormat="false" ht="3" hidden="false" customHeight="true" outlineLevel="0" collapsed="false">
      <c r="A41" s="83"/>
      <c r="B41" s="83"/>
      <c r="C41" s="85"/>
      <c r="D41" s="85"/>
      <c r="E41" s="85"/>
      <c r="F41" s="85"/>
      <c r="G41" s="85"/>
      <c r="H41" s="85"/>
      <c r="I41" s="85"/>
      <c r="J41" s="85"/>
      <c r="K41" s="85"/>
      <c r="L41" s="85"/>
      <c r="M41" s="85"/>
      <c r="N41" s="85"/>
      <c r="O41" s="85"/>
      <c r="P41" s="85"/>
      <c r="Q41" s="85"/>
      <c r="R41" s="85"/>
      <c r="S41" s="85"/>
      <c r="T41" s="85"/>
      <c r="U41" s="85"/>
      <c r="V41" s="83"/>
      <c r="W41" s="85"/>
      <c r="X41" s="85"/>
      <c r="Y41" s="85"/>
      <c r="Z41" s="60"/>
      <c r="AA41" s="61"/>
      <c r="AB41" s="61"/>
      <c r="AC41" s="62"/>
      <c r="AD41" s="78"/>
      <c r="AE41" s="78"/>
      <c r="AF41" s="79"/>
    </row>
    <row r="42" customFormat="false" ht="11.1" hidden="false" customHeight="true" outlineLevel="0" collapsed="false">
      <c r="A42" s="56" t="s">
        <v>48</v>
      </c>
      <c r="B42" s="56"/>
      <c r="C42" s="57"/>
      <c r="D42" s="57"/>
      <c r="E42" s="57"/>
      <c r="F42" s="57"/>
      <c r="G42" s="57"/>
      <c r="H42" s="57"/>
      <c r="I42" s="57"/>
      <c r="J42" s="57"/>
      <c r="K42" s="57"/>
      <c r="L42" s="57"/>
      <c r="M42" s="57"/>
      <c r="N42" s="57"/>
      <c r="O42" s="57"/>
      <c r="P42" s="57"/>
      <c r="Q42" s="57"/>
      <c r="R42" s="57"/>
      <c r="S42" s="57"/>
      <c r="T42" s="57"/>
      <c r="U42" s="57"/>
      <c r="V42" s="57"/>
      <c r="W42" s="57"/>
      <c r="X42" s="57"/>
      <c r="Y42" s="57"/>
      <c r="Z42" s="60"/>
      <c r="AA42" s="61" t="n">
        <f aca="false">MIN(AA10:AA37)</f>
        <v>28</v>
      </c>
      <c r="AB42" s="61" t="n">
        <f aca="false">MIN(AB10:AB37)</f>
        <v>0</v>
      </c>
      <c r="AC42" s="62" t="s">
        <v>49</v>
      </c>
      <c r="AD42" s="78"/>
      <c r="AE42" s="78"/>
      <c r="AF42" s="79"/>
    </row>
    <row r="43" customFormat="false" ht="11.1" hidden="false" customHeight="true" outlineLevel="0" collapsed="false">
      <c r="A43" s="56" t="s">
        <v>50</v>
      </c>
      <c r="B43" s="56"/>
      <c r="C43" s="57"/>
      <c r="D43" s="57"/>
      <c r="E43" s="57"/>
      <c r="F43" s="57"/>
      <c r="G43" s="57"/>
      <c r="H43" s="57"/>
      <c r="I43" s="57"/>
      <c r="J43" s="57"/>
      <c r="K43" s="57"/>
      <c r="L43" s="57"/>
      <c r="M43" s="57"/>
      <c r="N43" s="57"/>
      <c r="O43" s="57"/>
      <c r="P43" s="57"/>
      <c r="Q43" s="57"/>
      <c r="R43" s="57"/>
      <c r="S43" s="57"/>
      <c r="T43" s="57"/>
      <c r="U43" s="57"/>
      <c r="V43" s="57"/>
      <c r="W43" s="57"/>
      <c r="X43" s="57"/>
      <c r="Y43" s="57"/>
      <c r="Z43" s="60"/>
      <c r="AA43" s="61"/>
      <c r="AB43" s="61"/>
      <c r="AC43" s="62"/>
      <c r="AD43" s="78"/>
      <c r="AE43" s="78"/>
      <c r="AF43" s="79"/>
    </row>
    <row r="44" customFormat="false" ht="3" hidden="false" customHeight="true" outlineLevel="0" collapsed="false">
      <c r="A44" s="83"/>
      <c r="B44" s="83"/>
      <c r="C44" s="85"/>
      <c r="D44" s="85"/>
      <c r="E44" s="85"/>
      <c r="F44" s="85"/>
      <c r="G44" s="85"/>
      <c r="H44" s="88"/>
      <c r="I44" s="85"/>
      <c r="J44" s="85"/>
      <c r="K44" s="85"/>
      <c r="L44" s="85"/>
      <c r="M44" s="85"/>
      <c r="N44" s="85"/>
      <c r="O44" s="85"/>
      <c r="P44" s="85"/>
      <c r="Q44" s="85"/>
      <c r="R44" s="85"/>
      <c r="S44" s="85"/>
      <c r="T44" s="85"/>
      <c r="U44" s="85"/>
      <c r="V44" s="85"/>
      <c r="W44" s="85"/>
      <c r="X44" s="85"/>
      <c r="Y44" s="85"/>
      <c r="Z44" s="87"/>
      <c r="AA44" s="61"/>
      <c r="AB44" s="61"/>
      <c r="AC44" s="62"/>
      <c r="AD44" s="78"/>
      <c r="AE44" s="78"/>
      <c r="AF44" s="79"/>
    </row>
    <row r="45" customFormat="false" ht="11.1" hidden="false" customHeight="true" outlineLevel="0" collapsed="false">
      <c r="A45" s="56" t="s">
        <v>51</v>
      </c>
      <c r="B45" s="56"/>
      <c r="C45" s="57"/>
      <c r="D45" s="57"/>
      <c r="E45" s="57"/>
      <c r="F45" s="57" t="n">
        <f aca="false">F8+F39</f>
        <v>11598.6891857827</v>
      </c>
      <c r="G45" s="57" t="n">
        <f aca="false">G8+G39</f>
        <v>15803.23</v>
      </c>
      <c r="H45" s="61" t="n">
        <f aca="false">H8+H39</f>
        <v>118.7</v>
      </c>
      <c r="I45" s="57" t="n">
        <f aca="false">I8+I39</f>
        <v>15721.03</v>
      </c>
      <c r="J45" s="57" t="n">
        <f aca="false">J8+J39</f>
        <v>1608.46638013612</v>
      </c>
      <c r="K45" s="57" t="n">
        <f aca="false">K8+K39</f>
        <v>17329.4963801361</v>
      </c>
      <c r="L45" s="57" t="n">
        <f aca="false">L8+L39</f>
        <v>1031.39918578271</v>
      </c>
      <c r="M45" s="57" t="n">
        <f aca="false">M8+M39</f>
        <v>616.66</v>
      </c>
      <c r="N45" s="57" t="n">
        <f aca="false">N8+N39</f>
        <v>0</v>
      </c>
      <c r="O45" s="57" t="n">
        <f aca="false">O8+O39</f>
        <v>347.58</v>
      </c>
      <c r="P45" s="57" t="n">
        <f aca="false">P8+P39</f>
        <v>104.07</v>
      </c>
      <c r="Q45" s="57" t="n">
        <f aca="false">Q8+Q39</f>
        <v>198.8</v>
      </c>
      <c r="R45" s="57" t="n">
        <f aca="false">R8+R39</f>
        <v>857.467</v>
      </c>
      <c r="S45" s="57"/>
      <c r="T45" s="57" t="n">
        <f aca="false">T8+T39</f>
        <v>0</v>
      </c>
      <c r="U45" s="57" t="n">
        <f aca="false">U8+U39</f>
        <v>4234.21</v>
      </c>
      <c r="V45" s="57" t="n">
        <f aca="false">V37</f>
        <v>1035.81002268717</v>
      </c>
      <c r="W45" s="57" t="n">
        <f aca="false">W8+W39</f>
        <v>5153.74</v>
      </c>
      <c r="X45" s="57" t="n">
        <f aca="false">X8+X39</f>
        <v>577.067194353416</v>
      </c>
      <c r="Y45" s="57" t="n">
        <f aca="false">Y8+Y39</f>
        <v>5730.80719435342</v>
      </c>
      <c r="Z45" s="81" t="n">
        <f aca="false">Z8+Z39</f>
        <v>9.13</v>
      </c>
      <c r="AA45" s="61"/>
      <c r="AB45" s="61"/>
      <c r="AC45" s="62"/>
      <c r="AD45" s="78"/>
      <c r="AE45" s="78"/>
      <c r="AF45" s="79"/>
    </row>
    <row r="46" customFormat="false" ht="11.1" hidden="false" customHeight="true" outlineLevel="0" collapsed="false">
      <c r="A46" s="56" t="s">
        <v>52</v>
      </c>
      <c r="B46" s="56"/>
      <c r="C46" s="57"/>
      <c r="D46" s="57" t="n">
        <f aca="false">D8+D40</f>
        <v>23006</v>
      </c>
      <c r="E46" s="57" t="n">
        <f aca="false">E37</f>
        <v>116485</v>
      </c>
      <c r="F46" s="57" t="n">
        <f aca="false">F45*$D$2</f>
        <v>23006</v>
      </c>
      <c r="G46" s="57" t="n">
        <f aca="false">G45*$D$2</f>
        <v>31345.706705</v>
      </c>
      <c r="H46" s="61" t="n">
        <f aca="false">H45*$D$2</f>
        <v>235.44145</v>
      </c>
      <c r="I46" s="57" t="n">
        <f aca="false">I45*$D$2</f>
        <v>31182.663005</v>
      </c>
      <c r="J46" s="57" t="n">
        <f aca="false">J45*$D$2</f>
        <v>3190.393065</v>
      </c>
      <c r="K46" s="57" t="n">
        <f aca="false">K45*$D$2</f>
        <v>34373.05607</v>
      </c>
      <c r="L46" s="57" t="n">
        <f aca="false">L45*$D$2</f>
        <v>2045.780285</v>
      </c>
      <c r="M46" s="57" t="n">
        <f aca="false">M45*$D$2</f>
        <v>1223.14511</v>
      </c>
      <c r="N46" s="57" t="n">
        <f aca="false">N45*$D$2</f>
        <v>0</v>
      </c>
      <c r="O46" s="57" t="n">
        <f aca="false">O45*$D$2</f>
        <v>689.42493</v>
      </c>
      <c r="P46" s="57" t="n">
        <f aca="false">P45*$D$2</f>
        <v>206.422845</v>
      </c>
      <c r="Q46" s="57" t="n">
        <f aca="false">Q45*$D$2</f>
        <v>394.3198</v>
      </c>
      <c r="R46" s="57" t="n">
        <f aca="false">R45*$D$2</f>
        <v>1700.7857945</v>
      </c>
      <c r="S46" s="57" t="n">
        <f aca="false">S45*$D$2</f>
        <v>0</v>
      </c>
      <c r="T46" s="57" t="n">
        <f aca="false">T45*$D$2</f>
        <v>0</v>
      </c>
      <c r="U46" s="57" t="n">
        <f aca="false">U45*$D$2</f>
        <v>8398.555535</v>
      </c>
      <c r="V46" s="57" t="n">
        <f aca="false">V45*$D$2</f>
        <v>2054.52918</v>
      </c>
      <c r="W46" s="57" t="n">
        <f aca="false">W45*$D$2</f>
        <v>10222.44329</v>
      </c>
      <c r="X46" s="57" t="n">
        <f aca="false">X45*$D$2</f>
        <v>1144.61278</v>
      </c>
      <c r="Y46" s="57" t="n">
        <f aca="false">Y45*$D$2</f>
        <v>11367.05607</v>
      </c>
      <c r="Z46" s="60"/>
      <c r="AA46" s="61"/>
      <c r="AB46" s="61"/>
      <c r="AC46" s="62"/>
      <c r="AD46" s="78"/>
      <c r="AE46" s="78"/>
      <c r="AF46" s="79"/>
    </row>
    <row r="47" customFormat="false" ht="3" hidden="false" customHeight="true" outlineLevel="0" collapsed="false">
      <c r="A47" s="83"/>
      <c r="B47" s="83"/>
      <c r="C47" s="85"/>
      <c r="D47" s="83"/>
      <c r="E47" s="85"/>
      <c r="F47" s="83"/>
      <c r="G47" s="83"/>
      <c r="H47" s="86"/>
      <c r="I47" s="83"/>
      <c r="J47" s="83"/>
      <c r="K47" s="83"/>
      <c r="L47" s="83"/>
      <c r="M47" s="83"/>
      <c r="N47" s="83"/>
      <c r="O47" s="83"/>
      <c r="P47" s="83"/>
      <c r="Q47" s="83"/>
      <c r="R47" s="83"/>
      <c r="S47" s="85"/>
      <c r="T47" s="83"/>
      <c r="U47" s="83"/>
      <c r="V47" s="85"/>
      <c r="W47" s="83"/>
      <c r="X47" s="83"/>
      <c r="Y47" s="83"/>
      <c r="Z47" s="60"/>
      <c r="AA47" s="61"/>
      <c r="AB47" s="61"/>
      <c r="AC47" s="62"/>
      <c r="AD47" s="78"/>
      <c r="AE47" s="78"/>
      <c r="AF47" s="79"/>
    </row>
    <row r="48" customFormat="false" ht="11.1" hidden="false" customHeight="true" outlineLevel="0" collapsed="false">
      <c r="A48" s="56" t="str">
        <f aca="false">"MAR 13"</f>
        <v>MAR 13</v>
      </c>
      <c r="B48" s="93"/>
      <c r="C48" s="57"/>
      <c r="D48" s="56"/>
      <c r="E48" s="57"/>
      <c r="F48" s="56"/>
      <c r="G48" s="56"/>
      <c r="H48" s="58"/>
      <c r="I48" s="56"/>
      <c r="J48" s="56"/>
      <c r="K48" s="56"/>
      <c r="L48" s="56"/>
      <c r="M48" s="56"/>
      <c r="N48" s="56"/>
      <c r="O48" s="56"/>
      <c r="P48" s="56"/>
      <c r="Q48" s="56"/>
      <c r="R48" s="56"/>
      <c r="S48" s="57"/>
      <c r="T48" s="56"/>
      <c r="U48" s="56"/>
      <c r="V48" s="57"/>
      <c r="W48" s="56"/>
      <c r="X48" s="56"/>
      <c r="Y48" s="56"/>
      <c r="Z48" s="60"/>
      <c r="AA48" s="61"/>
      <c r="AB48" s="61"/>
      <c r="AC48" s="62"/>
      <c r="AD48" s="63"/>
      <c r="AE48" s="63"/>
    </row>
    <row r="49" customFormat="false" ht="11.1" hidden="false" customHeight="true" outlineLevel="0" collapsed="false">
      <c r="A49" s="56"/>
      <c r="B49" s="80" t="n">
        <v>6896.75</v>
      </c>
      <c r="C49" s="57" t="n">
        <v>271746</v>
      </c>
      <c r="D49" s="90"/>
      <c r="E49" s="57" t="n">
        <f aca="false">C49-152000</f>
        <v>119746</v>
      </c>
      <c r="F49" s="56"/>
      <c r="G49" s="56" t="s">
        <v>61</v>
      </c>
      <c r="H49" s="0"/>
      <c r="I49" s="57" t="n">
        <v>229182</v>
      </c>
      <c r="J49" s="56"/>
      <c r="K49" s="46"/>
      <c r="L49" s="56"/>
      <c r="M49" s="56"/>
      <c r="N49" s="56"/>
      <c r="O49" s="56"/>
      <c r="P49" s="56"/>
      <c r="Q49" s="56"/>
      <c r="R49" s="56"/>
      <c r="S49" s="57"/>
      <c r="T49" s="56"/>
      <c r="U49" s="56"/>
      <c r="V49" s="57"/>
      <c r="W49" s="56"/>
      <c r="X49" s="56"/>
      <c r="Y49" s="56"/>
      <c r="Z49" s="60"/>
      <c r="AA49" s="61"/>
      <c r="AB49" s="61"/>
      <c r="AC49" s="62"/>
      <c r="AD49" s="63"/>
      <c r="AE49" s="63"/>
    </row>
    <row r="50" customFormat="false" ht="11.1" hidden="false" customHeight="true" outlineLevel="0" collapsed="false">
      <c r="A50" s="90" t="str">
        <f aca="false">"2/13/97 thru 3/13/97"</f>
        <v>2/13/97 thru 3/13/97</v>
      </c>
      <c r="B50" s="90"/>
      <c r="C50" s="57"/>
      <c r="D50" s="57"/>
      <c r="E50" s="57"/>
      <c r="F50" s="90"/>
      <c r="G50" s="98" t="s">
        <v>62</v>
      </c>
      <c r="H50" s="99"/>
      <c r="I50" s="100" t="n">
        <f aca="false">I49-E49</f>
        <v>109436</v>
      </c>
      <c r="J50" s="90"/>
      <c r="K50" s="90"/>
      <c r="L50" s="90"/>
      <c r="M50" s="81"/>
      <c r="N50" s="81"/>
      <c r="O50" s="81"/>
      <c r="P50" s="90"/>
      <c r="Q50" s="90"/>
      <c r="R50" s="90"/>
      <c r="S50" s="57"/>
      <c r="T50" s="90"/>
      <c r="U50" s="90"/>
      <c r="V50" s="57"/>
      <c r="W50" s="90"/>
      <c r="X50" s="90"/>
      <c r="Y50" s="90"/>
      <c r="Z50" s="60"/>
      <c r="AA50" s="61"/>
      <c r="AB50" s="61"/>
      <c r="AC50" s="62"/>
      <c r="AD50" s="94"/>
      <c r="AE50" s="94"/>
    </row>
    <row r="51" customFormat="false" ht="11.1" hidden="false" customHeight="true" outlineLevel="0" collapsed="false">
      <c r="A51" s="90"/>
      <c r="B51" s="60" t="n">
        <f aca="false">B49-B22</f>
        <v>1.88000000000011</v>
      </c>
      <c r="C51" s="57"/>
      <c r="D51" s="101" t="n">
        <f aca="false">C49-C22</f>
        <v>6709</v>
      </c>
      <c r="E51" s="57"/>
      <c r="F51" s="90"/>
      <c r="G51" s="90" t="s">
        <v>63</v>
      </c>
      <c r="H51" s="58"/>
      <c r="I51" s="57" t="n">
        <f aca="false">I50+D46</f>
        <v>132442</v>
      </c>
      <c r="J51" s="90"/>
      <c r="K51" s="90"/>
      <c r="L51" s="90"/>
      <c r="M51" s="81"/>
      <c r="N51" s="81"/>
      <c r="O51" s="81"/>
      <c r="P51" s="90"/>
      <c r="Q51" s="90"/>
      <c r="R51" s="90"/>
      <c r="S51" s="57"/>
      <c r="T51" s="90"/>
      <c r="U51" s="90"/>
      <c r="V51" s="57"/>
      <c r="W51" s="90"/>
      <c r="X51" s="90"/>
      <c r="Y51" s="90"/>
      <c r="Z51" s="60"/>
      <c r="AA51" s="61"/>
      <c r="AB51" s="61"/>
      <c r="AC51" s="62"/>
      <c r="AD51" s="94"/>
      <c r="AE51" s="94"/>
    </row>
    <row r="52" customFormat="false" ht="11.1" hidden="false" customHeight="true" outlineLevel="0" collapsed="false">
      <c r="A52" s="90"/>
      <c r="B52" s="90"/>
      <c r="C52" s="57"/>
      <c r="D52" s="90"/>
      <c r="E52" s="57"/>
      <c r="F52" s="90"/>
      <c r="G52" s="95"/>
      <c r="H52" s="58"/>
      <c r="I52" s="90"/>
      <c r="J52" s="90"/>
      <c r="K52" s="90"/>
      <c r="L52" s="90"/>
      <c r="M52" s="81"/>
      <c r="N52" s="81"/>
      <c r="O52" s="81"/>
      <c r="P52" s="90"/>
      <c r="Q52" s="90"/>
      <c r="R52" s="90"/>
      <c r="S52" s="57"/>
      <c r="T52" s="90"/>
      <c r="U52" s="90"/>
      <c r="V52" s="57"/>
      <c r="W52" s="90"/>
      <c r="X52" s="90"/>
      <c r="Y52" s="90"/>
      <c r="Z52" s="60"/>
      <c r="AA52" s="61"/>
      <c r="AB52" s="61"/>
      <c r="AC52" s="62"/>
      <c r="AD52" s="94"/>
      <c r="AE52" s="94"/>
    </row>
  </sheetData>
  <mergeCells count="2">
    <mergeCell ref="K2:T2"/>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U40" activeCellId="0" sqref="U40"/>
    </sheetView>
  </sheetViews>
  <sheetFormatPr defaultColWidth="9.328125" defaultRowHeight="11.1" zeroHeight="false" outlineLevelRow="0" outlineLevelCol="0"/>
  <cols>
    <col collapsed="false" customWidth="true" hidden="false" outlineLevel="0" max="1" min="1" style="49" width="5.66"/>
    <col collapsed="false" customWidth="false" hidden="false" outlineLevel="0" max="2" min="2" style="49" width="9.32"/>
    <col collapsed="false" customWidth="true" hidden="false" outlineLevel="0" max="3" min="3" style="50" width="7.66"/>
    <col collapsed="false" customWidth="true" hidden="false" outlineLevel="0" max="4" min="4" style="49" width="6.82"/>
    <col collapsed="false" customWidth="true" hidden="false" outlineLevel="0" max="5" min="5" style="50" width="7.66"/>
    <col collapsed="false" customWidth="true" hidden="false" outlineLevel="0" max="7" min="6" style="49" width="7.66"/>
    <col collapsed="false" customWidth="true" hidden="false" outlineLevel="0" max="8" min="8" style="51" width="7.16"/>
    <col collapsed="false" customWidth="true" hidden="false" outlineLevel="0" max="9" min="9" style="49" width="8.82"/>
    <col collapsed="false" customWidth="true" hidden="false" outlineLevel="0" max="11" min="10" style="49" width="7.66"/>
    <col collapsed="false" customWidth="true" hidden="false" outlineLevel="0" max="12" min="12" style="49" width="6.49"/>
    <col collapsed="false" customWidth="true" hidden="false" outlineLevel="0" max="15" min="13" style="52" width="7.49"/>
    <col collapsed="false" customWidth="true" hidden="false" outlineLevel="0" max="16" min="16" style="49" width="7.66"/>
    <col collapsed="false" customWidth="true" hidden="false" outlineLevel="0" max="17" min="17" style="49" width="7.16"/>
    <col collapsed="false" customWidth="true" hidden="false" outlineLevel="0" max="18" min="18" style="49" width="6.66"/>
    <col collapsed="false" customWidth="true" hidden="false" outlineLevel="0" max="19" min="19" style="50" width="6.66"/>
    <col collapsed="false" customWidth="true" hidden="false" outlineLevel="0" max="20" min="20" style="49" width="5.82"/>
    <col collapsed="false" customWidth="true" hidden="false" outlineLevel="0" max="21" min="21" style="49" width="7.49"/>
    <col collapsed="false" customWidth="true" hidden="false" outlineLevel="0" max="22" min="22" style="50" width="6.32"/>
    <col collapsed="false" customWidth="true" hidden="false" outlineLevel="0" max="25" min="23" style="49" width="7.82"/>
    <col collapsed="false" customWidth="true" hidden="false" outlineLevel="0" max="26" min="26" style="53" width="5.66"/>
    <col collapsed="false" customWidth="true" hidden="false" outlineLevel="0" max="28" min="27" style="54" width="5.66"/>
    <col collapsed="false" customWidth="true" hidden="false" outlineLevel="0" max="29" min="29" style="55" width="5.66"/>
    <col collapsed="false" customWidth="false" hidden="false" outlineLevel="0" max="257" min="30" style="49" width="9.32"/>
  </cols>
  <sheetData>
    <row r="1" customFormat="false" ht="14.1" hidden="false" customHeight="true" outlineLevel="0" collapsed="false">
      <c r="A1" s="56"/>
      <c r="B1" s="56"/>
      <c r="C1" s="57"/>
      <c r="D1" s="56"/>
      <c r="E1" s="57"/>
      <c r="F1" s="56"/>
      <c r="G1" s="56"/>
      <c r="H1" s="58"/>
      <c r="I1" s="56"/>
      <c r="J1" s="56"/>
      <c r="K1" s="59" t="s">
        <v>0</v>
      </c>
      <c r="L1" s="56"/>
      <c r="M1" s="56"/>
      <c r="N1" s="56"/>
      <c r="O1" s="56"/>
      <c r="P1" s="56"/>
      <c r="Q1" s="56"/>
      <c r="R1" s="56"/>
      <c r="S1" s="57"/>
      <c r="T1" s="56"/>
      <c r="U1" s="56"/>
      <c r="V1" s="57"/>
      <c r="W1" s="56"/>
      <c r="X1" s="56"/>
      <c r="Y1" s="56"/>
      <c r="Z1" s="60"/>
      <c r="AA1" s="61"/>
      <c r="AB1" s="61"/>
      <c r="AC1" s="62"/>
      <c r="AD1" s="63"/>
      <c r="AE1" s="63"/>
    </row>
    <row r="2" customFormat="false" ht="14.1" hidden="false" customHeight="true" outlineLevel="0" collapsed="false">
      <c r="A2" s="56" t="s">
        <v>1</v>
      </c>
      <c r="B2" s="56"/>
      <c r="C2" s="57"/>
      <c r="D2" s="64" t="n">
        <v>1.9835</v>
      </c>
      <c r="E2" s="57"/>
      <c r="F2" s="56"/>
      <c r="G2" s="56"/>
      <c r="H2" s="58"/>
      <c r="I2" s="56"/>
      <c r="J2" s="56"/>
      <c r="K2" s="65" t="s">
        <v>64</v>
      </c>
      <c r="L2" s="65"/>
      <c r="M2" s="65"/>
      <c r="N2" s="65"/>
      <c r="O2" s="65"/>
      <c r="P2" s="65"/>
      <c r="Q2" s="65"/>
      <c r="R2" s="65"/>
      <c r="S2" s="65"/>
      <c r="T2" s="65"/>
      <c r="U2" s="56"/>
      <c r="V2" s="57"/>
      <c r="W2" s="56"/>
      <c r="X2" s="56"/>
      <c r="Y2" s="56"/>
      <c r="Z2" s="60"/>
      <c r="AA2" s="61"/>
      <c r="AB2" s="61"/>
      <c r="AC2" s="62"/>
      <c r="AD2" s="63"/>
      <c r="AE2" s="63"/>
    </row>
    <row r="3" customFormat="false" ht="11.1" hidden="false" customHeight="true" outlineLevel="0" collapsed="false">
      <c r="A3" s="56"/>
      <c r="B3" s="56"/>
      <c r="C3" s="57"/>
      <c r="D3" s="66"/>
      <c r="E3" s="57"/>
      <c r="F3" s="56"/>
      <c r="G3" s="56"/>
      <c r="H3" s="58"/>
      <c r="I3" s="56"/>
      <c r="J3" s="56"/>
      <c r="K3" s="56"/>
      <c r="L3" s="56"/>
      <c r="M3" s="56"/>
      <c r="N3" s="56"/>
      <c r="O3" s="56"/>
      <c r="P3" s="56"/>
      <c r="Q3" s="56"/>
      <c r="R3" s="56"/>
      <c r="S3" s="57"/>
      <c r="T3" s="56"/>
      <c r="U3" s="56"/>
      <c r="V3" s="57"/>
      <c r="W3" s="56"/>
      <c r="X3" s="56"/>
      <c r="Y3" s="56"/>
      <c r="Z3" s="60"/>
      <c r="AA3" s="61"/>
      <c r="AB3" s="61"/>
      <c r="AC3" s="62"/>
      <c r="AD3" s="63"/>
      <c r="AE3" s="63"/>
    </row>
    <row r="4" customFormat="false" ht="11.1" hidden="false" customHeight="true" outlineLevel="0" collapsed="false">
      <c r="A4" s="67" t="s">
        <v>3</v>
      </c>
      <c r="B4" s="67" t="s">
        <v>4</v>
      </c>
      <c r="C4" s="68" t="s">
        <v>4</v>
      </c>
      <c r="D4" s="67" t="s">
        <v>5</v>
      </c>
      <c r="E4" s="68" t="s">
        <v>6</v>
      </c>
      <c r="F4" s="67" t="s">
        <v>7</v>
      </c>
      <c r="G4" s="67" t="s">
        <v>8</v>
      </c>
      <c r="H4" s="69" t="s">
        <v>9</v>
      </c>
      <c r="I4" s="67" t="s">
        <v>10</v>
      </c>
      <c r="J4" s="67" t="s">
        <v>11</v>
      </c>
      <c r="K4" s="67" t="s">
        <v>12</v>
      </c>
      <c r="L4" s="67" t="s">
        <v>11</v>
      </c>
      <c r="M4" s="67" t="s">
        <v>13</v>
      </c>
      <c r="N4" s="67"/>
      <c r="O4" s="67"/>
      <c r="P4" s="67" t="s">
        <v>14</v>
      </c>
      <c r="Q4" s="67" t="s">
        <v>15</v>
      </c>
      <c r="R4" s="67" t="s">
        <v>12</v>
      </c>
      <c r="S4" s="68" t="s">
        <v>16</v>
      </c>
      <c r="T4" s="67" t="s">
        <v>17</v>
      </c>
      <c r="U4" s="67" t="s">
        <v>18</v>
      </c>
      <c r="V4" s="68" t="s">
        <v>19</v>
      </c>
      <c r="W4" s="67" t="s">
        <v>10</v>
      </c>
      <c r="X4" s="67" t="s">
        <v>11</v>
      </c>
      <c r="Y4" s="67" t="s">
        <v>12</v>
      </c>
      <c r="Z4" s="70" t="s">
        <v>20</v>
      </c>
      <c r="AA4" s="71" t="s">
        <v>21</v>
      </c>
      <c r="AB4" s="71" t="s">
        <v>22</v>
      </c>
      <c r="AC4" s="71" t="s">
        <v>3</v>
      </c>
      <c r="AD4" s="63"/>
      <c r="AE4" s="63"/>
    </row>
    <row r="5" customFormat="false" ht="11.1" hidden="false" customHeight="true" outlineLevel="0" collapsed="false">
      <c r="A5" s="72" t="s">
        <v>65</v>
      </c>
      <c r="B5" s="67" t="s">
        <v>24</v>
      </c>
      <c r="C5" s="68" t="s">
        <v>5</v>
      </c>
      <c r="D5" s="67" t="s">
        <v>25</v>
      </c>
      <c r="E5" s="68" t="s">
        <v>26</v>
      </c>
      <c r="F5" s="67" t="s">
        <v>27</v>
      </c>
      <c r="G5" s="67" t="s">
        <v>28</v>
      </c>
      <c r="H5" s="69" t="s">
        <v>29</v>
      </c>
      <c r="I5" s="67" t="s">
        <v>30</v>
      </c>
      <c r="J5" s="67" t="s">
        <v>30</v>
      </c>
      <c r="K5" s="67" t="s">
        <v>30</v>
      </c>
      <c r="L5" s="67" t="s">
        <v>31</v>
      </c>
      <c r="M5" s="67" t="s">
        <v>32</v>
      </c>
      <c r="N5" s="67" t="s">
        <v>33</v>
      </c>
      <c r="O5" s="67" t="s">
        <v>55</v>
      </c>
      <c r="P5" s="67" t="s">
        <v>35</v>
      </c>
      <c r="Q5" s="67" t="s">
        <v>36</v>
      </c>
      <c r="R5" s="67" t="s">
        <v>16</v>
      </c>
      <c r="S5" s="68" t="s">
        <v>37</v>
      </c>
      <c r="T5" s="67" t="s">
        <v>38</v>
      </c>
      <c r="U5" s="67" t="s">
        <v>39</v>
      </c>
      <c r="V5" s="68" t="s">
        <v>40</v>
      </c>
      <c r="W5" s="67" t="s">
        <v>41</v>
      </c>
      <c r="X5" s="67" t="s">
        <v>41</v>
      </c>
      <c r="Y5" s="67" t="s">
        <v>41</v>
      </c>
      <c r="Z5" s="73"/>
      <c r="AA5" s="71" t="s">
        <v>42</v>
      </c>
      <c r="AB5" s="71" t="s">
        <v>42</v>
      </c>
      <c r="AC5" s="74" t="s">
        <v>65</v>
      </c>
      <c r="AD5" s="63"/>
      <c r="AE5" s="63"/>
    </row>
    <row r="6" customFormat="false" ht="11.1" hidden="false" customHeight="true" outlineLevel="0" collapsed="false">
      <c r="A6" s="75"/>
      <c r="B6" s="75"/>
      <c r="C6" s="76"/>
      <c r="D6" s="75"/>
      <c r="E6" s="76"/>
      <c r="F6" s="75"/>
      <c r="G6" s="75"/>
      <c r="H6" s="77"/>
      <c r="I6" s="75"/>
      <c r="J6" s="75"/>
      <c r="K6" s="75"/>
      <c r="L6" s="75"/>
      <c r="M6" s="75"/>
      <c r="N6" s="75"/>
      <c r="O6" s="75"/>
      <c r="P6" s="75"/>
      <c r="Q6" s="75"/>
      <c r="R6" s="75"/>
      <c r="S6" s="76"/>
      <c r="T6" s="75"/>
      <c r="U6" s="75"/>
      <c r="V6" s="76"/>
      <c r="W6" s="75"/>
      <c r="X6" s="75"/>
      <c r="Y6" s="75"/>
      <c r="Z6" s="60"/>
      <c r="AA6" s="62"/>
      <c r="AB6" s="62"/>
      <c r="AC6" s="62"/>
      <c r="AD6" s="78"/>
      <c r="AE6" s="78"/>
      <c r="AF6" s="79"/>
    </row>
    <row r="7" customFormat="false" ht="11.1" hidden="false" customHeight="true" outlineLevel="0" collapsed="false">
      <c r="A7" s="56" t="s">
        <v>43</v>
      </c>
      <c r="B7" s="56"/>
      <c r="C7" s="57"/>
      <c r="D7" s="57"/>
      <c r="E7" s="57"/>
      <c r="F7" s="57"/>
      <c r="G7" s="57"/>
      <c r="H7" s="61"/>
      <c r="I7" s="57"/>
      <c r="J7" s="57"/>
      <c r="K7" s="57"/>
      <c r="L7" s="57"/>
      <c r="M7" s="57"/>
      <c r="N7" s="57"/>
      <c r="O7" s="57"/>
      <c r="P7" s="57"/>
      <c r="Q7" s="57"/>
      <c r="R7" s="57"/>
      <c r="S7" s="57"/>
      <c r="T7" s="57"/>
      <c r="U7" s="57"/>
      <c r="V7" s="57"/>
      <c r="W7" s="57"/>
      <c r="X7" s="57"/>
      <c r="Y7" s="57"/>
      <c r="Z7" s="60"/>
      <c r="AA7" s="61"/>
      <c r="AB7" s="61"/>
      <c r="AC7" s="62"/>
      <c r="AD7" s="78"/>
      <c r="AE7" s="79"/>
      <c r="AF7" s="79"/>
    </row>
    <row r="8" s="50" customFormat="true" ht="11.1" hidden="false" customHeight="true" outlineLevel="0" collapsed="false">
      <c r="A8" s="57" t="s">
        <v>44</v>
      </c>
      <c r="B8" s="80" t="n">
        <f aca="false" t="array" ref="B8:C8">FEB!$B$37:$C$37</f>
        <v>6895.84</v>
      </c>
      <c r="C8" s="57" t="n">
        <v>268485</v>
      </c>
      <c r="D8" s="57" t="n">
        <f aca="false" t="array" ref="D8:E8">FEB!$D$46:$E$46</f>
        <v>23006</v>
      </c>
      <c r="E8" s="57" t="n">
        <v>116485</v>
      </c>
      <c r="F8" s="57" t="n">
        <f aca="false" t="array" ref="F8:Z8">FEB!$F$45:$Z$45</f>
        <v>11598.6891857827</v>
      </c>
      <c r="G8" s="57" t="n">
        <v>15803.23</v>
      </c>
      <c r="H8" s="61" t="n">
        <v>118.7</v>
      </c>
      <c r="I8" s="57" t="n">
        <v>15721.03</v>
      </c>
      <c r="J8" s="57" t="n">
        <v>1608.46638013612</v>
      </c>
      <c r="K8" s="57" t="n">
        <v>17329.4963801361</v>
      </c>
      <c r="L8" s="57" t="n">
        <v>1031.39918578271</v>
      </c>
      <c r="M8" s="57" t="n">
        <v>616.66</v>
      </c>
      <c r="N8" s="57" t="n">
        <v>0</v>
      </c>
      <c r="O8" s="57" t="n">
        <v>347.58</v>
      </c>
      <c r="P8" s="57" t="n">
        <v>104.07</v>
      </c>
      <c r="Q8" s="57" t="n">
        <v>198.8</v>
      </c>
      <c r="R8" s="57" t="n">
        <v>857.467</v>
      </c>
      <c r="S8" s="57" t="n">
        <v>0</v>
      </c>
      <c r="T8" s="57" t="n">
        <v>0</v>
      </c>
      <c r="U8" s="57" t="n">
        <v>4234.21</v>
      </c>
      <c r="V8" s="57" t="n">
        <v>1035.81002268717</v>
      </c>
      <c r="W8" s="57" t="n">
        <v>5153.74</v>
      </c>
      <c r="X8" s="57" t="n">
        <v>577.067194353416</v>
      </c>
      <c r="Y8" s="57" t="n">
        <v>5730.80719435342</v>
      </c>
      <c r="Z8" s="81" t="n">
        <v>9.13</v>
      </c>
      <c r="AA8" s="61"/>
      <c r="AB8" s="61"/>
      <c r="AC8" s="62"/>
      <c r="AD8" s="82"/>
      <c r="AE8" s="78"/>
      <c r="AF8" s="82"/>
    </row>
    <row r="9" customFormat="false" ht="3" hidden="false" customHeight="true" outlineLevel="0" collapsed="false">
      <c r="A9" s="83"/>
      <c r="B9" s="84"/>
      <c r="C9" s="85"/>
      <c r="D9" s="83"/>
      <c r="E9" s="85"/>
      <c r="F9" s="83"/>
      <c r="G9" s="83"/>
      <c r="H9" s="86"/>
      <c r="I9" s="83"/>
      <c r="J9" s="83"/>
      <c r="K9" s="83"/>
      <c r="L9" s="83"/>
      <c r="M9" s="83"/>
      <c r="N9" s="83"/>
      <c r="O9" s="83"/>
      <c r="P9" s="83"/>
      <c r="Q9" s="83"/>
      <c r="R9" s="83"/>
      <c r="S9" s="85"/>
      <c r="T9" s="83"/>
      <c r="U9" s="83"/>
      <c r="V9" s="85"/>
      <c r="W9" s="83"/>
      <c r="X9" s="83"/>
      <c r="Y9" s="83"/>
      <c r="Z9" s="87"/>
      <c r="AA9" s="88"/>
      <c r="AB9" s="88"/>
      <c r="AC9" s="89"/>
      <c r="AD9" s="78"/>
      <c r="AE9" s="78"/>
      <c r="AF9" s="79"/>
    </row>
    <row r="10" customFormat="false" ht="11.1" hidden="false" customHeight="true" outlineLevel="0" collapsed="false">
      <c r="A10" s="62" t="n">
        <v>1</v>
      </c>
      <c r="B10" s="80" t="n">
        <v>6895.89</v>
      </c>
      <c r="C10" s="57" t="n">
        <v>268663</v>
      </c>
      <c r="D10" s="61" t="n">
        <f aca="false">C10-C8</f>
        <v>178</v>
      </c>
      <c r="E10" s="57" t="n">
        <f aca="false">C10-152000</f>
        <v>116663</v>
      </c>
      <c r="F10" s="56" t="n">
        <f aca="false">D10/$D$2</f>
        <v>89.7403579531132</v>
      </c>
      <c r="G10" s="56" t="n">
        <v>60</v>
      </c>
      <c r="H10" s="102" t="n">
        <v>16</v>
      </c>
      <c r="I10" s="56" t="n">
        <f aca="false">G10+H10</f>
        <v>76</v>
      </c>
      <c r="J10" s="81" t="n">
        <f aca="false">IF(L10&gt;0,L10,0)</f>
        <v>51.8003579531132</v>
      </c>
      <c r="K10" s="56" t="n">
        <f aca="false">I10+J10</f>
        <v>127.800357953113</v>
      </c>
      <c r="L10" s="56" t="n">
        <f aca="false">F10-(I10-W10)</f>
        <v>51.8003579531132</v>
      </c>
      <c r="M10" s="56" t="n">
        <v>4.06</v>
      </c>
      <c r="N10" s="56" t="n">
        <v>0</v>
      </c>
      <c r="O10" s="56" t="n">
        <f aca="false">M10-N10</f>
        <v>4.06</v>
      </c>
      <c r="P10" s="56" t="n">
        <v>0</v>
      </c>
      <c r="Q10" s="56" t="n">
        <v>0</v>
      </c>
      <c r="R10" s="56" t="n">
        <f aca="false">SUM(O10:Q10)</f>
        <v>4.06</v>
      </c>
      <c r="S10" s="57"/>
      <c r="T10" s="56" t="n">
        <v>0</v>
      </c>
      <c r="U10" s="56" t="n">
        <v>34</v>
      </c>
      <c r="V10" s="57" t="n">
        <f aca="false">V8-U10</f>
        <v>1001.81002268717</v>
      </c>
      <c r="W10" s="56" t="n">
        <f aca="false">R10+T10+N10+U10</f>
        <v>38.06</v>
      </c>
      <c r="X10" s="56" t="n">
        <f aca="false">IF(L10&lt;0,L10*-1,0)</f>
        <v>0</v>
      </c>
      <c r="Y10" s="56" t="n">
        <f aca="false">W10+X10</f>
        <v>38.06</v>
      </c>
      <c r="Z10" s="60" t="n">
        <v>0</v>
      </c>
      <c r="AA10" s="61" t="n">
        <v>40</v>
      </c>
      <c r="AB10" s="61" t="n">
        <v>2</v>
      </c>
      <c r="AC10" s="62" t="n">
        <v>1</v>
      </c>
      <c r="AD10" s="79"/>
      <c r="AE10" s="82"/>
      <c r="AF10" s="79"/>
    </row>
    <row r="11" customFormat="false" ht="11.1" hidden="false" customHeight="true" outlineLevel="0" collapsed="false">
      <c r="A11" s="62" t="n">
        <f aca="false">A10+1</f>
        <v>2</v>
      </c>
      <c r="B11" s="80" t="n">
        <v>6895.94</v>
      </c>
      <c r="C11" s="57" t="n">
        <v>268841</v>
      </c>
      <c r="D11" s="61" t="n">
        <f aca="false">C11-C10</f>
        <v>178</v>
      </c>
      <c r="E11" s="57" t="n">
        <f aca="false">C11-152000</f>
        <v>116841</v>
      </c>
      <c r="F11" s="56" t="n">
        <f aca="false">D11/$D$2</f>
        <v>89.7403579531132</v>
      </c>
      <c r="G11" s="56" t="n">
        <v>60</v>
      </c>
      <c r="H11" s="102" t="n">
        <v>19</v>
      </c>
      <c r="I11" s="56" t="n">
        <f aca="false">G11+H11</f>
        <v>79</v>
      </c>
      <c r="J11" s="81" t="n">
        <f aca="false">IF(L11&gt;0,L11,0)</f>
        <v>48.8003579531132</v>
      </c>
      <c r="K11" s="56" t="n">
        <f aca="false">I11+J11</f>
        <v>127.800357953113</v>
      </c>
      <c r="L11" s="56" t="n">
        <f aca="false">F11-(I11-W11)</f>
        <v>48.8003579531132</v>
      </c>
      <c r="M11" s="56" t="n">
        <v>4.06</v>
      </c>
      <c r="N11" s="56" t="n">
        <v>0</v>
      </c>
      <c r="O11" s="56" t="n">
        <f aca="false">M11-N11</f>
        <v>4.06</v>
      </c>
      <c r="P11" s="56" t="n">
        <v>0</v>
      </c>
      <c r="Q11" s="56" t="n">
        <v>0</v>
      </c>
      <c r="R11" s="56" t="n">
        <f aca="false">SUM(O11:Q11)</f>
        <v>4.06</v>
      </c>
      <c r="S11" s="57"/>
      <c r="T11" s="56" t="n">
        <v>0</v>
      </c>
      <c r="U11" s="56" t="n">
        <v>34</v>
      </c>
      <c r="V11" s="57" t="n">
        <f aca="false">V10-U11</f>
        <v>967.810022687167</v>
      </c>
      <c r="W11" s="56" t="n">
        <f aca="false">R11+T11+N11+U11</f>
        <v>38.06</v>
      </c>
      <c r="X11" s="56" t="n">
        <f aca="false">IF(L11&lt;0,L11*-1,0)</f>
        <v>0</v>
      </c>
      <c r="Y11" s="56" t="n">
        <f aca="false">W11+X11</f>
        <v>38.06</v>
      </c>
      <c r="Z11" s="60" t="n">
        <v>0</v>
      </c>
      <c r="AA11" s="61" t="n">
        <v>48</v>
      </c>
      <c r="AB11" s="61" t="n">
        <v>3</v>
      </c>
      <c r="AC11" s="62" t="n">
        <f aca="false">AC10+1</f>
        <v>2</v>
      </c>
      <c r="AD11" s="79"/>
      <c r="AE11" s="82"/>
      <c r="AF11" s="79"/>
    </row>
    <row r="12" customFormat="false" ht="11.1" hidden="false" customHeight="true" outlineLevel="0" collapsed="false">
      <c r="A12" s="62" t="n">
        <f aca="false">A11+1</f>
        <v>3</v>
      </c>
      <c r="B12" s="80" t="n">
        <v>6896</v>
      </c>
      <c r="C12" s="57" t="n">
        <v>269055</v>
      </c>
      <c r="D12" s="61" t="n">
        <f aca="false">C12-C11</f>
        <v>214</v>
      </c>
      <c r="E12" s="57" t="n">
        <f aca="false">C12-152000</f>
        <v>117055</v>
      </c>
      <c r="F12" s="56" t="n">
        <f aca="false">D12/$D$2</f>
        <v>107.890093269473</v>
      </c>
      <c r="G12" s="56" t="n">
        <v>80</v>
      </c>
      <c r="H12" s="102" t="n">
        <v>16</v>
      </c>
      <c r="I12" s="56" t="n">
        <f aca="false">G12+H12</f>
        <v>96</v>
      </c>
      <c r="J12" s="81" t="n">
        <f aca="false">IF(L12&gt;0,L12,0)</f>
        <v>48.9500932694732</v>
      </c>
      <c r="K12" s="56" t="n">
        <f aca="false">I12+J12</f>
        <v>144.950093269473</v>
      </c>
      <c r="L12" s="56" t="n">
        <f aca="false">F12-(I12-W12)</f>
        <v>48.9500932694732</v>
      </c>
      <c r="M12" s="56" t="n">
        <v>4.06</v>
      </c>
      <c r="N12" s="56" t="n">
        <v>0</v>
      </c>
      <c r="O12" s="56" t="n">
        <f aca="false">M12-N12</f>
        <v>4.06</v>
      </c>
      <c r="P12" s="56" t="n">
        <v>0</v>
      </c>
      <c r="Q12" s="56" t="n">
        <v>0</v>
      </c>
      <c r="R12" s="56" t="n">
        <f aca="false">SUM(O12:Q12)</f>
        <v>4.06</v>
      </c>
      <c r="S12" s="57"/>
      <c r="T12" s="56" t="n">
        <v>0</v>
      </c>
      <c r="U12" s="56" t="n">
        <v>33</v>
      </c>
      <c r="V12" s="57" t="n">
        <f aca="false">V11-U12</f>
        <v>934.810022687167</v>
      </c>
      <c r="W12" s="56" t="n">
        <f aca="false">R12+T12+N12+U12</f>
        <v>37.06</v>
      </c>
      <c r="X12" s="56" t="n">
        <f aca="false">IF(L12&lt;0,L12*-1,0)</f>
        <v>0</v>
      </c>
      <c r="Y12" s="56" t="n">
        <f aca="false">W12+X12</f>
        <v>37.06</v>
      </c>
      <c r="Z12" s="60" t="n">
        <v>0</v>
      </c>
      <c r="AA12" s="61" t="n">
        <v>50</v>
      </c>
      <c r="AB12" s="61" t="n">
        <v>8</v>
      </c>
      <c r="AC12" s="62" t="n">
        <f aca="false">AC11+1</f>
        <v>3</v>
      </c>
      <c r="AD12" s="79"/>
      <c r="AE12" s="82"/>
      <c r="AF12" s="79"/>
    </row>
    <row r="13" customFormat="false" ht="11.1" hidden="false" customHeight="true" outlineLevel="0" collapsed="false">
      <c r="A13" s="62" t="n">
        <f aca="false">A12+1</f>
        <v>4</v>
      </c>
      <c r="B13" s="80" t="n">
        <v>6896.04</v>
      </c>
      <c r="C13" s="57" t="n">
        <v>269198</v>
      </c>
      <c r="D13" s="61" t="n">
        <f aca="false">C13-C12</f>
        <v>143</v>
      </c>
      <c r="E13" s="57" t="n">
        <f aca="false">C13-152000</f>
        <v>117198</v>
      </c>
      <c r="F13" s="56" t="n">
        <f aca="false">D13/$D$2</f>
        <v>72.0947819510966</v>
      </c>
      <c r="G13" s="56" t="n">
        <v>60</v>
      </c>
      <c r="H13" s="102" t="n">
        <v>19</v>
      </c>
      <c r="I13" s="56" t="n">
        <f aca="false">G13+H13</f>
        <v>79</v>
      </c>
      <c r="J13" s="81" t="n">
        <f aca="false">IF(L13&gt;0,L13,0)</f>
        <v>30.1547819510966</v>
      </c>
      <c r="K13" s="56" t="n">
        <f aca="false">I13+J13</f>
        <v>109.154781951097</v>
      </c>
      <c r="L13" s="56" t="n">
        <f aca="false">F13-(I13-W13)</f>
        <v>30.1547819510966</v>
      </c>
      <c r="M13" s="56" t="n">
        <v>4.06</v>
      </c>
      <c r="N13" s="56" t="n">
        <v>0</v>
      </c>
      <c r="O13" s="56" t="n">
        <f aca="false">M13-N13</f>
        <v>4.06</v>
      </c>
      <c r="P13" s="56" t="n">
        <v>0</v>
      </c>
      <c r="Q13" s="56" t="n">
        <v>0</v>
      </c>
      <c r="R13" s="56" t="n">
        <f aca="false">SUM(O13:Q13)</f>
        <v>4.06</v>
      </c>
      <c r="S13" s="57"/>
      <c r="T13" s="56" t="n">
        <v>0</v>
      </c>
      <c r="U13" s="56" t="n">
        <v>33</v>
      </c>
      <c r="V13" s="57" t="n">
        <f aca="false">V12-U13</f>
        <v>901.810022687167</v>
      </c>
      <c r="W13" s="56" t="n">
        <f aca="false">R13+T13+N13+U13</f>
        <v>37.06</v>
      </c>
      <c r="X13" s="56" t="n">
        <f aca="false">IF(L13&lt;0,L13*-1,0)</f>
        <v>0</v>
      </c>
      <c r="Y13" s="56" t="n">
        <f aca="false">W13+X13</f>
        <v>37.06</v>
      </c>
      <c r="Z13" s="60" t="n">
        <v>0</v>
      </c>
      <c r="AA13" s="61" t="n">
        <v>38</v>
      </c>
      <c r="AB13" s="61" t="n">
        <v>14</v>
      </c>
      <c r="AC13" s="62" t="n">
        <f aca="false">AC12+1</f>
        <v>4</v>
      </c>
      <c r="AD13" s="79"/>
      <c r="AE13" s="82"/>
      <c r="AF13" s="79"/>
    </row>
    <row r="14" customFormat="false" ht="11.1" hidden="false" customHeight="true" outlineLevel="0" collapsed="false">
      <c r="A14" s="62" t="n">
        <f aca="false">A13+1</f>
        <v>5</v>
      </c>
      <c r="B14" s="80" t="n">
        <v>6896.04</v>
      </c>
      <c r="C14" s="57" t="n">
        <v>269198</v>
      </c>
      <c r="D14" s="61" t="n">
        <f aca="false">C14-C13</f>
        <v>0</v>
      </c>
      <c r="E14" s="57" t="n">
        <f aca="false">C14-152000</f>
        <v>117198</v>
      </c>
      <c r="F14" s="56" t="n">
        <f aca="false">D14/$D$2</f>
        <v>0</v>
      </c>
      <c r="G14" s="56" t="n">
        <v>7.6</v>
      </c>
      <c r="H14" s="102" t="n">
        <v>22</v>
      </c>
      <c r="I14" s="56" t="n">
        <f aca="false">G14+H14</f>
        <v>29.6</v>
      </c>
      <c r="J14" s="81" t="n">
        <f aca="false">IF(L14&gt;0,L14,0)</f>
        <v>7.46</v>
      </c>
      <c r="K14" s="56" t="n">
        <f aca="false">I14+J14</f>
        <v>37.06</v>
      </c>
      <c r="L14" s="56" t="n">
        <f aca="false">F14-(I14-W14)</f>
        <v>7.46</v>
      </c>
      <c r="M14" s="56" t="n">
        <v>4.06</v>
      </c>
      <c r="N14" s="56" t="n">
        <v>0</v>
      </c>
      <c r="O14" s="56" t="n">
        <f aca="false">M14-N14</f>
        <v>4.06</v>
      </c>
      <c r="P14" s="56" t="n">
        <v>0</v>
      </c>
      <c r="Q14" s="56" t="n">
        <v>0</v>
      </c>
      <c r="R14" s="56" t="n">
        <f aca="false">SUM(O14:Q14)</f>
        <v>4.06</v>
      </c>
      <c r="S14" s="57"/>
      <c r="T14" s="56" t="n">
        <v>0</v>
      </c>
      <c r="U14" s="56" t="n">
        <v>33</v>
      </c>
      <c r="V14" s="57" t="n">
        <f aca="false">V13-U14</f>
        <v>868.810022687167</v>
      </c>
      <c r="W14" s="56" t="n">
        <f aca="false">R14+T14+N14+U14</f>
        <v>37.06</v>
      </c>
      <c r="X14" s="56" t="n">
        <f aca="false">IF(L14&lt;0,L14*-1,0)</f>
        <v>0</v>
      </c>
      <c r="Y14" s="56" t="n">
        <f aca="false">W14+X14</f>
        <v>37.06</v>
      </c>
      <c r="Z14" s="60" t="n">
        <v>0</v>
      </c>
      <c r="AA14" s="61" t="n">
        <v>38</v>
      </c>
      <c r="AB14" s="61" t="n">
        <v>-4</v>
      </c>
      <c r="AC14" s="62" t="n">
        <f aca="false">AC13+1</f>
        <v>5</v>
      </c>
      <c r="AD14" s="79"/>
      <c r="AE14" s="82"/>
      <c r="AF14" s="79"/>
    </row>
    <row r="15" customFormat="false" ht="11.1" hidden="false" customHeight="true" outlineLevel="0" collapsed="false">
      <c r="A15" s="62" t="n">
        <f aca="false">A14+1</f>
        <v>6</v>
      </c>
      <c r="B15" s="80" t="n">
        <v>6896.14</v>
      </c>
      <c r="C15" s="57" t="n">
        <v>269557</v>
      </c>
      <c r="D15" s="61" t="n">
        <f aca="false">C15-C14</f>
        <v>359</v>
      </c>
      <c r="E15" s="57" t="n">
        <f aca="false">C15-152000</f>
        <v>117557</v>
      </c>
      <c r="F15" s="56" t="n">
        <f aca="false">D15/$D$2</f>
        <v>180.993193849256</v>
      </c>
      <c r="G15" s="56" t="n">
        <v>70</v>
      </c>
      <c r="H15" s="102" t="n">
        <v>18</v>
      </c>
      <c r="I15" s="56" t="n">
        <f aca="false">G15+H15</f>
        <v>88</v>
      </c>
      <c r="J15" s="81" t="n">
        <f aca="false">IF(L15&gt;0,L15,0)</f>
        <v>130.053193849256</v>
      </c>
      <c r="K15" s="56" t="n">
        <f aca="false">I15+J15</f>
        <v>218.053193849256</v>
      </c>
      <c r="L15" s="56" t="n">
        <f aca="false">F15-(I15-W15)</f>
        <v>130.053193849256</v>
      </c>
      <c r="M15" s="56" t="n">
        <v>4.06</v>
      </c>
      <c r="N15" s="56" t="n">
        <v>0</v>
      </c>
      <c r="O15" s="56" t="n">
        <f aca="false">M15-N15</f>
        <v>4.06</v>
      </c>
      <c r="P15" s="56" t="n">
        <v>0</v>
      </c>
      <c r="Q15" s="56" t="n">
        <v>0</v>
      </c>
      <c r="R15" s="56" t="n">
        <f aca="false">SUM(O15:Q15)</f>
        <v>4.06</v>
      </c>
      <c r="S15" s="57"/>
      <c r="T15" s="56" t="n">
        <v>0</v>
      </c>
      <c r="U15" s="56" t="n">
        <v>33</v>
      </c>
      <c r="V15" s="57" t="n">
        <f aca="false">V14-U15</f>
        <v>835.810022687167</v>
      </c>
      <c r="W15" s="56" t="n">
        <f aca="false">R15+T15+N15+U15</f>
        <v>37.06</v>
      </c>
      <c r="X15" s="56" t="n">
        <f aca="false">IF(L15&lt;0,L15*-1,0)</f>
        <v>0</v>
      </c>
      <c r="Y15" s="56" t="n">
        <f aca="false">W15+X15</f>
        <v>37.06</v>
      </c>
      <c r="Z15" s="60" t="n">
        <v>0</v>
      </c>
      <c r="AA15" s="61" t="n">
        <v>46</v>
      </c>
      <c r="AB15" s="61" t="n">
        <v>8</v>
      </c>
      <c r="AC15" s="62" t="n">
        <f aca="false">AC14+1</f>
        <v>6</v>
      </c>
      <c r="AD15" s="78"/>
      <c r="AE15" s="82"/>
      <c r="AF15" s="79"/>
    </row>
    <row r="16" customFormat="false" ht="11.1" hidden="false" customHeight="true" outlineLevel="0" collapsed="false">
      <c r="A16" s="62" t="n">
        <f aca="false">A15+1</f>
        <v>7</v>
      </c>
      <c r="B16" s="80" t="n">
        <v>6896.19</v>
      </c>
      <c r="C16" s="57" t="n">
        <v>269736</v>
      </c>
      <c r="D16" s="61" t="n">
        <f aca="false">C16-C15</f>
        <v>179</v>
      </c>
      <c r="E16" s="57" t="n">
        <f aca="false">C16-152000</f>
        <v>117736</v>
      </c>
      <c r="F16" s="56" t="n">
        <f aca="false">D16/$D$2</f>
        <v>90.2445172674565</v>
      </c>
      <c r="G16" s="56" t="n">
        <v>70</v>
      </c>
      <c r="H16" s="102" t="n">
        <v>21</v>
      </c>
      <c r="I16" s="56" t="n">
        <f aca="false">G16+H16</f>
        <v>91</v>
      </c>
      <c r="J16" s="81" t="n">
        <f aca="false">IF(L16&gt;0,L16,0)</f>
        <v>37.6445172674565</v>
      </c>
      <c r="K16" s="56" t="n">
        <f aca="false">I16+J16</f>
        <v>128.644517267457</v>
      </c>
      <c r="L16" s="56" t="n">
        <f aca="false">F16-(I16-W16)</f>
        <v>37.6445172674565</v>
      </c>
      <c r="M16" s="56" t="n">
        <v>5.4</v>
      </c>
      <c r="N16" s="56" t="n">
        <v>0</v>
      </c>
      <c r="O16" s="56" t="n">
        <f aca="false">M16-N16</f>
        <v>5.4</v>
      </c>
      <c r="P16" s="56" t="n">
        <v>0</v>
      </c>
      <c r="Q16" s="56" t="n">
        <v>0</v>
      </c>
      <c r="R16" s="56" t="n">
        <f aca="false">SUM(O16:Q16)</f>
        <v>5.4</v>
      </c>
      <c r="S16" s="57"/>
      <c r="T16" s="56" t="n">
        <v>0</v>
      </c>
      <c r="U16" s="56" t="n">
        <v>33</v>
      </c>
      <c r="V16" s="57" t="n">
        <f aca="false">V15-U16</f>
        <v>802.810022687167</v>
      </c>
      <c r="W16" s="56" t="n">
        <f aca="false">R16+T16+N16+U16</f>
        <v>38.4</v>
      </c>
      <c r="X16" s="56" t="n">
        <f aca="false">IF(L16&lt;0,L16*-1,0)</f>
        <v>0</v>
      </c>
      <c r="Y16" s="56" t="n">
        <f aca="false">W16+X16</f>
        <v>38.4</v>
      </c>
      <c r="Z16" s="60" t="n">
        <v>0</v>
      </c>
      <c r="AA16" s="61" t="n">
        <v>59</v>
      </c>
      <c r="AB16" s="61" t="n">
        <v>20</v>
      </c>
      <c r="AC16" s="62" t="n">
        <f aca="false">AC15+1</f>
        <v>7</v>
      </c>
      <c r="AD16" s="78"/>
      <c r="AE16" s="82"/>
      <c r="AF16" s="79"/>
    </row>
    <row r="17" customFormat="false" ht="11.1" hidden="false" customHeight="true" outlineLevel="0" collapsed="false">
      <c r="A17" s="62" t="n">
        <f aca="false">A16+1</f>
        <v>8</v>
      </c>
      <c r="B17" s="80" t="n">
        <v>6896.25</v>
      </c>
      <c r="C17" s="57" t="n">
        <v>269952</v>
      </c>
      <c r="D17" s="61" t="n">
        <f aca="false">C17-C16</f>
        <v>216</v>
      </c>
      <c r="E17" s="57" t="n">
        <f aca="false">C17-152000</f>
        <v>117952</v>
      </c>
      <c r="F17" s="56" t="n">
        <f aca="false">D17/$D$2</f>
        <v>108.89841189816</v>
      </c>
      <c r="G17" s="56" t="n">
        <v>70</v>
      </c>
      <c r="H17" s="102" t="n">
        <v>25</v>
      </c>
      <c r="I17" s="56" t="n">
        <f aca="false">G17+H17</f>
        <v>95</v>
      </c>
      <c r="J17" s="81" t="n">
        <f aca="false">IF(L17&gt;0,L17,0)</f>
        <v>52.5284118981598</v>
      </c>
      <c r="K17" s="56" t="n">
        <f aca="false">I17+J17</f>
        <v>147.52841189816</v>
      </c>
      <c r="L17" s="56" t="n">
        <f aca="false">F17-(I17-W17)</f>
        <v>52.5284118981598</v>
      </c>
      <c r="M17" s="56" t="n">
        <v>5.63</v>
      </c>
      <c r="N17" s="56" t="n">
        <v>0</v>
      </c>
      <c r="O17" s="56" t="n">
        <f aca="false">M17-N17</f>
        <v>5.63</v>
      </c>
      <c r="P17" s="56" t="n">
        <v>0</v>
      </c>
      <c r="Q17" s="56" t="n">
        <v>0</v>
      </c>
      <c r="R17" s="56" t="n">
        <f aca="false">SUM(O17:Q17)</f>
        <v>5.63</v>
      </c>
      <c r="S17" s="57"/>
      <c r="T17" s="56" t="n">
        <v>0</v>
      </c>
      <c r="U17" s="56" t="n">
        <v>33</v>
      </c>
      <c r="V17" s="57" t="n">
        <f aca="false">V16-U17</f>
        <v>769.810022687167</v>
      </c>
      <c r="W17" s="56" t="n">
        <f aca="false">R17+T17+N17+U17</f>
        <v>38.63</v>
      </c>
      <c r="X17" s="56" t="n">
        <f aca="false">IF(L17&lt;0,L17*-1,0)</f>
        <v>0</v>
      </c>
      <c r="Y17" s="56" t="n">
        <f aca="false">W17+X17</f>
        <v>38.63</v>
      </c>
      <c r="Z17" s="60" t="n">
        <v>0</v>
      </c>
      <c r="AA17" s="61" t="n">
        <v>59</v>
      </c>
      <c r="AB17" s="61" t="n">
        <v>22</v>
      </c>
      <c r="AC17" s="62" t="n">
        <f aca="false">AC16+1</f>
        <v>8</v>
      </c>
      <c r="AD17" s="78"/>
      <c r="AE17" s="82"/>
      <c r="AF17" s="79"/>
    </row>
    <row r="18" customFormat="false" ht="11.1" hidden="false" customHeight="true" outlineLevel="0" collapsed="false">
      <c r="A18" s="62" t="n">
        <f aca="false">A17+1</f>
        <v>9</v>
      </c>
      <c r="B18" s="80" t="n">
        <v>6896.32</v>
      </c>
      <c r="C18" s="57" t="n">
        <v>270203</v>
      </c>
      <c r="D18" s="61" t="n">
        <f aca="false">C18-C17</f>
        <v>251</v>
      </c>
      <c r="E18" s="57" t="n">
        <f aca="false">C18-152000</f>
        <v>118203</v>
      </c>
      <c r="F18" s="56" t="n">
        <f aca="false">D18/$D$2</f>
        <v>126.543987900176</v>
      </c>
      <c r="G18" s="56" t="n">
        <v>70</v>
      </c>
      <c r="H18" s="102" t="n">
        <v>30</v>
      </c>
      <c r="I18" s="56" t="n">
        <f aca="false">G18+H18</f>
        <v>100</v>
      </c>
      <c r="J18" s="81" t="n">
        <f aca="false">IF(L18&gt;0,L18,0)</f>
        <v>64.6739879001765</v>
      </c>
      <c r="K18" s="56" t="n">
        <f aca="false">I18+J18</f>
        <v>164.673987900176</v>
      </c>
      <c r="L18" s="56" t="n">
        <f aca="false">F18-(I18-W18)</f>
        <v>64.6739879001765</v>
      </c>
      <c r="M18" s="56" t="n">
        <v>5.13</v>
      </c>
      <c r="N18" s="56" t="n">
        <v>0</v>
      </c>
      <c r="O18" s="56" t="n">
        <f aca="false">M18-N18</f>
        <v>5.13</v>
      </c>
      <c r="P18" s="56" t="n">
        <v>0</v>
      </c>
      <c r="Q18" s="56" t="n">
        <v>0</v>
      </c>
      <c r="R18" s="56" t="n">
        <f aca="false">SUM(O18:Q18)</f>
        <v>5.13</v>
      </c>
      <c r="S18" s="57"/>
      <c r="T18" s="56" t="n">
        <v>0</v>
      </c>
      <c r="U18" s="56" t="n">
        <v>33</v>
      </c>
      <c r="V18" s="57" t="n">
        <f aca="false">V17-U18</f>
        <v>736.810022687167</v>
      </c>
      <c r="W18" s="56" t="n">
        <f aca="false">R18+T18+N18+U18</f>
        <v>38.13</v>
      </c>
      <c r="X18" s="56" t="n">
        <f aca="false">IF(L18&lt;0,L18*-1,0)</f>
        <v>0</v>
      </c>
      <c r="Y18" s="56" t="n">
        <f aca="false">W18+X18</f>
        <v>38.13</v>
      </c>
      <c r="Z18" s="60" t="n">
        <v>0</v>
      </c>
      <c r="AA18" s="90" t="n">
        <v>54</v>
      </c>
      <c r="AB18" s="61" t="n">
        <v>18</v>
      </c>
      <c r="AC18" s="62" t="n">
        <f aca="false">AC17+1</f>
        <v>9</v>
      </c>
      <c r="AD18" s="78"/>
      <c r="AE18" s="82"/>
      <c r="AF18" s="79"/>
    </row>
    <row r="19" customFormat="false" ht="11.1" hidden="false" customHeight="true" outlineLevel="0" collapsed="false">
      <c r="A19" s="62" t="n">
        <f aca="false">A18+1</f>
        <v>10</v>
      </c>
      <c r="B19" s="80" t="n">
        <v>6896.42</v>
      </c>
      <c r="C19" s="57" t="n">
        <v>270562</v>
      </c>
      <c r="D19" s="61" t="n">
        <f aca="false">C19-C18</f>
        <v>359</v>
      </c>
      <c r="E19" s="57" t="n">
        <f aca="false">C19-152000</f>
        <v>118562</v>
      </c>
      <c r="F19" s="56" t="n">
        <f aca="false">D19/$D$2</f>
        <v>180.993193849256</v>
      </c>
      <c r="G19" s="56" t="n">
        <v>70</v>
      </c>
      <c r="H19" s="102" t="n">
        <v>35</v>
      </c>
      <c r="I19" s="56" t="n">
        <f aca="false">G19+H19</f>
        <v>105</v>
      </c>
      <c r="J19" s="81" t="n">
        <f aca="false">IF(L19&gt;0,L19,0)</f>
        <v>114.123193849256</v>
      </c>
      <c r="K19" s="56" t="n">
        <f aca="false">I19+J19</f>
        <v>219.123193849256</v>
      </c>
      <c r="L19" s="56" t="n">
        <f aca="false">F19-(I19-W19)</f>
        <v>114.123193849256</v>
      </c>
      <c r="M19" s="103" t="n">
        <v>5.13</v>
      </c>
      <c r="N19" s="56" t="n">
        <v>0</v>
      </c>
      <c r="O19" s="56" t="n">
        <f aca="false">M19-N19</f>
        <v>5.13</v>
      </c>
      <c r="P19" s="56" t="n">
        <v>0</v>
      </c>
      <c r="Q19" s="56" t="n">
        <v>0</v>
      </c>
      <c r="R19" s="56" t="n">
        <f aca="false">SUM(O19:Q19)</f>
        <v>5.13</v>
      </c>
      <c r="S19" s="57"/>
      <c r="T19" s="56" t="n">
        <v>0</v>
      </c>
      <c r="U19" s="56" t="n">
        <v>33</v>
      </c>
      <c r="V19" s="57" t="n">
        <f aca="false">V18-U19</f>
        <v>703.810022687167</v>
      </c>
      <c r="W19" s="56" t="n">
        <f aca="false">R19+T19+N19+U19</f>
        <v>38.13</v>
      </c>
      <c r="X19" s="56" t="n">
        <f aca="false">IF(L19&lt;0,L19*-1,0)</f>
        <v>0</v>
      </c>
      <c r="Y19" s="56" t="n">
        <f aca="false">W19+X19</f>
        <v>38.13</v>
      </c>
      <c r="Z19" s="60" t="n">
        <v>0</v>
      </c>
      <c r="AA19" s="61" t="n">
        <v>56</v>
      </c>
      <c r="AB19" s="61" t="n">
        <v>21</v>
      </c>
      <c r="AC19" s="62" t="n">
        <f aca="false">AC18+1</f>
        <v>10</v>
      </c>
      <c r="AD19" s="78"/>
      <c r="AE19" s="82"/>
      <c r="AF19" s="79"/>
    </row>
    <row r="20" customFormat="false" ht="11.1" hidden="false" customHeight="true" outlineLevel="0" collapsed="false">
      <c r="A20" s="62" t="n">
        <f aca="false">A19+1</f>
        <v>11</v>
      </c>
      <c r="B20" s="80" t="n">
        <v>6896.55</v>
      </c>
      <c r="C20" s="57" t="n">
        <v>271028</v>
      </c>
      <c r="D20" s="61" t="n">
        <f aca="false">C20-C19</f>
        <v>466</v>
      </c>
      <c r="E20" s="57" t="n">
        <f aca="false">C20-152000</f>
        <v>119028</v>
      </c>
      <c r="F20" s="56" t="n">
        <f aca="false">D20/$D$2</f>
        <v>234.938240483993</v>
      </c>
      <c r="G20" s="56" t="n">
        <v>80</v>
      </c>
      <c r="H20" s="102" t="n">
        <v>30</v>
      </c>
      <c r="I20" s="56" t="n">
        <f aca="false">G20+H20</f>
        <v>110</v>
      </c>
      <c r="J20" s="81" t="n">
        <f aca="false">IF(L20&gt;0,L20,0)</f>
        <v>163.448240483993</v>
      </c>
      <c r="K20" s="56" t="n">
        <f aca="false">I20+J20</f>
        <v>273.448240483993</v>
      </c>
      <c r="L20" s="56" t="n">
        <f aca="false">F20-(I20-W20)</f>
        <v>163.448240483993</v>
      </c>
      <c r="M20" s="103" t="n">
        <v>5.51</v>
      </c>
      <c r="N20" s="56" t="n">
        <v>0</v>
      </c>
      <c r="O20" s="56" t="n">
        <f aca="false">M20-N20</f>
        <v>5.51</v>
      </c>
      <c r="P20" s="56" t="n">
        <v>0</v>
      </c>
      <c r="Q20" s="56" t="n">
        <v>0</v>
      </c>
      <c r="R20" s="56" t="n">
        <f aca="false">SUM(O20:Q20)</f>
        <v>5.51</v>
      </c>
      <c r="S20" s="57"/>
      <c r="T20" s="56" t="n">
        <v>0</v>
      </c>
      <c r="U20" s="56" t="n">
        <v>33</v>
      </c>
      <c r="V20" s="57" t="n">
        <f aca="false">V19-U20</f>
        <v>670.810022687167</v>
      </c>
      <c r="W20" s="56" t="n">
        <f aca="false">R20+T20+N20+U20</f>
        <v>38.51</v>
      </c>
      <c r="X20" s="56" t="n">
        <f aca="false">IF(L20&lt;0,L20*-1,0)</f>
        <v>0</v>
      </c>
      <c r="Y20" s="56" t="n">
        <f aca="false">W20+X20</f>
        <v>38.51</v>
      </c>
      <c r="Z20" s="60" t="n">
        <v>0</v>
      </c>
      <c r="AA20" s="61" t="n">
        <v>61</v>
      </c>
      <c r="AB20" s="61" t="n">
        <v>24</v>
      </c>
      <c r="AC20" s="62" t="n">
        <f aca="false">AC19+1</f>
        <v>11</v>
      </c>
      <c r="AD20" s="78"/>
      <c r="AE20" s="82"/>
      <c r="AF20" s="79"/>
    </row>
    <row r="21" customFormat="false" ht="11.1" hidden="false" customHeight="true" outlineLevel="0" collapsed="false">
      <c r="A21" s="62" t="n">
        <f aca="false">A20+1</f>
        <v>12</v>
      </c>
      <c r="B21" s="80" t="n">
        <v>6896.75</v>
      </c>
      <c r="C21" s="57" t="n">
        <v>271746</v>
      </c>
      <c r="D21" s="61" t="n">
        <f aca="false">C21-C20</f>
        <v>718</v>
      </c>
      <c r="E21" s="57" t="n">
        <f aca="false">C21-152000</f>
        <v>119746</v>
      </c>
      <c r="F21" s="56" t="n">
        <f aca="false">D21/$D$2</f>
        <v>361.986387698513</v>
      </c>
      <c r="G21" s="56" t="n">
        <v>80</v>
      </c>
      <c r="H21" s="102" t="n">
        <v>48</v>
      </c>
      <c r="I21" s="56" t="n">
        <f aca="false">G21+H21</f>
        <v>128</v>
      </c>
      <c r="J21" s="81" t="n">
        <f aca="false">IF(L21&gt;0,L21,0)</f>
        <v>272.496387698513</v>
      </c>
      <c r="K21" s="56" t="n">
        <f aca="false">I21+J21</f>
        <v>400.496387698513</v>
      </c>
      <c r="L21" s="56" t="n">
        <f aca="false">F21-(I21-W21)</f>
        <v>272.496387698513</v>
      </c>
      <c r="M21" s="103" t="n">
        <v>5.51</v>
      </c>
      <c r="N21" s="56" t="n">
        <v>0</v>
      </c>
      <c r="O21" s="56" t="n">
        <f aca="false">M21-N21</f>
        <v>5.51</v>
      </c>
      <c r="P21" s="56" t="n">
        <v>0</v>
      </c>
      <c r="Q21" s="56" t="n">
        <v>0</v>
      </c>
      <c r="R21" s="56" t="n">
        <f aca="false">SUM(O21:Q21)</f>
        <v>5.51</v>
      </c>
      <c r="S21" s="57"/>
      <c r="T21" s="56" t="n">
        <v>0</v>
      </c>
      <c r="U21" s="56" t="n">
        <v>33</v>
      </c>
      <c r="V21" s="57" t="n">
        <f aca="false">V20-U21</f>
        <v>637.810022687167</v>
      </c>
      <c r="W21" s="56" t="n">
        <f aca="false">R21+T21+N21+U21</f>
        <v>38.51</v>
      </c>
      <c r="X21" s="56" t="n">
        <f aca="false">IF(L21&lt;0,L21*-1,0)</f>
        <v>0</v>
      </c>
      <c r="Y21" s="56" t="n">
        <f aca="false">W21+X21</f>
        <v>38.51</v>
      </c>
      <c r="Z21" s="60" t="n">
        <v>0</v>
      </c>
      <c r="AA21" s="61" t="n">
        <v>57</v>
      </c>
      <c r="AB21" s="61" t="n">
        <v>22</v>
      </c>
      <c r="AC21" s="62" t="n">
        <f aca="false">AC20+1</f>
        <v>12</v>
      </c>
      <c r="AD21" s="78"/>
      <c r="AE21" s="82"/>
      <c r="AF21" s="79"/>
    </row>
    <row r="22" customFormat="false" ht="11.1" hidden="false" customHeight="true" outlineLevel="0" collapsed="false">
      <c r="A22" s="62" t="n">
        <f aca="false">A21+1</f>
        <v>13</v>
      </c>
      <c r="B22" s="80" t="n">
        <v>6897</v>
      </c>
      <c r="C22" s="57" t="n">
        <v>272643</v>
      </c>
      <c r="D22" s="61" t="n">
        <f aca="false">C22-C21</f>
        <v>897</v>
      </c>
      <c r="E22" s="57" t="n">
        <f aca="false">C22-152000</f>
        <v>120643</v>
      </c>
      <c r="F22" s="56" t="n">
        <f aca="false">D22/$D$2</f>
        <v>452.230904965969</v>
      </c>
      <c r="G22" s="56" t="n">
        <v>80</v>
      </c>
      <c r="H22" s="102" t="n">
        <v>72</v>
      </c>
      <c r="I22" s="56" t="n">
        <f aca="false">G22+H22</f>
        <v>152</v>
      </c>
      <c r="J22" s="81" t="n">
        <f aca="false">IF(L22&gt;0,L22,0)</f>
        <v>338.740904965969</v>
      </c>
      <c r="K22" s="56" t="n">
        <f aca="false">I22+J22</f>
        <v>490.740904965969</v>
      </c>
      <c r="L22" s="56" t="n">
        <f aca="false">F22-(I22-W22)</f>
        <v>338.740904965969</v>
      </c>
      <c r="M22" s="103" t="n">
        <v>5.51</v>
      </c>
      <c r="N22" s="56" t="n">
        <v>0</v>
      </c>
      <c r="O22" s="56" t="n">
        <f aca="false">M22-N22</f>
        <v>5.51</v>
      </c>
      <c r="P22" s="56" t="n">
        <v>0</v>
      </c>
      <c r="Q22" s="56" t="n">
        <v>0</v>
      </c>
      <c r="R22" s="56" t="n">
        <f aca="false">SUM(O22:Q22)</f>
        <v>5.51</v>
      </c>
      <c r="S22" s="57"/>
      <c r="T22" s="56" t="n">
        <v>0</v>
      </c>
      <c r="U22" s="56" t="n">
        <v>33</v>
      </c>
      <c r="V22" s="57" t="n">
        <f aca="false">V21-U22</f>
        <v>604.810022687167</v>
      </c>
      <c r="W22" s="56" t="n">
        <f aca="false">R22+T22+N22+U22</f>
        <v>38.51</v>
      </c>
      <c r="X22" s="56" t="n">
        <f aca="false">IF(L22&lt;0,L22*-1,0)</f>
        <v>0</v>
      </c>
      <c r="Y22" s="56" t="n">
        <f aca="false">W22+X22</f>
        <v>38.51</v>
      </c>
      <c r="Z22" s="60" t="n">
        <v>0</v>
      </c>
      <c r="AA22" s="61" t="n">
        <v>54</v>
      </c>
      <c r="AB22" s="61" t="n">
        <v>25</v>
      </c>
      <c r="AC22" s="62" t="n">
        <f aca="false">AC21+1</f>
        <v>13</v>
      </c>
      <c r="AD22" s="78"/>
      <c r="AE22" s="82"/>
      <c r="AF22" s="79"/>
    </row>
    <row r="23" customFormat="false" ht="11.1" hidden="false" customHeight="true" outlineLevel="0" collapsed="false">
      <c r="A23" s="62" t="n">
        <f aca="false">A22+1</f>
        <v>14</v>
      </c>
      <c r="B23" s="80" t="n">
        <v>6897.3</v>
      </c>
      <c r="C23" s="57" t="n">
        <v>273728</v>
      </c>
      <c r="D23" s="61" t="n">
        <f aca="false">C23-C22</f>
        <v>1085</v>
      </c>
      <c r="E23" s="57" t="n">
        <f aca="false">C23-152000</f>
        <v>121728</v>
      </c>
      <c r="F23" s="56" t="n">
        <f aca="false">D23/$D$2</f>
        <v>547.012856062516</v>
      </c>
      <c r="G23" s="56" t="n">
        <v>100</v>
      </c>
      <c r="H23" s="58" t="n">
        <v>103</v>
      </c>
      <c r="I23" s="56" t="n">
        <f aca="false">G23+H23</f>
        <v>203</v>
      </c>
      <c r="J23" s="81" t="n">
        <f aca="false">IF(L23&gt;0,L23,0)</f>
        <v>385.972856062516</v>
      </c>
      <c r="K23" s="56" t="n">
        <f aca="false">I23+J23</f>
        <v>588.972856062516</v>
      </c>
      <c r="L23" s="56" t="n">
        <f aca="false">F23-(I23-W23)</f>
        <v>385.972856062516</v>
      </c>
      <c r="M23" s="56" t="n">
        <v>5.51</v>
      </c>
      <c r="N23" s="56" t="n">
        <v>0</v>
      </c>
      <c r="O23" s="56" t="n">
        <f aca="false">M23-N23</f>
        <v>5.51</v>
      </c>
      <c r="P23" s="56" t="n">
        <v>3.45</v>
      </c>
      <c r="Q23" s="56" t="n">
        <v>0</v>
      </c>
      <c r="R23" s="56" t="n">
        <f aca="false">SUM(O23:Q23)</f>
        <v>8.96</v>
      </c>
      <c r="S23" s="57"/>
      <c r="T23" s="56" t="n">
        <v>0</v>
      </c>
      <c r="U23" s="56" t="n">
        <v>33</v>
      </c>
      <c r="V23" s="57" t="n">
        <f aca="false">V22-U23</f>
        <v>571.810022687167</v>
      </c>
      <c r="W23" s="56" t="n">
        <f aca="false">R23+T23+N23+U23</f>
        <v>41.96</v>
      </c>
      <c r="X23" s="56" t="n">
        <f aca="false">IF(L23&lt;0,L23*-1,0)</f>
        <v>0</v>
      </c>
      <c r="Y23" s="56" t="n">
        <f aca="false">W23+X23</f>
        <v>41.96</v>
      </c>
      <c r="Z23" s="60" t="n">
        <v>0</v>
      </c>
      <c r="AA23" s="90" t="n">
        <v>53</v>
      </c>
      <c r="AB23" s="61" t="n">
        <v>23</v>
      </c>
      <c r="AC23" s="62" t="n">
        <f aca="false">AC22+1</f>
        <v>14</v>
      </c>
      <c r="AD23" s="78"/>
      <c r="AE23" s="82"/>
      <c r="AF23" s="79"/>
    </row>
    <row r="24" customFormat="false" ht="11.1" hidden="false" customHeight="true" outlineLevel="0" collapsed="false">
      <c r="A24" s="62" t="n">
        <f aca="false">A23+1</f>
        <v>15</v>
      </c>
      <c r="B24" s="80" t="n">
        <v>6897.65</v>
      </c>
      <c r="C24" s="57" t="n">
        <v>274995</v>
      </c>
      <c r="D24" s="61" t="n">
        <f aca="false">C24-C23</f>
        <v>1267</v>
      </c>
      <c r="E24" s="57" t="n">
        <f aca="false">C24-152000</f>
        <v>122995</v>
      </c>
      <c r="F24" s="56" t="n">
        <f aca="false">D24/$D$2</f>
        <v>638.769851273002</v>
      </c>
      <c r="G24" s="56" t="n">
        <v>100</v>
      </c>
      <c r="H24" s="58" t="n">
        <v>104</v>
      </c>
      <c r="I24" s="56" t="n">
        <f aca="false">G24+H24</f>
        <v>204</v>
      </c>
      <c r="J24" s="81" t="n">
        <f aca="false">IF(L24&gt;0,L24,0)</f>
        <v>473.129851273002</v>
      </c>
      <c r="K24" s="56" t="n">
        <f aca="false">I24+J24</f>
        <v>677.129851273002</v>
      </c>
      <c r="L24" s="56" t="n">
        <f aca="false">F24-(I24-W24)</f>
        <v>473.129851273002</v>
      </c>
      <c r="M24" s="56" t="n">
        <v>5.36</v>
      </c>
      <c r="N24" s="56" t="n">
        <v>0</v>
      </c>
      <c r="O24" s="56" t="n">
        <f aca="false">M24-N24</f>
        <v>5.36</v>
      </c>
      <c r="P24" s="56" t="n">
        <v>0</v>
      </c>
      <c r="Q24" s="56" t="n">
        <v>0</v>
      </c>
      <c r="R24" s="56" t="n">
        <f aca="false">SUM(O24:Q24)</f>
        <v>5.36</v>
      </c>
      <c r="S24" s="57"/>
      <c r="T24" s="56" t="n">
        <v>0</v>
      </c>
      <c r="U24" s="56" t="n">
        <v>33</v>
      </c>
      <c r="V24" s="57" t="n">
        <f aca="false">V23-U24</f>
        <v>538.810022687167</v>
      </c>
      <c r="W24" s="56" t="n">
        <f aca="false">R24+T24+N24+U24</f>
        <v>38.36</v>
      </c>
      <c r="X24" s="56" t="n">
        <f aca="false">IF(L24&lt;0,L24*-1,0)</f>
        <v>0</v>
      </c>
      <c r="Y24" s="56" t="n">
        <f aca="false">W24+X24</f>
        <v>38.36</v>
      </c>
      <c r="Z24" s="60" t="n">
        <v>0</v>
      </c>
      <c r="AA24" s="90" t="n">
        <v>57</v>
      </c>
      <c r="AB24" s="61" t="n">
        <v>23</v>
      </c>
      <c r="AC24" s="62" t="n">
        <f aca="false">AC23+1</f>
        <v>15</v>
      </c>
      <c r="AD24" s="78"/>
      <c r="AE24" s="82"/>
      <c r="AF24" s="79"/>
    </row>
    <row r="25" customFormat="false" ht="11.1" hidden="false" customHeight="true" outlineLevel="0" collapsed="false">
      <c r="A25" s="62" t="n">
        <f aca="false">A24+1</f>
        <v>16</v>
      </c>
      <c r="B25" s="80" t="n">
        <v>6898.07</v>
      </c>
      <c r="C25" s="57" t="n">
        <v>276516</v>
      </c>
      <c r="D25" s="61" t="n">
        <f aca="false">C25-C24</f>
        <v>1521</v>
      </c>
      <c r="E25" s="57" t="n">
        <f aca="false">C25-152000</f>
        <v>124516</v>
      </c>
      <c r="F25" s="56" t="n">
        <f aca="false">D25/$D$2</f>
        <v>766.826317116209</v>
      </c>
      <c r="G25" s="56" t="n">
        <v>120</v>
      </c>
      <c r="H25" s="58" t="n">
        <v>106</v>
      </c>
      <c r="I25" s="56" t="n">
        <f aca="false">G25+H25</f>
        <v>226</v>
      </c>
      <c r="J25" s="81" t="n">
        <f aca="false">IF(L25&gt;0,L25,0)</f>
        <v>578.746317116209</v>
      </c>
      <c r="K25" s="56" t="n">
        <f aca="false">I25+J25</f>
        <v>804.746317116209</v>
      </c>
      <c r="L25" s="56" t="n">
        <f aca="false">F25-(I25-W25)</f>
        <v>578.746317116209</v>
      </c>
      <c r="M25" s="56" t="n">
        <v>4.92</v>
      </c>
      <c r="N25" s="56" t="n">
        <v>0</v>
      </c>
      <c r="O25" s="56" t="n">
        <f aca="false">M25-N25</f>
        <v>4.92</v>
      </c>
      <c r="P25" s="56" t="n">
        <v>0</v>
      </c>
      <c r="Q25" s="56" t="n">
        <v>0</v>
      </c>
      <c r="R25" s="56" t="n">
        <f aca="false">SUM(O25:Q25)</f>
        <v>4.92</v>
      </c>
      <c r="S25" s="57"/>
      <c r="T25" s="56" t="n">
        <v>0</v>
      </c>
      <c r="U25" s="56" t="n">
        <v>33</v>
      </c>
      <c r="V25" s="57" t="n">
        <f aca="false">V24-U25</f>
        <v>505.810022687167</v>
      </c>
      <c r="W25" s="56" t="n">
        <f aca="false">R25+T25+N25+U25</f>
        <v>37.92</v>
      </c>
      <c r="X25" s="56" t="n">
        <f aca="false">IF(L25&lt;0,L25*-1,0)</f>
        <v>0</v>
      </c>
      <c r="Y25" s="56" t="n">
        <f aca="false">W25+X25</f>
        <v>37.92</v>
      </c>
      <c r="Z25" s="60" t="n">
        <v>0</v>
      </c>
      <c r="AA25" s="90" t="n">
        <v>65</v>
      </c>
      <c r="AB25" s="61" t="n">
        <v>24</v>
      </c>
      <c r="AC25" s="62" t="n">
        <f aca="false">AC24+1</f>
        <v>16</v>
      </c>
      <c r="AD25" s="78"/>
      <c r="AE25" s="91"/>
      <c r="AF25" s="79"/>
    </row>
    <row r="26" customFormat="false" ht="11.1" hidden="false" customHeight="true" outlineLevel="0" collapsed="false">
      <c r="A26" s="62" t="n">
        <f aca="false">A25+1</f>
        <v>17</v>
      </c>
      <c r="B26" s="80" t="n">
        <v>6898.55</v>
      </c>
      <c r="C26" s="57" t="n">
        <v>278266</v>
      </c>
      <c r="D26" s="61" t="n">
        <f aca="false">C26-C25</f>
        <v>1750</v>
      </c>
      <c r="E26" s="57" t="n">
        <f aca="false">C26-152000</f>
        <v>126266</v>
      </c>
      <c r="F26" s="56" t="n">
        <f aca="false">D26/$D$2</f>
        <v>882.278800100832</v>
      </c>
      <c r="G26" s="56" t="n">
        <v>140</v>
      </c>
      <c r="H26" s="58" t="n">
        <v>111</v>
      </c>
      <c r="I26" s="56" t="n">
        <f aca="false">G26+H26</f>
        <v>251</v>
      </c>
      <c r="J26" s="81" t="n">
        <f aca="false">IF(L26&gt;0,L26,0)</f>
        <v>668.598800100832</v>
      </c>
      <c r="K26" s="56" t="n">
        <f aca="false">I26+J26</f>
        <v>919.598800100832</v>
      </c>
      <c r="L26" s="56" t="n">
        <f aca="false">F26-(I26-W26)</f>
        <v>668.598800100832</v>
      </c>
      <c r="M26" s="56" t="n">
        <v>4.32</v>
      </c>
      <c r="N26" s="56" t="n">
        <v>0</v>
      </c>
      <c r="O26" s="56" t="n">
        <f aca="false">M26-N26</f>
        <v>4.32</v>
      </c>
      <c r="P26" s="56" t="n">
        <v>0</v>
      </c>
      <c r="Q26" s="56" t="n">
        <v>0</v>
      </c>
      <c r="R26" s="56" t="n">
        <f aca="false">SUM(O26:Q26)</f>
        <v>4.32</v>
      </c>
      <c r="S26" s="57"/>
      <c r="T26" s="56" t="n">
        <v>0</v>
      </c>
      <c r="U26" s="56" t="n">
        <v>33</v>
      </c>
      <c r="V26" s="57" t="n">
        <f aca="false">V25-U26</f>
        <v>472.810022687167</v>
      </c>
      <c r="W26" s="56" t="n">
        <f aca="false">R26+T26+N26+U26</f>
        <v>37.32</v>
      </c>
      <c r="X26" s="56" t="n">
        <f aca="false">IF(L26&lt;0,L26*-1,0)</f>
        <v>0</v>
      </c>
      <c r="Y26" s="56" t="n">
        <f aca="false">W26+X26</f>
        <v>37.32</v>
      </c>
      <c r="Z26" s="60" t="n">
        <v>0</v>
      </c>
      <c r="AA26" s="90" t="n">
        <v>60</v>
      </c>
      <c r="AB26" s="61" t="n">
        <v>37</v>
      </c>
      <c r="AC26" s="62" t="n">
        <f aca="false">AC25+1</f>
        <v>17</v>
      </c>
      <c r="AD26" s="78"/>
      <c r="AE26" s="82"/>
      <c r="AF26" s="79"/>
    </row>
    <row r="27" customFormat="false" ht="11.1" hidden="false" customHeight="true" outlineLevel="0" collapsed="false">
      <c r="A27" s="62" t="n">
        <f aca="false">A26+1</f>
        <v>18</v>
      </c>
      <c r="B27" s="80" t="n">
        <v>6899.05</v>
      </c>
      <c r="C27" s="57" t="n">
        <v>280090</v>
      </c>
      <c r="D27" s="61" t="n">
        <f aca="false">C27-C26</f>
        <v>1824</v>
      </c>
      <c r="E27" s="57" t="n">
        <f aca="false">C27-152000</f>
        <v>128090</v>
      </c>
      <c r="F27" s="56" t="n">
        <f aca="false">D27/$D$2</f>
        <v>919.586589362238</v>
      </c>
      <c r="G27" s="56" t="n">
        <v>160</v>
      </c>
      <c r="H27" s="58" t="n">
        <v>121</v>
      </c>
      <c r="I27" s="56" t="n">
        <f aca="false">G27+H27</f>
        <v>281</v>
      </c>
      <c r="J27" s="81" t="n">
        <f aca="false">IF(L27&gt;0,L27,0)</f>
        <v>681.086589362239</v>
      </c>
      <c r="K27" s="56" t="n">
        <f aca="false">I27+J27</f>
        <v>962.086589362239</v>
      </c>
      <c r="L27" s="56" t="n">
        <f aca="false">F27-(I27-W27)</f>
        <v>681.086589362239</v>
      </c>
      <c r="M27" s="56" t="n">
        <v>8.3</v>
      </c>
      <c r="N27" s="56" t="n">
        <v>0</v>
      </c>
      <c r="O27" s="56" t="n">
        <f aca="false">M27-N27</f>
        <v>8.3</v>
      </c>
      <c r="P27" s="56" t="n">
        <v>0</v>
      </c>
      <c r="Q27" s="56" t="n">
        <v>0</v>
      </c>
      <c r="R27" s="56" t="n">
        <f aca="false">SUM(O27:Q27)</f>
        <v>8.3</v>
      </c>
      <c r="S27" s="57"/>
      <c r="T27" s="56" t="n">
        <v>0</v>
      </c>
      <c r="U27" s="56" t="n">
        <v>34.2</v>
      </c>
      <c r="V27" s="57" t="n">
        <f aca="false">V26-U27</f>
        <v>438.610022687167</v>
      </c>
      <c r="W27" s="56" t="n">
        <f aca="false">R27+T27+N27+U27</f>
        <v>42.5</v>
      </c>
      <c r="X27" s="56" t="n">
        <f aca="false">IF(L27&lt;0,L27*-1,0)</f>
        <v>0</v>
      </c>
      <c r="Y27" s="56" t="n">
        <f aca="false">W27+X27</f>
        <v>42.5</v>
      </c>
      <c r="Z27" s="60" t="n">
        <v>0</v>
      </c>
      <c r="AA27" s="90" t="n">
        <v>58</v>
      </c>
      <c r="AB27" s="61" t="n">
        <v>26</v>
      </c>
      <c r="AC27" s="62" t="n">
        <f aca="false">AC26+1</f>
        <v>18</v>
      </c>
      <c r="AD27" s="78"/>
      <c r="AE27" s="82"/>
      <c r="AF27" s="79"/>
    </row>
    <row r="28" customFormat="false" ht="11.1" hidden="false" customHeight="true" outlineLevel="0" collapsed="false">
      <c r="A28" s="62" t="n">
        <f aca="false">A27+1</f>
        <v>19</v>
      </c>
      <c r="B28" s="80" t="n">
        <v>6899.73</v>
      </c>
      <c r="C28" s="97" t="n">
        <v>282588</v>
      </c>
      <c r="D28" s="61" t="n">
        <f aca="false">C28-C27</f>
        <v>2498</v>
      </c>
      <c r="E28" s="57" t="n">
        <f aca="false">C28-152000</f>
        <v>130588</v>
      </c>
      <c r="F28" s="56" t="n">
        <f aca="false">D28/$D$2</f>
        <v>1259.38996722964</v>
      </c>
      <c r="G28" s="56" t="n">
        <v>200</v>
      </c>
      <c r="H28" s="58" t="n">
        <v>154</v>
      </c>
      <c r="I28" s="56" t="n">
        <f aca="false">G28+H28</f>
        <v>354</v>
      </c>
      <c r="J28" s="81" t="n">
        <f aca="false">IF(L28&gt;0,L28,0)</f>
        <v>952.639967229645</v>
      </c>
      <c r="K28" s="56" t="n">
        <f aca="false">I28+J28</f>
        <v>1306.63996722964</v>
      </c>
      <c r="L28" s="56" t="n">
        <f aca="false">F28-(I28-W28)</f>
        <v>952.639967229645</v>
      </c>
      <c r="M28" s="56" t="n">
        <v>13.05</v>
      </c>
      <c r="N28" s="56" t="n">
        <v>0</v>
      </c>
      <c r="O28" s="56" t="n">
        <f aca="false">M28-N28</f>
        <v>13.05</v>
      </c>
      <c r="P28" s="56" t="n">
        <v>0</v>
      </c>
      <c r="Q28" s="56" t="n">
        <v>0</v>
      </c>
      <c r="R28" s="56" t="n">
        <f aca="false">SUM(O28:Q28)</f>
        <v>13.05</v>
      </c>
      <c r="S28" s="57"/>
      <c r="T28" s="56" t="n">
        <v>0</v>
      </c>
      <c r="U28" s="56" t="n">
        <v>34.2</v>
      </c>
      <c r="V28" s="57" t="n">
        <f aca="false">V27-U28</f>
        <v>404.410022687167</v>
      </c>
      <c r="W28" s="56" t="n">
        <f aca="false">R28+T28+N28+U28</f>
        <v>47.25</v>
      </c>
      <c r="X28" s="56" t="n">
        <f aca="false">IF(L28&lt;0,L28*-1,0)</f>
        <v>0</v>
      </c>
      <c r="Y28" s="56" t="n">
        <f aca="false">W28+X28</f>
        <v>47.25</v>
      </c>
      <c r="Z28" s="60" t="n">
        <v>0</v>
      </c>
      <c r="AA28" s="90" t="n">
        <v>68</v>
      </c>
      <c r="AB28" s="61" t="n">
        <v>30</v>
      </c>
      <c r="AC28" s="62" t="n">
        <f aca="false">AC27+1</f>
        <v>19</v>
      </c>
      <c r="AD28" s="78"/>
      <c r="AE28" s="82"/>
      <c r="AF28" s="79"/>
    </row>
    <row r="29" customFormat="false" ht="11.1" hidden="false" customHeight="true" outlineLevel="0" collapsed="false">
      <c r="A29" s="62" t="n">
        <f aca="false">A28+1</f>
        <v>20</v>
      </c>
      <c r="B29" s="80" t="n">
        <v>6900.68</v>
      </c>
      <c r="C29" s="57" t="n">
        <v>286097</v>
      </c>
      <c r="D29" s="61" t="n">
        <f aca="false">C29-C28</f>
        <v>3509</v>
      </c>
      <c r="E29" s="57" t="n">
        <f aca="false">C29-152000</f>
        <v>134097</v>
      </c>
      <c r="F29" s="56" t="n">
        <f aca="false">D29/$D$2</f>
        <v>1769.09503403075</v>
      </c>
      <c r="G29" s="56" t="n">
        <v>300</v>
      </c>
      <c r="H29" s="58" t="n">
        <v>214</v>
      </c>
      <c r="I29" s="56" t="n">
        <f aca="false">G29+H29</f>
        <v>514</v>
      </c>
      <c r="J29" s="81" t="n">
        <f aca="false">IF(L29&gt;0,L29,0)</f>
        <v>1319.09503403075</v>
      </c>
      <c r="K29" s="56" t="n">
        <f aca="false">I29+J29</f>
        <v>1833.09503403075</v>
      </c>
      <c r="L29" s="56" t="n">
        <f aca="false">F29-(I29-W29)</f>
        <v>1319.09503403075</v>
      </c>
      <c r="M29" s="56" t="n">
        <v>31</v>
      </c>
      <c r="N29" s="56" t="n">
        <v>0</v>
      </c>
      <c r="O29" s="56" t="n">
        <f aca="false">M29-N29</f>
        <v>31</v>
      </c>
      <c r="P29" s="56" t="n">
        <v>0</v>
      </c>
      <c r="Q29" s="56" t="n">
        <v>0</v>
      </c>
      <c r="R29" s="56" t="n">
        <f aca="false">SUM(O29:Q29)</f>
        <v>31</v>
      </c>
      <c r="S29" s="57"/>
      <c r="T29" s="56" t="n">
        <v>0</v>
      </c>
      <c r="U29" s="56" t="n">
        <v>33</v>
      </c>
      <c r="V29" s="57" t="n">
        <f aca="false">V28-U29</f>
        <v>371.410022687167</v>
      </c>
      <c r="W29" s="56" t="n">
        <f aca="false">R29+T29+N29+U29</f>
        <v>64</v>
      </c>
      <c r="X29" s="56" t="n">
        <f aca="false">IF(L29&lt;0,L29*-1,0)</f>
        <v>0</v>
      </c>
      <c r="Y29" s="56" t="n">
        <f aca="false">W29+X29</f>
        <v>64</v>
      </c>
      <c r="Z29" s="60" t="n">
        <v>0</v>
      </c>
      <c r="AA29" s="90" t="n">
        <v>68</v>
      </c>
      <c r="AB29" s="61" t="n">
        <v>29</v>
      </c>
      <c r="AC29" s="62" t="n">
        <f aca="false">AC28+1</f>
        <v>20</v>
      </c>
      <c r="AD29" s="78"/>
      <c r="AE29" s="82"/>
      <c r="AF29" s="79"/>
    </row>
    <row r="30" customFormat="false" ht="11.1" hidden="false" customHeight="true" outlineLevel="0" collapsed="false">
      <c r="A30" s="62" t="n">
        <f aca="false">A29+1</f>
        <v>21</v>
      </c>
      <c r="B30" s="80" t="n">
        <v>6901.78</v>
      </c>
      <c r="C30" s="57" t="n">
        <v>290193</v>
      </c>
      <c r="D30" s="61" t="n">
        <f aca="false">C30-C29</f>
        <v>4096</v>
      </c>
      <c r="E30" s="57" t="n">
        <f aca="false">C30-152000</f>
        <v>138193</v>
      </c>
      <c r="F30" s="56" t="n">
        <f aca="false">D30/$D$2</f>
        <v>2065.03655155029</v>
      </c>
      <c r="G30" s="103" t="n">
        <v>619.96</v>
      </c>
      <c r="H30" s="58" t="n">
        <v>261</v>
      </c>
      <c r="I30" s="56" t="n">
        <f aca="false">G30+H30</f>
        <v>880.96</v>
      </c>
      <c r="J30" s="81" t="n">
        <f aca="false">IF(L30&gt;0,L30,0)</f>
        <v>1224.60655155029</v>
      </c>
      <c r="K30" s="56" t="n">
        <f aca="false">I30+J30</f>
        <v>2105.56655155029</v>
      </c>
      <c r="L30" s="56" t="n">
        <f aca="false">F30-(I30-W30)</f>
        <v>1224.60655155029</v>
      </c>
      <c r="M30" s="56" t="n">
        <v>6.33</v>
      </c>
      <c r="N30" s="56" t="n">
        <v>0</v>
      </c>
      <c r="O30" s="56" t="n">
        <f aca="false">M30-N30</f>
        <v>6.33</v>
      </c>
      <c r="P30" s="56" t="n">
        <v>0</v>
      </c>
      <c r="Q30" s="56" t="n">
        <v>0</v>
      </c>
      <c r="R30" s="56" t="n">
        <f aca="false">SUM(O30:Q30)</f>
        <v>6.33</v>
      </c>
      <c r="S30" s="57"/>
      <c r="T30" s="56" t="n">
        <v>0</v>
      </c>
      <c r="U30" s="56" t="n">
        <v>34.2</v>
      </c>
      <c r="V30" s="57" t="n">
        <f aca="false">V29-U30</f>
        <v>337.210022687167</v>
      </c>
      <c r="W30" s="56" t="n">
        <f aca="false">R30+T30+N30+U30</f>
        <v>40.53</v>
      </c>
      <c r="X30" s="56" t="n">
        <f aca="false">IF(L30&lt;0,L30*-1,0)</f>
        <v>0</v>
      </c>
      <c r="Y30" s="56" t="n">
        <f aca="false">W30+X30</f>
        <v>40.53</v>
      </c>
      <c r="Z30" s="60" t="n">
        <v>0</v>
      </c>
      <c r="AA30" s="61" t="n">
        <v>66</v>
      </c>
      <c r="AB30" s="61" t="n">
        <v>35</v>
      </c>
      <c r="AC30" s="62" t="n">
        <f aca="false">AC29+1</f>
        <v>21</v>
      </c>
      <c r="AD30" s="78"/>
      <c r="AE30" s="82"/>
      <c r="AF30" s="79"/>
    </row>
    <row r="31" customFormat="false" ht="11.1" hidden="false" customHeight="true" outlineLevel="0" collapsed="false">
      <c r="A31" s="62" t="n">
        <f aca="false">A30+1</f>
        <v>22</v>
      </c>
      <c r="B31" s="80" t="n">
        <v>6902.94</v>
      </c>
      <c r="C31" s="57" t="n">
        <v>294552</v>
      </c>
      <c r="D31" s="61" t="n">
        <f aca="false">C31-C30</f>
        <v>4359</v>
      </c>
      <c r="E31" s="57" t="n">
        <f aca="false">C31-152000</f>
        <v>142552</v>
      </c>
      <c r="F31" s="56" t="n">
        <f aca="false">D31/$D$2</f>
        <v>2197.63045122259</v>
      </c>
      <c r="G31" s="56" t="n">
        <v>973</v>
      </c>
      <c r="H31" s="58" t="n">
        <v>267</v>
      </c>
      <c r="I31" s="56" t="n">
        <f aca="false">G31+H31</f>
        <v>1240</v>
      </c>
      <c r="J31" s="81" t="n">
        <f aca="false">IF(L31&gt;0,L31,0)</f>
        <v>998.930451222586</v>
      </c>
      <c r="K31" s="56" t="n">
        <f aca="false">I31+J31</f>
        <v>2238.93045122259</v>
      </c>
      <c r="L31" s="56" t="n">
        <f aca="false">F31-(I31-W31)</f>
        <v>998.930451222586</v>
      </c>
      <c r="M31" s="56" t="n">
        <v>7.1</v>
      </c>
      <c r="N31" s="56" t="n">
        <v>0</v>
      </c>
      <c r="O31" s="56" t="n">
        <f aca="false">M31-N31</f>
        <v>7.1</v>
      </c>
      <c r="P31" s="56" t="n">
        <v>0</v>
      </c>
      <c r="Q31" s="56" t="n">
        <v>0</v>
      </c>
      <c r="R31" s="56" t="n">
        <f aca="false">SUM(O31:Q31)</f>
        <v>7.1</v>
      </c>
      <c r="S31" s="57"/>
      <c r="T31" s="56" t="n">
        <v>0</v>
      </c>
      <c r="U31" s="56" t="n">
        <v>34.2</v>
      </c>
      <c r="V31" s="57" t="n">
        <f aca="false">V30-U31</f>
        <v>303.010022687167</v>
      </c>
      <c r="W31" s="56" t="n">
        <f aca="false">R31+T31+N31+U31</f>
        <v>41.3</v>
      </c>
      <c r="X31" s="56" t="n">
        <f aca="false">IF(L31&lt;0,L31*-1,0)</f>
        <v>0</v>
      </c>
      <c r="Y31" s="56" t="n">
        <f aca="false">W31+X31</f>
        <v>41.3</v>
      </c>
      <c r="Z31" s="60" t="n">
        <v>0</v>
      </c>
      <c r="AA31" s="61" t="n">
        <v>67</v>
      </c>
      <c r="AB31" s="61" t="n">
        <v>30</v>
      </c>
      <c r="AC31" s="62" t="n">
        <f aca="false">AC30+1</f>
        <v>22</v>
      </c>
      <c r="AD31" s="78"/>
      <c r="AE31" s="82"/>
      <c r="AF31" s="79"/>
    </row>
    <row r="32" customFormat="false" ht="11.1" hidden="false" customHeight="true" outlineLevel="0" collapsed="false">
      <c r="A32" s="62" t="n">
        <f aca="false">A31+1</f>
        <v>23</v>
      </c>
      <c r="B32" s="80" t="n">
        <v>6904.16</v>
      </c>
      <c r="C32" s="57" t="n">
        <v>299183</v>
      </c>
      <c r="D32" s="61" t="n">
        <f aca="false">C32-C31</f>
        <v>4631</v>
      </c>
      <c r="E32" s="57" t="n">
        <f aca="false">C32-152000</f>
        <v>147183</v>
      </c>
      <c r="F32" s="56" t="n">
        <f aca="false">D32/$D$2</f>
        <v>2334.76178472397</v>
      </c>
      <c r="G32" s="56" t="n">
        <v>1060</v>
      </c>
      <c r="H32" s="58" t="n">
        <v>301</v>
      </c>
      <c r="I32" s="56" t="n">
        <f aca="false">G32+H32</f>
        <v>1361</v>
      </c>
      <c r="J32" s="81" t="n">
        <f aca="false">IF(L32&gt;0,L32,0)</f>
        <v>1015.24178472397</v>
      </c>
      <c r="K32" s="56" t="n">
        <f aca="false">I32+J32</f>
        <v>2376.24178472397</v>
      </c>
      <c r="L32" s="56" t="n">
        <f aca="false">F32-(I32-W32)</f>
        <v>1015.24178472397</v>
      </c>
      <c r="M32" s="56" t="n">
        <v>7.28</v>
      </c>
      <c r="N32" s="56" t="n">
        <v>0</v>
      </c>
      <c r="O32" s="56" t="n">
        <f aca="false">M32-N32</f>
        <v>7.28</v>
      </c>
      <c r="P32" s="56" t="n">
        <v>0</v>
      </c>
      <c r="Q32" s="56" t="n">
        <v>0</v>
      </c>
      <c r="R32" s="56" t="n">
        <f aca="false">SUM(O32:Q32)</f>
        <v>7.28</v>
      </c>
      <c r="S32" s="57"/>
      <c r="T32" s="56" t="n">
        <v>0</v>
      </c>
      <c r="U32" s="56" t="n">
        <v>34.2</v>
      </c>
      <c r="V32" s="57" t="n">
        <f aca="false">V31-U32</f>
        <v>268.810022687167</v>
      </c>
      <c r="W32" s="56" t="n">
        <f aca="false">R32+T32+N32+U32</f>
        <v>41.48</v>
      </c>
      <c r="X32" s="56" t="n">
        <f aca="false">IF(L32&lt;0,L32*-1,0)</f>
        <v>0</v>
      </c>
      <c r="Y32" s="56" t="n">
        <f aca="false">W32+X32</f>
        <v>41.48</v>
      </c>
      <c r="Z32" s="60" t="n">
        <v>0</v>
      </c>
      <c r="AA32" s="61" t="n">
        <v>68</v>
      </c>
      <c r="AB32" s="90" t="n">
        <v>28</v>
      </c>
      <c r="AC32" s="62" t="n">
        <f aca="false">AC31+1</f>
        <v>23</v>
      </c>
      <c r="AD32" s="78"/>
      <c r="AE32" s="82"/>
      <c r="AF32" s="79"/>
    </row>
    <row r="33" customFormat="false" ht="11.1" hidden="false" customHeight="true" outlineLevel="0" collapsed="false">
      <c r="A33" s="62" t="n">
        <f aca="false">A32+1</f>
        <v>24</v>
      </c>
      <c r="B33" s="80" t="n">
        <v>6905.31</v>
      </c>
      <c r="C33" s="57" t="n">
        <v>303591</v>
      </c>
      <c r="D33" s="61" t="n">
        <f aca="false">C33-C32</f>
        <v>4408</v>
      </c>
      <c r="E33" s="57" t="n">
        <f aca="false">C33-152000</f>
        <v>151591</v>
      </c>
      <c r="F33" s="56" t="n">
        <f aca="false">D33/$D$2</f>
        <v>2222.33425762541</v>
      </c>
      <c r="G33" s="56" t="n">
        <v>1080</v>
      </c>
      <c r="H33" s="58" t="n">
        <v>269</v>
      </c>
      <c r="I33" s="56" t="n">
        <f aca="false">G33+H33</f>
        <v>1349</v>
      </c>
      <c r="J33" s="81" t="n">
        <f aca="false">IF(L33&gt;0,L33,0)</f>
        <v>948.534257625409</v>
      </c>
      <c r="K33" s="56" t="n">
        <f aca="false">I33+J33</f>
        <v>2297.53425762541</v>
      </c>
      <c r="L33" s="56" t="n">
        <f aca="false">F33-(I33-W33)</f>
        <v>948.534257625409</v>
      </c>
      <c r="M33" s="56" t="n">
        <v>41</v>
      </c>
      <c r="N33" s="56" t="n">
        <v>0</v>
      </c>
      <c r="O33" s="56" t="n">
        <f aca="false">M33-N33</f>
        <v>41</v>
      </c>
      <c r="P33" s="56" t="n">
        <v>0</v>
      </c>
      <c r="Q33" s="56" t="n">
        <v>0</v>
      </c>
      <c r="R33" s="56" t="n">
        <f aca="false">SUM(O33:Q33)</f>
        <v>41</v>
      </c>
      <c r="S33" s="57"/>
      <c r="T33" s="56" t="n">
        <v>0</v>
      </c>
      <c r="U33" s="56" t="n">
        <v>34.2</v>
      </c>
      <c r="V33" s="57" t="n">
        <f aca="false">V32-U33</f>
        <v>234.610022687167</v>
      </c>
      <c r="W33" s="56" t="n">
        <f aca="false">R33+T33+N33+U33</f>
        <v>75.2</v>
      </c>
      <c r="X33" s="56" t="n">
        <f aca="false">IF(L33&lt;0,L33*-1,0)</f>
        <v>0</v>
      </c>
      <c r="Y33" s="56" t="n">
        <f aca="false">W33+X33</f>
        <v>75.2</v>
      </c>
      <c r="Z33" s="60" t="n">
        <v>0</v>
      </c>
      <c r="AA33" s="61" t="n">
        <v>56</v>
      </c>
      <c r="AB33" s="90" t="n">
        <v>31</v>
      </c>
      <c r="AC33" s="62" t="n">
        <f aca="false">AC32+1</f>
        <v>24</v>
      </c>
      <c r="AD33" s="78"/>
      <c r="AE33" s="82"/>
      <c r="AF33" s="79"/>
    </row>
    <row r="34" customFormat="false" ht="11.1" hidden="false" customHeight="true" outlineLevel="0" collapsed="false">
      <c r="A34" s="62" t="n">
        <f aca="false">A33+1</f>
        <v>25</v>
      </c>
      <c r="B34" s="80" t="n">
        <v>6906.01</v>
      </c>
      <c r="C34" s="57" t="n">
        <v>306290</v>
      </c>
      <c r="D34" s="61" t="n">
        <f aca="false">C34-C33</f>
        <v>2699</v>
      </c>
      <c r="E34" s="57" t="n">
        <f aca="false">C34-152000</f>
        <v>154290</v>
      </c>
      <c r="F34" s="56" t="n">
        <f aca="false">D34/$D$2</f>
        <v>1360.72598941265</v>
      </c>
      <c r="G34" s="56" t="n">
        <v>824</v>
      </c>
      <c r="H34" s="58" t="n">
        <v>150</v>
      </c>
      <c r="I34" s="56" t="n">
        <f aca="false">G34+H34</f>
        <v>974</v>
      </c>
      <c r="J34" s="81" t="n">
        <f aca="false">IF(L34&gt;0,L34,0)</f>
        <v>450.955989412654</v>
      </c>
      <c r="K34" s="56" t="n">
        <f aca="false">I34+J34</f>
        <v>1424.95598941265</v>
      </c>
      <c r="L34" s="56" t="n">
        <f aca="false">F34-(I34-W34)</f>
        <v>450.955989412654</v>
      </c>
      <c r="M34" s="56" t="n">
        <v>30</v>
      </c>
      <c r="N34" s="56" t="n">
        <v>0</v>
      </c>
      <c r="O34" s="56" t="n">
        <f aca="false">M34-N34</f>
        <v>30</v>
      </c>
      <c r="P34" s="56" t="n">
        <v>0</v>
      </c>
      <c r="Q34" s="56" t="n">
        <v>0</v>
      </c>
      <c r="R34" s="56" t="n">
        <f aca="false">SUM(O34:Q34)</f>
        <v>30</v>
      </c>
      <c r="S34" s="57"/>
      <c r="T34" s="56" t="n">
        <v>0</v>
      </c>
      <c r="U34" s="56" t="n">
        <v>34.23</v>
      </c>
      <c r="V34" s="57" t="n">
        <f aca="false">V33-U34</f>
        <v>200.380022687167</v>
      </c>
      <c r="W34" s="56" t="n">
        <f aca="false">R34+T34+N34+U34</f>
        <v>64.23</v>
      </c>
      <c r="X34" s="56" t="n">
        <f aca="false">IF(L34&lt;0,L34*-1,0)</f>
        <v>0</v>
      </c>
      <c r="Y34" s="56" t="n">
        <f aca="false">W34+X34</f>
        <v>64.23</v>
      </c>
      <c r="Z34" s="60" t="n">
        <v>0</v>
      </c>
      <c r="AA34" s="61" t="n">
        <v>52</v>
      </c>
      <c r="AB34" s="90" t="n">
        <v>24</v>
      </c>
      <c r="AC34" s="62" t="n">
        <f aca="false">AC33+1</f>
        <v>25</v>
      </c>
      <c r="AD34" s="78"/>
      <c r="AE34" s="82"/>
      <c r="AF34" s="79"/>
    </row>
    <row r="35" customFormat="false" ht="11.1" hidden="false" customHeight="true" outlineLevel="0" collapsed="false">
      <c r="A35" s="62" t="n">
        <f aca="false">A34+1</f>
        <v>26</v>
      </c>
      <c r="B35" s="80" t="n">
        <v>6906.67</v>
      </c>
      <c r="C35" s="57" t="n">
        <v>308855</v>
      </c>
      <c r="D35" s="61" t="n">
        <f aca="false">C35-C34</f>
        <v>2565</v>
      </c>
      <c r="E35" s="57" t="n">
        <f aca="false">C35-152000</f>
        <v>156855</v>
      </c>
      <c r="F35" s="56" t="n">
        <f aca="false">D35/$D$2</f>
        <v>1293.16864129065</v>
      </c>
      <c r="G35" s="56" t="n">
        <v>736</v>
      </c>
      <c r="H35" s="58" t="n">
        <v>124</v>
      </c>
      <c r="I35" s="56" t="n">
        <f aca="false">G35+H35</f>
        <v>860</v>
      </c>
      <c r="J35" s="81" t="n">
        <f aca="false">IF(L35&gt;0,L35,0)</f>
        <v>505.368641290648</v>
      </c>
      <c r="K35" s="56" t="n">
        <f aca="false">I35+J35</f>
        <v>1365.36864129065</v>
      </c>
      <c r="L35" s="56" t="n">
        <f aca="false">F35-(I35-W35)</f>
        <v>505.368641290648</v>
      </c>
      <c r="M35" s="56" t="n">
        <v>38</v>
      </c>
      <c r="N35" s="56" t="n">
        <f aca="false">(9.8+0)*1.05</f>
        <v>10.29</v>
      </c>
      <c r="O35" s="56" t="n">
        <f aca="false">M35-N35</f>
        <v>27.71</v>
      </c>
      <c r="P35" s="56" t="n">
        <v>0</v>
      </c>
      <c r="Q35" s="56" t="n">
        <v>0</v>
      </c>
      <c r="R35" s="56" t="n">
        <f aca="false">SUM(O35:Q35)</f>
        <v>27.71</v>
      </c>
      <c r="S35" s="57"/>
      <c r="T35" s="56" t="n">
        <v>0</v>
      </c>
      <c r="U35" s="56" t="n">
        <v>34.2</v>
      </c>
      <c r="V35" s="57" t="n">
        <f aca="false">V34-U35</f>
        <v>166.180022687167</v>
      </c>
      <c r="W35" s="56" t="n">
        <f aca="false">R35+T35+N35+U35</f>
        <v>72.2</v>
      </c>
      <c r="X35" s="56" t="n">
        <f aca="false">IF(L35&lt;0,L35*-1,0)</f>
        <v>0</v>
      </c>
      <c r="Y35" s="56" t="n">
        <f aca="false">W35+X35</f>
        <v>72.2</v>
      </c>
      <c r="Z35" s="60" t="n">
        <v>0</v>
      </c>
      <c r="AA35" s="61" t="n">
        <v>60</v>
      </c>
      <c r="AB35" s="61" t="n">
        <v>23</v>
      </c>
      <c r="AC35" s="62" t="n">
        <f aca="false">AC34+1</f>
        <v>26</v>
      </c>
      <c r="AD35" s="78"/>
      <c r="AE35" s="82"/>
      <c r="AF35" s="79"/>
    </row>
    <row r="36" customFormat="false" ht="11.1" hidden="false" customHeight="true" outlineLevel="0" collapsed="false">
      <c r="A36" s="62" t="n">
        <f aca="false">A35+1</f>
        <v>27</v>
      </c>
      <c r="B36" s="80" t="n">
        <v>6907.4</v>
      </c>
      <c r="C36" s="57" t="n">
        <v>311705</v>
      </c>
      <c r="D36" s="61" t="n">
        <f aca="false">C36-C35</f>
        <v>2850</v>
      </c>
      <c r="E36" s="57" t="n">
        <f aca="false">C36-152000</f>
        <v>159705</v>
      </c>
      <c r="F36" s="56" t="n">
        <f aca="false">D36/$D$2</f>
        <v>1436.8540458785</v>
      </c>
      <c r="G36" s="56" t="n">
        <v>770</v>
      </c>
      <c r="H36" s="58" t="n">
        <v>140</v>
      </c>
      <c r="I36" s="56" t="n">
        <f aca="false">G36+H36</f>
        <v>910</v>
      </c>
      <c r="J36" s="81" t="n">
        <f aca="false">IF(L36&gt;0,L36,0)</f>
        <v>602.264045878498</v>
      </c>
      <c r="K36" s="56" t="n">
        <f aca="false">I36+J36</f>
        <v>1512.2640458785</v>
      </c>
      <c r="L36" s="56" t="n">
        <f aca="false">F36-(I36-W36)</f>
        <v>602.264045878498</v>
      </c>
      <c r="M36" s="56" t="n">
        <v>41.18</v>
      </c>
      <c r="N36" s="56" t="n">
        <f aca="false">(4.9+5)*1.05</f>
        <v>10.395</v>
      </c>
      <c r="O36" s="56" t="n">
        <f aca="false">M36-N36</f>
        <v>30.785</v>
      </c>
      <c r="P36" s="56" t="n">
        <v>0</v>
      </c>
      <c r="Q36" s="56" t="n">
        <v>0</v>
      </c>
      <c r="R36" s="56" t="n">
        <f aca="false">SUM(O36:Q36)</f>
        <v>30.785</v>
      </c>
      <c r="S36" s="57"/>
      <c r="T36" s="56" t="n">
        <v>0</v>
      </c>
      <c r="U36" s="56" t="n">
        <v>34.23</v>
      </c>
      <c r="V36" s="57" t="n">
        <f aca="false">V35-U36</f>
        <v>131.950022687167</v>
      </c>
      <c r="W36" s="56" t="n">
        <f aca="false">R36+T36+N36+U36</f>
        <v>75.41</v>
      </c>
      <c r="X36" s="56" t="n">
        <f aca="false">IF(L36&lt;0,L36*-1,0)</f>
        <v>0</v>
      </c>
      <c r="Y36" s="56" t="n">
        <f aca="false">W36+X36</f>
        <v>75.41</v>
      </c>
      <c r="Z36" s="60" t="n">
        <v>0</v>
      </c>
      <c r="AA36" s="61" t="n">
        <v>60</v>
      </c>
      <c r="AB36" s="61" t="n">
        <v>30</v>
      </c>
      <c r="AC36" s="62" t="n">
        <f aca="false">AC35+1</f>
        <v>27</v>
      </c>
      <c r="AD36" s="78"/>
      <c r="AE36" s="82"/>
      <c r="AF36" s="79"/>
    </row>
    <row r="37" customFormat="false" ht="11.1" hidden="false" customHeight="true" outlineLevel="0" collapsed="false">
      <c r="A37" s="62" t="n">
        <f aca="false">A36+1</f>
        <v>28</v>
      </c>
      <c r="B37" s="80" t="n">
        <v>6908.32</v>
      </c>
      <c r="C37" s="57" t="n">
        <v>315320</v>
      </c>
      <c r="D37" s="61" t="n">
        <f aca="false">C37-C36</f>
        <v>3615</v>
      </c>
      <c r="E37" s="57" t="n">
        <f aca="false">C37-152000</f>
        <v>163320</v>
      </c>
      <c r="F37" s="56" t="n">
        <f aca="false">D37/$D$2</f>
        <v>1822.53592135115</v>
      </c>
      <c r="G37" s="56" t="n">
        <v>812</v>
      </c>
      <c r="H37" s="58" t="n">
        <v>154</v>
      </c>
      <c r="I37" s="56" t="n">
        <f aca="false">G37+H37</f>
        <v>966</v>
      </c>
      <c r="J37" s="81" t="n">
        <f aca="false">IF(L37&gt;0,L37,0)</f>
        <v>897.265921351147</v>
      </c>
      <c r="K37" s="56" t="n">
        <f aca="false">I37+J37</f>
        <v>1863.26592135115</v>
      </c>
      <c r="L37" s="56" t="n">
        <f aca="false">F37-(I37-W37)</f>
        <v>897.265921351147</v>
      </c>
      <c r="M37" s="56" t="n">
        <v>6.29</v>
      </c>
      <c r="N37" s="56" t="n">
        <v>0</v>
      </c>
      <c r="O37" s="56" t="n">
        <f aca="false">M37-N37</f>
        <v>6.29</v>
      </c>
      <c r="P37" s="56" t="n">
        <v>0</v>
      </c>
      <c r="Q37" s="56" t="n">
        <v>0</v>
      </c>
      <c r="R37" s="56" t="n">
        <f aca="false">SUM(O37:Q37)</f>
        <v>6.29</v>
      </c>
      <c r="S37" s="57"/>
      <c r="T37" s="56" t="n">
        <v>0</v>
      </c>
      <c r="U37" s="56" t="n">
        <v>34.44</v>
      </c>
      <c r="V37" s="57" t="n">
        <f aca="false">V36-U37</f>
        <v>97.5100226871669</v>
      </c>
      <c r="W37" s="56" t="n">
        <f aca="false">R37+T37+N37+U37</f>
        <v>40.73</v>
      </c>
      <c r="X37" s="56" t="n">
        <f aca="false">IF(L37&lt;0,L37*-1,0)</f>
        <v>0</v>
      </c>
      <c r="Y37" s="56" t="n">
        <f aca="false">W37+X37</f>
        <v>40.73</v>
      </c>
      <c r="Z37" s="60" t="n">
        <v>0</v>
      </c>
      <c r="AA37" s="61" t="n">
        <v>64</v>
      </c>
      <c r="AB37" s="61" t="n">
        <v>29</v>
      </c>
      <c r="AC37" s="62" t="n">
        <f aca="false">AC36+1</f>
        <v>28</v>
      </c>
      <c r="AD37" s="78"/>
      <c r="AE37" s="82"/>
      <c r="AF37" s="79"/>
    </row>
    <row r="38" customFormat="false" ht="11.1" hidden="false" customHeight="true" outlineLevel="0" collapsed="false">
      <c r="A38" s="62" t="n">
        <f aca="false">A37+1</f>
        <v>29</v>
      </c>
      <c r="B38" s="80" t="n">
        <v>6909.12</v>
      </c>
      <c r="C38" s="57" t="n">
        <v>318483</v>
      </c>
      <c r="D38" s="61" t="n">
        <f aca="false">C38-C37</f>
        <v>3163</v>
      </c>
      <c r="E38" s="57" t="n">
        <f aca="false">C38-152000</f>
        <v>166483</v>
      </c>
      <c r="F38" s="56" t="n">
        <f aca="false">D38/$D$2</f>
        <v>1594.65591126796</v>
      </c>
      <c r="G38" s="56" t="n">
        <v>883</v>
      </c>
      <c r="H38" s="58" t="n">
        <v>179</v>
      </c>
      <c r="I38" s="56" t="n">
        <f aca="false">G38+H38</f>
        <v>1062</v>
      </c>
      <c r="J38" s="81" t="n">
        <f aca="false">IF(L38&gt;0,L38,0)</f>
        <v>573.695911267961</v>
      </c>
      <c r="K38" s="56" t="n">
        <f aca="false">I38+J38</f>
        <v>1635.69591126796</v>
      </c>
      <c r="L38" s="56" t="n">
        <f aca="false">F38-(I38-W38)</f>
        <v>573.695911267961</v>
      </c>
      <c r="M38" s="56" t="n">
        <v>6.29</v>
      </c>
      <c r="N38" s="56" t="n">
        <v>0</v>
      </c>
      <c r="O38" s="56" t="n">
        <f aca="false">M38-N38</f>
        <v>6.29</v>
      </c>
      <c r="P38" s="56" t="n">
        <v>0</v>
      </c>
      <c r="Q38" s="56" t="n">
        <v>0</v>
      </c>
      <c r="R38" s="56" t="n">
        <f aca="false">SUM(O38:Q38)</f>
        <v>6.29</v>
      </c>
      <c r="S38" s="57"/>
      <c r="T38" s="56" t="n">
        <v>0</v>
      </c>
      <c r="U38" s="56" t="n">
        <v>34.75</v>
      </c>
      <c r="V38" s="57" t="n">
        <f aca="false">V37-U38</f>
        <v>62.7600226871669</v>
      </c>
      <c r="W38" s="56" t="n">
        <f aca="false">R38+T38+N38+U38</f>
        <v>41.04</v>
      </c>
      <c r="X38" s="56" t="n">
        <f aca="false">IF(L38&lt;0,L38*-1,0)</f>
        <v>0</v>
      </c>
      <c r="Y38" s="56" t="n">
        <f aca="false">W38+X38</f>
        <v>41.04</v>
      </c>
      <c r="Z38" s="60" t="n">
        <v>0</v>
      </c>
      <c r="AA38" s="90" t="n">
        <v>60</v>
      </c>
      <c r="AB38" s="61" t="n">
        <v>31</v>
      </c>
      <c r="AC38" s="62" t="n">
        <f aca="false">AC37+1</f>
        <v>29</v>
      </c>
      <c r="AD38" s="78"/>
      <c r="AE38" s="82"/>
      <c r="AF38" s="79"/>
    </row>
    <row r="39" customFormat="false" ht="11.1" hidden="false" customHeight="true" outlineLevel="0" collapsed="false">
      <c r="A39" s="62" t="n">
        <v>30</v>
      </c>
      <c r="B39" s="80" t="n">
        <v>6909.88</v>
      </c>
      <c r="C39" s="57" t="n">
        <v>321509</v>
      </c>
      <c r="D39" s="61" t="n">
        <f aca="false">C39-C38</f>
        <v>3026</v>
      </c>
      <c r="E39" s="57" t="n">
        <f aca="false">C39-152000</f>
        <v>169509</v>
      </c>
      <c r="F39" s="56" t="n">
        <f aca="false">D39/$D$2</f>
        <v>1525.58608520292</v>
      </c>
      <c r="G39" s="56" t="n">
        <v>810</v>
      </c>
      <c r="H39" s="58" t="n">
        <v>153</v>
      </c>
      <c r="I39" s="56" t="n">
        <f aca="false">G39+H39</f>
        <v>963</v>
      </c>
      <c r="J39" s="81" t="n">
        <f aca="false">IF(L39&gt;0,L39,0)</f>
        <v>603.746085202924</v>
      </c>
      <c r="K39" s="56" t="n">
        <f aca="false">I39+J39</f>
        <v>1566.74608520292</v>
      </c>
      <c r="L39" s="56" t="n">
        <f aca="false">F39-(I39-W39)</f>
        <v>603.746085202924</v>
      </c>
      <c r="M39" s="56" t="n">
        <v>6.29</v>
      </c>
      <c r="N39" s="56" t="n">
        <v>0</v>
      </c>
      <c r="O39" s="56" t="n">
        <f aca="false">M39-N39</f>
        <v>6.29</v>
      </c>
      <c r="P39" s="56" t="n">
        <v>0</v>
      </c>
      <c r="Q39" s="56" t="n">
        <v>0</v>
      </c>
      <c r="R39" s="56" t="n">
        <f aca="false">SUM(O39:Q39)</f>
        <v>6.29</v>
      </c>
      <c r="S39" s="57"/>
      <c r="T39" s="56" t="n">
        <v>0</v>
      </c>
      <c r="U39" s="56" t="n">
        <v>34.87</v>
      </c>
      <c r="V39" s="57" t="n">
        <f aca="false">V38-U39</f>
        <v>27.8900226871669</v>
      </c>
      <c r="W39" s="56" t="n">
        <f aca="false">R39+T39+N39+U39</f>
        <v>41.16</v>
      </c>
      <c r="X39" s="56" t="n">
        <f aca="false">IF(L39&lt;0,L39*-1,0)</f>
        <v>0</v>
      </c>
      <c r="Y39" s="56" t="n">
        <f aca="false">W39+X39</f>
        <v>41.16</v>
      </c>
      <c r="Z39" s="60" t="n">
        <v>0</v>
      </c>
      <c r="AA39" s="90" t="n">
        <v>63</v>
      </c>
      <c r="AB39" s="61" t="n">
        <v>23</v>
      </c>
      <c r="AC39" s="62" t="n">
        <v>30</v>
      </c>
      <c r="AD39" s="78"/>
      <c r="AE39" s="82"/>
      <c r="AF39" s="79"/>
    </row>
    <row r="40" customFormat="false" ht="11.1" hidden="false" customHeight="true" outlineLevel="0" collapsed="false">
      <c r="A40" s="62" t="n">
        <v>31</v>
      </c>
      <c r="B40" s="80" t="n">
        <v>6910.67</v>
      </c>
      <c r="C40" s="57" t="n">
        <v>325076</v>
      </c>
      <c r="D40" s="61" t="n">
        <f aca="false">C40-C39</f>
        <v>3567</v>
      </c>
      <c r="E40" s="57" t="n">
        <f aca="false">C40-152000</f>
        <v>173076</v>
      </c>
      <c r="F40" s="56" t="n">
        <f aca="false">D40/$D$2</f>
        <v>1798.33627426267</v>
      </c>
      <c r="G40" s="56" t="n">
        <v>836</v>
      </c>
      <c r="H40" s="58" t="n">
        <v>159</v>
      </c>
      <c r="I40" s="56" t="n">
        <f aca="false">G40+H40</f>
        <v>995</v>
      </c>
      <c r="J40" s="81" t="n">
        <f aca="false">IF(L40&gt;0,L40,0)</f>
        <v>899.396274262667</v>
      </c>
      <c r="K40" s="56" t="n">
        <f aca="false">I40+J40</f>
        <v>1894.39627426267</v>
      </c>
      <c r="L40" s="56" t="n">
        <f aca="false">F40-(I40-W40)</f>
        <v>899.396274262667</v>
      </c>
      <c r="M40" s="56" t="n">
        <v>61.19</v>
      </c>
      <c r="N40" s="56" t="n">
        <f aca="false">(12.63+12.45)*1.05</f>
        <v>26.334</v>
      </c>
      <c r="O40" s="56" t="n">
        <f aca="false">M40-N40</f>
        <v>34.856</v>
      </c>
      <c r="P40" s="56" t="n">
        <v>0</v>
      </c>
      <c r="Q40" s="56" t="n">
        <v>0</v>
      </c>
      <c r="R40" s="56" t="n">
        <f aca="false">SUM(O40:Q40)</f>
        <v>34.856</v>
      </c>
      <c r="S40" s="57"/>
      <c r="T40" s="56" t="n">
        <v>0</v>
      </c>
      <c r="U40" s="56" t="n">
        <v>34.87</v>
      </c>
      <c r="V40" s="57" t="n">
        <f aca="false">V39-U40</f>
        <v>-6.97997731283313</v>
      </c>
      <c r="W40" s="56" t="n">
        <f aca="false">R40+T40+N40+U40</f>
        <v>96.06</v>
      </c>
      <c r="X40" s="56" t="n">
        <f aca="false">IF(L40&lt;0,L40*-1,0)</f>
        <v>0</v>
      </c>
      <c r="Y40" s="56" t="n">
        <f aca="false">W40+X40</f>
        <v>96.06</v>
      </c>
      <c r="Z40" s="60" t="n">
        <v>0.09</v>
      </c>
      <c r="AA40" s="90" t="n">
        <v>52</v>
      </c>
      <c r="AB40" s="61" t="n">
        <v>36</v>
      </c>
      <c r="AC40" s="62" t="n">
        <v>31</v>
      </c>
      <c r="AD40" s="78"/>
      <c r="AE40" s="78"/>
      <c r="AF40" s="79"/>
    </row>
    <row r="41" customFormat="false" ht="3" hidden="false" customHeight="true" outlineLevel="0" collapsed="false">
      <c r="A41" s="83"/>
      <c r="B41" s="83"/>
      <c r="C41" s="85"/>
      <c r="D41" s="83"/>
      <c r="E41" s="85"/>
      <c r="F41" s="83"/>
      <c r="G41" s="83"/>
      <c r="H41" s="86"/>
      <c r="I41" s="83"/>
      <c r="J41" s="83"/>
      <c r="K41" s="83"/>
      <c r="L41" s="83"/>
      <c r="M41" s="83"/>
      <c r="N41" s="83"/>
      <c r="O41" s="83"/>
      <c r="P41" s="83"/>
      <c r="Q41" s="83"/>
      <c r="R41" s="83"/>
      <c r="S41" s="85"/>
      <c r="T41" s="83"/>
      <c r="U41" s="83"/>
      <c r="V41" s="83"/>
      <c r="W41" s="83"/>
      <c r="X41" s="83"/>
      <c r="Y41" s="83"/>
      <c r="Z41" s="87"/>
      <c r="AA41" s="88" t="n">
        <v>73</v>
      </c>
      <c r="AB41" s="88" t="n">
        <v>23</v>
      </c>
      <c r="AC41" s="89"/>
      <c r="AD41" s="78"/>
      <c r="AE41" s="78"/>
      <c r="AF41" s="79"/>
    </row>
    <row r="42" customFormat="false" ht="11.1" hidden="false" customHeight="true" outlineLevel="0" collapsed="false">
      <c r="A42" s="56" t="s">
        <v>45</v>
      </c>
      <c r="B42" s="56"/>
      <c r="C42" s="57"/>
      <c r="D42" s="57"/>
      <c r="E42" s="57"/>
      <c r="F42" s="57" t="n">
        <f aca="false">SUM(F10:F40)</f>
        <v>28530.8797580035</v>
      </c>
      <c r="G42" s="57" t="n">
        <f aca="false">SUM(G10:G40)</f>
        <v>11381.56</v>
      </c>
      <c r="H42" s="57" t="n">
        <f aca="false">SUM(H10:H40)</f>
        <v>3441</v>
      </c>
      <c r="I42" s="57" t="n">
        <f aca="false">SUM(I10:I40)</f>
        <v>14822.56</v>
      </c>
      <c r="J42" s="57" t="n">
        <f aca="false">SUM(J10:J40)</f>
        <v>15140.1497580035</v>
      </c>
      <c r="K42" s="57" t="n">
        <f aca="false">SUM(K10:K40)</f>
        <v>29962.7097580035</v>
      </c>
      <c r="L42" s="57" t="n">
        <f aca="false">SUM(L10:L40)</f>
        <v>15140.1497580035</v>
      </c>
      <c r="M42" s="57" t="n">
        <f aca="false">SUM(M10:M40)</f>
        <v>385.59</v>
      </c>
      <c r="N42" s="57" t="n">
        <f aca="false">SUM(N10:N40)</f>
        <v>47.019</v>
      </c>
      <c r="O42" s="57" t="n">
        <f aca="false">SUM(O10:O40)</f>
        <v>338.571</v>
      </c>
      <c r="P42" s="57" t="n">
        <f aca="false">SUM(P10:P40)</f>
        <v>3.45</v>
      </c>
      <c r="Q42" s="57" t="n">
        <f aca="false">SUM(Q10:Q40)</f>
        <v>0</v>
      </c>
      <c r="R42" s="57" t="n">
        <f aca="false">SUM(R10:R40)</f>
        <v>342.021</v>
      </c>
      <c r="S42" s="57"/>
      <c r="T42" s="57" t="n">
        <f aca="false">SUM(T10:T40)</f>
        <v>0</v>
      </c>
      <c r="U42" s="57" t="n">
        <f aca="false">SUM(U10:U40)</f>
        <v>1042.79</v>
      </c>
      <c r="V42" s="57"/>
      <c r="W42" s="57" t="n">
        <f aca="false">SUM(W10:W40)</f>
        <v>1431.83</v>
      </c>
      <c r="X42" s="57" t="n">
        <f aca="false">SUM(X10:X40)</f>
        <v>0</v>
      </c>
      <c r="Y42" s="57" t="n">
        <f aca="false">SUM(Y10:Y40)</f>
        <v>1431.83</v>
      </c>
      <c r="Z42" s="60" t="n">
        <f aca="false">SUM(Z10:Z40)</f>
        <v>0.09</v>
      </c>
      <c r="AA42" s="61" t="n">
        <f aca="false">AVERAGE(AA10:AA40)</f>
        <v>56.6774193548387</v>
      </c>
      <c r="AB42" s="61" t="n">
        <f aca="false">AVERAGE(AB10:AB40)</f>
        <v>22.4193548387097</v>
      </c>
      <c r="AC42" s="62"/>
      <c r="AD42" s="78"/>
      <c r="AE42" s="78"/>
      <c r="AF42" s="79"/>
    </row>
    <row r="43" customFormat="false" ht="11.1" hidden="false" customHeight="true" outlineLevel="0" collapsed="false">
      <c r="A43" s="56" t="s">
        <v>46</v>
      </c>
      <c r="B43" s="56"/>
      <c r="C43" s="57"/>
      <c r="D43" s="57" t="n">
        <f aca="false">SUM(D10:D40)</f>
        <v>56591</v>
      </c>
      <c r="E43" s="57"/>
      <c r="F43" s="57" t="n">
        <f aca="false">F42*$D$2</f>
        <v>56591</v>
      </c>
      <c r="G43" s="57" t="n">
        <f aca="false">G42*$D$2</f>
        <v>22575.32426</v>
      </c>
      <c r="H43" s="57" t="n">
        <f aca="false">H42*$D$2</f>
        <v>6825.2235</v>
      </c>
      <c r="I43" s="57" t="n">
        <f aca="false">I42*$D$2</f>
        <v>29400.54776</v>
      </c>
      <c r="J43" s="57" t="n">
        <f aca="false">J42*$D$2</f>
        <v>30030.487045</v>
      </c>
      <c r="K43" s="57" t="n">
        <f aca="false">K42*$D$2</f>
        <v>59431.034805</v>
      </c>
      <c r="L43" s="57" t="n">
        <f aca="false">L42*$D$2</f>
        <v>30030.487045</v>
      </c>
      <c r="M43" s="57" t="n">
        <f aca="false">M42*$D$2</f>
        <v>764.817765</v>
      </c>
      <c r="N43" s="57" t="n">
        <f aca="false">N42*$D$2</f>
        <v>93.2621865</v>
      </c>
      <c r="O43" s="57" t="n">
        <f aca="false">O42*$D$2</f>
        <v>671.5555785</v>
      </c>
      <c r="P43" s="57" t="n">
        <f aca="false">P42*$D$2</f>
        <v>6.843075</v>
      </c>
      <c r="Q43" s="57" t="n">
        <f aca="false">Q42*$D$2</f>
        <v>0</v>
      </c>
      <c r="R43" s="57" t="n">
        <f aca="false">R42*$D$2</f>
        <v>678.3986535</v>
      </c>
      <c r="S43" s="57"/>
      <c r="T43" s="57" t="n">
        <f aca="false">T42*$D$2</f>
        <v>0</v>
      </c>
      <c r="U43" s="57" t="n">
        <f aca="false">U42*$D$2</f>
        <v>2068.373965</v>
      </c>
      <c r="V43" s="57"/>
      <c r="W43" s="57" t="n">
        <f aca="false">W42*$D$2</f>
        <v>2840.034805</v>
      </c>
      <c r="X43" s="57" t="n">
        <f aca="false">X42*$D$2</f>
        <v>0</v>
      </c>
      <c r="Y43" s="57" t="n">
        <f aca="false">Y42*$D$2</f>
        <v>2840.034805</v>
      </c>
      <c r="Z43" s="60"/>
      <c r="AA43" s="61" t="n">
        <f aca="false">MAX(AA10:AA40)</f>
        <v>68</v>
      </c>
      <c r="AB43" s="61" t="n">
        <f aca="false">MAX(AB10:AB40)</f>
        <v>37</v>
      </c>
      <c r="AC43" s="62" t="s">
        <v>47</v>
      </c>
      <c r="AD43" s="78"/>
      <c r="AE43" s="78"/>
      <c r="AF43" s="79"/>
    </row>
    <row r="44" customFormat="false" ht="3" hidden="false" customHeight="true" outlineLevel="0" collapsed="false">
      <c r="A44" s="83"/>
      <c r="B44" s="83"/>
      <c r="C44" s="85"/>
      <c r="D44" s="85"/>
      <c r="E44" s="85"/>
      <c r="F44" s="85"/>
      <c r="G44" s="85"/>
      <c r="H44" s="85"/>
      <c r="I44" s="85"/>
      <c r="J44" s="85"/>
      <c r="K44" s="85"/>
      <c r="L44" s="85"/>
      <c r="M44" s="85"/>
      <c r="N44" s="85"/>
      <c r="O44" s="85"/>
      <c r="P44" s="85"/>
      <c r="Q44" s="85"/>
      <c r="R44" s="85"/>
      <c r="S44" s="85"/>
      <c r="T44" s="85"/>
      <c r="U44" s="85"/>
      <c r="V44" s="83"/>
      <c r="W44" s="85"/>
      <c r="X44" s="85"/>
      <c r="Y44" s="85"/>
      <c r="Z44" s="60"/>
      <c r="AA44" s="61"/>
      <c r="AB44" s="61"/>
      <c r="AC44" s="62"/>
      <c r="AD44" s="78"/>
      <c r="AE44" s="78"/>
      <c r="AF44" s="79"/>
    </row>
    <row r="45" customFormat="false" ht="11.1" hidden="false" customHeight="true" outlineLevel="0" collapsed="false">
      <c r="A45" s="56" t="s">
        <v>48</v>
      </c>
      <c r="B45" s="56"/>
      <c r="C45" s="57"/>
      <c r="D45" s="57"/>
      <c r="E45" s="57"/>
      <c r="F45" s="57"/>
      <c r="G45" s="57"/>
      <c r="H45" s="57"/>
      <c r="I45" s="57"/>
      <c r="J45" s="57"/>
      <c r="K45" s="57"/>
      <c r="L45" s="57"/>
      <c r="M45" s="57"/>
      <c r="N45" s="57"/>
      <c r="O45" s="57"/>
      <c r="P45" s="57"/>
      <c r="Q45" s="57"/>
      <c r="R45" s="57"/>
      <c r="S45" s="57"/>
      <c r="T45" s="57"/>
      <c r="U45" s="57"/>
      <c r="V45" s="57"/>
      <c r="W45" s="57"/>
      <c r="X45" s="57"/>
      <c r="Y45" s="57"/>
      <c r="Z45" s="60"/>
      <c r="AA45" s="61" t="n">
        <f aca="false">MIN(AA10:AA40)</f>
        <v>38</v>
      </c>
      <c r="AB45" s="61" t="n">
        <f aca="false">MIN(AB10:AB40)</f>
        <v>-4</v>
      </c>
      <c r="AC45" s="62" t="s">
        <v>49</v>
      </c>
      <c r="AD45" s="78"/>
      <c r="AE45" s="78"/>
      <c r="AF45" s="79"/>
    </row>
    <row r="46" customFormat="false" ht="11.1" hidden="false" customHeight="true" outlineLevel="0" collapsed="false">
      <c r="A46" s="56" t="s">
        <v>50</v>
      </c>
      <c r="B46" s="56"/>
      <c r="C46" s="57"/>
      <c r="D46" s="57"/>
      <c r="E46" s="57"/>
      <c r="F46" s="57"/>
      <c r="G46" s="57"/>
      <c r="H46" s="57"/>
      <c r="I46" s="57"/>
      <c r="J46" s="57"/>
      <c r="K46" s="57"/>
      <c r="L46" s="57"/>
      <c r="M46" s="57"/>
      <c r="N46" s="57"/>
      <c r="O46" s="57"/>
      <c r="P46" s="57"/>
      <c r="Q46" s="57"/>
      <c r="R46" s="57"/>
      <c r="S46" s="57"/>
      <c r="T46" s="57"/>
      <c r="U46" s="57"/>
      <c r="V46" s="57"/>
      <c r="W46" s="57"/>
      <c r="X46" s="57"/>
      <c r="Y46" s="57"/>
      <c r="Z46" s="60"/>
      <c r="AA46" s="61"/>
      <c r="AB46" s="61"/>
      <c r="AC46" s="62"/>
      <c r="AD46" s="78"/>
      <c r="AE46" s="78"/>
      <c r="AF46" s="79"/>
    </row>
    <row r="47" customFormat="false" ht="3" hidden="false" customHeight="true" outlineLevel="0" collapsed="false">
      <c r="A47" s="83"/>
      <c r="B47" s="83"/>
      <c r="C47" s="85"/>
      <c r="D47" s="85"/>
      <c r="E47" s="85"/>
      <c r="F47" s="85"/>
      <c r="G47" s="85"/>
      <c r="H47" s="88"/>
      <c r="I47" s="85"/>
      <c r="J47" s="85"/>
      <c r="K47" s="85"/>
      <c r="L47" s="85"/>
      <c r="M47" s="85"/>
      <c r="N47" s="85"/>
      <c r="O47" s="85"/>
      <c r="P47" s="85"/>
      <c r="Q47" s="85"/>
      <c r="R47" s="85"/>
      <c r="S47" s="85"/>
      <c r="T47" s="85"/>
      <c r="U47" s="85"/>
      <c r="V47" s="85"/>
      <c r="W47" s="85"/>
      <c r="X47" s="85"/>
      <c r="Y47" s="85"/>
      <c r="Z47" s="87"/>
      <c r="AA47" s="61"/>
      <c r="AB47" s="61"/>
      <c r="AC47" s="62"/>
      <c r="AD47" s="78"/>
      <c r="AE47" s="78"/>
      <c r="AF47" s="79"/>
    </row>
    <row r="48" customFormat="false" ht="11.1" hidden="false" customHeight="true" outlineLevel="0" collapsed="false">
      <c r="A48" s="56" t="s">
        <v>51</v>
      </c>
      <c r="B48" s="56"/>
      <c r="C48" s="57"/>
      <c r="D48" s="57"/>
      <c r="E48" s="57"/>
      <c r="F48" s="57" t="n">
        <f aca="false">F8+F42</f>
        <v>40129.5689437862</v>
      </c>
      <c r="G48" s="57" t="n">
        <f aca="false">G8+G42</f>
        <v>27184.79</v>
      </c>
      <c r="H48" s="61" t="n">
        <f aca="false">H8+H42</f>
        <v>3559.7</v>
      </c>
      <c r="I48" s="57" t="n">
        <f aca="false">I8+I42</f>
        <v>30543.59</v>
      </c>
      <c r="J48" s="57" t="n">
        <f aca="false">J8+J42</f>
        <v>16748.6161381397</v>
      </c>
      <c r="K48" s="57" t="n">
        <f aca="false">K8+K42</f>
        <v>47292.2061381397</v>
      </c>
      <c r="L48" s="57" t="n">
        <f aca="false">L8+L42</f>
        <v>16171.5489437862</v>
      </c>
      <c r="M48" s="57" t="n">
        <f aca="false">M8+M42</f>
        <v>1002.25</v>
      </c>
      <c r="N48" s="57" t="n">
        <f aca="false">N8+N42</f>
        <v>47.019</v>
      </c>
      <c r="O48" s="57" t="n">
        <f aca="false">O8+O42</f>
        <v>686.151</v>
      </c>
      <c r="P48" s="57" t="n">
        <f aca="false">P8+P42</f>
        <v>107.52</v>
      </c>
      <c r="Q48" s="57" t="n">
        <f aca="false">Q8+Q42</f>
        <v>198.8</v>
      </c>
      <c r="R48" s="57" t="n">
        <f aca="false">R8+R42</f>
        <v>1199.488</v>
      </c>
      <c r="S48" s="57"/>
      <c r="T48" s="57" t="n">
        <f aca="false">T8+T42</f>
        <v>0</v>
      </c>
      <c r="U48" s="57" t="n">
        <f aca="false">U8+U42</f>
        <v>5277</v>
      </c>
      <c r="V48" s="57" t="n">
        <f aca="false">V40</f>
        <v>-6.97997731283313</v>
      </c>
      <c r="W48" s="57" t="n">
        <f aca="false">W8+W42</f>
        <v>6585.57</v>
      </c>
      <c r="X48" s="57" t="n">
        <f aca="false">X8+X42</f>
        <v>577.067194353416</v>
      </c>
      <c r="Y48" s="57" t="n">
        <f aca="false">Y8+Y42</f>
        <v>7162.63719435342</v>
      </c>
      <c r="Z48" s="81" t="n">
        <f aca="false">Z8+Z42</f>
        <v>9.22</v>
      </c>
      <c r="AA48" s="61"/>
      <c r="AB48" s="61"/>
      <c r="AC48" s="62"/>
      <c r="AD48" s="78"/>
      <c r="AE48" s="78"/>
      <c r="AF48" s="79"/>
    </row>
    <row r="49" customFormat="false" ht="11.1" hidden="false" customHeight="true" outlineLevel="0" collapsed="false">
      <c r="A49" s="56" t="s">
        <v>52</v>
      </c>
      <c r="B49" s="56"/>
      <c r="C49" s="57"/>
      <c r="D49" s="57" t="n">
        <f aca="false">D8+D43</f>
        <v>79597</v>
      </c>
      <c r="E49" s="57" t="n">
        <f aca="false">E40</f>
        <v>173076</v>
      </c>
      <c r="F49" s="57" t="n">
        <f aca="false">F48*$D$2</f>
        <v>79597</v>
      </c>
      <c r="G49" s="57" t="n">
        <f aca="false">G48*$D$2</f>
        <v>53921.030965</v>
      </c>
      <c r="H49" s="61" t="n">
        <f aca="false">H48*$D$2</f>
        <v>7060.66495</v>
      </c>
      <c r="I49" s="57" t="n">
        <f aca="false">I48*$D$2</f>
        <v>60583.210765</v>
      </c>
      <c r="J49" s="57" t="n">
        <f aca="false">J48*$D$2</f>
        <v>33220.88011</v>
      </c>
      <c r="K49" s="57" t="n">
        <f aca="false">K48*$D$2</f>
        <v>93804.090875</v>
      </c>
      <c r="L49" s="57" t="n">
        <f aca="false">L48*$D$2</f>
        <v>32076.26733</v>
      </c>
      <c r="M49" s="57" t="n">
        <f aca="false">M48*$D$2</f>
        <v>1987.962875</v>
      </c>
      <c r="N49" s="57" t="n">
        <f aca="false">N48*$D$2</f>
        <v>93.2621865</v>
      </c>
      <c r="O49" s="57" t="n">
        <f aca="false">O48*$D$2</f>
        <v>1360.9805085</v>
      </c>
      <c r="P49" s="57" t="n">
        <f aca="false">P48*$D$2</f>
        <v>213.26592</v>
      </c>
      <c r="Q49" s="57" t="n">
        <f aca="false">Q48*$D$2</f>
        <v>394.3198</v>
      </c>
      <c r="R49" s="57" t="n">
        <f aca="false">R48*$D$2</f>
        <v>2379.184448</v>
      </c>
      <c r="S49" s="57" t="n">
        <f aca="false">S48*$D$2</f>
        <v>0</v>
      </c>
      <c r="T49" s="57" t="n">
        <f aca="false">T48*$D$2</f>
        <v>0</v>
      </c>
      <c r="U49" s="57" t="n">
        <f aca="false">U48*$D$2</f>
        <v>10466.9295</v>
      </c>
      <c r="V49" s="57" t="n">
        <f aca="false">V48*$D$2</f>
        <v>-13.8447850000045</v>
      </c>
      <c r="W49" s="57" t="n">
        <f aca="false">W48*$D$2</f>
        <v>13062.478095</v>
      </c>
      <c r="X49" s="57" t="n">
        <f aca="false">X48*$D$2</f>
        <v>1144.61278</v>
      </c>
      <c r="Y49" s="57" t="n">
        <f aca="false">Y48*$D$2</f>
        <v>14207.090875</v>
      </c>
      <c r="Z49" s="60"/>
      <c r="AA49" s="61"/>
      <c r="AB49" s="61"/>
      <c r="AC49" s="62"/>
      <c r="AD49" s="78"/>
      <c r="AE49" s="78"/>
      <c r="AF49" s="79"/>
    </row>
    <row r="50" customFormat="false" ht="3" hidden="false" customHeight="true" outlineLevel="0" collapsed="false">
      <c r="A50" s="83"/>
      <c r="B50" s="83"/>
      <c r="C50" s="85"/>
      <c r="D50" s="83"/>
      <c r="E50" s="85"/>
      <c r="F50" s="83"/>
      <c r="G50" s="83"/>
      <c r="H50" s="86"/>
      <c r="I50" s="83"/>
      <c r="J50" s="83"/>
      <c r="K50" s="83"/>
      <c r="L50" s="83"/>
      <c r="M50" s="83"/>
      <c r="N50" s="83"/>
      <c r="O50" s="83"/>
      <c r="P50" s="83"/>
      <c r="Q50" s="83"/>
      <c r="R50" s="83"/>
      <c r="S50" s="85"/>
      <c r="T50" s="83"/>
      <c r="U50" s="83"/>
      <c r="V50" s="85"/>
      <c r="W50" s="83"/>
      <c r="X50" s="83"/>
      <c r="Y50" s="83"/>
      <c r="Z50" s="60"/>
      <c r="AA50" s="61"/>
      <c r="AB50" s="61"/>
      <c r="AC50" s="62"/>
      <c r="AD50" s="78"/>
      <c r="AE50" s="78"/>
      <c r="AF50" s="79"/>
    </row>
    <row r="51" customFormat="false" ht="11.1" hidden="false" customHeight="true" outlineLevel="0" collapsed="false">
      <c r="A51" s="56" t="str">
        <f aca="false">"APR 10/97"</f>
        <v>APR 10/97</v>
      </c>
      <c r="B51" s="93"/>
      <c r="C51" s="57"/>
      <c r="D51" s="56"/>
      <c r="E51" s="57"/>
      <c r="F51" s="56"/>
      <c r="G51" s="56"/>
      <c r="H51" s="58"/>
      <c r="I51" s="56"/>
      <c r="J51" s="56"/>
      <c r="K51" s="56"/>
      <c r="L51" s="56"/>
      <c r="M51" s="56"/>
      <c r="N51" s="56"/>
      <c r="O51" s="56"/>
      <c r="P51" s="56"/>
      <c r="Q51" s="56"/>
      <c r="R51" s="56"/>
      <c r="S51" s="57"/>
      <c r="T51" s="56"/>
      <c r="U51" s="56"/>
      <c r="V51" s="57"/>
      <c r="W51" s="56"/>
      <c r="X51" s="56"/>
      <c r="Y51" s="56"/>
      <c r="Z51" s="60"/>
      <c r="AA51" s="61"/>
      <c r="AB51" s="61"/>
      <c r="AC51" s="62"/>
      <c r="AD51" s="63"/>
      <c r="AE51" s="63"/>
    </row>
    <row r="52" customFormat="false" ht="11.1" hidden="false" customHeight="true" outlineLevel="0" collapsed="false">
      <c r="A52" s="56"/>
      <c r="B52" s="80" t="n">
        <v>6916.24</v>
      </c>
      <c r="C52" s="57" t="n">
        <v>347556</v>
      </c>
      <c r="D52" s="90"/>
      <c r="E52" s="57" t="n">
        <f aca="false">C52-152000</f>
        <v>195556</v>
      </c>
      <c r="F52" s="56"/>
      <c r="G52" s="56"/>
      <c r="H52" s="90"/>
      <c r="I52" s="58"/>
      <c r="J52" s="56"/>
      <c r="K52" s="46"/>
      <c r="L52" s="56"/>
      <c r="M52" s="56"/>
      <c r="N52" s="56"/>
      <c r="O52" s="56"/>
      <c r="P52" s="56"/>
      <c r="Q52" s="56"/>
      <c r="R52" s="56"/>
      <c r="S52" s="57"/>
      <c r="T52" s="56"/>
      <c r="U52" s="56"/>
      <c r="V52" s="57"/>
      <c r="W52" s="56"/>
      <c r="X52" s="56"/>
      <c r="Y52" s="56"/>
      <c r="Z52" s="60"/>
      <c r="AA52" s="61"/>
      <c r="AB52" s="61"/>
      <c r="AC52" s="62"/>
      <c r="AD52" s="63"/>
      <c r="AE52" s="63"/>
    </row>
    <row r="53" customFormat="false" ht="11.1" hidden="false" customHeight="true" outlineLevel="0" collapsed="false">
      <c r="A53" s="90" t="str">
        <f aca="false">"3/13/97 thru 4/9/97"</f>
        <v>3/13/97 thru 4/9/97</v>
      </c>
      <c r="B53" s="90"/>
      <c r="C53" s="57"/>
      <c r="D53" s="57"/>
      <c r="E53" s="57"/>
      <c r="F53" s="90"/>
      <c r="G53" s="90"/>
      <c r="H53" s="58"/>
      <c r="I53" s="90"/>
      <c r="J53" s="90"/>
      <c r="K53" s="90"/>
      <c r="L53" s="90"/>
      <c r="M53" s="81"/>
      <c r="N53" s="81"/>
      <c r="O53" s="81"/>
      <c r="P53" s="90"/>
      <c r="Q53" s="90"/>
      <c r="R53" s="90"/>
      <c r="S53" s="57"/>
      <c r="T53" s="90"/>
      <c r="U53" s="90"/>
      <c r="V53" s="57"/>
      <c r="W53" s="90"/>
      <c r="X53" s="90"/>
      <c r="Y53" s="90"/>
      <c r="Z53" s="60"/>
      <c r="AA53" s="61"/>
      <c r="AB53" s="61"/>
      <c r="AC53" s="62"/>
      <c r="AD53" s="94"/>
      <c r="AE53" s="94"/>
    </row>
    <row r="54" customFormat="false" ht="11.1" hidden="false" customHeight="true" outlineLevel="0" collapsed="false">
      <c r="A54" s="90"/>
      <c r="B54" s="60" t="n">
        <f aca="false">B52-B22</f>
        <v>19.2399999999998</v>
      </c>
      <c r="C54" s="57"/>
      <c r="D54" s="57" t="n">
        <f aca="false">C52-C22</f>
        <v>74913</v>
      </c>
      <c r="E54" s="57"/>
      <c r="F54" s="90"/>
      <c r="G54" s="90"/>
      <c r="H54" s="58"/>
      <c r="I54" s="90"/>
      <c r="J54" s="90"/>
      <c r="K54" s="90"/>
      <c r="L54" s="90"/>
      <c r="M54" s="81"/>
      <c r="N54" s="81"/>
      <c r="O54" s="81"/>
      <c r="P54" s="90"/>
      <c r="Q54" s="90"/>
      <c r="R54" s="90"/>
      <c r="S54" s="57"/>
      <c r="T54" s="90"/>
      <c r="U54" s="90"/>
      <c r="V54" s="57"/>
      <c r="W54" s="90"/>
      <c r="X54" s="90"/>
      <c r="Y54" s="90"/>
      <c r="Z54" s="60"/>
      <c r="AA54" s="61"/>
      <c r="AB54" s="61"/>
      <c r="AC54" s="62"/>
      <c r="AD54" s="94"/>
      <c r="AE54" s="94"/>
    </row>
    <row r="55" customFormat="false" ht="11.1" hidden="false" customHeight="true" outlineLevel="0" collapsed="false">
      <c r="A55" s="90"/>
      <c r="B55" s="90"/>
      <c r="C55" s="57"/>
      <c r="D55" s="90"/>
      <c r="E55" s="57"/>
      <c r="F55" s="90"/>
      <c r="G55" s="95"/>
      <c r="H55" s="58"/>
      <c r="I55" s="90"/>
      <c r="J55" s="90"/>
      <c r="K55" s="90"/>
      <c r="L55" s="90"/>
      <c r="M55" s="81"/>
      <c r="N55" s="81"/>
      <c r="O55" s="81"/>
      <c r="P55" s="90"/>
      <c r="Q55" s="90"/>
      <c r="R55" s="90"/>
      <c r="S55" s="57"/>
      <c r="T55" s="90"/>
      <c r="U55" s="90"/>
      <c r="V55" s="57"/>
      <c r="W55" s="90"/>
      <c r="X55" s="90"/>
      <c r="Y55" s="90"/>
      <c r="Z55" s="60"/>
      <c r="AA55" s="61"/>
      <c r="AB55" s="61"/>
      <c r="AC55" s="62"/>
      <c r="AD55" s="94"/>
      <c r="AE55" s="94"/>
    </row>
  </sheetData>
  <mergeCells count="2">
    <mergeCell ref="K2:T2"/>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55"/>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U40" activeCellId="0" sqref="U40"/>
    </sheetView>
  </sheetViews>
  <sheetFormatPr defaultColWidth="9.2890625" defaultRowHeight="11.1" zeroHeight="false" outlineLevelRow="0" outlineLevelCol="0"/>
  <cols>
    <col collapsed="false" customWidth="true" hidden="false" outlineLevel="0" max="1" min="1" style="0" width="5.66"/>
    <col collapsed="false" customWidth="true" hidden="false" outlineLevel="0" max="3" min="3" style="1" width="7.66"/>
    <col collapsed="false" customWidth="true" hidden="false" outlineLevel="0" max="4" min="4" style="0" width="6.82"/>
    <col collapsed="false" customWidth="true" hidden="false" outlineLevel="0" max="5" min="5" style="1" width="7.66"/>
    <col collapsed="false" customWidth="true" hidden="false" outlineLevel="0" max="7" min="6" style="0" width="7.66"/>
    <col collapsed="false" customWidth="true" hidden="false" outlineLevel="0" max="8" min="8" style="2" width="7.16"/>
    <col collapsed="false" customWidth="true" hidden="false" outlineLevel="0" max="9" min="9" style="0" width="8.82"/>
    <col collapsed="false" customWidth="true" hidden="false" outlineLevel="0" max="10" min="10" style="0" width="6.32"/>
    <col collapsed="false" customWidth="true" hidden="false" outlineLevel="0" max="12" min="11" style="0" width="7.66"/>
    <col collapsed="false" customWidth="true" hidden="false" outlineLevel="0" max="13" min="13" style="3" width="7.49"/>
    <col collapsed="false" customWidth="false" hidden="false" outlineLevel="0" max="15" min="14" style="3" width="9.32"/>
    <col collapsed="false" customWidth="true" hidden="false" outlineLevel="0" max="16" min="16" style="0" width="5.82"/>
    <col collapsed="false" customWidth="true" hidden="false" outlineLevel="0" max="17" min="17" style="0" width="7.16"/>
    <col collapsed="false" customWidth="true" hidden="false" outlineLevel="0" max="18" min="18" style="0" width="6.66"/>
    <col collapsed="false" customWidth="true" hidden="false" outlineLevel="0" max="19" min="19" style="1" width="6.66"/>
    <col collapsed="false" customWidth="true" hidden="false" outlineLevel="0" max="20" min="20" style="0" width="5.82"/>
    <col collapsed="false" customWidth="true" hidden="false" outlineLevel="0" max="21" min="21" style="0" width="7.49"/>
    <col collapsed="false" customWidth="true" hidden="false" outlineLevel="0" max="22" min="22" style="1" width="6.32"/>
    <col collapsed="false" customWidth="true" hidden="false" outlineLevel="0" max="25" min="23" style="0" width="7.82"/>
    <col collapsed="false" customWidth="true" hidden="false" outlineLevel="0" max="26" min="26" style="4" width="5.66"/>
    <col collapsed="false" customWidth="true" hidden="false" outlineLevel="0" max="28" min="27" style="5" width="5.66"/>
    <col collapsed="false" customWidth="true" hidden="false" outlineLevel="0" max="29" min="29" style="6" width="5.66"/>
  </cols>
  <sheetData>
    <row r="1" customFormat="false" ht="14.1" hidden="false" customHeight="true" outlineLevel="0" collapsed="false">
      <c r="A1" s="7"/>
      <c r="B1" s="7"/>
      <c r="C1" s="8"/>
      <c r="D1" s="7"/>
      <c r="E1" s="8"/>
      <c r="F1" s="7"/>
      <c r="G1" s="7"/>
      <c r="H1" s="9"/>
      <c r="I1" s="7"/>
      <c r="J1" s="7"/>
      <c r="K1" s="10" t="s">
        <v>0</v>
      </c>
      <c r="L1" s="7"/>
      <c r="M1" s="7"/>
      <c r="N1" s="7"/>
      <c r="O1" s="7"/>
      <c r="P1" s="7"/>
      <c r="Q1" s="7"/>
      <c r="R1" s="7"/>
      <c r="S1" s="8"/>
      <c r="T1" s="7"/>
      <c r="U1" s="7"/>
      <c r="V1" s="8"/>
      <c r="W1" s="7"/>
      <c r="X1" s="7"/>
      <c r="Y1" s="7"/>
      <c r="Z1" s="11"/>
      <c r="AA1" s="12"/>
      <c r="AB1" s="12"/>
      <c r="AC1" s="13"/>
      <c r="AD1" s="14"/>
      <c r="AE1" s="14"/>
    </row>
    <row r="2" customFormat="false" ht="14.1" hidden="false" customHeight="true" outlineLevel="0" collapsed="false">
      <c r="A2" s="7" t="s">
        <v>1</v>
      </c>
      <c r="B2" s="7"/>
      <c r="C2" s="8"/>
      <c r="D2" s="15" t="n">
        <v>1.9835</v>
      </c>
      <c r="E2" s="8"/>
      <c r="F2" s="7"/>
      <c r="G2" s="7"/>
      <c r="H2" s="9"/>
      <c r="I2" s="7"/>
      <c r="J2" s="7"/>
      <c r="K2" s="104" t="s">
        <v>66</v>
      </c>
      <c r="L2" s="104"/>
      <c r="M2" s="104"/>
      <c r="N2" s="104"/>
      <c r="O2" s="104"/>
      <c r="P2" s="104"/>
      <c r="Q2" s="104"/>
      <c r="R2" s="104"/>
      <c r="S2" s="104"/>
      <c r="T2" s="104"/>
      <c r="U2" s="104"/>
      <c r="V2" s="104"/>
      <c r="W2" s="7"/>
      <c r="X2" s="7"/>
      <c r="Y2" s="7"/>
      <c r="Z2" s="11"/>
      <c r="AA2" s="12"/>
      <c r="AB2" s="12"/>
      <c r="AC2" s="13"/>
      <c r="AD2" s="14"/>
      <c r="AE2" s="14"/>
    </row>
    <row r="3" customFormat="false" ht="11.1" hidden="false" customHeight="true" outlineLevel="0" collapsed="false">
      <c r="A3" s="7"/>
      <c r="B3" s="7"/>
      <c r="C3" s="8"/>
      <c r="D3" s="16"/>
      <c r="E3" s="8"/>
      <c r="F3" s="7"/>
      <c r="G3" s="7"/>
      <c r="H3" s="9"/>
      <c r="I3" s="7"/>
      <c r="J3" s="7"/>
      <c r="K3" s="7"/>
      <c r="L3" s="7"/>
      <c r="M3" s="7"/>
      <c r="N3" s="7"/>
      <c r="O3" s="7"/>
      <c r="P3" s="7"/>
      <c r="Q3" s="7"/>
      <c r="R3" s="7"/>
      <c r="S3" s="8"/>
      <c r="T3" s="7"/>
      <c r="U3" s="7"/>
      <c r="V3" s="8"/>
      <c r="W3" s="7"/>
      <c r="X3" s="7"/>
      <c r="Y3" s="7" t="n">
        <v>5</v>
      </c>
      <c r="Z3" s="11"/>
      <c r="AA3" s="12"/>
      <c r="AB3" s="12"/>
      <c r="AC3" s="13"/>
      <c r="AD3" s="14"/>
      <c r="AE3" s="14"/>
    </row>
    <row r="4" customFormat="false" ht="11.1" hidden="false" customHeight="true" outlineLevel="0" collapsed="false">
      <c r="A4" s="17" t="s">
        <v>3</v>
      </c>
      <c r="B4" s="17" t="s">
        <v>4</v>
      </c>
      <c r="C4" s="18" t="s">
        <v>4</v>
      </c>
      <c r="D4" s="17" t="s">
        <v>5</v>
      </c>
      <c r="E4" s="18" t="s">
        <v>6</v>
      </c>
      <c r="F4" s="17" t="s">
        <v>7</v>
      </c>
      <c r="G4" s="17" t="s">
        <v>8</v>
      </c>
      <c r="H4" s="19" t="s">
        <v>9</v>
      </c>
      <c r="I4" s="17" t="s">
        <v>10</v>
      </c>
      <c r="J4" s="17" t="s">
        <v>11</v>
      </c>
      <c r="K4" s="17" t="s">
        <v>12</v>
      </c>
      <c r="L4" s="17" t="s">
        <v>11</v>
      </c>
      <c r="M4" s="20" t="s">
        <v>13</v>
      </c>
      <c r="N4" s="20"/>
      <c r="O4" s="20"/>
      <c r="P4" s="17" t="s">
        <v>16</v>
      </c>
      <c r="Q4" s="17" t="s">
        <v>15</v>
      </c>
      <c r="R4" s="17" t="s">
        <v>12</v>
      </c>
      <c r="S4" s="18" t="s">
        <v>16</v>
      </c>
      <c r="T4" s="17" t="s">
        <v>17</v>
      </c>
      <c r="U4" s="17" t="s">
        <v>18</v>
      </c>
      <c r="V4" s="18" t="s">
        <v>19</v>
      </c>
      <c r="W4" s="17" t="s">
        <v>10</v>
      </c>
      <c r="X4" s="17" t="s">
        <v>11</v>
      </c>
      <c r="Y4" s="17" t="s">
        <v>12</v>
      </c>
      <c r="Z4" s="21" t="s">
        <v>20</v>
      </c>
      <c r="AA4" s="22" t="s">
        <v>21</v>
      </c>
      <c r="AB4" s="22" t="s">
        <v>22</v>
      </c>
      <c r="AC4" s="22" t="s">
        <v>3</v>
      </c>
      <c r="AD4" s="14"/>
      <c r="AE4" s="14"/>
    </row>
    <row r="5" customFormat="false" ht="11.1" hidden="false" customHeight="true" outlineLevel="0" collapsed="false">
      <c r="A5" s="23" t="s">
        <v>67</v>
      </c>
      <c r="B5" s="17" t="s">
        <v>24</v>
      </c>
      <c r="C5" s="18" t="s">
        <v>5</v>
      </c>
      <c r="D5" s="17" t="s">
        <v>25</v>
      </c>
      <c r="E5" s="18" t="s">
        <v>26</v>
      </c>
      <c r="F5" s="17" t="s">
        <v>27</v>
      </c>
      <c r="G5" s="17" t="s">
        <v>28</v>
      </c>
      <c r="H5" s="19" t="s">
        <v>29</v>
      </c>
      <c r="I5" s="17" t="s">
        <v>30</v>
      </c>
      <c r="J5" s="17" t="s">
        <v>30</v>
      </c>
      <c r="K5" s="17" t="s">
        <v>30</v>
      </c>
      <c r="L5" s="17" t="s">
        <v>31</v>
      </c>
      <c r="M5" s="17" t="s">
        <v>32</v>
      </c>
      <c r="N5" s="17" t="s">
        <v>33</v>
      </c>
      <c r="O5" s="17" t="s">
        <v>68</v>
      </c>
      <c r="P5" s="17" t="s">
        <v>69</v>
      </c>
      <c r="Q5" s="17" t="s">
        <v>36</v>
      </c>
      <c r="R5" s="17" t="s">
        <v>16</v>
      </c>
      <c r="S5" s="18" t="s">
        <v>37</v>
      </c>
      <c r="T5" s="17" t="s">
        <v>38</v>
      </c>
      <c r="U5" s="17" t="s">
        <v>39</v>
      </c>
      <c r="V5" s="18" t="s">
        <v>40</v>
      </c>
      <c r="W5" s="17" t="s">
        <v>41</v>
      </c>
      <c r="X5" s="17" t="s">
        <v>41</v>
      </c>
      <c r="Y5" s="17" t="s">
        <v>41</v>
      </c>
      <c r="Z5" s="25"/>
      <c r="AA5" s="22" t="s">
        <v>42</v>
      </c>
      <c r="AB5" s="22" t="s">
        <v>42</v>
      </c>
      <c r="AC5" s="26" t="s">
        <v>67</v>
      </c>
      <c r="AD5" s="14"/>
      <c r="AE5" s="14"/>
    </row>
    <row r="6" customFormat="false" ht="11.1" hidden="false" customHeight="true" outlineLevel="0" collapsed="false">
      <c r="A6" s="27"/>
      <c r="B6" s="27"/>
      <c r="C6" s="28"/>
      <c r="D6" s="27"/>
      <c r="E6" s="28"/>
      <c r="F6" s="27"/>
      <c r="G6" s="27"/>
      <c r="H6" s="29"/>
      <c r="I6" s="27"/>
      <c r="J6" s="27"/>
      <c r="K6" s="27"/>
      <c r="L6" s="27"/>
      <c r="M6" s="27"/>
      <c r="N6" s="27"/>
      <c r="O6" s="27"/>
      <c r="P6" s="27"/>
      <c r="Q6" s="27"/>
      <c r="R6" s="27"/>
      <c r="S6" s="28"/>
      <c r="T6" s="27"/>
      <c r="U6" s="27"/>
      <c r="V6" s="28" t="n">
        <f aca="false">25400+3900+3900+3300+150</f>
        <v>36650</v>
      </c>
      <c r="W6" s="27"/>
      <c r="X6" s="27"/>
      <c r="Y6" s="27"/>
      <c r="Z6" s="11"/>
      <c r="AA6" s="13"/>
      <c r="AB6" s="13"/>
      <c r="AC6" s="13"/>
      <c r="AD6" s="14"/>
      <c r="AE6" s="14"/>
    </row>
    <row r="7" customFormat="false" ht="11.1" hidden="false" customHeight="true" outlineLevel="0" collapsed="false">
      <c r="A7" s="7" t="s">
        <v>43</v>
      </c>
      <c r="B7" s="7"/>
      <c r="C7" s="8"/>
      <c r="D7" s="8"/>
      <c r="E7" s="8"/>
      <c r="F7" s="8"/>
      <c r="G7" s="8"/>
      <c r="H7" s="12"/>
      <c r="I7" s="8"/>
      <c r="J7" s="8"/>
      <c r="K7" s="8"/>
      <c r="L7" s="8"/>
      <c r="M7" s="8"/>
      <c r="N7" s="8"/>
      <c r="O7" s="8"/>
      <c r="P7" s="8"/>
      <c r="Q7" s="8"/>
      <c r="R7" s="8"/>
      <c r="S7" s="8"/>
      <c r="T7" s="8"/>
      <c r="U7" s="8"/>
      <c r="V7" s="8"/>
      <c r="W7" s="8"/>
      <c r="X7" s="8"/>
      <c r="Y7" s="8"/>
      <c r="Z7" s="11"/>
      <c r="AA7" s="12"/>
      <c r="AB7" s="12"/>
      <c r="AC7" s="13"/>
      <c r="AD7" s="14"/>
    </row>
    <row r="8" s="1" customFormat="true" ht="11.1" hidden="false" customHeight="true" outlineLevel="0" collapsed="false">
      <c r="A8" s="8" t="s">
        <v>44</v>
      </c>
      <c r="B8" s="32" t="n">
        <f aca="false" t="array" ref="B8:C8">MAR!$B$40:$C$40</f>
        <v>6910.67</v>
      </c>
      <c r="C8" s="8" t="n">
        <v>325076</v>
      </c>
      <c r="D8" s="8" t="n">
        <f aca="false" t="array" ref="D8:E8">MAR!$D$49:$E$49</f>
        <v>79597</v>
      </c>
      <c r="E8" s="8" t="n">
        <v>173076</v>
      </c>
      <c r="F8" s="8" t="n">
        <f aca="false" t="array" ref="F8:U8">MAR!$F$48:$U$48</f>
        <v>40129.5689437862</v>
      </c>
      <c r="G8" s="8" t="n">
        <v>27184.79</v>
      </c>
      <c r="H8" s="12" t="n">
        <v>3559.7</v>
      </c>
      <c r="I8" s="8" t="n">
        <v>30543.59</v>
      </c>
      <c r="J8" s="8" t="n">
        <v>16748.6161381397</v>
      </c>
      <c r="K8" s="8" t="n">
        <v>47292.2061381397</v>
      </c>
      <c r="L8" s="8" t="n">
        <v>16171.5489437862</v>
      </c>
      <c r="M8" s="8" t="n">
        <v>1002.25</v>
      </c>
      <c r="N8" s="8" t="n">
        <v>47.019</v>
      </c>
      <c r="O8" s="8" t="n">
        <v>686.151</v>
      </c>
      <c r="P8" s="8" t="n">
        <v>107.52</v>
      </c>
      <c r="Q8" s="8" t="n">
        <v>198.8</v>
      </c>
      <c r="R8" s="8" t="n">
        <v>1199.488</v>
      </c>
      <c r="S8" s="8" t="n">
        <v>0</v>
      </c>
      <c r="T8" s="8" t="n">
        <v>0</v>
      </c>
      <c r="U8" s="8" t="n">
        <v>5277</v>
      </c>
      <c r="V8" s="8" t="n">
        <f aca="false">V6/D2</f>
        <v>18477.4388706831</v>
      </c>
      <c r="W8" s="8" t="n">
        <f aca="false" t="array" ref="W8:Z8">MAR!$W$48:$Z$48</f>
        <v>6585.57</v>
      </c>
      <c r="X8" s="8" t="n">
        <v>577.067194353416</v>
      </c>
      <c r="Y8" s="8" t="n">
        <v>7162.63719435342</v>
      </c>
      <c r="Z8" s="33" t="n">
        <v>9.22</v>
      </c>
      <c r="AA8" s="12"/>
      <c r="AB8" s="12"/>
      <c r="AC8" s="13"/>
      <c r="AD8" s="34"/>
      <c r="AE8" s="14"/>
    </row>
    <row r="9" customFormat="false" ht="3" hidden="false" customHeight="true" outlineLevel="0" collapsed="false">
      <c r="A9" s="35"/>
      <c r="B9" s="36"/>
      <c r="C9" s="37"/>
      <c r="D9" s="35"/>
      <c r="E9" s="37"/>
      <c r="F9" s="35"/>
      <c r="G9" s="35"/>
      <c r="H9" s="38"/>
      <c r="I9" s="35"/>
      <c r="J9" s="35"/>
      <c r="K9" s="35"/>
      <c r="L9" s="35"/>
      <c r="M9" s="35"/>
      <c r="N9" s="35"/>
      <c r="O9" s="35"/>
      <c r="P9" s="35"/>
      <c r="Q9" s="35"/>
      <c r="R9" s="35"/>
      <c r="S9" s="37"/>
      <c r="T9" s="35"/>
      <c r="U9" s="35"/>
      <c r="V9" s="37"/>
      <c r="W9" s="35"/>
      <c r="X9" s="35"/>
      <c r="Y9" s="35"/>
      <c r="Z9" s="39"/>
      <c r="AA9" s="40"/>
      <c r="AB9" s="40"/>
      <c r="AC9" s="41"/>
      <c r="AD9" s="14"/>
      <c r="AE9" s="14"/>
    </row>
    <row r="10" customFormat="false" ht="11.1" hidden="false" customHeight="true" outlineLevel="0" collapsed="false">
      <c r="A10" s="13" t="n">
        <v>1</v>
      </c>
      <c r="B10" s="32" t="n">
        <v>6911.45</v>
      </c>
      <c r="C10" s="8" t="n">
        <v>327820</v>
      </c>
      <c r="D10" s="12" t="n">
        <f aca="false">C10-C8</f>
        <v>2744</v>
      </c>
      <c r="E10" s="8" t="n">
        <f aca="false">C10-152000</f>
        <v>175820</v>
      </c>
      <c r="F10" s="7" t="n">
        <f aca="false">D10/$D$2</f>
        <v>1383.4131585581</v>
      </c>
      <c r="G10" s="7" t="n">
        <v>796</v>
      </c>
      <c r="H10" s="9" t="n">
        <v>136</v>
      </c>
      <c r="I10" s="7" t="n">
        <f aca="false">G10+H10</f>
        <v>932</v>
      </c>
      <c r="J10" s="105" t="n">
        <f aca="false">IF(L10&gt;0,L10,0)</f>
        <v>525.233158558104</v>
      </c>
      <c r="K10" s="7" t="n">
        <f aca="false">I10+J10</f>
        <v>1457.2331585581</v>
      </c>
      <c r="L10" s="7" t="n">
        <f aca="false">F10-(I10-W10)</f>
        <v>525.233158558104</v>
      </c>
      <c r="M10" s="7" t="n">
        <v>18</v>
      </c>
      <c r="N10" s="7" t="n">
        <f aca="false">(6.6+6.4)*1.05</f>
        <v>13.65</v>
      </c>
      <c r="O10" s="7" t="n">
        <f aca="false">M10-N10</f>
        <v>4.35</v>
      </c>
      <c r="P10" s="7" t="n">
        <v>0</v>
      </c>
      <c r="Q10" s="7" t="n">
        <v>0</v>
      </c>
      <c r="R10" s="7" t="n">
        <f aca="false">SUM(O10:Q10)</f>
        <v>4.35</v>
      </c>
      <c r="S10" s="8"/>
      <c r="T10" s="7" t="n">
        <v>0</v>
      </c>
      <c r="U10" s="7" t="n">
        <v>55.82</v>
      </c>
      <c r="V10" s="8" t="n">
        <f aca="false">V8-U10</f>
        <v>18421.6188706831</v>
      </c>
      <c r="W10" s="7" t="n">
        <f aca="false">N10+R10+T10+U10</f>
        <v>73.82</v>
      </c>
      <c r="X10" s="7" t="n">
        <f aca="false">IF(L10&lt;0,L10*-1,0)</f>
        <v>0</v>
      </c>
      <c r="Y10" s="7" t="n">
        <f aca="false">W10+X10</f>
        <v>73.82</v>
      </c>
      <c r="Z10" s="11" t="n">
        <v>0.02</v>
      </c>
      <c r="AA10" s="12" t="n">
        <v>53</v>
      </c>
      <c r="AB10" s="12" t="n">
        <v>35</v>
      </c>
      <c r="AC10" s="13" t="n">
        <v>1</v>
      </c>
      <c r="AD10" s="12"/>
      <c r="AE10" s="12"/>
      <c r="AG10" s="7"/>
    </row>
    <row r="11" customFormat="false" ht="11.1" hidden="false" customHeight="true" outlineLevel="0" collapsed="false">
      <c r="A11" s="13" t="n">
        <f aca="false">A10+1</f>
        <v>2</v>
      </c>
      <c r="B11" s="32" t="n">
        <v>6912.1</v>
      </c>
      <c r="C11" s="8" t="n">
        <v>330452</v>
      </c>
      <c r="D11" s="12" t="n">
        <f aca="false">C11-C10</f>
        <v>2632</v>
      </c>
      <c r="E11" s="8" t="n">
        <f aca="false">C11-152000</f>
        <v>178452</v>
      </c>
      <c r="F11" s="7" t="n">
        <f aca="false">D11/$D$2</f>
        <v>1326.94731535165</v>
      </c>
      <c r="G11" s="7" t="n">
        <v>708</v>
      </c>
      <c r="H11" s="9" t="n">
        <v>119</v>
      </c>
      <c r="I11" s="7" t="n">
        <f aca="false">G11+H11</f>
        <v>827</v>
      </c>
      <c r="J11" s="105" t="n">
        <f aca="false">IF(L11&gt;0,L11,0)</f>
        <v>572.267315351651</v>
      </c>
      <c r="K11" s="7" t="n">
        <f aca="false">I11+J11</f>
        <v>1399.26731535165</v>
      </c>
      <c r="L11" s="7" t="n">
        <f aca="false">F11-(I11-W11)</f>
        <v>572.267315351651</v>
      </c>
      <c r="M11" s="7" t="n">
        <v>5.1</v>
      </c>
      <c r="N11" s="7" t="n">
        <v>0</v>
      </c>
      <c r="O11" s="7" t="n">
        <f aca="false">M11-N11</f>
        <v>5.1</v>
      </c>
      <c r="P11" s="7" t="n">
        <v>0</v>
      </c>
      <c r="Q11" s="7" t="n">
        <v>0</v>
      </c>
      <c r="R11" s="7" t="n">
        <f aca="false">SUM(O11:Q11)</f>
        <v>5.1</v>
      </c>
      <c r="S11" s="8"/>
      <c r="T11" s="7" t="n">
        <v>0</v>
      </c>
      <c r="U11" s="7" t="n">
        <v>67.22</v>
      </c>
      <c r="V11" s="8" t="n">
        <v>18421.6188706831</v>
      </c>
      <c r="W11" s="7" t="n">
        <f aca="false">N11+R11+T11+U11</f>
        <v>72.32</v>
      </c>
      <c r="X11" s="7" t="n">
        <f aca="false">IF(L11&lt;0,L11*-1,0)</f>
        <v>0</v>
      </c>
      <c r="Y11" s="7" t="n">
        <f aca="false">W11+X11</f>
        <v>72.32</v>
      </c>
      <c r="Z11" s="11" t="n">
        <v>0</v>
      </c>
      <c r="AA11" s="12" t="n">
        <v>61</v>
      </c>
      <c r="AB11" s="12" t="n">
        <v>31</v>
      </c>
      <c r="AC11" s="13" t="n">
        <f aca="false">AC10+1</f>
        <v>2</v>
      </c>
      <c r="AD11" s="12"/>
      <c r="AE11" s="12"/>
      <c r="AG11" s="7"/>
    </row>
    <row r="12" customFormat="false" ht="11.1" hidden="false" customHeight="true" outlineLevel="0" collapsed="false">
      <c r="A12" s="13" t="n">
        <f aca="false">A11+1</f>
        <v>3</v>
      </c>
      <c r="B12" s="32" t="n">
        <v>6912.88</v>
      </c>
      <c r="C12" s="8" t="n">
        <v>333632</v>
      </c>
      <c r="D12" s="12" t="n">
        <f aca="false">C12-C11</f>
        <v>3180</v>
      </c>
      <c r="E12" s="8" t="n">
        <f aca="false">C12-152000</f>
        <v>181632</v>
      </c>
      <c r="F12" s="7" t="n">
        <f aca="false">D12/$D$2</f>
        <v>1603.2266196118</v>
      </c>
      <c r="G12" s="7" t="n">
        <v>693</v>
      </c>
      <c r="H12" s="9" t="n">
        <v>120</v>
      </c>
      <c r="I12" s="7" t="n">
        <f aca="false">G12+H12</f>
        <v>813</v>
      </c>
      <c r="J12" s="105" t="n">
        <f aca="false">IF(L12&gt;0,L12,0)</f>
        <v>870.186619611797</v>
      </c>
      <c r="K12" s="7" t="n">
        <f aca="false">I12+J12</f>
        <v>1683.1866196118</v>
      </c>
      <c r="L12" s="7" t="n">
        <f aca="false">F12-(I12-W12)</f>
        <v>870.186619611797</v>
      </c>
      <c r="M12" s="7" t="n">
        <v>5.1</v>
      </c>
      <c r="N12" s="7" t="n">
        <v>0</v>
      </c>
      <c r="O12" s="7" t="n">
        <f aca="false">M12-N12</f>
        <v>5.1</v>
      </c>
      <c r="P12" s="7" t="n">
        <v>0</v>
      </c>
      <c r="Q12" s="7" t="n">
        <v>0</v>
      </c>
      <c r="R12" s="7" t="n">
        <f aca="false">SUM(O12:Q12)</f>
        <v>5.1</v>
      </c>
      <c r="S12" s="8"/>
      <c r="T12" s="7" t="n">
        <v>0</v>
      </c>
      <c r="U12" s="7" t="n">
        <v>74.86</v>
      </c>
      <c r="V12" s="8" t="n">
        <v>18421.6188706831</v>
      </c>
      <c r="W12" s="7" t="n">
        <f aca="false">N12+R12+T12+U12</f>
        <v>79.96</v>
      </c>
      <c r="X12" s="7" t="n">
        <f aca="false">IF(L12&lt;0,L12*-1,0)</f>
        <v>0</v>
      </c>
      <c r="Y12" s="7" t="n">
        <f aca="false">W12+X12</f>
        <v>79.96</v>
      </c>
      <c r="Z12" s="11" t="n">
        <v>0</v>
      </c>
      <c r="AA12" s="12" t="n">
        <v>58</v>
      </c>
      <c r="AB12" s="12" t="n">
        <v>39</v>
      </c>
      <c r="AC12" s="13" t="n">
        <f aca="false">AC11+1</f>
        <v>3</v>
      </c>
      <c r="AD12" s="12"/>
      <c r="AE12" s="12"/>
      <c r="AG12" s="7"/>
    </row>
    <row r="13" customFormat="false" ht="11.1" hidden="false" customHeight="true" outlineLevel="0" collapsed="false">
      <c r="A13" s="13" t="n">
        <f aca="false">A12+1</f>
        <v>4</v>
      </c>
      <c r="B13" s="32" t="n">
        <v>6913.88</v>
      </c>
      <c r="C13" s="8" t="n">
        <v>337737</v>
      </c>
      <c r="D13" s="12" t="n">
        <f aca="false">C13-C12</f>
        <v>4105</v>
      </c>
      <c r="E13" s="8" t="n">
        <f aca="false">C13-152000</f>
        <v>185737</v>
      </c>
      <c r="F13" s="7" t="n">
        <f aca="false">D13/$D$2</f>
        <v>2069.57398537938</v>
      </c>
      <c r="G13" s="7" t="n">
        <v>881</v>
      </c>
      <c r="H13" s="9" t="n">
        <v>215</v>
      </c>
      <c r="I13" s="7" t="n">
        <f aca="false">G13+H13</f>
        <v>1096</v>
      </c>
      <c r="J13" s="105" t="n">
        <f aca="false">IF(L13&gt;0,L13,0)</f>
        <v>1103.57398537938</v>
      </c>
      <c r="K13" s="7" t="n">
        <f aca="false">I13+J13</f>
        <v>2199.57398537938</v>
      </c>
      <c r="L13" s="7" t="n">
        <f aca="false">F13-(I13-W13)</f>
        <v>1103.57398537938</v>
      </c>
      <c r="M13" s="7" t="n">
        <v>8</v>
      </c>
      <c r="N13" s="7" t="n">
        <f aca="false">(0.53+0.56)*1.05</f>
        <v>1.1445</v>
      </c>
      <c r="O13" s="7" t="n">
        <f aca="false">M13-N13</f>
        <v>6.8555</v>
      </c>
      <c r="P13" s="7" t="n">
        <v>0</v>
      </c>
      <c r="Q13" s="7" t="n">
        <v>0</v>
      </c>
      <c r="R13" s="7" t="n">
        <f aca="false">SUM(O13:Q13)</f>
        <v>6.8555</v>
      </c>
      <c r="S13" s="8"/>
      <c r="T13" s="7" t="n">
        <v>0</v>
      </c>
      <c r="U13" s="7" t="n">
        <v>122</v>
      </c>
      <c r="V13" s="8" t="n">
        <v>18421.6188706831</v>
      </c>
      <c r="W13" s="7" t="n">
        <f aca="false">N13+R13+T13+U13</f>
        <v>130</v>
      </c>
      <c r="X13" s="7" t="n">
        <f aca="false">IF(L13&lt;0,L13*-1,0)</f>
        <v>0</v>
      </c>
      <c r="Y13" s="7" t="n">
        <f aca="false">W13+X13</f>
        <v>130</v>
      </c>
      <c r="Z13" s="11" t="n">
        <v>1.08</v>
      </c>
      <c r="AA13" s="12" t="n">
        <v>37</v>
      </c>
      <c r="AB13" s="12" t="n">
        <v>30</v>
      </c>
      <c r="AC13" s="13" t="n">
        <f aca="false">AC12+1</f>
        <v>4</v>
      </c>
      <c r="AD13" s="12"/>
      <c r="AE13" s="12"/>
      <c r="AG13" s="7"/>
    </row>
    <row r="14" customFormat="false" ht="11.1" hidden="false" customHeight="true" outlineLevel="0" collapsed="false">
      <c r="A14" s="13" t="n">
        <f aca="false">A13+1</f>
        <v>5</v>
      </c>
      <c r="B14" s="32" t="n">
        <v>6914.46</v>
      </c>
      <c r="C14" s="8" t="n">
        <v>340136</v>
      </c>
      <c r="D14" s="12" t="n">
        <f aca="false">C14-C13</f>
        <v>2399</v>
      </c>
      <c r="E14" s="8" t="n">
        <f aca="false">C14-152000</f>
        <v>188136</v>
      </c>
      <c r="F14" s="7" t="n">
        <f aca="false">D14/$D$2</f>
        <v>1209.47819510965</v>
      </c>
      <c r="G14" s="7" t="n">
        <v>723</v>
      </c>
      <c r="H14" s="9" t="n">
        <v>156</v>
      </c>
      <c r="I14" s="7" t="n">
        <f aca="false">G14+H14</f>
        <v>879</v>
      </c>
      <c r="J14" s="105" t="n">
        <f aca="false">IF(L14&gt;0,L14,0)</f>
        <v>517.978195109655</v>
      </c>
      <c r="K14" s="7" t="n">
        <f aca="false">I14+J14</f>
        <v>1396.97819510965</v>
      </c>
      <c r="L14" s="7" t="n">
        <f aca="false">F14-(I14-W14)</f>
        <v>517.978195109655</v>
      </c>
      <c r="M14" s="7" t="n">
        <v>5.5</v>
      </c>
      <c r="N14" s="7" t="n">
        <v>0</v>
      </c>
      <c r="O14" s="7" t="n">
        <f aca="false">M14-N14</f>
        <v>5.5</v>
      </c>
      <c r="P14" s="7" t="n">
        <v>0</v>
      </c>
      <c r="Q14" s="7" t="n">
        <v>0</v>
      </c>
      <c r="R14" s="7" t="n">
        <f aca="false">SUM(O14:Q14)</f>
        <v>5.5</v>
      </c>
      <c r="S14" s="8"/>
      <c r="T14" s="7" t="n">
        <v>0</v>
      </c>
      <c r="U14" s="7" t="n">
        <v>182</v>
      </c>
      <c r="V14" s="8" t="n">
        <v>18421.6188706831</v>
      </c>
      <c r="W14" s="7" t="n">
        <f aca="false">N14+R14+T14+U14</f>
        <v>187.5</v>
      </c>
      <c r="X14" s="7" t="n">
        <f aca="false">IF(L14&lt;0,L14*-1,0)</f>
        <v>0</v>
      </c>
      <c r="Y14" s="7" t="n">
        <f aca="false">W14+X14</f>
        <v>187.5</v>
      </c>
      <c r="Z14" s="11" t="n">
        <v>0.22</v>
      </c>
      <c r="AA14" s="12" t="n">
        <v>42</v>
      </c>
      <c r="AB14" s="12" t="n">
        <v>29</v>
      </c>
      <c r="AC14" s="13" t="n">
        <f aca="false">AC13+1</f>
        <v>5</v>
      </c>
      <c r="AD14" s="12"/>
      <c r="AE14" s="12"/>
      <c r="AG14" s="7"/>
    </row>
    <row r="15" customFormat="false" ht="11.1" hidden="false" customHeight="true" outlineLevel="0" collapsed="false">
      <c r="A15" s="13" t="n">
        <f aca="false">A14+1</f>
        <v>6</v>
      </c>
      <c r="B15" s="32" t="n">
        <v>6914.89</v>
      </c>
      <c r="C15" s="8" t="n">
        <v>341917</v>
      </c>
      <c r="D15" s="12" t="n">
        <f aca="false">C15-C14</f>
        <v>1781</v>
      </c>
      <c r="E15" s="8" t="n">
        <f aca="false">C15-152000</f>
        <v>189917</v>
      </c>
      <c r="F15" s="7" t="n">
        <f aca="false">D15/$D$2</f>
        <v>897.907738845475</v>
      </c>
      <c r="G15" s="7" t="n">
        <v>590</v>
      </c>
      <c r="H15" s="9" t="n">
        <v>125</v>
      </c>
      <c r="I15" s="7" t="n">
        <f aca="false">G15+H15</f>
        <v>715</v>
      </c>
      <c r="J15" s="105" t="n">
        <f aca="false">IF(L15&gt;0,L15,0)</f>
        <v>390.407738845475</v>
      </c>
      <c r="K15" s="7" t="n">
        <f aca="false">I15+J15</f>
        <v>1105.40773884548</v>
      </c>
      <c r="L15" s="7" t="n">
        <f aca="false">F15-(I15-W15)</f>
        <v>390.407738845475</v>
      </c>
      <c r="M15" s="7" t="n">
        <v>5.5</v>
      </c>
      <c r="N15" s="7" t="n">
        <v>0</v>
      </c>
      <c r="O15" s="7" t="n">
        <f aca="false">M15-N15</f>
        <v>5.5</v>
      </c>
      <c r="P15" s="7" t="n">
        <v>0</v>
      </c>
      <c r="Q15" s="7" t="n">
        <v>0</v>
      </c>
      <c r="R15" s="7" t="n">
        <f aca="false">SUM(O15:Q15)</f>
        <v>5.5</v>
      </c>
      <c r="S15" s="8"/>
      <c r="T15" s="7" t="n">
        <v>0</v>
      </c>
      <c r="U15" s="7" t="n">
        <v>202</v>
      </c>
      <c r="V15" s="8" t="n">
        <v>18421.6188706831</v>
      </c>
      <c r="W15" s="7" t="n">
        <f aca="false">N15+R15+T15+U15</f>
        <v>207.5</v>
      </c>
      <c r="X15" s="7" t="n">
        <f aca="false">IF(L15&lt;0,L15*-1,0)</f>
        <v>0</v>
      </c>
      <c r="Y15" s="7" t="n">
        <f aca="false">W15+X15</f>
        <v>207.5</v>
      </c>
      <c r="Z15" s="11" t="n">
        <v>0</v>
      </c>
      <c r="AA15" s="12" t="n">
        <v>48</v>
      </c>
      <c r="AB15" s="12" t="n">
        <v>12</v>
      </c>
      <c r="AC15" s="13" t="n">
        <f aca="false">AC14+1</f>
        <v>6</v>
      </c>
      <c r="AD15" s="12"/>
      <c r="AE15" s="12"/>
      <c r="AG15" s="7"/>
    </row>
    <row r="16" customFormat="false" ht="11.1" hidden="false" customHeight="true" outlineLevel="0" collapsed="false">
      <c r="A16" s="13" t="n">
        <f aca="false">A15+1</f>
        <v>7</v>
      </c>
      <c r="B16" s="32" t="n">
        <v>6915.28</v>
      </c>
      <c r="C16" s="8" t="n">
        <v>343541</v>
      </c>
      <c r="D16" s="12" t="n">
        <f aca="false">C16-C15</f>
        <v>1624</v>
      </c>
      <c r="E16" s="8" t="n">
        <f aca="false">C16-152000</f>
        <v>191541</v>
      </c>
      <c r="F16" s="7" t="n">
        <f aca="false">D16/$D$2</f>
        <v>818.754726493572</v>
      </c>
      <c r="G16" s="7" t="n">
        <v>563</v>
      </c>
      <c r="H16" s="9" t="n">
        <v>107</v>
      </c>
      <c r="I16" s="7" t="n">
        <f aca="false">G16+H16</f>
        <v>670</v>
      </c>
      <c r="J16" s="105" t="n">
        <f aca="false">IF(L16&gt;0,L16,0)</f>
        <v>356.154726493572</v>
      </c>
      <c r="K16" s="7" t="n">
        <f aca="false">I16+J16</f>
        <v>1026.15472649357</v>
      </c>
      <c r="L16" s="7" t="n">
        <f aca="false">F16-(I16-W16)</f>
        <v>356.154726493572</v>
      </c>
      <c r="M16" s="7" t="n">
        <v>5.4</v>
      </c>
      <c r="N16" s="7" t="n">
        <v>0</v>
      </c>
      <c r="O16" s="7" t="n">
        <f aca="false">M16-N16</f>
        <v>5.4</v>
      </c>
      <c r="P16" s="7" t="n">
        <v>0</v>
      </c>
      <c r="Q16" s="7" t="n">
        <v>0</v>
      </c>
      <c r="R16" s="7" t="n">
        <f aca="false">SUM(O16:Q16)</f>
        <v>5.4</v>
      </c>
      <c r="S16" s="8"/>
      <c r="T16" s="7" t="n">
        <v>0</v>
      </c>
      <c r="U16" s="7" t="n">
        <v>202</v>
      </c>
      <c r="V16" s="8" t="n">
        <v>18421.6188706831</v>
      </c>
      <c r="W16" s="7" t="n">
        <f aca="false">N16+R16+T16+U16</f>
        <v>207.4</v>
      </c>
      <c r="X16" s="7" t="n">
        <f aca="false">IF(L16&lt;0,L16*-1,0)</f>
        <v>0</v>
      </c>
      <c r="Y16" s="7" t="n">
        <f aca="false">W16+X16</f>
        <v>207.4</v>
      </c>
      <c r="Z16" s="11" t="n">
        <v>0</v>
      </c>
      <c r="AA16" s="12" t="n">
        <v>50</v>
      </c>
      <c r="AB16" s="12" t="n">
        <v>22</v>
      </c>
      <c r="AC16" s="13" t="n">
        <f aca="false">AC15+1</f>
        <v>7</v>
      </c>
      <c r="AD16" s="12"/>
      <c r="AE16" s="12"/>
      <c r="AG16" s="7"/>
    </row>
    <row r="17" customFormat="false" ht="11.1" hidden="false" customHeight="true" outlineLevel="0" collapsed="false">
      <c r="A17" s="13" t="n">
        <f aca="false">A16+1</f>
        <v>8</v>
      </c>
      <c r="B17" s="32" t="n">
        <v>6915.74</v>
      </c>
      <c r="C17" s="8" t="n">
        <v>345461</v>
      </c>
      <c r="D17" s="12" t="n">
        <f aca="false">C17-C16</f>
        <v>1920</v>
      </c>
      <c r="E17" s="8" t="n">
        <f aca="false">C17-152000</f>
        <v>193461</v>
      </c>
      <c r="F17" s="7" t="n">
        <f aca="false">D17/$D$2</f>
        <v>967.985883539198</v>
      </c>
      <c r="G17" s="7" t="n">
        <v>567</v>
      </c>
      <c r="H17" s="9" t="n">
        <v>115</v>
      </c>
      <c r="I17" s="7" t="n">
        <f aca="false">G17+H17</f>
        <v>682</v>
      </c>
      <c r="J17" s="105" t="n">
        <f aca="false">IF(L17&gt;0,L17,0)</f>
        <v>492.085883539198</v>
      </c>
      <c r="K17" s="7" t="n">
        <f aca="false">I17+J17</f>
        <v>1174.0858835392</v>
      </c>
      <c r="L17" s="7" t="n">
        <f aca="false">F17-(I17-W17)</f>
        <v>492.085883539198</v>
      </c>
      <c r="M17" s="7" t="n">
        <v>5.1</v>
      </c>
      <c r="N17" s="7" t="n">
        <v>0</v>
      </c>
      <c r="O17" s="7" t="n">
        <f aca="false">M17-N17</f>
        <v>5.1</v>
      </c>
      <c r="P17" s="7" t="n">
        <v>0</v>
      </c>
      <c r="Q17" s="7" t="n">
        <v>0</v>
      </c>
      <c r="R17" s="7" t="n">
        <f aca="false">SUM(O17:Q17)</f>
        <v>5.1</v>
      </c>
      <c r="S17" s="7"/>
      <c r="T17" s="7" t="n">
        <v>0</v>
      </c>
      <c r="U17" s="7" t="n">
        <v>201</v>
      </c>
      <c r="V17" s="8" t="n">
        <v>18421.6188706831</v>
      </c>
      <c r="W17" s="7" t="n">
        <f aca="false">N17+R17+T17+U17</f>
        <v>206.1</v>
      </c>
      <c r="X17" s="7" t="n">
        <f aca="false">IF(L17&lt;0,L17*-1,0)</f>
        <v>0</v>
      </c>
      <c r="Y17" s="7" t="n">
        <f aca="false">W17+X17</f>
        <v>206.1</v>
      </c>
      <c r="Z17" s="11" t="n">
        <v>0</v>
      </c>
      <c r="AA17" s="12" t="n">
        <v>48</v>
      </c>
      <c r="AB17" s="12" t="n">
        <v>26</v>
      </c>
      <c r="AC17" s="13" t="n">
        <f aca="false">AC16+1</f>
        <v>8</v>
      </c>
      <c r="AD17" s="12"/>
      <c r="AE17" s="12"/>
      <c r="AG17" s="7"/>
    </row>
    <row r="18" customFormat="false" ht="11.1" hidden="false" customHeight="true" outlineLevel="0" collapsed="false">
      <c r="A18" s="13" t="n">
        <f aca="false">A17+1</f>
        <v>9</v>
      </c>
      <c r="B18" s="32" t="n">
        <v>6916.24</v>
      </c>
      <c r="C18" s="8" t="n">
        <v>347556</v>
      </c>
      <c r="D18" s="12" t="n">
        <f aca="false">C18-C17</f>
        <v>2095</v>
      </c>
      <c r="E18" s="8" t="n">
        <f aca="false">C18-152000</f>
        <v>195556</v>
      </c>
      <c r="F18" s="7" t="n">
        <f aca="false">D18/$D$2</f>
        <v>1056.21376354928</v>
      </c>
      <c r="G18" s="7" t="n">
        <v>600</v>
      </c>
      <c r="H18" s="9" t="n">
        <v>140</v>
      </c>
      <c r="I18" s="7" t="n">
        <f aca="false">G18+H18</f>
        <v>740</v>
      </c>
      <c r="J18" s="105" t="n">
        <f aca="false">IF(L18&gt;0,L18,0)</f>
        <v>535.213763549282</v>
      </c>
      <c r="K18" s="7" t="n">
        <f aca="false">I18+J18</f>
        <v>1275.21376354928</v>
      </c>
      <c r="L18" s="7" t="n">
        <f aca="false">F18-(I18-W18)</f>
        <v>535.213763549282</v>
      </c>
      <c r="M18" s="7" t="n">
        <v>18</v>
      </c>
      <c r="N18" s="7" t="n">
        <v>0</v>
      </c>
      <c r="O18" s="7" t="n">
        <f aca="false">M18-N18</f>
        <v>18</v>
      </c>
      <c r="P18" s="7" t="n">
        <v>0</v>
      </c>
      <c r="Q18" s="7" t="n">
        <v>0</v>
      </c>
      <c r="R18" s="7" t="n">
        <f aca="false">SUM(O18:Q18)</f>
        <v>18</v>
      </c>
      <c r="S18" s="7"/>
      <c r="T18" s="7" t="n">
        <v>0</v>
      </c>
      <c r="U18" s="7" t="n">
        <v>201</v>
      </c>
      <c r="V18" s="8" t="n">
        <v>18421.6188706831</v>
      </c>
      <c r="W18" s="7" t="n">
        <f aca="false">N18+R18+T18+U18</f>
        <v>219</v>
      </c>
      <c r="X18" s="7" t="n">
        <f aca="false">IF(L18&lt;0,L18*-1,0)</f>
        <v>0</v>
      </c>
      <c r="Y18" s="7" t="n">
        <f aca="false">W18+X18</f>
        <v>219</v>
      </c>
      <c r="Z18" s="11" t="n">
        <v>0</v>
      </c>
      <c r="AA18" s="43" t="n">
        <v>56</v>
      </c>
      <c r="AB18" s="12" t="n">
        <v>36</v>
      </c>
      <c r="AC18" s="13" t="n">
        <f aca="false">AC17+1</f>
        <v>9</v>
      </c>
      <c r="AD18" s="12"/>
      <c r="AE18" s="12"/>
      <c r="AG18" s="7"/>
    </row>
    <row r="19" customFormat="false" ht="11.1" hidden="false" customHeight="true" outlineLevel="0" collapsed="false">
      <c r="A19" s="13" t="n">
        <f aca="false">A18+1</f>
        <v>10</v>
      </c>
      <c r="B19" s="32" t="n">
        <v>6916.74</v>
      </c>
      <c r="C19" s="8" t="n">
        <v>349660</v>
      </c>
      <c r="D19" s="12" t="n">
        <f aca="false">C19-C18</f>
        <v>2104</v>
      </c>
      <c r="E19" s="8" t="n">
        <f aca="false">C19-152000</f>
        <v>197660</v>
      </c>
      <c r="F19" s="7" t="n">
        <f aca="false">D19/$D$2</f>
        <v>1060.75119737837</v>
      </c>
      <c r="G19" s="7" t="n">
        <v>582</v>
      </c>
      <c r="H19" s="9" t="n">
        <v>138</v>
      </c>
      <c r="I19" s="7" t="n">
        <f aca="false">G19+H19</f>
        <v>720</v>
      </c>
      <c r="J19" s="105" t="n">
        <f aca="false">IF(L19&gt;0,L19,0)</f>
        <v>563.751197378371</v>
      </c>
      <c r="K19" s="7" t="n">
        <f aca="false">I19+J19</f>
        <v>1283.75119737837</v>
      </c>
      <c r="L19" s="7" t="n">
        <f aca="false">F19-(I19-W19)</f>
        <v>563.751197378371</v>
      </c>
      <c r="M19" s="7" t="n">
        <v>22</v>
      </c>
      <c r="N19" s="7" t="n">
        <f aca="false">(2.3+2.6)*1.05</f>
        <v>5.145</v>
      </c>
      <c r="O19" s="7" t="n">
        <f aca="false">M19-N19</f>
        <v>16.855</v>
      </c>
      <c r="P19" s="7" t="n">
        <v>0</v>
      </c>
      <c r="Q19" s="7" t="n">
        <v>0</v>
      </c>
      <c r="R19" s="7" t="n">
        <f aca="false">SUM(O19:Q19)</f>
        <v>16.855</v>
      </c>
      <c r="S19" s="7"/>
      <c r="T19" s="7" t="n">
        <v>0</v>
      </c>
      <c r="U19" s="7" t="n">
        <v>201</v>
      </c>
      <c r="V19" s="8" t="n">
        <v>18421.6188706831</v>
      </c>
      <c r="W19" s="7" t="n">
        <f aca="false">N19+R19+T19+U19</f>
        <v>223</v>
      </c>
      <c r="X19" s="7" t="n">
        <f aca="false">IF(L19&lt;0,L19*-1,0)</f>
        <v>0</v>
      </c>
      <c r="Y19" s="7" t="n">
        <f aca="false">W19+X19</f>
        <v>223</v>
      </c>
      <c r="Z19" s="11" t="n">
        <v>0</v>
      </c>
      <c r="AA19" s="12" t="n">
        <v>47</v>
      </c>
      <c r="AB19" s="12" t="n">
        <v>28</v>
      </c>
      <c r="AC19" s="13" t="n">
        <f aca="false">AC18+1</f>
        <v>10</v>
      </c>
      <c r="AD19" s="12"/>
      <c r="AE19" s="12"/>
      <c r="AG19" s="7"/>
    </row>
    <row r="20" customFormat="false" ht="11.1" hidden="false" customHeight="true" outlineLevel="0" collapsed="false">
      <c r="A20" s="13" t="n">
        <f aca="false">A19+1</f>
        <v>11</v>
      </c>
      <c r="B20" s="32" t="n">
        <v>6917.07</v>
      </c>
      <c r="C20" s="8" t="n">
        <v>351051</v>
      </c>
      <c r="D20" s="12" t="n">
        <f aca="false">C20-C19</f>
        <v>1391</v>
      </c>
      <c r="E20" s="8" t="n">
        <f aca="false">C20-152000</f>
        <v>199051</v>
      </c>
      <c r="F20" s="7" t="n">
        <f aca="false">D20/$D$2</f>
        <v>701.285606251575</v>
      </c>
      <c r="G20" s="7" t="n">
        <v>510</v>
      </c>
      <c r="H20" s="9" t="n">
        <v>98</v>
      </c>
      <c r="I20" s="7" t="n">
        <f aca="false">G20+H20</f>
        <v>608</v>
      </c>
      <c r="J20" s="105" t="n">
        <f aca="false">IF(L20&gt;0,L20,0)</f>
        <v>300.985606251575</v>
      </c>
      <c r="K20" s="7" t="n">
        <f aca="false">I20+J20</f>
        <v>908.985606251576</v>
      </c>
      <c r="L20" s="7" t="n">
        <f aca="false">F20-(I20-W20)</f>
        <v>300.985606251575</v>
      </c>
      <c r="M20" s="7" t="n">
        <v>6.7</v>
      </c>
      <c r="N20" s="7" t="n">
        <v>0</v>
      </c>
      <c r="O20" s="7" t="n">
        <f aca="false">M20-N20</f>
        <v>6.7</v>
      </c>
      <c r="P20" s="7" t="n">
        <v>0</v>
      </c>
      <c r="Q20" s="7" t="n">
        <v>0</v>
      </c>
      <c r="R20" s="7" t="n">
        <f aca="false">SUM(O20:Q20)</f>
        <v>6.7</v>
      </c>
      <c r="S20" s="7"/>
      <c r="T20" s="7" t="n">
        <v>0</v>
      </c>
      <c r="U20" s="7" t="n">
        <v>201</v>
      </c>
      <c r="V20" s="8" t="n">
        <v>18421.6188706831</v>
      </c>
      <c r="W20" s="7" t="n">
        <f aca="false">N20+R20+T20+U20</f>
        <v>207.7</v>
      </c>
      <c r="X20" s="7" t="n">
        <f aca="false">IF(L20&lt;0,L20*-1,0)</f>
        <v>0</v>
      </c>
      <c r="Y20" s="7" t="n">
        <f aca="false">W20+X20</f>
        <v>207.7</v>
      </c>
      <c r="Z20" s="11" t="n">
        <v>0</v>
      </c>
      <c r="AA20" s="12" t="n">
        <v>36</v>
      </c>
      <c r="AB20" s="12" t="n">
        <v>20</v>
      </c>
      <c r="AC20" s="13" t="n">
        <f aca="false">AC19+1</f>
        <v>11</v>
      </c>
      <c r="AD20" s="12"/>
      <c r="AE20" s="12"/>
      <c r="AG20" s="7"/>
    </row>
    <row r="21" customFormat="false" ht="11.1" hidden="false" customHeight="true" outlineLevel="0" collapsed="false">
      <c r="A21" s="13" t="n">
        <f aca="false">A20+1</f>
        <v>12</v>
      </c>
      <c r="B21" s="32" t="n">
        <v>6917.32</v>
      </c>
      <c r="C21" s="8" t="n">
        <v>352111</v>
      </c>
      <c r="D21" s="12" t="n">
        <f aca="false">C21-C20</f>
        <v>1060</v>
      </c>
      <c r="E21" s="8" t="n">
        <f aca="false">C21-152000</f>
        <v>200111</v>
      </c>
      <c r="F21" s="7" t="n">
        <f aca="false">D21/$D$2</f>
        <v>534.408873203932</v>
      </c>
      <c r="G21" s="7" t="n">
        <v>444</v>
      </c>
      <c r="H21" s="9" t="n">
        <v>76</v>
      </c>
      <c r="I21" s="7" t="n">
        <f aca="false">G21+H21</f>
        <v>520</v>
      </c>
      <c r="J21" s="105" t="n">
        <f aca="false">IF(L21&gt;0,L21,0)</f>
        <v>222.108873203932</v>
      </c>
      <c r="K21" s="7" t="n">
        <f aca="false">I21+J21</f>
        <v>742.108873203933</v>
      </c>
      <c r="L21" s="7" t="n">
        <f aca="false">F21-(I21-W21)</f>
        <v>222.108873203932</v>
      </c>
      <c r="M21" s="7" t="n">
        <v>6.7</v>
      </c>
      <c r="N21" s="7" t="n">
        <f aca="false">(0.45+0.34)*1.05</f>
        <v>0.8295</v>
      </c>
      <c r="O21" s="7" t="n">
        <f aca="false">M21-N21</f>
        <v>5.8705</v>
      </c>
      <c r="P21" s="7" t="n">
        <v>0</v>
      </c>
      <c r="Q21" s="7" t="n">
        <v>0</v>
      </c>
      <c r="R21" s="7" t="n">
        <f aca="false">SUM(O21:Q21)</f>
        <v>5.8705</v>
      </c>
      <c r="S21" s="7"/>
      <c r="T21" s="7" t="n">
        <v>0</v>
      </c>
      <c r="U21" s="7" t="n">
        <v>201</v>
      </c>
      <c r="V21" s="8" t="n">
        <v>18421.6188706831</v>
      </c>
      <c r="W21" s="7" t="n">
        <f aca="false">N21+R21+T21+U21</f>
        <v>207.7</v>
      </c>
      <c r="X21" s="7" t="n">
        <f aca="false">IF(L21&lt;0,L21*-1,0)</f>
        <v>0</v>
      </c>
      <c r="Y21" s="7" t="n">
        <f aca="false">W21+X21</f>
        <v>207.7</v>
      </c>
      <c r="Z21" s="11" t="n">
        <v>0</v>
      </c>
      <c r="AA21" s="12" t="n">
        <v>44</v>
      </c>
      <c r="AB21" s="12" t="n">
        <v>16</v>
      </c>
      <c r="AC21" s="13" t="n">
        <f aca="false">AC20+1</f>
        <v>12</v>
      </c>
      <c r="AD21" s="12"/>
      <c r="AE21" s="12"/>
      <c r="AG21" s="7"/>
    </row>
    <row r="22" customFormat="false" ht="11.1" hidden="false" customHeight="true" outlineLevel="0" collapsed="false">
      <c r="A22" s="13" t="n">
        <f aca="false">A21+1</f>
        <v>13</v>
      </c>
      <c r="B22" s="32" t="n">
        <v>6917.56</v>
      </c>
      <c r="C22" s="8" t="n">
        <v>353128</v>
      </c>
      <c r="D22" s="12" t="n">
        <f aca="false">C22-C21</f>
        <v>1017</v>
      </c>
      <c r="E22" s="8" t="n">
        <f aca="false">C22-152000</f>
        <v>201128</v>
      </c>
      <c r="F22" s="7" t="n">
        <f aca="false">D22/$D$2</f>
        <v>512.730022687169</v>
      </c>
      <c r="G22" s="7" t="n">
        <v>418</v>
      </c>
      <c r="H22" s="9" t="n">
        <v>67</v>
      </c>
      <c r="I22" s="7" t="n">
        <f aca="false">G22+H22</f>
        <v>485</v>
      </c>
      <c r="J22" s="105" t="n">
        <f aca="false">IF(L22&gt;0,L22,0)</f>
        <v>235.430022687169</v>
      </c>
      <c r="K22" s="7" t="n">
        <f aca="false">I22+J22</f>
        <v>720.430022687169</v>
      </c>
      <c r="L22" s="7" t="n">
        <f aca="false">F22-(I22-W22)</f>
        <v>235.430022687169</v>
      </c>
      <c r="M22" s="7" t="n">
        <v>6.7</v>
      </c>
      <c r="N22" s="7" t="n">
        <v>0</v>
      </c>
      <c r="O22" s="7" t="n">
        <f aca="false">M22-N22</f>
        <v>6.7</v>
      </c>
      <c r="P22" s="7" t="n">
        <v>0</v>
      </c>
      <c r="Q22" s="7" t="n">
        <v>0</v>
      </c>
      <c r="R22" s="7" t="n">
        <f aca="false">SUM(O22:Q22)</f>
        <v>6.7</v>
      </c>
      <c r="S22" s="7"/>
      <c r="T22" s="7" t="n">
        <v>0</v>
      </c>
      <c r="U22" s="7" t="n">
        <v>201</v>
      </c>
      <c r="V22" s="8" t="n">
        <v>18421.6188706831</v>
      </c>
      <c r="W22" s="7" t="n">
        <f aca="false">N22+R22+T22+U22</f>
        <v>207.7</v>
      </c>
      <c r="X22" s="7" t="n">
        <f aca="false">IF(L22&lt;0,L22*-1,0)</f>
        <v>0</v>
      </c>
      <c r="Y22" s="7" t="n">
        <f aca="false">W22+X22</f>
        <v>207.7</v>
      </c>
      <c r="Z22" s="11" t="n">
        <v>0</v>
      </c>
      <c r="AA22" s="12" t="n">
        <v>48</v>
      </c>
      <c r="AB22" s="12" t="n">
        <v>14</v>
      </c>
      <c r="AC22" s="13" t="n">
        <f aca="false">AC21+1</f>
        <v>13</v>
      </c>
      <c r="AD22" s="12"/>
      <c r="AE22" s="12"/>
      <c r="AG22" s="7"/>
    </row>
    <row r="23" customFormat="false" ht="11.1" hidden="false" customHeight="true" outlineLevel="0" collapsed="false">
      <c r="A23" s="13" t="n">
        <f aca="false">A22+1</f>
        <v>14</v>
      </c>
      <c r="B23" s="32" t="n">
        <v>6917.81</v>
      </c>
      <c r="C23" s="8" t="n">
        <v>354188</v>
      </c>
      <c r="D23" s="12" t="n">
        <f aca="false">C23-C22</f>
        <v>1060</v>
      </c>
      <c r="E23" s="8" t="n">
        <f aca="false">C23-152000</f>
        <v>202188</v>
      </c>
      <c r="F23" s="7" t="n">
        <f aca="false">D23/$D$2</f>
        <v>534.408873203932</v>
      </c>
      <c r="G23" s="7" t="n">
        <v>430</v>
      </c>
      <c r="H23" s="9" t="n">
        <v>64</v>
      </c>
      <c r="I23" s="7" t="n">
        <f aca="false">G23+H23</f>
        <v>494</v>
      </c>
      <c r="J23" s="105" t="n">
        <f aca="false">IF(L23&gt;0,L23,0)</f>
        <v>346.208873203932</v>
      </c>
      <c r="K23" s="7" t="n">
        <f aca="false">I23+J23</f>
        <v>840.208873203932</v>
      </c>
      <c r="L23" s="7" t="n">
        <f aca="false">F23-(I23-W23)</f>
        <v>346.208873203932</v>
      </c>
      <c r="M23" s="7" t="n">
        <v>6.8</v>
      </c>
      <c r="N23" s="7" t="n">
        <v>0</v>
      </c>
      <c r="O23" s="7" t="n">
        <f aca="false">M23-N23</f>
        <v>6.8</v>
      </c>
      <c r="P23" s="7" t="n">
        <v>0</v>
      </c>
      <c r="Q23" s="7" t="n">
        <v>0</v>
      </c>
      <c r="R23" s="7" t="n">
        <f aca="false">SUM(O23:Q23)</f>
        <v>6.8</v>
      </c>
      <c r="S23" s="7"/>
      <c r="T23" s="7" t="n">
        <v>0</v>
      </c>
      <c r="U23" s="7" t="n">
        <v>299</v>
      </c>
      <c r="V23" s="8" t="n">
        <v>18421.6188706831</v>
      </c>
      <c r="W23" s="7" t="n">
        <f aca="false">N23+R23+T23+U23</f>
        <v>305.8</v>
      </c>
      <c r="X23" s="7" t="n">
        <f aca="false">IF(L23&lt;0,L23*-1,0)</f>
        <v>0</v>
      </c>
      <c r="Y23" s="7" t="n">
        <f aca="false">W23+X23</f>
        <v>305.8</v>
      </c>
      <c r="Z23" s="11" t="n">
        <v>0</v>
      </c>
      <c r="AA23" s="43" t="n">
        <v>56</v>
      </c>
      <c r="AB23" s="12" t="n">
        <v>23</v>
      </c>
      <c r="AC23" s="13" t="n">
        <f aca="false">AC22+1</f>
        <v>14</v>
      </c>
      <c r="AD23" s="12"/>
      <c r="AE23" s="12"/>
      <c r="AG23" s="7"/>
    </row>
    <row r="24" customFormat="false" ht="11.1" hidden="false" customHeight="true" outlineLevel="0" collapsed="false">
      <c r="A24" s="13" t="n">
        <f aca="false">A23+1</f>
        <v>15</v>
      </c>
      <c r="B24" s="32" t="n">
        <v>6918.07</v>
      </c>
      <c r="C24" s="8" t="n">
        <v>355293</v>
      </c>
      <c r="D24" s="12" t="n">
        <f aca="false">C24-C23</f>
        <v>1105</v>
      </c>
      <c r="E24" s="8" t="n">
        <f aca="false">C24-152000</f>
        <v>203293</v>
      </c>
      <c r="F24" s="7" t="n">
        <f aca="false">D24/$D$2</f>
        <v>557.096042349382</v>
      </c>
      <c r="G24" s="7" t="n">
        <v>493</v>
      </c>
      <c r="H24" s="9" t="n">
        <v>77</v>
      </c>
      <c r="I24" s="7" t="n">
        <f aca="false">G24+H24</f>
        <v>570</v>
      </c>
      <c r="J24" s="105" t="n">
        <f aca="false">IF(L24&gt;0,L24,0)</f>
        <v>481.096042349382</v>
      </c>
      <c r="K24" s="7" t="n">
        <f aca="false">I24+J24</f>
        <v>1051.09604234938</v>
      </c>
      <c r="L24" s="7" t="n">
        <f aca="false">F24-(I24-W24)</f>
        <v>481.096042349382</v>
      </c>
      <c r="M24" s="7" t="n">
        <v>22</v>
      </c>
      <c r="N24" s="7" t="n">
        <f aca="false">(9.9+11)*1.05</f>
        <v>21.945</v>
      </c>
      <c r="O24" s="7" t="n">
        <f aca="false">M24-N24</f>
        <v>0.0549999999999997</v>
      </c>
      <c r="P24" s="7" t="n">
        <v>0</v>
      </c>
      <c r="Q24" s="7" t="n">
        <v>0</v>
      </c>
      <c r="R24" s="7" t="n">
        <f aca="false">SUM(O24:Q24)</f>
        <v>0.0549999999999997</v>
      </c>
      <c r="S24" s="7"/>
      <c r="T24" s="7" t="n">
        <v>0</v>
      </c>
      <c r="U24" s="7" t="n">
        <v>472</v>
      </c>
      <c r="V24" s="8" t="n">
        <v>18421.6188706831</v>
      </c>
      <c r="W24" s="7" t="n">
        <f aca="false">N24+R24+T24+U24</f>
        <v>494</v>
      </c>
      <c r="X24" s="7" t="n">
        <f aca="false">IF(L24&lt;0,L24*-1,0)</f>
        <v>0</v>
      </c>
      <c r="Y24" s="7" t="n">
        <f aca="false">W24+X24</f>
        <v>494</v>
      </c>
      <c r="Z24" s="11" t="n">
        <v>0</v>
      </c>
      <c r="AA24" s="43" t="n">
        <v>63</v>
      </c>
      <c r="AB24" s="12" t="n">
        <v>32</v>
      </c>
      <c r="AC24" s="13" t="n">
        <f aca="false">AC23+1</f>
        <v>15</v>
      </c>
      <c r="AD24" s="12"/>
      <c r="AE24" s="12"/>
      <c r="AG24" s="7"/>
    </row>
    <row r="25" customFormat="false" ht="11.1" hidden="false" customHeight="true" outlineLevel="0" collapsed="false">
      <c r="A25" s="13" t="n">
        <f aca="false">A24+1</f>
        <v>16</v>
      </c>
      <c r="B25" s="32" t="n">
        <v>6918.37</v>
      </c>
      <c r="C25" s="8" t="n">
        <v>356575</v>
      </c>
      <c r="D25" s="12" t="n">
        <f aca="false">C25-C24</f>
        <v>1282</v>
      </c>
      <c r="E25" s="8" t="n">
        <f aca="false">C25-152000</f>
        <v>204575</v>
      </c>
      <c r="F25" s="7" t="n">
        <f aca="false">D25/$D$2</f>
        <v>646.332240988152</v>
      </c>
      <c r="G25" s="7" t="n">
        <v>616</v>
      </c>
      <c r="H25" s="9" t="n">
        <v>106</v>
      </c>
      <c r="I25" s="7" t="n">
        <f aca="false">G25+H25</f>
        <v>722</v>
      </c>
      <c r="J25" s="105" t="n">
        <f aca="false">IF(L25&gt;0,L25,0)</f>
        <v>581.332240988152</v>
      </c>
      <c r="K25" s="7" t="n">
        <f aca="false">I25+J25</f>
        <v>1303.33224098815</v>
      </c>
      <c r="L25" s="7" t="n">
        <f aca="false">F25-(I25-W25)</f>
        <v>581.332240988152</v>
      </c>
      <c r="M25" s="7" t="n">
        <v>57</v>
      </c>
      <c r="N25" s="7" t="n">
        <f aca="false">(17+18)*1.05</f>
        <v>36.75</v>
      </c>
      <c r="O25" s="7" t="n">
        <f aca="false">M25-N25</f>
        <v>20.25</v>
      </c>
      <c r="P25" s="7" t="n">
        <v>0</v>
      </c>
      <c r="Q25" s="7" t="n">
        <v>0</v>
      </c>
      <c r="R25" s="7" t="n">
        <f aca="false">SUM(O25:Q25)</f>
        <v>20.25</v>
      </c>
      <c r="S25" s="7"/>
      <c r="T25" s="7" t="n">
        <v>0</v>
      </c>
      <c r="U25" s="7" t="n">
        <v>600</v>
      </c>
      <c r="V25" s="8" t="n">
        <v>18421.6188706831</v>
      </c>
      <c r="W25" s="7" t="n">
        <f aca="false">N25+R25+T25+U25</f>
        <v>657</v>
      </c>
      <c r="X25" s="7" t="n">
        <f aca="false">IF(L25&lt;0,L25*-1,0)</f>
        <v>0</v>
      </c>
      <c r="Y25" s="7" t="n">
        <f aca="false">W25+X25</f>
        <v>657</v>
      </c>
      <c r="Z25" s="11" t="n">
        <v>0</v>
      </c>
      <c r="AA25" s="43" t="n">
        <v>68</v>
      </c>
      <c r="AB25" s="12" t="n">
        <v>33</v>
      </c>
      <c r="AC25" s="13" t="n">
        <f aca="false">AC24+1</f>
        <v>16</v>
      </c>
      <c r="AD25" s="12"/>
      <c r="AE25" s="12"/>
      <c r="AG25" s="7"/>
    </row>
    <row r="26" customFormat="false" ht="11.1" hidden="false" customHeight="true" outlineLevel="0" collapsed="false">
      <c r="A26" s="13" t="n">
        <f aca="false">A25+1</f>
        <v>17</v>
      </c>
      <c r="B26" s="32" t="n">
        <v>6918.75</v>
      </c>
      <c r="C26" s="8" t="n">
        <v>358199</v>
      </c>
      <c r="D26" s="12" t="n">
        <f aca="false">C26-C25</f>
        <v>1624</v>
      </c>
      <c r="E26" s="8" t="n">
        <f aca="false">C26-152000</f>
        <v>206199</v>
      </c>
      <c r="F26" s="7" t="n">
        <f aca="false">D26/$D$2</f>
        <v>818.754726493572</v>
      </c>
      <c r="G26" s="7" t="n">
        <v>836</v>
      </c>
      <c r="H26" s="9" t="n">
        <v>141</v>
      </c>
      <c r="I26" s="7" t="n">
        <f aca="false">G26+H26</f>
        <v>977</v>
      </c>
      <c r="J26" s="105" t="n">
        <f aca="false">IF(L26&gt;0,L26,0)</f>
        <v>587.754726493572</v>
      </c>
      <c r="K26" s="7" t="n">
        <f aca="false">I26+J26</f>
        <v>1564.75472649357</v>
      </c>
      <c r="L26" s="7" t="n">
        <f aca="false">F26-(I26-W26)</f>
        <v>587.754726493572</v>
      </c>
      <c r="M26" s="7" t="n">
        <v>64</v>
      </c>
      <c r="N26" s="7" t="n">
        <f aca="false">(16+17)*1.05</f>
        <v>34.65</v>
      </c>
      <c r="O26" s="7" t="n">
        <f aca="false">M26-N26</f>
        <v>29.35</v>
      </c>
      <c r="P26" s="7" t="n">
        <v>0</v>
      </c>
      <c r="Q26" s="7" t="n">
        <v>0</v>
      </c>
      <c r="R26" s="7" t="n">
        <f aca="false">SUM(O26:Q26)</f>
        <v>29.35</v>
      </c>
      <c r="S26" s="7"/>
      <c r="T26" s="7" t="n">
        <v>0</v>
      </c>
      <c r="U26" s="7" t="n">
        <v>682</v>
      </c>
      <c r="V26" s="8" t="n">
        <v>18421.6188706831</v>
      </c>
      <c r="W26" s="7" t="n">
        <f aca="false">N26+R26+T26+U26</f>
        <v>746</v>
      </c>
      <c r="X26" s="7" t="n">
        <f aca="false">IF(L26&lt;0,L26*-1,0)</f>
        <v>0</v>
      </c>
      <c r="Y26" s="7" t="n">
        <f aca="false">W26+X26</f>
        <v>746</v>
      </c>
      <c r="Z26" s="11" t="n">
        <v>0</v>
      </c>
      <c r="AA26" s="43" t="n">
        <v>69</v>
      </c>
      <c r="AB26" s="12" t="n">
        <v>36</v>
      </c>
      <c r="AC26" s="13" t="n">
        <f aca="false">AC25+1</f>
        <v>17</v>
      </c>
      <c r="AD26" s="12"/>
      <c r="AE26" s="12"/>
      <c r="AG26" s="7"/>
    </row>
    <row r="27" customFormat="false" ht="11.1" hidden="false" customHeight="true" outlineLevel="0" collapsed="false">
      <c r="A27" s="13" t="n">
        <f aca="false">A26+1</f>
        <v>18</v>
      </c>
      <c r="B27" s="32" t="n">
        <v>6919.19</v>
      </c>
      <c r="C27" s="8" t="n">
        <v>360085</v>
      </c>
      <c r="D27" s="12" t="n">
        <f aca="false">C27-C26</f>
        <v>1886</v>
      </c>
      <c r="E27" s="8" t="n">
        <f aca="false">C27-152000</f>
        <v>208085</v>
      </c>
      <c r="F27" s="7" t="n">
        <f aca="false">D27/$D$2</f>
        <v>950.844466851525</v>
      </c>
      <c r="G27" s="7" t="n">
        <v>1030</v>
      </c>
      <c r="H27" s="9" t="n">
        <v>182</v>
      </c>
      <c r="I27" s="7" t="n">
        <f aca="false">G27+H27</f>
        <v>1212</v>
      </c>
      <c r="J27" s="105" t="n">
        <f aca="false">IF(L27&gt;0,L27,0)</f>
        <v>550.844466851525</v>
      </c>
      <c r="K27" s="7" t="n">
        <f aca="false">I27+J27</f>
        <v>1762.84446685153</v>
      </c>
      <c r="L27" s="7" t="n">
        <f aca="false">F27-(I27-W27)</f>
        <v>550.844466851525</v>
      </c>
      <c r="M27" s="7" t="n">
        <v>60</v>
      </c>
      <c r="N27" s="7" t="n">
        <f aca="false">(17+17)*1.05</f>
        <v>35.7</v>
      </c>
      <c r="O27" s="7" t="n">
        <f aca="false">M27-N27</f>
        <v>24.3</v>
      </c>
      <c r="P27" s="7" t="n">
        <v>0</v>
      </c>
      <c r="Q27" s="7" t="n">
        <v>0</v>
      </c>
      <c r="R27" s="7" t="n">
        <f aca="false">SUM(O27:Q27)</f>
        <v>24.3</v>
      </c>
      <c r="S27" s="7"/>
      <c r="T27" s="7" t="n">
        <v>0</v>
      </c>
      <c r="U27" s="7" t="n">
        <v>752</v>
      </c>
      <c r="V27" s="8" t="n">
        <v>18421.6188706831</v>
      </c>
      <c r="W27" s="7" t="n">
        <f aca="false">N27+R27+T27+U27</f>
        <v>812</v>
      </c>
      <c r="X27" s="7" t="n">
        <f aca="false">IF(L27&lt;0,L27*-1,0)</f>
        <v>0</v>
      </c>
      <c r="Y27" s="7" t="n">
        <f aca="false">W27+X27</f>
        <v>812</v>
      </c>
      <c r="Z27" s="11" t="n">
        <v>0</v>
      </c>
      <c r="AA27" s="43" t="n">
        <v>70</v>
      </c>
      <c r="AB27" s="12" t="n">
        <v>35</v>
      </c>
      <c r="AC27" s="13" t="n">
        <f aca="false">AC26+1</f>
        <v>18</v>
      </c>
      <c r="AD27" s="12"/>
      <c r="AE27" s="12"/>
      <c r="AG27" s="7"/>
    </row>
    <row r="28" customFormat="false" ht="11.1" hidden="false" customHeight="true" outlineLevel="0" collapsed="false">
      <c r="A28" s="13" t="n">
        <f aca="false">A27+1</f>
        <v>19</v>
      </c>
      <c r="B28" s="32" t="n">
        <v>6919.67</v>
      </c>
      <c r="C28" s="8" t="n">
        <v>362152</v>
      </c>
      <c r="D28" s="12" t="n">
        <f aca="false">C28-C27</f>
        <v>2067</v>
      </c>
      <c r="E28" s="8" t="n">
        <f aca="false">C28-152000</f>
        <v>210152</v>
      </c>
      <c r="F28" s="7" t="n">
        <f aca="false">D28/$D$2</f>
        <v>1042.09730274767</v>
      </c>
      <c r="G28" s="7" t="n">
        <v>1190</v>
      </c>
      <c r="H28" s="9" t="n">
        <v>204</v>
      </c>
      <c r="I28" s="7" t="n">
        <f aca="false">G28+H28</f>
        <v>1394</v>
      </c>
      <c r="J28" s="105" t="n">
        <f aca="false">IF(L28&gt;0,L28,0)</f>
        <v>497.097302747668</v>
      </c>
      <c r="K28" s="7" t="n">
        <f aca="false">I28+J28</f>
        <v>1891.09730274767</v>
      </c>
      <c r="L28" s="7" t="n">
        <f aca="false">F28-(I28-W28)</f>
        <v>497.097302747668</v>
      </c>
      <c r="M28" s="7" t="n">
        <v>69</v>
      </c>
      <c r="N28" s="7" t="n">
        <f aca="false">(19+19)*1.05</f>
        <v>39.9</v>
      </c>
      <c r="O28" s="7" t="n">
        <f aca="false">M28-N28</f>
        <v>29.1</v>
      </c>
      <c r="P28" s="7" t="n">
        <v>0</v>
      </c>
      <c r="Q28" s="7" t="n">
        <v>0</v>
      </c>
      <c r="R28" s="7" t="n">
        <f aca="false">SUM(O28:Q28)</f>
        <v>29.1</v>
      </c>
      <c r="S28" s="7"/>
      <c r="T28" s="7" t="n">
        <v>0</v>
      </c>
      <c r="U28" s="7" t="n">
        <v>780</v>
      </c>
      <c r="V28" s="8" t="n">
        <v>18421.6188706831</v>
      </c>
      <c r="W28" s="7" t="n">
        <f aca="false">N28+R28+T28+U28</f>
        <v>849</v>
      </c>
      <c r="X28" s="7" t="n">
        <f aca="false">IF(L28&lt;0,L28*-1,0)</f>
        <v>0</v>
      </c>
      <c r="Y28" s="7" t="n">
        <f aca="false">W28+X28</f>
        <v>849</v>
      </c>
      <c r="Z28" s="11" t="n">
        <v>0</v>
      </c>
      <c r="AA28" s="43" t="n">
        <v>67</v>
      </c>
      <c r="AB28" s="12" t="n">
        <v>36</v>
      </c>
      <c r="AC28" s="13" t="n">
        <f aca="false">AC27+1</f>
        <v>19</v>
      </c>
      <c r="AD28" s="12"/>
      <c r="AE28" s="12"/>
      <c r="AG28" s="7"/>
    </row>
    <row r="29" customFormat="false" ht="11.1" hidden="false" customHeight="true" outlineLevel="0" collapsed="false">
      <c r="A29" s="13" t="n">
        <f aca="false">A28+1</f>
        <v>20</v>
      </c>
      <c r="B29" s="32" t="n">
        <v>6920.35</v>
      </c>
      <c r="C29" s="8" t="n">
        <v>365093</v>
      </c>
      <c r="D29" s="12" t="n">
        <f aca="false">C29-C28</f>
        <v>2941</v>
      </c>
      <c r="E29" s="8" t="n">
        <f aca="false">C29-152000</f>
        <v>213093</v>
      </c>
      <c r="F29" s="7" t="n">
        <f aca="false">D29/$D$2</f>
        <v>1482.73254348374</v>
      </c>
      <c r="G29" s="7" t="n">
        <v>1420</v>
      </c>
      <c r="H29" s="9" t="n">
        <v>256</v>
      </c>
      <c r="I29" s="7" t="n">
        <f aca="false">G29+H29</f>
        <v>1676</v>
      </c>
      <c r="J29" s="105" t="n">
        <f aca="false">IF(L29&gt;0,L29,0)</f>
        <v>654.732543483741</v>
      </c>
      <c r="K29" s="7" t="n">
        <f aca="false">I29+J29</f>
        <v>2330.73254348374</v>
      </c>
      <c r="L29" s="7" t="n">
        <f aca="false">F29-(I29-W29)</f>
        <v>654.732543483741</v>
      </c>
      <c r="M29" s="7" t="n">
        <v>67</v>
      </c>
      <c r="N29" s="7" t="n">
        <f aca="false">(18+19)*1.05</f>
        <v>38.85</v>
      </c>
      <c r="O29" s="7" t="n">
        <f aca="false">M29-N29</f>
        <v>28.15</v>
      </c>
      <c r="P29" s="7" t="n">
        <v>0</v>
      </c>
      <c r="Q29" s="7" t="n">
        <v>0</v>
      </c>
      <c r="R29" s="7" t="n">
        <f aca="false">SUM(O29:Q29)</f>
        <v>28.15</v>
      </c>
      <c r="S29" s="7"/>
      <c r="T29" s="7" t="n">
        <v>0</v>
      </c>
      <c r="U29" s="7" t="n">
        <v>781</v>
      </c>
      <c r="V29" s="8" t="n">
        <v>18421.6188706831</v>
      </c>
      <c r="W29" s="7" t="n">
        <f aca="false">N29+R29+T29+U29</f>
        <v>848</v>
      </c>
      <c r="X29" s="7" t="n">
        <f aca="false">IF(L29&lt;0,L29*-1,0)</f>
        <v>0</v>
      </c>
      <c r="Y29" s="7" t="n">
        <f aca="false">W29+X29</f>
        <v>848</v>
      </c>
      <c r="Z29" s="11" t="n">
        <v>0</v>
      </c>
      <c r="AA29" s="43" t="n">
        <v>66</v>
      </c>
      <c r="AB29" s="12" t="n">
        <v>39</v>
      </c>
      <c r="AC29" s="13" t="n">
        <f aca="false">AC28+1</f>
        <v>20</v>
      </c>
      <c r="AD29" s="12"/>
      <c r="AE29" s="12"/>
      <c r="AG29" s="7"/>
    </row>
    <row r="30" customFormat="false" ht="11.1" hidden="false" customHeight="true" outlineLevel="0" collapsed="false">
      <c r="A30" s="13" t="n">
        <f aca="false">A29+1</f>
        <v>21</v>
      </c>
      <c r="B30" s="32" t="n">
        <v>6921.02</v>
      </c>
      <c r="C30" s="8" t="n">
        <v>368002</v>
      </c>
      <c r="D30" s="12" t="n">
        <f aca="false">C30-C29</f>
        <v>2909</v>
      </c>
      <c r="E30" s="8" t="n">
        <f aca="false">C30-152000</f>
        <v>216002</v>
      </c>
      <c r="F30" s="7" t="n">
        <f aca="false">D30/$D$2</f>
        <v>1466.59944542475</v>
      </c>
      <c r="G30" s="7" t="n">
        <v>1610</v>
      </c>
      <c r="H30" s="9" t="n">
        <v>284</v>
      </c>
      <c r="I30" s="7" t="n">
        <f aca="false">G30+H30</f>
        <v>1894</v>
      </c>
      <c r="J30" s="105" t="n">
        <f aca="false">IF(L30&gt;0,L30,0)</f>
        <v>559.599445424754</v>
      </c>
      <c r="K30" s="7" t="n">
        <f aca="false">I30+J30</f>
        <v>2453.59944542475</v>
      </c>
      <c r="L30" s="7" t="n">
        <f aca="false">F30-(I30-W30)</f>
        <v>559.599445424754</v>
      </c>
      <c r="M30" s="7" t="n">
        <v>62</v>
      </c>
      <c r="N30" s="7" t="n">
        <f aca="false">(20+20)*1.05</f>
        <v>42</v>
      </c>
      <c r="O30" s="7" t="n">
        <f aca="false">M30-N30</f>
        <v>20</v>
      </c>
      <c r="P30" s="7" t="n">
        <v>0</v>
      </c>
      <c r="Q30" s="7" t="n">
        <v>0</v>
      </c>
      <c r="R30" s="7" t="n">
        <f aca="false">SUM(O30:Q30)</f>
        <v>20</v>
      </c>
      <c r="S30" s="7"/>
      <c r="T30" s="7" t="n">
        <v>33</v>
      </c>
      <c r="U30" s="7" t="n">
        <v>892</v>
      </c>
      <c r="V30" s="8" t="n">
        <v>18421.6188706831</v>
      </c>
      <c r="W30" s="7" t="n">
        <f aca="false">N30+R30+T30+U30</f>
        <v>987</v>
      </c>
      <c r="X30" s="7" t="n">
        <f aca="false">IF(L30&lt;0,L30*-1,0)</f>
        <v>0</v>
      </c>
      <c r="Y30" s="7" t="n">
        <f aca="false">W30+X30</f>
        <v>987</v>
      </c>
      <c r="Z30" s="11" t="n">
        <v>0</v>
      </c>
      <c r="AA30" s="12" t="n">
        <v>65</v>
      </c>
      <c r="AB30" s="12" t="n">
        <v>38</v>
      </c>
      <c r="AC30" s="13" t="n">
        <f aca="false">AC29+1</f>
        <v>21</v>
      </c>
      <c r="AD30" s="12"/>
      <c r="AE30" s="12"/>
      <c r="AG30" s="7"/>
    </row>
    <row r="31" customFormat="false" ht="11.1" hidden="false" customHeight="true" outlineLevel="0" collapsed="false">
      <c r="A31" s="13" t="n">
        <f aca="false">A30+1</f>
        <v>22</v>
      </c>
      <c r="B31" s="32" t="n">
        <v>6921.52</v>
      </c>
      <c r="C31" s="8" t="n">
        <v>370192</v>
      </c>
      <c r="D31" s="12" t="n">
        <f aca="false">C31-C30</f>
        <v>2190</v>
      </c>
      <c r="E31" s="8" t="n">
        <f aca="false">C31-152000</f>
        <v>218192</v>
      </c>
      <c r="F31" s="7" t="n">
        <f aca="false">D31/$D$2</f>
        <v>1104.1088984119</v>
      </c>
      <c r="G31" s="7" t="n">
        <v>1620</v>
      </c>
      <c r="H31" s="9" t="n">
        <v>262</v>
      </c>
      <c r="I31" s="7" t="n">
        <f aca="false">G31+H31</f>
        <v>1882</v>
      </c>
      <c r="J31" s="105" t="n">
        <f aca="false">IF(L31&gt;0,L31,0)</f>
        <v>510.108898411898</v>
      </c>
      <c r="K31" s="7" t="n">
        <f aca="false">I31+J31</f>
        <v>2392.1088984119</v>
      </c>
      <c r="L31" s="7" t="n">
        <f aca="false">F31-(I31-W31)</f>
        <v>510.108898411898</v>
      </c>
      <c r="M31" s="7" t="n">
        <v>80</v>
      </c>
      <c r="N31" s="7" t="n">
        <f aca="false">(21+21)*1.05</f>
        <v>44.1</v>
      </c>
      <c r="O31" s="7" t="n">
        <f aca="false">M31-N31</f>
        <v>35.9</v>
      </c>
      <c r="P31" s="7" t="n">
        <v>0</v>
      </c>
      <c r="Q31" s="7" t="n">
        <v>0</v>
      </c>
      <c r="R31" s="7" t="n">
        <f aca="false">SUM(O31:Q31)</f>
        <v>35.9</v>
      </c>
      <c r="S31" s="7"/>
      <c r="T31" s="7" t="n">
        <v>48</v>
      </c>
      <c r="U31" s="7" t="n">
        <v>1160</v>
      </c>
      <c r="V31" s="8" t="n">
        <v>18421.6188706831</v>
      </c>
      <c r="W31" s="7" t="n">
        <f aca="false">N31+R31+T31+U31</f>
        <v>1288</v>
      </c>
      <c r="X31" s="7" t="n">
        <f aca="false">IF(L31&lt;0,L31*-1,0)</f>
        <v>0</v>
      </c>
      <c r="Y31" s="7" t="n">
        <f aca="false">W31+X31</f>
        <v>1288</v>
      </c>
      <c r="Z31" s="11" t="n">
        <v>0</v>
      </c>
      <c r="AA31" s="12" t="n">
        <v>62</v>
      </c>
      <c r="AB31" s="12" t="n">
        <v>35</v>
      </c>
      <c r="AC31" s="13" t="n">
        <f aca="false">AC30+1</f>
        <v>22</v>
      </c>
      <c r="AD31" s="12"/>
      <c r="AE31" s="12"/>
      <c r="AG31" s="7"/>
    </row>
    <row r="32" customFormat="false" ht="11.1" hidden="false" customHeight="true" outlineLevel="0" collapsed="false">
      <c r="A32" s="13" t="n">
        <f aca="false">A31+1</f>
        <v>23</v>
      </c>
      <c r="B32" s="32" t="n">
        <v>6921.88</v>
      </c>
      <c r="C32" s="8" t="n">
        <v>371768</v>
      </c>
      <c r="D32" s="12" t="n">
        <f aca="false">C32-C31</f>
        <v>1576</v>
      </c>
      <c r="E32" s="8" t="n">
        <f aca="false">C32-152000</f>
        <v>219768</v>
      </c>
      <c r="F32" s="7" t="n">
        <f aca="false">D32/$D$2</f>
        <v>794.555079405092</v>
      </c>
      <c r="G32" s="7" t="n">
        <v>1580</v>
      </c>
      <c r="H32" s="9" t="n">
        <v>234</v>
      </c>
      <c r="I32" s="7" t="n">
        <f aca="false">G32+H32</f>
        <v>1814</v>
      </c>
      <c r="J32" s="105" t="n">
        <f aca="false">IF(L32&gt;0,L32,0)</f>
        <v>693.555079405092</v>
      </c>
      <c r="K32" s="7" t="n">
        <f aca="false">I32+J32</f>
        <v>2507.55507940509</v>
      </c>
      <c r="L32" s="7" t="n">
        <f aca="false">F32-(I32-W32)</f>
        <v>693.555079405092</v>
      </c>
      <c r="M32" s="7" t="n">
        <v>81</v>
      </c>
      <c r="N32" s="7" t="n">
        <f aca="false">(19+18)*1.05</f>
        <v>38.85</v>
      </c>
      <c r="O32" s="7" t="n">
        <f aca="false">M32-N32</f>
        <v>42.15</v>
      </c>
      <c r="P32" s="7" t="n">
        <v>0</v>
      </c>
      <c r="Q32" s="7" t="n">
        <v>0</v>
      </c>
      <c r="R32" s="7" t="n">
        <f aca="false">SUM(O32:Q32)</f>
        <v>42.15</v>
      </c>
      <c r="S32" s="7"/>
      <c r="T32" s="7" t="n">
        <v>42</v>
      </c>
      <c r="U32" s="7" t="n">
        <v>1590</v>
      </c>
      <c r="V32" s="8" t="n">
        <v>18421.6188706831</v>
      </c>
      <c r="W32" s="7" t="n">
        <f aca="false">N32+R32+T32+U32</f>
        <v>1713</v>
      </c>
      <c r="X32" s="7" t="n">
        <f aca="false">IF(L32&lt;0,L32*-1,0)</f>
        <v>0</v>
      </c>
      <c r="Y32" s="7" t="n">
        <f aca="false">W32+X32</f>
        <v>1713</v>
      </c>
      <c r="Z32" s="11" t="n">
        <v>0.14</v>
      </c>
      <c r="AA32" s="12" t="n">
        <v>52</v>
      </c>
      <c r="AB32" s="43" t="n">
        <v>36</v>
      </c>
      <c r="AC32" s="13" t="n">
        <f aca="false">AC31+1</f>
        <v>23</v>
      </c>
      <c r="AD32" s="12"/>
      <c r="AE32" s="12"/>
      <c r="AG32" s="7"/>
    </row>
    <row r="33" customFormat="false" ht="11.1" hidden="false" customHeight="true" outlineLevel="0" collapsed="false">
      <c r="A33" s="13" t="n">
        <f aca="false">A32+1</f>
        <v>24</v>
      </c>
      <c r="B33" s="32" t="n">
        <v>6921.92</v>
      </c>
      <c r="C33" s="8" t="n">
        <v>371943</v>
      </c>
      <c r="D33" s="12" t="n">
        <f aca="false">C33-C32</f>
        <v>175</v>
      </c>
      <c r="E33" s="8" t="n">
        <f aca="false">C33-152000</f>
        <v>219943</v>
      </c>
      <c r="F33" s="7" t="n">
        <f aca="false">D33/$D$2</f>
        <v>88.2278800100832</v>
      </c>
      <c r="G33" s="7" t="n">
        <v>1360</v>
      </c>
      <c r="H33" s="9" t="n">
        <v>169</v>
      </c>
      <c r="I33" s="7" t="n">
        <f aca="false">G33+H33</f>
        <v>1529</v>
      </c>
      <c r="J33" s="105" t="n">
        <f aca="false">IF(L33&gt;0,L33,0)</f>
        <v>748.227880010083</v>
      </c>
      <c r="K33" s="7" t="n">
        <f aca="false">I33+J33</f>
        <v>2277.22788001008</v>
      </c>
      <c r="L33" s="7" t="n">
        <f aca="false">F33-(I33-W33)</f>
        <v>748.227880010083</v>
      </c>
      <c r="M33" s="7" t="n">
        <v>40</v>
      </c>
      <c r="N33" s="7" t="n">
        <f aca="false">(9.8+9.1)*1.05</f>
        <v>19.845</v>
      </c>
      <c r="O33" s="7" t="n">
        <f aca="false">M33-N33</f>
        <v>20.155</v>
      </c>
      <c r="P33" s="7" t="n">
        <v>0</v>
      </c>
      <c r="Q33" s="7" t="n">
        <v>0</v>
      </c>
      <c r="R33" s="7" t="n">
        <f aca="false">SUM(O33:Q33)</f>
        <v>20.155</v>
      </c>
      <c r="S33" s="7"/>
      <c r="T33" s="7" t="n">
        <v>49</v>
      </c>
      <c r="U33" s="7" t="n">
        <v>2100</v>
      </c>
      <c r="V33" s="8" t="n">
        <v>18421.6188706831</v>
      </c>
      <c r="W33" s="7" t="n">
        <f aca="false">N33+R33+T33+U33</f>
        <v>2189</v>
      </c>
      <c r="X33" s="7" t="n">
        <f aca="false">IF(L33&lt;0,L33*-1,0)</f>
        <v>0</v>
      </c>
      <c r="Y33" s="7" t="n">
        <f aca="false">W33+X33</f>
        <v>2189</v>
      </c>
      <c r="Z33" s="11" t="n">
        <v>0.22</v>
      </c>
      <c r="AA33" s="12" t="n">
        <v>50</v>
      </c>
      <c r="AB33" s="43" t="n">
        <v>29</v>
      </c>
      <c r="AC33" s="13" t="n">
        <f aca="false">AC32+1</f>
        <v>24</v>
      </c>
      <c r="AD33" s="12"/>
      <c r="AE33" s="12"/>
      <c r="AG33" s="7"/>
    </row>
    <row r="34" customFormat="false" ht="11.1" hidden="false" customHeight="true" outlineLevel="0" collapsed="false">
      <c r="A34" s="13" t="n">
        <f aca="false">A33+1</f>
        <v>25</v>
      </c>
      <c r="B34" s="32" t="n">
        <v>6921.7</v>
      </c>
      <c r="C34" s="8" t="n">
        <v>370980</v>
      </c>
      <c r="D34" s="12" t="n">
        <f aca="false">C34-C33</f>
        <v>-963</v>
      </c>
      <c r="E34" s="8" t="n">
        <f aca="false">C34-152000</f>
        <v>218980</v>
      </c>
      <c r="F34" s="7" t="n">
        <f aca="false">D34/$D$2</f>
        <v>-485.505419712629</v>
      </c>
      <c r="G34" s="7" t="n">
        <v>1150</v>
      </c>
      <c r="H34" s="9" t="n">
        <v>126</v>
      </c>
      <c r="I34" s="7" t="n">
        <f aca="false">G34+H34</f>
        <v>1276</v>
      </c>
      <c r="J34" s="105" t="n">
        <f aca="false">IF(L34&gt;0,L34,0)</f>
        <v>536.594580287371</v>
      </c>
      <c r="K34" s="7" t="n">
        <f aca="false">I34+J34</f>
        <v>1812.59458028737</v>
      </c>
      <c r="L34" s="7" t="n">
        <f aca="false">F34-(I34-W34)</f>
        <v>536.594580287371</v>
      </c>
      <c r="M34" s="7" t="n">
        <v>30</v>
      </c>
      <c r="N34" s="7" t="n">
        <f aca="false">(4.2+2.8)*1.05</f>
        <v>7.35</v>
      </c>
      <c r="O34" s="7" t="n">
        <f aca="false">M34-N34</f>
        <v>22.65</v>
      </c>
      <c r="P34" s="7" t="n">
        <v>0</v>
      </c>
      <c r="Q34" s="7" t="n">
        <v>0</v>
      </c>
      <c r="R34" s="7" t="n">
        <f aca="false">SUM(O34:Q34)</f>
        <v>22.65</v>
      </c>
      <c r="S34" s="7"/>
      <c r="T34" s="7" t="n">
        <v>8.1</v>
      </c>
      <c r="U34" s="7" t="n">
        <v>2260</v>
      </c>
      <c r="V34" s="8" t="n">
        <v>18421.6188706831</v>
      </c>
      <c r="W34" s="7" t="n">
        <f aca="false">N34+R34+T34+U34</f>
        <v>2298.1</v>
      </c>
      <c r="X34" s="7" t="n">
        <f aca="false">IF(L34&lt;0,L34*-1,0)</f>
        <v>0</v>
      </c>
      <c r="Y34" s="7" t="n">
        <f aca="false">W34+X34</f>
        <v>2298.1</v>
      </c>
      <c r="Z34" s="11" t="n">
        <v>0</v>
      </c>
      <c r="AA34" s="12" t="n">
        <v>52</v>
      </c>
      <c r="AB34" s="43" t="n">
        <v>26</v>
      </c>
      <c r="AC34" s="13" t="n">
        <f aca="false">AC33+1</f>
        <v>25</v>
      </c>
      <c r="AD34" s="12"/>
      <c r="AE34" s="12"/>
      <c r="AG34" s="7"/>
    </row>
    <row r="35" customFormat="false" ht="11.1" hidden="false" customHeight="true" outlineLevel="0" collapsed="false">
      <c r="A35" s="13" t="n">
        <f aca="false">A34+1</f>
        <v>26</v>
      </c>
      <c r="B35" s="32" t="n">
        <v>6921.32</v>
      </c>
      <c r="C35" s="8" t="n">
        <v>369316</v>
      </c>
      <c r="D35" s="12" t="n">
        <f aca="false">C35-C34</f>
        <v>-1664</v>
      </c>
      <c r="E35" s="8" t="n">
        <f aca="false">C35-152000</f>
        <v>217316</v>
      </c>
      <c r="F35" s="7" t="n">
        <f aca="false">D35/$D$2</f>
        <v>-838.921099067305</v>
      </c>
      <c r="G35" s="7" t="n">
        <v>1060</v>
      </c>
      <c r="H35" s="9" t="n">
        <v>120</v>
      </c>
      <c r="I35" s="7" t="n">
        <f aca="false">G35+H35</f>
        <v>1180</v>
      </c>
      <c r="J35" s="105" t="n">
        <f aca="false">IF(L35&gt;0,L35,0)</f>
        <v>450.078900932695</v>
      </c>
      <c r="K35" s="7" t="n">
        <f aca="false">I35+J35</f>
        <v>1630.07890093269</v>
      </c>
      <c r="L35" s="7" t="n">
        <f aca="false">F35-(I35-W35)</f>
        <v>450.078900932695</v>
      </c>
      <c r="M35" s="7" t="n">
        <v>29</v>
      </c>
      <c r="N35" s="7" t="n">
        <v>0</v>
      </c>
      <c r="O35" s="7" t="n">
        <f aca="false">M35-N35</f>
        <v>29</v>
      </c>
      <c r="P35" s="7" t="n">
        <v>0</v>
      </c>
      <c r="Q35" s="7" t="n">
        <v>0</v>
      </c>
      <c r="R35" s="7" t="n">
        <f aca="false">SUM(O35:Q35)</f>
        <v>29</v>
      </c>
      <c r="S35" s="7"/>
      <c r="T35" s="7" t="n">
        <v>0</v>
      </c>
      <c r="U35" s="7" t="n">
        <v>2440</v>
      </c>
      <c r="V35" s="8" t="n">
        <v>18421.6188706831</v>
      </c>
      <c r="W35" s="7" t="n">
        <f aca="false">N35+R35+T35+U35</f>
        <v>2469</v>
      </c>
      <c r="X35" s="7" t="n">
        <f aca="false">IF(L35&lt;0,L35*-1,0)</f>
        <v>0</v>
      </c>
      <c r="Y35" s="7" t="n">
        <f aca="false">W35+X35</f>
        <v>2469</v>
      </c>
      <c r="Z35" s="11" t="n">
        <v>0</v>
      </c>
      <c r="AA35" s="12" t="n">
        <v>59</v>
      </c>
      <c r="AB35" s="12" t="n">
        <v>30</v>
      </c>
      <c r="AC35" s="13" t="n">
        <f aca="false">AC34+1</f>
        <v>26</v>
      </c>
      <c r="AD35" s="12"/>
      <c r="AE35" s="12"/>
      <c r="AG35" s="3"/>
    </row>
    <row r="36" customFormat="false" ht="11.1" hidden="false" customHeight="true" outlineLevel="0" collapsed="false">
      <c r="A36" s="13" t="n">
        <f aca="false">A35+1</f>
        <v>27</v>
      </c>
      <c r="B36" s="32" t="n">
        <v>6920.87</v>
      </c>
      <c r="C36" s="8" t="n">
        <v>367350</v>
      </c>
      <c r="D36" s="12" t="n">
        <f aca="false">C36-C35</f>
        <v>-1966</v>
      </c>
      <c r="E36" s="8" t="n">
        <f aca="false">C36-152000</f>
        <v>215350</v>
      </c>
      <c r="F36" s="7" t="n">
        <f aca="false">D36/$D$2</f>
        <v>-991.177211998992</v>
      </c>
      <c r="G36" s="7" t="n">
        <v>1130</v>
      </c>
      <c r="H36" s="9" t="n">
        <v>135</v>
      </c>
      <c r="I36" s="7" t="n">
        <f aca="false">G36+H36</f>
        <v>1265</v>
      </c>
      <c r="J36" s="105" t="n">
        <f aca="false">IF(L36&gt;0,L36,0)</f>
        <v>494.822788001008</v>
      </c>
      <c r="K36" s="7" t="n">
        <f aca="false">I36+J36</f>
        <v>1759.82278800101</v>
      </c>
      <c r="L36" s="7" t="n">
        <f aca="false">F36-(I36-W36)</f>
        <v>494.822788001008</v>
      </c>
      <c r="M36" s="7" t="n">
        <v>31</v>
      </c>
      <c r="N36" s="7" t="n">
        <v>0</v>
      </c>
      <c r="O36" s="7" t="n">
        <f aca="false">M36-N36</f>
        <v>31</v>
      </c>
      <c r="P36" s="7" t="n">
        <v>0</v>
      </c>
      <c r="Q36" s="7" t="n">
        <v>0</v>
      </c>
      <c r="R36" s="7" t="n">
        <f aca="false">SUM(O36:Q36)</f>
        <v>31</v>
      </c>
      <c r="S36" s="8"/>
      <c r="T36" s="7" t="n">
        <v>0</v>
      </c>
      <c r="U36" s="7" t="n">
        <v>2720</v>
      </c>
      <c r="V36" s="8" t="n">
        <v>18421.6188706831</v>
      </c>
      <c r="W36" s="7" t="n">
        <f aca="false">N36+R36+T36+U36</f>
        <v>2751</v>
      </c>
      <c r="X36" s="7" t="n">
        <f aca="false">IF(L36&lt;0,L36*-1,0)</f>
        <v>0</v>
      </c>
      <c r="Y36" s="7" t="n">
        <f aca="false">W36+X36</f>
        <v>2751</v>
      </c>
      <c r="Z36" s="11" t="n">
        <v>0</v>
      </c>
      <c r="AA36" s="12" t="n">
        <v>66</v>
      </c>
      <c r="AB36" s="12" t="n">
        <v>31</v>
      </c>
      <c r="AC36" s="13" t="n">
        <f aca="false">AC35+1</f>
        <v>27</v>
      </c>
      <c r="AD36" s="12"/>
      <c r="AE36" s="12"/>
      <c r="AG36" s="7"/>
    </row>
    <row r="37" customFormat="false" ht="11.1" hidden="false" customHeight="true" outlineLevel="0" collapsed="false">
      <c r="A37" s="13" t="n">
        <f aca="false">A36+1</f>
        <v>28</v>
      </c>
      <c r="B37" s="32" t="n">
        <v>6920.64</v>
      </c>
      <c r="C37" s="8" t="n">
        <v>366352</v>
      </c>
      <c r="D37" s="12" t="n">
        <f aca="false">C37-C36</f>
        <v>-998</v>
      </c>
      <c r="E37" s="8" t="n">
        <f aca="false">C37-152000</f>
        <v>214352</v>
      </c>
      <c r="F37" s="7" t="n">
        <f aca="false">D37/$D$2</f>
        <v>-503.150995714646</v>
      </c>
      <c r="G37" s="7" t="n">
        <v>1470</v>
      </c>
      <c r="H37" s="9" t="n">
        <v>241</v>
      </c>
      <c r="I37" s="7" t="n">
        <f aca="false">G37+H37</f>
        <v>1711</v>
      </c>
      <c r="J37" s="105" t="n">
        <f aca="false">IF(L37&gt;0,L37,0)</f>
        <v>535.849004285354</v>
      </c>
      <c r="K37" s="7" t="n">
        <f aca="false">I37+J37</f>
        <v>2246.84900428535</v>
      </c>
      <c r="L37" s="7" t="n">
        <f aca="false">F37-(I37-W37)</f>
        <v>535.849004285354</v>
      </c>
      <c r="M37" s="7" t="n">
        <v>30</v>
      </c>
      <c r="N37" s="7" t="n">
        <f aca="false">(1.3+1.3)*1.05</f>
        <v>2.73</v>
      </c>
      <c r="O37" s="7" t="n">
        <f aca="false">M37-N37</f>
        <v>27.27</v>
      </c>
      <c r="P37" s="7" t="n">
        <v>0</v>
      </c>
      <c r="Q37" s="7" t="n">
        <v>0</v>
      </c>
      <c r="R37" s="7" t="n">
        <f aca="false">SUM(O37:Q37)</f>
        <v>27.27</v>
      </c>
      <c r="S37" s="8"/>
      <c r="T37" s="7" t="n">
        <v>0</v>
      </c>
      <c r="U37" s="7" t="n">
        <v>2720</v>
      </c>
      <c r="V37" s="8" t="n">
        <v>18421.6188706831</v>
      </c>
      <c r="W37" s="7" t="n">
        <f aca="false">N37+R37+T37+U37</f>
        <v>2750</v>
      </c>
      <c r="X37" s="7" t="n">
        <f aca="false">IF(L37&lt;0,L37*-1,0)</f>
        <v>0</v>
      </c>
      <c r="Y37" s="7" t="n">
        <f aca="false">W37+X37</f>
        <v>2750</v>
      </c>
      <c r="Z37" s="11" t="n">
        <v>0</v>
      </c>
      <c r="AA37" s="12" t="n">
        <v>67</v>
      </c>
      <c r="AB37" s="12" t="n">
        <v>42</v>
      </c>
      <c r="AC37" s="13" t="n">
        <f aca="false">AC36+1</f>
        <v>28</v>
      </c>
      <c r="AD37" s="12"/>
      <c r="AE37" s="12"/>
      <c r="AG37" s="7"/>
    </row>
    <row r="38" customFormat="false" ht="11.1" hidden="false" customHeight="true" outlineLevel="0" collapsed="false">
      <c r="A38" s="13" t="n">
        <f aca="false">A37+1</f>
        <v>29</v>
      </c>
      <c r="B38" s="32" t="n">
        <v>6920.37</v>
      </c>
      <c r="C38" s="8" t="n">
        <v>365180</v>
      </c>
      <c r="D38" s="12" t="n">
        <f aca="false">C38-C37</f>
        <v>-1172</v>
      </c>
      <c r="E38" s="8" t="n">
        <f aca="false">C38-152000</f>
        <v>213180</v>
      </c>
      <c r="F38" s="7" t="n">
        <f aca="false">D38/$D$2</f>
        <v>-590.874716410386</v>
      </c>
      <c r="G38" s="7" t="n">
        <v>1530</v>
      </c>
      <c r="H38" s="9" t="n">
        <v>278</v>
      </c>
      <c r="I38" s="7" t="n">
        <f aca="false">G38+H38</f>
        <v>1808</v>
      </c>
      <c r="J38" s="105" t="n">
        <f aca="false">IF(L38&gt;0,L38,0)</f>
        <v>411.125283589614</v>
      </c>
      <c r="K38" s="7" t="n">
        <f aca="false">I38+J38</f>
        <v>2219.12528358961</v>
      </c>
      <c r="L38" s="7" t="n">
        <f aca="false">F38-(I38-W38)</f>
        <v>411.125283589614</v>
      </c>
      <c r="M38" s="7" t="n">
        <v>56</v>
      </c>
      <c r="N38" s="7" t="n">
        <f aca="false">(15+15)*1.05</f>
        <v>31.5</v>
      </c>
      <c r="O38" s="7" t="n">
        <f aca="false">M38-N38</f>
        <v>24.5</v>
      </c>
      <c r="P38" s="7" t="n">
        <v>0</v>
      </c>
      <c r="Q38" s="7" t="n">
        <v>0</v>
      </c>
      <c r="R38" s="7" t="n">
        <f aca="false">SUM(O38:Q38)</f>
        <v>24.5</v>
      </c>
      <c r="S38" s="8"/>
      <c r="T38" s="7" t="n">
        <v>34</v>
      </c>
      <c r="U38" s="7" t="n">
        <v>2720</v>
      </c>
      <c r="V38" s="8" t="n">
        <v>18421.6188706831</v>
      </c>
      <c r="W38" s="7" t="n">
        <f aca="false">N38+R38+T38+U38</f>
        <v>2810</v>
      </c>
      <c r="X38" s="7" t="n">
        <f aca="false">IF(L38&lt;0,L38*-1,0)</f>
        <v>0</v>
      </c>
      <c r="Y38" s="7" t="n">
        <f aca="false">W38+X38</f>
        <v>2810</v>
      </c>
      <c r="Z38" s="11" t="n">
        <v>0</v>
      </c>
      <c r="AA38" s="43" t="n">
        <v>58</v>
      </c>
      <c r="AB38" s="12" t="n">
        <v>46</v>
      </c>
      <c r="AC38" s="13" t="n">
        <f aca="false">AC37+1</f>
        <v>29</v>
      </c>
      <c r="AD38" s="12"/>
      <c r="AE38" s="12"/>
      <c r="AG38" s="7"/>
    </row>
    <row r="39" customFormat="false" ht="11.1" hidden="false" customHeight="true" outlineLevel="0" collapsed="false">
      <c r="A39" s="13" t="n">
        <v>30</v>
      </c>
      <c r="B39" s="32" t="n">
        <v>6919.97</v>
      </c>
      <c r="C39" s="8" t="n">
        <v>363444</v>
      </c>
      <c r="D39" s="12" t="n">
        <f aca="false">C39-C38</f>
        <v>-1736</v>
      </c>
      <c r="E39" s="8" t="n">
        <f aca="false">C39-152000</f>
        <v>211444</v>
      </c>
      <c r="F39" s="7" t="n">
        <f aca="false">D39/$D$2</f>
        <v>-875.220569700025</v>
      </c>
      <c r="G39" s="7" t="n">
        <v>1330</v>
      </c>
      <c r="H39" s="9" t="n">
        <v>200</v>
      </c>
      <c r="I39" s="7" t="n">
        <f aca="false">G39+H39</f>
        <v>1530</v>
      </c>
      <c r="J39" s="105" t="n">
        <f aca="false">IF(L39&gt;0,L39,0)</f>
        <v>400.679430299975</v>
      </c>
      <c r="K39" s="7" t="n">
        <f aca="false">I39+J39</f>
        <v>1930.67943029998</v>
      </c>
      <c r="L39" s="7" t="n">
        <f aca="false">F39-(I39-W39)</f>
        <v>400.679430299975</v>
      </c>
      <c r="M39" s="7" t="n">
        <v>94</v>
      </c>
      <c r="N39" s="7" t="n">
        <f aca="false">(26+24)*1.05</f>
        <v>52.5</v>
      </c>
      <c r="O39" s="7" t="n">
        <f aca="false">M39-N39</f>
        <v>41.5</v>
      </c>
      <c r="P39" s="7" t="n">
        <v>0</v>
      </c>
      <c r="Q39" s="7" t="n">
        <v>0</v>
      </c>
      <c r="R39" s="7" t="n">
        <f aca="false">SUM(O39:Q39)</f>
        <v>41.5</v>
      </c>
      <c r="S39" s="8"/>
      <c r="T39" s="7" t="n">
        <v>1.9</v>
      </c>
      <c r="U39" s="7" t="n">
        <v>2710</v>
      </c>
      <c r="V39" s="8" t="n">
        <v>18421.6188706831</v>
      </c>
      <c r="W39" s="7" t="n">
        <f aca="false">N39+R39+T39+U39</f>
        <v>2805.9</v>
      </c>
      <c r="X39" s="7" t="n">
        <f aca="false">IF(L39&lt;0,L39*-1,0)</f>
        <v>0</v>
      </c>
      <c r="Y39" s="7" t="n">
        <f aca="false">W39+X39</f>
        <v>2805.9</v>
      </c>
      <c r="Z39" s="11" t="n">
        <v>0</v>
      </c>
      <c r="AA39" s="43" t="n">
        <v>61</v>
      </c>
      <c r="AB39" s="12" t="n">
        <v>26</v>
      </c>
      <c r="AC39" s="13" t="n">
        <v>30</v>
      </c>
      <c r="AD39" s="12"/>
      <c r="AE39" s="12"/>
      <c r="AG39" s="7"/>
    </row>
    <row r="40" customFormat="false" ht="3" hidden="false" customHeight="true" outlineLevel="0" collapsed="false">
      <c r="A40" s="35"/>
      <c r="B40" s="35"/>
      <c r="C40" s="37"/>
      <c r="D40" s="35"/>
      <c r="E40" s="37"/>
      <c r="F40" s="35"/>
      <c r="G40" s="35"/>
      <c r="H40" s="38"/>
      <c r="I40" s="35"/>
      <c r="J40" s="35"/>
      <c r="K40" s="35"/>
      <c r="L40" s="35"/>
      <c r="M40" s="35"/>
      <c r="N40" s="35"/>
      <c r="O40" s="35"/>
      <c r="P40" s="35"/>
      <c r="Q40" s="35"/>
      <c r="R40" s="35"/>
      <c r="S40" s="37"/>
      <c r="T40" s="35"/>
      <c r="U40" s="35"/>
      <c r="V40" s="35"/>
      <c r="W40" s="35"/>
      <c r="X40" s="35"/>
      <c r="Y40" s="35"/>
      <c r="Z40" s="39"/>
      <c r="AA40" s="40" t="n">
        <v>73</v>
      </c>
      <c r="AB40" s="40"/>
      <c r="AC40" s="41"/>
      <c r="AD40" s="14"/>
      <c r="AE40" s="14"/>
    </row>
    <row r="41" customFormat="false" ht="11.1" hidden="false" customHeight="true" outlineLevel="0" collapsed="false">
      <c r="A41" s="7" t="s">
        <v>45</v>
      </c>
      <c r="B41" s="7"/>
      <c r="C41" s="8"/>
      <c r="D41" s="8"/>
      <c r="E41" s="8"/>
      <c r="F41" s="8" t="n">
        <f aca="false">SUM(F10:F39)</f>
        <v>19343.584572725</v>
      </c>
      <c r="G41" s="8" t="n">
        <f aca="false">SUM(G10:G39)</f>
        <v>27930</v>
      </c>
      <c r="H41" s="8" t="n">
        <f aca="false">SUM(H10:H39)</f>
        <v>4691</v>
      </c>
      <c r="I41" s="8" t="n">
        <f aca="false">SUM(I10:I39)</f>
        <v>32621</v>
      </c>
      <c r="J41" s="8" t="n">
        <f aca="false">SUM(J10:J39)</f>
        <v>15725.084572725</v>
      </c>
      <c r="K41" s="8" t="n">
        <f aca="false">SUM(K10:K39)</f>
        <v>48346.084572725</v>
      </c>
      <c r="L41" s="8" t="n">
        <f aca="false">SUM(L10:L39)</f>
        <v>15725.084572725</v>
      </c>
      <c r="M41" s="8" t="n">
        <f aca="false">SUM(M10:M39)</f>
        <v>996.6</v>
      </c>
      <c r="N41" s="8" t="n">
        <f aca="false">SUM(N10:N39)</f>
        <v>467.439</v>
      </c>
      <c r="O41" s="8" t="n">
        <f aca="false">SUM(O10:O39)</f>
        <v>529.161</v>
      </c>
      <c r="P41" s="8" t="n">
        <f aca="false">SUM(P10:P39)</f>
        <v>0</v>
      </c>
      <c r="Q41" s="8" t="n">
        <f aca="false">SUM(Q10:Q39)</f>
        <v>0</v>
      </c>
      <c r="R41" s="8" t="n">
        <f aca="false">SUM(R10:R39)</f>
        <v>529.161</v>
      </c>
      <c r="S41" s="8"/>
      <c r="T41" s="8" t="n">
        <f aca="false">SUM(T10:T39)</f>
        <v>216</v>
      </c>
      <c r="U41" s="8" t="n">
        <f aca="false">SUM(U10:U39)</f>
        <v>27789.9</v>
      </c>
      <c r="V41" s="8"/>
      <c r="W41" s="8" t="n">
        <f aca="false">SUM(W10:W39)</f>
        <v>29002.5</v>
      </c>
      <c r="X41" s="8" t="n">
        <f aca="false">SUM(X10:X39)</f>
        <v>0</v>
      </c>
      <c r="Y41" s="8" t="n">
        <f aca="false">SUM(Y10:Y39)</f>
        <v>29002.5</v>
      </c>
      <c r="Z41" s="11" t="n">
        <f aca="false">SUM(Z10:Z39)</f>
        <v>1.68</v>
      </c>
      <c r="AA41" s="12" t="n">
        <f aca="false">AVERAGE(AA10:AA39)</f>
        <v>55.9666666666667</v>
      </c>
      <c r="AB41" s="12" t="n">
        <f aca="false">AVERAGE(AB10:AB39)</f>
        <v>30.3666666666667</v>
      </c>
      <c r="AC41" s="13" t="s">
        <v>70</v>
      </c>
      <c r="AD41" s="14"/>
      <c r="AE41" s="14"/>
    </row>
    <row r="42" customFormat="false" ht="11.1" hidden="false" customHeight="true" outlineLevel="0" collapsed="false">
      <c r="A42" s="7" t="s">
        <v>46</v>
      </c>
      <c r="B42" s="7"/>
      <c r="C42" s="8"/>
      <c r="D42" s="8" t="n">
        <f aca="false">SUM(D10:D39)</f>
        <v>38368</v>
      </c>
      <c r="E42" s="8"/>
      <c r="F42" s="8" t="n">
        <f aca="false">F41*$D$2</f>
        <v>38368</v>
      </c>
      <c r="G42" s="8" t="n">
        <f aca="false">G41*$D$2</f>
        <v>55399.155</v>
      </c>
      <c r="H42" s="8" t="n">
        <f aca="false">H41*$D$2</f>
        <v>9304.5985</v>
      </c>
      <c r="I42" s="8" t="n">
        <f aca="false">I41*$D$2</f>
        <v>64703.7535</v>
      </c>
      <c r="J42" s="8" t="n">
        <f aca="false">J41*$D$2</f>
        <v>31190.70525</v>
      </c>
      <c r="K42" s="8" t="n">
        <f aca="false">K41*$D$2</f>
        <v>95894.45875</v>
      </c>
      <c r="L42" s="8" t="n">
        <f aca="false">L41*$D$2</f>
        <v>31190.70525</v>
      </c>
      <c r="M42" s="8" t="n">
        <f aca="false">M41*$D$2</f>
        <v>1976.7561</v>
      </c>
      <c r="N42" s="8" t="n">
        <f aca="false">N41*$D$2</f>
        <v>927.1652565</v>
      </c>
      <c r="O42" s="8" t="n">
        <f aca="false">O41*$D$2</f>
        <v>1049.5908435</v>
      </c>
      <c r="P42" s="8" t="n">
        <f aca="false">P41*$D$2</f>
        <v>0</v>
      </c>
      <c r="Q42" s="8" t="n">
        <f aca="false">Q41*$D$2</f>
        <v>0</v>
      </c>
      <c r="R42" s="8" t="n">
        <f aca="false">R41*$D$2</f>
        <v>1049.5908435</v>
      </c>
      <c r="S42" s="8"/>
      <c r="T42" s="8" t="n">
        <f aca="false">T41*$D$2</f>
        <v>428.436</v>
      </c>
      <c r="U42" s="8" t="n">
        <f aca="false">U41*$D$2</f>
        <v>55121.26665</v>
      </c>
      <c r="V42" s="8"/>
      <c r="W42" s="8" t="n">
        <f aca="false">W41*$D$2</f>
        <v>57526.45875</v>
      </c>
      <c r="X42" s="8" t="n">
        <f aca="false">X41*$D$2</f>
        <v>0</v>
      </c>
      <c r="Y42" s="8" t="n">
        <f aca="false">Y41*$D$2</f>
        <v>57526.45875</v>
      </c>
      <c r="Z42" s="11"/>
      <c r="AA42" s="12" t="n">
        <f aca="false">MAX(AA10:AA39)</f>
        <v>70</v>
      </c>
      <c r="AB42" s="12" t="n">
        <f aca="false">MAX(AB10:AB39)</f>
        <v>46</v>
      </c>
      <c r="AC42" s="13" t="s">
        <v>47</v>
      </c>
      <c r="AD42" s="14"/>
      <c r="AE42" s="14"/>
    </row>
    <row r="43" customFormat="false" ht="3" hidden="false" customHeight="true" outlineLevel="0" collapsed="false">
      <c r="A43" s="35"/>
      <c r="B43" s="35"/>
      <c r="C43" s="37"/>
      <c r="D43" s="37"/>
      <c r="E43" s="37"/>
      <c r="F43" s="37"/>
      <c r="G43" s="37"/>
      <c r="H43" s="37"/>
      <c r="I43" s="37"/>
      <c r="J43" s="37"/>
      <c r="K43" s="37"/>
      <c r="L43" s="37"/>
      <c r="M43" s="37"/>
      <c r="N43" s="37"/>
      <c r="O43" s="37"/>
      <c r="P43" s="37"/>
      <c r="Q43" s="37"/>
      <c r="R43" s="37"/>
      <c r="S43" s="37"/>
      <c r="T43" s="37"/>
      <c r="U43" s="37"/>
      <c r="V43" s="35"/>
      <c r="W43" s="37"/>
      <c r="X43" s="37"/>
      <c r="Y43" s="37"/>
      <c r="Z43" s="11"/>
      <c r="AA43" s="12"/>
      <c r="AB43" s="12"/>
      <c r="AC43" s="13"/>
      <c r="AD43" s="14"/>
      <c r="AE43" s="14"/>
    </row>
    <row r="44" customFormat="false" ht="11.1" hidden="false" customHeight="true" outlineLevel="0" collapsed="false">
      <c r="A44" s="7" t="s">
        <v>48</v>
      </c>
      <c r="B44" s="7"/>
      <c r="C44" s="8"/>
      <c r="D44" s="8"/>
      <c r="E44" s="8"/>
      <c r="F44" s="8" t="n">
        <f aca="false">F7+F41</f>
        <v>19343.584572725</v>
      </c>
      <c r="G44" s="8" t="n">
        <f aca="false">G7+G41</f>
        <v>27930</v>
      </c>
      <c r="H44" s="12" t="n">
        <f aca="false">H7+H41</f>
        <v>4691</v>
      </c>
      <c r="I44" s="8" t="n">
        <f aca="false">I7+I41</f>
        <v>32621</v>
      </c>
      <c r="J44" s="8" t="n">
        <f aca="false">J7+J41</f>
        <v>15725.084572725</v>
      </c>
      <c r="K44" s="8" t="n">
        <f aca="false">K7+K41</f>
        <v>48346.084572725</v>
      </c>
      <c r="L44" s="8" t="n">
        <f aca="false">L7+L41</f>
        <v>15725.084572725</v>
      </c>
      <c r="M44" s="8" t="n">
        <f aca="false">M7+M41</f>
        <v>996.6</v>
      </c>
      <c r="N44" s="8" t="n">
        <f aca="false">N7+N41</f>
        <v>467.439</v>
      </c>
      <c r="O44" s="8" t="n">
        <f aca="false">O7+O41</f>
        <v>529.161</v>
      </c>
      <c r="P44" s="8" t="n">
        <f aca="false">P7+P41</f>
        <v>0</v>
      </c>
      <c r="Q44" s="8" t="n">
        <f aca="false">Q7+Q41</f>
        <v>0</v>
      </c>
      <c r="R44" s="8" t="n">
        <f aca="false">R7+R41</f>
        <v>529.161</v>
      </c>
      <c r="S44" s="8" t="n">
        <f aca="false">S39</f>
        <v>0</v>
      </c>
      <c r="T44" s="8" t="n">
        <f aca="false">T7+T41</f>
        <v>216</v>
      </c>
      <c r="U44" s="8" t="n">
        <f aca="false">U7+U41</f>
        <v>27789.9</v>
      </c>
      <c r="V44" s="8" t="n">
        <v>0</v>
      </c>
      <c r="W44" s="8" t="n">
        <f aca="false">W7+W41</f>
        <v>29002.5</v>
      </c>
      <c r="X44" s="8" t="n">
        <f aca="false">X7+X41</f>
        <v>0</v>
      </c>
      <c r="Y44" s="8" t="n">
        <f aca="false">Y7+Y41</f>
        <v>29002.5</v>
      </c>
      <c r="Z44" s="11"/>
      <c r="AA44" s="12" t="n">
        <f aca="false">MIN(AA10:AA39)</f>
        <v>36</v>
      </c>
      <c r="AB44" s="12" t="n">
        <f aca="false">MIN(AB10:AB39)</f>
        <v>12</v>
      </c>
      <c r="AC44" s="13" t="s">
        <v>49</v>
      </c>
      <c r="AD44" s="14"/>
      <c r="AE44" s="14"/>
    </row>
    <row r="45" customFormat="false" ht="11.1" hidden="false" customHeight="true" outlineLevel="0" collapsed="false">
      <c r="A45" s="7" t="s">
        <v>50</v>
      </c>
      <c r="B45" s="7"/>
      <c r="C45" s="8"/>
      <c r="D45" s="8" t="n">
        <f aca="false">D7+D42</f>
        <v>38368</v>
      </c>
      <c r="E45" s="8"/>
      <c r="F45" s="8" t="n">
        <f aca="false">F44*$D$2</f>
        <v>38368</v>
      </c>
      <c r="G45" s="8" t="n">
        <f aca="false">G44*$D$2</f>
        <v>55399.155</v>
      </c>
      <c r="H45" s="12" t="n">
        <f aca="false">H44*$D$2</f>
        <v>9304.5985</v>
      </c>
      <c r="I45" s="8" t="n">
        <f aca="false">I44*$D$2</f>
        <v>64703.7535</v>
      </c>
      <c r="J45" s="8" t="n">
        <f aca="false">J44*$D$2</f>
        <v>31190.70525</v>
      </c>
      <c r="K45" s="8" t="n">
        <f aca="false">K44*$D$2</f>
        <v>95894.45875</v>
      </c>
      <c r="L45" s="8" t="n">
        <f aca="false">L44*$D$2</f>
        <v>31190.70525</v>
      </c>
      <c r="M45" s="8" t="n">
        <f aca="false">M44*$D$2</f>
        <v>1976.7561</v>
      </c>
      <c r="N45" s="8" t="n">
        <f aca="false">N44*$D$2</f>
        <v>927.1652565</v>
      </c>
      <c r="O45" s="8" t="n">
        <f aca="false">O44*$D$2</f>
        <v>1049.5908435</v>
      </c>
      <c r="P45" s="8" t="n">
        <f aca="false">P44*$D$2</f>
        <v>0</v>
      </c>
      <c r="Q45" s="8" t="n">
        <f aca="false">Q44*$D$2</f>
        <v>0</v>
      </c>
      <c r="R45" s="8" t="n">
        <f aca="false">R44*$D$2</f>
        <v>1049.5908435</v>
      </c>
      <c r="S45" s="8" t="n">
        <f aca="false">S44*$D$2</f>
        <v>0</v>
      </c>
      <c r="T45" s="8" t="n">
        <f aca="false">T44*$D$2</f>
        <v>428.436</v>
      </c>
      <c r="U45" s="8" t="n">
        <f aca="false">U44*$D$2</f>
        <v>55121.26665</v>
      </c>
      <c r="V45" s="8" t="n">
        <v>0</v>
      </c>
      <c r="W45" s="8" t="n">
        <f aca="false">W44*$D$2</f>
        <v>57526.45875</v>
      </c>
      <c r="X45" s="8" t="n">
        <f aca="false">X44*$D$2</f>
        <v>0</v>
      </c>
      <c r="Y45" s="8" t="n">
        <f aca="false">Y44*$D$2</f>
        <v>57526.45875</v>
      </c>
      <c r="Z45" s="11"/>
      <c r="AA45" s="12"/>
      <c r="AB45" s="12"/>
      <c r="AC45" s="13"/>
      <c r="AD45" s="14"/>
      <c r="AE45" s="14"/>
    </row>
    <row r="46" customFormat="false" ht="3" hidden="false" customHeight="true" outlineLevel="0" collapsed="false">
      <c r="A46" s="35"/>
      <c r="B46" s="35"/>
      <c r="C46" s="37"/>
      <c r="D46" s="37"/>
      <c r="E46" s="37"/>
      <c r="F46" s="37"/>
      <c r="G46" s="37"/>
      <c r="H46" s="40"/>
      <c r="I46" s="37"/>
      <c r="J46" s="37"/>
      <c r="K46" s="37"/>
      <c r="L46" s="37"/>
      <c r="M46" s="37"/>
      <c r="N46" s="37"/>
      <c r="O46" s="37"/>
      <c r="P46" s="37"/>
      <c r="Q46" s="37"/>
      <c r="R46" s="37"/>
      <c r="S46" s="37"/>
      <c r="T46" s="37"/>
      <c r="U46" s="37"/>
      <c r="V46" s="37"/>
      <c r="W46" s="37"/>
      <c r="X46" s="37"/>
      <c r="Y46" s="37"/>
      <c r="Z46" s="39"/>
      <c r="AA46" s="12"/>
      <c r="AB46" s="12"/>
      <c r="AC46" s="13"/>
      <c r="AD46" s="14"/>
      <c r="AE46" s="14"/>
    </row>
    <row r="47" customFormat="false" ht="11.1" hidden="false" customHeight="true" outlineLevel="0" collapsed="false">
      <c r="A47" s="7" t="s">
        <v>51</v>
      </c>
      <c r="B47" s="7"/>
      <c r="C47" s="8"/>
      <c r="D47" s="8"/>
      <c r="E47" s="8"/>
      <c r="F47" s="8" t="n">
        <f aca="false">F8+F41</f>
        <v>59473.1535165112</v>
      </c>
      <c r="G47" s="8" t="n">
        <f aca="false">G8+G41</f>
        <v>55114.79</v>
      </c>
      <c r="H47" s="12" t="n">
        <f aca="false">H8+H41</f>
        <v>8250.7</v>
      </c>
      <c r="I47" s="8" t="n">
        <f aca="false">I8+I41</f>
        <v>63164.59</v>
      </c>
      <c r="J47" s="8" t="n">
        <f aca="false">J8+J41</f>
        <v>32473.7007108646</v>
      </c>
      <c r="K47" s="8" t="n">
        <f aca="false">K8+K41</f>
        <v>95638.2907108646</v>
      </c>
      <c r="L47" s="8" t="n">
        <f aca="false">L8+L41</f>
        <v>31896.6335165112</v>
      </c>
      <c r="M47" s="8" t="n">
        <f aca="false">M8+M41</f>
        <v>1998.85</v>
      </c>
      <c r="N47" s="8" t="n">
        <f aca="false">N8+N41</f>
        <v>514.458</v>
      </c>
      <c r="O47" s="8" t="n">
        <f aca="false">O8+O41</f>
        <v>1215.312</v>
      </c>
      <c r="P47" s="8" t="n">
        <f aca="false">P8+P41</f>
        <v>107.52</v>
      </c>
      <c r="Q47" s="8" t="n">
        <f aca="false">Q8+Q41</f>
        <v>198.8</v>
      </c>
      <c r="R47" s="8" t="n">
        <f aca="false">R8+R41</f>
        <v>1728.649</v>
      </c>
      <c r="S47" s="8"/>
      <c r="T47" s="8" t="n">
        <f aca="false">T8+T41</f>
        <v>216</v>
      </c>
      <c r="U47" s="8" t="n">
        <f aca="false">U8+U41</f>
        <v>33066.9</v>
      </c>
      <c r="V47" s="8" t="s">
        <v>71</v>
      </c>
      <c r="W47" s="8" t="n">
        <f aca="false">W8+W41</f>
        <v>35588.07</v>
      </c>
      <c r="X47" s="8" t="n">
        <f aca="false">X8+X41</f>
        <v>577.067194353416</v>
      </c>
      <c r="Y47" s="8" t="n">
        <f aca="false">Y8+Y41</f>
        <v>36165.1371943534</v>
      </c>
      <c r="Z47" s="33" t="n">
        <f aca="false">Z8+Z41</f>
        <v>10.9</v>
      </c>
      <c r="AA47" s="12"/>
      <c r="AB47" s="12"/>
      <c r="AC47" s="13"/>
      <c r="AD47" s="14"/>
      <c r="AE47" s="14"/>
    </row>
    <row r="48" customFormat="false" ht="11.1" hidden="false" customHeight="true" outlineLevel="0" collapsed="false">
      <c r="A48" s="7" t="s">
        <v>52</v>
      </c>
      <c r="B48" s="7"/>
      <c r="C48" s="8"/>
      <c r="D48" s="8" t="n">
        <f aca="false">D8+D42</f>
        <v>117965</v>
      </c>
      <c r="E48" s="8" t="n">
        <f aca="false">E39</f>
        <v>211444</v>
      </c>
      <c r="F48" s="8" t="n">
        <f aca="false">F47*$D$2</f>
        <v>117965</v>
      </c>
      <c r="G48" s="8" t="n">
        <f aca="false">G47*$D$2</f>
        <v>109320.185965</v>
      </c>
      <c r="H48" s="12" t="n">
        <f aca="false">H47*$D$2</f>
        <v>16365.26345</v>
      </c>
      <c r="I48" s="8" t="n">
        <f aca="false">I47*$D$2</f>
        <v>125286.964265</v>
      </c>
      <c r="J48" s="8" t="n">
        <f aca="false">J47*$D$2</f>
        <v>64411.58536</v>
      </c>
      <c r="K48" s="8" t="n">
        <f aca="false">K47*$D$2</f>
        <v>189698.549625</v>
      </c>
      <c r="L48" s="8" t="n">
        <f aca="false">L47*$D$2</f>
        <v>63266.97258</v>
      </c>
      <c r="M48" s="8" t="n">
        <f aca="false">M47*$D$2</f>
        <v>3964.718975</v>
      </c>
      <c r="N48" s="8" t="n">
        <f aca="false">N47*$D$2</f>
        <v>1020.427443</v>
      </c>
      <c r="O48" s="8" t="n">
        <f aca="false">O47*$D$2</f>
        <v>2410.571352</v>
      </c>
      <c r="P48" s="8" t="n">
        <f aca="false">P47*$D$2</f>
        <v>213.26592</v>
      </c>
      <c r="Q48" s="8" t="n">
        <f aca="false">Q47*$D$2</f>
        <v>394.3198</v>
      </c>
      <c r="R48" s="8" t="n">
        <f aca="false">R47*$D$2</f>
        <v>3428.7752915</v>
      </c>
      <c r="S48" s="8" t="n">
        <f aca="false">S47*$D$2</f>
        <v>0</v>
      </c>
      <c r="T48" s="8" t="n">
        <f aca="false">T47*$D$2</f>
        <v>428.436</v>
      </c>
      <c r="U48" s="8" t="n">
        <f aca="false">U47*$D$2</f>
        <v>65588.19615</v>
      </c>
      <c r="V48" s="8" t="e">
        <f aca="false">V47*$D$2</f>
        <v>#VALUE!</v>
      </c>
      <c r="W48" s="8" t="n">
        <f aca="false">W47*$D$2</f>
        <v>70588.936845</v>
      </c>
      <c r="X48" s="8" t="n">
        <f aca="false">X47*$D$2</f>
        <v>1144.61278</v>
      </c>
      <c r="Y48" s="8" t="n">
        <f aca="false">Y47*$D$2</f>
        <v>71733.549625</v>
      </c>
      <c r="Z48" s="11"/>
      <c r="AA48" s="12"/>
      <c r="AB48" s="12"/>
      <c r="AC48" s="13"/>
      <c r="AD48" s="14"/>
      <c r="AE48" s="14"/>
    </row>
    <row r="49" customFormat="false" ht="3" hidden="false" customHeight="true" outlineLevel="0" collapsed="false">
      <c r="A49" s="35"/>
      <c r="B49" s="35"/>
      <c r="C49" s="37"/>
      <c r="D49" s="35"/>
      <c r="E49" s="37"/>
      <c r="F49" s="35"/>
      <c r="G49" s="35"/>
      <c r="H49" s="38"/>
      <c r="I49" s="35"/>
      <c r="J49" s="35"/>
      <c r="K49" s="35"/>
      <c r="L49" s="35"/>
      <c r="M49" s="35"/>
      <c r="N49" s="35"/>
      <c r="O49" s="35"/>
      <c r="P49" s="35"/>
      <c r="Q49" s="35"/>
      <c r="R49" s="35"/>
      <c r="S49" s="37"/>
      <c r="T49" s="35"/>
      <c r="U49" s="35"/>
      <c r="V49" s="37"/>
      <c r="W49" s="35"/>
      <c r="X49" s="35"/>
      <c r="Y49" s="35"/>
      <c r="Z49" s="11"/>
      <c r="AA49" s="12"/>
      <c r="AB49" s="12"/>
      <c r="AC49" s="13"/>
      <c r="AD49" s="14"/>
      <c r="AE49" s="14"/>
    </row>
    <row r="50" customFormat="false" ht="14.1" hidden="false" customHeight="true" outlineLevel="0" collapsed="false">
      <c r="A50" s="44" t="str">
        <f aca="false">"4/10/97 thru 5/8/97"</f>
        <v>4/10/97 thru 5/8/97</v>
      </c>
      <c r="B50" s="45"/>
      <c r="C50" s="8"/>
      <c r="D50" s="7"/>
      <c r="E50" s="8"/>
      <c r="F50" s="7"/>
      <c r="G50" s="7"/>
      <c r="H50" s="9"/>
      <c r="I50" s="7"/>
      <c r="J50" s="7"/>
      <c r="K50" s="7"/>
      <c r="L50" s="7"/>
      <c r="M50" s="7"/>
      <c r="N50" s="7"/>
      <c r="O50" s="7"/>
      <c r="P50" s="7"/>
      <c r="Q50" s="7"/>
      <c r="R50" s="7"/>
      <c r="S50" s="8"/>
      <c r="T50" s="7"/>
      <c r="U50" s="7"/>
      <c r="V50" s="8"/>
      <c r="W50" s="7"/>
      <c r="X50" s="7"/>
      <c r="Z50" s="106" t="n">
        <v>34790</v>
      </c>
      <c r="AA50" s="12" t="n">
        <v>56</v>
      </c>
      <c r="AB50" s="12" t="n">
        <v>32</v>
      </c>
      <c r="AC50" s="13" t="s">
        <v>70</v>
      </c>
      <c r="AD50" s="14"/>
      <c r="AE50" s="14"/>
    </row>
    <row r="51" customFormat="false" ht="11.1" hidden="false" customHeight="true" outlineLevel="0" collapsed="false">
      <c r="A51" s="7"/>
      <c r="B51" s="32" t="n">
        <f aca="false" t="array" ref="B51:C51">MAY!$B$16:$C$16</f>
        <v>6918.41</v>
      </c>
      <c r="C51" s="8" t="n">
        <v>356746</v>
      </c>
      <c r="D51" s="43"/>
      <c r="E51" s="8" t="n">
        <f aca="false">C51-152000</f>
        <v>204746</v>
      </c>
      <c r="F51" s="7"/>
      <c r="G51" s="7"/>
      <c r="H51" s="43"/>
      <c r="I51" s="9"/>
      <c r="J51" s="7"/>
      <c r="K51" s="46"/>
      <c r="L51" s="7"/>
      <c r="M51" s="7"/>
      <c r="N51" s="7"/>
      <c r="O51" s="7"/>
      <c r="P51" s="7"/>
      <c r="Q51" s="7"/>
      <c r="R51" s="7"/>
      <c r="S51" s="8"/>
      <c r="T51" s="7"/>
      <c r="U51" s="7"/>
      <c r="V51" s="8"/>
      <c r="W51" s="7"/>
      <c r="X51" s="7"/>
      <c r="Y51" s="7"/>
      <c r="Z51" s="11"/>
      <c r="AA51" s="12" t="n">
        <v>67</v>
      </c>
      <c r="AB51" s="12" t="n">
        <v>40</v>
      </c>
      <c r="AC51" s="13" t="s">
        <v>72</v>
      </c>
      <c r="AD51" s="14"/>
      <c r="AE51" s="14"/>
    </row>
    <row r="52" customFormat="false" ht="11.1" hidden="false" customHeight="true" outlineLevel="0" collapsed="false">
      <c r="B52" s="43"/>
      <c r="C52" s="8"/>
      <c r="D52" s="8"/>
      <c r="E52" s="8"/>
      <c r="F52" s="43"/>
      <c r="G52" s="43"/>
      <c r="H52" s="9"/>
      <c r="I52" s="43"/>
      <c r="J52" s="43"/>
      <c r="K52" s="43"/>
      <c r="L52" s="43"/>
      <c r="M52" s="33"/>
      <c r="N52" s="33"/>
      <c r="O52" s="33"/>
      <c r="P52" s="43"/>
      <c r="Q52" s="43"/>
      <c r="R52" s="43"/>
      <c r="S52" s="8"/>
      <c r="T52" s="43"/>
      <c r="U52" s="43"/>
      <c r="V52" s="8"/>
      <c r="W52" s="43"/>
      <c r="X52" s="43"/>
      <c r="Y52" s="43"/>
      <c r="Z52" s="11"/>
      <c r="AA52" s="12" t="n">
        <v>36</v>
      </c>
      <c r="AB52" s="12" t="n">
        <v>22</v>
      </c>
      <c r="AC52" s="13" t="s">
        <v>73</v>
      </c>
      <c r="AD52" s="47"/>
      <c r="AE52" s="47"/>
    </row>
    <row r="53" customFormat="false" ht="11.1" hidden="false" customHeight="true" outlineLevel="0" collapsed="false">
      <c r="A53" s="43"/>
      <c r="B53" s="11" t="n">
        <f aca="false">B51-B19</f>
        <v>1.67000000000007</v>
      </c>
      <c r="C53" s="8"/>
      <c r="D53" s="8" t="n">
        <f aca="false">C51-C19</f>
        <v>7086</v>
      </c>
      <c r="E53" s="8"/>
      <c r="F53" s="43"/>
      <c r="G53" s="43"/>
      <c r="H53" s="9"/>
      <c r="I53" s="43"/>
      <c r="J53" s="43"/>
      <c r="K53" s="43"/>
      <c r="L53" s="43"/>
      <c r="M53" s="33"/>
      <c r="N53" s="33"/>
      <c r="O53" s="33"/>
      <c r="P53" s="43"/>
      <c r="Q53" s="43"/>
      <c r="R53" s="43"/>
      <c r="S53" s="8"/>
      <c r="T53" s="43"/>
      <c r="U53" s="43"/>
      <c r="V53" s="8"/>
      <c r="W53" s="43"/>
      <c r="X53" s="43"/>
      <c r="Z53" s="106" t="n">
        <v>35156</v>
      </c>
      <c r="AA53" s="12" t="n">
        <v>60</v>
      </c>
      <c r="AB53" s="12" t="n">
        <v>32</v>
      </c>
      <c r="AC53" s="13" t="s">
        <v>70</v>
      </c>
      <c r="AD53" s="47"/>
      <c r="AE53" s="47"/>
    </row>
    <row r="54" customFormat="false" ht="11.1" hidden="false" customHeight="true" outlineLevel="0" collapsed="false">
      <c r="A54" s="43"/>
      <c r="B54" s="43"/>
      <c r="C54" s="8"/>
      <c r="D54" s="43"/>
      <c r="E54" s="8"/>
      <c r="F54" s="43"/>
      <c r="G54" s="48"/>
      <c r="H54" s="9"/>
      <c r="I54" s="43"/>
      <c r="J54" s="43"/>
      <c r="K54" s="43"/>
      <c r="L54" s="43"/>
      <c r="M54" s="33"/>
      <c r="N54" s="33"/>
      <c r="O54" s="33"/>
      <c r="P54" s="43"/>
      <c r="Q54" s="43"/>
      <c r="R54" s="43"/>
      <c r="S54" s="8"/>
      <c r="T54" s="43"/>
      <c r="U54" s="43"/>
      <c r="V54" s="8"/>
      <c r="W54" s="43"/>
      <c r="X54" s="43"/>
      <c r="Y54" s="43"/>
      <c r="Z54" s="11"/>
      <c r="AA54" s="12" t="n">
        <v>76</v>
      </c>
      <c r="AB54" s="12" t="n">
        <v>42</v>
      </c>
      <c r="AC54" s="13" t="s">
        <v>72</v>
      </c>
      <c r="AD54" s="47"/>
      <c r="AE54" s="47"/>
    </row>
    <row r="55" customFormat="false" ht="11.1" hidden="false" customHeight="true" outlineLevel="0" collapsed="false">
      <c r="AA55" s="5" t="n">
        <v>41</v>
      </c>
      <c r="AB55" s="5" t="n">
        <v>21</v>
      </c>
      <c r="AC55" s="13" t="s">
        <v>73</v>
      </c>
    </row>
  </sheetData>
  <mergeCells count="2">
    <mergeCell ref="K2:V2"/>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55"/>
  <sheetViews>
    <sheetView showFormulas="false" showGridLines="true" showRowColHeaders="true" showZeros="true" rightToLeft="false" tabSelected="false" showOutlineSymbols="true" defaultGridColor="true" view="normal" topLeftCell="N2" colorId="64" zoomScale="100" zoomScaleNormal="100" zoomScalePageLayoutView="100" workbookViewId="0">
      <selection pane="topLeft" activeCell="U41" activeCellId="0" sqref="U41"/>
    </sheetView>
  </sheetViews>
  <sheetFormatPr defaultColWidth="9.328125" defaultRowHeight="11.1" zeroHeight="false" outlineLevelRow="0" outlineLevelCol="0"/>
  <cols>
    <col collapsed="false" customWidth="true" hidden="false" outlineLevel="0" max="1" min="1" style="49" width="5.66"/>
    <col collapsed="false" customWidth="false" hidden="false" outlineLevel="0" max="2" min="2" style="49" width="9.32"/>
    <col collapsed="false" customWidth="true" hidden="false" outlineLevel="0" max="3" min="3" style="50" width="7.66"/>
    <col collapsed="false" customWidth="true" hidden="false" outlineLevel="0" max="4" min="4" style="49" width="6.82"/>
    <col collapsed="false" customWidth="true" hidden="false" outlineLevel="0" max="5" min="5" style="50" width="7.66"/>
    <col collapsed="false" customWidth="true" hidden="false" outlineLevel="0" max="7" min="6" style="49" width="7.66"/>
    <col collapsed="false" customWidth="true" hidden="false" outlineLevel="0" max="8" min="8" style="51" width="7.16"/>
    <col collapsed="false" customWidth="true" hidden="false" outlineLevel="0" max="9" min="9" style="49" width="8.82"/>
    <col collapsed="false" customWidth="true" hidden="false" outlineLevel="0" max="11" min="10" style="49" width="7.66"/>
    <col collapsed="false" customWidth="true" hidden="false" outlineLevel="0" max="12" min="12" style="49" width="6.49"/>
    <col collapsed="false" customWidth="true" hidden="false" outlineLevel="0" max="15" min="13" style="52" width="7.49"/>
    <col collapsed="false" customWidth="true" hidden="false" outlineLevel="0" max="16" min="16" style="49" width="7.66"/>
    <col collapsed="false" customWidth="true" hidden="false" outlineLevel="0" max="17" min="17" style="49" width="7.16"/>
    <col collapsed="false" customWidth="true" hidden="false" outlineLevel="0" max="18" min="18" style="49" width="6.66"/>
    <col collapsed="false" customWidth="true" hidden="false" outlineLevel="0" max="19" min="19" style="50" width="6.66"/>
    <col collapsed="false" customWidth="true" hidden="false" outlineLevel="0" max="20" min="20" style="49" width="5.82"/>
    <col collapsed="false" customWidth="true" hidden="false" outlineLevel="0" max="21" min="21" style="49" width="7.49"/>
    <col collapsed="false" customWidth="true" hidden="false" outlineLevel="0" max="22" min="22" style="50" width="6.32"/>
    <col collapsed="false" customWidth="true" hidden="false" outlineLevel="0" max="25" min="23" style="49" width="7.82"/>
    <col collapsed="false" customWidth="true" hidden="false" outlineLevel="0" max="26" min="26" style="53" width="5.66"/>
    <col collapsed="false" customWidth="true" hidden="false" outlineLevel="0" max="28" min="27" style="54" width="5.66"/>
    <col collapsed="false" customWidth="true" hidden="false" outlineLevel="0" max="29" min="29" style="55" width="5.66"/>
    <col collapsed="false" customWidth="false" hidden="false" outlineLevel="0" max="257" min="30" style="49" width="9.32"/>
  </cols>
  <sheetData>
    <row r="1" customFormat="false" ht="14.1" hidden="false" customHeight="true" outlineLevel="0" collapsed="false">
      <c r="A1" s="56"/>
      <c r="B1" s="56"/>
      <c r="C1" s="57"/>
      <c r="D1" s="56"/>
      <c r="E1" s="57"/>
      <c r="F1" s="56"/>
      <c r="G1" s="56"/>
      <c r="H1" s="58"/>
      <c r="I1" s="56"/>
      <c r="J1" s="56"/>
      <c r="K1" s="59" t="s">
        <v>0</v>
      </c>
      <c r="L1" s="56"/>
      <c r="M1" s="56"/>
      <c r="N1" s="56"/>
      <c r="O1" s="56"/>
      <c r="P1" s="56"/>
      <c r="Q1" s="56"/>
      <c r="R1" s="56"/>
      <c r="S1" s="57"/>
      <c r="T1" s="56"/>
      <c r="U1" s="56"/>
      <c r="V1" s="57"/>
      <c r="W1" s="56"/>
      <c r="X1" s="56"/>
      <c r="Y1" s="56"/>
      <c r="Z1" s="60"/>
      <c r="AA1" s="61"/>
      <c r="AB1" s="61"/>
      <c r="AC1" s="62"/>
      <c r="AD1" s="63"/>
      <c r="AE1" s="63"/>
    </row>
    <row r="2" customFormat="false" ht="14.1" hidden="false" customHeight="true" outlineLevel="0" collapsed="false">
      <c r="A2" s="56" t="s">
        <v>1</v>
      </c>
      <c r="B2" s="56"/>
      <c r="C2" s="57"/>
      <c r="D2" s="64" t="n">
        <v>1.9835</v>
      </c>
      <c r="E2" s="57"/>
      <c r="F2" s="56"/>
      <c r="G2" s="56"/>
      <c r="H2" s="58"/>
      <c r="I2" s="56"/>
      <c r="J2" s="56"/>
      <c r="K2" s="65" t="s">
        <v>74</v>
      </c>
      <c r="L2" s="65"/>
      <c r="M2" s="65"/>
      <c r="N2" s="65"/>
      <c r="O2" s="65"/>
      <c r="P2" s="65"/>
      <c r="Q2" s="65"/>
      <c r="R2" s="65"/>
      <c r="S2" s="65"/>
      <c r="T2" s="65"/>
      <c r="U2" s="56"/>
      <c r="V2" s="57"/>
      <c r="W2" s="56"/>
      <c r="X2" s="56"/>
      <c r="Y2" s="56"/>
      <c r="Z2" s="60"/>
      <c r="AA2" s="61"/>
      <c r="AB2" s="61"/>
      <c r="AC2" s="62"/>
      <c r="AD2" s="63"/>
      <c r="AE2" s="63"/>
    </row>
    <row r="3" customFormat="false" ht="11.1" hidden="false" customHeight="true" outlineLevel="0" collapsed="false">
      <c r="A3" s="56"/>
      <c r="B3" s="56"/>
      <c r="C3" s="57"/>
      <c r="D3" s="66"/>
      <c r="E3" s="57"/>
      <c r="F3" s="56"/>
      <c r="G3" s="56"/>
      <c r="H3" s="58"/>
      <c r="I3" s="56"/>
      <c r="J3" s="56"/>
      <c r="K3" s="56"/>
      <c r="L3" s="56"/>
      <c r="M3" s="56"/>
      <c r="N3" s="56"/>
      <c r="O3" s="56"/>
      <c r="P3" s="56"/>
      <c r="Q3" s="56"/>
      <c r="R3" s="56"/>
      <c r="S3" s="57"/>
      <c r="T3" s="56"/>
      <c r="U3" s="56"/>
      <c r="V3" s="57"/>
      <c r="W3" s="56"/>
      <c r="X3" s="56"/>
      <c r="Y3" s="56"/>
      <c r="Z3" s="60"/>
      <c r="AA3" s="61"/>
      <c r="AB3" s="61"/>
      <c r="AC3" s="62"/>
      <c r="AD3" s="63"/>
      <c r="AE3" s="63"/>
    </row>
    <row r="4" customFormat="false" ht="11.1" hidden="false" customHeight="true" outlineLevel="0" collapsed="false">
      <c r="A4" s="67" t="s">
        <v>3</v>
      </c>
      <c r="B4" s="67" t="s">
        <v>4</v>
      </c>
      <c r="C4" s="68" t="s">
        <v>4</v>
      </c>
      <c r="D4" s="67" t="s">
        <v>5</v>
      </c>
      <c r="E4" s="68" t="s">
        <v>6</v>
      </c>
      <c r="F4" s="67" t="s">
        <v>7</v>
      </c>
      <c r="G4" s="67" t="s">
        <v>8</v>
      </c>
      <c r="H4" s="69" t="s">
        <v>9</v>
      </c>
      <c r="I4" s="67" t="s">
        <v>10</v>
      </c>
      <c r="J4" s="67" t="s">
        <v>11</v>
      </c>
      <c r="K4" s="67" t="s">
        <v>12</v>
      </c>
      <c r="L4" s="67" t="s">
        <v>11</v>
      </c>
      <c r="M4" s="67" t="s">
        <v>13</v>
      </c>
      <c r="N4" s="67"/>
      <c r="O4" s="67"/>
      <c r="P4" s="67" t="s">
        <v>14</v>
      </c>
      <c r="Q4" s="67" t="s">
        <v>15</v>
      </c>
      <c r="R4" s="67" t="s">
        <v>12</v>
      </c>
      <c r="S4" s="68" t="s">
        <v>16</v>
      </c>
      <c r="T4" s="67" t="s">
        <v>17</v>
      </c>
      <c r="U4" s="67" t="s">
        <v>18</v>
      </c>
      <c r="V4" s="68" t="s">
        <v>19</v>
      </c>
      <c r="W4" s="67" t="s">
        <v>10</v>
      </c>
      <c r="X4" s="67" t="s">
        <v>11</v>
      </c>
      <c r="Y4" s="67" t="s">
        <v>12</v>
      </c>
      <c r="Z4" s="70" t="s">
        <v>20</v>
      </c>
      <c r="AA4" s="71" t="s">
        <v>21</v>
      </c>
      <c r="AB4" s="71" t="s">
        <v>22</v>
      </c>
      <c r="AC4" s="71" t="s">
        <v>3</v>
      </c>
      <c r="AD4" s="63"/>
      <c r="AE4" s="63"/>
    </row>
    <row r="5" customFormat="false" ht="11.1" hidden="false" customHeight="true" outlineLevel="0" collapsed="false">
      <c r="A5" s="72" t="s">
        <v>75</v>
      </c>
      <c r="B5" s="67" t="s">
        <v>24</v>
      </c>
      <c r="C5" s="68" t="s">
        <v>5</v>
      </c>
      <c r="D5" s="67" t="s">
        <v>25</v>
      </c>
      <c r="E5" s="68" t="s">
        <v>26</v>
      </c>
      <c r="F5" s="67" t="s">
        <v>27</v>
      </c>
      <c r="G5" s="67" t="s">
        <v>28</v>
      </c>
      <c r="H5" s="69" t="s">
        <v>29</v>
      </c>
      <c r="I5" s="67" t="s">
        <v>30</v>
      </c>
      <c r="J5" s="67" t="s">
        <v>30</v>
      </c>
      <c r="K5" s="67" t="s">
        <v>30</v>
      </c>
      <c r="L5" s="67" t="s">
        <v>31</v>
      </c>
      <c r="M5" s="67" t="s">
        <v>32</v>
      </c>
      <c r="N5" s="67" t="s">
        <v>33</v>
      </c>
      <c r="O5" s="67" t="s">
        <v>55</v>
      </c>
      <c r="P5" s="67" t="s">
        <v>35</v>
      </c>
      <c r="Q5" s="67" t="s">
        <v>36</v>
      </c>
      <c r="R5" s="67" t="s">
        <v>16</v>
      </c>
      <c r="S5" s="68" t="s">
        <v>37</v>
      </c>
      <c r="T5" s="67" t="s">
        <v>38</v>
      </c>
      <c r="U5" s="67" t="s">
        <v>39</v>
      </c>
      <c r="V5" s="68" t="s">
        <v>40</v>
      </c>
      <c r="W5" s="67" t="s">
        <v>41</v>
      </c>
      <c r="X5" s="67" t="s">
        <v>41</v>
      </c>
      <c r="Y5" s="67" t="s">
        <v>41</v>
      </c>
      <c r="Z5" s="73"/>
      <c r="AA5" s="71" t="s">
        <v>42</v>
      </c>
      <c r="AB5" s="71" t="s">
        <v>42</v>
      </c>
      <c r="AC5" s="74" t="s">
        <v>75</v>
      </c>
      <c r="AD5" s="63"/>
      <c r="AE5" s="63"/>
    </row>
    <row r="6" customFormat="false" ht="11.1" hidden="false" customHeight="true" outlineLevel="0" collapsed="false">
      <c r="A6" s="75"/>
      <c r="B6" s="75"/>
      <c r="C6" s="76"/>
      <c r="D6" s="75"/>
      <c r="E6" s="76"/>
      <c r="F6" s="75"/>
      <c r="G6" s="75"/>
      <c r="H6" s="77"/>
      <c r="I6" s="75"/>
      <c r="J6" s="75"/>
      <c r="K6" s="75"/>
      <c r="L6" s="75"/>
      <c r="M6" s="75"/>
      <c r="N6" s="75"/>
      <c r="O6" s="75"/>
      <c r="P6" s="75"/>
      <c r="Q6" s="75"/>
      <c r="R6" s="75"/>
      <c r="S6" s="76"/>
      <c r="T6" s="75"/>
      <c r="U6" s="75"/>
      <c r="V6" s="107"/>
      <c r="W6" s="75"/>
      <c r="X6" s="75"/>
      <c r="Y6" s="75"/>
      <c r="Z6" s="60"/>
      <c r="AA6" s="62"/>
      <c r="AB6" s="62"/>
      <c r="AC6" s="62"/>
      <c r="AD6" s="78"/>
      <c r="AE6" s="78"/>
      <c r="AF6" s="79"/>
    </row>
    <row r="7" customFormat="false" ht="11.1" hidden="false" customHeight="true" outlineLevel="0" collapsed="false">
      <c r="A7" s="56" t="s">
        <v>43</v>
      </c>
      <c r="B7" s="56"/>
      <c r="C7" s="57"/>
      <c r="D7" s="57"/>
      <c r="E7" s="57"/>
      <c r="F7" s="57" t="n">
        <f aca="false" t="array" ref="F7:Y7">APR!$F$44:$Y$44</f>
        <v>19343.584572725</v>
      </c>
      <c r="G7" s="57" t="n">
        <v>27930</v>
      </c>
      <c r="H7" s="61" t="n">
        <v>4691</v>
      </c>
      <c r="I7" s="57" t="n">
        <v>32621</v>
      </c>
      <c r="J7" s="57" t="n">
        <v>15725.084572725</v>
      </c>
      <c r="K7" s="57" t="n">
        <v>48346.084572725</v>
      </c>
      <c r="L7" s="57" t="n">
        <v>15725.084572725</v>
      </c>
      <c r="M7" s="57" t="n">
        <v>996.6</v>
      </c>
      <c r="N7" s="57" t="n">
        <v>467.439</v>
      </c>
      <c r="O7" s="57" t="n">
        <v>529.161</v>
      </c>
      <c r="P7" s="57" t="n">
        <v>0</v>
      </c>
      <c r="Q7" s="57" t="n">
        <v>0</v>
      </c>
      <c r="R7" s="57" t="n">
        <v>529.161</v>
      </c>
      <c r="S7" s="57" t="n">
        <v>0</v>
      </c>
      <c r="T7" s="57" t="n">
        <v>216</v>
      </c>
      <c r="U7" s="57" t="n">
        <v>27789.9</v>
      </c>
      <c r="V7" s="57" t="n">
        <v>0</v>
      </c>
      <c r="W7" s="57" t="n">
        <v>29002.5</v>
      </c>
      <c r="X7" s="57" t="n">
        <v>0</v>
      </c>
      <c r="Y7" s="57" t="n">
        <v>29002.5</v>
      </c>
      <c r="Z7" s="60"/>
      <c r="AA7" s="61"/>
      <c r="AB7" s="61"/>
      <c r="AC7" s="62"/>
      <c r="AD7" s="78"/>
      <c r="AE7" s="79"/>
      <c r="AF7" s="79"/>
    </row>
    <row r="8" s="50" customFormat="true" ht="11.1" hidden="false" customHeight="true" outlineLevel="0" collapsed="false">
      <c r="A8" s="57" t="s">
        <v>44</v>
      </c>
      <c r="B8" s="80" t="n">
        <f aca="false" t="array" ref="B8:C8">APR!$B$39:$C$39</f>
        <v>6919.97</v>
      </c>
      <c r="C8" s="57" t="n">
        <v>363444</v>
      </c>
      <c r="D8" s="57" t="n">
        <f aca="false" t="array" ref="D8:E8">APR!$D$48:$E$48</f>
        <v>117965</v>
      </c>
      <c r="E8" s="57" t="n">
        <v>211444</v>
      </c>
      <c r="F8" s="57" t="n">
        <f aca="false" t="array" ref="F8:U8">APR!$F$47:$U$47</f>
        <v>59473.1535165112</v>
      </c>
      <c r="G8" s="57" t="n">
        <v>55114.79</v>
      </c>
      <c r="H8" s="61" t="n">
        <v>8250.7</v>
      </c>
      <c r="I8" s="57" t="n">
        <v>63164.59</v>
      </c>
      <c r="J8" s="57" t="n">
        <v>32473.7007108646</v>
      </c>
      <c r="K8" s="57" t="n">
        <v>95638.2907108646</v>
      </c>
      <c r="L8" s="57" t="n">
        <v>31896.6335165112</v>
      </c>
      <c r="M8" s="57" t="n">
        <v>1998.85</v>
      </c>
      <c r="N8" s="57" t="n">
        <v>514.458</v>
      </c>
      <c r="O8" s="57" t="n">
        <v>1215.312</v>
      </c>
      <c r="P8" s="57" t="n">
        <v>107.52</v>
      </c>
      <c r="Q8" s="57" t="n">
        <v>198.8</v>
      </c>
      <c r="R8" s="57" t="n">
        <v>1728.649</v>
      </c>
      <c r="S8" s="57" t="n">
        <v>0</v>
      </c>
      <c r="T8" s="57" t="n">
        <v>216</v>
      </c>
      <c r="U8" s="57" t="n">
        <v>33066.9</v>
      </c>
      <c r="V8" s="57" t="str">
        <f aca="false">APR!$V$47</f>
        <v> </v>
      </c>
      <c r="W8" s="57" t="n">
        <f aca="false" t="array" ref="W8:Z8">APR!$W$47:$Z$47</f>
        <v>35588.07</v>
      </c>
      <c r="X8" s="57" t="n">
        <v>577.067194353416</v>
      </c>
      <c r="Y8" s="57" t="n">
        <v>36165.1371943534</v>
      </c>
      <c r="Z8" s="81" t="n">
        <v>10.9</v>
      </c>
      <c r="AA8" s="61"/>
      <c r="AB8" s="61"/>
      <c r="AC8" s="62"/>
      <c r="AD8" s="82"/>
      <c r="AE8" s="78"/>
      <c r="AF8" s="82"/>
    </row>
    <row r="9" customFormat="false" ht="3" hidden="false" customHeight="true" outlineLevel="0" collapsed="false">
      <c r="A9" s="83"/>
      <c r="B9" s="84"/>
      <c r="C9" s="85"/>
      <c r="D9" s="83"/>
      <c r="E9" s="85"/>
      <c r="F9" s="83"/>
      <c r="G9" s="83"/>
      <c r="H9" s="86"/>
      <c r="I9" s="83"/>
      <c r="J9" s="83"/>
      <c r="K9" s="83"/>
      <c r="L9" s="83"/>
      <c r="M9" s="83"/>
      <c r="N9" s="83"/>
      <c r="O9" s="83"/>
      <c r="P9" s="83"/>
      <c r="Q9" s="83"/>
      <c r="R9" s="83"/>
      <c r="S9" s="85"/>
      <c r="T9" s="83"/>
      <c r="U9" s="83"/>
      <c r="V9" s="85"/>
      <c r="W9" s="83"/>
      <c r="X9" s="83"/>
      <c r="Y9" s="83"/>
      <c r="Z9" s="87"/>
      <c r="AA9" s="88"/>
      <c r="AB9" s="88"/>
      <c r="AC9" s="89"/>
      <c r="AD9" s="78"/>
      <c r="AE9" s="78"/>
      <c r="AF9" s="79"/>
    </row>
    <row r="10" customFormat="false" ht="11.1" hidden="false" customHeight="true" outlineLevel="0" collapsed="false">
      <c r="A10" s="62" t="n">
        <v>1</v>
      </c>
      <c r="B10" s="80" t="n">
        <v>6919.57</v>
      </c>
      <c r="C10" s="57" t="n">
        <v>361721</v>
      </c>
      <c r="D10" s="61" t="n">
        <f aca="false">C10-C8</f>
        <v>-1723</v>
      </c>
      <c r="E10" s="57" t="n">
        <f aca="false">C10-152000</f>
        <v>209721</v>
      </c>
      <c r="F10" s="56" t="n">
        <f aca="false">D10/$D$2</f>
        <v>-868.666498613562</v>
      </c>
      <c r="G10" s="56" t="n">
        <v>1390</v>
      </c>
      <c r="H10" s="58" t="n">
        <v>227</v>
      </c>
      <c r="I10" s="56" t="n">
        <f aca="false">G10+H10</f>
        <v>1617</v>
      </c>
      <c r="J10" s="81" t="n">
        <f aca="false">IF(L10&gt;0,L10)</f>
        <v>346.333501386438</v>
      </c>
      <c r="K10" s="56" t="n">
        <f aca="false">I10+J10</f>
        <v>1963.33350138644</v>
      </c>
      <c r="L10" s="56" t="n">
        <f aca="false">F10-(I10-W10)</f>
        <v>346.333501386438</v>
      </c>
      <c r="M10" s="56" t="n">
        <v>122</v>
      </c>
      <c r="N10" s="56" t="n">
        <f aca="false">(27.96+28.89)*1.05</f>
        <v>59.6925</v>
      </c>
      <c r="O10" s="56" t="n">
        <f aca="false">M10-N10</f>
        <v>62.3075</v>
      </c>
      <c r="P10" s="56" t="n">
        <v>0</v>
      </c>
      <c r="Q10" s="56" t="n">
        <v>0</v>
      </c>
      <c r="R10" s="56" t="n">
        <f aca="false">SUM(O10:Q10)</f>
        <v>62.3075</v>
      </c>
      <c r="S10" s="57"/>
      <c r="T10" s="56" t="n">
        <v>0</v>
      </c>
      <c r="U10" s="56" t="n">
        <v>2710</v>
      </c>
      <c r="V10" s="57" t="str">
        <f aca="false">APR!$V$47</f>
        <v> </v>
      </c>
      <c r="W10" s="56" t="n">
        <f aca="false">R10+T10+N10+U10</f>
        <v>2832</v>
      </c>
      <c r="X10" s="56" t="n">
        <f aca="false">IF(L10&lt;0,L10*-1,0)</f>
        <v>0</v>
      </c>
      <c r="Y10" s="56" t="n">
        <f aca="false">W10+X10</f>
        <v>2832</v>
      </c>
      <c r="Z10" s="60" t="n">
        <v>0</v>
      </c>
      <c r="AA10" s="61" t="n">
        <v>56</v>
      </c>
      <c r="AB10" s="61" t="n">
        <v>31</v>
      </c>
      <c r="AC10" s="62" t="n">
        <v>1</v>
      </c>
      <c r="AD10" s="79"/>
      <c r="AE10" s="82"/>
      <c r="AF10" s="79"/>
    </row>
    <row r="11" customFormat="false" ht="11.1" hidden="false" customHeight="true" outlineLevel="0" collapsed="false">
      <c r="A11" s="62" t="n">
        <f aca="false">A10+1</f>
        <v>2</v>
      </c>
      <c r="B11" s="80" t="n">
        <v>6919</v>
      </c>
      <c r="C11" s="57" t="n">
        <v>359267</v>
      </c>
      <c r="D11" s="61" t="n">
        <f aca="false">C11-C10</f>
        <v>-2454</v>
      </c>
      <c r="E11" s="57" t="n">
        <f aca="false">C11-152000</f>
        <v>207267</v>
      </c>
      <c r="F11" s="56" t="n">
        <f aca="false">D11/$D$2</f>
        <v>-1237.20695739854</v>
      </c>
      <c r="G11" s="56" t="n">
        <v>1220</v>
      </c>
      <c r="H11" s="58" t="n">
        <v>166</v>
      </c>
      <c r="I11" s="56" t="n">
        <f aca="false">G11+H11</f>
        <v>1386</v>
      </c>
      <c r="J11" s="81" t="n">
        <f aca="false">IF(L11&gt;0,L11,0)</f>
        <v>218.793042601462</v>
      </c>
      <c r="K11" s="56" t="n">
        <f aca="false">I11+J11</f>
        <v>1604.79304260146</v>
      </c>
      <c r="L11" s="56" t="n">
        <f aca="false">F11-(I11-W11)</f>
        <v>218.793042601462</v>
      </c>
      <c r="M11" s="56" t="n">
        <v>142</v>
      </c>
      <c r="N11" s="56" t="n">
        <f aca="false">(35.35+34.17)*1.05</f>
        <v>72.996</v>
      </c>
      <c r="O11" s="56" t="n">
        <f aca="false">M11-N11</f>
        <v>69.004</v>
      </c>
      <c r="P11" s="56" t="n">
        <v>0</v>
      </c>
      <c r="Q11" s="56" t="n">
        <v>0</v>
      </c>
      <c r="R11" s="56" t="n">
        <f aca="false">SUM(O11:Q11)</f>
        <v>69.004</v>
      </c>
      <c r="S11" s="57"/>
      <c r="T11" s="56" t="n">
        <v>0</v>
      </c>
      <c r="U11" s="56" t="n">
        <v>2700</v>
      </c>
      <c r="V11" s="57" t="str">
        <f aca="false">APR!$V$47</f>
        <v> </v>
      </c>
      <c r="W11" s="56" t="n">
        <f aca="false">R11+T11+N11+U11</f>
        <v>2842</v>
      </c>
      <c r="X11" s="56" t="n">
        <f aca="false">IF(L11&lt;0,L11*-1,0)</f>
        <v>0</v>
      </c>
      <c r="Y11" s="56" t="n">
        <f aca="false">W11+X11</f>
        <v>2842</v>
      </c>
      <c r="Z11" s="60" t="n">
        <v>0</v>
      </c>
      <c r="AA11" s="61" t="n">
        <v>55</v>
      </c>
      <c r="AB11" s="61" t="n">
        <v>20</v>
      </c>
      <c r="AC11" s="62" t="n">
        <f aca="false">AC10+1</f>
        <v>2</v>
      </c>
      <c r="AD11" s="79"/>
      <c r="AE11" s="82"/>
      <c r="AF11" s="79"/>
    </row>
    <row r="12" customFormat="false" ht="11.1" hidden="false" customHeight="true" outlineLevel="0" collapsed="false">
      <c r="A12" s="62" t="n">
        <f aca="false">A11+1</f>
        <v>3</v>
      </c>
      <c r="B12" s="80" t="n">
        <v>6918.54</v>
      </c>
      <c r="C12" s="57" t="n">
        <v>357301</v>
      </c>
      <c r="D12" s="61" t="n">
        <f aca="false">C12-C11</f>
        <v>-1966</v>
      </c>
      <c r="E12" s="57" t="n">
        <f aca="false">C12-152000</f>
        <v>205301</v>
      </c>
      <c r="F12" s="56" t="n">
        <f aca="false">D12/$D$2</f>
        <v>-991.177211998992</v>
      </c>
      <c r="G12" s="56" t="n">
        <v>1240</v>
      </c>
      <c r="H12" s="58" t="n">
        <v>134</v>
      </c>
      <c r="I12" s="56" t="n">
        <f aca="false">G12+H12</f>
        <v>1374</v>
      </c>
      <c r="J12" s="81" t="n">
        <f aca="false">IF(L12&gt;0,L12,0)</f>
        <v>498.822788001008</v>
      </c>
      <c r="K12" s="56" t="n">
        <f aca="false">I12+J12</f>
        <v>1872.82278800101</v>
      </c>
      <c r="L12" s="56" t="n">
        <f aca="false">F12-(I12-W12)</f>
        <v>498.822788001008</v>
      </c>
      <c r="M12" s="56" t="n">
        <v>164</v>
      </c>
      <c r="N12" s="56" t="n">
        <f aca="false">(36.46+36.94)*1.05</f>
        <v>77.07</v>
      </c>
      <c r="O12" s="56" t="n">
        <f aca="false">M12-N12</f>
        <v>86.93</v>
      </c>
      <c r="P12" s="56" t="n">
        <v>0</v>
      </c>
      <c r="Q12" s="56" t="n">
        <v>0</v>
      </c>
      <c r="R12" s="56" t="n">
        <f aca="false">SUM(O12:Q12)</f>
        <v>86.93</v>
      </c>
      <c r="S12" s="57"/>
      <c r="T12" s="56" t="n">
        <v>0</v>
      </c>
      <c r="U12" s="56" t="n">
        <v>2700</v>
      </c>
      <c r="V12" s="57" t="str">
        <f aca="false">APR!$V$47</f>
        <v> </v>
      </c>
      <c r="W12" s="56" t="n">
        <f aca="false">R12+T12+N12+U12</f>
        <v>2864</v>
      </c>
      <c r="X12" s="56" t="n">
        <f aca="false">IF(L12&lt;0,L12*-1,0)</f>
        <v>0</v>
      </c>
      <c r="Y12" s="56" t="n">
        <f aca="false">W12+X12</f>
        <v>2864</v>
      </c>
      <c r="Z12" s="60" t="n">
        <v>0</v>
      </c>
      <c r="AA12" s="61" t="n">
        <v>68</v>
      </c>
      <c r="AB12" s="61" t="n">
        <v>30</v>
      </c>
      <c r="AC12" s="62" t="n">
        <f aca="false">AC11+1</f>
        <v>3</v>
      </c>
      <c r="AD12" s="79"/>
      <c r="AE12" s="82"/>
      <c r="AF12" s="79"/>
    </row>
    <row r="13" customFormat="false" ht="11.1" hidden="false" customHeight="true" outlineLevel="0" collapsed="false">
      <c r="A13" s="62" t="n">
        <f aca="false">A12+1</f>
        <v>4</v>
      </c>
      <c r="B13" s="80" t="n">
        <v>6918.12</v>
      </c>
      <c r="C13" s="57" t="n">
        <v>355506</v>
      </c>
      <c r="D13" s="61" t="n">
        <f aca="false">C13-C12</f>
        <v>-1795</v>
      </c>
      <c r="E13" s="57" t="n">
        <f aca="false">C13-152000</f>
        <v>203506</v>
      </c>
      <c r="F13" s="56" t="n">
        <f aca="false">D13/$D$2</f>
        <v>-904.965969246282</v>
      </c>
      <c r="G13" s="56" t="n">
        <v>1550</v>
      </c>
      <c r="H13" s="58" t="n">
        <v>194</v>
      </c>
      <c r="I13" s="56" t="n">
        <f aca="false">G13+H13</f>
        <v>1744</v>
      </c>
      <c r="J13" s="81" t="n">
        <f aca="false">IF(L13&gt;0,L13,0)</f>
        <v>248.714030753718</v>
      </c>
      <c r="K13" s="56" t="n">
        <f aca="false">I13+J13</f>
        <v>1992.71403075372</v>
      </c>
      <c r="L13" s="56" t="n">
        <f aca="false">F13-(I13-W13)</f>
        <v>248.714030753718</v>
      </c>
      <c r="M13" s="56" t="n">
        <v>188</v>
      </c>
      <c r="N13" s="56" t="n">
        <f aca="false">(37.5+33.91)*1.05</f>
        <v>74.9805</v>
      </c>
      <c r="O13" s="56" t="n">
        <f aca="false">M13-N13</f>
        <v>113.0195</v>
      </c>
      <c r="P13" s="56" t="n">
        <v>0</v>
      </c>
      <c r="Q13" s="56" t="n">
        <v>0</v>
      </c>
      <c r="R13" s="56" t="n">
        <f aca="false">SUM(O13:Q13)</f>
        <v>113.0195</v>
      </c>
      <c r="S13" s="57"/>
      <c r="T13" s="56" t="n">
        <v>9.68</v>
      </c>
      <c r="U13" s="56" t="n">
        <v>2700</v>
      </c>
      <c r="V13" s="57" t="str">
        <f aca="false">APR!$V$47</f>
        <v> </v>
      </c>
      <c r="W13" s="56" t="n">
        <f aca="false">R13+T13+N13+U13</f>
        <v>2897.68</v>
      </c>
      <c r="X13" s="56" t="n">
        <f aca="false">IF(L13&lt;0,L13*-1,0)</f>
        <v>0</v>
      </c>
      <c r="Y13" s="56" t="n">
        <f aca="false">W13+X13</f>
        <v>2897.68</v>
      </c>
      <c r="Z13" s="60" t="n">
        <v>0</v>
      </c>
      <c r="AA13" s="61" t="n">
        <v>74</v>
      </c>
      <c r="AB13" s="61" t="n">
        <v>42</v>
      </c>
      <c r="AC13" s="62" t="n">
        <f aca="false">AC12+1</f>
        <v>4</v>
      </c>
      <c r="AD13" s="79"/>
      <c r="AE13" s="82"/>
      <c r="AF13" s="79"/>
    </row>
    <row r="14" customFormat="false" ht="11.1" hidden="false" customHeight="true" outlineLevel="0" collapsed="false">
      <c r="A14" s="62" t="n">
        <f aca="false">A13+1</f>
        <v>5</v>
      </c>
      <c r="B14" s="80" t="n">
        <v>6917.97</v>
      </c>
      <c r="C14" s="57" t="n">
        <v>354867</v>
      </c>
      <c r="D14" s="61" t="n">
        <f aca="false">C14-C13</f>
        <v>-639</v>
      </c>
      <c r="E14" s="57" t="n">
        <f aca="false">C14-152000</f>
        <v>202867</v>
      </c>
      <c r="F14" s="56" t="n">
        <f aca="false">D14/$D$2</f>
        <v>-322.157801865389</v>
      </c>
      <c r="G14" s="56" t="n">
        <v>1960</v>
      </c>
      <c r="H14" s="58" t="n">
        <v>231</v>
      </c>
      <c r="I14" s="56" t="n">
        <f aca="false">G14+H14</f>
        <v>2191</v>
      </c>
      <c r="J14" s="81" t="n">
        <f aca="false">IF(L14&gt;0,L14,0)</f>
        <v>402.842198134611</v>
      </c>
      <c r="K14" s="56" t="n">
        <f aca="false">I14+J14</f>
        <v>2593.84219813461</v>
      </c>
      <c r="L14" s="56" t="n">
        <f aca="false">F14-(I14-W14)</f>
        <v>402.842198134611</v>
      </c>
      <c r="M14" s="56" t="n">
        <v>202</v>
      </c>
      <c r="N14" s="56" t="n">
        <f aca="false">(36.4+35.49)*1.05</f>
        <v>75.4845</v>
      </c>
      <c r="O14" s="56" t="n">
        <f aca="false">M14-N14</f>
        <v>126.5155</v>
      </c>
      <c r="P14" s="56" t="n">
        <v>0</v>
      </c>
      <c r="Q14" s="56" t="n">
        <v>0</v>
      </c>
      <c r="R14" s="56" t="n">
        <f aca="false">SUM(O14:Q14)</f>
        <v>126.5155</v>
      </c>
      <c r="S14" s="57"/>
      <c r="T14" s="56" t="n">
        <v>14</v>
      </c>
      <c r="U14" s="56" t="n">
        <v>2700</v>
      </c>
      <c r="V14" s="57" t="str">
        <f aca="false">APR!$V$47</f>
        <v> </v>
      </c>
      <c r="W14" s="56" t="n">
        <f aca="false">R14+T14+N14+U14</f>
        <v>2916</v>
      </c>
      <c r="X14" s="56" t="n">
        <f aca="false">IF(L14&lt;0,L14*-1,0)</f>
        <v>0</v>
      </c>
      <c r="Y14" s="56" t="n">
        <f aca="false">W14+X14</f>
        <v>2916</v>
      </c>
      <c r="Z14" s="60" t="n">
        <v>0</v>
      </c>
      <c r="AA14" s="61" t="n">
        <v>77</v>
      </c>
      <c r="AB14" s="61" t="n">
        <v>41</v>
      </c>
      <c r="AC14" s="62" t="n">
        <f aca="false">AC13+1</f>
        <v>5</v>
      </c>
      <c r="AD14" s="79"/>
      <c r="AE14" s="82"/>
      <c r="AF14" s="79"/>
    </row>
    <row r="15" customFormat="false" ht="11.1" hidden="false" customHeight="true" outlineLevel="0" collapsed="false">
      <c r="A15" s="62" t="n">
        <f aca="false">A14+1</f>
        <v>6</v>
      </c>
      <c r="B15" s="80" t="n">
        <v>6918.07</v>
      </c>
      <c r="C15" s="57" t="n">
        <v>355293</v>
      </c>
      <c r="D15" s="61" t="n">
        <f aca="false">C15-C14</f>
        <v>426</v>
      </c>
      <c r="E15" s="57" t="n">
        <f aca="false">C15-152000</f>
        <v>203293</v>
      </c>
      <c r="F15" s="56" t="n">
        <f aca="false">D15/$D$2</f>
        <v>214.77186791026</v>
      </c>
      <c r="G15" s="56" t="n">
        <v>2460</v>
      </c>
      <c r="H15" s="58" t="n">
        <v>243</v>
      </c>
      <c r="I15" s="56" t="n">
        <f aca="false">G15+H15</f>
        <v>2703</v>
      </c>
      <c r="J15" s="81" t="n">
        <f aca="false">IF(L15&gt;0,L15,0)</f>
        <v>316.77186791026</v>
      </c>
      <c r="K15" s="56" t="n">
        <f aca="false">I15+J15</f>
        <v>3019.77186791026</v>
      </c>
      <c r="L15" s="56" t="n">
        <f aca="false">F15-(I15-W15)</f>
        <v>316.77186791026</v>
      </c>
      <c r="M15" s="56" t="n">
        <v>225</v>
      </c>
      <c r="N15" s="56" t="n">
        <f aca="false">(36.36+36.71)*1.05</f>
        <v>76.7235</v>
      </c>
      <c r="O15" s="56" t="n">
        <f aca="false">M15-N15</f>
        <v>148.2765</v>
      </c>
      <c r="P15" s="56" t="n">
        <v>0</v>
      </c>
      <c r="Q15" s="56" t="n">
        <v>0</v>
      </c>
      <c r="R15" s="56" t="n">
        <f aca="false">SUM(O15:Q15)</f>
        <v>148.2765</v>
      </c>
      <c r="S15" s="57"/>
      <c r="T15" s="56" t="n">
        <v>10</v>
      </c>
      <c r="U15" s="56" t="n">
        <v>2570</v>
      </c>
      <c r="V15" s="57" t="str">
        <f aca="false">APR!$V$47</f>
        <v> </v>
      </c>
      <c r="W15" s="56" t="n">
        <f aca="false">R15+T15+N15+U15</f>
        <v>2805</v>
      </c>
      <c r="X15" s="56" t="n">
        <f aca="false">IF(L15&lt;0,L15*-1,0)</f>
        <v>0</v>
      </c>
      <c r="Y15" s="56" t="n">
        <f aca="false">W15+X15</f>
        <v>2805</v>
      </c>
      <c r="Z15" s="60" t="n">
        <v>0</v>
      </c>
      <c r="AA15" s="61" t="n">
        <v>79</v>
      </c>
      <c r="AB15" s="61" t="n">
        <v>44</v>
      </c>
      <c r="AC15" s="62" t="n">
        <f aca="false">AC14+1</f>
        <v>6</v>
      </c>
      <c r="AD15" s="78"/>
      <c r="AE15" s="82"/>
      <c r="AF15" s="79"/>
    </row>
    <row r="16" customFormat="false" ht="11.1" hidden="false" customHeight="true" outlineLevel="0" collapsed="false">
      <c r="A16" s="62" t="n">
        <f aca="false">A15+1</f>
        <v>7</v>
      </c>
      <c r="B16" s="80" t="n">
        <v>6918.41</v>
      </c>
      <c r="C16" s="57" t="n">
        <v>356746</v>
      </c>
      <c r="D16" s="61" t="n">
        <f aca="false">C16-C15</f>
        <v>1453</v>
      </c>
      <c r="E16" s="57" t="n">
        <f aca="false">C16-152000</f>
        <v>204746</v>
      </c>
      <c r="F16" s="56" t="n">
        <f aca="false">D16/$D$2</f>
        <v>732.543483740862</v>
      </c>
      <c r="G16" s="56" t="n">
        <v>2790</v>
      </c>
      <c r="H16" s="58" t="n">
        <v>249</v>
      </c>
      <c r="I16" s="56" t="n">
        <f aca="false">G16+H16</f>
        <v>3039</v>
      </c>
      <c r="J16" s="81" t="n">
        <f aca="false">IF(L16&gt;0,L16,0)</f>
        <v>478.043483740862</v>
      </c>
      <c r="K16" s="56" t="n">
        <f aca="false">I16+J16</f>
        <v>3517.04348374086</v>
      </c>
      <c r="L16" s="56" t="n">
        <f aca="false">F16-(I16-W16)</f>
        <v>478.043483740862</v>
      </c>
      <c r="M16" s="56" t="n">
        <v>269</v>
      </c>
      <c r="N16" s="56" t="n">
        <f aca="false">(37.28+37.06)*1.05</f>
        <v>78.057</v>
      </c>
      <c r="O16" s="56" t="n">
        <f aca="false">M16-N16</f>
        <v>190.943</v>
      </c>
      <c r="P16" s="56" t="n">
        <v>0</v>
      </c>
      <c r="Q16" s="56" t="n">
        <v>3.5</v>
      </c>
      <c r="R16" s="56" t="n">
        <f aca="false">SUM(O16:Q16)</f>
        <v>194.443</v>
      </c>
      <c r="S16" s="57"/>
      <c r="T16" s="56" t="n">
        <v>12</v>
      </c>
      <c r="U16" s="56" t="n">
        <v>2500</v>
      </c>
      <c r="V16" s="57" t="str">
        <f aca="false">APR!$V$47</f>
        <v> </v>
      </c>
      <c r="W16" s="56" t="n">
        <f aca="false">R16+T16+N16+U16</f>
        <v>2784.5</v>
      </c>
      <c r="X16" s="56" t="n">
        <f aca="false">IF(L16&lt;0,L16*-1,0)</f>
        <v>0</v>
      </c>
      <c r="Y16" s="56" t="n">
        <f aca="false">W16+X16</f>
        <v>2784.5</v>
      </c>
      <c r="Z16" s="60" t="n">
        <v>0</v>
      </c>
      <c r="AA16" s="61" t="n">
        <v>74</v>
      </c>
      <c r="AB16" s="61" t="n">
        <v>51</v>
      </c>
      <c r="AC16" s="62" t="n">
        <f aca="false">AC15+1</f>
        <v>7</v>
      </c>
      <c r="AD16" s="78"/>
      <c r="AE16" s="82"/>
      <c r="AF16" s="79"/>
    </row>
    <row r="17" customFormat="false" ht="11.1" hidden="false" customHeight="true" outlineLevel="0" collapsed="false">
      <c r="A17" s="62" t="n">
        <f aca="false">A16+1</f>
        <v>8</v>
      </c>
      <c r="B17" s="80" t="n">
        <v>6918.56</v>
      </c>
      <c r="C17" s="57" t="n">
        <v>357387</v>
      </c>
      <c r="D17" s="61" t="n">
        <f aca="false">C17-C16</f>
        <v>641</v>
      </c>
      <c r="E17" s="57" t="n">
        <f aca="false">C17-152000</f>
        <v>205387</v>
      </c>
      <c r="F17" s="56" t="n">
        <f aca="false">D17/$D$2</f>
        <v>323.166120494076</v>
      </c>
      <c r="G17" s="56" t="n">
        <v>2650</v>
      </c>
      <c r="H17" s="58" t="n">
        <v>191</v>
      </c>
      <c r="I17" s="56" t="n">
        <f aca="false">G17+H17</f>
        <v>2841</v>
      </c>
      <c r="J17" s="81" t="n">
        <f aca="false">IF(L17&gt;0,L17,0)</f>
        <v>411.166120494076</v>
      </c>
      <c r="K17" s="56" t="n">
        <f aca="false">I17+J17</f>
        <v>3252.16612049408</v>
      </c>
      <c r="L17" s="56" t="n">
        <f aca="false">F17-(I17-W17)</f>
        <v>411.166120494076</v>
      </c>
      <c r="M17" s="56" t="n">
        <v>271</v>
      </c>
      <c r="N17" s="56" t="n">
        <f aca="false">(37.24+38.13)*1.05</f>
        <v>79.1385</v>
      </c>
      <c r="O17" s="56" t="n">
        <f aca="false">M17-N17</f>
        <v>191.8615</v>
      </c>
      <c r="P17" s="56" t="n">
        <v>0</v>
      </c>
      <c r="Q17" s="56" t="n">
        <v>16</v>
      </c>
      <c r="R17" s="56" t="n">
        <f aca="false">SUM(O17:Q17)</f>
        <v>207.8615</v>
      </c>
      <c r="S17" s="57"/>
      <c r="T17" s="56" t="n">
        <v>12</v>
      </c>
      <c r="U17" s="56" t="n">
        <v>2630</v>
      </c>
      <c r="V17" s="57" t="str">
        <f aca="false">APR!$V$47</f>
        <v> </v>
      </c>
      <c r="W17" s="56" t="n">
        <f aca="false">R17+T17+N17+U17</f>
        <v>2929</v>
      </c>
      <c r="X17" s="56" t="n">
        <f aca="false">IF(L17&lt;0,L17*-1,0)</f>
        <v>0</v>
      </c>
      <c r="Y17" s="56" t="n">
        <f aca="false">W17+X17</f>
        <v>2929</v>
      </c>
      <c r="Z17" s="60" t="n">
        <v>0</v>
      </c>
      <c r="AA17" s="61" t="n">
        <v>73</v>
      </c>
      <c r="AB17" s="61" t="n">
        <v>50</v>
      </c>
      <c r="AC17" s="62" t="n">
        <f aca="false">AC16+1</f>
        <v>8</v>
      </c>
      <c r="AD17" s="78"/>
      <c r="AE17" s="82"/>
      <c r="AF17" s="79"/>
    </row>
    <row r="18" customFormat="false" ht="11.1" hidden="false" customHeight="true" outlineLevel="0" collapsed="false">
      <c r="A18" s="62" t="n">
        <f aca="false">A17+1</f>
        <v>9</v>
      </c>
      <c r="B18" s="80" t="n">
        <v>6918.54</v>
      </c>
      <c r="C18" s="57" t="n">
        <v>357301</v>
      </c>
      <c r="D18" s="61" t="n">
        <f aca="false">C18-C17</f>
        <v>-86</v>
      </c>
      <c r="E18" s="57" t="n">
        <f aca="false">C18-152000</f>
        <v>205301</v>
      </c>
      <c r="F18" s="56" t="n">
        <f aca="false">D18/$D$2</f>
        <v>-43.3577010335266</v>
      </c>
      <c r="G18" s="56" t="n">
        <v>2460</v>
      </c>
      <c r="H18" s="58" t="n">
        <v>157</v>
      </c>
      <c r="I18" s="56" t="n">
        <f aca="false">G18+H18</f>
        <v>2617</v>
      </c>
      <c r="J18" s="81" t="n">
        <f aca="false">IF(L18&gt;0,L18,0)</f>
        <v>308.642298966473</v>
      </c>
      <c r="K18" s="56" t="n">
        <f aca="false">I18+J18</f>
        <v>2925.64229896647</v>
      </c>
      <c r="L18" s="56" t="n">
        <f aca="false">F18-(I18-W18)</f>
        <v>308.642298966473</v>
      </c>
      <c r="M18" s="56" t="n">
        <v>272</v>
      </c>
      <c r="N18" s="56" t="n">
        <f aca="false">(33.09+30.85)*1.05</f>
        <v>67.137</v>
      </c>
      <c r="O18" s="56" t="n">
        <f aca="false">M18-N18</f>
        <v>204.863</v>
      </c>
      <c r="P18" s="56" t="n">
        <v>0</v>
      </c>
      <c r="Q18" s="56" t="n">
        <v>19</v>
      </c>
      <c r="R18" s="56" t="n">
        <f aca="false">SUM(O18:Q18)</f>
        <v>223.863</v>
      </c>
      <c r="S18" s="57"/>
      <c r="T18" s="56" t="n">
        <v>28</v>
      </c>
      <c r="U18" s="56" t="n">
        <v>2650</v>
      </c>
      <c r="V18" s="57" t="str">
        <f aca="false">APR!$V$47</f>
        <v> </v>
      </c>
      <c r="W18" s="56" t="n">
        <f aca="false">R18+T18+N18+U18</f>
        <v>2969</v>
      </c>
      <c r="X18" s="56" t="n">
        <f aca="false">IF(L18&lt;0,L18*-1,0)</f>
        <v>0</v>
      </c>
      <c r="Y18" s="56" t="n">
        <f aca="false">W18+X18</f>
        <v>2969</v>
      </c>
      <c r="Z18" s="60" t="n">
        <v>0</v>
      </c>
      <c r="AA18" s="61" t="n">
        <v>69</v>
      </c>
      <c r="AB18" s="61" t="n">
        <v>45</v>
      </c>
      <c r="AC18" s="62" t="n">
        <f aca="false">AC17+1</f>
        <v>9</v>
      </c>
      <c r="AD18" s="78"/>
      <c r="AE18" s="82"/>
      <c r="AF18" s="79"/>
    </row>
    <row r="19" customFormat="false" ht="11.1" hidden="false" customHeight="true" outlineLevel="0" collapsed="false">
      <c r="A19" s="62" t="n">
        <f aca="false">A18+1</f>
        <v>10</v>
      </c>
      <c r="B19" s="80" t="n">
        <v>6918.57</v>
      </c>
      <c r="C19" s="57" t="n">
        <v>357429</v>
      </c>
      <c r="D19" s="61" t="n">
        <f aca="false">C19-C18</f>
        <v>128</v>
      </c>
      <c r="E19" s="57" t="n">
        <f aca="false">C19-152000</f>
        <v>205429</v>
      </c>
      <c r="F19" s="56" t="n">
        <f aca="false">D19/$D$2</f>
        <v>64.5323922359466</v>
      </c>
      <c r="G19" s="56" t="n">
        <v>2260</v>
      </c>
      <c r="H19" s="58" t="n">
        <v>187</v>
      </c>
      <c r="I19" s="56" t="n">
        <f aca="false">G19+H19</f>
        <v>2447</v>
      </c>
      <c r="J19" s="81" t="n">
        <f aca="false">IF(L19&gt;0,L19,0)</f>
        <v>407.532392235947</v>
      </c>
      <c r="K19" s="56" t="n">
        <f aca="false">I19+J19</f>
        <v>2854.53239223595</v>
      </c>
      <c r="L19" s="56" t="n">
        <f aca="false">F19-(I19-W19)</f>
        <v>407.532392235947</v>
      </c>
      <c r="M19" s="56" t="n">
        <v>241</v>
      </c>
      <c r="N19" s="56" t="n">
        <f aca="false">(23.62+20.42)*1.05</f>
        <v>46.242</v>
      </c>
      <c r="O19" s="56" t="n">
        <f aca="false">M19-N19</f>
        <v>194.758</v>
      </c>
      <c r="P19" s="56" t="n">
        <v>0</v>
      </c>
      <c r="Q19" s="56" t="n">
        <v>19</v>
      </c>
      <c r="R19" s="56" t="n">
        <f aca="false">SUM(O19:Q19)</f>
        <v>213.758</v>
      </c>
      <c r="S19" s="57"/>
      <c r="T19" s="56" t="n">
        <v>20</v>
      </c>
      <c r="U19" s="56" t="n">
        <v>2510</v>
      </c>
      <c r="V19" s="57" t="str">
        <f aca="false">APR!$V$47</f>
        <v> </v>
      </c>
      <c r="W19" s="56" t="n">
        <f aca="false">R19+T19+N19+U19</f>
        <v>2790</v>
      </c>
      <c r="X19" s="56" t="n">
        <f aca="false">IF(L19&lt;0,L19*-1,0)</f>
        <v>0</v>
      </c>
      <c r="Y19" s="56" t="n">
        <f aca="false">W19+X19</f>
        <v>2790</v>
      </c>
      <c r="Z19" s="60" t="n">
        <v>0</v>
      </c>
      <c r="AA19" s="61" t="n">
        <v>72</v>
      </c>
      <c r="AB19" s="61" t="n">
        <v>46</v>
      </c>
      <c r="AC19" s="62" t="n">
        <f aca="false">AC18+1</f>
        <v>10</v>
      </c>
      <c r="AD19" s="78"/>
      <c r="AE19" s="82"/>
      <c r="AF19" s="79"/>
    </row>
    <row r="20" customFormat="false" ht="11.1" hidden="false" customHeight="true" outlineLevel="0" collapsed="false">
      <c r="A20" s="62" t="n">
        <f aca="false">A19+1</f>
        <v>11</v>
      </c>
      <c r="B20" s="80" t="n">
        <v>6918.47</v>
      </c>
      <c r="C20" s="57" t="n">
        <v>357002</v>
      </c>
      <c r="D20" s="61" t="n">
        <f aca="false">C20-C19</f>
        <v>-427</v>
      </c>
      <c r="E20" s="57" t="n">
        <f aca="false">C20-152000</f>
        <v>205002</v>
      </c>
      <c r="F20" s="56" t="n">
        <f aca="false">D20/$D$2</f>
        <v>-215.276027224603</v>
      </c>
      <c r="G20" s="56" t="n">
        <v>2180</v>
      </c>
      <c r="H20" s="58" t="n">
        <v>125</v>
      </c>
      <c r="I20" s="56" t="n">
        <f aca="false">G20+H20</f>
        <v>2305</v>
      </c>
      <c r="J20" s="81" t="n">
        <f aca="false">IF(L20&gt;0,L20,0)</f>
        <v>217.723972775397</v>
      </c>
      <c r="K20" s="56" t="n">
        <f aca="false">I20+J20</f>
        <v>2522.7239727754</v>
      </c>
      <c r="L20" s="56" t="n">
        <f aca="false">F20-(I20-W20)</f>
        <v>217.723972775397</v>
      </c>
      <c r="M20" s="56" t="n">
        <v>201</v>
      </c>
      <c r="N20" s="56" t="n">
        <f aca="false">(7.09+7.53)*1.05</f>
        <v>15.351</v>
      </c>
      <c r="O20" s="56" t="n">
        <f aca="false">M20-N20</f>
        <v>185.649</v>
      </c>
      <c r="P20" s="56" t="n">
        <v>0</v>
      </c>
      <c r="Q20" s="56" t="n">
        <v>19</v>
      </c>
      <c r="R20" s="56" t="n">
        <f aca="false">SUM(O20:Q20)</f>
        <v>204.649</v>
      </c>
      <c r="S20" s="57"/>
      <c r="T20" s="56" t="n">
        <v>8</v>
      </c>
      <c r="U20" s="56" t="n">
        <v>2510</v>
      </c>
      <c r="V20" s="57" t="str">
        <f aca="false">APR!$V$47</f>
        <v> </v>
      </c>
      <c r="W20" s="56" t="n">
        <f aca="false">R20+T20+N20+U20</f>
        <v>2738</v>
      </c>
      <c r="X20" s="56" t="n">
        <f aca="false">IF(L20&lt;0,L20*-1,0)</f>
        <v>0</v>
      </c>
      <c r="Y20" s="56" t="n">
        <f aca="false">W20+X20</f>
        <v>2738</v>
      </c>
      <c r="Z20" s="60" t="n">
        <v>0</v>
      </c>
      <c r="AA20" s="61" t="n">
        <v>77</v>
      </c>
      <c r="AB20" s="61" t="n">
        <v>39</v>
      </c>
      <c r="AC20" s="62" t="n">
        <f aca="false">AC19+1</f>
        <v>11</v>
      </c>
      <c r="AD20" s="78"/>
      <c r="AE20" s="82"/>
      <c r="AF20" s="79"/>
    </row>
    <row r="21" customFormat="false" ht="11.1" hidden="false" customHeight="true" outlineLevel="0" collapsed="false">
      <c r="A21" s="62" t="n">
        <f aca="false">A20+1</f>
        <v>12</v>
      </c>
      <c r="B21" s="80" t="n">
        <v>6918.51</v>
      </c>
      <c r="C21" s="57" t="n">
        <v>357173</v>
      </c>
      <c r="D21" s="61" t="n">
        <f aca="false">C21-C20</f>
        <v>171</v>
      </c>
      <c r="E21" s="57" t="n">
        <f aca="false">C21-152000</f>
        <v>205173</v>
      </c>
      <c r="F21" s="56" t="n">
        <f aca="false">D21/$D$2</f>
        <v>86.2112427527099</v>
      </c>
      <c r="G21" s="56" t="n">
        <v>2500</v>
      </c>
      <c r="H21" s="58" t="n">
        <v>122</v>
      </c>
      <c r="I21" s="56" t="n">
        <f aca="false">G21+H21</f>
        <v>2622</v>
      </c>
      <c r="J21" s="81" t="n">
        <f aca="false">IF(L21&gt;0,L21,0)</f>
        <v>330.21124275271</v>
      </c>
      <c r="K21" s="56" t="n">
        <f aca="false">I21+J21</f>
        <v>2952.21124275271</v>
      </c>
      <c r="L21" s="56" t="n">
        <f aca="false">F21-(I21-W21)</f>
        <v>330.21124275271</v>
      </c>
      <c r="M21" s="56" t="n">
        <v>270</v>
      </c>
      <c r="N21" s="56" t="n">
        <f aca="false">(22+21)*1.05</f>
        <v>45.15</v>
      </c>
      <c r="O21" s="56" t="n">
        <f aca="false">M21-N21</f>
        <v>224.85</v>
      </c>
      <c r="P21" s="56" t="n">
        <v>32</v>
      </c>
      <c r="Q21" s="56" t="n">
        <v>29</v>
      </c>
      <c r="R21" s="56" t="n">
        <f aca="false">SUM(O21:Q21)</f>
        <v>285.85</v>
      </c>
      <c r="S21" s="57"/>
      <c r="T21" s="56" t="n">
        <v>15</v>
      </c>
      <c r="U21" s="56" t="n">
        <v>2520</v>
      </c>
      <c r="V21" s="57" t="str">
        <f aca="false">APR!$V$47</f>
        <v> </v>
      </c>
      <c r="W21" s="56" t="n">
        <f aca="false">R21+T21+N21+U21</f>
        <v>2866</v>
      </c>
      <c r="X21" s="56" t="n">
        <f aca="false">IF(L21&lt;0,L21*-1,0)</f>
        <v>0</v>
      </c>
      <c r="Y21" s="56" t="n">
        <f aca="false">W21+X21</f>
        <v>2866</v>
      </c>
      <c r="Z21" s="60" t="n">
        <v>0</v>
      </c>
      <c r="AA21" s="61" t="n">
        <v>73</v>
      </c>
      <c r="AB21" s="61" t="n">
        <v>43</v>
      </c>
      <c r="AC21" s="62" t="n">
        <f aca="false">AC20+1</f>
        <v>12</v>
      </c>
      <c r="AD21" s="78"/>
      <c r="AE21" s="82"/>
      <c r="AF21" s="79"/>
    </row>
    <row r="22" customFormat="false" ht="11.1" hidden="false" customHeight="true" outlineLevel="0" collapsed="false">
      <c r="A22" s="62" t="n">
        <f aca="false">A21+1</f>
        <v>13</v>
      </c>
      <c r="B22" s="80" t="n">
        <v>6918.74</v>
      </c>
      <c r="C22" s="57" t="n">
        <v>358156</v>
      </c>
      <c r="D22" s="61" t="n">
        <f aca="false">C22-C21</f>
        <v>983</v>
      </c>
      <c r="E22" s="57" t="n">
        <f aca="false">C22-152000</f>
        <v>206156</v>
      </c>
      <c r="F22" s="56" t="n">
        <f aca="false">D22/$D$2</f>
        <v>495.588605999496</v>
      </c>
      <c r="G22" s="56" t="n">
        <v>2990</v>
      </c>
      <c r="H22" s="58" t="n">
        <v>154</v>
      </c>
      <c r="I22" s="56" t="n">
        <f aca="false">G22+H22</f>
        <v>3144</v>
      </c>
      <c r="J22" s="81" t="n">
        <f aca="false">IF(L22&gt;0,L22,0)</f>
        <v>278.588605999496</v>
      </c>
      <c r="K22" s="56" t="n">
        <f aca="false">I22+J22</f>
        <v>3422.5886059995</v>
      </c>
      <c r="L22" s="56" t="n">
        <f aca="false">F22-(I22-W22)</f>
        <v>278.588605999496</v>
      </c>
      <c r="M22" s="56" t="n">
        <v>294</v>
      </c>
      <c r="N22" s="56" t="n">
        <f aca="false">(19.04+19.45)*1.05</f>
        <v>40.4145</v>
      </c>
      <c r="O22" s="56" t="n">
        <f aca="false">M22-N22</f>
        <v>253.5855</v>
      </c>
      <c r="P22" s="56" t="n">
        <v>56</v>
      </c>
      <c r="Q22" s="56" t="n">
        <v>37</v>
      </c>
      <c r="R22" s="56" t="n">
        <f aca="false">SUM(O22:Q22)</f>
        <v>346.5855</v>
      </c>
      <c r="S22" s="57"/>
      <c r="T22" s="56" t="n">
        <v>30</v>
      </c>
      <c r="U22" s="56" t="n">
        <v>2510</v>
      </c>
      <c r="V22" s="57" t="str">
        <f aca="false">APR!$V$47</f>
        <v> </v>
      </c>
      <c r="W22" s="56" t="n">
        <f aca="false">R22+T22+N22+U22</f>
        <v>2927</v>
      </c>
      <c r="X22" s="56" t="n">
        <f aca="false">IF(L22&lt;0,L22*-1,0)</f>
        <v>0</v>
      </c>
      <c r="Y22" s="56" t="n">
        <f aca="false">W22+X22</f>
        <v>2927</v>
      </c>
      <c r="Z22" s="60" t="n">
        <v>0</v>
      </c>
      <c r="AA22" s="61" t="n">
        <v>78</v>
      </c>
      <c r="AB22" s="61" t="n">
        <v>42</v>
      </c>
      <c r="AC22" s="62" t="n">
        <f aca="false">AC21+1</f>
        <v>13</v>
      </c>
      <c r="AD22" s="78"/>
      <c r="AE22" s="82"/>
      <c r="AF22" s="79"/>
    </row>
    <row r="23" customFormat="false" ht="11.1" hidden="false" customHeight="true" outlineLevel="0" collapsed="false">
      <c r="A23" s="62" t="n">
        <f aca="false">A22+1</f>
        <v>14</v>
      </c>
      <c r="B23" s="80" t="n">
        <v>6919.12</v>
      </c>
      <c r="C23" s="57" t="n">
        <v>359784</v>
      </c>
      <c r="D23" s="61" t="n">
        <f aca="false">C23-C22</f>
        <v>1628</v>
      </c>
      <c r="E23" s="57" t="n">
        <f aca="false">C23-152000</f>
        <v>207784</v>
      </c>
      <c r="F23" s="56" t="n">
        <f aca="false">D23/$D$2</f>
        <v>820.771363750945</v>
      </c>
      <c r="G23" s="56" t="n">
        <v>3370</v>
      </c>
      <c r="H23" s="58" t="n">
        <v>177</v>
      </c>
      <c r="I23" s="56" t="n">
        <f aca="false">G23+H23</f>
        <v>3547</v>
      </c>
      <c r="J23" s="81" t="n">
        <f aca="false">IF(L23&gt;0,L23,0)</f>
        <v>329.421363750945</v>
      </c>
      <c r="K23" s="56" t="n">
        <f aca="false">I23+J23</f>
        <v>3876.42136375095</v>
      </c>
      <c r="L23" s="56" t="n">
        <f aca="false">F23-(I23-W23)</f>
        <v>329.421363750945</v>
      </c>
      <c r="M23" s="56" t="n">
        <v>297</v>
      </c>
      <c r="N23" s="56" t="n">
        <f aca="false">(19.01+19.22)*1.05</f>
        <v>40.1415</v>
      </c>
      <c r="O23" s="56" t="n">
        <f aca="false">M23-N23</f>
        <v>256.8585</v>
      </c>
      <c r="P23" s="56" t="n">
        <v>56</v>
      </c>
      <c r="Q23" s="56" t="n">
        <v>50.65</v>
      </c>
      <c r="R23" s="56" t="n">
        <f aca="false">SUM(O23:Q23)</f>
        <v>363.5085</v>
      </c>
      <c r="S23" s="57"/>
      <c r="T23" s="56" t="n">
        <v>22</v>
      </c>
      <c r="U23" s="56" t="n">
        <v>2630</v>
      </c>
      <c r="V23" s="57" t="str">
        <f aca="false">APR!$V$47</f>
        <v> </v>
      </c>
      <c r="W23" s="56" t="n">
        <f aca="false">R23+T23+N23+U23</f>
        <v>3055.65</v>
      </c>
      <c r="X23" s="56" t="n">
        <f aca="false">IF(L23&lt;0,L23*-1,0)</f>
        <v>0</v>
      </c>
      <c r="Y23" s="56" t="n">
        <f aca="false">W23+X23</f>
        <v>3055.65</v>
      </c>
      <c r="Z23" s="60" t="n">
        <v>0</v>
      </c>
      <c r="AA23" s="61" t="n">
        <v>79</v>
      </c>
      <c r="AB23" s="61" t="n">
        <v>46</v>
      </c>
      <c r="AC23" s="62" t="n">
        <f aca="false">AC22+1</f>
        <v>14</v>
      </c>
      <c r="AD23" s="78"/>
      <c r="AE23" s="82"/>
      <c r="AF23" s="79"/>
    </row>
    <row r="24" customFormat="false" ht="11.1" hidden="false" customHeight="true" outlineLevel="0" collapsed="false">
      <c r="A24" s="62" t="n">
        <f aca="false">A23+1</f>
        <v>15</v>
      </c>
      <c r="B24" s="80" t="n">
        <v>6919.49</v>
      </c>
      <c r="C24" s="57" t="n">
        <v>361377</v>
      </c>
      <c r="D24" s="61" t="n">
        <f aca="false">C24-C23</f>
        <v>1593</v>
      </c>
      <c r="E24" s="57" t="n">
        <f aca="false">C24-152000</f>
        <v>209377</v>
      </c>
      <c r="F24" s="56" t="n">
        <f aca="false">D24/$D$2</f>
        <v>803.125787748929</v>
      </c>
      <c r="G24" s="56" t="n">
        <v>3480</v>
      </c>
      <c r="H24" s="58" t="n">
        <v>163</v>
      </c>
      <c r="I24" s="56" t="n">
        <f aca="false">G24+H24</f>
        <v>3643</v>
      </c>
      <c r="J24" s="81" t="n">
        <f aca="false">IF(L24&gt;0,L24,0)</f>
        <v>450.125787748929</v>
      </c>
      <c r="K24" s="103" t="n">
        <f aca="false">I24+J24</f>
        <v>4093.12578774893</v>
      </c>
      <c r="L24" s="56" t="n">
        <f aca="false">F24-(I24-W24)</f>
        <v>450.125787748929</v>
      </c>
      <c r="M24" s="56" t="n">
        <v>312</v>
      </c>
      <c r="N24" s="56" t="n">
        <f aca="false">(14+14)*1.05</f>
        <v>29.4</v>
      </c>
      <c r="O24" s="56" t="n">
        <f aca="false">M24-N24</f>
        <v>282.6</v>
      </c>
      <c r="P24" s="56" t="n">
        <v>56</v>
      </c>
      <c r="Q24" s="56" t="n">
        <v>55</v>
      </c>
      <c r="R24" s="56" t="n">
        <f aca="false">SUM(O24:Q24)</f>
        <v>393.6</v>
      </c>
      <c r="S24" s="57"/>
      <c r="T24" s="56" t="n">
        <v>77</v>
      </c>
      <c r="U24" s="56" t="n">
        <v>2790</v>
      </c>
      <c r="V24" s="57" t="str">
        <f aca="false">APR!$V$47</f>
        <v> </v>
      </c>
      <c r="W24" s="56" t="n">
        <f aca="false">R24+T24+N24+U24</f>
        <v>3290</v>
      </c>
      <c r="X24" s="56" t="n">
        <f aca="false">IF(L24&lt;0,L24*-1,0)</f>
        <v>0</v>
      </c>
      <c r="Y24" s="56" t="n">
        <f aca="false">W24+X24</f>
        <v>3290</v>
      </c>
      <c r="Z24" s="60" t="n">
        <v>0</v>
      </c>
      <c r="AA24" s="61" t="n">
        <v>81</v>
      </c>
      <c r="AB24" s="61" t="n">
        <v>44</v>
      </c>
      <c r="AC24" s="62" t="n">
        <f aca="false">AC23+1</f>
        <v>15</v>
      </c>
      <c r="AD24" s="78"/>
      <c r="AE24" s="82"/>
      <c r="AF24" s="79"/>
    </row>
    <row r="25" customFormat="false" ht="11.1" hidden="false" customHeight="true" outlineLevel="0" collapsed="false">
      <c r="A25" s="62" t="n">
        <f aca="false">A24+1</f>
        <v>16</v>
      </c>
      <c r="B25" s="80" t="n">
        <v>6919.69</v>
      </c>
      <c r="C25" s="57" t="n">
        <v>362238</v>
      </c>
      <c r="D25" s="61" t="n">
        <f aca="false">C25-C24</f>
        <v>861</v>
      </c>
      <c r="E25" s="57" t="n">
        <f aca="false">C25-152000</f>
        <v>210238</v>
      </c>
      <c r="F25" s="56" t="n">
        <f aca="false">D25/$D$2</f>
        <v>434.081169649609</v>
      </c>
      <c r="G25" s="56" t="n">
        <v>3590</v>
      </c>
      <c r="H25" s="58" t="n">
        <v>134</v>
      </c>
      <c r="I25" s="56" t="n">
        <f aca="false">G25+H25</f>
        <v>3724</v>
      </c>
      <c r="J25" s="81" t="n">
        <f aca="false">IF(L25&gt;0,L25,0)</f>
        <v>345.081169649609</v>
      </c>
      <c r="K25" s="56" t="n">
        <f aca="false">I25+J25</f>
        <v>4069.08116964961</v>
      </c>
      <c r="L25" s="56" t="n">
        <f aca="false">F25-(I25-W25)</f>
        <v>345.081169649609</v>
      </c>
      <c r="M25" s="56" t="n">
        <v>320</v>
      </c>
      <c r="N25" s="56" t="n">
        <f aca="false">(17.89+16.84)*1.05</f>
        <v>36.4665</v>
      </c>
      <c r="O25" s="56" t="n">
        <f aca="false">M25-N25</f>
        <v>283.5335</v>
      </c>
      <c r="P25" s="56" t="n">
        <v>56</v>
      </c>
      <c r="Q25" s="56" t="n">
        <v>64</v>
      </c>
      <c r="R25" s="56" t="n">
        <f aca="false">SUM(O25:Q25)</f>
        <v>403.5335</v>
      </c>
      <c r="S25" s="57"/>
      <c r="T25" s="56" t="n">
        <v>95</v>
      </c>
      <c r="U25" s="56" t="n">
        <v>3100</v>
      </c>
      <c r="V25" s="57" t="str">
        <f aca="false">APR!$V$47</f>
        <v> </v>
      </c>
      <c r="W25" s="56" t="n">
        <f aca="false">R25+T25+N25+U25</f>
        <v>3635</v>
      </c>
      <c r="X25" s="56" t="n">
        <f aca="false">IF(L25&lt;0,L25*-1,0)</f>
        <v>0</v>
      </c>
      <c r="Y25" s="56" t="n">
        <f aca="false">W25+X25</f>
        <v>3635</v>
      </c>
      <c r="Z25" s="60" t="n">
        <v>0</v>
      </c>
      <c r="AA25" s="61" t="n">
        <v>80</v>
      </c>
      <c r="AB25" s="61" t="n">
        <v>47</v>
      </c>
      <c r="AC25" s="62" t="n">
        <f aca="false">AC24+1</f>
        <v>16</v>
      </c>
      <c r="AD25" s="78"/>
      <c r="AE25" s="91"/>
      <c r="AF25" s="79"/>
    </row>
    <row r="26" customFormat="false" ht="11.1" hidden="false" customHeight="true" outlineLevel="0" collapsed="false">
      <c r="A26" s="62" t="n">
        <f aca="false">A25+1</f>
        <v>17</v>
      </c>
      <c r="B26" s="80" t="n">
        <v>6919.89</v>
      </c>
      <c r="C26" s="57" t="n">
        <v>363099</v>
      </c>
      <c r="D26" s="61" t="n">
        <f aca="false">C26-C25</f>
        <v>861</v>
      </c>
      <c r="E26" s="57" t="n">
        <f aca="false">C26-152000</f>
        <v>211099</v>
      </c>
      <c r="F26" s="56" t="n">
        <f aca="false">D26/$D$2</f>
        <v>434.081169649609</v>
      </c>
      <c r="G26" s="56" t="n">
        <v>3910</v>
      </c>
      <c r="H26" s="58" t="n">
        <v>122</v>
      </c>
      <c r="I26" s="56" t="n">
        <f aca="false">G26+H26</f>
        <v>4032</v>
      </c>
      <c r="J26" s="81" t="n">
        <f aca="false">IF(L26&gt;0,L26,0)</f>
        <v>282.081169649609</v>
      </c>
      <c r="K26" s="103" t="n">
        <f aca="false">I26+J26</f>
        <v>4314.08116964961</v>
      </c>
      <c r="L26" s="56" t="n">
        <f aca="false">F26-(I26-W26)</f>
        <v>282.081169649609</v>
      </c>
      <c r="M26" s="56" t="n">
        <v>349</v>
      </c>
      <c r="N26" s="56" t="n">
        <f aca="false">(22.79+22.76)*1.05</f>
        <v>47.8275</v>
      </c>
      <c r="O26" s="56" t="n">
        <f aca="false">M26-N26</f>
        <v>301.1725</v>
      </c>
      <c r="P26" s="56" t="n">
        <v>56</v>
      </c>
      <c r="Q26" s="56" t="n">
        <v>74</v>
      </c>
      <c r="R26" s="56" t="n">
        <f aca="false">SUM(O26:Q26)</f>
        <v>431.1725</v>
      </c>
      <c r="S26" s="57"/>
      <c r="T26" s="56" t="n">
        <v>121</v>
      </c>
      <c r="U26" s="56" t="n">
        <v>3280</v>
      </c>
      <c r="V26" s="57" t="str">
        <f aca="false">APR!$V$47</f>
        <v> </v>
      </c>
      <c r="W26" s="56" t="n">
        <f aca="false">R26+T26+N26+U26</f>
        <v>3880</v>
      </c>
      <c r="X26" s="56" t="n">
        <f aca="false">IF(L26&lt;0,L26*-1,0)</f>
        <v>0</v>
      </c>
      <c r="Y26" s="56" t="n">
        <f aca="false">W26+X26</f>
        <v>3880</v>
      </c>
      <c r="Z26" s="60" t="n">
        <v>0</v>
      </c>
      <c r="AA26" s="61" t="n">
        <v>81</v>
      </c>
      <c r="AB26" s="61" t="n">
        <v>52</v>
      </c>
      <c r="AC26" s="62" t="n">
        <f aca="false">AC25+1</f>
        <v>17</v>
      </c>
      <c r="AD26" s="78"/>
      <c r="AE26" s="82"/>
      <c r="AF26" s="79"/>
    </row>
    <row r="27" customFormat="false" ht="11.1" hidden="false" customHeight="true" outlineLevel="0" collapsed="false">
      <c r="A27" s="62" t="n">
        <f aca="false">A26+1</f>
        <v>18</v>
      </c>
      <c r="B27" s="80" t="n">
        <v>6919.92</v>
      </c>
      <c r="C27" s="57" t="n">
        <v>363229</v>
      </c>
      <c r="D27" s="61" t="n">
        <f aca="false">C27-C26</f>
        <v>130</v>
      </c>
      <c r="E27" s="57" t="n">
        <f aca="false">C27-152000</f>
        <v>211229</v>
      </c>
      <c r="F27" s="56" t="n">
        <f aca="false">D27/$D$2</f>
        <v>65.5407108646332</v>
      </c>
      <c r="G27" s="56" t="n">
        <v>3890</v>
      </c>
      <c r="H27" s="58" t="n">
        <v>130</v>
      </c>
      <c r="I27" s="56" t="n">
        <f aca="false">G27+H27</f>
        <v>4020</v>
      </c>
      <c r="J27" s="81" t="n">
        <f aca="false">IF(L27&gt;0,L27,0)</f>
        <v>190.540710864633</v>
      </c>
      <c r="K27" s="56" t="n">
        <f aca="false">I27+J27</f>
        <v>4210.54071086463</v>
      </c>
      <c r="L27" s="56" t="n">
        <f aca="false">F27-(I27-W27)</f>
        <v>190.540710864633</v>
      </c>
      <c r="M27" s="56" t="n">
        <v>335</v>
      </c>
      <c r="N27" s="56" t="n">
        <f aca="false">(15.58+16.02)*1.05</f>
        <v>33.18</v>
      </c>
      <c r="O27" s="56" t="n">
        <f aca="false">M27-N27</f>
        <v>301.82</v>
      </c>
      <c r="P27" s="56" t="n">
        <v>56</v>
      </c>
      <c r="Q27" s="56" t="n">
        <v>80</v>
      </c>
      <c r="R27" s="56" t="n">
        <f aca="false">SUM(O27:Q27)</f>
        <v>437.82</v>
      </c>
      <c r="S27" s="57"/>
      <c r="T27" s="56" t="n">
        <v>134</v>
      </c>
      <c r="U27" s="56" t="n">
        <v>3540</v>
      </c>
      <c r="V27" s="57" t="str">
        <f aca="false">APR!$V$47</f>
        <v> </v>
      </c>
      <c r="W27" s="56" t="n">
        <f aca="false">R27+T27+N27+U27</f>
        <v>4145</v>
      </c>
      <c r="X27" s="56" t="n">
        <f aca="false">IF(L27&lt;0,L27*-1,0)</f>
        <v>0</v>
      </c>
      <c r="Y27" s="56" t="n">
        <f aca="false">W27+X27</f>
        <v>4145</v>
      </c>
      <c r="Z27" s="60" t="n">
        <v>0</v>
      </c>
      <c r="AA27" s="61" t="n">
        <v>79</v>
      </c>
      <c r="AB27" s="61" t="n">
        <v>46</v>
      </c>
      <c r="AC27" s="62" t="n">
        <f aca="false">AC26+1</f>
        <v>18</v>
      </c>
      <c r="AD27" s="78"/>
      <c r="AE27" s="82"/>
      <c r="AF27" s="79"/>
    </row>
    <row r="28" customFormat="false" ht="11.1" hidden="false" customHeight="true" outlineLevel="0" collapsed="false">
      <c r="A28" s="62" t="n">
        <f aca="false">A27+1</f>
        <v>19</v>
      </c>
      <c r="B28" s="80" t="n">
        <v>6919.82</v>
      </c>
      <c r="C28" s="97" t="n">
        <v>362796</v>
      </c>
      <c r="D28" s="61" t="n">
        <f aca="false">C28-C27</f>
        <v>-433</v>
      </c>
      <c r="E28" s="57" t="n">
        <f aca="false">C28-152000</f>
        <v>210796</v>
      </c>
      <c r="F28" s="56" t="n">
        <f aca="false">D28/$D$2</f>
        <v>-218.300983110663</v>
      </c>
      <c r="G28" s="56" t="n">
        <v>3570</v>
      </c>
      <c r="H28" s="58" t="n">
        <v>116</v>
      </c>
      <c r="I28" s="56" t="n">
        <f aca="false">G28+H28</f>
        <v>3686</v>
      </c>
      <c r="J28" s="81" t="n">
        <f aca="false">IF(L28&gt;0,L28,0)</f>
        <v>394.699016889337</v>
      </c>
      <c r="K28" s="56" t="n">
        <f aca="false">I28+J28</f>
        <v>4080.69901688934</v>
      </c>
      <c r="L28" s="56" t="n">
        <f aca="false">F28-(I28-W28)</f>
        <v>394.699016889337</v>
      </c>
      <c r="M28" s="56" t="n">
        <v>355</v>
      </c>
      <c r="N28" s="56" t="n">
        <f aca="false">(24+24)*1.05</f>
        <v>50.4</v>
      </c>
      <c r="O28" s="56" t="n">
        <f aca="false">M28-N28</f>
        <v>304.6</v>
      </c>
      <c r="P28" s="56" t="n">
        <v>87</v>
      </c>
      <c r="Q28" s="56" t="n">
        <v>83</v>
      </c>
      <c r="R28" s="56" t="n">
        <f aca="false">SUM(O28:Q28)</f>
        <v>474.6</v>
      </c>
      <c r="S28" s="57"/>
      <c r="T28" s="56" t="n">
        <v>144</v>
      </c>
      <c r="U28" s="56" t="n">
        <v>3630</v>
      </c>
      <c r="V28" s="57" t="str">
        <f aca="false">APR!$V$47</f>
        <v> </v>
      </c>
      <c r="W28" s="56" t="n">
        <f aca="false">R28+T28+N28+U28</f>
        <v>4299</v>
      </c>
      <c r="X28" s="56" t="n">
        <f aca="false">IF(L28&lt;0,L28*-1,0)</f>
        <v>0</v>
      </c>
      <c r="Y28" s="56" t="n">
        <f aca="false">W28+X28</f>
        <v>4299</v>
      </c>
      <c r="Z28" s="60" t="n">
        <v>0.28</v>
      </c>
      <c r="AA28" s="61" t="n">
        <v>75</v>
      </c>
      <c r="AB28" s="61" t="n">
        <v>45</v>
      </c>
      <c r="AC28" s="62" t="n">
        <f aca="false">AC27+1</f>
        <v>19</v>
      </c>
      <c r="AD28" s="78"/>
      <c r="AE28" s="82"/>
      <c r="AF28" s="79"/>
    </row>
    <row r="29" customFormat="false" ht="11.1" hidden="false" customHeight="true" outlineLevel="0" collapsed="false">
      <c r="A29" s="62" t="n">
        <f aca="false">A28+1</f>
        <v>20</v>
      </c>
      <c r="B29" s="80" t="n">
        <v>6919.64</v>
      </c>
      <c r="C29" s="57" t="n">
        <v>362023</v>
      </c>
      <c r="D29" s="61" t="n">
        <f aca="false">C29-C28</f>
        <v>-773</v>
      </c>
      <c r="E29" s="57" t="n">
        <f aca="false">C29-152000</f>
        <v>210023</v>
      </c>
      <c r="F29" s="56" t="n">
        <f aca="false">D29/$D$2</f>
        <v>-389.715149987396</v>
      </c>
      <c r="G29" s="56" t="n">
        <v>3390</v>
      </c>
      <c r="H29" s="58" t="n">
        <v>123</v>
      </c>
      <c r="I29" s="56" t="n">
        <f aca="false">G29+H29</f>
        <v>3513</v>
      </c>
      <c r="J29" s="81" t="n">
        <f aca="false">IF(L29&gt;0,L29,0)</f>
        <v>358.284850012604</v>
      </c>
      <c r="K29" s="56" t="n">
        <f aca="false">I29+J29</f>
        <v>3871.2848500126</v>
      </c>
      <c r="L29" s="56" t="n">
        <f aca="false">F29-(I29-W29)</f>
        <v>358.284850012604</v>
      </c>
      <c r="M29" s="56" t="n">
        <v>348</v>
      </c>
      <c r="N29" s="56" t="n">
        <f aca="false">(21.28+21.14)*1.05</f>
        <v>44.541</v>
      </c>
      <c r="O29" s="56" t="n">
        <f aca="false">M29-N29</f>
        <v>303.459</v>
      </c>
      <c r="P29" s="56" t="n">
        <v>98</v>
      </c>
      <c r="Q29" s="56" t="n">
        <v>83</v>
      </c>
      <c r="R29" s="56" t="n">
        <f aca="false">SUM(O29:Q29)</f>
        <v>484.459</v>
      </c>
      <c r="S29" s="57"/>
      <c r="T29" s="56" t="n">
        <v>152</v>
      </c>
      <c r="U29" s="56" t="n">
        <v>3580</v>
      </c>
      <c r="V29" s="57" t="str">
        <f aca="false">APR!$V$47</f>
        <v> </v>
      </c>
      <c r="W29" s="56" t="n">
        <f aca="false">R29+T29+N29+U29</f>
        <v>4261</v>
      </c>
      <c r="X29" s="56" t="n">
        <f aca="false">IF(L29&lt;0,L29*-1,0)</f>
        <v>0</v>
      </c>
      <c r="Y29" s="56" t="n">
        <f aca="false">W29+X29</f>
        <v>4261</v>
      </c>
      <c r="Z29" s="60" t="n">
        <v>0.06</v>
      </c>
      <c r="AA29" s="61" t="n">
        <v>69</v>
      </c>
      <c r="AB29" s="61" t="n">
        <v>45</v>
      </c>
      <c r="AC29" s="62" t="n">
        <f aca="false">AC28+1</f>
        <v>20</v>
      </c>
      <c r="AD29" s="78"/>
      <c r="AE29" s="82"/>
      <c r="AF29" s="79"/>
    </row>
    <row r="30" customFormat="false" ht="11.1" hidden="false" customHeight="true" outlineLevel="0" collapsed="false">
      <c r="A30" s="62" t="n">
        <f aca="false">A29+1</f>
        <v>21</v>
      </c>
      <c r="B30" s="108" t="n">
        <v>6919.7</v>
      </c>
      <c r="C30" s="57" t="n">
        <v>362281</v>
      </c>
      <c r="D30" s="61" t="n">
        <f aca="false">C30-C29</f>
        <v>258</v>
      </c>
      <c r="E30" s="57" t="n">
        <f aca="false">C30-152000</f>
        <v>210281</v>
      </c>
      <c r="F30" s="56" t="n">
        <f aca="false">D30/$D$2</f>
        <v>130.07310310058</v>
      </c>
      <c r="G30" s="56" t="n">
        <v>3790</v>
      </c>
      <c r="H30" s="58" t="n">
        <v>211</v>
      </c>
      <c r="I30" s="56" t="n">
        <f aca="false">G30+H30</f>
        <v>4001</v>
      </c>
      <c r="J30" s="81" t="n">
        <f aca="false">IF(L30&gt;0,L30,0)</f>
        <v>325.07310310058</v>
      </c>
      <c r="K30" s="56" t="n">
        <f aca="false">I30+J30</f>
        <v>4326.07310310058</v>
      </c>
      <c r="L30" s="56" t="n">
        <f aca="false">F30-(I30-W30)</f>
        <v>325.07310310058</v>
      </c>
      <c r="M30" s="56" t="n">
        <v>278</v>
      </c>
      <c r="N30" s="56" t="n">
        <f aca="false">(6.3+6.7)*1.05</f>
        <v>13.65</v>
      </c>
      <c r="O30" s="56" t="n">
        <f aca="false">M30-N30</f>
        <v>264.35</v>
      </c>
      <c r="P30" s="56" t="n">
        <v>126</v>
      </c>
      <c r="Q30" s="56" t="n">
        <v>83</v>
      </c>
      <c r="R30" s="56" t="n">
        <f aca="false">SUM(O30:Q30)</f>
        <v>473.35</v>
      </c>
      <c r="S30" s="57"/>
      <c r="T30" s="56" t="n">
        <v>129</v>
      </c>
      <c r="U30" s="56" t="n">
        <v>3580</v>
      </c>
      <c r="V30" s="57" t="str">
        <f aca="false">APR!$V$47</f>
        <v> </v>
      </c>
      <c r="W30" s="56" t="n">
        <f aca="false">R30+T30+N30+U30</f>
        <v>4196</v>
      </c>
      <c r="X30" s="56" t="n">
        <f aca="false">IF(L30&lt;0,L30*-1,0)</f>
        <v>0</v>
      </c>
      <c r="Y30" s="56" t="n">
        <f aca="false">W30+X30</f>
        <v>4196</v>
      </c>
      <c r="Z30" s="60" t="n">
        <v>0.24</v>
      </c>
      <c r="AA30" s="61" t="n">
        <v>60</v>
      </c>
      <c r="AB30" s="61" t="n">
        <v>46</v>
      </c>
      <c r="AC30" s="62" t="n">
        <f aca="false">AC29+1</f>
        <v>21</v>
      </c>
      <c r="AD30" s="78"/>
      <c r="AE30" s="82"/>
      <c r="AF30" s="79"/>
    </row>
    <row r="31" customFormat="false" ht="11.1" hidden="false" customHeight="true" outlineLevel="0" collapsed="false">
      <c r="A31" s="62" t="n">
        <f aca="false">A30+1</f>
        <v>22</v>
      </c>
      <c r="B31" s="80" t="n">
        <v>6919.94</v>
      </c>
      <c r="C31" s="57" t="n">
        <v>363315</v>
      </c>
      <c r="D31" s="61" t="n">
        <f aca="false">C31-C30</f>
        <v>1034</v>
      </c>
      <c r="E31" s="57" t="n">
        <f aca="false">C31-152000</f>
        <v>211315</v>
      </c>
      <c r="F31" s="56" t="n">
        <f aca="false">D31/$D$2</f>
        <v>521.300731031006</v>
      </c>
      <c r="G31" s="56" t="n">
        <v>3760</v>
      </c>
      <c r="H31" s="58" t="n">
        <v>347</v>
      </c>
      <c r="I31" s="56" t="n">
        <f aca="false">G31+H31</f>
        <v>4107</v>
      </c>
      <c r="J31" s="81" t="n">
        <f aca="false">IF(L31&gt;0,L31,0)</f>
        <v>590.300731031006</v>
      </c>
      <c r="K31" s="56" t="n">
        <f aca="false">I31+J31</f>
        <v>4697.30073103101</v>
      </c>
      <c r="L31" s="56" t="n">
        <f aca="false">F31-(I31-W31)</f>
        <v>590.300731031006</v>
      </c>
      <c r="M31" s="56" t="n">
        <v>223</v>
      </c>
      <c r="N31" s="56" t="n">
        <f aca="false">(2.4+3.9)*1.05</f>
        <v>6.615</v>
      </c>
      <c r="O31" s="56" t="n">
        <f aca="false">M31-N31</f>
        <v>216.385</v>
      </c>
      <c r="P31" s="56" t="n">
        <v>140</v>
      </c>
      <c r="Q31" s="56" t="n">
        <v>83</v>
      </c>
      <c r="R31" s="103" t="n">
        <f aca="false">SUM(O31:Q31)</f>
        <v>439.385</v>
      </c>
      <c r="S31" s="57"/>
      <c r="T31" s="56" t="n">
        <v>90</v>
      </c>
      <c r="U31" s="56" t="n">
        <v>3640</v>
      </c>
      <c r="V31" s="57" t="str">
        <f aca="false">APR!$V$47</f>
        <v> </v>
      </c>
      <c r="W31" s="56" t="n">
        <f aca="false">R31+T31+N31+U31</f>
        <v>4176</v>
      </c>
      <c r="X31" s="56" t="n">
        <f aca="false">IF(L31&lt;0,L31*-1,0)</f>
        <v>0</v>
      </c>
      <c r="Y31" s="56" t="n">
        <f aca="false">W31+X31</f>
        <v>4176</v>
      </c>
      <c r="Z31" s="60" t="n">
        <v>0</v>
      </c>
      <c r="AA31" s="61" t="n">
        <v>73</v>
      </c>
      <c r="AB31" s="61" t="n">
        <v>45</v>
      </c>
      <c r="AC31" s="62" t="n">
        <f aca="false">AC30+1</f>
        <v>22</v>
      </c>
      <c r="AD31" s="78"/>
      <c r="AE31" s="82"/>
      <c r="AF31" s="79"/>
    </row>
    <row r="32" customFormat="false" ht="11.1" hidden="false" customHeight="true" outlineLevel="0" collapsed="false">
      <c r="A32" s="62" t="n">
        <f aca="false">A31+1</f>
        <v>23</v>
      </c>
      <c r="B32" s="80" t="n">
        <v>6919.8</v>
      </c>
      <c r="C32" s="57" t="n">
        <v>362712</v>
      </c>
      <c r="D32" s="61" t="n">
        <f aca="false">C32-C31</f>
        <v>-603</v>
      </c>
      <c r="E32" s="57" t="n">
        <f aca="false">C32-152000</f>
        <v>210712</v>
      </c>
      <c r="F32" s="56" t="n">
        <f aca="false">D32/$D$2</f>
        <v>-304.008066549029</v>
      </c>
      <c r="G32" s="56" t="n">
        <v>3320</v>
      </c>
      <c r="H32" s="58" t="n">
        <v>266</v>
      </c>
      <c r="I32" s="56" t="n">
        <f aca="false">G32+H32</f>
        <v>3586</v>
      </c>
      <c r="J32" s="81" t="n">
        <f aca="false">IF(L32&gt;0,L32,0)</f>
        <v>291.991933450971</v>
      </c>
      <c r="K32" s="56" t="n">
        <f aca="false">I32+J32</f>
        <v>3877.99193345097</v>
      </c>
      <c r="L32" s="56" t="n">
        <f aca="false">F32-(I32-W32)</f>
        <v>291.991933450971</v>
      </c>
      <c r="M32" s="56" t="n">
        <v>229</v>
      </c>
      <c r="N32" s="56" t="n">
        <f aca="false">(9.35+9.05)*1.05</f>
        <v>19.32</v>
      </c>
      <c r="O32" s="56" t="n">
        <f aca="false">M32-N32</f>
        <v>209.68</v>
      </c>
      <c r="P32" s="56" t="n">
        <v>140</v>
      </c>
      <c r="Q32" s="56" t="n">
        <v>83</v>
      </c>
      <c r="R32" s="56" t="n">
        <f aca="false">SUM(O32:Q32)</f>
        <v>432.68</v>
      </c>
      <c r="S32" s="57"/>
      <c r="T32" s="56" t="n">
        <v>100</v>
      </c>
      <c r="U32" s="56" t="n">
        <v>3630</v>
      </c>
      <c r="V32" s="57" t="str">
        <f aca="false">APR!$V$47</f>
        <v> </v>
      </c>
      <c r="W32" s="56" t="n">
        <f aca="false">R32+T32+N32+U32</f>
        <v>4182</v>
      </c>
      <c r="X32" s="56" t="n">
        <f aca="false">IF(L32&lt;0,L32*-1,0)</f>
        <v>0</v>
      </c>
      <c r="Y32" s="56" t="n">
        <f aca="false">W32+X32</f>
        <v>4182</v>
      </c>
      <c r="Z32" s="60" t="n">
        <v>0</v>
      </c>
      <c r="AA32" s="61" t="n">
        <v>71</v>
      </c>
      <c r="AB32" s="61" t="n">
        <v>36</v>
      </c>
      <c r="AC32" s="62" t="n">
        <f aca="false">AC31+1</f>
        <v>23</v>
      </c>
      <c r="AD32" s="78"/>
      <c r="AE32" s="82"/>
      <c r="AF32" s="79"/>
    </row>
    <row r="33" customFormat="false" ht="11.1" hidden="false" customHeight="true" outlineLevel="0" collapsed="false">
      <c r="A33" s="62" t="n">
        <f aca="false">A32+1</f>
        <v>24</v>
      </c>
      <c r="B33" s="80" t="n">
        <v>6919.52</v>
      </c>
      <c r="C33" s="57" t="n">
        <v>361506</v>
      </c>
      <c r="D33" s="61" t="n">
        <f aca="false">C33-C32</f>
        <v>-1206</v>
      </c>
      <c r="E33" s="57" t="n">
        <f aca="false">C33-152000</f>
        <v>209506</v>
      </c>
      <c r="F33" s="56" t="n">
        <f aca="false">D33/$D$2</f>
        <v>-608.016133098059</v>
      </c>
      <c r="G33" s="56" t="n">
        <v>3090</v>
      </c>
      <c r="H33" s="58" t="n">
        <v>194</v>
      </c>
      <c r="I33" s="56" t="n">
        <f aca="false">G33+H33</f>
        <v>3284</v>
      </c>
      <c r="J33" s="81" t="n">
        <f aca="false">IF(L33&gt;0,L33,0)</f>
        <v>293.983866901941</v>
      </c>
      <c r="K33" s="56" t="n">
        <f aca="false">I33+J33</f>
        <v>3577.98386690194</v>
      </c>
      <c r="L33" s="56" t="n">
        <f aca="false">F33-(I33-W33)</f>
        <v>293.983866901941</v>
      </c>
      <c r="M33" s="56" t="n">
        <v>223</v>
      </c>
      <c r="N33" s="56" t="n">
        <f aca="false">(4.3+3.5)*1.05</f>
        <v>8.19</v>
      </c>
      <c r="O33" s="56" t="n">
        <f aca="false">M33-N33</f>
        <v>214.81</v>
      </c>
      <c r="P33" s="56" t="n">
        <v>140</v>
      </c>
      <c r="Q33" s="56" t="n">
        <v>83</v>
      </c>
      <c r="R33" s="56" t="n">
        <f aca="false">SUM(O33:Q33)</f>
        <v>437.81</v>
      </c>
      <c r="S33" s="57"/>
      <c r="T33" s="56" t="n">
        <v>100</v>
      </c>
      <c r="U33" s="56" t="n">
        <v>3640</v>
      </c>
      <c r="V33" s="57" t="str">
        <f aca="false">APR!$V$47</f>
        <v> </v>
      </c>
      <c r="W33" s="56" t="n">
        <f aca="false">R33+T33+N33+U33</f>
        <v>4186</v>
      </c>
      <c r="X33" s="56" t="n">
        <f aca="false">IF(L33&lt;0,L33*-1,0)</f>
        <v>0</v>
      </c>
      <c r="Y33" s="56" t="n">
        <f aca="false">W33+X33</f>
        <v>4186</v>
      </c>
      <c r="Z33" s="60" t="n">
        <v>0</v>
      </c>
      <c r="AA33" s="61" t="n">
        <v>67</v>
      </c>
      <c r="AB33" s="61" t="n">
        <v>35</v>
      </c>
      <c r="AC33" s="62" t="n">
        <f aca="false">AC32+1</f>
        <v>24</v>
      </c>
      <c r="AD33" s="78"/>
      <c r="AE33" s="82"/>
      <c r="AF33" s="79"/>
    </row>
    <row r="34" customFormat="false" ht="11.1" hidden="false" customHeight="true" outlineLevel="0" collapsed="false">
      <c r="A34" s="62" t="n">
        <f aca="false">A33+1</f>
        <v>25</v>
      </c>
      <c r="B34" s="80" t="n">
        <v>6919.47</v>
      </c>
      <c r="C34" s="57" t="n">
        <v>361291</v>
      </c>
      <c r="D34" s="61" t="n">
        <f aca="false">C34-C33</f>
        <v>-215</v>
      </c>
      <c r="E34" s="57" t="n">
        <f aca="false">C34-152000</f>
        <v>209291</v>
      </c>
      <c r="F34" s="56" t="n">
        <f aca="false">D34/$D$2</f>
        <v>-108.394252583816</v>
      </c>
      <c r="G34" s="56" t="n">
        <v>3130</v>
      </c>
      <c r="H34" s="58" t="n">
        <v>248</v>
      </c>
      <c r="I34" s="56" t="n">
        <f aca="false">G34+H34</f>
        <v>3378</v>
      </c>
      <c r="J34" s="81" t="n">
        <f aca="false">IF(L34&gt;0,L34,0)</f>
        <v>531.605747416184</v>
      </c>
      <c r="K34" s="56" t="n">
        <f aca="false">I34+J34</f>
        <v>3909.60574741618</v>
      </c>
      <c r="L34" s="56" t="n">
        <f aca="false">F34-(I34-W34)</f>
        <v>531.605747416184</v>
      </c>
      <c r="M34" s="56" t="n">
        <v>251</v>
      </c>
      <c r="N34" s="56" t="n">
        <f aca="false">(1.9+1.1)*1.05</f>
        <v>3.15</v>
      </c>
      <c r="O34" s="56" t="n">
        <f aca="false">M34-N34</f>
        <v>247.85</v>
      </c>
      <c r="P34" s="56" t="n">
        <v>140</v>
      </c>
      <c r="Q34" s="56" t="n">
        <v>83</v>
      </c>
      <c r="R34" s="56" t="n">
        <f aca="false">SUM(O34:Q34)</f>
        <v>470.85</v>
      </c>
      <c r="S34" s="57"/>
      <c r="T34" s="56" t="n">
        <v>24</v>
      </c>
      <c r="U34" s="56" t="n">
        <v>3520</v>
      </c>
      <c r="V34" s="57" t="str">
        <f aca="false">APR!$V$47</f>
        <v> </v>
      </c>
      <c r="W34" s="56" t="n">
        <f aca="false">R34+T34+N34+U34</f>
        <v>4018</v>
      </c>
      <c r="X34" s="56" t="n">
        <f aca="false">IF(L34&lt;0,L34*-1,0)</f>
        <v>0</v>
      </c>
      <c r="Y34" s="56" t="n">
        <f aca="false">W34+X34</f>
        <v>4018</v>
      </c>
      <c r="Z34" s="60" t="n">
        <v>0</v>
      </c>
      <c r="AA34" s="61" t="n">
        <v>64</v>
      </c>
      <c r="AB34" s="61" t="n">
        <v>32</v>
      </c>
      <c r="AC34" s="62" t="n">
        <f aca="false">AC33+1</f>
        <v>25</v>
      </c>
      <c r="AD34" s="78"/>
      <c r="AE34" s="82"/>
      <c r="AF34" s="79"/>
    </row>
    <row r="35" customFormat="false" ht="11.1" hidden="false" customHeight="true" outlineLevel="0" collapsed="false">
      <c r="A35" s="62" t="n">
        <f aca="false">A34+1</f>
        <v>26</v>
      </c>
      <c r="B35" s="80" t="n">
        <v>6919.22</v>
      </c>
      <c r="C35" s="57" t="n">
        <v>360214</v>
      </c>
      <c r="D35" s="61" t="n">
        <f aca="false">C35-C34</f>
        <v>-1077</v>
      </c>
      <c r="E35" s="57" t="n">
        <f aca="false">C35-152000</f>
        <v>208214</v>
      </c>
      <c r="F35" s="56" t="n">
        <f aca="false">D35/$D$2</f>
        <v>-542.979581547769</v>
      </c>
      <c r="G35" s="56" t="n">
        <v>2910</v>
      </c>
      <c r="H35" s="58" t="n">
        <v>220</v>
      </c>
      <c r="I35" s="56" t="n">
        <f aca="false">G35+H35</f>
        <v>3130</v>
      </c>
      <c r="J35" s="81" t="n">
        <f aca="false">IF(L35&gt;0,L35,0)</f>
        <v>183.020418452231</v>
      </c>
      <c r="K35" s="56" t="n">
        <f aca="false">I35+J35</f>
        <v>3313.02041845223</v>
      </c>
      <c r="L35" s="56" t="n">
        <f aca="false">F35-(I35-W35)</f>
        <v>183.020418452231</v>
      </c>
      <c r="M35" s="56" t="n">
        <v>128</v>
      </c>
      <c r="N35" s="56" t="n">
        <v>0</v>
      </c>
      <c r="O35" s="56" t="n">
        <f aca="false">M35-N35</f>
        <v>128</v>
      </c>
      <c r="P35" s="56" t="n">
        <v>140</v>
      </c>
      <c r="Q35" s="56" t="n">
        <v>83</v>
      </c>
      <c r="R35" s="56" t="n">
        <f aca="false">SUM(O35:Q35)</f>
        <v>351</v>
      </c>
      <c r="S35" s="57"/>
      <c r="T35" s="56" t="n">
        <v>45</v>
      </c>
      <c r="U35" s="56" t="n">
        <v>3460</v>
      </c>
      <c r="V35" s="57" t="str">
        <f aca="false">APR!$V$47</f>
        <v> </v>
      </c>
      <c r="W35" s="56" t="n">
        <f aca="false">R35+T35+N35+U35</f>
        <v>3856</v>
      </c>
      <c r="X35" s="56" t="n">
        <f aca="false">IF(L35&lt;0,L35*-1,0)</f>
        <v>0</v>
      </c>
      <c r="Y35" s="56" t="n">
        <f aca="false">W35+X35</f>
        <v>3856</v>
      </c>
      <c r="Z35" s="60" t="n">
        <v>0.74</v>
      </c>
      <c r="AA35" s="61" t="n">
        <v>58</v>
      </c>
      <c r="AB35" s="61" t="n">
        <v>34</v>
      </c>
      <c r="AC35" s="62" t="n">
        <f aca="false">AC34+1</f>
        <v>26</v>
      </c>
      <c r="AD35" s="78"/>
      <c r="AE35" s="82"/>
      <c r="AF35" s="79"/>
    </row>
    <row r="36" customFormat="false" ht="11.1" hidden="false" customHeight="true" outlineLevel="0" collapsed="false">
      <c r="A36" s="62" t="n">
        <f aca="false">A35+1</f>
        <v>27</v>
      </c>
      <c r="B36" s="80" t="n">
        <v>6918.69</v>
      </c>
      <c r="C36" s="57" t="n">
        <v>357942</v>
      </c>
      <c r="D36" s="61" t="n">
        <f aca="false">C36-C35</f>
        <v>-2272</v>
      </c>
      <c r="E36" s="57" t="n">
        <f aca="false">C36-152000</f>
        <v>205942</v>
      </c>
      <c r="F36" s="56" t="n">
        <f aca="false">D36/$D$2</f>
        <v>-1145.44996218805</v>
      </c>
      <c r="G36" s="56" t="n">
        <v>2420</v>
      </c>
      <c r="H36" s="58" t="n">
        <v>143</v>
      </c>
      <c r="I36" s="56" t="n">
        <f aca="false">G36+H36</f>
        <v>2563</v>
      </c>
      <c r="J36" s="81" t="n">
        <f aca="false">IF(L36&gt;0,L36,0)</f>
        <v>201.550037811949</v>
      </c>
      <c r="K36" s="56" t="n">
        <f aca="false">I36+J36</f>
        <v>2764.55003781195</v>
      </c>
      <c r="L36" s="56" t="n">
        <f aca="false">F36-(I36-W36)</f>
        <v>201.550037811949</v>
      </c>
      <c r="M36" s="56" t="n">
        <v>138</v>
      </c>
      <c r="N36" s="56" t="n">
        <v>0</v>
      </c>
      <c r="O36" s="56" t="n">
        <f aca="false">M36-N36</f>
        <v>138</v>
      </c>
      <c r="P36" s="56" t="n">
        <v>139</v>
      </c>
      <c r="Q36" s="56" t="n">
        <v>82</v>
      </c>
      <c r="R36" s="56" t="n">
        <f aca="false">SUM(O36:Q36)</f>
        <v>359</v>
      </c>
      <c r="S36" s="57"/>
      <c r="T36" s="56" t="n">
        <v>91</v>
      </c>
      <c r="U36" s="56" t="n">
        <v>3460</v>
      </c>
      <c r="V36" s="57" t="str">
        <f aca="false">APR!$V$47</f>
        <v> </v>
      </c>
      <c r="W36" s="56" t="n">
        <f aca="false">R36+T36+N36+U36</f>
        <v>3910</v>
      </c>
      <c r="X36" s="56" t="n">
        <f aca="false">IF(L36&lt;0,L36*-1,0)</f>
        <v>0</v>
      </c>
      <c r="Y36" s="56" t="n">
        <f aca="false">W36+X36</f>
        <v>3910</v>
      </c>
      <c r="Z36" s="60" t="n">
        <v>0</v>
      </c>
      <c r="AA36" s="61" t="n">
        <v>69</v>
      </c>
      <c r="AB36" s="61" t="n">
        <v>36</v>
      </c>
      <c r="AC36" s="62" t="n">
        <f aca="false">AC35+1</f>
        <v>27</v>
      </c>
      <c r="AD36" s="78"/>
      <c r="AE36" s="82"/>
      <c r="AF36" s="79"/>
    </row>
    <row r="37" customFormat="false" ht="11.1" hidden="false" customHeight="true" outlineLevel="0" collapsed="false">
      <c r="A37" s="62" t="n">
        <v>28</v>
      </c>
      <c r="B37" s="80" t="n">
        <v>6918.06</v>
      </c>
      <c r="C37" s="57" t="n">
        <v>355250</v>
      </c>
      <c r="D37" s="61" t="n">
        <f aca="false">C37-C36</f>
        <v>-2692</v>
      </c>
      <c r="E37" s="57" t="n">
        <f aca="false">C37-152000</f>
        <v>203250</v>
      </c>
      <c r="F37" s="56" t="n">
        <f aca="false">D37/$D$2</f>
        <v>-1357.19687421225</v>
      </c>
      <c r="G37" s="56" t="n">
        <v>2210</v>
      </c>
      <c r="H37" s="58" t="n">
        <v>102</v>
      </c>
      <c r="I37" s="56" t="n">
        <f aca="false">G37+H37</f>
        <v>2312</v>
      </c>
      <c r="J37" s="81" t="n">
        <f aca="false">IF(L37&gt;0,L37,0)</f>
        <v>44.803125787749</v>
      </c>
      <c r="K37" s="56" t="n">
        <f aca="false">I37+J37</f>
        <v>2356.80312578775</v>
      </c>
      <c r="L37" s="56" t="n">
        <f aca="false">F37-(I37-W37)</f>
        <v>44.803125787749</v>
      </c>
      <c r="M37" s="56" t="n">
        <v>120</v>
      </c>
      <c r="N37" s="56" t="n">
        <f aca="false">(0.55+0.56)*1.05</f>
        <v>1.1655</v>
      </c>
      <c r="O37" s="56" t="n">
        <f aca="false">M37-N37</f>
        <v>118.8345</v>
      </c>
      <c r="P37" s="56" t="n">
        <v>139</v>
      </c>
      <c r="Q37" s="56" t="n">
        <v>83</v>
      </c>
      <c r="R37" s="56" t="n">
        <f aca="false">SUM(O37:Q37)</f>
        <v>340.8345</v>
      </c>
      <c r="S37" s="57"/>
      <c r="T37" s="56" t="n">
        <v>142</v>
      </c>
      <c r="U37" s="56" t="n">
        <v>3230</v>
      </c>
      <c r="V37" s="57" t="str">
        <f aca="false">APR!$V$47</f>
        <v> </v>
      </c>
      <c r="W37" s="56" t="n">
        <f aca="false">R37+T37+N37+U37</f>
        <v>3714</v>
      </c>
      <c r="X37" s="56" t="n">
        <f aca="false">IF(L37&lt;0,L37*-1,0)</f>
        <v>0</v>
      </c>
      <c r="Y37" s="56" t="n">
        <f aca="false">W37+X37</f>
        <v>3714</v>
      </c>
      <c r="Z37" s="60" t="n">
        <v>0</v>
      </c>
      <c r="AA37" s="61" t="n">
        <v>73</v>
      </c>
      <c r="AB37" s="61" t="n">
        <v>40</v>
      </c>
      <c r="AC37" s="62" t="n">
        <v>28</v>
      </c>
      <c r="AD37" s="78"/>
      <c r="AE37" s="82"/>
      <c r="AF37" s="79"/>
    </row>
    <row r="38" customFormat="false" ht="11.1" hidden="false" customHeight="true" outlineLevel="0" collapsed="false">
      <c r="A38" s="62" t="n">
        <v>29</v>
      </c>
      <c r="B38" s="80" t="n">
        <v>6917.57</v>
      </c>
      <c r="C38" s="57" t="n">
        <v>353171</v>
      </c>
      <c r="D38" s="61" t="n">
        <f aca="false">C38-C37</f>
        <v>-2079</v>
      </c>
      <c r="E38" s="57" t="n">
        <f aca="false">C38-152000</f>
        <v>201171</v>
      </c>
      <c r="F38" s="56" t="n">
        <f aca="false">D38/$D$2</f>
        <v>-1048.14721451979</v>
      </c>
      <c r="G38" s="56" t="n">
        <v>2140</v>
      </c>
      <c r="H38" s="58" t="n">
        <v>58</v>
      </c>
      <c r="I38" s="56" t="n">
        <f aca="false">G38+H38</f>
        <v>2198</v>
      </c>
      <c r="J38" s="81" t="n">
        <f aca="false">IF(L38&gt;0,L38,0)</f>
        <v>110.852785480212</v>
      </c>
      <c r="K38" s="56" t="n">
        <f aca="false">I38+J38</f>
        <v>2308.85278548021</v>
      </c>
      <c r="L38" s="56" t="n">
        <f aca="false">F38-(I38-W38)</f>
        <v>110.852785480212</v>
      </c>
      <c r="M38" s="56" t="n">
        <v>185</v>
      </c>
      <c r="N38" s="56" t="n">
        <f aca="false">(9.1+8.4)*1.05</f>
        <v>18.375</v>
      </c>
      <c r="O38" s="56" t="n">
        <f aca="false">M38-N38</f>
        <v>166.625</v>
      </c>
      <c r="P38" s="56" t="n">
        <v>141</v>
      </c>
      <c r="Q38" s="56" t="n">
        <v>83</v>
      </c>
      <c r="R38" s="56" t="n">
        <f aca="false">SUM(O38:Q38)</f>
        <v>390.625</v>
      </c>
      <c r="S38" s="57"/>
      <c r="T38" s="56" t="n">
        <v>148</v>
      </c>
      <c r="U38" s="56" t="n">
        <v>2800</v>
      </c>
      <c r="V38" s="57" t="str">
        <f aca="false">APR!$V$47</f>
        <v> </v>
      </c>
      <c r="W38" s="56" t="n">
        <f aca="false">R38+T38+N38+U38</f>
        <v>3357</v>
      </c>
      <c r="X38" s="56" t="n">
        <f aca="false">IF(L38&lt;0,L38*-1,0)</f>
        <v>0</v>
      </c>
      <c r="Y38" s="56" t="n">
        <f aca="false">W38+X38</f>
        <v>3357</v>
      </c>
      <c r="Z38" s="60" t="n">
        <v>0</v>
      </c>
      <c r="AA38" s="61" t="n">
        <v>81</v>
      </c>
      <c r="AB38" s="61" t="n">
        <v>51</v>
      </c>
      <c r="AC38" s="62" t="n">
        <v>29</v>
      </c>
      <c r="AD38" s="78"/>
      <c r="AE38" s="82"/>
      <c r="AF38" s="79"/>
    </row>
    <row r="39" customFormat="false" ht="11.1" hidden="false" customHeight="true" outlineLevel="0" collapsed="false">
      <c r="A39" s="62" t="n">
        <v>30</v>
      </c>
      <c r="B39" s="80" t="n">
        <v>6917.31</v>
      </c>
      <c r="C39" s="57" t="n">
        <v>352068</v>
      </c>
      <c r="D39" s="61" t="n">
        <f aca="false">C39-C38</f>
        <v>-1103</v>
      </c>
      <c r="E39" s="57" t="n">
        <f aca="false">C39-152000</f>
        <v>200068</v>
      </c>
      <c r="F39" s="56" t="n">
        <f aca="false">D39/$D$2</f>
        <v>-556.087723720696</v>
      </c>
      <c r="G39" s="56" t="n">
        <v>2520</v>
      </c>
      <c r="H39" s="58" t="n">
        <v>58</v>
      </c>
      <c r="I39" s="56" t="n">
        <f aca="false">G39+H39</f>
        <v>2578</v>
      </c>
      <c r="J39" s="81" t="n">
        <f aca="false">IF(L39&gt;0,L39,0)</f>
        <v>50.8822762793045</v>
      </c>
      <c r="K39" s="56" t="n">
        <f aca="false">I39+J39</f>
        <v>2628.8822762793</v>
      </c>
      <c r="L39" s="56" t="n">
        <f aca="false">F39-(I39-W39)</f>
        <v>50.8822762793045</v>
      </c>
      <c r="M39" s="56" t="n">
        <v>229</v>
      </c>
      <c r="N39" s="56" t="n">
        <f aca="false">(23+24)*1.05</f>
        <v>49.35</v>
      </c>
      <c r="O39" s="56" t="n">
        <f aca="false">M39-N39</f>
        <v>179.65</v>
      </c>
      <c r="P39" s="56" t="n">
        <v>143.97</v>
      </c>
      <c r="Q39" s="56" t="n">
        <v>83</v>
      </c>
      <c r="R39" s="56" t="n">
        <f aca="false">SUM(O39:Q39)</f>
        <v>406.62</v>
      </c>
      <c r="S39" s="57"/>
      <c r="T39" s="56" t="n">
        <v>119</v>
      </c>
      <c r="U39" s="56" t="n">
        <v>2610</v>
      </c>
      <c r="V39" s="57" t="str">
        <f aca="false">APR!$V$47</f>
        <v> </v>
      </c>
      <c r="W39" s="56" t="n">
        <f aca="false">R39+T39+N39+U39</f>
        <v>3184.97</v>
      </c>
      <c r="X39" s="56" t="n">
        <f aca="false">IF(L39&lt;0,L39*-1,0)</f>
        <v>0</v>
      </c>
      <c r="Y39" s="56" t="n">
        <f aca="false">W39+X39</f>
        <v>3184.97</v>
      </c>
      <c r="Z39" s="60" t="n">
        <v>0</v>
      </c>
      <c r="AA39" s="61" t="n">
        <v>90</v>
      </c>
      <c r="AB39" s="61" t="n">
        <v>53</v>
      </c>
      <c r="AC39" s="62" t="n">
        <v>30</v>
      </c>
      <c r="AD39" s="78"/>
      <c r="AE39" s="82"/>
      <c r="AF39" s="79"/>
    </row>
    <row r="40" customFormat="false" ht="11.1" hidden="false" customHeight="true" outlineLevel="0" collapsed="false">
      <c r="A40" s="62" t="n">
        <v>31</v>
      </c>
      <c r="B40" s="80" t="n">
        <v>6917.89</v>
      </c>
      <c r="C40" s="57" t="n">
        <v>354527</v>
      </c>
      <c r="D40" s="61" t="n">
        <f aca="false">C40-C39</f>
        <v>2459</v>
      </c>
      <c r="E40" s="57" t="n">
        <f aca="false">C40-152000</f>
        <v>202527</v>
      </c>
      <c r="F40" s="56" t="n">
        <f aca="false">D40/$D$2</f>
        <v>1239.72775397025</v>
      </c>
      <c r="G40" s="56" t="n">
        <v>3640</v>
      </c>
      <c r="H40" s="58" t="n">
        <v>65</v>
      </c>
      <c r="I40" s="56" t="n">
        <f aca="false">G40+H40</f>
        <v>3705</v>
      </c>
      <c r="J40" s="81" t="n">
        <f aca="false">IF(L40&gt;0,L40,0)</f>
        <v>709.727753970255</v>
      </c>
      <c r="K40" s="56" t="n">
        <f aca="false">I40+J40</f>
        <v>4414.72775397025</v>
      </c>
      <c r="L40" s="56" t="n">
        <f aca="false">F40-(I40-W40)</f>
        <v>709.727753970255</v>
      </c>
      <c r="M40" s="56" t="n">
        <v>267</v>
      </c>
      <c r="N40" s="56" t="n">
        <f aca="false">(31+30)*1.05</f>
        <v>64.05</v>
      </c>
      <c r="O40" s="56" t="n">
        <f aca="false">M40-N40</f>
        <v>202.95</v>
      </c>
      <c r="P40" s="56" t="n">
        <v>143</v>
      </c>
      <c r="Q40" s="56" t="n">
        <v>83</v>
      </c>
      <c r="R40" s="56" t="n">
        <f aca="false">SUM(O40:Q40)</f>
        <v>428.95</v>
      </c>
      <c r="S40" s="57"/>
      <c r="T40" s="56" t="n">
        <v>112</v>
      </c>
      <c r="U40" s="56" t="n">
        <v>2570</v>
      </c>
      <c r="V40" s="57" t="str">
        <f aca="false">APR!$V$47</f>
        <v> </v>
      </c>
      <c r="W40" s="56" t="n">
        <f aca="false">R40+T40+N40+U40</f>
        <v>3175</v>
      </c>
      <c r="X40" s="56" t="n">
        <f aca="false">IF(L40&lt;0,L40*-1,0)</f>
        <v>0</v>
      </c>
      <c r="Y40" s="56" t="n">
        <f aca="false">W40+X40</f>
        <v>3175</v>
      </c>
      <c r="Z40" s="60" t="n">
        <v>0</v>
      </c>
      <c r="AA40" s="61" t="n">
        <v>90</v>
      </c>
      <c r="AB40" s="61" t="n">
        <v>54</v>
      </c>
      <c r="AC40" s="62" t="n">
        <v>31</v>
      </c>
      <c r="AD40" s="78"/>
      <c r="AE40" s="82"/>
      <c r="AF40" s="79"/>
    </row>
    <row r="41" customFormat="false" ht="3" hidden="false" customHeight="true" outlineLevel="0" collapsed="false">
      <c r="A41" s="83"/>
      <c r="B41" s="83"/>
      <c r="C41" s="85"/>
      <c r="D41" s="83"/>
      <c r="E41" s="85"/>
      <c r="F41" s="83"/>
      <c r="G41" s="83"/>
      <c r="H41" s="86"/>
      <c r="I41" s="83"/>
      <c r="J41" s="83"/>
      <c r="K41" s="83"/>
      <c r="L41" s="83"/>
      <c r="M41" s="83"/>
      <c r="N41" s="83"/>
      <c r="O41" s="83"/>
      <c r="P41" s="83"/>
      <c r="Q41" s="83"/>
      <c r="R41" s="83"/>
      <c r="S41" s="85"/>
      <c r="T41" s="83"/>
      <c r="U41" s="83"/>
      <c r="V41" s="83"/>
      <c r="W41" s="83"/>
      <c r="X41" s="83"/>
      <c r="Y41" s="83"/>
      <c r="Z41" s="87"/>
      <c r="AA41" s="88" t="n">
        <v>73</v>
      </c>
      <c r="AB41" s="88"/>
      <c r="AC41" s="89"/>
      <c r="AD41" s="78"/>
      <c r="AE41" s="78"/>
      <c r="AF41" s="79"/>
    </row>
    <row r="42" customFormat="false" ht="11.1" hidden="false" customHeight="true" outlineLevel="0" collapsed="false">
      <c r="A42" s="56" t="s">
        <v>45</v>
      </c>
      <c r="B42" s="56"/>
      <c r="C42" s="57"/>
      <c r="D42" s="57"/>
      <c r="E42" s="57"/>
      <c r="F42" s="57" t="n">
        <f aca="false">SUM(F10:F40)</f>
        <v>-4495.5886059995</v>
      </c>
      <c r="G42" s="57" t="n">
        <f aca="false">SUM(G10:G40)</f>
        <v>85780</v>
      </c>
      <c r="H42" s="57" t="n">
        <f aca="false">SUM(H10:H40)</f>
        <v>5257</v>
      </c>
      <c r="I42" s="57" t="n">
        <f aca="false">SUM(I10:I40)</f>
        <v>91037</v>
      </c>
      <c r="J42" s="57" t="n">
        <f aca="false">SUM(J10:J40)</f>
        <v>10148.2113940005</v>
      </c>
      <c r="K42" s="57" t="n">
        <f aca="false">SUM(K10:K40)</f>
        <v>101185.211394001</v>
      </c>
      <c r="L42" s="57" t="n">
        <f aca="false">SUM(L10:L40)</f>
        <v>10148.2113940005</v>
      </c>
      <c r="M42" s="57" t="n">
        <f aca="false">SUM(M10:M40)</f>
        <v>7448</v>
      </c>
      <c r="N42" s="57" t="n">
        <f aca="false">SUM(N10:N40)</f>
        <v>1274.259</v>
      </c>
      <c r="O42" s="57" t="n">
        <f aca="false">SUM(O10:O40)</f>
        <v>6173.741</v>
      </c>
      <c r="P42" s="57" t="n">
        <f aca="false">SUM(P10:P40)</f>
        <v>2084.97</v>
      </c>
      <c r="Q42" s="57" t="n">
        <f aca="false">SUM(Q10:Q40)</f>
        <v>1544.15</v>
      </c>
      <c r="R42" s="57" t="n">
        <f aca="false">SUM(R10:R40)</f>
        <v>9802.861</v>
      </c>
      <c r="S42" s="57"/>
      <c r="T42" s="57" t="n">
        <f aca="false">SUM(T10:T40)</f>
        <v>2003.68</v>
      </c>
      <c r="U42" s="57" t="n">
        <f aca="false">SUM(U10:U40)</f>
        <v>92600</v>
      </c>
      <c r="V42" s="57"/>
      <c r="W42" s="57" t="n">
        <f aca="false">SUM(W10:W40)</f>
        <v>105680.8</v>
      </c>
      <c r="X42" s="57" t="n">
        <f aca="false">SUM(X10:X40)</f>
        <v>0</v>
      </c>
      <c r="Y42" s="57" t="n">
        <f aca="false">SUM(Y10:Y40)</f>
        <v>105680.8</v>
      </c>
      <c r="Z42" s="60" t="n">
        <f aca="false">SUM(Z10:Z40)</f>
        <v>1.32</v>
      </c>
      <c r="AA42" s="61" t="n">
        <f aca="false">AVERAGE(AA10:AA40)</f>
        <v>73.0645161290323</v>
      </c>
      <c r="AB42" s="61" t="n">
        <f aca="false">AVERAGE(AB10:AB40)</f>
        <v>42.2903225806452</v>
      </c>
      <c r="AC42" s="62"/>
      <c r="AD42" s="78"/>
      <c r="AE42" s="78"/>
      <c r="AF42" s="79"/>
    </row>
    <row r="43" customFormat="false" ht="11.1" hidden="false" customHeight="true" outlineLevel="0" collapsed="false">
      <c r="A43" s="56" t="s">
        <v>46</v>
      </c>
      <c r="B43" s="56"/>
      <c r="C43" s="57"/>
      <c r="D43" s="57" t="n">
        <f aca="false">SUM(D10:D40)</f>
        <v>-8917</v>
      </c>
      <c r="E43" s="57"/>
      <c r="F43" s="57" t="n">
        <f aca="false">F42*$D$2</f>
        <v>-8917</v>
      </c>
      <c r="G43" s="57" t="n">
        <f aca="false">G42*$D$2</f>
        <v>170144.63</v>
      </c>
      <c r="H43" s="57" t="n">
        <f aca="false">H42*$D$2</f>
        <v>10427.2595</v>
      </c>
      <c r="I43" s="57" t="n">
        <f aca="false">I42*$D$2</f>
        <v>180571.8895</v>
      </c>
      <c r="J43" s="57" t="n">
        <f aca="false">J42*$D$2</f>
        <v>20128.9773</v>
      </c>
      <c r="K43" s="57" t="n">
        <f aca="false">K42*$D$2</f>
        <v>200700.8668</v>
      </c>
      <c r="L43" s="57" t="n">
        <f aca="false">L42*$D$2</f>
        <v>20128.9773</v>
      </c>
      <c r="M43" s="57" t="n">
        <f aca="false">M42*$D$2</f>
        <v>14773.108</v>
      </c>
      <c r="N43" s="57" t="n">
        <f aca="false">N42*$D$2</f>
        <v>2527.4927265</v>
      </c>
      <c r="O43" s="57" t="n">
        <f aca="false">O42*$D$2</f>
        <v>12245.6152735</v>
      </c>
      <c r="P43" s="57" t="n">
        <f aca="false">P42*$D$2</f>
        <v>4135.537995</v>
      </c>
      <c r="Q43" s="57" t="n">
        <f aca="false">Q42*$D$2</f>
        <v>3062.821525</v>
      </c>
      <c r="R43" s="57" t="n">
        <f aca="false">R42*$D$2</f>
        <v>19443.9747935</v>
      </c>
      <c r="S43" s="57"/>
      <c r="T43" s="57" t="n">
        <f aca="false">T42*$D$2</f>
        <v>3974.29928</v>
      </c>
      <c r="U43" s="57" t="n">
        <f aca="false">U42*$D$2</f>
        <v>183672.1</v>
      </c>
      <c r="V43" s="57"/>
      <c r="W43" s="109" t="n">
        <f aca="false">W42*$D$2</f>
        <v>209617.8668</v>
      </c>
      <c r="X43" s="57" t="n">
        <f aca="false">X42*$D$2</f>
        <v>0</v>
      </c>
      <c r="Y43" s="57" t="n">
        <f aca="false">Y42*$D$2</f>
        <v>209617.8668</v>
      </c>
      <c r="Z43" s="60"/>
      <c r="AA43" s="61" t="n">
        <f aca="false">MAX(AA10:AA40)</f>
        <v>90</v>
      </c>
      <c r="AB43" s="61" t="n">
        <f aca="false">MAX(AB10:AB40)</f>
        <v>54</v>
      </c>
      <c r="AC43" s="62" t="s">
        <v>47</v>
      </c>
      <c r="AD43" s="78"/>
      <c r="AE43" s="78"/>
      <c r="AF43" s="79"/>
    </row>
    <row r="44" customFormat="false" ht="3" hidden="false" customHeight="true" outlineLevel="0" collapsed="false">
      <c r="A44" s="83"/>
      <c r="B44" s="83"/>
      <c r="C44" s="85"/>
      <c r="D44" s="85"/>
      <c r="E44" s="85"/>
      <c r="F44" s="85"/>
      <c r="G44" s="85"/>
      <c r="H44" s="85"/>
      <c r="I44" s="85"/>
      <c r="J44" s="85"/>
      <c r="K44" s="85"/>
      <c r="L44" s="85"/>
      <c r="M44" s="85"/>
      <c r="N44" s="85"/>
      <c r="O44" s="85"/>
      <c r="P44" s="85"/>
      <c r="Q44" s="85"/>
      <c r="R44" s="85"/>
      <c r="S44" s="85"/>
      <c r="T44" s="85"/>
      <c r="U44" s="85"/>
      <c r="V44" s="83"/>
      <c r="W44" s="85"/>
      <c r="X44" s="85"/>
      <c r="Y44" s="85"/>
      <c r="Z44" s="60"/>
      <c r="AA44" s="61"/>
      <c r="AB44" s="61"/>
      <c r="AC44" s="62"/>
      <c r="AD44" s="78"/>
      <c r="AE44" s="78"/>
      <c r="AF44" s="79"/>
    </row>
    <row r="45" customFormat="false" ht="11.1" hidden="false" customHeight="true" outlineLevel="0" collapsed="false">
      <c r="A45" s="56" t="s">
        <v>48</v>
      </c>
      <c r="B45" s="56"/>
      <c r="C45" s="57"/>
      <c r="D45" s="57"/>
      <c r="E45" s="57"/>
      <c r="F45" s="57" t="n">
        <f aca="false">F7+F42</f>
        <v>14847.9959667255</v>
      </c>
      <c r="G45" s="57" t="n">
        <f aca="false">G7+G42</f>
        <v>113710</v>
      </c>
      <c r="H45" s="57" t="n">
        <f aca="false">H7+H42</f>
        <v>9948</v>
      </c>
      <c r="I45" s="57" t="n">
        <f aca="false">I7+I42</f>
        <v>123658</v>
      </c>
      <c r="J45" s="57" t="n">
        <f aca="false">J7+J42</f>
        <v>25873.2959667255</v>
      </c>
      <c r="K45" s="57" t="n">
        <f aca="false">K7+K42</f>
        <v>149531.295966726</v>
      </c>
      <c r="L45" s="57" t="n">
        <f aca="false">L7+L42</f>
        <v>25873.2959667255</v>
      </c>
      <c r="M45" s="57" t="n">
        <f aca="false">M7+M42</f>
        <v>8444.6</v>
      </c>
      <c r="N45" s="57" t="n">
        <f aca="false">N7+N42</f>
        <v>1741.698</v>
      </c>
      <c r="O45" s="57" t="n">
        <f aca="false">O7+O42</f>
        <v>6702.902</v>
      </c>
      <c r="P45" s="57" t="n">
        <f aca="false">P7+P42</f>
        <v>2084.97</v>
      </c>
      <c r="Q45" s="57" t="n">
        <f aca="false">Q7+Q42</f>
        <v>1544.15</v>
      </c>
      <c r="R45" s="57" t="n">
        <f aca="false">R7+R42</f>
        <v>10332.022</v>
      </c>
      <c r="S45" s="57" t="n">
        <f aca="false">S7+S42</f>
        <v>0</v>
      </c>
      <c r="T45" s="57" t="n">
        <f aca="false">T7+T42</f>
        <v>2219.68</v>
      </c>
      <c r="U45" s="57" t="n">
        <f aca="false">U7+U42</f>
        <v>120389.9</v>
      </c>
      <c r="V45" s="57"/>
      <c r="W45" s="57" t="n">
        <f aca="false">W7+W42</f>
        <v>134683.3</v>
      </c>
      <c r="X45" s="57" t="n">
        <f aca="false">X7+X42</f>
        <v>0</v>
      </c>
      <c r="Y45" s="57" t="n">
        <f aca="false">Y7+Y42</f>
        <v>134683.3</v>
      </c>
      <c r="Z45" s="60"/>
      <c r="AA45" s="61" t="n">
        <f aca="false">MIN(AA10:AA40)</f>
        <v>55</v>
      </c>
      <c r="AB45" s="61" t="n">
        <f aca="false">MIN(AB10:AB40)</f>
        <v>20</v>
      </c>
      <c r="AC45" s="62" t="s">
        <v>49</v>
      </c>
      <c r="AD45" s="78"/>
      <c r="AE45" s="78"/>
      <c r="AF45" s="79"/>
    </row>
    <row r="46" customFormat="false" ht="11.1" hidden="false" customHeight="true" outlineLevel="0" collapsed="false">
      <c r="A46" s="56" t="s">
        <v>50</v>
      </c>
      <c r="B46" s="56"/>
      <c r="C46" s="57"/>
      <c r="D46" s="57"/>
      <c r="E46" s="57"/>
      <c r="F46" s="57" t="n">
        <f aca="false">F45*$D$2</f>
        <v>29451</v>
      </c>
      <c r="G46" s="57" t="n">
        <f aca="false">G45*$D$2</f>
        <v>225543.785</v>
      </c>
      <c r="H46" s="57" t="n">
        <f aca="false">H45*$D$2</f>
        <v>19731.858</v>
      </c>
      <c r="I46" s="57" t="n">
        <f aca="false">I45*$D$2</f>
        <v>245275.643</v>
      </c>
      <c r="J46" s="57" t="n">
        <f aca="false">J45*$D$2</f>
        <v>51319.68255</v>
      </c>
      <c r="K46" s="57" t="n">
        <f aca="false">K45*$D$2</f>
        <v>296595.32555</v>
      </c>
      <c r="L46" s="57" t="n">
        <f aca="false">L45*$D$2</f>
        <v>51319.68255</v>
      </c>
      <c r="M46" s="57" t="n">
        <f aca="false">M45*$D$2</f>
        <v>16749.8641</v>
      </c>
      <c r="N46" s="57" t="n">
        <f aca="false">N45*$D$2</f>
        <v>3454.657983</v>
      </c>
      <c r="O46" s="57" t="n">
        <f aca="false">O45*$D$2</f>
        <v>13295.206117</v>
      </c>
      <c r="P46" s="57" t="n">
        <f aca="false">P45*$D$2</f>
        <v>4135.537995</v>
      </c>
      <c r="Q46" s="57" t="n">
        <f aca="false">Q45*$D$2</f>
        <v>3062.821525</v>
      </c>
      <c r="R46" s="57" t="n">
        <f aca="false">R45*$D$2</f>
        <v>20493.565637</v>
      </c>
      <c r="S46" s="57" t="n">
        <f aca="false">S45*$D$2</f>
        <v>0</v>
      </c>
      <c r="T46" s="57" t="n">
        <f aca="false">T45*$D$2</f>
        <v>4402.73528</v>
      </c>
      <c r="U46" s="57" t="n">
        <f aca="false">U45*$D$2</f>
        <v>238793.36665</v>
      </c>
      <c r="V46" s="57"/>
      <c r="W46" s="57" t="n">
        <f aca="false">W45*$D$2</f>
        <v>267144.32555</v>
      </c>
      <c r="X46" s="57" t="n">
        <f aca="false">X45*$D$2</f>
        <v>0</v>
      </c>
      <c r="Y46" s="57" t="n">
        <f aca="false">Y45*$D$2</f>
        <v>267144.32555</v>
      </c>
      <c r="Z46" s="60"/>
      <c r="AA46" s="61"/>
      <c r="AB46" s="61"/>
      <c r="AC46" s="62"/>
      <c r="AD46" s="78"/>
      <c r="AE46" s="78"/>
      <c r="AF46" s="79"/>
    </row>
    <row r="47" customFormat="false" ht="3" hidden="false" customHeight="true" outlineLevel="0" collapsed="false">
      <c r="A47" s="83"/>
      <c r="B47" s="83"/>
      <c r="C47" s="85"/>
      <c r="D47" s="85"/>
      <c r="E47" s="85"/>
      <c r="F47" s="85"/>
      <c r="G47" s="85"/>
      <c r="H47" s="88"/>
      <c r="I47" s="85"/>
      <c r="J47" s="85"/>
      <c r="K47" s="85"/>
      <c r="L47" s="85"/>
      <c r="M47" s="85"/>
      <c r="N47" s="85"/>
      <c r="O47" s="85"/>
      <c r="P47" s="85"/>
      <c r="Q47" s="85"/>
      <c r="R47" s="85"/>
      <c r="S47" s="85"/>
      <c r="T47" s="85"/>
      <c r="U47" s="85"/>
      <c r="V47" s="85"/>
      <c r="W47" s="85"/>
      <c r="X47" s="85"/>
      <c r="Y47" s="85"/>
      <c r="Z47" s="87"/>
      <c r="AA47" s="61"/>
      <c r="AB47" s="61"/>
      <c r="AC47" s="62"/>
      <c r="AD47" s="78"/>
      <c r="AE47" s="78"/>
      <c r="AF47" s="79"/>
    </row>
    <row r="48" customFormat="false" ht="11.1" hidden="false" customHeight="true" outlineLevel="0" collapsed="false">
      <c r="A48" s="56" t="s">
        <v>51</v>
      </c>
      <c r="B48" s="56"/>
      <c r="C48" s="57"/>
      <c r="D48" s="57"/>
      <c r="E48" s="57"/>
      <c r="F48" s="57" t="n">
        <f aca="false">F8+F42</f>
        <v>54977.5649105117</v>
      </c>
      <c r="G48" s="57" t="n">
        <f aca="false">G8+G42</f>
        <v>140894.79</v>
      </c>
      <c r="H48" s="61" t="n">
        <f aca="false">H8+H42</f>
        <v>13507.7</v>
      </c>
      <c r="I48" s="57" t="n">
        <f aca="false">I8+I42</f>
        <v>154201.59</v>
      </c>
      <c r="J48" s="57" t="n">
        <f aca="false">J8+J42</f>
        <v>42621.9121048651</v>
      </c>
      <c r="K48" s="57" t="n">
        <f aca="false">K8+K42</f>
        <v>196823.502104865</v>
      </c>
      <c r="L48" s="57" t="n">
        <f aca="false">L8+L42</f>
        <v>42044.8449105117</v>
      </c>
      <c r="M48" s="57" t="n">
        <f aca="false">M8+M42</f>
        <v>9446.85</v>
      </c>
      <c r="N48" s="57" t="n">
        <f aca="false">N8+N42</f>
        <v>1788.717</v>
      </c>
      <c r="O48" s="57" t="n">
        <f aca="false">O8+O42</f>
        <v>7389.053</v>
      </c>
      <c r="P48" s="57" t="n">
        <f aca="false">P8+P42</f>
        <v>2192.49</v>
      </c>
      <c r="Q48" s="57" t="n">
        <f aca="false">Q8+Q42</f>
        <v>1742.95</v>
      </c>
      <c r="R48" s="57" t="n">
        <f aca="false">R8+R42</f>
        <v>11531.51</v>
      </c>
      <c r="S48" s="57"/>
      <c r="T48" s="57" t="n">
        <f aca="false">T8+T42</f>
        <v>2219.68</v>
      </c>
      <c r="U48" s="57" t="n">
        <f aca="false">U8+U42</f>
        <v>125666.9</v>
      </c>
      <c r="V48" s="57" t="str">
        <f aca="false">V40</f>
        <v> </v>
      </c>
      <c r="W48" s="57" t="n">
        <f aca="false">W8+W42</f>
        <v>141268.87</v>
      </c>
      <c r="X48" s="57" t="n">
        <f aca="false">X8+X42</f>
        <v>577.067194353416</v>
      </c>
      <c r="Y48" s="57" t="n">
        <f aca="false">Y8+Y42</f>
        <v>141845.937194353</v>
      </c>
      <c r="Z48" s="81" t="n">
        <f aca="false">Z8+Z42</f>
        <v>12.22</v>
      </c>
      <c r="AA48" s="61"/>
      <c r="AB48" s="61"/>
      <c r="AC48" s="62"/>
      <c r="AD48" s="78"/>
      <c r="AE48" s="78"/>
      <c r="AF48" s="79"/>
    </row>
    <row r="49" customFormat="false" ht="11.1" hidden="false" customHeight="true" outlineLevel="0" collapsed="false">
      <c r="A49" s="56" t="s">
        <v>52</v>
      </c>
      <c r="B49" s="56"/>
      <c r="C49" s="57"/>
      <c r="D49" s="57" t="n">
        <f aca="false">D8+D43</f>
        <v>109048</v>
      </c>
      <c r="E49" s="57" t="n">
        <f aca="false">E40</f>
        <v>202527</v>
      </c>
      <c r="F49" s="57" t="n">
        <f aca="false">F48*$D$2</f>
        <v>109048</v>
      </c>
      <c r="G49" s="57" t="n">
        <f aca="false">G48*$D$2</f>
        <v>279464.815965</v>
      </c>
      <c r="H49" s="61" t="n">
        <f aca="false">H48*$D$2</f>
        <v>26792.52295</v>
      </c>
      <c r="I49" s="57" t="n">
        <f aca="false">I48*$D$2</f>
        <v>305858.853765</v>
      </c>
      <c r="J49" s="57" t="n">
        <f aca="false">J48*$D$2</f>
        <v>84540.56266</v>
      </c>
      <c r="K49" s="57" t="n">
        <f aca="false">K48*$D$2</f>
        <v>390399.416425</v>
      </c>
      <c r="L49" s="57" t="n">
        <f aca="false">L48*$D$2</f>
        <v>83395.94988</v>
      </c>
      <c r="M49" s="57" t="n">
        <f aca="false">M48*$D$2</f>
        <v>18737.826975</v>
      </c>
      <c r="N49" s="57" t="n">
        <f aca="false">N48*$D$2</f>
        <v>3547.9201695</v>
      </c>
      <c r="O49" s="57" t="n">
        <f aca="false">O48*$D$2</f>
        <v>14656.1866255</v>
      </c>
      <c r="P49" s="57" t="n">
        <f aca="false">P48*$D$2</f>
        <v>4348.803915</v>
      </c>
      <c r="Q49" s="57" t="n">
        <f aca="false">Q48*$D$2</f>
        <v>3457.141325</v>
      </c>
      <c r="R49" s="57" t="n">
        <f aca="false">R48*$D$2</f>
        <v>22872.750085</v>
      </c>
      <c r="S49" s="57" t="n">
        <f aca="false">S48*$D$2</f>
        <v>0</v>
      </c>
      <c r="T49" s="57" t="n">
        <f aca="false">T48*$D$2</f>
        <v>4402.73528</v>
      </c>
      <c r="U49" s="57" t="n">
        <f aca="false">U48*$D$2</f>
        <v>249260.29615</v>
      </c>
      <c r="V49" s="57" t="e">
        <f aca="false">V48*$D$2</f>
        <v>#VALUE!</v>
      </c>
      <c r="W49" s="57" t="n">
        <f aca="false">W48*$D$2</f>
        <v>280206.803645</v>
      </c>
      <c r="X49" s="57" t="n">
        <f aca="false">X48*$D$2</f>
        <v>1144.61278</v>
      </c>
      <c r="Y49" s="57" t="n">
        <f aca="false">Y48*$D$2</f>
        <v>281351.416425</v>
      </c>
      <c r="Z49" s="60"/>
      <c r="AA49" s="61"/>
      <c r="AB49" s="61"/>
      <c r="AC49" s="62"/>
      <c r="AD49" s="78"/>
      <c r="AE49" s="78"/>
      <c r="AF49" s="79"/>
    </row>
    <row r="50" customFormat="false" ht="3" hidden="false" customHeight="true" outlineLevel="0" collapsed="false">
      <c r="A50" s="83"/>
      <c r="B50" s="83"/>
      <c r="C50" s="85"/>
      <c r="D50" s="83"/>
      <c r="E50" s="85"/>
      <c r="F50" s="83"/>
      <c r="G50" s="83"/>
      <c r="H50" s="86"/>
      <c r="I50" s="83"/>
      <c r="J50" s="83"/>
      <c r="K50" s="83"/>
      <c r="L50" s="83"/>
      <c r="M50" s="83"/>
      <c r="N50" s="83"/>
      <c r="O50" s="83"/>
      <c r="P50" s="83"/>
      <c r="Q50" s="83"/>
      <c r="R50" s="83"/>
      <c r="S50" s="85"/>
      <c r="T50" s="83"/>
      <c r="U50" s="83"/>
      <c r="V50" s="85"/>
      <c r="W50" s="83"/>
      <c r="X50" s="83"/>
      <c r="Y50" s="83"/>
      <c r="Z50" s="60"/>
      <c r="AA50" s="61"/>
      <c r="AB50" s="61"/>
      <c r="AC50" s="62"/>
      <c r="AD50" s="78"/>
      <c r="AE50" s="78"/>
      <c r="AF50" s="79"/>
    </row>
    <row r="51" customFormat="false" ht="11.1" hidden="false" customHeight="true" outlineLevel="0" collapsed="false">
      <c r="A51" s="110" t="str">
        <f aca="false">"JUN 12"</f>
        <v>JUN 12</v>
      </c>
      <c r="B51" s="93"/>
      <c r="C51" s="57"/>
      <c r="D51" s="56"/>
      <c r="E51" s="57"/>
      <c r="F51" s="56"/>
      <c r="G51" s="56"/>
      <c r="H51" s="58"/>
      <c r="I51" s="56"/>
      <c r="J51" s="56"/>
      <c r="K51" s="56"/>
      <c r="L51" s="56"/>
      <c r="M51" s="56"/>
      <c r="N51" s="56"/>
      <c r="O51" s="56"/>
      <c r="P51" s="56"/>
      <c r="Q51" s="56"/>
      <c r="R51" s="56"/>
      <c r="S51" s="57"/>
      <c r="T51" s="56"/>
      <c r="U51" s="56"/>
      <c r="V51" s="57"/>
      <c r="W51" s="56"/>
      <c r="X51" s="56"/>
      <c r="Y51" s="56"/>
      <c r="Z51" s="60"/>
      <c r="AA51" s="61"/>
      <c r="AB51" s="61"/>
      <c r="AC51" s="62"/>
      <c r="AD51" s="63"/>
      <c r="AE51" s="63"/>
    </row>
    <row r="52" customFormat="false" ht="11.1" hidden="false" customHeight="true" outlineLevel="0" collapsed="false">
      <c r="A52" s="56"/>
      <c r="B52" s="80" t="n">
        <v>6923.71</v>
      </c>
      <c r="C52" s="57" t="n">
        <v>379869</v>
      </c>
      <c r="D52" s="90"/>
      <c r="E52" s="57" t="n">
        <f aca="false">C52-152000</f>
        <v>227869</v>
      </c>
      <c r="F52" s="56"/>
      <c r="G52" s="90"/>
      <c r="H52" s="90"/>
      <c r="I52" s="97"/>
      <c r="J52" s="56"/>
      <c r="K52" s="46"/>
      <c r="L52" s="56" t="s">
        <v>76</v>
      </c>
      <c r="M52" s="56"/>
      <c r="N52" s="111" t="n">
        <v>2999</v>
      </c>
      <c r="O52" s="112"/>
      <c r="P52" s="113"/>
      <c r="Q52" s="113"/>
      <c r="R52" s="111" t="n">
        <v>33728</v>
      </c>
      <c r="S52" s="112"/>
      <c r="T52" s="111" t="n">
        <v>14392</v>
      </c>
      <c r="U52" s="56"/>
      <c r="V52" s="57"/>
      <c r="W52" s="109"/>
      <c r="X52" s="56"/>
      <c r="Y52" s="56"/>
      <c r="Z52" s="114" t="n">
        <v>3.9</v>
      </c>
      <c r="AA52" s="115" t="n">
        <v>75</v>
      </c>
      <c r="AB52" s="115" t="n">
        <v>43</v>
      </c>
      <c r="AC52" s="62"/>
      <c r="AD52" s="63"/>
      <c r="AE52" s="63"/>
    </row>
    <row r="53" customFormat="false" ht="11.1" hidden="false" customHeight="true" outlineLevel="0" collapsed="false">
      <c r="A53" s="90" t="str">
        <f aca="false">"5/8/97 thru 6/12/97"</f>
        <v>5/8/97 thru 6/12/97</v>
      </c>
      <c r="B53" s="90"/>
      <c r="C53" s="57"/>
      <c r="D53" s="57"/>
      <c r="E53" s="57"/>
      <c r="F53" s="90"/>
      <c r="G53" s="90"/>
      <c r="H53" s="58"/>
      <c r="I53" s="57"/>
      <c r="J53" s="90"/>
      <c r="K53" s="90"/>
      <c r="L53" s="81" t="s">
        <v>77</v>
      </c>
      <c r="M53" s="0"/>
      <c r="N53" s="97" t="n">
        <f aca="false">N43-N52</f>
        <v>-471.5072735</v>
      </c>
      <c r="O53" s="81"/>
      <c r="P53" s="90"/>
      <c r="Q53" s="90"/>
      <c r="R53" s="97" t="n">
        <f aca="false">R43-R52</f>
        <v>-14284.0252065</v>
      </c>
      <c r="S53" s="57"/>
      <c r="T53" s="116" t="n">
        <f aca="false">T43-T52</f>
        <v>-10417.70072</v>
      </c>
      <c r="U53" s="117"/>
      <c r="V53" s="57"/>
      <c r="W53" s="90"/>
      <c r="X53" s="90"/>
      <c r="Y53" s="90"/>
      <c r="Z53" s="60" t="n">
        <f aca="false">Z48-Z52</f>
        <v>8.32</v>
      </c>
      <c r="AA53" s="61" t="n">
        <f aca="false">AA42-AA52</f>
        <v>-1.93548387096774</v>
      </c>
      <c r="AB53" s="61" t="n">
        <f aca="false">AB42-AB52</f>
        <v>-0.70967741935484</v>
      </c>
      <c r="AC53" s="62"/>
      <c r="AD53" s="94"/>
      <c r="AE53" s="94"/>
    </row>
    <row r="54" customFormat="false" ht="11.1" hidden="false" customHeight="true" outlineLevel="0" collapsed="false">
      <c r="A54" s="90"/>
      <c r="B54" s="60" t="n">
        <f aca="false">B52-B17</f>
        <v>5.14999999999964</v>
      </c>
      <c r="C54" s="57"/>
      <c r="D54" s="57" t="n">
        <f aca="false">C52-C17</f>
        <v>22482</v>
      </c>
      <c r="E54" s="57"/>
      <c r="F54" s="90"/>
      <c r="G54" s="90"/>
      <c r="H54" s="58"/>
      <c r="I54" s="90"/>
      <c r="J54" s="90"/>
      <c r="K54" s="90"/>
      <c r="L54" s="90"/>
      <c r="M54" s="81"/>
      <c r="N54" s="81"/>
      <c r="O54" s="81"/>
      <c r="P54" s="90"/>
      <c r="Q54" s="90"/>
      <c r="R54" s="90"/>
      <c r="S54" s="57"/>
      <c r="T54" s="90" t="s">
        <v>78</v>
      </c>
      <c r="U54" s="57" t="n">
        <f aca="false">SUM(N53:T53)</f>
        <v>-25173.2332</v>
      </c>
      <c r="V54" s="57"/>
      <c r="W54" s="90"/>
      <c r="X54" s="90"/>
      <c r="Y54" s="90"/>
      <c r="Z54" s="60"/>
      <c r="AA54" s="61"/>
      <c r="AB54" s="61"/>
      <c r="AC54" s="62"/>
      <c r="AD54" s="94"/>
      <c r="AE54" s="94"/>
    </row>
    <row r="55" customFormat="false" ht="11.1" hidden="false" customHeight="true" outlineLevel="0" collapsed="false">
      <c r="A55" s="90"/>
      <c r="B55" s="0"/>
      <c r="C55" s="57"/>
      <c r="D55" s="0"/>
      <c r="E55" s="57"/>
      <c r="F55" s="90"/>
      <c r="G55" s="118"/>
      <c r="H55" s="119"/>
      <c r="I55" s="120"/>
      <c r="J55" s="90"/>
      <c r="K55" s="90"/>
      <c r="L55" s="90"/>
      <c r="M55" s="81"/>
      <c r="N55" s="81"/>
      <c r="O55" s="81"/>
      <c r="P55" s="90"/>
      <c r="Q55" s="90"/>
      <c r="R55" s="90"/>
      <c r="S55" s="57"/>
      <c r="T55" s="90"/>
      <c r="U55" s="90"/>
      <c r="V55" s="57"/>
      <c r="W55" s="90"/>
      <c r="X55" s="90"/>
      <c r="Y55" s="90"/>
      <c r="Z55" s="60"/>
      <c r="AA55" s="61"/>
      <c r="AB55" s="61"/>
      <c r="AC55" s="62"/>
      <c r="AD55" s="94"/>
      <c r="AE55" s="94"/>
    </row>
  </sheetData>
  <mergeCells count="2">
    <mergeCell ref="K2:T2"/>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55"/>
  <sheetViews>
    <sheetView showFormulas="false" showGridLines="true" showRowColHeaders="true" showZeros="true" rightToLeft="false" tabSelected="false" showOutlineSymbols="true" defaultGridColor="true" view="normal" topLeftCell="M1" colorId="64" zoomScale="100" zoomScaleNormal="100" zoomScalePageLayoutView="100" workbookViewId="0">
      <selection pane="topLeft" activeCell="U40" activeCellId="0" sqref="U40"/>
    </sheetView>
  </sheetViews>
  <sheetFormatPr defaultColWidth="9.2890625" defaultRowHeight="11.1" zeroHeight="false" outlineLevelRow="0" outlineLevelCol="0"/>
  <cols>
    <col collapsed="false" customWidth="true" hidden="false" outlineLevel="0" max="1" min="1" style="0" width="5.66"/>
    <col collapsed="false" customWidth="true" hidden="false" outlineLevel="0" max="3" min="3" style="1" width="7.66"/>
    <col collapsed="false" customWidth="true" hidden="false" outlineLevel="0" max="4" min="4" style="0" width="7.66"/>
    <col collapsed="false" customWidth="true" hidden="false" outlineLevel="0" max="5" min="5" style="1" width="7.66"/>
    <col collapsed="false" customWidth="true" hidden="false" outlineLevel="0" max="7" min="6" style="0" width="7.66"/>
    <col collapsed="false" customWidth="true" hidden="false" outlineLevel="0" max="8" min="8" style="2" width="7.16"/>
    <col collapsed="false" customWidth="true" hidden="false" outlineLevel="0" max="9" min="9" style="0" width="8.82"/>
    <col collapsed="false" customWidth="true" hidden="false" outlineLevel="0" max="10" min="10" style="0" width="6.32"/>
    <col collapsed="false" customWidth="true" hidden="false" outlineLevel="0" max="12" min="11" style="0" width="7.66"/>
    <col collapsed="false" customWidth="true" hidden="false" outlineLevel="0" max="13" min="13" style="3" width="7.49"/>
    <col collapsed="false" customWidth="false" hidden="false" outlineLevel="0" max="15" min="14" style="3" width="9.32"/>
    <col collapsed="false" customWidth="true" hidden="false" outlineLevel="0" max="16" min="16" style="0" width="6.66"/>
    <col collapsed="false" customWidth="true" hidden="false" outlineLevel="0" max="17" min="17" style="0" width="7.16"/>
    <col collapsed="false" customWidth="true" hidden="false" outlineLevel="0" max="18" min="18" style="0" width="6.66"/>
    <col collapsed="false" customWidth="true" hidden="false" outlineLevel="0" max="19" min="19" style="1" width="6.66"/>
    <col collapsed="false" customWidth="true" hidden="false" outlineLevel="0" max="20" min="20" style="0" width="6.66"/>
    <col collapsed="false" customWidth="true" hidden="false" outlineLevel="0" max="21" min="21" style="0" width="7.49"/>
    <col collapsed="false" customWidth="true" hidden="false" outlineLevel="0" max="22" min="22" style="1" width="6.32"/>
    <col collapsed="false" customWidth="true" hidden="false" outlineLevel="0" max="25" min="23" style="0" width="7.82"/>
    <col collapsed="false" customWidth="true" hidden="false" outlineLevel="0" max="26" min="26" style="4" width="5.66"/>
    <col collapsed="false" customWidth="true" hidden="false" outlineLevel="0" max="28" min="27" style="5" width="5.66"/>
    <col collapsed="false" customWidth="true" hidden="false" outlineLevel="0" max="29" min="29" style="6" width="5.66"/>
  </cols>
  <sheetData>
    <row r="1" customFormat="false" ht="14.1" hidden="false" customHeight="true" outlineLevel="0" collapsed="false">
      <c r="A1" s="7"/>
      <c r="B1" s="7"/>
      <c r="C1" s="8"/>
      <c r="D1" s="7"/>
      <c r="E1" s="8"/>
      <c r="F1" s="7"/>
      <c r="G1" s="7"/>
      <c r="H1" s="9"/>
      <c r="I1" s="7"/>
      <c r="J1" s="7"/>
      <c r="K1" s="10" t="s">
        <v>0</v>
      </c>
      <c r="L1" s="7"/>
      <c r="M1" s="7"/>
      <c r="N1" s="7"/>
      <c r="O1" s="7"/>
      <c r="P1" s="7"/>
      <c r="Q1" s="7"/>
      <c r="R1" s="7"/>
      <c r="S1" s="8"/>
      <c r="T1" s="7"/>
      <c r="U1" s="7"/>
      <c r="V1" s="8"/>
      <c r="W1" s="7"/>
      <c r="X1" s="7"/>
      <c r="Y1" s="7"/>
      <c r="Z1" s="11"/>
      <c r="AA1" s="12"/>
      <c r="AB1" s="12"/>
      <c r="AC1" s="13"/>
      <c r="AD1" s="14"/>
      <c r="AE1" s="14"/>
    </row>
    <row r="2" customFormat="false" ht="14.1" hidden="false" customHeight="true" outlineLevel="0" collapsed="false">
      <c r="A2" s="7" t="s">
        <v>1</v>
      </c>
      <c r="B2" s="7"/>
      <c r="C2" s="8"/>
      <c r="D2" s="15" t="n">
        <v>1.9835</v>
      </c>
      <c r="E2" s="8"/>
      <c r="F2" s="7"/>
      <c r="G2" s="7"/>
      <c r="H2" s="9"/>
      <c r="I2" s="7"/>
      <c r="J2" s="7"/>
      <c r="K2" s="104" t="s">
        <v>79</v>
      </c>
      <c r="L2" s="104"/>
      <c r="M2" s="104"/>
      <c r="N2" s="104"/>
      <c r="O2" s="104"/>
      <c r="P2" s="104"/>
      <c r="Q2" s="104"/>
      <c r="R2" s="104"/>
      <c r="S2" s="104"/>
      <c r="T2" s="104"/>
      <c r="U2" s="104"/>
      <c r="V2" s="104"/>
      <c r="W2" s="7"/>
      <c r="X2" s="7"/>
      <c r="Y2" s="7"/>
      <c r="Z2" s="11"/>
      <c r="AA2" s="12"/>
      <c r="AB2" s="12"/>
      <c r="AC2" s="13"/>
      <c r="AD2" s="14"/>
      <c r="AE2" s="14"/>
    </row>
    <row r="3" customFormat="false" ht="11.1" hidden="false" customHeight="true" outlineLevel="0" collapsed="false">
      <c r="A3" s="7"/>
      <c r="B3" s="7"/>
      <c r="C3" s="8"/>
      <c r="D3" s="16"/>
      <c r="E3" s="8"/>
      <c r="F3" s="7"/>
      <c r="G3" s="7"/>
      <c r="H3" s="9"/>
      <c r="I3" s="7"/>
      <c r="J3" s="7"/>
      <c r="K3" s="7"/>
      <c r="L3" s="7"/>
      <c r="M3" s="7"/>
      <c r="N3" s="7"/>
      <c r="O3" s="7"/>
      <c r="P3" s="7"/>
      <c r="Q3" s="7"/>
      <c r="R3" s="7"/>
      <c r="S3" s="8"/>
      <c r="T3" s="7"/>
      <c r="U3" s="7"/>
      <c r="V3" s="8"/>
      <c r="W3" s="7"/>
      <c r="X3" s="7"/>
      <c r="Y3" s="7"/>
      <c r="Z3" s="11"/>
      <c r="AA3" s="12"/>
      <c r="AB3" s="12"/>
      <c r="AC3" s="13"/>
      <c r="AD3" s="14"/>
      <c r="AE3" s="14"/>
    </row>
    <row r="4" customFormat="false" ht="11.1" hidden="false" customHeight="true" outlineLevel="0" collapsed="false">
      <c r="A4" s="17" t="s">
        <v>3</v>
      </c>
      <c r="B4" s="17" t="s">
        <v>4</v>
      </c>
      <c r="C4" s="18" t="s">
        <v>4</v>
      </c>
      <c r="D4" s="17" t="s">
        <v>5</v>
      </c>
      <c r="E4" s="18" t="s">
        <v>6</v>
      </c>
      <c r="F4" s="17" t="s">
        <v>7</v>
      </c>
      <c r="G4" s="17" t="s">
        <v>8</v>
      </c>
      <c r="H4" s="19" t="s">
        <v>9</v>
      </c>
      <c r="I4" s="17" t="s">
        <v>10</v>
      </c>
      <c r="J4" s="17" t="s">
        <v>11</v>
      </c>
      <c r="K4" s="17" t="s">
        <v>12</v>
      </c>
      <c r="L4" s="17" t="s">
        <v>11</v>
      </c>
      <c r="M4" s="20" t="s">
        <v>13</v>
      </c>
      <c r="N4" s="20"/>
      <c r="O4" s="20"/>
      <c r="P4" s="17" t="s">
        <v>16</v>
      </c>
      <c r="Q4" s="17" t="s">
        <v>15</v>
      </c>
      <c r="R4" s="17" t="s">
        <v>12</v>
      </c>
      <c r="S4" s="18" t="s">
        <v>16</v>
      </c>
      <c r="T4" s="17" t="s">
        <v>17</v>
      </c>
      <c r="U4" s="17" t="s">
        <v>18</v>
      </c>
      <c r="V4" s="18" t="s">
        <v>19</v>
      </c>
      <c r="W4" s="17" t="s">
        <v>10</v>
      </c>
      <c r="X4" s="17" t="s">
        <v>11</v>
      </c>
      <c r="Y4" s="17" t="s">
        <v>12</v>
      </c>
      <c r="Z4" s="21" t="s">
        <v>20</v>
      </c>
      <c r="AA4" s="22" t="s">
        <v>21</v>
      </c>
      <c r="AB4" s="22" t="s">
        <v>22</v>
      </c>
      <c r="AC4" s="22" t="s">
        <v>3</v>
      </c>
      <c r="AD4" s="14"/>
      <c r="AE4" s="14"/>
    </row>
    <row r="5" customFormat="false" ht="11.1" hidden="false" customHeight="true" outlineLevel="0" collapsed="false">
      <c r="A5" s="23" t="s">
        <v>80</v>
      </c>
      <c r="B5" s="17" t="s">
        <v>24</v>
      </c>
      <c r="C5" s="18" t="s">
        <v>5</v>
      </c>
      <c r="D5" s="17" t="s">
        <v>25</v>
      </c>
      <c r="E5" s="18" t="s">
        <v>26</v>
      </c>
      <c r="F5" s="17" t="s">
        <v>27</v>
      </c>
      <c r="G5" s="17" t="s">
        <v>28</v>
      </c>
      <c r="H5" s="19" t="s">
        <v>29</v>
      </c>
      <c r="I5" s="17" t="s">
        <v>30</v>
      </c>
      <c r="J5" s="17" t="s">
        <v>30</v>
      </c>
      <c r="K5" s="17" t="s">
        <v>30</v>
      </c>
      <c r="L5" s="17" t="s">
        <v>31</v>
      </c>
      <c r="M5" s="17" t="s">
        <v>32</v>
      </c>
      <c r="N5" s="17" t="s">
        <v>33</v>
      </c>
      <c r="O5" s="17" t="s">
        <v>68</v>
      </c>
      <c r="P5" s="17" t="s">
        <v>69</v>
      </c>
      <c r="Q5" s="17" t="s">
        <v>36</v>
      </c>
      <c r="R5" s="17" t="s">
        <v>16</v>
      </c>
      <c r="S5" s="18" t="s">
        <v>37</v>
      </c>
      <c r="T5" s="17" t="s">
        <v>38</v>
      </c>
      <c r="U5" s="17" t="s">
        <v>39</v>
      </c>
      <c r="V5" s="18" t="s">
        <v>40</v>
      </c>
      <c r="W5" s="17" t="s">
        <v>41</v>
      </c>
      <c r="X5" s="17" t="s">
        <v>41</v>
      </c>
      <c r="Y5" s="17" t="s">
        <v>41</v>
      </c>
      <c r="Z5" s="25"/>
      <c r="AA5" s="22" t="s">
        <v>42</v>
      </c>
      <c r="AB5" s="22" t="s">
        <v>42</v>
      </c>
      <c r="AC5" s="26" t="s">
        <v>80</v>
      </c>
      <c r="AD5" s="14"/>
      <c r="AE5" s="14"/>
    </row>
    <row r="6" customFormat="false" ht="11.1" hidden="false" customHeight="true" outlineLevel="0" collapsed="false">
      <c r="A6" s="27"/>
      <c r="B6" s="27"/>
      <c r="C6" s="28"/>
      <c r="D6" s="27"/>
      <c r="E6" s="28"/>
      <c r="F6" s="27"/>
      <c r="G6" s="27"/>
      <c r="H6" s="29"/>
      <c r="I6" s="27"/>
      <c r="J6" s="27"/>
      <c r="K6" s="27"/>
      <c r="L6" s="27"/>
      <c r="M6" s="27"/>
      <c r="N6" s="27"/>
      <c r="O6" s="27"/>
      <c r="P6" s="27"/>
      <c r="Q6" s="27"/>
      <c r="R6" s="27"/>
      <c r="S6" s="28"/>
      <c r="T6" s="27"/>
      <c r="U6" s="27"/>
      <c r="V6" s="28"/>
      <c r="W6" s="27"/>
      <c r="X6" s="27"/>
      <c r="Y6" s="27"/>
      <c r="Z6" s="11"/>
      <c r="AA6" s="13"/>
      <c r="AB6" s="13"/>
      <c r="AC6" s="13"/>
      <c r="AF6" s="121"/>
    </row>
    <row r="7" customFormat="false" ht="11.1" hidden="false" customHeight="true" outlineLevel="0" collapsed="false">
      <c r="A7" s="7" t="s">
        <v>43</v>
      </c>
      <c r="B7" s="7"/>
      <c r="C7" s="8"/>
      <c r="D7" s="8"/>
      <c r="E7" s="8"/>
      <c r="F7" s="8" t="n">
        <f aca="false" t="array" ref="F7:Y7">MAY!$F$45:$Y$45</f>
        <v>14847.9959667255</v>
      </c>
      <c r="G7" s="8" t="n">
        <v>113710</v>
      </c>
      <c r="H7" s="12" t="n">
        <v>9948</v>
      </c>
      <c r="I7" s="8" t="n">
        <v>123658</v>
      </c>
      <c r="J7" s="8" t="n">
        <v>25873.2959667255</v>
      </c>
      <c r="K7" s="8" t="n">
        <v>149531.295966726</v>
      </c>
      <c r="L7" s="8" t="n">
        <v>25873.2959667255</v>
      </c>
      <c r="M7" s="8" t="n">
        <v>8444.6</v>
      </c>
      <c r="N7" s="8" t="n">
        <v>1741.698</v>
      </c>
      <c r="O7" s="8" t="n">
        <v>6702.902</v>
      </c>
      <c r="P7" s="8" t="n">
        <v>2084.97</v>
      </c>
      <c r="Q7" s="8" t="n">
        <v>1544.15</v>
      </c>
      <c r="R7" s="8" t="n">
        <v>10332.022</v>
      </c>
      <c r="S7" s="8" t="n">
        <v>0</v>
      </c>
      <c r="T7" s="8" t="n">
        <v>2219.68</v>
      </c>
      <c r="U7" s="8" t="n">
        <v>120389.9</v>
      </c>
      <c r="V7" s="8" t="n">
        <v>0</v>
      </c>
      <c r="W7" s="8" t="n">
        <v>134683.3</v>
      </c>
      <c r="X7" s="8" t="n">
        <v>0</v>
      </c>
      <c r="Y7" s="8" t="n">
        <v>134683.3</v>
      </c>
      <c r="Z7" s="11"/>
      <c r="AA7" s="12"/>
      <c r="AB7" s="12"/>
      <c r="AC7" s="13"/>
      <c r="AD7" s="34"/>
      <c r="AF7" s="122"/>
    </row>
    <row r="8" s="1" customFormat="true" ht="11.1" hidden="false" customHeight="true" outlineLevel="0" collapsed="false">
      <c r="A8" s="8" t="s">
        <v>44</v>
      </c>
      <c r="B8" s="32" t="n">
        <f aca="false" t="array" ref="B8:C8">MAY!$B$40:$C$40</f>
        <v>6917.89</v>
      </c>
      <c r="C8" s="8" t="n">
        <v>354527</v>
      </c>
      <c r="D8" s="8" t="n">
        <f aca="false" t="array" ref="D8:E8">MAY!$D$49:$E$49</f>
        <v>109048</v>
      </c>
      <c r="E8" s="8" t="n">
        <v>202527</v>
      </c>
      <c r="F8" s="8" t="n">
        <f aca="false" t="array" ref="F8:Z8">MAY!$F$48:$Z$48</f>
        <v>54977.5649105117</v>
      </c>
      <c r="G8" s="8" t="n">
        <v>140894.79</v>
      </c>
      <c r="H8" s="12" t="n">
        <v>13507.7</v>
      </c>
      <c r="I8" s="8" t="n">
        <v>154201.59</v>
      </c>
      <c r="J8" s="8" t="n">
        <v>42621.9121048651</v>
      </c>
      <c r="K8" s="8" t="n">
        <v>196823.502104865</v>
      </c>
      <c r="L8" s="8" t="n">
        <v>42044.8449105117</v>
      </c>
      <c r="M8" s="8" t="n">
        <v>9446.85</v>
      </c>
      <c r="N8" s="8" t="n">
        <v>1788.717</v>
      </c>
      <c r="O8" s="8" t="n">
        <v>7389.053</v>
      </c>
      <c r="P8" s="8" t="n">
        <v>2192.49</v>
      </c>
      <c r="Q8" s="8" t="n">
        <v>1742.95</v>
      </c>
      <c r="R8" s="8" t="n">
        <v>11531.51</v>
      </c>
      <c r="S8" s="8" t="n">
        <v>0</v>
      </c>
      <c r="T8" s="8" t="n">
        <v>2219.68</v>
      </c>
      <c r="U8" s="8" t="n">
        <v>125666.9</v>
      </c>
      <c r="V8" s="8" t="str">
        <v> </v>
      </c>
      <c r="W8" s="8" t="n">
        <v>141268.87</v>
      </c>
      <c r="X8" s="8" t="n">
        <v>577.067194353416</v>
      </c>
      <c r="Y8" s="8" t="n">
        <v>141845.937194353</v>
      </c>
      <c r="Z8" s="33" t="n">
        <v>12.22</v>
      </c>
      <c r="AA8" s="12"/>
      <c r="AB8" s="12"/>
      <c r="AC8" s="13"/>
      <c r="AD8" s="123"/>
      <c r="AE8" s="123"/>
    </row>
    <row r="9" customFormat="false" ht="3" hidden="false" customHeight="true" outlineLevel="0" collapsed="false">
      <c r="A9" s="35"/>
      <c r="B9" s="36"/>
      <c r="C9" s="37"/>
      <c r="D9" s="35"/>
      <c r="E9" s="37"/>
      <c r="F9" s="35"/>
      <c r="G9" s="35"/>
      <c r="H9" s="38"/>
      <c r="I9" s="35"/>
      <c r="J9" s="35"/>
      <c r="K9" s="35"/>
      <c r="L9" s="35"/>
      <c r="M9" s="35"/>
      <c r="N9" s="35"/>
      <c r="O9" s="35"/>
      <c r="P9" s="35"/>
      <c r="Q9" s="35"/>
      <c r="R9" s="35"/>
      <c r="S9" s="37"/>
      <c r="T9" s="35"/>
      <c r="U9" s="35"/>
      <c r="V9" s="37"/>
      <c r="W9" s="35"/>
      <c r="X9" s="35"/>
      <c r="Y9" s="35"/>
      <c r="Z9" s="39"/>
      <c r="AA9" s="40"/>
      <c r="AB9" s="40"/>
      <c r="AC9" s="41"/>
      <c r="AD9" s="14"/>
      <c r="AE9" s="14"/>
    </row>
    <row r="10" customFormat="false" ht="11.1" hidden="false" customHeight="true" outlineLevel="0" collapsed="false">
      <c r="A10" s="13" t="n">
        <v>1</v>
      </c>
      <c r="B10" s="32" t="n">
        <v>6918.21</v>
      </c>
      <c r="C10" s="8" t="n">
        <v>355891</v>
      </c>
      <c r="D10" s="12" t="n">
        <f aca="false">C10-C8</f>
        <v>1364</v>
      </c>
      <c r="E10" s="8" t="n">
        <f aca="false">C10-152000</f>
        <v>203891</v>
      </c>
      <c r="F10" s="7" t="n">
        <f aca="false">D10/$D$2</f>
        <v>687.673304764305</v>
      </c>
      <c r="G10" s="7" t="n">
        <v>3880</v>
      </c>
      <c r="H10" s="9" t="n">
        <v>55</v>
      </c>
      <c r="I10" s="7" t="n">
        <f aca="false">G10+H10</f>
        <v>3935</v>
      </c>
      <c r="J10" s="105" t="n">
        <f aca="false">IF(L10&gt;0,L10,0)</f>
        <v>0</v>
      </c>
      <c r="K10" s="7" t="n">
        <f aca="false">I10+J10</f>
        <v>3935</v>
      </c>
      <c r="L10" s="7" t="n">
        <f aca="false">F10-(I10-W10)</f>
        <v>-69.3266952356945</v>
      </c>
      <c r="M10" s="7" t="n">
        <v>287</v>
      </c>
      <c r="N10" s="7" t="n">
        <f aca="false">(28.29+27.72)*1.05</f>
        <v>58.8105</v>
      </c>
      <c r="O10" s="7" t="n">
        <f aca="false">M10-N10</f>
        <v>228.1895</v>
      </c>
      <c r="P10" s="7" t="n">
        <v>145</v>
      </c>
      <c r="Q10" s="7" t="n">
        <v>79</v>
      </c>
      <c r="R10" s="7" t="n">
        <f aca="false">SUM(O10:Q10)</f>
        <v>452.1895</v>
      </c>
      <c r="S10" s="8" t="n">
        <v>0</v>
      </c>
      <c r="T10" s="7" t="n">
        <v>97</v>
      </c>
      <c r="U10" s="7" t="n">
        <v>2570</v>
      </c>
      <c r="V10" s="8" t="n">
        <v>18421.6188706831</v>
      </c>
      <c r="W10" s="7" t="n">
        <f aca="false">N10+R10+T10+U10</f>
        <v>3178</v>
      </c>
      <c r="X10" s="7" t="n">
        <f aca="false">IF(L10&lt;0,L10*-1,0)</f>
        <v>69.3266952356945</v>
      </c>
      <c r="Y10" s="7" t="n">
        <f aca="false">W10+X10</f>
        <v>3247.32669523569</v>
      </c>
      <c r="Z10" s="11" t="n">
        <v>0</v>
      </c>
      <c r="AA10" s="12" t="n">
        <v>87</v>
      </c>
      <c r="AB10" s="12" t="n">
        <v>54</v>
      </c>
      <c r="AC10" s="13" t="n">
        <v>1</v>
      </c>
      <c r="AD10" s="12"/>
      <c r="AE10" s="12"/>
      <c r="AF10" s="124"/>
      <c r="AG10" s="7"/>
    </row>
    <row r="11" customFormat="false" ht="11.1" hidden="false" customHeight="true" outlineLevel="0" collapsed="false">
      <c r="A11" s="13" t="n">
        <f aca="false">A10+1</f>
        <v>2</v>
      </c>
      <c r="B11" s="32" t="n">
        <v>6918.94</v>
      </c>
      <c r="C11" s="8" t="n">
        <v>359010</v>
      </c>
      <c r="D11" s="12" t="n">
        <f aca="false">C11-C10</f>
        <v>3119</v>
      </c>
      <c r="E11" s="8" t="n">
        <f aca="false">C11-152000</f>
        <v>207010</v>
      </c>
      <c r="F11" s="7" t="n">
        <f aca="false">D11/$D$2</f>
        <v>1572.47290143685</v>
      </c>
      <c r="G11" s="7" t="n">
        <v>400</v>
      </c>
      <c r="H11" s="9" t="n">
        <v>46</v>
      </c>
      <c r="I11" s="7" t="n">
        <f aca="false">G11+H11</f>
        <v>446</v>
      </c>
      <c r="J11" s="105" t="n">
        <f aca="false">IF(L11&gt;0,L11,0)</f>
        <v>4350.47290143685</v>
      </c>
      <c r="K11" s="7" t="n">
        <f aca="false">I11+J11</f>
        <v>4796.47290143685</v>
      </c>
      <c r="L11" s="7" t="n">
        <f aca="false">F11-(I11-W11)</f>
        <v>4350.47290143685</v>
      </c>
      <c r="M11" s="7" t="n">
        <v>291</v>
      </c>
      <c r="N11" s="7" t="n">
        <f aca="false">(25.76+26.06)*1.05</f>
        <v>54.411</v>
      </c>
      <c r="O11" s="7" t="n">
        <f aca="false">M11-N11</f>
        <v>236.589</v>
      </c>
      <c r="P11" s="7" t="n">
        <v>165</v>
      </c>
      <c r="Q11" s="7" t="n">
        <v>84</v>
      </c>
      <c r="R11" s="7" t="n">
        <f aca="false">SUM(O11:Q11)</f>
        <v>485.589</v>
      </c>
      <c r="S11" s="57"/>
      <c r="T11" s="7" t="n">
        <v>104</v>
      </c>
      <c r="U11" s="7" t="n">
        <v>2580</v>
      </c>
      <c r="V11" s="8" t="n">
        <v>18421.6188706831</v>
      </c>
      <c r="W11" s="7" t="n">
        <f aca="false">N11+R11+T11+U11</f>
        <v>3224</v>
      </c>
      <c r="X11" s="7" t="n">
        <f aca="false">IF(L11&lt;0,L11*-1,0)</f>
        <v>0</v>
      </c>
      <c r="Y11" s="7" t="n">
        <f aca="false">W11+X11</f>
        <v>3224</v>
      </c>
      <c r="Z11" s="11" t="n">
        <v>0</v>
      </c>
      <c r="AA11" s="12" t="n">
        <v>84</v>
      </c>
      <c r="AB11" s="12" t="n">
        <v>51</v>
      </c>
      <c r="AC11" s="13" t="n">
        <f aca="false">AC10+1</f>
        <v>2</v>
      </c>
      <c r="AD11" s="12"/>
      <c r="AE11" s="12"/>
      <c r="AG11" s="7"/>
    </row>
    <row r="12" customFormat="false" ht="11.1" hidden="false" customHeight="true" outlineLevel="0" collapsed="false">
      <c r="A12" s="13" t="n">
        <f aca="false">A11+1</f>
        <v>3</v>
      </c>
      <c r="B12" s="32" t="n">
        <v>6919.29</v>
      </c>
      <c r="C12" s="8" t="n">
        <v>360516</v>
      </c>
      <c r="D12" s="12" t="n">
        <f aca="false">C12-C11</f>
        <v>1506</v>
      </c>
      <c r="E12" s="8" t="n">
        <f aca="false">C12-152000</f>
        <v>208516</v>
      </c>
      <c r="F12" s="7" t="n">
        <f aca="false">D12/$D$2</f>
        <v>759.263927401059</v>
      </c>
      <c r="G12" s="7" t="n">
        <v>3310</v>
      </c>
      <c r="H12" s="9" t="n">
        <v>27</v>
      </c>
      <c r="I12" s="7" t="n">
        <f aca="false">G12+H12</f>
        <v>3337</v>
      </c>
      <c r="J12" s="105" t="n">
        <f aca="false">IF(L12&gt;0,L12,0)</f>
        <v>463.263927401059</v>
      </c>
      <c r="K12" s="7" t="n">
        <f aca="false">I12+J12</f>
        <v>3800.26392740106</v>
      </c>
      <c r="L12" s="7" t="n">
        <f aca="false">F12-(I12-W12)</f>
        <v>463.263927401059</v>
      </c>
      <c r="M12" s="7" t="n">
        <v>277</v>
      </c>
      <c r="N12" s="7" t="n">
        <f aca="false">(21.32+20.49)*1.05</f>
        <v>43.9005</v>
      </c>
      <c r="O12" s="7" t="n">
        <f aca="false">M12-N12</f>
        <v>233.0995</v>
      </c>
      <c r="P12" s="7" t="n">
        <v>177</v>
      </c>
      <c r="Q12" s="7" t="n">
        <v>84</v>
      </c>
      <c r="R12" s="7" t="n">
        <f aca="false">SUM(O12:Q12)</f>
        <v>494.0995</v>
      </c>
      <c r="S12" s="57"/>
      <c r="T12" s="7" t="n">
        <v>113</v>
      </c>
      <c r="U12" s="7" t="n">
        <v>2390</v>
      </c>
      <c r="V12" s="8" t="n">
        <v>18421.6188706831</v>
      </c>
      <c r="W12" s="7" t="n">
        <f aca="false">N12+R12+T12+U12</f>
        <v>3041</v>
      </c>
      <c r="X12" s="7" t="n">
        <f aca="false">IF(L12&lt;0,L12*-1,0)</f>
        <v>0</v>
      </c>
      <c r="Y12" s="7" t="n">
        <f aca="false">W12+X12</f>
        <v>3041</v>
      </c>
      <c r="Z12" s="11" t="n">
        <v>0</v>
      </c>
      <c r="AA12" s="12" t="n">
        <v>87</v>
      </c>
      <c r="AB12" s="12" t="n">
        <v>52</v>
      </c>
      <c r="AC12" s="13" t="n">
        <f aca="false">AC11+1</f>
        <v>3</v>
      </c>
      <c r="AD12" s="12"/>
      <c r="AE12" s="12"/>
      <c r="AG12" s="7"/>
    </row>
    <row r="13" customFormat="false" ht="11.1" hidden="false" customHeight="true" outlineLevel="0" collapsed="false">
      <c r="A13" s="13" t="n">
        <f aca="false">A12+1</f>
        <v>4</v>
      </c>
      <c r="B13" s="32" t="n">
        <v>6919.9</v>
      </c>
      <c r="C13" s="8" t="n">
        <v>363142</v>
      </c>
      <c r="D13" s="12" t="n">
        <f aca="false">C13-C12</f>
        <v>2626</v>
      </c>
      <c r="E13" s="8" t="n">
        <f aca="false">C13-152000</f>
        <v>211142</v>
      </c>
      <c r="F13" s="7" t="n">
        <f aca="false">D13/$D$2</f>
        <v>1323.92235946559</v>
      </c>
      <c r="G13" s="7" t="n">
        <v>3440</v>
      </c>
      <c r="H13" s="9" t="n">
        <v>7.2</v>
      </c>
      <c r="I13" s="7" t="n">
        <f aca="false">G13+H13</f>
        <v>3447.2</v>
      </c>
      <c r="J13" s="105" t="n">
        <f aca="false">IF(L13&gt;0,L13,0)</f>
        <v>341.722359465591</v>
      </c>
      <c r="K13" s="7" t="n">
        <f aca="false">I13+J13</f>
        <v>3788.92235946559</v>
      </c>
      <c r="L13" s="7" t="n">
        <f aca="false">F13-(I13-W13)</f>
        <v>341.722359465591</v>
      </c>
      <c r="M13" s="7" t="n">
        <v>297</v>
      </c>
      <c r="N13" s="7" t="n">
        <f aca="false">(19.81+20.01)*1.05</f>
        <v>41.811</v>
      </c>
      <c r="O13" s="7" t="n">
        <f aca="false">M13-N13</f>
        <v>255.189</v>
      </c>
      <c r="P13" s="7" t="n">
        <v>179</v>
      </c>
      <c r="Q13" s="7" t="n">
        <v>82</v>
      </c>
      <c r="R13" s="7" t="n">
        <f aca="false">SUM(O13:Q13)</f>
        <v>516.189</v>
      </c>
      <c r="S13" s="57"/>
      <c r="T13" s="7" t="n">
        <v>87</v>
      </c>
      <c r="U13" s="7" t="n">
        <v>1820</v>
      </c>
      <c r="V13" s="8" t="n">
        <v>18421.6188706831</v>
      </c>
      <c r="W13" s="7" t="n">
        <f aca="false">N13+R13+T13+U13</f>
        <v>2465</v>
      </c>
      <c r="X13" s="7" t="n">
        <f aca="false">IF(L13&lt;0,L13*-1,0)</f>
        <v>0</v>
      </c>
      <c r="Y13" s="7" t="n">
        <f aca="false">W13+X13</f>
        <v>2465</v>
      </c>
      <c r="Z13" s="11" t="n">
        <v>0</v>
      </c>
      <c r="AA13" s="12" t="n">
        <v>86</v>
      </c>
      <c r="AB13" s="12" t="n">
        <v>51</v>
      </c>
      <c r="AC13" s="13" t="n">
        <f aca="false">AC12+1</f>
        <v>4</v>
      </c>
      <c r="AD13" s="12"/>
      <c r="AE13" s="12"/>
      <c r="AG13" s="7"/>
    </row>
    <row r="14" customFormat="false" ht="11.1" hidden="false" customHeight="true" outlineLevel="0" collapsed="false">
      <c r="A14" s="13" t="n">
        <f aca="false">A13+1</f>
        <v>5</v>
      </c>
      <c r="B14" s="32" t="n">
        <v>6920.74</v>
      </c>
      <c r="C14" s="8" t="n">
        <v>366786</v>
      </c>
      <c r="D14" s="12" t="n">
        <f aca="false">C14-C13</f>
        <v>3644</v>
      </c>
      <c r="E14" s="8" t="n">
        <f aca="false">C14-152000</f>
        <v>214786</v>
      </c>
      <c r="F14" s="7" t="n">
        <f aca="false">D14/$D$2</f>
        <v>1837.1565414671</v>
      </c>
      <c r="G14" s="7" t="n">
        <v>3310</v>
      </c>
      <c r="H14" s="9" t="n">
        <v>5.2</v>
      </c>
      <c r="I14" s="7" t="n">
        <f aca="false">G14+H14</f>
        <v>3315.2</v>
      </c>
      <c r="J14" s="105" t="n">
        <f aca="false">IF(L14&gt;0,L14,0)</f>
        <v>375.956541467104</v>
      </c>
      <c r="K14" s="7" t="n">
        <f aca="false">I14+J14</f>
        <v>3691.1565414671</v>
      </c>
      <c r="L14" s="7" t="n">
        <f aca="false">F14-(I14-W14)</f>
        <v>375.956541467104</v>
      </c>
      <c r="M14" s="7" t="n">
        <v>303</v>
      </c>
      <c r="N14" s="7" t="n">
        <f aca="false">(26.83+26.79)*1.05</f>
        <v>56.301</v>
      </c>
      <c r="O14" s="7" t="n">
        <f aca="false">M14-N14</f>
        <v>246.699</v>
      </c>
      <c r="P14" s="7" t="n">
        <v>179</v>
      </c>
      <c r="Q14" s="7" t="n">
        <v>81</v>
      </c>
      <c r="R14" s="7" t="n">
        <f aca="false">SUM(O14:Q14)</f>
        <v>506.699</v>
      </c>
      <c r="S14" s="57"/>
      <c r="T14" s="7" t="n">
        <v>91</v>
      </c>
      <c r="U14" s="7" t="n">
        <v>1200</v>
      </c>
      <c r="V14" s="8" t="n">
        <v>18421.6188706831</v>
      </c>
      <c r="W14" s="7" t="n">
        <f aca="false">N14+R14+T14+U14</f>
        <v>1854</v>
      </c>
      <c r="X14" s="7" t="n">
        <f aca="false">IF(L14&lt;0,L14*-1,0)</f>
        <v>0</v>
      </c>
      <c r="Y14" s="7" t="n">
        <f aca="false">W14+X14</f>
        <v>1854</v>
      </c>
      <c r="Z14" s="11" t="n">
        <v>0</v>
      </c>
      <c r="AA14" s="12" t="n">
        <v>85</v>
      </c>
      <c r="AB14" s="12" t="n">
        <v>52</v>
      </c>
      <c r="AC14" s="13" t="n">
        <v>5</v>
      </c>
      <c r="AD14" s="12"/>
      <c r="AE14" s="12"/>
      <c r="AG14" s="7"/>
    </row>
    <row r="15" customFormat="false" ht="11.1" hidden="false" customHeight="true" outlineLevel="0" collapsed="false">
      <c r="A15" s="13" t="n">
        <f aca="false">A14+1</f>
        <v>6</v>
      </c>
      <c r="B15" s="32" t="n">
        <v>6921.48</v>
      </c>
      <c r="C15" s="8" t="n">
        <v>370017</v>
      </c>
      <c r="D15" s="12" t="n">
        <f aca="false">C15-C14</f>
        <v>3231</v>
      </c>
      <c r="E15" s="8" t="n">
        <f aca="false">C15-152000</f>
        <v>218017</v>
      </c>
      <c r="F15" s="7" t="n">
        <f aca="false">D15/$D$2</f>
        <v>1628.93874464331</v>
      </c>
      <c r="G15" s="7" t="n">
        <v>3070</v>
      </c>
      <c r="H15" s="9" t="n">
        <v>4.4</v>
      </c>
      <c r="I15" s="7" t="n">
        <f aca="false">G15+H15</f>
        <v>3074.4</v>
      </c>
      <c r="J15" s="105" t="n">
        <f aca="false">IF(L15&gt;0,L15,0)</f>
        <v>188.538744643307</v>
      </c>
      <c r="K15" s="7" t="n">
        <f aca="false">I15+J15</f>
        <v>3262.93874464331</v>
      </c>
      <c r="L15" s="7" t="n">
        <f aca="false">F15-(I15-W15)</f>
        <v>188.538744643307</v>
      </c>
      <c r="M15" s="7" t="n">
        <v>308</v>
      </c>
      <c r="N15" s="7" t="n">
        <f aca="false">(32.55+31.94)*1.05</f>
        <v>67.7145</v>
      </c>
      <c r="O15" s="7" t="n">
        <f aca="false">M15-N15</f>
        <v>240.2855</v>
      </c>
      <c r="P15" s="7" t="n">
        <v>181</v>
      </c>
      <c r="Q15" s="7" t="n">
        <v>81</v>
      </c>
      <c r="R15" s="7" t="n">
        <f aca="false">SUM(O15:Q15)</f>
        <v>502.2855</v>
      </c>
      <c r="S15" s="57"/>
      <c r="T15" s="7" t="n">
        <v>67</v>
      </c>
      <c r="U15" s="7" t="n">
        <v>997</v>
      </c>
      <c r="V15" s="8" t="n">
        <v>18421.6188706831</v>
      </c>
      <c r="W15" s="7" t="n">
        <f aca="false">N15+R15+T15+U15</f>
        <v>1634</v>
      </c>
      <c r="X15" s="7" t="n">
        <f aca="false">IF(L15&lt;0,L15*-1,0)</f>
        <v>0</v>
      </c>
      <c r="Y15" s="7" t="n">
        <f aca="false">W15+X15</f>
        <v>1634</v>
      </c>
      <c r="Z15" s="11" t="n">
        <v>0</v>
      </c>
      <c r="AA15" s="12" t="n">
        <v>84</v>
      </c>
      <c r="AB15" s="12" t="n">
        <v>51</v>
      </c>
      <c r="AC15" s="13" t="n">
        <f aca="false">AC14+1</f>
        <v>6</v>
      </c>
      <c r="AD15" s="12"/>
      <c r="AE15" s="12"/>
      <c r="AG15" s="7"/>
    </row>
    <row r="16" customFormat="false" ht="11.1" hidden="false" customHeight="true" outlineLevel="0" collapsed="false">
      <c r="A16" s="13" t="n">
        <f aca="false">A15+1</f>
        <v>7</v>
      </c>
      <c r="B16" s="32" t="n">
        <v>6922.02</v>
      </c>
      <c r="C16" s="8" t="n">
        <v>372382</v>
      </c>
      <c r="D16" s="12" t="n">
        <f aca="false">C16-C15</f>
        <v>2365</v>
      </c>
      <c r="E16" s="8" t="n">
        <f aca="false">C16-152000</f>
        <v>220382</v>
      </c>
      <c r="F16" s="7" t="n">
        <f aca="false">D16/$D$2</f>
        <v>1192.33677842198</v>
      </c>
      <c r="G16" s="7" t="n">
        <v>2730</v>
      </c>
      <c r="H16" s="9" t="n">
        <v>4.3</v>
      </c>
      <c r="I16" s="7" t="n">
        <f aca="false">G16+H16</f>
        <v>2734.3</v>
      </c>
      <c r="J16" s="105" t="n">
        <f aca="false">IF(L16&gt;0,L16,0)</f>
        <v>171.036778421981</v>
      </c>
      <c r="K16" s="7" t="n">
        <f aca="false">I16+J16</f>
        <v>2905.33677842198</v>
      </c>
      <c r="L16" s="7" t="n">
        <f aca="false">F16-(I16-W16)</f>
        <v>171.036778421981</v>
      </c>
      <c r="M16" s="7" t="n">
        <v>289</v>
      </c>
      <c r="N16" s="7" t="n">
        <f aca="false">(32.47+32.22)*1.05</f>
        <v>67.9245</v>
      </c>
      <c r="O16" s="7" t="n">
        <f aca="false">M16-N16</f>
        <v>221.0755</v>
      </c>
      <c r="P16" s="7" t="n">
        <v>179</v>
      </c>
      <c r="Q16" s="7" t="n">
        <v>80</v>
      </c>
      <c r="R16" s="7" t="n">
        <f aca="false">SUM(O16:Q16)</f>
        <v>480.0755</v>
      </c>
      <c r="S16" s="57"/>
      <c r="T16" s="7" t="n">
        <v>65</v>
      </c>
      <c r="U16" s="7" t="n">
        <v>1100</v>
      </c>
      <c r="V16" s="8" t="n">
        <v>18421.6188706831</v>
      </c>
      <c r="W16" s="7" t="n">
        <f aca="false">N16+R16+T16+U16</f>
        <v>1713</v>
      </c>
      <c r="X16" s="7" t="n">
        <f aca="false">IF(L16&lt;0,L16*-1,0)</f>
        <v>0</v>
      </c>
      <c r="Y16" s="7" t="n">
        <f aca="false">W16+X16</f>
        <v>1713</v>
      </c>
      <c r="Z16" s="11" t="n">
        <v>0.26</v>
      </c>
      <c r="AA16" s="12" t="n">
        <v>62</v>
      </c>
      <c r="AB16" s="12" t="n">
        <v>51</v>
      </c>
      <c r="AC16" s="13" t="n">
        <f aca="false">AC15+1</f>
        <v>7</v>
      </c>
      <c r="AD16" s="12"/>
      <c r="AE16" s="12"/>
      <c r="AG16" s="7"/>
    </row>
    <row r="17" customFormat="false" ht="11.1" hidden="false" customHeight="true" outlineLevel="0" collapsed="false">
      <c r="A17" s="13" t="n">
        <f aca="false">A16+1</f>
        <v>8</v>
      </c>
      <c r="B17" s="32" t="n">
        <v>6922.63</v>
      </c>
      <c r="C17" s="8" t="n">
        <v>375075</v>
      </c>
      <c r="D17" s="12" t="n">
        <f aca="false">C17-C16</f>
        <v>2693</v>
      </c>
      <c r="E17" s="8" t="n">
        <f aca="false">C17-152000</f>
        <v>223075</v>
      </c>
      <c r="F17" s="7" t="n">
        <f aca="false">D17/$D$2</f>
        <v>1357.70103352659</v>
      </c>
      <c r="G17" s="7" t="n">
        <v>2700</v>
      </c>
      <c r="H17" s="9" t="n">
        <v>22</v>
      </c>
      <c r="I17" s="7" t="n">
        <f aca="false">G17+H17</f>
        <v>2722</v>
      </c>
      <c r="J17" s="105" t="n">
        <f aca="false">IF(L17&gt;0,L17,0)</f>
        <v>232.701033526594</v>
      </c>
      <c r="K17" s="7" t="n">
        <f aca="false">I17+J17</f>
        <v>2954.70103352659</v>
      </c>
      <c r="L17" s="7" t="n">
        <f aca="false">F17-(I17-W17)</f>
        <v>232.701033526594</v>
      </c>
      <c r="M17" s="7" t="n">
        <v>190</v>
      </c>
      <c r="N17" s="7" t="n">
        <f aca="false">(8.8+9.4)*1.05</f>
        <v>19.11</v>
      </c>
      <c r="O17" s="7" t="n">
        <f aca="false">M17-N17</f>
        <v>170.89</v>
      </c>
      <c r="P17" s="7" t="n">
        <v>178</v>
      </c>
      <c r="Q17" s="7" t="n">
        <v>79</v>
      </c>
      <c r="R17" s="7" t="n">
        <f aca="false">SUM(O17:Q17)</f>
        <v>427.89</v>
      </c>
      <c r="S17" s="57"/>
      <c r="T17" s="7" t="n">
        <v>40</v>
      </c>
      <c r="U17" s="7" t="n">
        <v>1110</v>
      </c>
      <c r="V17" s="8" t="n">
        <v>18421.6188706831</v>
      </c>
      <c r="W17" s="7" t="n">
        <f aca="false">N17+R17+T17+U17</f>
        <v>1597</v>
      </c>
      <c r="X17" s="7" t="n">
        <f aca="false">IF(L17&lt;0,L17*-1,0)</f>
        <v>0</v>
      </c>
      <c r="Y17" s="7" t="n">
        <f aca="false">W17+X17</f>
        <v>1597</v>
      </c>
      <c r="Z17" s="11" t="n">
        <v>0.08</v>
      </c>
      <c r="AA17" s="12" t="n">
        <v>63</v>
      </c>
      <c r="AB17" s="12" t="n">
        <v>40</v>
      </c>
      <c r="AC17" s="13" t="n">
        <f aca="false">AC16+1</f>
        <v>8</v>
      </c>
      <c r="AD17" s="12"/>
      <c r="AE17" s="12"/>
      <c r="AG17" s="7"/>
    </row>
    <row r="18" customFormat="false" ht="11.1" hidden="false" customHeight="true" outlineLevel="0" collapsed="false">
      <c r="A18" s="13" t="n">
        <f aca="false">A17+1</f>
        <v>9</v>
      </c>
      <c r="B18" s="32" t="n">
        <v>6923.05</v>
      </c>
      <c r="C18" s="8" t="n">
        <v>376931</v>
      </c>
      <c r="D18" s="12" t="n">
        <f aca="false">C18-C17</f>
        <v>1856</v>
      </c>
      <c r="E18" s="8" t="n">
        <f aca="false">C18-152000</f>
        <v>224931</v>
      </c>
      <c r="F18" s="7" t="n">
        <f aca="false">D18/$D$2</f>
        <v>935.719687421225</v>
      </c>
      <c r="G18" s="7" t="n">
        <v>2210</v>
      </c>
      <c r="H18" s="9" t="n">
        <v>43</v>
      </c>
      <c r="I18" s="7" t="n">
        <f aca="false">G18+H18</f>
        <v>2253</v>
      </c>
      <c r="J18" s="105" t="n">
        <f aca="false">IF(L18&gt;0,L18,0)</f>
        <v>253.719687421225</v>
      </c>
      <c r="K18" s="7" t="n">
        <f aca="false">I18+J18</f>
        <v>2506.71968742123</v>
      </c>
      <c r="L18" s="7" t="n">
        <f aca="false">F18-(I18-W18)</f>
        <v>253.719687421225</v>
      </c>
      <c r="M18" s="7" t="n">
        <v>157</v>
      </c>
      <c r="N18" s="7" t="n">
        <f aca="false">(1.86+1.75)*1.05</f>
        <v>3.7905</v>
      </c>
      <c r="O18" s="7" t="n">
        <f aca="false">M18-N18</f>
        <v>153.2095</v>
      </c>
      <c r="P18" s="7" t="n">
        <v>179</v>
      </c>
      <c r="Q18" s="7" t="n">
        <v>75</v>
      </c>
      <c r="R18" s="7" t="n">
        <f aca="false">SUM(O18:Q18)</f>
        <v>407.2095</v>
      </c>
      <c r="S18" s="57"/>
      <c r="T18" s="7" t="n">
        <v>50</v>
      </c>
      <c r="U18" s="7" t="n">
        <v>1110</v>
      </c>
      <c r="V18" s="8" t="n">
        <v>18421.6188706831</v>
      </c>
      <c r="W18" s="7" t="n">
        <f aca="false">N18+R18+T18+U18</f>
        <v>1571</v>
      </c>
      <c r="X18" s="7" t="n">
        <f aca="false">IF(L18&lt;0,L18*-1,0)</f>
        <v>0</v>
      </c>
      <c r="Y18" s="7" t="n">
        <f aca="false">W18+X18</f>
        <v>1571</v>
      </c>
      <c r="Z18" s="11" t="n">
        <v>0.06</v>
      </c>
      <c r="AA18" s="12" t="n">
        <v>67</v>
      </c>
      <c r="AB18" s="12" t="n">
        <v>44</v>
      </c>
      <c r="AC18" s="13" t="n">
        <f aca="false">AC17+1</f>
        <v>9</v>
      </c>
      <c r="AD18" s="12"/>
      <c r="AE18" s="12"/>
      <c r="AG18" s="7"/>
    </row>
    <row r="19" customFormat="false" ht="11.1" hidden="false" customHeight="true" outlineLevel="0" collapsed="false">
      <c r="A19" s="13" t="n">
        <f aca="false">A18+1</f>
        <v>10</v>
      </c>
      <c r="B19" s="32" t="n">
        <v>6923.4</v>
      </c>
      <c r="C19" s="8" t="n">
        <v>378489</v>
      </c>
      <c r="D19" s="12" t="n">
        <f aca="false">C19-C18</f>
        <v>1558</v>
      </c>
      <c r="E19" s="8" t="n">
        <f aca="false">C19-152000</f>
        <v>226489</v>
      </c>
      <c r="F19" s="7" t="n">
        <f aca="false">D19/$D$2</f>
        <v>785.480211746912</v>
      </c>
      <c r="G19" s="7" t="n">
        <v>2140</v>
      </c>
      <c r="H19" s="9" t="n">
        <v>45</v>
      </c>
      <c r="I19" s="7" t="n">
        <f aca="false">G19+H19</f>
        <v>2185</v>
      </c>
      <c r="J19" s="105" t="n">
        <f aca="false">IF(L19&gt;0,L19,0)</f>
        <v>183.480211746912</v>
      </c>
      <c r="K19" s="7" t="n">
        <f aca="false">I19+J19</f>
        <v>2368.48021174691</v>
      </c>
      <c r="L19" s="7" t="n">
        <f aca="false">F19-(I19-W19)</f>
        <v>183.480211746912</v>
      </c>
      <c r="M19" s="7" t="n">
        <v>160</v>
      </c>
      <c r="N19" s="7" t="n">
        <f aca="false">+(0.46+0.48)*1.05</f>
        <v>0.987</v>
      </c>
      <c r="O19" s="7" t="n">
        <f aca="false">M19-N19</f>
        <v>159.013</v>
      </c>
      <c r="P19" s="7" t="n">
        <v>176</v>
      </c>
      <c r="Q19" s="7" t="n">
        <v>74</v>
      </c>
      <c r="R19" s="7" t="n">
        <f aca="false">SUM(O19:Q19)</f>
        <v>409.013</v>
      </c>
      <c r="S19" s="57"/>
      <c r="T19" s="7" t="n">
        <v>53</v>
      </c>
      <c r="U19" s="7" t="n">
        <v>1120</v>
      </c>
      <c r="V19" s="8" t="n">
        <v>18421.6188706831</v>
      </c>
      <c r="W19" s="7" t="n">
        <f aca="false">N19+R19+T19+U19</f>
        <v>1583</v>
      </c>
      <c r="X19" s="7" t="n">
        <f aca="false">IF(L19&lt;0,L19*-1,0)</f>
        <v>0</v>
      </c>
      <c r="Y19" s="7" t="n">
        <f aca="false">W19+X19</f>
        <v>1583</v>
      </c>
      <c r="Z19" s="11" t="n">
        <v>0</v>
      </c>
      <c r="AA19" s="12" t="n">
        <v>76</v>
      </c>
      <c r="AB19" s="12" t="n">
        <v>51</v>
      </c>
      <c r="AC19" s="13" t="n">
        <f aca="false">AC18+1</f>
        <v>10</v>
      </c>
      <c r="AD19" s="12"/>
      <c r="AE19" s="12"/>
      <c r="AG19" s="7"/>
    </row>
    <row r="20" customFormat="false" ht="11.1" hidden="false" customHeight="true" outlineLevel="0" collapsed="false">
      <c r="A20" s="13" t="n">
        <f aca="false">A19+1</f>
        <v>11</v>
      </c>
      <c r="B20" s="32" t="n">
        <v>6923.71</v>
      </c>
      <c r="C20" s="8" t="n">
        <v>379869</v>
      </c>
      <c r="D20" s="12" t="n">
        <f aca="false">C20-C19</f>
        <v>1380</v>
      </c>
      <c r="E20" s="8" t="n">
        <f aca="false">C20-152000</f>
        <v>227869</v>
      </c>
      <c r="F20" s="7" t="n">
        <f aca="false">D20/$D$2</f>
        <v>695.739853793799</v>
      </c>
      <c r="G20" s="7" t="n">
        <v>2180</v>
      </c>
      <c r="H20" s="9" t="n">
        <v>10</v>
      </c>
      <c r="I20" s="7" t="n">
        <f aca="false">G20+H20</f>
        <v>2190</v>
      </c>
      <c r="J20" s="105" t="n">
        <f aca="false">IF(L20&gt;0,L20,0)</f>
        <v>191.739853793799</v>
      </c>
      <c r="K20" s="7" t="n">
        <f aca="false">I20+J20</f>
        <v>2381.7398537938</v>
      </c>
      <c r="L20" s="7" t="n">
        <f aca="false">F20-(I20-W20)</f>
        <v>191.739853793799</v>
      </c>
      <c r="M20" s="7" t="n">
        <v>166</v>
      </c>
      <c r="N20" s="7" t="n">
        <f aca="false">(6.8+6.9)*1.05</f>
        <v>14.385</v>
      </c>
      <c r="O20" s="7" t="n">
        <f aca="false">M20-N20</f>
        <v>151.615</v>
      </c>
      <c r="P20" s="7" t="n">
        <v>176</v>
      </c>
      <c r="Q20" s="7" t="n">
        <v>75</v>
      </c>
      <c r="R20" s="7" t="n">
        <f aca="false">SUM(O20:Q20)</f>
        <v>402.615</v>
      </c>
      <c r="S20" s="57"/>
      <c r="T20" s="7" t="n">
        <v>39</v>
      </c>
      <c r="U20" s="7" t="n">
        <v>1230</v>
      </c>
      <c r="V20" s="8" t="n">
        <v>18421.6188706831</v>
      </c>
      <c r="W20" s="7" t="n">
        <f aca="false">N20+R20+T20+U20</f>
        <v>1686</v>
      </c>
      <c r="X20" s="7" t="n">
        <f aca="false">IF(L20&lt;0,L20*-1,0)</f>
        <v>0</v>
      </c>
      <c r="Y20" s="7" t="n">
        <f aca="false">W20+X20</f>
        <v>1686</v>
      </c>
      <c r="Z20" s="11" t="n">
        <v>0</v>
      </c>
      <c r="AA20" s="12" t="n">
        <v>80</v>
      </c>
      <c r="AB20" s="12" t="n">
        <v>44</v>
      </c>
      <c r="AC20" s="13" t="n">
        <f aca="false">AC19+1</f>
        <v>11</v>
      </c>
      <c r="AD20" s="12"/>
      <c r="AE20" s="12"/>
      <c r="AG20" s="7"/>
    </row>
    <row r="21" customFormat="false" ht="11.1" hidden="false" customHeight="true" outlineLevel="0" collapsed="false">
      <c r="A21" s="13" t="n">
        <f aca="false">A20+1</f>
        <v>12</v>
      </c>
      <c r="B21" s="32" t="n">
        <v>6923.9</v>
      </c>
      <c r="C21" s="8" t="n">
        <v>380715</v>
      </c>
      <c r="D21" s="12" t="n">
        <f aca="false">C21-C20</f>
        <v>846</v>
      </c>
      <c r="E21" s="8" t="n">
        <f aca="false">C21-152000</f>
        <v>228715</v>
      </c>
      <c r="F21" s="7" t="n">
        <f aca="false">D21/$D$2</f>
        <v>426.518779934459</v>
      </c>
      <c r="G21" s="7" t="n">
        <v>2240</v>
      </c>
      <c r="H21" s="9" t="n">
        <v>4.4</v>
      </c>
      <c r="I21" s="7" t="n">
        <f aca="false">G21+H21</f>
        <v>2244.4</v>
      </c>
      <c r="J21" s="105" t="n">
        <f aca="false">IF(L21&gt;0,L21,0)</f>
        <v>285.118779934459</v>
      </c>
      <c r="K21" s="7" t="n">
        <f aca="false">I21+J21</f>
        <v>2529.51877993446</v>
      </c>
      <c r="L21" s="7" t="n">
        <f aca="false">F21-(I21-W21)</f>
        <v>285.118779934459</v>
      </c>
      <c r="M21" s="7" t="n">
        <v>213</v>
      </c>
      <c r="N21" s="7" t="n">
        <f aca="false">(17.31+18.07)*1.05</f>
        <v>37.149</v>
      </c>
      <c r="O21" s="7" t="n">
        <f aca="false">M21-N21</f>
        <v>175.851</v>
      </c>
      <c r="P21" s="7" t="n">
        <v>175</v>
      </c>
      <c r="Q21" s="7" t="n">
        <v>75</v>
      </c>
      <c r="R21" s="7" t="n">
        <f aca="false">SUM(O21:Q21)</f>
        <v>425.851</v>
      </c>
      <c r="S21" s="57"/>
      <c r="T21" s="7" t="n">
        <v>50</v>
      </c>
      <c r="U21" s="7" t="n">
        <v>1590</v>
      </c>
      <c r="V21" s="8" t="n">
        <v>18421.6188706831</v>
      </c>
      <c r="W21" s="7" t="n">
        <f aca="false">N21+R21+T21+U21</f>
        <v>2103</v>
      </c>
      <c r="X21" s="7" t="n">
        <f aca="false">IF(L21&lt;0,L21*-1,0)</f>
        <v>0</v>
      </c>
      <c r="Y21" s="7" t="n">
        <f aca="false">W21+X21</f>
        <v>2103</v>
      </c>
      <c r="Z21" s="11" t="n">
        <v>0</v>
      </c>
      <c r="AA21" s="12" t="n">
        <v>78</v>
      </c>
      <c r="AB21" s="12" t="n">
        <v>53</v>
      </c>
      <c r="AC21" s="13" t="n">
        <f aca="false">AC20+1</f>
        <v>12</v>
      </c>
      <c r="AD21" s="12"/>
      <c r="AE21" s="12"/>
      <c r="AG21" s="7"/>
    </row>
    <row r="22" customFormat="false" ht="11.1" hidden="false" customHeight="true" outlineLevel="0" collapsed="false">
      <c r="A22" s="13" t="n">
        <f aca="false">A21+1</f>
        <v>13</v>
      </c>
      <c r="B22" s="32" t="n">
        <v>6923.93</v>
      </c>
      <c r="C22" s="8" t="n">
        <v>380848</v>
      </c>
      <c r="D22" s="12" t="n">
        <f aca="false">C22-C21</f>
        <v>133</v>
      </c>
      <c r="E22" s="8" t="n">
        <f aca="false">C22-152000</f>
        <v>228848</v>
      </c>
      <c r="F22" s="7" t="n">
        <f aca="false">D22/$D$2</f>
        <v>67.0531888076632</v>
      </c>
      <c r="G22" s="7" t="n">
        <v>2110</v>
      </c>
      <c r="H22" s="9" t="n">
        <v>3.5</v>
      </c>
      <c r="I22" s="7" t="n">
        <f aca="false">G22+H22</f>
        <v>2113.5</v>
      </c>
      <c r="J22" s="105" t="n">
        <f aca="false">IF(L22&gt;0,L22,0)</f>
        <v>163.553188807663</v>
      </c>
      <c r="K22" s="7" t="n">
        <f aca="false">I22+J22</f>
        <v>2277.05318880766</v>
      </c>
      <c r="L22" s="7" t="n">
        <f aca="false">F22-(I22-W22)</f>
        <v>163.553188807663</v>
      </c>
      <c r="M22" s="7" t="n">
        <v>229</v>
      </c>
      <c r="N22" s="7" t="n">
        <f aca="false">(24+23)*1.05</f>
        <v>49.35</v>
      </c>
      <c r="O22" s="7" t="n">
        <f aca="false">M22-N22</f>
        <v>179.65</v>
      </c>
      <c r="P22" s="7" t="n">
        <v>175</v>
      </c>
      <c r="Q22" s="7" t="n">
        <v>75</v>
      </c>
      <c r="R22" s="7" t="n">
        <f aca="false">SUM(O22:Q22)</f>
        <v>429.65</v>
      </c>
      <c r="S22" s="57"/>
      <c r="T22" s="7" t="n">
        <v>41</v>
      </c>
      <c r="U22" s="7" t="n">
        <v>1690</v>
      </c>
      <c r="V22" s="8" t="n">
        <v>18421.6188706831</v>
      </c>
      <c r="W22" s="7" t="n">
        <f aca="false">N22+R22+T22+U22</f>
        <v>2210</v>
      </c>
      <c r="X22" s="7" t="n">
        <f aca="false">IF(L22&lt;0,L22*-1,0)</f>
        <v>0</v>
      </c>
      <c r="Y22" s="7" t="n">
        <f aca="false">W22+X22</f>
        <v>2210</v>
      </c>
      <c r="Z22" s="11" t="n">
        <v>0</v>
      </c>
      <c r="AA22" s="12" t="n">
        <v>76</v>
      </c>
      <c r="AB22" s="12" t="n">
        <v>46</v>
      </c>
      <c r="AC22" s="13" t="n">
        <f aca="false">AC21+1</f>
        <v>13</v>
      </c>
      <c r="AD22" s="12"/>
      <c r="AE22" s="12"/>
      <c r="AG22" s="7"/>
    </row>
    <row r="23" customFormat="false" ht="11.1" hidden="false" customHeight="true" outlineLevel="0" collapsed="false">
      <c r="A23" s="13" t="n">
        <f aca="false">A22+1</f>
        <v>14</v>
      </c>
      <c r="B23" s="32" t="n">
        <v>6923.9</v>
      </c>
      <c r="C23" s="8" t="n">
        <v>380715</v>
      </c>
      <c r="D23" s="12" t="n">
        <f aca="false">C23-C22</f>
        <v>-133</v>
      </c>
      <c r="E23" s="8" t="n">
        <f aca="false">C23-152000</f>
        <v>228715</v>
      </c>
      <c r="F23" s="7" t="n">
        <f aca="false">D23/$D$2</f>
        <v>-67.0531888076632</v>
      </c>
      <c r="G23" s="7" t="n">
        <v>1930</v>
      </c>
      <c r="H23" s="9" t="n">
        <v>3.1</v>
      </c>
      <c r="I23" s="7" t="n">
        <f aca="false">G23+H23</f>
        <v>1933.1</v>
      </c>
      <c r="J23" s="105" t="n">
        <f aca="false">IF(L23&gt;0,L23,0)</f>
        <v>233.846811192337</v>
      </c>
      <c r="K23" s="7" t="n">
        <f aca="false">I23+J23</f>
        <v>2166.94681119234</v>
      </c>
      <c r="L23" s="7" t="n">
        <f aca="false">F23-(I23-W23)</f>
        <v>233.846811192337</v>
      </c>
      <c r="M23" s="7" t="n">
        <v>236</v>
      </c>
      <c r="N23" s="7" t="n">
        <f aca="false">(29.34+28.11)*1.05</f>
        <v>60.3225</v>
      </c>
      <c r="O23" s="7" t="n">
        <f aca="false">M23-N23</f>
        <v>175.6775</v>
      </c>
      <c r="P23" s="7" t="n">
        <v>176</v>
      </c>
      <c r="Q23" s="7" t="n">
        <v>75</v>
      </c>
      <c r="R23" s="7" t="n">
        <f aca="false">SUM(O23:Q23)</f>
        <v>426.6775</v>
      </c>
      <c r="S23" s="57"/>
      <c r="T23" s="7" t="n">
        <v>57</v>
      </c>
      <c r="U23" s="7" t="n">
        <v>1690</v>
      </c>
      <c r="V23" s="8" t="n">
        <v>18421.6188706831</v>
      </c>
      <c r="W23" s="7" t="n">
        <f aca="false">N23+R23+T23+U23</f>
        <v>2234</v>
      </c>
      <c r="X23" s="7" t="n">
        <f aca="false">IF(L23&lt;0,L23*-1,0)</f>
        <v>0</v>
      </c>
      <c r="Y23" s="7" t="n">
        <f aca="false">W23+X23</f>
        <v>2234</v>
      </c>
      <c r="Z23" s="11" t="n">
        <v>0</v>
      </c>
      <c r="AA23" s="12" t="n">
        <v>77</v>
      </c>
      <c r="AB23" s="12" t="n">
        <v>44</v>
      </c>
      <c r="AC23" s="13" t="n">
        <f aca="false">AC22+1</f>
        <v>14</v>
      </c>
      <c r="AD23" s="12"/>
      <c r="AE23" s="12"/>
      <c r="AG23" s="7"/>
    </row>
    <row r="24" customFormat="false" ht="11.1" hidden="false" customHeight="true" outlineLevel="0" collapsed="false">
      <c r="A24" s="13" t="n">
        <f aca="false">A23+1</f>
        <v>15</v>
      </c>
      <c r="B24" s="32" t="n">
        <v>6923.85</v>
      </c>
      <c r="C24" s="8" t="n">
        <v>380492</v>
      </c>
      <c r="D24" s="12" t="n">
        <f aca="false">C24-C23</f>
        <v>-223</v>
      </c>
      <c r="E24" s="8" t="n">
        <f aca="false">C24-152000</f>
        <v>228492</v>
      </c>
      <c r="F24" s="7" t="n">
        <f aca="false">D24/$D$2</f>
        <v>-112.427527098563</v>
      </c>
      <c r="G24" s="7" t="n">
        <v>1790</v>
      </c>
      <c r="H24" s="9" t="n">
        <v>2.8</v>
      </c>
      <c r="I24" s="7" t="n">
        <f aca="false">G24+H24</f>
        <v>1792.8</v>
      </c>
      <c r="J24" s="105" t="n">
        <f aca="false">IF(L24&gt;0,L24,0)</f>
        <v>170.772472901437</v>
      </c>
      <c r="K24" s="7" t="n">
        <f aca="false">I24+J24</f>
        <v>1963.57247290144</v>
      </c>
      <c r="L24" s="7" t="n">
        <f aca="false">F24-(I24-W24)</f>
        <v>170.772472901437</v>
      </c>
      <c r="M24" s="7" t="n">
        <v>240</v>
      </c>
      <c r="N24" s="7" t="n">
        <f aca="false">(25.6+23.83)*1.05</f>
        <v>51.9015</v>
      </c>
      <c r="O24" s="7" t="n">
        <f aca="false">M24-N24</f>
        <v>188.0985</v>
      </c>
      <c r="P24" s="7" t="n">
        <v>175</v>
      </c>
      <c r="Q24" s="7" t="n">
        <v>75</v>
      </c>
      <c r="R24" s="7" t="n">
        <f aca="false">SUM(O24:Q24)</f>
        <v>438.0985</v>
      </c>
      <c r="S24" s="57"/>
      <c r="T24" s="7" t="n">
        <v>66</v>
      </c>
      <c r="U24" s="7" t="n">
        <v>1520</v>
      </c>
      <c r="V24" s="8" t="n">
        <v>18421.6188706831</v>
      </c>
      <c r="W24" s="7" t="n">
        <f aca="false">N24+R24+T24+U24</f>
        <v>2076</v>
      </c>
      <c r="X24" s="7" t="n">
        <f aca="false">IF(L24&lt;0,L24*-1,0)</f>
        <v>0</v>
      </c>
      <c r="Y24" s="7" t="n">
        <f aca="false">W24+X24</f>
        <v>2076</v>
      </c>
      <c r="Z24" s="11" t="n">
        <v>0</v>
      </c>
      <c r="AA24" s="12" t="n">
        <v>75</v>
      </c>
      <c r="AB24" s="12" t="n">
        <v>42</v>
      </c>
      <c r="AC24" s="13" t="n">
        <f aca="false">AC23+1</f>
        <v>15</v>
      </c>
      <c r="AD24" s="12"/>
      <c r="AE24" s="12"/>
      <c r="AG24" s="7"/>
    </row>
    <row r="25" customFormat="false" ht="11.1" hidden="false" customHeight="true" outlineLevel="0" collapsed="false">
      <c r="A25" s="13" t="n">
        <f aca="false">A24+1</f>
        <v>16</v>
      </c>
      <c r="B25" s="32" t="n">
        <v>6923.81</v>
      </c>
      <c r="C25" s="8" t="n">
        <v>380314</v>
      </c>
      <c r="D25" s="12" t="n">
        <f aca="false">C25-C24</f>
        <v>-178</v>
      </c>
      <c r="E25" s="8" t="n">
        <f aca="false">C25-152000</f>
        <v>228314</v>
      </c>
      <c r="F25" s="7" t="n">
        <f aca="false">D25/$D$2</f>
        <v>-89.7403579531132</v>
      </c>
      <c r="G25" s="7" t="n">
        <v>1580</v>
      </c>
      <c r="H25" s="9" t="n">
        <v>2.6</v>
      </c>
      <c r="I25" s="7" t="n">
        <f aca="false">G25+H25</f>
        <v>1582.6</v>
      </c>
      <c r="J25" s="105" t="n">
        <f aca="false">IF(L25&gt;0,L25,0)</f>
        <v>26.6596420468869</v>
      </c>
      <c r="K25" s="7" t="n">
        <f aca="false">I25+J25</f>
        <v>1609.25964204689</v>
      </c>
      <c r="L25" s="7" t="n">
        <f aca="false">F25-(I25-W25)</f>
        <v>26.6596420468869</v>
      </c>
      <c r="M25" s="7" t="n">
        <v>210</v>
      </c>
      <c r="N25" s="7" t="n">
        <f aca="false">(25.28+24.61)*1.05</f>
        <v>52.3845</v>
      </c>
      <c r="O25" s="7" t="n">
        <f aca="false">M25-N25</f>
        <v>157.6155</v>
      </c>
      <c r="P25" s="7" t="n">
        <v>176</v>
      </c>
      <c r="Q25" s="7" t="n">
        <v>75</v>
      </c>
      <c r="R25" s="7" t="n">
        <f aca="false">SUM(O25:Q25)</f>
        <v>408.6155</v>
      </c>
      <c r="S25" s="57"/>
      <c r="T25" s="7" t="n">
        <v>68</v>
      </c>
      <c r="U25" s="7" t="n">
        <v>1170</v>
      </c>
      <c r="V25" s="8" t="n">
        <v>18421.6188706831</v>
      </c>
      <c r="W25" s="7" t="n">
        <f aca="false">N25+R25+T25+U25</f>
        <v>1699</v>
      </c>
      <c r="X25" s="7" t="n">
        <f aca="false">IF(L25&lt;0,L25*-1,0)</f>
        <v>0</v>
      </c>
      <c r="Y25" s="7" t="n">
        <f aca="false">W25+X25</f>
        <v>1699</v>
      </c>
      <c r="Z25" s="11" t="n">
        <v>0</v>
      </c>
      <c r="AA25" s="12" t="n">
        <v>78</v>
      </c>
      <c r="AB25" s="12" t="n">
        <v>52</v>
      </c>
      <c r="AC25" s="13" t="n">
        <f aca="false">AC24+1</f>
        <v>16</v>
      </c>
      <c r="AD25" s="12"/>
      <c r="AE25" s="12"/>
      <c r="AG25" s="7"/>
    </row>
    <row r="26" customFormat="false" ht="11.1" hidden="false" customHeight="true" outlineLevel="0" collapsed="false">
      <c r="A26" s="13" t="n">
        <f aca="false">A25+1</f>
        <v>17</v>
      </c>
      <c r="B26" s="32" t="n">
        <v>6923.86</v>
      </c>
      <c r="C26" s="8" t="n">
        <v>380537</v>
      </c>
      <c r="D26" s="12" t="n">
        <f aca="false">C26-C25</f>
        <v>223</v>
      </c>
      <c r="E26" s="8" t="n">
        <f aca="false">C26-152000</f>
        <v>228537</v>
      </c>
      <c r="F26" s="7" t="n">
        <f aca="false">D26/$D$2</f>
        <v>112.427527098563</v>
      </c>
      <c r="G26" s="7" t="n">
        <v>1540</v>
      </c>
      <c r="H26" s="9" t="n">
        <v>2.2</v>
      </c>
      <c r="I26" s="7" t="n">
        <f aca="false">G26+H26</f>
        <v>1542.2</v>
      </c>
      <c r="J26" s="105" t="n">
        <f aca="false">IF(L26&gt;0,L26,0)</f>
        <v>55.537527098563</v>
      </c>
      <c r="K26" s="7" t="n">
        <f aca="false">I26+J26</f>
        <v>1597.73752709856</v>
      </c>
      <c r="L26" s="7" t="n">
        <f aca="false">F26-(I26-W26)</f>
        <v>55.537527098563</v>
      </c>
      <c r="M26" s="7" t="n">
        <v>212</v>
      </c>
      <c r="N26" s="7" t="n">
        <f aca="false">(18.69+18.52)*1.05</f>
        <v>39.0705</v>
      </c>
      <c r="O26" s="7" t="n">
        <f aca="false">M26-N26</f>
        <v>172.9295</v>
      </c>
      <c r="P26" s="7" t="n">
        <v>176</v>
      </c>
      <c r="Q26" s="7" t="n">
        <v>75</v>
      </c>
      <c r="R26" s="7" t="n">
        <f aca="false">SUM(O26:Q26)</f>
        <v>423.9295</v>
      </c>
      <c r="S26" s="57"/>
      <c r="T26" s="7" t="n">
        <v>80.31</v>
      </c>
      <c r="U26" s="7" t="n">
        <v>942</v>
      </c>
      <c r="V26" s="8" t="n">
        <v>18421.6188706831</v>
      </c>
      <c r="W26" s="7" t="n">
        <f aca="false">N26+R26+T26+U26</f>
        <v>1485.31</v>
      </c>
      <c r="X26" s="7" t="n">
        <f aca="false">IF(L26&lt;0,L26*-1,0)</f>
        <v>0</v>
      </c>
      <c r="Y26" s="7" t="n">
        <f aca="false">W26+X26</f>
        <v>1485.31</v>
      </c>
      <c r="Z26" s="11" t="n">
        <v>0</v>
      </c>
      <c r="AA26" s="12" t="n">
        <v>82</v>
      </c>
      <c r="AB26" s="12" t="n">
        <v>53</v>
      </c>
      <c r="AC26" s="13" t="n">
        <f aca="false">AC25+1</f>
        <v>17</v>
      </c>
      <c r="AD26" s="12"/>
      <c r="AE26" s="12"/>
      <c r="AG26" s="7"/>
    </row>
    <row r="27" customFormat="false" ht="11.1" hidden="false" customHeight="true" outlineLevel="0" collapsed="false">
      <c r="A27" s="13" t="n">
        <f aca="false">A26+1</f>
        <v>18</v>
      </c>
      <c r="B27" s="32" t="n">
        <v>6923.95</v>
      </c>
      <c r="C27" s="8" t="n">
        <v>380937</v>
      </c>
      <c r="D27" s="12" t="n">
        <f aca="false">C27-C26</f>
        <v>400</v>
      </c>
      <c r="E27" s="8" t="n">
        <f aca="false">C27-152000</f>
        <v>228937</v>
      </c>
      <c r="F27" s="7" t="n">
        <f aca="false">D27/$D$2</f>
        <v>201.663725737333</v>
      </c>
      <c r="G27" s="7" t="n">
        <v>1650</v>
      </c>
      <c r="H27" s="9" t="n">
        <v>2</v>
      </c>
      <c r="I27" s="7" t="n">
        <f aca="false">G27+H27</f>
        <v>1652</v>
      </c>
      <c r="J27" s="105" t="n">
        <f aca="false">IF(L27&gt;0,L27,0)</f>
        <v>0</v>
      </c>
      <c r="K27" s="7" t="n">
        <f aca="false">I27+J27</f>
        <v>1652</v>
      </c>
      <c r="L27" s="7" t="n">
        <f aca="false">F27-(I27-W27)</f>
        <v>-110.336274262667</v>
      </c>
      <c r="M27" s="7" t="n">
        <v>202</v>
      </c>
      <c r="N27" s="7" t="n">
        <f aca="false">(17.18+17.2)*1.05</f>
        <v>36.099</v>
      </c>
      <c r="O27" s="7" t="n">
        <f aca="false">M27-N27</f>
        <v>165.901</v>
      </c>
      <c r="P27" s="7" t="n">
        <v>176</v>
      </c>
      <c r="Q27" s="7" t="n">
        <v>75</v>
      </c>
      <c r="R27" s="7" t="n">
        <f aca="false">SUM(O27:Q27)</f>
        <v>416.901</v>
      </c>
      <c r="S27" s="57"/>
      <c r="T27" s="7" t="n">
        <v>90</v>
      </c>
      <c r="U27" s="7" t="n">
        <v>797</v>
      </c>
      <c r="V27" s="8" t="n">
        <v>18421.6188706831</v>
      </c>
      <c r="W27" s="7" t="n">
        <f aca="false">N27+R27+T27+U27</f>
        <v>1340</v>
      </c>
      <c r="X27" s="7" t="n">
        <f aca="false">IF(L27&lt;0,L27*-1,0)</f>
        <v>110.336274262667</v>
      </c>
      <c r="Y27" s="7" t="n">
        <f aca="false">W27+X27</f>
        <v>1450.33627426267</v>
      </c>
      <c r="Z27" s="11" t="n">
        <v>0</v>
      </c>
      <c r="AA27" s="12" t="n">
        <v>88</v>
      </c>
      <c r="AB27" s="12" t="n">
        <v>56</v>
      </c>
      <c r="AC27" s="13" t="n">
        <f aca="false">AC26+1</f>
        <v>18</v>
      </c>
      <c r="AD27" s="12"/>
      <c r="AE27" s="12"/>
      <c r="AG27" s="7"/>
    </row>
    <row r="28" customFormat="false" ht="11.1" hidden="false" customHeight="true" outlineLevel="0" collapsed="false">
      <c r="A28" s="13" t="n">
        <f aca="false">A27+1</f>
        <v>19</v>
      </c>
      <c r="B28" s="32" t="n">
        <v>6924.2</v>
      </c>
      <c r="C28" s="8" t="n">
        <v>382057</v>
      </c>
      <c r="D28" s="12" t="n">
        <f aca="false">C28-C27</f>
        <v>1120</v>
      </c>
      <c r="E28" s="8" t="n">
        <f aca="false">C28-152000</f>
        <v>230057</v>
      </c>
      <c r="F28" s="7" t="n">
        <f aca="false">D28/$D$2</f>
        <v>564.658432064532</v>
      </c>
      <c r="G28" s="7" t="n">
        <v>1790</v>
      </c>
      <c r="H28" s="9" t="n">
        <v>1.8</v>
      </c>
      <c r="I28" s="7" t="n">
        <f aca="false">G28+H28</f>
        <v>1791.8</v>
      </c>
      <c r="J28" s="105" t="n">
        <f aca="false">IF(L28&gt;0,L28,0)</f>
        <v>52.8584320645324</v>
      </c>
      <c r="K28" s="7" t="n">
        <f aca="false">I28+J28</f>
        <v>1844.65843206453</v>
      </c>
      <c r="L28" s="7" t="n">
        <f aca="false">F28-(I28-W28)</f>
        <v>52.8584320645324</v>
      </c>
      <c r="M28" s="7" t="n">
        <v>219</v>
      </c>
      <c r="N28" s="7" t="n">
        <f aca="false">(18.27+18.97)*1.05</f>
        <v>39.102</v>
      </c>
      <c r="O28" s="7" t="n">
        <f aca="false">M28-N28</f>
        <v>179.898</v>
      </c>
      <c r="P28" s="7" t="n">
        <v>177</v>
      </c>
      <c r="Q28" s="7" t="n">
        <v>75</v>
      </c>
      <c r="R28" s="7" t="n">
        <f aca="false">SUM(O28:Q28)</f>
        <v>431.898</v>
      </c>
      <c r="S28" s="57"/>
      <c r="T28" s="7" t="n">
        <v>101</v>
      </c>
      <c r="U28" s="7" t="n">
        <v>708</v>
      </c>
      <c r="V28" s="8" t="n">
        <v>18421.6188706831</v>
      </c>
      <c r="W28" s="7" t="n">
        <f aca="false">N28+R28+T28+U28</f>
        <v>1280</v>
      </c>
      <c r="X28" s="7" t="n">
        <f aca="false">IF(L28&lt;0,L28*-1,0)</f>
        <v>0</v>
      </c>
      <c r="Y28" s="7" t="n">
        <f aca="false">W28+X28</f>
        <v>1280</v>
      </c>
      <c r="Z28" s="11" t="n">
        <v>0</v>
      </c>
      <c r="AA28" s="12" t="n">
        <v>88</v>
      </c>
      <c r="AB28" s="12" t="n">
        <v>58</v>
      </c>
      <c r="AC28" s="13" t="n">
        <f aca="false">AC27+1</f>
        <v>19</v>
      </c>
      <c r="AD28" s="12"/>
      <c r="AE28" s="12"/>
      <c r="AG28" s="7"/>
    </row>
    <row r="29" customFormat="false" ht="11.1" hidden="false" customHeight="true" outlineLevel="0" collapsed="false">
      <c r="A29" s="13" t="n">
        <f aca="false">A28+1</f>
        <v>20</v>
      </c>
      <c r="B29" s="32" t="n">
        <v>6924.35</v>
      </c>
      <c r="C29" s="8" t="n">
        <v>382730</v>
      </c>
      <c r="D29" s="12" t="n">
        <f aca="false">C29-C28</f>
        <v>673</v>
      </c>
      <c r="E29" s="8" t="n">
        <f aca="false">C29-152000</f>
        <v>230730</v>
      </c>
      <c r="F29" s="7" t="n">
        <f aca="false">D29/$D$2</f>
        <v>339.299218553063</v>
      </c>
      <c r="G29" s="7" t="n">
        <v>1850</v>
      </c>
      <c r="H29" s="9" t="n">
        <v>1.5</v>
      </c>
      <c r="I29" s="7" t="n">
        <f aca="false">G29+H29</f>
        <v>1851.5</v>
      </c>
      <c r="J29" s="105" t="n">
        <f aca="false">IF(L29&gt;0,L29,0)</f>
        <v>39.7992185530628</v>
      </c>
      <c r="K29" s="7" t="n">
        <f aca="false">I29+J29</f>
        <v>1891.29921855306</v>
      </c>
      <c r="L29" s="7" t="n">
        <f aca="false">F29-(I29-W29)</f>
        <v>39.7992185530628</v>
      </c>
      <c r="M29" s="7" t="n">
        <v>241</v>
      </c>
      <c r="N29" s="125" t="n">
        <f aca="false">(27.07+23.77)*1.05</f>
        <v>53.382</v>
      </c>
      <c r="O29" s="7" t="n">
        <f aca="false">M29-N29</f>
        <v>187.618</v>
      </c>
      <c r="P29" s="7" t="n">
        <v>177</v>
      </c>
      <c r="Q29" s="7" t="n">
        <v>75</v>
      </c>
      <c r="R29" s="7" t="n">
        <f aca="false">SUM(O29:Q29)</f>
        <v>439.618</v>
      </c>
      <c r="S29" s="57"/>
      <c r="T29" s="7" t="n">
        <v>101</v>
      </c>
      <c r="U29" s="7" t="n">
        <v>958</v>
      </c>
      <c r="V29" s="8" t="n">
        <v>18421.6188706831</v>
      </c>
      <c r="W29" s="7" t="n">
        <f aca="false">N29+R29+T29+U29</f>
        <v>1552</v>
      </c>
      <c r="X29" s="7" t="n">
        <f aca="false">IF(L29&lt;0,L29*-1,0)</f>
        <v>0</v>
      </c>
      <c r="Y29" s="7" t="n">
        <f aca="false">W29+X29</f>
        <v>1552</v>
      </c>
      <c r="Z29" s="11" t="n">
        <v>0</v>
      </c>
      <c r="AA29" s="12" t="n">
        <v>89</v>
      </c>
      <c r="AB29" s="12" t="n">
        <v>56</v>
      </c>
      <c r="AC29" s="13" t="n">
        <f aca="false">AC28+1</f>
        <v>20</v>
      </c>
      <c r="AD29" s="12"/>
      <c r="AE29" s="12"/>
      <c r="AG29" s="7"/>
    </row>
    <row r="30" customFormat="false" ht="11.1" hidden="false" customHeight="true" outlineLevel="0" collapsed="false">
      <c r="A30" s="13" t="n">
        <f aca="false">A29+1</f>
        <v>21</v>
      </c>
      <c r="B30" s="32" t="n">
        <v>6924.26</v>
      </c>
      <c r="C30" s="8" t="n">
        <v>382326</v>
      </c>
      <c r="D30" s="12" t="n">
        <f aca="false">C30-C29</f>
        <v>-404</v>
      </c>
      <c r="E30" s="8" t="n">
        <f aca="false">C30-152000</f>
        <v>230326</v>
      </c>
      <c r="F30" s="7" t="n">
        <f aca="false">D30/$D$2</f>
        <v>-203.680362994706</v>
      </c>
      <c r="G30" s="7" t="n">
        <v>1760</v>
      </c>
      <c r="H30" s="9" t="n">
        <v>1.4</v>
      </c>
      <c r="I30" s="7" t="n">
        <f aca="false">G30+H30</f>
        <v>1761.4</v>
      </c>
      <c r="J30" s="105" t="n">
        <f aca="false">IF(L30&gt;0,L30,0)</f>
        <v>93.9196370052936</v>
      </c>
      <c r="K30" s="7" t="n">
        <f aca="false">I30+J30</f>
        <v>1855.31963700529</v>
      </c>
      <c r="L30" s="7" t="n">
        <f aca="false">F30-(I30-W30)</f>
        <v>93.9196370052936</v>
      </c>
      <c r="M30" s="7" t="n">
        <v>254</v>
      </c>
      <c r="N30" s="7" t="n">
        <f aca="false">(29.43+27.07)*1.05</f>
        <v>59.325</v>
      </c>
      <c r="O30" s="7" t="n">
        <f aca="false">M30-N30</f>
        <v>194.675</v>
      </c>
      <c r="P30" s="7" t="n">
        <v>178</v>
      </c>
      <c r="Q30" s="7" t="n">
        <v>75</v>
      </c>
      <c r="R30" s="7" t="n">
        <f aca="false">SUM(O30:Q30)</f>
        <v>447.675</v>
      </c>
      <c r="S30" s="57"/>
      <c r="T30" s="7" t="n">
        <v>92</v>
      </c>
      <c r="U30" s="7" t="n">
        <v>1460</v>
      </c>
      <c r="V30" s="8" t="n">
        <v>18421.6188706831</v>
      </c>
      <c r="W30" s="7" t="n">
        <f aca="false">N30+R30+T30+U30</f>
        <v>2059</v>
      </c>
      <c r="X30" s="7" t="n">
        <f aca="false">IF(L30&lt;0,L30*-1,0)</f>
        <v>0</v>
      </c>
      <c r="Y30" s="7" t="n">
        <f aca="false">W30+X30</f>
        <v>2059</v>
      </c>
      <c r="Z30" s="11" t="n">
        <v>0</v>
      </c>
      <c r="AA30" s="12" t="n">
        <v>90</v>
      </c>
      <c r="AB30" s="12" t="n">
        <v>57</v>
      </c>
      <c r="AC30" s="13" t="n">
        <f aca="false">AC29+1</f>
        <v>21</v>
      </c>
      <c r="AD30" s="12"/>
      <c r="AE30" s="12"/>
      <c r="AG30" s="7"/>
    </row>
    <row r="31" customFormat="false" ht="11.1" hidden="false" customHeight="true" outlineLevel="0" collapsed="false">
      <c r="A31" s="13" t="n">
        <f aca="false">A30+1</f>
        <v>22</v>
      </c>
      <c r="B31" s="32" t="n">
        <v>6924.11</v>
      </c>
      <c r="C31" s="8" t="n">
        <v>381653</v>
      </c>
      <c r="D31" s="12" t="n">
        <f aca="false">C31-C30</f>
        <v>-673</v>
      </c>
      <c r="E31" s="8" t="n">
        <f aca="false">C31-152000</f>
        <v>229653</v>
      </c>
      <c r="F31" s="7" t="n">
        <f aca="false">D31/$D$2</f>
        <v>-339.299218553063</v>
      </c>
      <c r="G31" s="7" t="n">
        <v>1660</v>
      </c>
      <c r="H31" s="9" t="n">
        <v>1.6</v>
      </c>
      <c r="I31" s="7" t="n">
        <f aca="false">G31+H31</f>
        <v>1661.6</v>
      </c>
      <c r="J31" s="105" t="n">
        <f aca="false">IF(L31&gt;0,L31,0)</f>
        <v>20.1007814469373</v>
      </c>
      <c r="K31" s="7" t="n">
        <f aca="false">I31+J31</f>
        <v>1681.70078144694</v>
      </c>
      <c r="L31" s="7" t="n">
        <f aca="false">F31-(I31-W31)</f>
        <v>20.1007814469373</v>
      </c>
      <c r="M31" s="7" t="n">
        <v>278</v>
      </c>
      <c r="N31" s="7" t="n">
        <f aca="false">(36.03+35.9)*1.05</f>
        <v>75.5265</v>
      </c>
      <c r="O31" s="7" t="n">
        <f aca="false">M31-N31</f>
        <v>202.4735</v>
      </c>
      <c r="P31" s="7" t="n">
        <v>177</v>
      </c>
      <c r="Q31" s="7" t="n">
        <v>75</v>
      </c>
      <c r="R31" s="7" t="n">
        <f aca="false">SUM(O31:Q31)</f>
        <v>454.4735</v>
      </c>
      <c r="S31" s="57"/>
      <c r="T31" s="7" t="n">
        <v>121</v>
      </c>
      <c r="U31" s="7" t="n">
        <v>1370</v>
      </c>
      <c r="V31" s="8" t="n">
        <v>18421.6188706831</v>
      </c>
      <c r="W31" s="7" t="n">
        <f aca="false">N31+R31+T31+U31</f>
        <v>2021</v>
      </c>
      <c r="X31" s="7" t="n">
        <f aca="false">IF(L31&lt;0,L31*-1,0)</f>
        <v>0</v>
      </c>
      <c r="Y31" s="7" t="n">
        <f aca="false">W31+X31</f>
        <v>2021</v>
      </c>
      <c r="Z31" s="11" t="n">
        <v>0</v>
      </c>
      <c r="AA31" s="12" t="n">
        <v>89</v>
      </c>
      <c r="AB31" s="12" t="n">
        <v>54</v>
      </c>
      <c r="AC31" s="13" t="n">
        <f aca="false">AC30+1</f>
        <v>22</v>
      </c>
      <c r="AD31" s="12"/>
      <c r="AE31" s="12"/>
      <c r="AG31" s="7"/>
    </row>
    <row r="32" customFormat="false" ht="11.1" hidden="false" customHeight="true" outlineLevel="0" collapsed="false">
      <c r="A32" s="13" t="n">
        <f aca="false">A31+1</f>
        <v>23</v>
      </c>
      <c r="B32" s="32" t="n">
        <v>6924.08</v>
      </c>
      <c r="C32" s="8" t="n">
        <v>381519</v>
      </c>
      <c r="D32" s="12" t="n">
        <f aca="false">C32-C31</f>
        <v>-134</v>
      </c>
      <c r="E32" s="8" t="n">
        <f aca="false">C32-152000</f>
        <v>229519</v>
      </c>
      <c r="F32" s="7" t="n">
        <f aca="false">D32/$D$2</f>
        <v>-67.5573481220066</v>
      </c>
      <c r="G32" s="7" t="n">
        <v>1580</v>
      </c>
      <c r="H32" s="9" t="n">
        <v>1.4</v>
      </c>
      <c r="I32" s="7" t="n">
        <f aca="false">G32+H32</f>
        <v>1581.4</v>
      </c>
      <c r="J32" s="105" t="n">
        <f aca="false">IF(L32&gt;0,L32,0)</f>
        <v>22.0426518779933</v>
      </c>
      <c r="K32" s="7" t="n">
        <f aca="false">I32+J32</f>
        <v>1603.44265187799</v>
      </c>
      <c r="L32" s="7" t="n">
        <f aca="false">F32-(I32-W32)</f>
        <v>22.0426518779933</v>
      </c>
      <c r="M32" s="7" t="n">
        <v>277</v>
      </c>
      <c r="N32" s="7" t="n">
        <f aca="false">(30.27+31.05)*1.05</f>
        <v>64.386</v>
      </c>
      <c r="O32" s="7" t="n">
        <f aca="false">M32-N32</f>
        <v>212.614</v>
      </c>
      <c r="P32" s="7" t="n">
        <v>176</v>
      </c>
      <c r="Q32" s="7" t="n">
        <v>75</v>
      </c>
      <c r="R32" s="7" t="n">
        <f aca="false">SUM(O32:Q32)</f>
        <v>463.614</v>
      </c>
      <c r="S32" s="57"/>
      <c r="T32" s="7" t="n">
        <v>123</v>
      </c>
      <c r="U32" s="7" t="n">
        <v>1020</v>
      </c>
      <c r="V32" s="8" t="n">
        <v>18421.6188706831</v>
      </c>
      <c r="W32" s="7" t="n">
        <f aca="false">N32+R32+T32+U32</f>
        <v>1671</v>
      </c>
      <c r="X32" s="7" t="n">
        <f aca="false">IF(L32&lt;0,L32*-1,0)</f>
        <v>0</v>
      </c>
      <c r="Y32" s="7" t="n">
        <f aca="false">W32+X32</f>
        <v>1671</v>
      </c>
      <c r="Z32" s="11" t="n">
        <v>0</v>
      </c>
      <c r="AA32" s="12" t="n">
        <v>85</v>
      </c>
      <c r="AB32" s="12" t="n">
        <v>51</v>
      </c>
      <c r="AC32" s="13" t="n">
        <f aca="false">AC31+1</f>
        <v>23</v>
      </c>
      <c r="AD32" s="12"/>
      <c r="AE32" s="12"/>
      <c r="AG32" s="7"/>
    </row>
    <row r="33" customFormat="false" ht="11.1" hidden="false" customHeight="true" outlineLevel="0" collapsed="false">
      <c r="A33" s="13" t="n">
        <f aca="false">A32+1</f>
        <v>24</v>
      </c>
      <c r="B33" s="32" t="n">
        <v>2924.05</v>
      </c>
      <c r="C33" s="8" t="n">
        <v>381384</v>
      </c>
      <c r="D33" s="12" t="n">
        <f aca="false">C33-C32</f>
        <v>-135</v>
      </c>
      <c r="E33" s="8" t="n">
        <f aca="false">C33-152000</f>
        <v>229384</v>
      </c>
      <c r="F33" s="7" t="n">
        <f aca="false">D33/$D$2</f>
        <v>-68.0615074363499</v>
      </c>
      <c r="G33" s="7" t="n">
        <v>1430</v>
      </c>
      <c r="H33" s="9" t="n">
        <v>0.83</v>
      </c>
      <c r="I33" s="7" t="n">
        <f aca="false">G33+H33</f>
        <v>1430.83</v>
      </c>
      <c r="J33" s="105" t="n">
        <f aca="false">IF(L33&gt;0,L33,0)</f>
        <v>0</v>
      </c>
      <c r="K33" s="7" t="n">
        <f aca="false">I33+J33</f>
        <v>1430.83</v>
      </c>
      <c r="L33" s="7" t="n">
        <f aca="false">F33-(I33-W33)</f>
        <v>-15.8915074363498</v>
      </c>
      <c r="M33" s="7" t="n">
        <v>275</v>
      </c>
      <c r="N33" s="7" t="n">
        <f aca="false">(27.59+27.81)*1.05</f>
        <v>58.17</v>
      </c>
      <c r="O33" s="7" t="n">
        <f aca="false">M33-N33</f>
        <v>216.83</v>
      </c>
      <c r="P33" s="7" t="n">
        <v>176</v>
      </c>
      <c r="Q33" s="7" t="n">
        <v>75</v>
      </c>
      <c r="R33" s="7" t="n">
        <f aca="false">SUM(O33:Q33)</f>
        <v>467.83</v>
      </c>
      <c r="S33" s="57"/>
      <c r="T33" s="7" t="n">
        <v>146</v>
      </c>
      <c r="U33" s="7" t="n">
        <v>811</v>
      </c>
      <c r="V33" s="8" t="n">
        <v>18421.6188706831</v>
      </c>
      <c r="W33" s="7" t="n">
        <f aca="false">N33+R33+T33+U33</f>
        <v>1483</v>
      </c>
      <c r="X33" s="7" t="n">
        <f aca="false">IF(L33&lt;0,L33*-1,0)</f>
        <v>15.8915074363498</v>
      </c>
      <c r="Y33" s="7" t="n">
        <f aca="false">W33+X33</f>
        <v>1498.89150743635</v>
      </c>
      <c r="Z33" s="11" t="n">
        <v>0</v>
      </c>
      <c r="AA33" s="12" t="n">
        <v>87</v>
      </c>
      <c r="AB33" s="12" t="n">
        <v>46</v>
      </c>
      <c r="AC33" s="13" t="n">
        <f aca="false">AC32+1</f>
        <v>24</v>
      </c>
      <c r="AD33" s="12"/>
      <c r="AE33" s="12"/>
      <c r="AG33" s="7"/>
    </row>
    <row r="34" customFormat="false" ht="11.1" hidden="false" customHeight="true" outlineLevel="0" collapsed="false">
      <c r="A34" s="13" t="n">
        <f aca="false">A33+1</f>
        <v>25</v>
      </c>
      <c r="B34" s="32" t="n">
        <v>6924.05</v>
      </c>
      <c r="C34" s="8" t="n">
        <v>381384</v>
      </c>
      <c r="D34" s="12" t="n">
        <f aca="false">C34-C33</f>
        <v>0</v>
      </c>
      <c r="E34" s="8" t="n">
        <f aca="false">C34-152000</f>
        <v>229384</v>
      </c>
      <c r="F34" s="7" t="n">
        <f aca="false">D34/$D$2</f>
        <v>0</v>
      </c>
      <c r="G34" s="7" t="n">
        <v>1240</v>
      </c>
      <c r="H34" s="9" t="n">
        <v>0.76</v>
      </c>
      <c r="I34" s="7" t="n">
        <f aca="false">G34+H34</f>
        <v>1240.76</v>
      </c>
      <c r="J34" s="105" t="n">
        <f aca="false">IF(L34&gt;0,L34,0)</f>
        <v>37.05</v>
      </c>
      <c r="K34" s="7" t="n">
        <f aca="false">I34+J34</f>
        <v>1277.81</v>
      </c>
      <c r="L34" s="7" t="n">
        <f aca="false">F34-(I34-W34)</f>
        <v>37.05</v>
      </c>
      <c r="M34" s="7" t="n">
        <v>261</v>
      </c>
      <c r="N34" s="7" t="n">
        <f aca="false">(23.58+23.24)*1.05</f>
        <v>49.161</v>
      </c>
      <c r="O34" s="7" t="n">
        <f aca="false">M34-N34</f>
        <v>211.839</v>
      </c>
      <c r="P34" s="7" t="n">
        <v>177</v>
      </c>
      <c r="Q34" s="7" t="n">
        <v>75</v>
      </c>
      <c r="R34" s="7" t="n">
        <f aca="false">SUM(O34:Q34)</f>
        <v>463.839</v>
      </c>
      <c r="S34" s="57"/>
      <c r="T34" s="7" t="n">
        <v>149.81</v>
      </c>
      <c r="U34" s="7" t="n">
        <v>615</v>
      </c>
      <c r="V34" s="8" t="n">
        <v>18421.6188706831</v>
      </c>
      <c r="W34" s="7" t="n">
        <f aca="false">N34+R34+T34+U34</f>
        <v>1277.81</v>
      </c>
      <c r="X34" s="7" t="n">
        <f aca="false">IF(L34&lt;0,L34*-1,0)</f>
        <v>0</v>
      </c>
      <c r="Y34" s="7" t="n">
        <f aca="false">W34+X34</f>
        <v>1277.81</v>
      </c>
      <c r="Z34" s="11" t="n">
        <v>0</v>
      </c>
      <c r="AA34" s="12" t="n">
        <v>89</v>
      </c>
      <c r="AB34" s="12" t="n">
        <v>52</v>
      </c>
      <c r="AC34" s="13" t="n">
        <f aca="false">AC33+1</f>
        <v>25</v>
      </c>
      <c r="AD34" s="12"/>
      <c r="AE34" s="12"/>
      <c r="AG34" s="7"/>
    </row>
    <row r="35" customFormat="false" ht="11.1" hidden="false" customHeight="true" outlineLevel="0" collapsed="false">
      <c r="A35" s="13" t="n">
        <f aca="false">A34+1</f>
        <v>26</v>
      </c>
      <c r="B35" s="32" t="n">
        <v>6924.01</v>
      </c>
      <c r="C35" s="8" t="n">
        <v>381205</v>
      </c>
      <c r="D35" s="12" t="n">
        <f aca="false">C35-C34</f>
        <v>-179</v>
      </c>
      <c r="E35" s="8" t="n">
        <f aca="false">C35-152000</f>
        <v>229205</v>
      </c>
      <c r="F35" s="7" t="n">
        <f aca="false">D35/$D$2</f>
        <v>-90.2445172674565</v>
      </c>
      <c r="G35" s="7" t="n">
        <v>1120</v>
      </c>
      <c r="H35" s="9" t="n">
        <v>0.67</v>
      </c>
      <c r="I35" s="7" t="n">
        <f aca="false">G35+H35</f>
        <v>1120.67</v>
      </c>
      <c r="J35" s="105" t="n">
        <f aca="false">IF(L35&gt;0,L35,0)</f>
        <v>0</v>
      </c>
      <c r="K35" s="7" t="n">
        <f aca="false">I35+J35</f>
        <v>1120.67</v>
      </c>
      <c r="L35" s="7" t="n">
        <f aca="false">F35-(I35-W35)</f>
        <v>-2.82451726745644</v>
      </c>
      <c r="M35" s="7" t="n">
        <v>275</v>
      </c>
      <c r="N35" s="126" t="n">
        <f aca="false">(23.77+23.83)*1.05</f>
        <v>49.98</v>
      </c>
      <c r="O35" s="7" t="n">
        <f aca="false">M35-N35</f>
        <v>225.02</v>
      </c>
      <c r="P35" s="7" t="n">
        <v>176</v>
      </c>
      <c r="Q35" s="7" t="n">
        <v>75</v>
      </c>
      <c r="R35" s="7" t="n">
        <f aca="false">SUM(O35:Q35)</f>
        <v>476.02</v>
      </c>
      <c r="S35" s="57"/>
      <c r="T35" s="127" t="n">
        <v>161.09</v>
      </c>
      <c r="U35" s="7" t="n">
        <v>521</v>
      </c>
      <c r="V35" s="8" t="n">
        <v>18421.6188706831</v>
      </c>
      <c r="W35" s="7" t="n">
        <f aca="false">N35+R35+T35+U35</f>
        <v>1208.09</v>
      </c>
      <c r="X35" s="7" t="n">
        <f aca="false">IF(L35&lt;0,L35*-1,0)</f>
        <v>2.82451726745644</v>
      </c>
      <c r="Y35" s="7" t="n">
        <f aca="false">W35+X35</f>
        <v>1210.91451726746</v>
      </c>
      <c r="Z35" s="11" t="n">
        <v>0</v>
      </c>
      <c r="AA35" s="12" t="n">
        <v>87</v>
      </c>
      <c r="AB35" s="12" t="n">
        <v>54</v>
      </c>
      <c r="AC35" s="13" t="n">
        <f aca="false">AC34+1</f>
        <v>26</v>
      </c>
      <c r="AD35" s="12"/>
      <c r="AE35" s="12"/>
      <c r="AG35" s="3"/>
    </row>
    <row r="36" customFormat="false" ht="11.1" hidden="false" customHeight="true" outlineLevel="0" collapsed="false">
      <c r="A36" s="13" t="n">
        <f aca="false">A35+1</f>
        <v>27</v>
      </c>
      <c r="B36" s="32" t="n">
        <v>6923.93</v>
      </c>
      <c r="C36" s="8" t="n">
        <v>380848</v>
      </c>
      <c r="D36" s="12" t="n">
        <f aca="false">C36-C35</f>
        <v>-357</v>
      </c>
      <c r="E36" s="8" t="n">
        <f aca="false">C36-152000</f>
        <v>228848</v>
      </c>
      <c r="F36" s="7" t="n">
        <f aca="false">D36/$D$2</f>
        <v>-179.98487522057</v>
      </c>
      <c r="G36" s="7" t="n">
        <v>1010</v>
      </c>
      <c r="H36" s="9" t="n">
        <v>0.53</v>
      </c>
      <c r="I36" s="7" t="n">
        <f aca="false">G36+H36</f>
        <v>1010.53</v>
      </c>
      <c r="J36" s="105" t="n">
        <f aca="false">IF(L36&gt;0,L36,0)</f>
        <v>0</v>
      </c>
      <c r="K36" s="7" t="n">
        <f aca="false">I36+J36</f>
        <v>1010.53</v>
      </c>
      <c r="L36" s="7" t="n">
        <f aca="false">F36-(I36-W36)</f>
        <v>-15.8748752205698</v>
      </c>
      <c r="M36" s="7" t="n">
        <v>297</v>
      </c>
      <c r="N36" s="7" t="n">
        <f aca="false">(29.2+28.23)*1.05</f>
        <v>60.3015</v>
      </c>
      <c r="O36" s="7" t="n">
        <f aca="false">M36-N36</f>
        <v>236.6985</v>
      </c>
      <c r="P36" s="7" t="n">
        <v>176</v>
      </c>
      <c r="Q36" s="7" t="n">
        <v>74</v>
      </c>
      <c r="R36" s="7" t="n">
        <f aca="false">SUM(O36:Q36)</f>
        <v>486.6985</v>
      </c>
      <c r="S36" s="57"/>
      <c r="T36" s="7" t="n">
        <v>179.64</v>
      </c>
      <c r="U36" s="7" t="n">
        <v>448</v>
      </c>
      <c r="V36" s="8" t="n">
        <v>18421.6188706831</v>
      </c>
      <c r="W36" s="7" t="n">
        <f aca="false">N36+R36+T36+U36</f>
        <v>1174.64</v>
      </c>
      <c r="X36" s="7" t="n">
        <f aca="false">IF(L36&lt;0,L36*-1,0)</f>
        <v>15.8748752205698</v>
      </c>
      <c r="Y36" s="7" t="n">
        <f aca="false">W36+X36</f>
        <v>1190.51487522057</v>
      </c>
      <c r="Z36" s="11" t="n">
        <v>0</v>
      </c>
      <c r="AA36" s="12" t="n">
        <v>86</v>
      </c>
      <c r="AB36" s="12" t="n">
        <v>52</v>
      </c>
      <c r="AC36" s="13" t="n">
        <f aca="false">AC35+1</f>
        <v>27</v>
      </c>
      <c r="AD36" s="12"/>
      <c r="AE36" s="12"/>
      <c r="AG36" s="7"/>
    </row>
    <row r="37" customFormat="false" ht="11.1" hidden="false" customHeight="true" outlineLevel="0" collapsed="false">
      <c r="A37" s="13" t="n">
        <f aca="false">A36+1</f>
        <v>28</v>
      </c>
      <c r="B37" s="32" t="n">
        <v>6923.83</v>
      </c>
      <c r="C37" s="8" t="n">
        <v>380403</v>
      </c>
      <c r="D37" s="12" t="n">
        <f aca="false">C37-C36</f>
        <v>-445</v>
      </c>
      <c r="E37" s="8" t="n">
        <f aca="false">C37-152000</f>
        <v>228403</v>
      </c>
      <c r="F37" s="7" t="n">
        <f aca="false">D37/$D$2</f>
        <v>-224.350894882783</v>
      </c>
      <c r="G37" s="7" t="n">
        <v>1010</v>
      </c>
      <c r="H37" s="9" t="n">
        <v>0.58</v>
      </c>
      <c r="I37" s="7" t="n">
        <f aca="false">G37+H37</f>
        <v>1010.58</v>
      </c>
      <c r="J37" s="105" t="n">
        <f aca="false">IF(L37&gt;0,L37,0)</f>
        <v>0</v>
      </c>
      <c r="K37" s="7" t="n">
        <f aca="false">I37+J37</f>
        <v>1010.58</v>
      </c>
      <c r="L37" s="7" t="n">
        <f aca="false">F37-(I37-W37)</f>
        <v>-98.930894882783</v>
      </c>
      <c r="M37" s="7" t="n">
        <v>306</v>
      </c>
      <c r="N37" s="7" t="n">
        <f aca="false">(34.4+33.58)*1.05</f>
        <v>71.379</v>
      </c>
      <c r="O37" s="7" t="n">
        <f aca="false">M37-N37</f>
        <v>234.621</v>
      </c>
      <c r="P37" s="7" t="n">
        <v>175</v>
      </c>
      <c r="Q37" s="7" t="n">
        <v>74</v>
      </c>
      <c r="R37" s="7" t="n">
        <f aca="false">SUM(O37:Q37)</f>
        <v>483.621</v>
      </c>
      <c r="S37" s="57"/>
      <c r="T37" s="7" t="n">
        <v>192</v>
      </c>
      <c r="U37" s="7" t="n">
        <v>389</v>
      </c>
      <c r="V37" s="8" t="n">
        <v>18421.6188706831</v>
      </c>
      <c r="W37" s="7" t="n">
        <f aca="false">N37+R37+T37+U37</f>
        <v>1136</v>
      </c>
      <c r="X37" s="7" t="n">
        <f aca="false">IF(L37&lt;0,L37*-1,0)</f>
        <v>98.930894882783</v>
      </c>
      <c r="Y37" s="7" t="n">
        <f aca="false">W37+X37</f>
        <v>1234.93089488278</v>
      </c>
      <c r="Z37" s="11" t="n">
        <v>0</v>
      </c>
      <c r="AA37" s="12" t="n">
        <v>87</v>
      </c>
      <c r="AB37" s="12" t="n">
        <v>53</v>
      </c>
      <c r="AC37" s="13" t="n">
        <f aca="false">AC36+1</f>
        <v>28</v>
      </c>
      <c r="AD37" s="12"/>
      <c r="AE37" s="12"/>
      <c r="AG37" s="7"/>
    </row>
    <row r="38" customFormat="false" ht="11.1" hidden="false" customHeight="true" outlineLevel="0" collapsed="false">
      <c r="A38" s="13" t="n">
        <f aca="false">A37+1</f>
        <v>29</v>
      </c>
      <c r="B38" s="32" t="n">
        <v>6923.8</v>
      </c>
      <c r="C38" s="8" t="n">
        <v>380270</v>
      </c>
      <c r="D38" s="12" t="n">
        <f aca="false">C38-C37</f>
        <v>-133</v>
      </c>
      <c r="E38" s="8" t="n">
        <f aca="false">C38-152000</f>
        <v>228270</v>
      </c>
      <c r="F38" s="7" t="n">
        <f aca="false">D38/$D$2</f>
        <v>-67.0531888076632</v>
      </c>
      <c r="G38" s="7" t="n">
        <v>983</v>
      </c>
      <c r="H38" s="9" t="n">
        <v>0.57</v>
      </c>
      <c r="I38" s="7" t="n">
        <f aca="false">G38+H38</f>
        <v>983.57</v>
      </c>
      <c r="J38" s="105" t="n">
        <f aca="false">IF(L38&gt;0,L38,0)</f>
        <v>6.37681119233673</v>
      </c>
      <c r="K38" s="7" t="n">
        <f aca="false">I38+J38</f>
        <v>989.946811192337</v>
      </c>
      <c r="L38" s="7" t="n">
        <f aca="false">F38-(I38-W38)</f>
        <v>6.37681119233673</v>
      </c>
      <c r="M38" s="7" t="n">
        <v>282</v>
      </c>
      <c r="N38" s="7" t="n">
        <f aca="false">(26.71+25.96)*1.05</f>
        <v>55.3035</v>
      </c>
      <c r="O38" s="7" t="n">
        <f aca="false">M38-N38</f>
        <v>226.6965</v>
      </c>
      <c r="P38" s="7" t="n">
        <v>175</v>
      </c>
      <c r="Q38" s="7" t="n">
        <v>74</v>
      </c>
      <c r="R38" s="7" t="n">
        <f aca="false">SUM(O38:Q38)</f>
        <v>475.6965</v>
      </c>
      <c r="S38" s="57"/>
      <c r="T38" s="7" t="n">
        <v>197</v>
      </c>
      <c r="U38" s="7" t="n">
        <v>329</v>
      </c>
      <c r="V38" s="8" t="n">
        <v>18421.6188706831</v>
      </c>
      <c r="W38" s="7" t="n">
        <f aca="false">N38+R38+T38+U38</f>
        <v>1057</v>
      </c>
      <c r="X38" s="7" t="n">
        <f aca="false">IF(L38&lt;0,L38*-1,0)</f>
        <v>0</v>
      </c>
      <c r="Y38" s="7" t="n">
        <f aca="false">W38+X38</f>
        <v>1057</v>
      </c>
      <c r="Z38" s="11" t="n">
        <v>0</v>
      </c>
      <c r="AA38" s="12" t="n">
        <v>86</v>
      </c>
      <c r="AB38" s="12" t="n">
        <v>52</v>
      </c>
      <c r="AC38" s="13" t="n">
        <f aca="false">AC37+1</f>
        <v>29</v>
      </c>
      <c r="AD38" s="12"/>
      <c r="AE38" s="12"/>
      <c r="AG38" s="7"/>
    </row>
    <row r="39" customFormat="false" ht="11.1" hidden="false" customHeight="true" outlineLevel="0" collapsed="false">
      <c r="A39" s="13" t="n">
        <v>30</v>
      </c>
      <c r="B39" s="32" t="n">
        <v>6923.8</v>
      </c>
      <c r="C39" s="8" t="n">
        <v>380270</v>
      </c>
      <c r="D39" s="12" t="n">
        <f aca="false">C39-C38</f>
        <v>0</v>
      </c>
      <c r="E39" s="8" t="n">
        <f aca="false">C39-152000</f>
        <v>228270</v>
      </c>
      <c r="F39" s="7" t="n">
        <f aca="false">D39/$D$2</f>
        <v>0</v>
      </c>
      <c r="G39" s="7" t="n">
        <v>983</v>
      </c>
      <c r="H39" s="9" t="n">
        <v>0.44</v>
      </c>
      <c r="I39" s="7" t="n">
        <f aca="false">G39+H39</f>
        <v>983.44</v>
      </c>
      <c r="J39" s="105" t="n">
        <f aca="false">IF(L39&gt;0,L39,0)</f>
        <v>0</v>
      </c>
      <c r="K39" s="7" t="n">
        <f aca="false">I39+J39</f>
        <v>983.44</v>
      </c>
      <c r="L39" s="7" t="n">
        <f aca="false">F39-(I39-W39)</f>
        <v>-41.3200000000001</v>
      </c>
      <c r="M39" s="7" t="n">
        <v>283</v>
      </c>
      <c r="N39" s="7" t="n">
        <f aca="false">(21.65+19.92)*1.05</f>
        <v>43.6485</v>
      </c>
      <c r="O39" s="7" t="n">
        <f aca="false">M39-N39</f>
        <v>239.3515</v>
      </c>
      <c r="P39" s="7" t="n">
        <v>176</v>
      </c>
      <c r="Q39" s="7" t="n">
        <v>74</v>
      </c>
      <c r="R39" s="7" t="n">
        <f aca="false">SUM(O39:Q39)</f>
        <v>489.3515</v>
      </c>
      <c r="S39" s="57"/>
      <c r="T39" s="7" t="n">
        <v>211.12</v>
      </c>
      <c r="U39" s="7" t="n">
        <v>198</v>
      </c>
      <c r="V39" s="8" t="n">
        <v>18421.6188706831</v>
      </c>
      <c r="W39" s="7" t="n">
        <f aca="false">N39+R39+T39+U39</f>
        <v>942.12</v>
      </c>
      <c r="X39" s="7" t="n">
        <f aca="false">IF(L39&lt;0,L39*-1,0)</f>
        <v>41.3200000000001</v>
      </c>
      <c r="Y39" s="7" t="n">
        <f aca="false">W39+X39</f>
        <v>983.44</v>
      </c>
      <c r="Z39" s="11" t="n">
        <v>0</v>
      </c>
      <c r="AA39" s="12" t="n">
        <v>88</v>
      </c>
      <c r="AB39" s="12" t="n">
        <v>54</v>
      </c>
      <c r="AC39" s="13" t="n">
        <v>30</v>
      </c>
      <c r="AD39" s="12"/>
      <c r="AE39" s="12"/>
      <c r="AG39" s="7"/>
    </row>
    <row r="40" customFormat="false" ht="3" hidden="false" customHeight="true" outlineLevel="0" collapsed="false">
      <c r="A40" s="35"/>
      <c r="B40" s="35"/>
      <c r="C40" s="37"/>
      <c r="D40" s="35"/>
      <c r="E40" s="37"/>
      <c r="F40" s="35"/>
      <c r="G40" s="35"/>
      <c r="H40" s="38"/>
      <c r="I40" s="35"/>
      <c r="J40" s="35"/>
      <c r="K40" s="35"/>
      <c r="L40" s="35"/>
      <c r="M40" s="35"/>
      <c r="N40" s="35"/>
      <c r="O40" s="35"/>
      <c r="P40" s="35"/>
      <c r="Q40" s="35"/>
      <c r="R40" s="35"/>
      <c r="S40" s="37"/>
      <c r="T40" s="35"/>
      <c r="U40" s="35"/>
      <c r="V40" s="35"/>
      <c r="W40" s="35"/>
      <c r="X40" s="35"/>
      <c r="Y40" s="35"/>
      <c r="Z40" s="39"/>
      <c r="AA40" s="40" t="n">
        <v>73</v>
      </c>
      <c r="AB40" s="40"/>
      <c r="AC40" s="41"/>
      <c r="AD40" s="14"/>
      <c r="AE40" s="14"/>
    </row>
    <row r="41" customFormat="false" ht="11.1" hidden="false" customHeight="true" outlineLevel="0" collapsed="false">
      <c r="A41" s="7" t="s">
        <v>45</v>
      </c>
      <c r="B41" s="7"/>
      <c r="C41" s="8"/>
      <c r="D41" s="8"/>
      <c r="E41" s="8"/>
      <c r="F41" s="8" t="n">
        <f aca="false">SUM(F10:F39)</f>
        <v>12978.5732291404</v>
      </c>
      <c r="G41" s="8" t="n">
        <f aca="false">SUM(G10:G39)</f>
        <v>58626</v>
      </c>
      <c r="H41" s="8" t="n">
        <f aca="false">SUM(H10:H39)</f>
        <v>301.78</v>
      </c>
      <c r="I41" s="8" t="n">
        <f aca="false">SUM(I10:I39)</f>
        <v>58927.78</v>
      </c>
      <c r="J41" s="8" t="n">
        <f aca="false">SUM(J10:J39)</f>
        <v>7960.26799344593</v>
      </c>
      <c r="K41" s="8" t="n">
        <f aca="false">SUM(K10:K39)</f>
        <v>66888.0479934459</v>
      </c>
      <c r="L41" s="8" t="n">
        <f aca="false">SUM(L10:L39)</f>
        <v>7605.76322914041</v>
      </c>
      <c r="M41" s="8" t="n">
        <f aca="false">SUM(M10:M39)</f>
        <v>7515</v>
      </c>
      <c r="N41" s="8" t="n">
        <f aca="false">SUM(N10:N39)</f>
        <v>1435.0875</v>
      </c>
      <c r="O41" s="8" t="n">
        <f aca="false">SUM(O10:O39)</f>
        <v>6079.9125</v>
      </c>
      <c r="P41" s="8" t="n">
        <f aca="false">SUM(P10:P39)</f>
        <v>5259</v>
      </c>
      <c r="Q41" s="8" t="n">
        <f aca="false">SUM(Q10:Q39)</f>
        <v>2295</v>
      </c>
      <c r="R41" s="8" t="n">
        <f aca="false">SUM(R10:R39)</f>
        <v>13633.9125</v>
      </c>
      <c r="S41" s="8"/>
      <c r="T41" s="8" t="n">
        <f aca="false">SUM(T10:T39)</f>
        <v>3032.97</v>
      </c>
      <c r="U41" s="8" t="n">
        <f aca="false">SUM(U10:U39)</f>
        <v>35453</v>
      </c>
      <c r="V41" s="8"/>
      <c r="W41" s="8" t="n">
        <f aca="false">SUM(W10:W39)</f>
        <v>53554.97</v>
      </c>
      <c r="X41" s="8" t="n">
        <f aca="false">SUM(X10:X39)</f>
        <v>354.504764305521</v>
      </c>
      <c r="Y41" s="8" t="n">
        <f aca="false">SUM(Y10:Y39)</f>
        <v>53909.4747643055</v>
      </c>
      <c r="Z41" s="11" t="n">
        <f aca="false">SUM(Z10:Z39)</f>
        <v>0.4</v>
      </c>
      <c r="AA41" s="12" t="n">
        <f aca="false">AVERAGE(AA10:AA39)</f>
        <v>82.2</v>
      </c>
      <c r="AB41" s="12" t="n">
        <f aca="false">AVERAGE(AB10:AB39)</f>
        <v>50.8666666666667</v>
      </c>
      <c r="AC41" s="13"/>
      <c r="AD41" s="14"/>
      <c r="AE41" s="14"/>
    </row>
    <row r="42" customFormat="false" ht="11.1" hidden="false" customHeight="true" outlineLevel="0" collapsed="false">
      <c r="A42" s="7" t="s">
        <v>46</v>
      </c>
      <c r="B42" s="7"/>
      <c r="C42" s="8"/>
      <c r="D42" s="8" t="n">
        <f aca="false">SUM(D10:D39)</f>
        <v>25743</v>
      </c>
      <c r="E42" s="8"/>
      <c r="F42" s="8" t="n">
        <f aca="false">F41*$D$2</f>
        <v>25743</v>
      </c>
      <c r="G42" s="8" t="n">
        <f aca="false">G41*$D$2</f>
        <v>116284.671</v>
      </c>
      <c r="H42" s="8" t="n">
        <f aca="false">H41*$D$2</f>
        <v>598.58063</v>
      </c>
      <c r="I42" s="8" t="n">
        <f aca="false">I41*$D$2</f>
        <v>116883.25163</v>
      </c>
      <c r="J42" s="8" t="n">
        <f aca="false">J41*$D$2</f>
        <v>15789.191565</v>
      </c>
      <c r="K42" s="8" t="n">
        <f aca="false">K41*$D$2</f>
        <v>132672.443195</v>
      </c>
      <c r="L42" s="8" t="n">
        <f aca="false">L41*$D$2</f>
        <v>15086.031365</v>
      </c>
      <c r="M42" s="8" t="n">
        <f aca="false">M41*$D$2</f>
        <v>14906.0025</v>
      </c>
      <c r="N42" s="8" t="n">
        <f aca="false">N41*$D$2</f>
        <v>2846.49605625</v>
      </c>
      <c r="O42" s="8" t="n">
        <f aca="false">O41*$D$2</f>
        <v>12059.50644375</v>
      </c>
      <c r="P42" s="8" t="n">
        <f aca="false">P41*$D$2</f>
        <v>10431.2265</v>
      </c>
      <c r="Q42" s="8" t="n">
        <f aca="false">Q41*$D$2</f>
        <v>4552.1325</v>
      </c>
      <c r="R42" s="8" t="n">
        <f aca="false">R41*$D$2</f>
        <v>27042.86544375</v>
      </c>
      <c r="S42" s="8"/>
      <c r="T42" s="8" t="n">
        <f aca="false">T41*$D$2</f>
        <v>6015.895995</v>
      </c>
      <c r="U42" s="8" t="n">
        <f aca="false">U41*$D$2</f>
        <v>70321.0255</v>
      </c>
      <c r="V42" s="8"/>
      <c r="W42" s="8" t="n">
        <f aca="false">W41*$D$2</f>
        <v>106226.282995</v>
      </c>
      <c r="X42" s="8" t="n">
        <f aca="false">X41*$D$2</f>
        <v>703.1602</v>
      </c>
      <c r="Y42" s="8" t="n">
        <f aca="false">Y41*$D$2</f>
        <v>106929.443195</v>
      </c>
      <c r="Z42" s="11"/>
      <c r="AA42" s="12" t="n">
        <f aca="false">MAX(AA10:AA39)</f>
        <v>90</v>
      </c>
      <c r="AB42" s="12" t="n">
        <f aca="false">MAX(AB10:AB39)</f>
        <v>58</v>
      </c>
      <c r="AC42" s="13" t="s">
        <v>47</v>
      </c>
      <c r="AD42" s="14"/>
      <c r="AE42" s="14"/>
    </row>
    <row r="43" customFormat="false" ht="3" hidden="false" customHeight="true" outlineLevel="0" collapsed="false">
      <c r="A43" s="35"/>
      <c r="B43" s="35"/>
      <c r="C43" s="37"/>
      <c r="D43" s="37"/>
      <c r="E43" s="37"/>
      <c r="F43" s="37"/>
      <c r="G43" s="37"/>
      <c r="H43" s="37"/>
      <c r="I43" s="37"/>
      <c r="J43" s="37"/>
      <c r="K43" s="37"/>
      <c r="L43" s="37"/>
      <c r="M43" s="37"/>
      <c r="N43" s="37"/>
      <c r="O43" s="37"/>
      <c r="P43" s="37"/>
      <c r="Q43" s="37"/>
      <c r="R43" s="37"/>
      <c r="S43" s="37"/>
      <c r="T43" s="37"/>
      <c r="U43" s="37"/>
      <c r="V43" s="35"/>
      <c r="W43" s="37"/>
      <c r="X43" s="37"/>
      <c r="Y43" s="37"/>
      <c r="Z43" s="11"/>
      <c r="AA43" s="12"/>
      <c r="AB43" s="12"/>
      <c r="AC43" s="13"/>
      <c r="AD43" s="14"/>
      <c r="AE43" s="14"/>
    </row>
    <row r="44" customFormat="false" ht="11.1" hidden="false" customHeight="true" outlineLevel="0" collapsed="false">
      <c r="A44" s="7" t="s">
        <v>48</v>
      </c>
      <c r="B44" s="7"/>
      <c r="C44" s="8"/>
      <c r="D44" s="8"/>
      <c r="E44" s="8"/>
      <c r="F44" s="8" t="n">
        <f aca="false">F7+F41</f>
        <v>27826.5691958659</v>
      </c>
      <c r="G44" s="8" t="n">
        <f aca="false">G7+G41</f>
        <v>172336</v>
      </c>
      <c r="H44" s="12" t="n">
        <f aca="false">H7+H41</f>
        <v>10249.78</v>
      </c>
      <c r="I44" s="8" t="n">
        <f aca="false">I7+I41</f>
        <v>182585.78</v>
      </c>
      <c r="J44" s="8" t="n">
        <f aca="false">J7+J41</f>
        <v>33833.5639601714</v>
      </c>
      <c r="K44" s="8" t="n">
        <f aca="false">K7+K41</f>
        <v>216419.343960171</v>
      </c>
      <c r="L44" s="8" t="n">
        <f aca="false">L7+L41</f>
        <v>33479.0591958659</v>
      </c>
      <c r="M44" s="8" t="n">
        <f aca="false">M7+M41</f>
        <v>15959.6</v>
      </c>
      <c r="N44" s="8" t="n">
        <f aca="false">N7+N41</f>
        <v>3176.7855</v>
      </c>
      <c r="O44" s="8" t="n">
        <f aca="false">O7+O41</f>
        <v>12782.8145</v>
      </c>
      <c r="P44" s="8" t="n">
        <f aca="false">P7+P41</f>
        <v>7343.97</v>
      </c>
      <c r="Q44" s="8" t="n">
        <f aca="false">Q7+Q41</f>
        <v>3839.15</v>
      </c>
      <c r="R44" s="8" t="n">
        <f aca="false">R7+R41</f>
        <v>23965.9345</v>
      </c>
      <c r="S44" s="8" t="n">
        <f aca="false">S39</f>
        <v>0</v>
      </c>
      <c r="T44" s="8" t="n">
        <f aca="false">T7+T41</f>
        <v>5252.65</v>
      </c>
      <c r="U44" s="8" t="n">
        <f aca="false">U7+U41</f>
        <v>155842.9</v>
      </c>
      <c r="V44" s="8" t="n">
        <v>0</v>
      </c>
      <c r="W44" s="8" t="n">
        <f aca="false">W7+W41</f>
        <v>188238.27</v>
      </c>
      <c r="X44" s="8" t="n">
        <f aca="false">X7+X41</f>
        <v>354.504764305521</v>
      </c>
      <c r="Y44" s="8" t="n">
        <f aca="false">Y7+Y41</f>
        <v>188592.774764306</v>
      </c>
      <c r="Z44" s="11"/>
      <c r="AA44" s="12" t="n">
        <f aca="false">MIN(AA10:AA39)</f>
        <v>62</v>
      </c>
      <c r="AB44" s="12" t="n">
        <f aca="false">MIN(AB10:AB39)</f>
        <v>40</v>
      </c>
      <c r="AC44" s="13" t="s">
        <v>49</v>
      </c>
      <c r="AD44" s="14"/>
      <c r="AE44" s="14"/>
    </row>
    <row r="45" customFormat="false" ht="11.1" hidden="false" customHeight="true" outlineLevel="0" collapsed="false">
      <c r="A45" s="7" t="s">
        <v>50</v>
      </c>
      <c r="B45" s="7"/>
      <c r="C45" s="8"/>
      <c r="D45" s="8" t="n">
        <f aca="false">D7+D42</f>
        <v>25743</v>
      </c>
      <c r="E45" s="8"/>
      <c r="F45" s="8" t="n">
        <f aca="false">F44*$D$2</f>
        <v>55194</v>
      </c>
      <c r="G45" s="8" t="n">
        <f aca="false">G44*$D$2</f>
        <v>341828.456</v>
      </c>
      <c r="H45" s="12" t="n">
        <f aca="false">H44*$D$2</f>
        <v>20330.43863</v>
      </c>
      <c r="I45" s="8" t="n">
        <f aca="false">I44*$D$2</f>
        <v>362158.89463</v>
      </c>
      <c r="J45" s="8" t="n">
        <f aca="false">J44*$D$2</f>
        <v>67108.874115</v>
      </c>
      <c r="K45" s="8" t="n">
        <f aca="false">K44*$D$2</f>
        <v>429267.768745</v>
      </c>
      <c r="L45" s="8" t="n">
        <f aca="false">L44*$D$2</f>
        <v>66405.713915</v>
      </c>
      <c r="M45" s="8" t="n">
        <f aca="false">M44*$D$2</f>
        <v>31655.8666</v>
      </c>
      <c r="N45" s="8" t="n">
        <f aca="false">N44*$D$2</f>
        <v>6301.15403925</v>
      </c>
      <c r="O45" s="8" t="n">
        <f aca="false">O44*$D$2</f>
        <v>25354.71256075</v>
      </c>
      <c r="P45" s="8" t="n">
        <f aca="false">P44*$D$2</f>
        <v>14566.764495</v>
      </c>
      <c r="Q45" s="8" t="n">
        <f aca="false">Q44*$D$2</f>
        <v>7614.954025</v>
      </c>
      <c r="R45" s="8" t="n">
        <f aca="false">R44*$D$2</f>
        <v>47536.43108075</v>
      </c>
      <c r="S45" s="8" t="n">
        <f aca="false">S44*$D$2</f>
        <v>0</v>
      </c>
      <c r="T45" s="8" t="n">
        <f aca="false">T44*$D$2</f>
        <v>10418.631275</v>
      </c>
      <c r="U45" s="8" t="n">
        <f aca="false">U44*$D$2</f>
        <v>309114.39215</v>
      </c>
      <c r="V45" s="8" t="n">
        <v>0</v>
      </c>
      <c r="W45" s="8" t="n">
        <f aca="false">W44*$D$2</f>
        <v>373370.608545</v>
      </c>
      <c r="X45" s="8" t="n">
        <f aca="false">X44*$D$2</f>
        <v>703.1602</v>
      </c>
      <c r="Y45" s="8" t="n">
        <f aca="false">Y44*$D$2</f>
        <v>374073.768745</v>
      </c>
      <c r="Z45" s="11"/>
      <c r="AA45" s="12"/>
      <c r="AB45" s="12"/>
      <c r="AC45" s="13"/>
      <c r="AD45" s="14"/>
      <c r="AE45" s="14"/>
    </row>
    <row r="46" customFormat="false" ht="3" hidden="false" customHeight="true" outlineLevel="0" collapsed="false">
      <c r="A46" s="35"/>
      <c r="B46" s="35"/>
      <c r="C46" s="37"/>
      <c r="D46" s="37"/>
      <c r="E46" s="37"/>
      <c r="F46" s="37"/>
      <c r="G46" s="37"/>
      <c r="H46" s="40"/>
      <c r="I46" s="37"/>
      <c r="J46" s="37"/>
      <c r="K46" s="37"/>
      <c r="L46" s="37"/>
      <c r="M46" s="37"/>
      <c r="N46" s="37"/>
      <c r="O46" s="37"/>
      <c r="P46" s="37"/>
      <c r="Q46" s="37"/>
      <c r="R46" s="37"/>
      <c r="S46" s="37"/>
      <c r="T46" s="37"/>
      <c r="U46" s="37"/>
      <c r="V46" s="37"/>
      <c r="W46" s="37"/>
      <c r="X46" s="37"/>
      <c r="Y46" s="37"/>
      <c r="Z46" s="39"/>
      <c r="AA46" s="12"/>
      <c r="AB46" s="12"/>
      <c r="AC46" s="13"/>
      <c r="AD46" s="14"/>
      <c r="AE46" s="14"/>
    </row>
    <row r="47" customFormat="false" ht="11.1" hidden="false" customHeight="true" outlineLevel="0" collapsed="false">
      <c r="A47" s="7" t="s">
        <v>51</v>
      </c>
      <c r="B47" s="7"/>
      <c r="C47" s="8"/>
      <c r="D47" s="8"/>
      <c r="E47" s="8"/>
      <c r="F47" s="8" t="n">
        <f aca="false">F8+F41</f>
        <v>67956.1381396521</v>
      </c>
      <c r="G47" s="8" t="n">
        <f aca="false">G8+G41</f>
        <v>199520.79</v>
      </c>
      <c r="H47" s="12" t="n">
        <f aca="false">H8+H41</f>
        <v>13809.48</v>
      </c>
      <c r="I47" s="8" t="n">
        <f aca="false">I8+I41</f>
        <v>213129.37</v>
      </c>
      <c r="J47" s="8" t="n">
        <f aca="false">J8+J41</f>
        <v>50582.1800983111</v>
      </c>
      <c r="K47" s="8" t="n">
        <f aca="false">K8+K41</f>
        <v>263711.550098311</v>
      </c>
      <c r="L47" s="8" t="n">
        <f aca="false">L8+L41</f>
        <v>49650.6081396521</v>
      </c>
      <c r="M47" s="8" t="n">
        <f aca="false">M8+M41</f>
        <v>16961.85</v>
      </c>
      <c r="N47" s="8" t="n">
        <f aca="false">N8+N41</f>
        <v>3223.8045</v>
      </c>
      <c r="O47" s="8" t="n">
        <f aca="false">O8+O41</f>
        <v>13468.9655</v>
      </c>
      <c r="P47" s="8" t="n">
        <f aca="false">P8+P41</f>
        <v>7451.49</v>
      </c>
      <c r="Q47" s="8" t="n">
        <f aca="false">Q8+Q41</f>
        <v>4037.95</v>
      </c>
      <c r="R47" s="8" t="n">
        <f aca="false">R8+R41</f>
        <v>25165.4225</v>
      </c>
      <c r="S47" s="8" t="n">
        <f aca="false">S39</f>
        <v>0</v>
      </c>
      <c r="T47" s="8" t="n">
        <f aca="false">T8+T41</f>
        <v>5252.65</v>
      </c>
      <c r="U47" s="8" t="n">
        <f aca="false">U8+U41</f>
        <v>161119.9</v>
      </c>
      <c r="V47" s="8" t="n">
        <f aca="false">V39</f>
        <v>18421.6188706831</v>
      </c>
      <c r="W47" s="8" t="n">
        <f aca="false">W8+W41</f>
        <v>194823.84</v>
      </c>
      <c r="X47" s="8" t="n">
        <f aca="false">X8+X41</f>
        <v>931.571958658936</v>
      </c>
      <c r="Y47" s="8" t="n">
        <f aca="false">Y8+Y41</f>
        <v>195755.411958659</v>
      </c>
      <c r="Z47" s="33" t="n">
        <f aca="false">Z8+Z41</f>
        <v>12.62</v>
      </c>
      <c r="AA47" s="12"/>
      <c r="AB47" s="12"/>
      <c r="AC47" s="13"/>
      <c r="AD47" s="14"/>
      <c r="AE47" s="14"/>
    </row>
    <row r="48" customFormat="false" ht="11.1" hidden="false" customHeight="true" outlineLevel="0" collapsed="false">
      <c r="A48" s="7" t="s">
        <v>52</v>
      </c>
      <c r="B48" s="7"/>
      <c r="C48" s="8"/>
      <c r="D48" s="8" t="n">
        <f aca="false">D8+D42</f>
        <v>134791</v>
      </c>
      <c r="E48" s="8" t="n">
        <f aca="false">E39</f>
        <v>228270</v>
      </c>
      <c r="F48" s="8" t="n">
        <f aca="false">F47*$D$2</f>
        <v>134791</v>
      </c>
      <c r="G48" s="8" t="n">
        <f aca="false">G47*$D$2</f>
        <v>395749.486965</v>
      </c>
      <c r="H48" s="12" t="n">
        <f aca="false">H47*$D$2</f>
        <v>27391.10358</v>
      </c>
      <c r="I48" s="8" t="n">
        <f aca="false">I47*$D$2</f>
        <v>422742.105395</v>
      </c>
      <c r="J48" s="8" t="n">
        <f aca="false">J47*$D$2</f>
        <v>100329.754225</v>
      </c>
      <c r="K48" s="8" t="n">
        <f aca="false">K47*$D$2</f>
        <v>523071.85962</v>
      </c>
      <c r="L48" s="8" t="n">
        <f aca="false">L47*$D$2</f>
        <v>98481.981245</v>
      </c>
      <c r="M48" s="8" t="n">
        <f aca="false">M47*$D$2</f>
        <v>33643.829475</v>
      </c>
      <c r="N48" s="8" t="n">
        <f aca="false">N47*$D$2</f>
        <v>6394.41622575</v>
      </c>
      <c r="O48" s="8" t="n">
        <f aca="false">O47*$D$2</f>
        <v>26715.69306925</v>
      </c>
      <c r="P48" s="8" t="n">
        <f aca="false">P47*$D$2</f>
        <v>14780.030415</v>
      </c>
      <c r="Q48" s="8" t="n">
        <f aca="false">Q47*$D$2</f>
        <v>8009.273825</v>
      </c>
      <c r="R48" s="8" t="n">
        <f aca="false">R47*$D$2</f>
        <v>49915.61552875</v>
      </c>
      <c r="S48" s="8" t="n">
        <f aca="false">S47*$D$2</f>
        <v>0</v>
      </c>
      <c r="T48" s="8" t="n">
        <f aca="false">T47*$D$2</f>
        <v>10418.631275</v>
      </c>
      <c r="U48" s="8" t="n">
        <f aca="false">U47*$D$2</f>
        <v>319581.32165</v>
      </c>
      <c r="V48" s="8" t="n">
        <f aca="false">V47*$D$2</f>
        <v>36539.28103</v>
      </c>
      <c r="W48" s="8" t="n">
        <f aca="false">W47*$D$2</f>
        <v>386433.08664</v>
      </c>
      <c r="X48" s="8" t="n">
        <f aca="false">X47*$D$2</f>
        <v>1847.77298</v>
      </c>
      <c r="Y48" s="8" t="n">
        <f aca="false">Y47*$D$2</f>
        <v>388280.85962</v>
      </c>
      <c r="Z48" s="11"/>
      <c r="AA48" s="12"/>
      <c r="AB48" s="12"/>
      <c r="AC48" s="13"/>
      <c r="AD48" s="14"/>
      <c r="AE48" s="14"/>
    </row>
    <row r="49" customFormat="false" ht="3" hidden="false" customHeight="true" outlineLevel="0" collapsed="false">
      <c r="A49" s="35"/>
      <c r="B49" s="35"/>
      <c r="C49" s="37"/>
      <c r="D49" s="35"/>
      <c r="E49" s="37"/>
      <c r="F49" s="35"/>
      <c r="G49" s="35"/>
      <c r="H49" s="38"/>
      <c r="I49" s="35"/>
      <c r="J49" s="35"/>
      <c r="K49" s="35"/>
      <c r="L49" s="35"/>
      <c r="M49" s="35"/>
      <c r="N49" s="35"/>
      <c r="O49" s="35"/>
      <c r="P49" s="35"/>
      <c r="Q49" s="35"/>
      <c r="R49" s="35"/>
      <c r="S49" s="37"/>
      <c r="T49" s="35"/>
      <c r="U49" s="35"/>
      <c r="V49" s="37"/>
      <c r="W49" s="35"/>
      <c r="X49" s="35"/>
      <c r="Y49" s="35"/>
      <c r="Z49" s="11"/>
      <c r="AA49" s="12"/>
      <c r="AB49" s="12"/>
      <c r="AC49" s="13"/>
      <c r="AD49" s="14"/>
      <c r="AE49" s="14"/>
    </row>
    <row r="50" customFormat="false" ht="14.1" hidden="false" customHeight="true" outlineLevel="0" collapsed="false">
      <c r="A50" s="44" t="str">
        <f aca="false">"6/12/97 thru 7/10/97"</f>
        <v>6/12/97 thru 7/10/97</v>
      </c>
      <c r="B50" s="45"/>
      <c r="C50" s="8"/>
      <c r="D50" s="7"/>
      <c r="E50" s="8"/>
      <c r="F50" s="7"/>
      <c r="G50" s="128" t="s">
        <v>81</v>
      </c>
      <c r="H50" s="9"/>
      <c r="I50" s="7"/>
      <c r="J50" s="7"/>
      <c r="K50" s="129" t="n">
        <f aca="false">67300+112800+78200</f>
        <v>258300</v>
      </c>
      <c r="L50" s="7"/>
      <c r="M50" s="7"/>
      <c r="N50" s="7"/>
      <c r="O50" s="7"/>
      <c r="P50" s="7"/>
      <c r="Q50" s="7"/>
      <c r="R50" s="7" t="s">
        <v>82</v>
      </c>
      <c r="S50" s="8" t="n">
        <f aca="false">72000-R45</f>
        <v>24463.56891925</v>
      </c>
      <c r="T50" s="7"/>
      <c r="U50" s="7"/>
      <c r="V50" s="8"/>
      <c r="W50" s="7"/>
      <c r="X50" s="7"/>
      <c r="Y50" s="7"/>
      <c r="Z50" s="11"/>
      <c r="AA50" s="12"/>
      <c r="AB50" s="12"/>
      <c r="AC50" s="13"/>
      <c r="AD50" s="14"/>
      <c r="AE50" s="14"/>
    </row>
    <row r="51" customFormat="false" ht="11.1" hidden="false" customHeight="true" outlineLevel="0" collapsed="false">
      <c r="A51" s="7"/>
      <c r="B51" s="32" t="n">
        <v>6923.37</v>
      </c>
      <c r="C51" s="8" t="n">
        <v>378356</v>
      </c>
      <c r="D51" s="43"/>
      <c r="E51" s="8" t="n">
        <f aca="false">C51-152000</f>
        <v>226356</v>
      </c>
      <c r="F51" s="7"/>
      <c r="G51" s="7" t="s">
        <v>83</v>
      </c>
      <c r="H51" s="43"/>
      <c r="I51" s="9"/>
      <c r="J51" s="7"/>
      <c r="K51" s="46" t="n">
        <f aca="false">K45/K50</f>
        <v>1.66189612367402</v>
      </c>
      <c r="L51" s="7"/>
      <c r="M51" s="7"/>
      <c r="N51" s="7"/>
      <c r="O51" s="7"/>
      <c r="P51" s="7" t="s">
        <v>84</v>
      </c>
      <c r="Q51" s="7"/>
      <c r="R51" s="7" t="s">
        <v>85</v>
      </c>
      <c r="S51" s="8" t="n">
        <f aca="false">1357+340</f>
        <v>1697</v>
      </c>
      <c r="T51" s="7"/>
      <c r="U51" s="7"/>
      <c r="V51" s="8"/>
      <c r="W51" s="7"/>
      <c r="X51" s="7"/>
      <c r="Y51" s="7"/>
      <c r="Z51" s="11"/>
      <c r="AA51" s="12"/>
      <c r="AB51" s="12"/>
      <c r="AC51" s="13"/>
      <c r="AD51" s="14"/>
      <c r="AE51" s="14"/>
    </row>
    <row r="52" customFormat="false" ht="11.1" hidden="false" customHeight="true" outlineLevel="0" collapsed="false">
      <c r="B52" s="43"/>
      <c r="C52" s="8"/>
      <c r="D52" s="8"/>
      <c r="E52" s="8"/>
      <c r="F52" s="43"/>
      <c r="G52" s="128" t="s">
        <v>86</v>
      </c>
      <c r="H52" s="9"/>
      <c r="I52" s="43"/>
      <c r="J52" s="43"/>
      <c r="K52" s="129" t="n">
        <f aca="false">19700+67300+112800+78200</f>
        <v>278000</v>
      </c>
      <c r="L52" s="43"/>
      <c r="M52" s="33"/>
      <c r="N52" s="33"/>
      <c r="O52" s="33"/>
      <c r="P52" s="43"/>
      <c r="Q52" s="43"/>
      <c r="R52" s="7" t="s">
        <v>87</v>
      </c>
      <c r="S52" s="8" t="n">
        <v>3400</v>
      </c>
      <c r="T52" s="43"/>
      <c r="U52" s="43"/>
      <c r="V52" s="8"/>
      <c r="W52" s="43"/>
      <c r="X52" s="43"/>
      <c r="Y52" s="43"/>
      <c r="Z52" s="11"/>
      <c r="AA52" s="12"/>
      <c r="AB52" s="12"/>
      <c r="AC52" s="13"/>
      <c r="AD52" s="47"/>
      <c r="AE52" s="47"/>
    </row>
    <row r="53" customFormat="false" ht="11.1" hidden="false" customHeight="true" outlineLevel="0" collapsed="false">
      <c r="A53" s="43"/>
      <c r="B53" s="11" t="n">
        <f aca="false">B51-B21</f>
        <v>-0.529999999999745</v>
      </c>
      <c r="C53" s="8"/>
      <c r="D53" s="8" t="n">
        <f aca="false">C51-C21</f>
        <v>-2359</v>
      </c>
      <c r="E53" s="8"/>
      <c r="F53" s="43"/>
      <c r="G53" s="128" t="s">
        <v>88</v>
      </c>
      <c r="H53" s="9"/>
      <c r="I53" s="43"/>
      <c r="J53" s="43"/>
      <c r="K53" s="31" t="n">
        <f aca="false">59486+K45</f>
        <v>488753.768745</v>
      </c>
      <c r="L53" s="43"/>
      <c r="M53" s="33"/>
      <c r="N53" s="33"/>
      <c r="O53" s="33"/>
      <c r="P53" s="43"/>
      <c r="Q53" s="43"/>
      <c r="R53" s="43" t="s">
        <v>89</v>
      </c>
      <c r="S53" s="8" t="n">
        <v>2300</v>
      </c>
      <c r="T53" s="43"/>
      <c r="U53" s="43"/>
      <c r="V53" s="8"/>
      <c r="W53" s="43"/>
      <c r="X53" s="43"/>
      <c r="Y53" s="43"/>
      <c r="Z53" s="11"/>
      <c r="AA53" s="12"/>
      <c r="AB53" s="12"/>
      <c r="AC53" s="13"/>
      <c r="AD53" s="47"/>
      <c r="AE53" s="47"/>
    </row>
    <row r="54" customFormat="false" ht="11.1" hidden="false" customHeight="true" outlineLevel="0" collapsed="false">
      <c r="A54" s="43"/>
      <c r="B54" s="43"/>
      <c r="C54" s="8"/>
      <c r="D54" s="43"/>
      <c r="E54" s="8"/>
      <c r="F54" s="43"/>
      <c r="G54" s="7" t="s">
        <v>90</v>
      </c>
      <c r="H54" s="9"/>
      <c r="I54" s="43"/>
      <c r="J54" s="43"/>
      <c r="K54" s="46" t="n">
        <f aca="false">K53/K52</f>
        <v>1.75810708181655</v>
      </c>
      <c r="L54" s="43"/>
      <c r="M54" s="33"/>
      <c r="N54" s="33"/>
      <c r="O54" s="33"/>
      <c r="P54" s="43"/>
      <c r="Q54" s="43"/>
      <c r="R54" s="43" t="s">
        <v>78</v>
      </c>
      <c r="S54" s="8" t="n">
        <f aca="false">SUM(S50:S53)</f>
        <v>31860.56891925</v>
      </c>
      <c r="T54" s="43"/>
      <c r="U54" s="43"/>
      <c r="V54" s="8"/>
      <c r="W54" s="43"/>
      <c r="X54" s="43"/>
      <c r="Y54" s="43"/>
      <c r="Z54" s="11"/>
      <c r="AA54" s="12"/>
      <c r="AB54" s="12"/>
      <c r="AC54" s="13"/>
      <c r="AD54" s="47"/>
      <c r="AE54" s="47"/>
    </row>
    <row r="55" customFormat="false" ht="11.1" hidden="false" customHeight="true" outlineLevel="0" collapsed="false">
      <c r="R55" s="43" t="s">
        <v>91</v>
      </c>
      <c r="S55" s="8" t="n">
        <f aca="false">S54/$D$2</f>
        <v>16062.8025809176</v>
      </c>
    </row>
  </sheetData>
  <mergeCells count="2">
    <mergeCell ref="K2:V2"/>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55"/>
  <sheetViews>
    <sheetView showFormulas="false" showGridLines="true" showRowColHeaders="true" showZeros="true" rightToLeft="false" tabSelected="false" showOutlineSymbols="true" defaultGridColor="true" view="normal" topLeftCell="J22" colorId="64" zoomScale="100" zoomScaleNormal="100" zoomScalePageLayoutView="100" workbookViewId="0">
      <selection pane="topLeft" activeCell="U41" activeCellId="0" sqref="U41"/>
    </sheetView>
  </sheetViews>
  <sheetFormatPr defaultColWidth="9.328125" defaultRowHeight="11.1" zeroHeight="false" outlineLevelRow="0" outlineLevelCol="0"/>
  <cols>
    <col collapsed="false" customWidth="true" hidden="false" outlineLevel="0" max="1" min="1" style="49" width="5.66"/>
    <col collapsed="false" customWidth="false" hidden="false" outlineLevel="0" max="2" min="2" style="49" width="9.32"/>
    <col collapsed="false" customWidth="true" hidden="false" outlineLevel="0" max="3" min="3" style="50" width="7.66"/>
    <col collapsed="false" customWidth="true" hidden="false" outlineLevel="0" max="4" min="4" style="49" width="7.66"/>
    <col collapsed="false" customWidth="true" hidden="false" outlineLevel="0" max="5" min="5" style="50" width="7.66"/>
    <col collapsed="false" customWidth="true" hidden="false" outlineLevel="0" max="7" min="6" style="49" width="7.66"/>
    <col collapsed="false" customWidth="true" hidden="false" outlineLevel="0" max="8" min="8" style="51" width="7.16"/>
    <col collapsed="false" customWidth="true" hidden="false" outlineLevel="0" max="9" min="9" style="49" width="8.82"/>
    <col collapsed="false" customWidth="true" hidden="false" outlineLevel="0" max="11" min="10" style="49" width="7.66"/>
    <col collapsed="false" customWidth="true" hidden="false" outlineLevel="0" max="12" min="12" style="49" width="6.49"/>
    <col collapsed="false" customWidth="true" hidden="false" outlineLevel="0" max="15" min="13" style="52" width="7.49"/>
    <col collapsed="false" customWidth="true" hidden="false" outlineLevel="0" max="16" min="16" style="49" width="7.66"/>
    <col collapsed="false" customWidth="true" hidden="false" outlineLevel="0" max="17" min="17" style="49" width="7.16"/>
    <col collapsed="false" customWidth="true" hidden="false" outlineLevel="0" max="18" min="18" style="49" width="6.66"/>
    <col collapsed="false" customWidth="true" hidden="false" outlineLevel="0" max="19" min="19" style="50" width="7.66"/>
    <col collapsed="false" customWidth="true" hidden="false" outlineLevel="0" max="20" min="20" style="49" width="7.66"/>
    <col collapsed="false" customWidth="true" hidden="false" outlineLevel="0" max="21" min="21" style="49" width="7.49"/>
    <col collapsed="false" customWidth="true" hidden="false" outlineLevel="0" max="22" min="22" style="50" width="6.32"/>
    <col collapsed="false" customWidth="true" hidden="false" outlineLevel="0" max="25" min="23" style="49" width="7.82"/>
    <col collapsed="false" customWidth="true" hidden="false" outlineLevel="0" max="26" min="26" style="53" width="5.66"/>
    <col collapsed="false" customWidth="true" hidden="false" outlineLevel="0" max="28" min="27" style="54" width="5.66"/>
    <col collapsed="false" customWidth="true" hidden="false" outlineLevel="0" max="29" min="29" style="55" width="5.66"/>
    <col collapsed="false" customWidth="false" hidden="false" outlineLevel="0" max="257" min="30" style="49" width="9.32"/>
  </cols>
  <sheetData>
    <row r="1" customFormat="false" ht="14.1" hidden="false" customHeight="true" outlineLevel="0" collapsed="false">
      <c r="A1" s="56"/>
      <c r="B1" s="56"/>
      <c r="C1" s="57"/>
      <c r="D1" s="56"/>
      <c r="E1" s="57"/>
      <c r="F1" s="56"/>
      <c r="G1" s="56"/>
      <c r="H1" s="58"/>
      <c r="I1" s="56"/>
      <c r="J1" s="56"/>
      <c r="K1" s="59" t="s">
        <v>0</v>
      </c>
      <c r="L1" s="56"/>
      <c r="M1" s="56"/>
      <c r="N1" s="56"/>
      <c r="O1" s="56"/>
      <c r="P1" s="56"/>
      <c r="Q1" s="56"/>
      <c r="R1" s="56"/>
      <c r="S1" s="57"/>
      <c r="T1" s="56"/>
      <c r="U1" s="56"/>
      <c r="V1" s="57"/>
      <c r="W1" s="56"/>
      <c r="X1" s="56"/>
      <c r="Y1" s="56"/>
      <c r="Z1" s="60"/>
      <c r="AA1" s="61"/>
      <c r="AB1" s="61"/>
      <c r="AC1" s="62"/>
      <c r="AD1" s="63"/>
      <c r="AE1" s="63"/>
    </row>
    <row r="2" customFormat="false" ht="14.1" hidden="false" customHeight="true" outlineLevel="0" collapsed="false">
      <c r="A2" s="56" t="s">
        <v>1</v>
      </c>
      <c r="B2" s="56"/>
      <c r="C2" s="57"/>
      <c r="D2" s="64" t="n">
        <v>1.9835</v>
      </c>
      <c r="E2" s="57"/>
      <c r="F2" s="56"/>
      <c r="G2" s="56"/>
      <c r="H2" s="58"/>
      <c r="I2" s="56"/>
      <c r="J2" s="56"/>
      <c r="K2" s="65" t="s">
        <v>92</v>
      </c>
      <c r="L2" s="65"/>
      <c r="M2" s="65"/>
      <c r="N2" s="65"/>
      <c r="O2" s="65"/>
      <c r="P2" s="65"/>
      <c r="Q2" s="65"/>
      <c r="R2" s="65"/>
      <c r="S2" s="65"/>
      <c r="T2" s="65"/>
      <c r="U2" s="56"/>
      <c r="V2" s="57"/>
      <c r="W2" s="56"/>
      <c r="X2" s="56"/>
      <c r="Y2" s="56"/>
      <c r="Z2" s="60"/>
      <c r="AA2" s="61"/>
      <c r="AB2" s="61"/>
      <c r="AC2" s="62"/>
      <c r="AD2" s="63"/>
      <c r="AE2" s="63"/>
    </row>
    <row r="3" customFormat="false" ht="11.1" hidden="false" customHeight="true" outlineLevel="0" collapsed="false">
      <c r="A3" s="56"/>
      <c r="B3" s="56"/>
      <c r="C3" s="57"/>
      <c r="D3" s="66"/>
      <c r="E3" s="57"/>
      <c r="F3" s="56"/>
      <c r="G3" s="56"/>
      <c r="H3" s="58"/>
      <c r="I3" s="56"/>
      <c r="J3" s="56"/>
      <c r="K3" s="56"/>
      <c r="L3" s="56"/>
      <c r="M3" s="56"/>
      <c r="N3" s="56"/>
      <c r="O3" s="56"/>
      <c r="P3" s="56"/>
      <c r="Q3" s="56"/>
      <c r="R3" s="56"/>
      <c r="S3" s="57"/>
      <c r="T3" s="56"/>
      <c r="U3" s="56"/>
      <c r="V3" s="57"/>
      <c r="W3" s="56"/>
      <c r="X3" s="56"/>
      <c r="Y3" s="56"/>
      <c r="Z3" s="60"/>
      <c r="AA3" s="61"/>
      <c r="AB3" s="61"/>
      <c r="AC3" s="62"/>
      <c r="AD3" s="63"/>
      <c r="AE3" s="63"/>
    </row>
    <row r="4" customFormat="false" ht="11.1" hidden="false" customHeight="true" outlineLevel="0" collapsed="false">
      <c r="A4" s="67" t="s">
        <v>3</v>
      </c>
      <c r="B4" s="67" t="s">
        <v>4</v>
      </c>
      <c r="C4" s="68" t="s">
        <v>4</v>
      </c>
      <c r="D4" s="67" t="s">
        <v>5</v>
      </c>
      <c r="E4" s="68" t="s">
        <v>6</v>
      </c>
      <c r="F4" s="67" t="s">
        <v>7</v>
      </c>
      <c r="G4" s="67" t="s">
        <v>8</v>
      </c>
      <c r="H4" s="69" t="s">
        <v>9</v>
      </c>
      <c r="I4" s="67" t="s">
        <v>10</v>
      </c>
      <c r="J4" s="67" t="s">
        <v>11</v>
      </c>
      <c r="K4" s="67" t="s">
        <v>12</v>
      </c>
      <c r="L4" s="67" t="s">
        <v>11</v>
      </c>
      <c r="M4" s="67" t="s">
        <v>13</v>
      </c>
      <c r="N4" s="67"/>
      <c r="O4" s="67"/>
      <c r="P4" s="67" t="s">
        <v>14</v>
      </c>
      <c r="Q4" s="67" t="s">
        <v>15</v>
      </c>
      <c r="R4" s="67" t="s">
        <v>12</v>
      </c>
      <c r="S4" s="68" t="s">
        <v>16</v>
      </c>
      <c r="T4" s="67" t="s">
        <v>17</v>
      </c>
      <c r="U4" s="67" t="s">
        <v>18</v>
      </c>
      <c r="V4" s="68" t="s">
        <v>19</v>
      </c>
      <c r="W4" s="67" t="s">
        <v>10</v>
      </c>
      <c r="X4" s="67" t="s">
        <v>11</v>
      </c>
      <c r="Y4" s="67" t="s">
        <v>12</v>
      </c>
      <c r="Z4" s="70" t="s">
        <v>20</v>
      </c>
      <c r="AA4" s="71" t="s">
        <v>21</v>
      </c>
      <c r="AB4" s="71" t="s">
        <v>22</v>
      </c>
      <c r="AC4" s="71" t="s">
        <v>3</v>
      </c>
      <c r="AD4" s="63"/>
      <c r="AE4" s="63"/>
    </row>
    <row r="5" customFormat="false" ht="11.1" hidden="false" customHeight="true" outlineLevel="0" collapsed="false">
      <c r="A5" s="72" t="s">
        <v>93</v>
      </c>
      <c r="B5" s="67" t="s">
        <v>24</v>
      </c>
      <c r="C5" s="68" t="s">
        <v>5</v>
      </c>
      <c r="D5" s="67" t="s">
        <v>25</v>
      </c>
      <c r="E5" s="68" t="s">
        <v>26</v>
      </c>
      <c r="F5" s="67" t="s">
        <v>27</v>
      </c>
      <c r="G5" s="67" t="s">
        <v>28</v>
      </c>
      <c r="H5" s="69" t="s">
        <v>29</v>
      </c>
      <c r="I5" s="67" t="s">
        <v>30</v>
      </c>
      <c r="J5" s="67" t="s">
        <v>30</v>
      </c>
      <c r="K5" s="67" t="s">
        <v>30</v>
      </c>
      <c r="L5" s="67" t="s">
        <v>31</v>
      </c>
      <c r="M5" s="67" t="s">
        <v>32</v>
      </c>
      <c r="N5" s="67" t="s">
        <v>33</v>
      </c>
      <c r="O5" s="67" t="s">
        <v>55</v>
      </c>
      <c r="P5" s="67" t="s">
        <v>35</v>
      </c>
      <c r="Q5" s="67" t="s">
        <v>36</v>
      </c>
      <c r="R5" s="67" t="s">
        <v>16</v>
      </c>
      <c r="S5" s="68" t="s">
        <v>37</v>
      </c>
      <c r="T5" s="67" t="s">
        <v>38</v>
      </c>
      <c r="U5" s="67" t="s">
        <v>39</v>
      </c>
      <c r="V5" s="68" t="s">
        <v>40</v>
      </c>
      <c r="W5" s="67" t="s">
        <v>41</v>
      </c>
      <c r="X5" s="67" t="s">
        <v>41</v>
      </c>
      <c r="Y5" s="67" t="s">
        <v>41</v>
      </c>
      <c r="Z5" s="73"/>
      <c r="AA5" s="71" t="s">
        <v>42</v>
      </c>
      <c r="AB5" s="71" t="s">
        <v>42</v>
      </c>
      <c r="AC5" s="74" t="s">
        <v>93</v>
      </c>
      <c r="AD5" s="63"/>
      <c r="AE5" s="63"/>
    </row>
    <row r="6" customFormat="false" ht="11.1" hidden="false" customHeight="true" outlineLevel="0" collapsed="false">
      <c r="A6" s="75"/>
      <c r="B6" s="75"/>
      <c r="C6" s="76"/>
      <c r="D6" s="75"/>
      <c r="E6" s="76"/>
      <c r="F6" s="75"/>
      <c r="G6" s="75"/>
      <c r="H6" s="77"/>
      <c r="I6" s="75"/>
      <c r="J6" s="75"/>
      <c r="K6" s="75"/>
      <c r="L6" s="75"/>
      <c r="M6" s="75"/>
      <c r="N6" s="75"/>
      <c r="O6" s="75"/>
      <c r="P6" s="75"/>
      <c r="Q6" s="130" t="s">
        <v>94</v>
      </c>
      <c r="R6" s="75"/>
      <c r="S6" s="107" t="n">
        <f aca="false">(JUN!$S$55)</f>
        <v>16062.8025809176</v>
      </c>
      <c r="T6" s="75"/>
      <c r="U6" s="75"/>
      <c r="V6" s="76"/>
      <c r="W6" s="75"/>
      <c r="X6" s="75"/>
      <c r="Y6" s="75"/>
      <c r="Z6" s="60"/>
      <c r="AA6" s="62"/>
      <c r="AB6" s="62"/>
      <c r="AC6" s="62"/>
      <c r="AD6" s="78"/>
      <c r="AE6" s="78"/>
      <c r="AF6" s="79"/>
    </row>
    <row r="7" customFormat="false" ht="11.1" hidden="false" customHeight="true" outlineLevel="0" collapsed="false">
      <c r="A7" s="56" t="s">
        <v>43</v>
      </c>
      <c r="B7" s="56"/>
      <c r="C7" s="57"/>
      <c r="D7" s="57"/>
      <c r="E7" s="57"/>
      <c r="F7" s="57" t="n">
        <f aca="false" t="array" ref="F7:Y7">JUN!$F$44:$Y$44</f>
        <v>27826.5691958659</v>
      </c>
      <c r="G7" s="57" t="n">
        <v>172336</v>
      </c>
      <c r="H7" s="61" t="n">
        <v>10249.78</v>
      </c>
      <c r="I7" s="57" t="n">
        <v>182585.78</v>
      </c>
      <c r="J7" s="57" t="n">
        <v>33833.5639601714</v>
      </c>
      <c r="K7" s="57" t="n">
        <v>216419.343960171</v>
      </c>
      <c r="L7" s="57" t="n">
        <v>33479.0591958659</v>
      </c>
      <c r="M7" s="57" t="n">
        <v>15959.6</v>
      </c>
      <c r="N7" s="57" t="n">
        <v>3176.7855</v>
      </c>
      <c r="O7" s="57" t="n">
        <v>12782.8145</v>
      </c>
      <c r="P7" s="57" t="n">
        <v>7343.97</v>
      </c>
      <c r="Q7" s="57" t="n">
        <v>3839.15</v>
      </c>
      <c r="R7" s="57" t="n">
        <v>23965.9345</v>
      </c>
      <c r="S7" s="57" t="n">
        <v>0</v>
      </c>
      <c r="T7" s="57" t="n">
        <v>5252.65</v>
      </c>
      <c r="U7" s="57" t="n">
        <v>155842.9</v>
      </c>
      <c r="V7" s="57" t="n">
        <v>0</v>
      </c>
      <c r="W7" s="57" t="n">
        <v>188238.27</v>
      </c>
      <c r="X7" s="57" t="n">
        <v>354.504764305521</v>
      </c>
      <c r="Y7" s="57" t="n">
        <v>188592.774764306</v>
      </c>
      <c r="Z7" s="60"/>
      <c r="AA7" s="61"/>
      <c r="AB7" s="61"/>
      <c r="AC7" s="62"/>
      <c r="AD7" s="78"/>
      <c r="AE7" s="79"/>
      <c r="AF7" s="79"/>
    </row>
    <row r="8" s="50" customFormat="true" ht="11.1" hidden="false" customHeight="true" outlineLevel="0" collapsed="false">
      <c r="A8" s="57" t="s">
        <v>44</v>
      </c>
      <c r="B8" s="80" t="n">
        <f aca="false" t="array" ref="B8:C8">JUN!$B$39:$C$39</f>
        <v>6923.8</v>
      </c>
      <c r="C8" s="57" t="n">
        <v>380270</v>
      </c>
      <c r="D8" s="57" t="n">
        <f aca="false" t="array" ref="D8:E8">JUN!$D$48:$E$48</f>
        <v>134791</v>
      </c>
      <c r="E8" s="57" t="n">
        <v>228270</v>
      </c>
      <c r="F8" s="57" t="n">
        <f aca="false" t="array" ref="F8:Z8">JUN!$F$47:$Z$47</f>
        <v>67956.1381396521</v>
      </c>
      <c r="G8" s="57" t="n">
        <v>199520.79</v>
      </c>
      <c r="H8" s="61" t="n">
        <v>13809.48</v>
      </c>
      <c r="I8" s="57" t="n">
        <v>213129.37</v>
      </c>
      <c r="J8" s="57" t="n">
        <v>50582.1800983111</v>
      </c>
      <c r="K8" s="57" t="n">
        <v>263711.550098311</v>
      </c>
      <c r="L8" s="57" t="n">
        <v>49650.6081396521</v>
      </c>
      <c r="M8" s="57" t="n">
        <v>16961.85</v>
      </c>
      <c r="N8" s="57" t="n">
        <v>3223.8045</v>
      </c>
      <c r="O8" s="57" t="n">
        <v>13468.9655</v>
      </c>
      <c r="P8" s="57" t="n">
        <v>7451.49</v>
      </c>
      <c r="Q8" s="57" t="n">
        <v>4037.95</v>
      </c>
      <c r="R8" s="57" t="n">
        <v>25165.4225</v>
      </c>
      <c r="S8" s="57" t="n">
        <v>0</v>
      </c>
      <c r="T8" s="57" t="n">
        <v>5252.65</v>
      </c>
      <c r="U8" s="57" t="n">
        <v>161119.9</v>
      </c>
      <c r="V8" s="57" t="n">
        <v>18421.6188706831</v>
      </c>
      <c r="W8" s="57" t="n">
        <v>194823.84</v>
      </c>
      <c r="X8" s="57" t="n">
        <v>931.571958658936</v>
      </c>
      <c r="Y8" s="57" t="n">
        <v>195755.411958659</v>
      </c>
      <c r="Z8" s="81" t="n">
        <v>12.62</v>
      </c>
      <c r="AA8" s="61"/>
      <c r="AB8" s="61"/>
      <c r="AC8" s="62"/>
      <c r="AD8" s="82"/>
      <c r="AE8" s="78"/>
      <c r="AF8" s="82"/>
    </row>
    <row r="9" customFormat="false" ht="3" hidden="false" customHeight="true" outlineLevel="0" collapsed="false">
      <c r="A9" s="83"/>
      <c r="B9" s="84"/>
      <c r="C9" s="85"/>
      <c r="D9" s="83"/>
      <c r="E9" s="85"/>
      <c r="F9" s="83"/>
      <c r="G9" s="83"/>
      <c r="H9" s="86"/>
      <c r="I9" s="83"/>
      <c r="J9" s="83"/>
      <c r="K9" s="83"/>
      <c r="L9" s="83"/>
      <c r="M9" s="83"/>
      <c r="N9" s="83"/>
      <c r="O9" s="83"/>
      <c r="P9" s="83"/>
      <c r="Q9" s="83"/>
      <c r="R9" s="83"/>
      <c r="S9" s="85"/>
      <c r="T9" s="83"/>
      <c r="U9" s="83"/>
      <c r="V9" s="85"/>
      <c r="W9" s="83"/>
      <c r="X9" s="83"/>
      <c r="Y9" s="83"/>
      <c r="Z9" s="87"/>
      <c r="AA9" s="88"/>
      <c r="AB9" s="88"/>
      <c r="AC9" s="89"/>
      <c r="AD9" s="78"/>
      <c r="AE9" s="78"/>
      <c r="AF9" s="79"/>
    </row>
    <row r="10" customFormat="false" ht="11.1" hidden="false" customHeight="true" outlineLevel="0" collapsed="false">
      <c r="A10" s="62" t="n">
        <v>1</v>
      </c>
      <c r="B10" s="80" t="n">
        <v>6923.75</v>
      </c>
      <c r="C10" s="57" t="n">
        <v>380047</v>
      </c>
      <c r="D10" s="61" t="n">
        <f aca="false">C10-C8</f>
        <v>-223</v>
      </c>
      <c r="E10" s="57" t="n">
        <f aca="false">C10-152000</f>
        <v>228047</v>
      </c>
      <c r="F10" s="56" t="n">
        <f aca="false">D10/$D$2</f>
        <v>-112.427527098563</v>
      </c>
      <c r="G10" s="56" t="n">
        <v>938</v>
      </c>
      <c r="H10" s="58" t="n">
        <v>0.43</v>
      </c>
      <c r="I10" s="56" t="n">
        <f aca="false">G10+H10</f>
        <v>938.43</v>
      </c>
      <c r="J10" s="81" t="n">
        <f aca="false">IF(L10&gt;0,L10,0)</f>
        <v>0</v>
      </c>
      <c r="K10" s="56" t="n">
        <f aca="false">I10+J10</f>
        <v>938.43</v>
      </c>
      <c r="L10" s="56" t="n">
        <f aca="false">F10-(I10-W10)</f>
        <v>-113.857527098563</v>
      </c>
      <c r="M10" s="56" t="n">
        <v>296</v>
      </c>
      <c r="N10" s="56" t="n">
        <f aca="false">(25.3+24.95)*1.05</f>
        <v>52.7625</v>
      </c>
      <c r="O10" s="56" t="n">
        <f aca="false">M10-N10</f>
        <v>243.2375</v>
      </c>
      <c r="P10" s="56" t="n">
        <v>178</v>
      </c>
      <c r="Q10" s="56" t="n">
        <v>78</v>
      </c>
      <c r="R10" s="56" t="n">
        <f aca="false">SUM(O10:Q10)</f>
        <v>499.2375</v>
      </c>
      <c r="S10" s="57" t="n">
        <f aca="false">(I10-R10)+S6</f>
        <v>16501.9950809176</v>
      </c>
      <c r="T10" s="56" t="n">
        <v>227</v>
      </c>
      <c r="U10" s="56" t="n">
        <v>158</v>
      </c>
      <c r="V10" s="57" t="n">
        <f aca="false">V8-U10</f>
        <v>18263.6188706831</v>
      </c>
      <c r="W10" s="56" t="n">
        <f aca="false">R10+T10+N10+U10</f>
        <v>937</v>
      </c>
      <c r="X10" s="56" t="n">
        <f aca="false">IF(L10&lt;0,L10*-1,0)</f>
        <v>113.857527098563</v>
      </c>
      <c r="Y10" s="56" t="n">
        <f aca="false">W10+X10</f>
        <v>1050.85752709856</v>
      </c>
      <c r="Z10" s="60" t="n">
        <v>0</v>
      </c>
      <c r="AA10" s="131" t="n">
        <v>83</v>
      </c>
      <c r="AB10" s="131" t="n">
        <v>44</v>
      </c>
      <c r="AC10" s="62" t="n">
        <v>1</v>
      </c>
      <c r="AD10" s="79"/>
      <c r="AE10" s="82"/>
      <c r="AF10" s="79"/>
    </row>
    <row r="11" customFormat="false" ht="11.1" hidden="false" customHeight="true" outlineLevel="0" collapsed="false">
      <c r="A11" s="62" t="n">
        <f aca="false">A10+1</f>
        <v>2</v>
      </c>
      <c r="B11" s="80" t="n">
        <v>6923.7</v>
      </c>
      <c r="C11" s="57" t="n">
        <v>379824</v>
      </c>
      <c r="D11" s="61" t="n">
        <f aca="false">C11-C10</f>
        <v>-223</v>
      </c>
      <c r="E11" s="57" t="n">
        <f aca="false">C11-152000</f>
        <v>227824</v>
      </c>
      <c r="F11" s="56" t="n">
        <f aca="false">D11/$D$2</f>
        <v>-112.427527098563</v>
      </c>
      <c r="G11" s="56" t="n">
        <v>817</v>
      </c>
      <c r="H11" s="58" t="n">
        <v>0.32</v>
      </c>
      <c r="I11" s="56" t="n">
        <f aca="false">G11+H11</f>
        <v>817.32</v>
      </c>
      <c r="J11" s="81" t="n">
        <f aca="false">IF(L11&gt;0,L11,0)</f>
        <v>1.2524729014368</v>
      </c>
      <c r="K11" s="56" t="n">
        <f aca="false">I11+J11</f>
        <v>818.572472901437</v>
      </c>
      <c r="L11" s="56" t="n">
        <f aca="false">F11-(I11-W11)</f>
        <v>1.2524729014368</v>
      </c>
      <c r="M11" s="56" t="n">
        <v>296</v>
      </c>
      <c r="N11" s="56" t="n">
        <f aca="false">(28.76+32.28)*1.05</f>
        <v>64.092</v>
      </c>
      <c r="O11" s="56" t="n">
        <f aca="false">M11-N11</f>
        <v>231.908</v>
      </c>
      <c r="P11" s="56" t="n">
        <v>192</v>
      </c>
      <c r="Q11" s="56" t="n">
        <v>79</v>
      </c>
      <c r="R11" s="56" t="n">
        <f aca="false">SUM(O11:Q11)</f>
        <v>502.908</v>
      </c>
      <c r="S11" s="57" t="n">
        <f aca="false">(I11-R11)+S10</f>
        <v>16816.4070809176</v>
      </c>
      <c r="T11" s="56" t="n">
        <v>244</v>
      </c>
      <c r="U11" s="56" t="n">
        <v>120</v>
      </c>
      <c r="V11" s="57" t="n">
        <f aca="false">V10-U11</f>
        <v>18143.6188706831</v>
      </c>
      <c r="W11" s="56" t="n">
        <f aca="false">R11+T11+N11+U11</f>
        <v>931</v>
      </c>
      <c r="X11" s="56" t="n">
        <f aca="false">IF(L11&lt;0,L11*-1,0)</f>
        <v>0</v>
      </c>
      <c r="Y11" s="56" t="n">
        <f aca="false">W11+X11</f>
        <v>931</v>
      </c>
      <c r="Z11" s="60" t="n">
        <v>0</v>
      </c>
      <c r="AA11" s="61" t="n">
        <v>90</v>
      </c>
      <c r="AB11" s="61" t="n">
        <v>51</v>
      </c>
      <c r="AC11" s="62" t="n">
        <f aca="false">AC10+1</f>
        <v>2</v>
      </c>
      <c r="AD11" s="79"/>
      <c r="AE11" s="82"/>
      <c r="AF11" s="79"/>
    </row>
    <row r="12" customFormat="false" ht="11.1" hidden="false" customHeight="true" outlineLevel="0" collapsed="false">
      <c r="A12" s="62" t="n">
        <f aca="false">A11+1</f>
        <v>3</v>
      </c>
      <c r="B12" s="80" t="n">
        <v>6923.58</v>
      </c>
      <c r="C12" s="57" t="n">
        <v>379290</v>
      </c>
      <c r="D12" s="61" t="n">
        <f aca="false">C12-C11</f>
        <v>-534</v>
      </c>
      <c r="E12" s="57" t="n">
        <f aca="false">C12-152000</f>
        <v>227290</v>
      </c>
      <c r="F12" s="56" t="n">
        <f aca="false">D12/$D$2</f>
        <v>-269.221073859339</v>
      </c>
      <c r="G12" s="56" t="n">
        <v>754</v>
      </c>
      <c r="H12" s="58" t="n">
        <v>0.26</v>
      </c>
      <c r="I12" s="56" t="n">
        <f aca="false">G12+H12</f>
        <v>754.26</v>
      </c>
      <c r="J12" s="81" t="n">
        <f aca="false">IF(L12&gt;0,L12,0)</f>
        <v>0</v>
      </c>
      <c r="K12" s="56" t="n">
        <f aca="false">I12+J12</f>
        <v>754.26</v>
      </c>
      <c r="L12" s="56" t="n">
        <f aca="false">F12-(I12-W12)</f>
        <v>-79.4810738593395</v>
      </c>
      <c r="M12" s="56" t="n">
        <v>286</v>
      </c>
      <c r="N12" s="56" t="n">
        <f aca="false">(28.34+30.9)*1.05</f>
        <v>62.202</v>
      </c>
      <c r="O12" s="56" t="n">
        <f aca="false">M12-N12</f>
        <v>223.798</v>
      </c>
      <c r="P12" s="56" t="n">
        <v>203</v>
      </c>
      <c r="Q12" s="56" t="n">
        <v>79</v>
      </c>
      <c r="R12" s="56" t="n">
        <f aca="false">SUM(O12:Q12)</f>
        <v>505.798</v>
      </c>
      <c r="S12" s="57" t="n">
        <f aca="false">(I12-R12)+S11</f>
        <v>17064.8690809176</v>
      </c>
      <c r="T12" s="56" t="n">
        <v>258</v>
      </c>
      <c r="U12" s="56" t="n">
        <v>118</v>
      </c>
      <c r="V12" s="57" t="n">
        <f aca="false">V11-U12</f>
        <v>18025.6188706831</v>
      </c>
      <c r="W12" s="56" t="n">
        <f aca="false">R12+T12+N12+U12</f>
        <v>944</v>
      </c>
      <c r="X12" s="56" t="n">
        <f aca="false">IF(L12&lt;0,L12*-1,0)</f>
        <v>79.4810738593395</v>
      </c>
      <c r="Y12" s="56" t="n">
        <f aca="false">W12+X12</f>
        <v>1023.48107385934</v>
      </c>
      <c r="Z12" s="60" t="n">
        <v>0</v>
      </c>
      <c r="AA12" s="61" t="n">
        <v>84</v>
      </c>
      <c r="AB12" s="61" t="n">
        <v>52</v>
      </c>
      <c r="AC12" s="62" t="n">
        <f aca="false">AC11+1</f>
        <v>3</v>
      </c>
      <c r="AD12" s="79"/>
      <c r="AE12" s="82"/>
      <c r="AF12" s="79"/>
    </row>
    <row r="13" customFormat="false" ht="11.1" hidden="false" customHeight="true" outlineLevel="0" collapsed="false">
      <c r="A13" s="62" t="n">
        <f aca="false">A12+1</f>
        <v>4</v>
      </c>
      <c r="B13" s="80" t="n">
        <v>6923.47</v>
      </c>
      <c r="C13" s="57" t="n">
        <v>378801</v>
      </c>
      <c r="D13" s="61" t="n">
        <f aca="false">C13-C12</f>
        <v>-489</v>
      </c>
      <c r="E13" s="57" t="n">
        <f aca="false">C13-152000</f>
        <v>226801</v>
      </c>
      <c r="F13" s="56" t="n">
        <f aca="false">D13/$D$2</f>
        <v>-246.53390471389</v>
      </c>
      <c r="G13" s="56" t="n">
        <v>699</v>
      </c>
      <c r="H13" s="58" t="n">
        <v>0.23</v>
      </c>
      <c r="I13" s="56" t="n">
        <f aca="false">G13+H13</f>
        <v>699.23</v>
      </c>
      <c r="J13" s="81" t="n">
        <f aca="false">IF(L13&gt;0,L13,0)</f>
        <v>0</v>
      </c>
      <c r="K13" s="56" t="n">
        <f aca="false">I13+J13</f>
        <v>699.23</v>
      </c>
      <c r="L13" s="56" t="n">
        <f aca="false">F13-(I13-W13)</f>
        <v>-6.91390471388959</v>
      </c>
      <c r="M13" s="56" t="n">
        <v>280</v>
      </c>
      <c r="N13" s="56" t="n">
        <f aca="false">(25.95+25.29)*1.05</f>
        <v>53.802</v>
      </c>
      <c r="O13" s="56" t="n">
        <f aca="false">M13-N13</f>
        <v>226.198</v>
      </c>
      <c r="P13" s="56" t="n">
        <v>203</v>
      </c>
      <c r="Q13" s="56" t="n">
        <v>79</v>
      </c>
      <c r="R13" s="56" t="n">
        <f aca="false">SUM(O13:Q13)</f>
        <v>508.198</v>
      </c>
      <c r="S13" s="57" t="n">
        <f aca="false">(I13-R13)+S12</f>
        <v>17255.9010809176</v>
      </c>
      <c r="T13" s="56" t="n">
        <v>255.85</v>
      </c>
      <c r="U13" s="56" t="n">
        <v>121</v>
      </c>
      <c r="V13" s="57" t="n">
        <f aca="false">V12-U13</f>
        <v>17904.6188706831</v>
      </c>
      <c r="W13" s="56" t="n">
        <f aca="false">R13+T13+N13+U13</f>
        <v>938.85</v>
      </c>
      <c r="X13" s="56" t="n">
        <f aca="false">IF(L13&lt;0,L13*-1,0)</f>
        <v>6.91390471388959</v>
      </c>
      <c r="Y13" s="56" t="n">
        <f aca="false">W13+X13</f>
        <v>945.76390471389</v>
      </c>
      <c r="Z13" s="60" t="n">
        <v>0</v>
      </c>
      <c r="AA13" s="61" t="n">
        <v>88</v>
      </c>
      <c r="AB13" s="61" t="n">
        <v>52</v>
      </c>
      <c r="AC13" s="62" t="n">
        <f aca="false">AC12+1</f>
        <v>4</v>
      </c>
      <c r="AD13" s="79"/>
      <c r="AE13" s="82"/>
      <c r="AF13" s="79"/>
    </row>
    <row r="14" customFormat="false" ht="11.1" hidden="false" customHeight="true" outlineLevel="0" collapsed="false">
      <c r="A14" s="62" t="n">
        <f aca="false">A13+1</f>
        <v>5</v>
      </c>
      <c r="B14" s="80" t="n">
        <v>6923.37</v>
      </c>
      <c r="C14" s="57" t="n">
        <v>378356</v>
      </c>
      <c r="D14" s="61" t="n">
        <f aca="false">C14-C13</f>
        <v>-445</v>
      </c>
      <c r="E14" s="57" t="n">
        <f aca="false">C14-152000</f>
        <v>226356</v>
      </c>
      <c r="F14" s="56" t="n">
        <f aca="false">D14/$D$2</f>
        <v>-224.350894882783</v>
      </c>
      <c r="G14" s="56" t="n">
        <v>640</v>
      </c>
      <c r="H14" s="58" t="n">
        <v>0.2</v>
      </c>
      <c r="I14" s="56" t="n">
        <f aca="false">G14+H14</f>
        <v>640.2</v>
      </c>
      <c r="J14" s="81" t="n">
        <f aca="false">IF(L14&gt;0,L14,0)</f>
        <v>61.449105117217</v>
      </c>
      <c r="K14" s="56" t="n">
        <f aca="false">I14+J14</f>
        <v>701.649105117217</v>
      </c>
      <c r="L14" s="56" t="n">
        <f aca="false">F14-(I14-W14)</f>
        <v>61.449105117217</v>
      </c>
      <c r="M14" s="56" t="n">
        <v>261</v>
      </c>
      <c r="N14" s="56" t="n">
        <f aca="false">(27.96+27.16)*1.05</f>
        <v>57.876</v>
      </c>
      <c r="O14" s="56" t="n">
        <f aca="false">M14-N14</f>
        <v>203.124</v>
      </c>
      <c r="P14" s="56" t="n">
        <v>203</v>
      </c>
      <c r="Q14" s="56" t="n">
        <v>79</v>
      </c>
      <c r="R14" s="56" t="n">
        <f aca="false">SUM(O14:Q14)</f>
        <v>485.124</v>
      </c>
      <c r="S14" s="57" t="n">
        <f aca="false">(I14-R14)+S13</f>
        <v>17410.9770809176</v>
      </c>
      <c r="T14" s="56" t="n">
        <v>260</v>
      </c>
      <c r="U14" s="56" t="n">
        <v>123</v>
      </c>
      <c r="V14" s="57" t="n">
        <f aca="false">V13-U14</f>
        <v>17781.6188706831</v>
      </c>
      <c r="W14" s="56" t="n">
        <f aca="false">R14+T14+N14+U14</f>
        <v>926</v>
      </c>
      <c r="X14" s="56" t="n">
        <f aca="false">IF(L14&lt;0,L14*-1,0)</f>
        <v>0</v>
      </c>
      <c r="Y14" s="56" t="n">
        <f aca="false">W14+X14</f>
        <v>926</v>
      </c>
      <c r="Z14" s="60" t="n">
        <v>0</v>
      </c>
      <c r="AA14" s="61" t="n">
        <v>88</v>
      </c>
      <c r="AB14" s="61" t="n">
        <v>52</v>
      </c>
      <c r="AC14" s="62" t="n">
        <f aca="false">AC13+1</f>
        <v>5</v>
      </c>
      <c r="AD14" s="79"/>
      <c r="AE14" s="82"/>
      <c r="AF14" s="79"/>
    </row>
    <row r="15" customFormat="false" ht="11.1" hidden="false" customHeight="true" outlineLevel="0" collapsed="false">
      <c r="A15" s="62" t="n">
        <f aca="false">A14+1</f>
        <v>6</v>
      </c>
      <c r="B15" s="80" t="n">
        <v>6923.13</v>
      </c>
      <c r="C15" s="57" t="n">
        <v>377287</v>
      </c>
      <c r="D15" s="61" t="n">
        <f aca="false">C15-C14</f>
        <v>-1069</v>
      </c>
      <c r="E15" s="57" t="n">
        <f aca="false">C15-152000</f>
        <v>225287</v>
      </c>
      <c r="F15" s="56" t="n">
        <f aca="false">D15/$D$2</f>
        <v>-538.946307033022</v>
      </c>
      <c r="G15" s="56" t="n">
        <v>585</v>
      </c>
      <c r="H15" s="58" t="n">
        <v>0.16</v>
      </c>
      <c r="I15" s="56" t="n">
        <f aca="false">G15+H15</f>
        <v>585.16</v>
      </c>
      <c r="J15" s="81" t="n">
        <f aca="false">IF(L15&gt;0,L15,0)</f>
        <v>0</v>
      </c>
      <c r="K15" s="56" t="n">
        <f aca="false">I15+J15</f>
        <v>585.16</v>
      </c>
      <c r="L15" s="56" t="n">
        <f aca="false">F15-(I15-W15)</f>
        <v>-168.226307033022</v>
      </c>
      <c r="M15" s="56" t="n">
        <v>288</v>
      </c>
      <c r="N15" s="56" t="n">
        <f aca="false">(27.27+28.05)*1.05</f>
        <v>58.086</v>
      </c>
      <c r="O15" s="56" t="n">
        <f aca="false">M15-N15</f>
        <v>229.914</v>
      </c>
      <c r="P15" s="56" t="n">
        <v>203</v>
      </c>
      <c r="Q15" s="56" t="n">
        <v>79</v>
      </c>
      <c r="R15" s="56" t="n">
        <f aca="false">SUM(O15:Q15)</f>
        <v>511.914</v>
      </c>
      <c r="S15" s="57" t="n">
        <f aca="false">(I15-R15)+S14</f>
        <v>17484.2230809176</v>
      </c>
      <c r="T15" s="56" t="n">
        <v>261.88</v>
      </c>
      <c r="U15" s="56" t="n">
        <v>124</v>
      </c>
      <c r="V15" s="57" t="n">
        <f aca="false">V14-U15</f>
        <v>17657.6188706831</v>
      </c>
      <c r="W15" s="56" t="n">
        <f aca="false">R15+T15+N15+U15</f>
        <v>955.88</v>
      </c>
      <c r="X15" s="56" t="n">
        <f aca="false">IF(L15&lt;0,L15*-1,0)</f>
        <v>168.226307033022</v>
      </c>
      <c r="Y15" s="56" t="n">
        <f aca="false">W15+X15</f>
        <v>1124.10630703302</v>
      </c>
      <c r="Z15" s="60" t="n">
        <v>0</v>
      </c>
      <c r="AA15" s="61" t="n">
        <v>91</v>
      </c>
      <c r="AB15" s="61" t="n">
        <v>54</v>
      </c>
      <c r="AC15" s="62" t="n">
        <f aca="false">AC14+1</f>
        <v>6</v>
      </c>
      <c r="AD15" s="78"/>
      <c r="AE15" s="82"/>
      <c r="AF15" s="79"/>
    </row>
    <row r="16" customFormat="false" ht="11.1" hidden="false" customHeight="true" outlineLevel="0" collapsed="false">
      <c r="A16" s="62" t="n">
        <f aca="false">A15+1</f>
        <v>7</v>
      </c>
      <c r="B16" s="80" t="n">
        <v>6922.93</v>
      </c>
      <c r="C16" s="57" t="n">
        <v>376400</v>
      </c>
      <c r="D16" s="61" t="n">
        <f aca="false">C16-C15</f>
        <v>-887</v>
      </c>
      <c r="E16" s="57" t="n">
        <f aca="false">C16-152000</f>
        <v>224400</v>
      </c>
      <c r="F16" s="56" t="n">
        <f aca="false">D16/$D$2</f>
        <v>-447.189311822536</v>
      </c>
      <c r="G16" s="56" t="n">
        <v>532</v>
      </c>
      <c r="H16" s="58" t="n">
        <v>0.15</v>
      </c>
      <c r="I16" s="56" t="n">
        <f aca="false">G16+H16</f>
        <v>532.15</v>
      </c>
      <c r="J16" s="81" t="n">
        <f aca="false">IF(L16&gt;0,L16,0)</f>
        <v>0</v>
      </c>
      <c r="K16" s="56" t="n">
        <f aca="false">I16+J16</f>
        <v>532.15</v>
      </c>
      <c r="L16" s="56" t="n">
        <f aca="false">F16-(I16-W16)</f>
        <v>-28.3393118225359</v>
      </c>
      <c r="M16" s="56" t="n">
        <v>282</v>
      </c>
      <c r="N16" s="56" t="n">
        <f aca="false">+(28.47+29.06)*1.05</f>
        <v>60.4065</v>
      </c>
      <c r="O16" s="56" t="n">
        <f aca="false">M16-N16</f>
        <v>221.5935</v>
      </c>
      <c r="P16" s="56" t="n">
        <v>203</v>
      </c>
      <c r="Q16" s="56" t="n">
        <v>79</v>
      </c>
      <c r="R16" s="56" t="n">
        <f aca="false">SUM(O16:Q16)</f>
        <v>503.5935</v>
      </c>
      <c r="S16" s="57" t="n">
        <f aca="false">(I16-R16)+S15</f>
        <v>17512.7795809176</v>
      </c>
      <c r="T16" s="56" t="n">
        <v>262</v>
      </c>
      <c r="U16" s="56" t="n">
        <v>125</v>
      </c>
      <c r="V16" s="57" t="n">
        <f aca="false">V15-U16</f>
        <v>17532.6188706831</v>
      </c>
      <c r="W16" s="56" t="n">
        <f aca="false">R16+T16+N16+U16</f>
        <v>951</v>
      </c>
      <c r="X16" s="56" t="n">
        <f aca="false">IF(L16&lt;0,L16*-1,0)</f>
        <v>28.3393118225359</v>
      </c>
      <c r="Y16" s="56" t="n">
        <f aca="false">W16+X16</f>
        <v>979.339311822536</v>
      </c>
      <c r="Z16" s="60" t="n">
        <v>0</v>
      </c>
      <c r="AA16" s="131" t="n">
        <v>88</v>
      </c>
      <c r="AB16" s="131" t="n">
        <v>56</v>
      </c>
      <c r="AC16" s="62" t="n">
        <f aca="false">AC15+1</f>
        <v>7</v>
      </c>
      <c r="AD16" s="78"/>
      <c r="AE16" s="82"/>
      <c r="AF16" s="79"/>
    </row>
    <row r="17" customFormat="false" ht="11.1" hidden="false" customHeight="true" outlineLevel="0" collapsed="false">
      <c r="A17" s="62" t="n">
        <f aca="false">A16+1</f>
        <v>8</v>
      </c>
      <c r="B17" s="80" t="n">
        <v>6922.63</v>
      </c>
      <c r="C17" s="57" t="n">
        <v>375075</v>
      </c>
      <c r="D17" s="61" t="n">
        <f aca="false">C17-C16</f>
        <v>-1325</v>
      </c>
      <c r="E17" s="57" t="n">
        <f aca="false">C17-152000</f>
        <v>223075</v>
      </c>
      <c r="F17" s="56" t="n">
        <f aca="false">D17/$D$2</f>
        <v>-668.011091504915</v>
      </c>
      <c r="G17" s="56" t="n">
        <v>430</v>
      </c>
      <c r="H17" s="58" t="n">
        <v>0.23</v>
      </c>
      <c r="I17" s="56" t="n">
        <f aca="false">G17+H17</f>
        <v>430.23</v>
      </c>
      <c r="J17" s="81" t="n">
        <f aca="false">IF(L17&gt;0,L17,0)</f>
        <v>0</v>
      </c>
      <c r="K17" s="56" t="n">
        <f aca="false">I17+J17</f>
        <v>430.23</v>
      </c>
      <c r="L17" s="56" t="n">
        <f aca="false">F17-(I17-W17)</f>
        <v>-107.241091504916</v>
      </c>
      <c r="M17" s="56" t="n">
        <v>301</v>
      </c>
      <c r="N17" s="56" t="n">
        <f aca="false">(29.08+29.57)*1.05</f>
        <v>61.5825</v>
      </c>
      <c r="O17" s="56" t="n">
        <f aca="false">M17-N17</f>
        <v>239.4175</v>
      </c>
      <c r="P17" s="56" t="n">
        <v>201</v>
      </c>
      <c r="Q17" s="56" t="n">
        <v>79</v>
      </c>
      <c r="R17" s="56" t="n">
        <f aca="false">SUM(O17:Q17)</f>
        <v>519.4175</v>
      </c>
      <c r="S17" s="57" t="n">
        <f aca="false">(I17-R17)+S16</f>
        <v>17423.5920809176</v>
      </c>
      <c r="T17" s="56" t="n">
        <v>284</v>
      </c>
      <c r="U17" s="56" t="n">
        <v>126</v>
      </c>
      <c r="V17" s="57" t="n">
        <f aca="false">V16-U17</f>
        <v>17406.6188706831</v>
      </c>
      <c r="W17" s="56" t="n">
        <f aca="false">R17+T17+N17+U17</f>
        <v>991</v>
      </c>
      <c r="X17" s="56" t="n">
        <f aca="false">IF(L17&lt;0,L17*-1,0)</f>
        <v>107.241091504916</v>
      </c>
      <c r="Y17" s="56" t="n">
        <f aca="false">W17+X17</f>
        <v>1098.24109150492</v>
      </c>
      <c r="Z17" s="60" t="n">
        <v>0</v>
      </c>
      <c r="AA17" s="61" t="n">
        <v>90</v>
      </c>
      <c r="AB17" s="61" t="n">
        <v>57</v>
      </c>
      <c r="AC17" s="62" t="n">
        <f aca="false">AC16+1</f>
        <v>8</v>
      </c>
      <c r="AD17" s="78"/>
      <c r="AE17" s="82"/>
      <c r="AF17" s="79"/>
    </row>
    <row r="18" customFormat="false" ht="11.1" hidden="false" customHeight="true" outlineLevel="0" collapsed="false">
      <c r="A18" s="62" t="n">
        <f aca="false">A17+1</f>
        <v>9</v>
      </c>
      <c r="B18" s="80" t="n">
        <v>6922.37</v>
      </c>
      <c r="C18" s="57" t="n">
        <v>373927</v>
      </c>
      <c r="D18" s="61" t="n">
        <f aca="false">C18-C17</f>
        <v>-1148</v>
      </c>
      <c r="E18" s="57" t="n">
        <f aca="false">C18-152000</f>
        <v>221927</v>
      </c>
      <c r="F18" s="56" t="n">
        <f aca="false">D18/$D$2</f>
        <v>-578.774892866146</v>
      </c>
      <c r="G18" s="56" t="n">
        <v>390</v>
      </c>
      <c r="H18" s="58" t="n">
        <v>0.4</v>
      </c>
      <c r="I18" s="56" t="n">
        <f aca="false">G18+H18</f>
        <v>390.4</v>
      </c>
      <c r="J18" s="81" t="n">
        <f aca="false">IF(L18&gt;0,L18,0)</f>
        <v>22.8251071338543</v>
      </c>
      <c r="K18" s="56" t="n">
        <f aca="false">I18+J18</f>
        <v>413.225107133854</v>
      </c>
      <c r="L18" s="56" t="n">
        <f aca="false">F18-(I18-W18)</f>
        <v>22.8251071338543</v>
      </c>
      <c r="M18" s="56" t="n">
        <v>278</v>
      </c>
      <c r="N18" s="56" t="n">
        <f aca="false">(26.53+24.98)*1.05</f>
        <v>54.0855</v>
      </c>
      <c r="O18" s="56" t="n">
        <f aca="false">M18-N18</f>
        <v>223.9145</v>
      </c>
      <c r="P18" s="56" t="n">
        <v>202</v>
      </c>
      <c r="Q18" s="56" t="n">
        <v>79</v>
      </c>
      <c r="R18" s="56" t="n">
        <f aca="false">SUM(O18:Q18)</f>
        <v>504.9145</v>
      </c>
      <c r="S18" s="57" t="n">
        <f aca="false">(I18-R18)+S17</f>
        <v>17309.0775809176</v>
      </c>
      <c r="T18" s="56" t="n">
        <v>306</v>
      </c>
      <c r="U18" s="56" t="n">
        <v>127</v>
      </c>
      <c r="V18" s="57" t="n">
        <f aca="false">V17-U18</f>
        <v>17279.6188706831</v>
      </c>
      <c r="W18" s="56" t="n">
        <f aca="false">R18+T18+N18+U18</f>
        <v>992</v>
      </c>
      <c r="X18" s="56" t="n">
        <f aca="false">IF(L18&lt;0,L18*-1,0)</f>
        <v>0</v>
      </c>
      <c r="Y18" s="56" t="n">
        <f aca="false">W18+X18</f>
        <v>992</v>
      </c>
      <c r="Z18" s="60" t="n">
        <v>0</v>
      </c>
      <c r="AA18" s="90" t="n">
        <v>90</v>
      </c>
      <c r="AB18" s="61" t="n">
        <v>52</v>
      </c>
      <c r="AC18" s="62" t="n">
        <f aca="false">AC17+1</f>
        <v>9</v>
      </c>
      <c r="AD18" s="78"/>
      <c r="AE18" s="82"/>
      <c r="AF18" s="79"/>
    </row>
    <row r="19" customFormat="false" ht="11.1" hidden="false" customHeight="true" outlineLevel="0" collapsed="false">
      <c r="A19" s="62" t="n">
        <f aca="false">A18+1</f>
        <v>10</v>
      </c>
      <c r="B19" s="80" t="n">
        <v>6922.1</v>
      </c>
      <c r="C19" s="57" t="n">
        <v>372735</v>
      </c>
      <c r="D19" s="61" t="n">
        <f aca="false">C19-C18</f>
        <v>-1192</v>
      </c>
      <c r="E19" s="57" t="n">
        <f aca="false">C19-152000</f>
        <v>220735</v>
      </c>
      <c r="F19" s="56" t="n">
        <f aca="false">D19/$D$2</f>
        <v>-600.957902697252</v>
      </c>
      <c r="G19" s="56" t="n">
        <v>370</v>
      </c>
      <c r="H19" s="58" t="n">
        <v>0.34</v>
      </c>
      <c r="I19" s="56" t="n">
        <f aca="false">G19+H19</f>
        <v>370.34</v>
      </c>
      <c r="J19" s="81" t="n">
        <f aca="false">IF(L19&gt;0,L19,0)</f>
        <v>16.7020973027478</v>
      </c>
      <c r="K19" s="56" t="n">
        <f aca="false">I19+J19</f>
        <v>387.042097302748</v>
      </c>
      <c r="L19" s="56" t="n">
        <f aca="false">F19-(I19-W19)</f>
        <v>16.7020973027478</v>
      </c>
      <c r="M19" s="56" t="n">
        <v>287</v>
      </c>
      <c r="N19" s="56" t="n">
        <f aca="false">(22.31+22.12)*1.05</f>
        <v>46.6515</v>
      </c>
      <c r="O19" s="56" t="n">
        <f aca="false">M19-N19</f>
        <v>240.3485</v>
      </c>
      <c r="P19" s="56" t="n">
        <v>203</v>
      </c>
      <c r="Q19" s="56" t="n">
        <v>79</v>
      </c>
      <c r="R19" s="56" t="n">
        <f aca="false">SUM(O19:Q19)</f>
        <v>522.3485</v>
      </c>
      <c r="S19" s="57" t="n">
        <f aca="false">(I19-R19)+S18</f>
        <v>17157.0690809176</v>
      </c>
      <c r="T19" s="56" t="n">
        <v>291</v>
      </c>
      <c r="U19" s="56" t="n">
        <v>128</v>
      </c>
      <c r="V19" s="57" t="n">
        <f aca="false">V18-U19</f>
        <v>17151.6188706831</v>
      </c>
      <c r="W19" s="56" t="n">
        <f aca="false">R19+T19+N19+U19</f>
        <v>988</v>
      </c>
      <c r="X19" s="56" t="n">
        <f aca="false">IF(L19&lt;0,L19*-1,0)</f>
        <v>0</v>
      </c>
      <c r="Y19" s="56" t="n">
        <f aca="false">W19+X19</f>
        <v>988</v>
      </c>
      <c r="Z19" s="60" t="n">
        <v>0</v>
      </c>
      <c r="AA19" s="61" t="n">
        <v>88</v>
      </c>
      <c r="AB19" s="61" t="n">
        <v>56</v>
      </c>
      <c r="AC19" s="62" t="n">
        <f aca="false">AC18+1</f>
        <v>10</v>
      </c>
      <c r="AD19" s="78"/>
      <c r="AE19" s="82"/>
      <c r="AF19" s="79"/>
    </row>
    <row r="20" customFormat="false" ht="11.1" hidden="false" customHeight="true" outlineLevel="0" collapsed="false">
      <c r="A20" s="62" t="n">
        <f aca="false">A19+1</f>
        <v>11</v>
      </c>
      <c r="B20" s="80" t="n">
        <v>6921.8</v>
      </c>
      <c r="C20" s="57" t="n">
        <v>371418</v>
      </c>
      <c r="D20" s="61" t="n">
        <f aca="false">C20-C19</f>
        <v>-1317</v>
      </c>
      <c r="E20" s="57" t="n">
        <f aca="false">C20-152000</f>
        <v>219418</v>
      </c>
      <c r="F20" s="56" t="n">
        <f aca="false">D20/$D$2</f>
        <v>-663.977816990169</v>
      </c>
      <c r="G20" s="56" t="n">
        <v>364</v>
      </c>
      <c r="H20" s="58" t="n">
        <v>0.26</v>
      </c>
      <c r="I20" s="56" t="n">
        <f aca="false">G20+H20</f>
        <v>364.26</v>
      </c>
      <c r="J20" s="81" t="n">
        <f aca="false">IF(L20&gt;0,L20,0)</f>
        <v>0</v>
      </c>
      <c r="K20" s="56" t="n">
        <f aca="false">I20+J20</f>
        <v>364.26</v>
      </c>
      <c r="L20" s="56" t="n">
        <f aca="false">F20-(I20-W20)</f>
        <v>-34.2378169901689</v>
      </c>
      <c r="M20" s="56" t="n">
        <v>284</v>
      </c>
      <c r="N20" s="56" t="n">
        <f aca="false">(29.95+28.78)*1.05</f>
        <v>61.6665</v>
      </c>
      <c r="O20" s="56" t="n">
        <f aca="false">M20-N20</f>
        <v>222.3335</v>
      </c>
      <c r="P20" s="56" t="n">
        <v>203</v>
      </c>
      <c r="Q20" s="56" t="n">
        <v>79</v>
      </c>
      <c r="R20" s="56" t="n">
        <f aca="false">SUM(O20:Q20)</f>
        <v>504.3335</v>
      </c>
      <c r="S20" s="57" t="n">
        <f aca="false">(I20-R20)+S19</f>
        <v>17016.9955809176</v>
      </c>
      <c r="T20" s="56" t="n">
        <v>299</v>
      </c>
      <c r="U20" s="56" t="n">
        <v>129</v>
      </c>
      <c r="V20" s="57" t="n">
        <f aca="false">V19-U20</f>
        <v>17022.6188706831</v>
      </c>
      <c r="W20" s="56" t="n">
        <f aca="false">R20+T20+N20+U20</f>
        <v>994</v>
      </c>
      <c r="X20" s="56" t="n">
        <f aca="false">IF(L20&lt;0,L20*-1,0)</f>
        <v>34.2378169901689</v>
      </c>
      <c r="Y20" s="56" t="n">
        <f aca="false">W20+X20</f>
        <v>1028.23781699017</v>
      </c>
      <c r="Z20" s="60" t="n">
        <v>0</v>
      </c>
      <c r="AA20" s="61" t="n">
        <v>85</v>
      </c>
      <c r="AB20" s="61" t="n">
        <v>54</v>
      </c>
      <c r="AC20" s="62" t="n">
        <f aca="false">AC19+1</f>
        <v>11</v>
      </c>
      <c r="AD20" s="78"/>
      <c r="AE20" s="82"/>
      <c r="AF20" s="79"/>
      <c r="AG20" s="132"/>
      <c r="AH20" s="132"/>
      <c r="AI20" s="132"/>
    </row>
    <row r="21" customFormat="false" ht="11.1" hidden="false" customHeight="true" outlineLevel="0" collapsed="false">
      <c r="A21" s="62" t="n">
        <f aca="false">A20+1</f>
        <v>12</v>
      </c>
      <c r="B21" s="80" t="n">
        <v>6921.5</v>
      </c>
      <c r="C21" s="57" t="n">
        <v>370104</v>
      </c>
      <c r="D21" s="61" t="n">
        <f aca="false">C21-C20</f>
        <v>-1314</v>
      </c>
      <c r="E21" s="57" t="n">
        <f aca="false">C21-152000</f>
        <v>218104</v>
      </c>
      <c r="F21" s="56" t="n">
        <f aca="false">D21/$D$2</f>
        <v>-662.465339047139</v>
      </c>
      <c r="G21" s="56" t="n">
        <v>343</v>
      </c>
      <c r="H21" s="58" t="n">
        <v>0.24</v>
      </c>
      <c r="I21" s="56" t="n">
        <f aca="false">G21+H21</f>
        <v>343.24</v>
      </c>
      <c r="J21" s="81" t="n">
        <f aca="false">IF(L21&gt;0,L21,0)</f>
        <v>9.29466095286114</v>
      </c>
      <c r="K21" s="56" t="n">
        <f aca="false">I21+J21</f>
        <v>352.534660952861</v>
      </c>
      <c r="L21" s="56" t="n">
        <f aca="false">F21-(I21-W21)</f>
        <v>9.29466095286114</v>
      </c>
      <c r="M21" s="56" t="n">
        <v>309</v>
      </c>
      <c r="N21" s="56" t="n">
        <v>63.5</v>
      </c>
      <c r="O21" s="56" t="n">
        <f aca="false">M21-N21</f>
        <v>245.5</v>
      </c>
      <c r="P21" s="56" t="n">
        <v>203</v>
      </c>
      <c r="Q21" s="56" t="n">
        <v>82</v>
      </c>
      <c r="R21" s="56" t="n">
        <f aca="false">SUM(O21:Q21)</f>
        <v>530.5</v>
      </c>
      <c r="S21" s="57" t="n">
        <f aca="false">(I21-R21)+S20</f>
        <v>16829.7355809176</v>
      </c>
      <c r="T21" s="56" t="n">
        <v>292</v>
      </c>
      <c r="U21" s="56" t="n">
        <v>129</v>
      </c>
      <c r="V21" s="57" t="n">
        <f aca="false">V20-U21</f>
        <v>16893.6188706831</v>
      </c>
      <c r="W21" s="56" t="n">
        <f aca="false">R21+T21+N21+U21</f>
        <v>1015</v>
      </c>
      <c r="X21" s="56" t="n">
        <f aca="false">IF(L21&lt;0,L21*-1,0)</f>
        <v>0</v>
      </c>
      <c r="Y21" s="56" t="n">
        <f aca="false">W21+X21</f>
        <v>1015</v>
      </c>
      <c r="Z21" s="60" t="n">
        <v>0</v>
      </c>
      <c r="AA21" s="61" t="n">
        <v>85</v>
      </c>
      <c r="AB21" s="61" t="n">
        <v>56</v>
      </c>
      <c r="AC21" s="62" t="n">
        <f aca="false">AC20+1</f>
        <v>12</v>
      </c>
      <c r="AD21" s="78"/>
      <c r="AE21" s="78"/>
      <c r="AF21" s="78"/>
    </row>
    <row r="22" customFormat="false" ht="11.1" hidden="false" customHeight="true" outlineLevel="0" collapsed="false">
      <c r="A22" s="62" t="n">
        <f aca="false">A21+1</f>
        <v>13</v>
      </c>
      <c r="B22" s="80" t="n">
        <v>6921.17</v>
      </c>
      <c r="C22" s="57" t="n">
        <v>368659</v>
      </c>
      <c r="D22" s="61" t="n">
        <f aca="false">C22-C21</f>
        <v>-1445</v>
      </c>
      <c r="E22" s="57" t="n">
        <f aca="false">C22-152000</f>
        <v>216659</v>
      </c>
      <c r="F22" s="56" t="n">
        <f aca="false">D22/$D$2</f>
        <v>-728.510209226115</v>
      </c>
      <c r="G22" s="56" t="n">
        <v>340</v>
      </c>
      <c r="H22" s="58" t="n">
        <v>0.54</v>
      </c>
      <c r="I22" s="56" t="n">
        <f aca="false">G22+H22</f>
        <v>340.54</v>
      </c>
      <c r="J22" s="81" t="n">
        <f aca="false">IF(L22&gt;0,L22,0)</f>
        <v>0</v>
      </c>
      <c r="K22" s="56" t="n">
        <f aca="false">I22+J22</f>
        <v>340.54</v>
      </c>
      <c r="L22" s="56" t="n">
        <f aca="false">F22-(I22-W22)</f>
        <v>-78.0502092261154</v>
      </c>
      <c r="M22" s="56" t="n">
        <v>305</v>
      </c>
      <c r="N22" s="56" t="n">
        <f aca="false">(33.37+34.99)*1.05</f>
        <v>71.778</v>
      </c>
      <c r="O22" s="56" t="n">
        <f aca="false">M22-N22</f>
        <v>233.222</v>
      </c>
      <c r="P22" s="56" t="n">
        <v>202</v>
      </c>
      <c r="Q22" s="56" t="n">
        <v>84</v>
      </c>
      <c r="R22" s="56" t="n">
        <f aca="false">SUM(O22:Q22)</f>
        <v>519.222</v>
      </c>
      <c r="S22" s="57" t="n">
        <f aca="false">(I22-R22)+S21</f>
        <v>16651.0535809176</v>
      </c>
      <c r="T22" s="56" t="n">
        <v>272</v>
      </c>
      <c r="U22" s="56" t="n">
        <v>128</v>
      </c>
      <c r="V22" s="57" t="n">
        <f aca="false">V21-U22</f>
        <v>16765.6188706831</v>
      </c>
      <c r="W22" s="56" t="n">
        <f aca="false">R22+T22+N22+U22</f>
        <v>991</v>
      </c>
      <c r="X22" s="56" t="n">
        <f aca="false">IF(L22&lt;0,L22*-1,0)</f>
        <v>78.0502092261154</v>
      </c>
      <c r="Y22" s="56" t="n">
        <f aca="false">W22+X22</f>
        <v>1069.05020922612</v>
      </c>
      <c r="Z22" s="60" t="n">
        <v>0</v>
      </c>
      <c r="AA22" s="61" t="n">
        <v>90</v>
      </c>
      <c r="AB22" s="61" t="n">
        <v>53</v>
      </c>
      <c r="AC22" s="62" t="n">
        <f aca="false">AC21+1</f>
        <v>13</v>
      </c>
      <c r="AD22" s="78"/>
      <c r="AE22" s="78"/>
      <c r="AF22" s="78"/>
    </row>
    <row r="23" customFormat="false" ht="11.1" hidden="false" customHeight="true" outlineLevel="0" collapsed="false">
      <c r="A23" s="62" t="n">
        <f aca="false">A22+1</f>
        <v>14</v>
      </c>
      <c r="B23" s="80" t="n">
        <v>6920.85</v>
      </c>
      <c r="C23" s="57" t="n">
        <v>367264</v>
      </c>
      <c r="D23" s="61" t="n">
        <f aca="false">C23-C22</f>
        <v>-1395</v>
      </c>
      <c r="E23" s="57" t="n">
        <f aca="false">C23-152000</f>
        <v>215264</v>
      </c>
      <c r="F23" s="56" t="n">
        <f aca="false">D23/$D$2</f>
        <v>-703.302243508949</v>
      </c>
      <c r="G23" s="56" t="n">
        <v>331</v>
      </c>
      <c r="H23" s="58" t="n">
        <v>0.35</v>
      </c>
      <c r="I23" s="56" t="n">
        <f aca="false">G23+H23</f>
        <v>331.35</v>
      </c>
      <c r="J23" s="81" t="n">
        <f aca="false">IF(L23&gt;0,L23,0)</f>
        <v>0</v>
      </c>
      <c r="K23" s="56" t="n">
        <f aca="false">I23+J23</f>
        <v>331.35</v>
      </c>
      <c r="L23" s="56" t="n">
        <f aca="false">F23-(I23-W23)</f>
        <v>-51.6522435089488</v>
      </c>
      <c r="M23" s="56" t="n">
        <v>288</v>
      </c>
      <c r="N23" s="56" t="n">
        <f aca="false">(25.54+25.05)*1.05</f>
        <v>53.1195</v>
      </c>
      <c r="O23" s="56" t="n">
        <f aca="false">M23-N23</f>
        <v>234.8805</v>
      </c>
      <c r="P23" s="56" t="n">
        <v>202</v>
      </c>
      <c r="Q23" s="56" t="n">
        <v>84</v>
      </c>
      <c r="R23" s="56" t="n">
        <f aca="false">SUM(O23:Q23)</f>
        <v>520.8805</v>
      </c>
      <c r="S23" s="57" t="n">
        <f aca="false">(I23-R23)+S22</f>
        <v>16461.5230809176</v>
      </c>
      <c r="T23" s="56" t="n">
        <v>281</v>
      </c>
      <c r="U23" s="56" t="n">
        <v>128</v>
      </c>
      <c r="V23" s="57" t="n">
        <f aca="false">V22-U23</f>
        <v>16637.6188706831</v>
      </c>
      <c r="W23" s="56" t="n">
        <f aca="false">R23+T23+N23+U23</f>
        <v>983</v>
      </c>
      <c r="X23" s="56" t="n">
        <f aca="false">IF(L23&lt;0,L23*-1,0)</f>
        <v>51.6522435089488</v>
      </c>
      <c r="Y23" s="56" t="n">
        <f aca="false">W23+X23</f>
        <v>1034.65224350895</v>
      </c>
      <c r="Z23" s="60" t="n">
        <v>0</v>
      </c>
      <c r="AA23" s="61" t="n">
        <v>93</v>
      </c>
      <c r="AB23" s="61" t="n">
        <v>56</v>
      </c>
      <c r="AC23" s="62" t="n">
        <f aca="false">AC22+1</f>
        <v>14</v>
      </c>
      <c r="AD23" s="78"/>
      <c r="AE23" s="78"/>
      <c r="AF23" s="78"/>
    </row>
    <row r="24" customFormat="false" ht="11.1" hidden="false" customHeight="true" outlineLevel="0" collapsed="false">
      <c r="A24" s="62" t="n">
        <f aca="false">A23+1</f>
        <v>15</v>
      </c>
      <c r="B24" s="80" t="n">
        <v>6920.55</v>
      </c>
      <c r="C24" s="57" t="n">
        <v>365961</v>
      </c>
      <c r="D24" s="61" t="n">
        <f aca="false">C24-C23</f>
        <v>-1303</v>
      </c>
      <c r="E24" s="57" t="n">
        <f aca="false">C24-152000</f>
        <v>213961</v>
      </c>
      <c r="F24" s="56" t="n">
        <f aca="false">D24/$D$2</f>
        <v>-656.919586589362</v>
      </c>
      <c r="G24" s="56" t="n">
        <v>324</v>
      </c>
      <c r="H24" s="58" t="n">
        <v>0.24</v>
      </c>
      <c r="I24" s="56" t="n">
        <f aca="false">G24+H24</f>
        <v>324.24</v>
      </c>
      <c r="J24" s="81" t="n">
        <f aca="false">IF(L24&gt;0,L24,0)</f>
        <v>31.8404134106378</v>
      </c>
      <c r="K24" s="56" t="n">
        <f aca="false">I24+J24</f>
        <v>356.080413410638</v>
      </c>
      <c r="L24" s="56" t="n">
        <f aca="false">F24-(I24-W24)</f>
        <v>31.8404134106378</v>
      </c>
      <c r="M24" s="56" t="n">
        <v>298</v>
      </c>
      <c r="N24" s="56" t="n">
        <f aca="false">(24.66+25.53)*1.05</f>
        <v>52.6995</v>
      </c>
      <c r="O24" s="56" t="n">
        <f aca="false">M24-N24</f>
        <v>245.3005</v>
      </c>
      <c r="P24" s="56" t="n">
        <v>200</v>
      </c>
      <c r="Q24" s="56" t="n">
        <v>86</v>
      </c>
      <c r="R24" s="56" t="n">
        <f aca="false">SUM(O24:Q24)</f>
        <v>531.3005</v>
      </c>
      <c r="S24" s="57" t="n">
        <f aca="false">(I24-R24)+S23</f>
        <v>16254.4625809176</v>
      </c>
      <c r="T24" s="56" t="n">
        <v>301</v>
      </c>
      <c r="U24" s="56" t="n">
        <v>128</v>
      </c>
      <c r="V24" s="57" t="n">
        <f aca="false">V23-U24</f>
        <v>16509.6188706831</v>
      </c>
      <c r="W24" s="56" t="n">
        <f aca="false">R24+T24+N24+U24</f>
        <v>1013</v>
      </c>
      <c r="X24" s="56" t="n">
        <f aca="false">IF(L24&lt;0,L24*-1,0)</f>
        <v>0</v>
      </c>
      <c r="Y24" s="56" t="n">
        <f aca="false">W24+X24</f>
        <v>1013</v>
      </c>
      <c r="Z24" s="60" t="n">
        <v>0</v>
      </c>
      <c r="AA24" s="90" t="n">
        <v>98</v>
      </c>
      <c r="AB24" s="61" t="n">
        <v>58</v>
      </c>
      <c r="AC24" s="62" t="n">
        <f aca="false">AC23+1</f>
        <v>15</v>
      </c>
      <c r="AD24" s="78"/>
      <c r="AE24" s="78"/>
      <c r="AF24" s="78"/>
    </row>
    <row r="25" customFormat="false" ht="11.1" hidden="false" customHeight="true" outlineLevel="0" collapsed="false">
      <c r="A25" s="62" t="n">
        <f aca="false">A24+1</f>
        <v>16</v>
      </c>
      <c r="B25" s="80" t="n">
        <v>6920.22</v>
      </c>
      <c r="C25" s="57" t="n">
        <v>364528</v>
      </c>
      <c r="D25" s="61" t="n">
        <f aca="false">C25-C24</f>
        <v>-1433</v>
      </c>
      <c r="E25" s="57" t="n">
        <f aca="false">C25-152000</f>
        <v>212528</v>
      </c>
      <c r="F25" s="56" t="n">
        <f aca="false">D25/$D$2</f>
        <v>-722.460297453995</v>
      </c>
      <c r="G25" s="56" t="n">
        <v>311</v>
      </c>
      <c r="H25" s="58" t="n">
        <v>0.35</v>
      </c>
      <c r="I25" s="56" t="n">
        <f aca="false">G25+H25</f>
        <v>311.35</v>
      </c>
      <c r="J25" s="81" t="n">
        <f aca="false">IF(L25&gt;0,L25,0)</f>
        <v>0</v>
      </c>
      <c r="K25" s="56" t="n">
        <f aca="false">I25+J25</f>
        <v>311.35</v>
      </c>
      <c r="L25" s="56" t="n">
        <f aca="false">F25-(I25-W25)</f>
        <v>-42.8102974539954</v>
      </c>
      <c r="M25" s="56" t="n">
        <v>287</v>
      </c>
      <c r="N25" s="56" t="n">
        <f aca="false">(23.38+22.12)*1.05</f>
        <v>47.775</v>
      </c>
      <c r="O25" s="56" t="n">
        <f aca="false">M25-N25</f>
        <v>239.225</v>
      </c>
      <c r="P25" s="56" t="n">
        <v>201</v>
      </c>
      <c r="Q25" s="56" t="n">
        <v>88</v>
      </c>
      <c r="R25" s="56" t="n">
        <f aca="false">SUM(O25:Q25)</f>
        <v>528.225</v>
      </c>
      <c r="S25" s="57" t="n">
        <f aca="false">(I25-R25)+S24</f>
        <v>16037.5875809176</v>
      </c>
      <c r="T25" s="56" t="n">
        <v>287</v>
      </c>
      <c r="U25" s="56" t="n">
        <v>128</v>
      </c>
      <c r="V25" s="57" t="n">
        <f aca="false">V24-U25</f>
        <v>16381.6188706831</v>
      </c>
      <c r="W25" s="56" t="n">
        <f aca="false">R25+T25+N25+U25</f>
        <v>991</v>
      </c>
      <c r="X25" s="56" t="n">
        <f aca="false">IF(L25&lt;0,L25*-1,0)</f>
        <v>42.8102974539954</v>
      </c>
      <c r="Y25" s="56" t="n">
        <f aca="false">W25+X25</f>
        <v>1033.810297454</v>
      </c>
      <c r="Z25" s="60" t="n">
        <v>0</v>
      </c>
      <c r="AA25" s="90" t="n">
        <v>95</v>
      </c>
      <c r="AB25" s="61" t="n">
        <v>56</v>
      </c>
      <c r="AC25" s="62" t="n">
        <f aca="false">AC24+1</f>
        <v>16</v>
      </c>
      <c r="AD25" s="78"/>
      <c r="AE25" s="78"/>
      <c r="AF25" s="78"/>
    </row>
    <row r="26" customFormat="false" ht="11.1" hidden="false" customHeight="true" outlineLevel="0" collapsed="false">
      <c r="A26" s="62" t="n">
        <f aca="false">A25+1</f>
        <v>17</v>
      </c>
      <c r="B26" s="80" t="n">
        <v>6919.89</v>
      </c>
      <c r="C26" s="57" t="n">
        <v>363099</v>
      </c>
      <c r="D26" s="61" t="n">
        <f aca="false">C26-C25</f>
        <v>-1429</v>
      </c>
      <c r="E26" s="57" t="n">
        <f aca="false">C26-152000</f>
        <v>211099</v>
      </c>
      <c r="F26" s="56" t="n">
        <f aca="false">D26/$D$2</f>
        <v>-720.443660196622</v>
      </c>
      <c r="G26" s="56" t="n">
        <v>279</v>
      </c>
      <c r="H26" s="58" t="n">
        <v>0.48</v>
      </c>
      <c r="I26" s="56" t="n">
        <f aca="false">G26+H26</f>
        <v>279.48</v>
      </c>
      <c r="J26" s="81" t="n">
        <f aca="false">IF(L26&gt;0,L26,0)</f>
        <v>0</v>
      </c>
      <c r="K26" s="56" t="n">
        <f aca="false">I26+J26</f>
        <v>279.48</v>
      </c>
      <c r="L26" s="56" t="n">
        <f aca="false">F26-(I26-W26)</f>
        <v>-31.9236601966221</v>
      </c>
      <c r="M26" s="56" t="n">
        <v>276</v>
      </c>
      <c r="N26" s="56" t="n">
        <v>30.4</v>
      </c>
      <c r="O26" s="56" t="n">
        <f aca="false">M26-N26</f>
        <v>245.6</v>
      </c>
      <c r="P26" s="56" t="n">
        <v>200</v>
      </c>
      <c r="Q26" s="56" t="n">
        <v>88</v>
      </c>
      <c r="R26" s="56" t="n">
        <f aca="false">SUM(O26:Q26)</f>
        <v>533.6</v>
      </c>
      <c r="S26" s="57" t="n">
        <f aca="false">(I26-R26)+S25</f>
        <v>15783.4675809176</v>
      </c>
      <c r="T26" s="56" t="n">
        <v>276</v>
      </c>
      <c r="U26" s="56" t="n">
        <v>128</v>
      </c>
      <c r="V26" s="57" t="n">
        <f aca="false">V25-U26</f>
        <v>16253.6188706831</v>
      </c>
      <c r="W26" s="56" t="n">
        <f aca="false">R26+T26+N26+U26</f>
        <v>968</v>
      </c>
      <c r="X26" s="56" t="n">
        <f aca="false">IF(L26&lt;0,L26*-1,0)</f>
        <v>31.9236601966221</v>
      </c>
      <c r="Y26" s="56" t="n">
        <f aca="false">W26+X26</f>
        <v>999.923660196622</v>
      </c>
      <c r="Z26" s="60" t="n">
        <v>0</v>
      </c>
      <c r="AA26" s="90" t="n">
        <v>92</v>
      </c>
      <c r="AB26" s="61" t="n">
        <v>57</v>
      </c>
      <c r="AC26" s="62" t="n">
        <f aca="false">AC25+1</f>
        <v>17</v>
      </c>
      <c r="AD26" s="78"/>
      <c r="AE26" s="78"/>
      <c r="AF26" s="78"/>
    </row>
    <row r="27" customFormat="false" ht="11.1" hidden="false" customHeight="true" outlineLevel="0" collapsed="false">
      <c r="A27" s="62" t="n">
        <f aca="false">A26+1</f>
        <v>18</v>
      </c>
      <c r="B27" s="80" t="n">
        <v>6919.55</v>
      </c>
      <c r="C27" s="57" t="n">
        <v>361635</v>
      </c>
      <c r="D27" s="61" t="n">
        <f aca="false">C27-C26</f>
        <v>-1464</v>
      </c>
      <c r="E27" s="57" t="n">
        <f aca="false">C27-152000</f>
        <v>209635</v>
      </c>
      <c r="F27" s="56" t="n">
        <f aca="false">D27/$D$2</f>
        <v>-738.089236198639</v>
      </c>
      <c r="G27" s="56" t="n">
        <v>263</v>
      </c>
      <c r="H27" s="58" t="n">
        <v>0.33</v>
      </c>
      <c r="I27" s="56" t="n">
        <f aca="false">G27+H27</f>
        <v>263.33</v>
      </c>
      <c r="J27" s="81" t="n">
        <f aca="false">IF(L27&gt;0,L27,0)</f>
        <v>0</v>
      </c>
      <c r="K27" s="56" t="n">
        <f aca="false">I27+J27</f>
        <v>263.33</v>
      </c>
      <c r="L27" s="56" t="n">
        <f aca="false">F27-(I27-W27)</f>
        <v>-27.4192361986387</v>
      </c>
      <c r="M27" s="56" t="n">
        <v>293</v>
      </c>
      <c r="N27" s="56" t="n">
        <f aca="false">(21.64+19.3)*1.05</f>
        <v>42.987</v>
      </c>
      <c r="O27" s="56" t="n">
        <f aca="false">M27-N27</f>
        <v>250.013</v>
      </c>
      <c r="P27" s="56" t="n">
        <v>200</v>
      </c>
      <c r="Q27" s="56" t="n">
        <v>87</v>
      </c>
      <c r="R27" s="56" t="n">
        <f aca="false">SUM(O27:Q27)</f>
        <v>537.013</v>
      </c>
      <c r="S27" s="57" t="n">
        <f aca="false">(I27-R27)+S26</f>
        <v>15509.7845809176</v>
      </c>
      <c r="T27" s="56" t="n">
        <v>266</v>
      </c>
      <c r="U27" s="56" t="n">
        <v>128</v>
      </c>
      <c r="V27" s="57" t="n">
        <f aca="false">V26-U27</f>
        <v>16125.6188706831</v>
      </c>
      <c r="W27" s="56" t="n">
        <f aca="false">R27+T27+N27+U27</f>
        <v>974</v>
      </c>
      <c r="X27" s="56" t="n">
        <f aca="false">IF(L27&lt;0,L27*-1,0)</f>
        <v>27.4192361986387</v>
      </c>
      <c r="Y27" s="56" t="n">
        <f aca="false">W27+X27</f>
        <v>1001.41923619864</v>
      </c>
      <c r="Z27" s="60" t="n">
        <v>0.03</v>
      </c>
      <c r="AA27" s="90" t="n">
        <v>93</v>
      </c>
      <c r="AB27" s="61" t="n">
        <v>55</v>
      </c>
      <c r="AC27" s="62" t="n">
        <f aca="false">AC26+1</f>
        <v>18</v>
      </c>
      <c r="AD27" s="78"/>
      <c r="AE27" s="78"/>
      <c r="AF27" s="78"/>
    </row>
    <row r="28" customFormat="false" ht="11.1" hidden="false" customHeight="true" outlineLevel="0" collapsed="false">
      <c r="A28" s="62" t="n">
        <f aca="false">A27+1</f>
        <v>19</v>
      </c>
      <c r="B28" s="80" t="n">
        <v>6919.24</v>
      </c>
      <c r="C28" s="97" t="n">
        <v>360300</v>
      </c>
      <c r="D28" s="61" t="n">
        <f aca="false">C28-C27</f>
        <v>-1335</v>
      </c>
      <c r="E28" s="57" t="n">
        <f aca="false">C28-152000</f>
        <v>208300</v>
      </c>
      <c r="F28" s="56" t="n">
        <f aca="false">D28/$D$2</f>
        <v>-673.052684648349</v>
      </c>
      <c r="G28" s="56" t="n">
        <v>284</v>
      </c>
      <c r="H28" s="58" t="n">
        <v>0.27</v>
      </c>
      <c r="I28" s="56" t="n">
        <f aca="false">G28+H28</f>
        <v>284.27</v>
      </c>
      <c r="J28" s="81" t="n">
        <f aca="false">IF(L28&gt;0,L28,0)</f>
        <v>12.6773153516511</v>
      </c>
      <c r="K28" s="56" t="n">
        <f aca="false">I28+J28</f>
        <v>296.947315351651</v>
      </c>
      <c r="L28" s="56" t="n">
        <f aca="false">F28-(I28-W28)</f>
        <v>12.6773153516511</v>
      </c>
      <c r="M28" s="56" t="n">
        <v>299</v>
      </c>
      <c r="N28" s="56" t="n">
        <f aca="false">(24.18+23.14)*1.05</f>
        <v>49.686</v>
      </c>
      <c r="O28" s="56" t="n">
        <f aca="false">M28-N28</f>
        <v>249.314</v>
      </c>
      <c r="P28" s="56" t="n">
        <v>201</v>
      </c>
      <c r="Q28" s="56" t="n">
        <v>87</v>
      </c>
      <c r="R28" s="56" t="n">
        <f aca="false">SUM(O28:Q28)</f>
        <v>537.314</v>
      </c>
      <c r="S28" s="57" t="n">
        <f aca="false">(I28-R28)+S27</f>
        <v>15256.7405809176</v>
      </c>
      <c r="T28" s="56" t="n">
        <v>255</v>
      </c>
      <c r="U28" s="56" t="n">
        <v>128</v>
      </c>
      <c r="V28" s="57" t="n">
        <f aca="false">V27-U28</f>
        <v>15997.6188706831</v>
      </c>
      <c r="W28" s="56" t="n">
        <f aca="false">R28+T28+N28+U28</f>
        <v>970</v>
      </c>
      <c r="X28" s="56" t="n">
        <f aca="false">IF(L28&lt;0,L28*-1,0)</f>
        <v>0</v>
      </c>
      <c r="Y28" s="56" t="n">
        <f aca="false">W28+X28</f>
        <v>970</v>
      </c>
      <c r="Z28" s="60" t="n">
        <v>0.3</v>
      </c>
      <c r="AA28" s="90" t="n">
        <v>87</v>
      </c>
      <c r="AB28" s="61" t="n">
        <v>57</v>
      </c>
      <c r="AC28" s="62" t="n">
        <f aca="false">AC27+1</f>
        <v>19</v>
      </c>
      <c r="AD28" s="78"/>
      <c r="AE28" s="78"/>
      <c r="AF28" s="78"/>
    </row>
    <row r="29" customFormat="false" ht="11.1" hidden="false" customHeight="true" outlineLevel="0" collapsed="false">
      <c r="A29" s="62" t="n">
        <f aca="false">A28+1</f>
        <v>20</v>
      </c>
      <c r="B29" s="80" t="n">
        <v>6918.99</v>
      </c>
      <c r="C29" s="57" t="n">
        <v>359224</v>
      </c>
      <c r="D29" s="61" t="n">
        <f aca="false">C29-C28</f>
        <v>-1076</v>
      </c>
      <c r="E29" s="57" t="n">
        <f aca="false">C29-152000</f>
        <v>207224</v>
      </c>
      <c r="F29" s="56" t="n">
        <f aca="false">D29/$D$2</f>
        <v>-542.475422233426</v>
      </c>
      <c r="G29" s="56" t="n">
        <v>398</v>
      </c>
      <c r="H29" s="58" t="n">
        <v>0.26</v>
      </c>
      <c r="I29" s="56" t="n">
        <f aca="false">G29+H29</f>
        <v>398.26</v>
      </c>
      <c r="J29" s="81" t="n">
        <f aca="false">IF(L29&gt;0,L29,0)</f>
        <v>0</v>
      </c>
      <c r="K29" s="56" t="n">
        <f aca="false">I29+J29</f>
        <v>398.26</v>
      </c>
      <c r="L29" s="56" t="n">
        <f aca="false">F29-(I29-W29)</f>
        <v>-49.7354222334258</v>
      </c>
      <c r="M29" s="56" t="n">
        <v>274</v>
      </c>
      <c r="N29" s="56" t="n">
        <f aca="false">(27.63+26.14)*1.05</f>
        <v>56.4585</v>
      </c>
      <c r="O29" s="56" t="n">
        <f aca="false">M29-N29</f>
        <v>217.5415</v>
      </c>
      <c r="P29" s="56" t="n">
        <v>202</v>
      </c>
      <c r="Q29" s="56" t="n">
        <v>87</v>
      </c>
      <c r="R29" s="56" t="n">
        <f aca="false">SUM(O29:Q29)</f>
        <v>506.5415</v>
      </c>
      <c r="S29" s="57" t="n">
        <f aca="false">(I29-R29)+S28</f>
        <v>15148.4590809176</v>
      </c>
      <c r="T29" s="56" t="n">
        <v>200</v>
      </c>
      <c r="U29" s="56" t="n">
        <v>128</v>
      </c>
      <c r="V29" s="57" t="n">
        <f aca="false">V28-U29</f>
        <v>15869.6188706831</v>
      </c>
      <c r="W29" s="56" t="n">
        <f aca="false">R29+T29+N29+U29</f>
        <v>891</v>
      </c>
      <c r="X29" s="56" t="n">
        <f aca="false">IF(L29&lt;0,L29*-1,0)</f>
        <v>49.7354222334258</v>
      </c>
      <c r="Y29" s="56" t="n">
        <f aca="false">W29+X29</f>
        <v>940.735422233426</v>
      </c>
      <c r="Z29" s="60" t="n">
        <v>0</v>
      </c>
      <c r="AA29" s="90" t="n">
        <v>86</v>
      </c>
      <c r="AB29" s="61" t="n">
        <v>53</v>
      </c>
      <c r="AC29" s="62" t="n">
        <f aca="false">AC28+1</f>
        <v>20</v>
      </c>
      <c r="AD29" s="78"/>
      <c r="AE29" s="78"/>
      <c r="AF29" s="78"/>
    </row>
    <row r="30" customFormat="false" ht="11.1" hidden="false" customHeight="true" outlineLevel="0" collapsed="false">
      <c r="A30" s="62" t="n">
        <f aca="false">A29+1</f>
        <v>21</v>
      </c>
      <c r="B30" s="80" t="n">
        <v>6918.69</v>
      </c>
      <c r="C30" s="57" t="n">
        <v>357942</v>
      </c>
      <c r="D30" s="61" t="n">
        <f aca="false">C30-C29</f>
        <v>-1282</v>
      </c>
      <c r="E30" s="57" t="n">
        <f aca="false">C30-152000</f>
        <v>205942</v>
      </c>
      <c r="F30" s="56" t="n">
        <f aca="false">D30/$D$2</f>
        <v>-646.332240988152</v>
      </c>
      <c r="G30" s="56" t="n">
        <v>330</v>
      </c>
      <c r="H30" s="58" t="n">
        <v>0.25</v>
      </c>
      <c r="I30" s="56" t="n">
        <f aca="false">G30+H30</f>
        <v>330.25</v>
      </c>
      <c r="J30" s="81" t="n">
        <f aca="false">IF(L30&gt;0,L30,0)</f>
        <v>0</v>
      </c>
      <c r="K30" s="56" t="n">
        <f aca="false">I30+J30</f>
        <v>330.25</v>
      </c>
      <c r="L30" s="56" t="n">
        <f aca="false">F30-(I30-W30)</f>
        <v>-30.8622409881522</v>
      </c>
      <c r="M30" s="56" t="n">
        <v>272</v>
      </c>
      <c r="N30" s="56" t="n">
        <v>53</v>
      </c>
      <c r="O30" s="56" t="n">
        <f aca="false">M30-N30</f>
        <v>219</v>
      </c>
      <c r="P30" s="56" t="n">
        <v>202</v>
      </c>
      <c r="Q30" s="56" t="n">
        <v>88</v>
      </c>
      <c r="R30" s="56" t="n">
        <f aca="false">SUM(O30:Q30)</f>
        <v>509</v>
      </c>
      <c r="S30" s="57" t="n">
        <f aca="false">(I30-R30)+S29</f>
        <v>14969.7090809176</v>
      </c>
      <c r="T30" s="56" t="n">
        <v>255.72</v>
      </c>
      <c r="U30" s="56" t="n">
        <v>128</v>
      </c>
      <c r="V30" s="57" t="n">
        <f aca="false">V29-U30</f>
        <v>15741.6188706831</v>
      </c>
      <c r="W30" s="56" t="n">
        <f aca="false">R30+T30+N30+U30</f>
        <v>945.72</v>
      </c>
      <c r="X30" s="56" t="n">
        <f aca="false">IF(L30&lt;0,L30*-1,0)</f>
        <v>30.8622409881522</v>
      </c>
      <c r="Y30" s="56" t="n">
        <f aca="false">W30+X30</f>
        <v>976.582240988152</v>
      </c>
      <c r="Z30" s="60" t="n">
        <v>0</v>
      </c>
      <c r="AA30" s="61" t="n">
        <v>86</v>
      </c>
      <c r="AB30" s="61" t="n">
        <v>55</v>
      </c>
      <c r="AC30" s="62" t="n">
        <f aca="false">AC29+1</f>
        <v>21</v>
      </c>
      <c r="AD30" s="78"/>
      <c r="AE30" s="78"/>
      <c r="AF30" s="78"/>
    </row>
    <row r="31" customFormat="false" ht="11.1" hidden="false" customHeight="true" outlineLevel="0" collapsed="false">
      <c r="A31" s="62" t="n">
        <f aca="false">A30+1</f>
        <v>22</v>
      </c>
      <c r="B31" s="80" t="n">
        <v>6918.42</v>
      </c>
      <c r="C31" s="57" t="n">
        <v>356788</v>
      </c>
      <c r="D31" s="61" t="n">
        <f aca="false">C31-C30</f>
        <v>-1154</v>
      </c>
      <c r="E31" s="57" t="n">
        <f aca="false">C31-152000</f>
        <v>204788</v>
      </c>
      <c r="F31" s="56" t="n">
        <f aca="false">D31/$D$2</f>
        <v>-581.799848752206</v>
      </c>
      <c r="G31" s="56" t="n">
        <v>305</v>
      </c>
      <c r="H31" s="58" t="n">
        <v>0.5</v>
      </c>
      <c r="I31" s="56" t="n">
        <f aca="false">G31+H31</f>
        <v>305.5</v>
      </c>
      <c r="J31" s="81" t="n">
        <f aca="false">IF(L31&gt;0,L31,0)</f>
        <v>53.7001512477943</v>
      </c>
      <c r="K31" s="56" t="n">
        <f aca="false">I31+J31</f>
        <v>359.200151247794</v>
      </c>
      <c r="L31" s="56" t="n">
        <f aca="false">F31-(I31-W31)</f>
        <v>53.7001512477943</v>
      </c>
      <c r="M31" s="56" t="n">
        <v>279</v>
      </c>
      <c r="N31" s="56" t="n">
        <v>54.2</v>
      </c>
      <c r="O31" s="56" t="n">
        <f aca="false">M31-N31</f>
        <v>224.8</v>
      </c>
      <c r="P31" s="56" t="n">
        <v>202</v>
      </c>
      <c r="Q31" s="56" t="n">
        <v>87</v>
      </c>
      <c r="R31" s="56" t="n">
        <f aca="false">SUM(O31:Q31)</f>
        <v>513.8</v>
      </c>
      <c r="S31" s="57" t="n">
        <f aca="false">(I31-R31)+S30</f>
        <v>14761.4090809176</v>
      </c>
      <c r="T31" s="56" t="n">
        <v>246</v>
      </c>
      <c r="U31" s="56" t="n">
        <v>127</v>
      </c>
      <c r="V31" s="57" t="n">
        <f aca="false">V30-U31</f>
        <v>15614.6188706831</v>
      </c>
      <c r="W31" s="56" t="n">
        <f aca="false">R31+T31+N31+U31</f>
        <v>941</v>
      </c>
      <c r="X31" s="56" t="n">
        <f aca="false">IF(L31&lt;0,L31*-1,0)</f>
        <v>0</v>
      </c>
      <c r="Y31" s="56" t="n">
        <f aca="false">W31+X31</f>
        <v>941</v>
      </c>
      <c r="Z31" s="60" t="n">
        <v>0.13</v>
      </c>
      <c r="AA31" s="61" t="n">
        <v>88</v>
      </c>
      <c r="AB31" s="61" t="n">
        <v>56</v>
      </c>
      <c r="AC31" s="62" t="n">
        <f aca="false">AC30+1</f>
        <v>22</v>
      </c>
      <c r="AD31" s="78"/>
      <c r="AE31" s="78"/>
      <c r="AF31" s="78"/>
      <c r="AG31" s="132"/>
      <c r="AH31" s="132"/>
      <c r="AI31" s="132"/>
    </row>
    <row r="32" customFormat="false" ht="11.1" hidden="false" customHeight="true" outlineLevel="0" collapsed="false">
      <c r="A32" s="62" t="n">
        <f aca="false">A31+1</f>
        <v>23</v>
      </c>
      <c r="B32" s="80" t="n">
        <v>6918.16</v>
      </c>
      <c r="C32" s="57" t="n">
        <v>355677</v>
      </c>
      <c r="D32" s="61" t="n">
        <f aca="false">C32-C31</f>
        <v>-1111</v>
      </c>
      <c r="E32" s="57" t="n">
        <f aca="false">C32-152000</f>
        <v>203677</v>
      </c>
      <c r="F32" s="56" t="n">
        <f aca="false">D32/$D$2</f>
        <v>-560.120998235442</v>
      </c>
      <c r="G32" s="56" t="n">
        <v>364</v>
      </c>
      <c r="H32" s="58" t="n">
        <v>0.95</v>
      </c>
      <c r="I32" s="56" t="n">
        <f aca="false">G32+H32</f>
        <v>364.95</v>
      </c>
      <c r="J32" s="81" t="n">
        <f aca="false">IF(L32&gt;0,L32,0)</f>
        <v>0</v>
      </c>
      <c r="K32" s="56" t="n">
        <f aca="false">I32+J32</f>
        <v>364.95</v>
      </c>
      <c r="L32" s="56" t="n">
        <f aca="false">F32-(I32-W32)</f>
        <v>-19.0709982354424</v>
      </c>
      <c r="M32" s="56" t="n">
        <v>252</v>
      </c>
      <c r="N32" s="56" t="n">
        <v>46.6</v>
      </c>
      <c r="O32" s="56" t="n">
        <f aca="false">M32-N32</f>
        <v>205.4</v>
      </c>
      <c r="P32" s="56" t="n">
        <v>202</v>
      </c>
      <c r="Q32" s="56" t="n">
        <v>87</v>
      </c>
      <c r="R32" s="56" t="n">
        <f aca="false">SUM(O32:Q32)</f>
        <v>494.4</v>
      </c>
      <c r="S32" s="57" t="n">
        <f aca="false">(I32-R32)+S31</f>
        <v>14631.9590809176</v>
      </c>
      <c r="T32" s="56" t="n">
        <v>239</v>
      </c>
      <c r="U32" s="56" t="n">
        <v>126</v>
      </c>
      <c r="V32" s="57" t="n">
        <f aca="false">V31-U32</f>
        <v>15488.6188706831</v>
      </c>
      <c r="W32" s="56" t="n">
        <f aca="false">R32+T32+N32+U32</f>
        <v>906</v>
      </c>
      <c r="X32" s="56" t="n">
        <f aca="false">IF(L32&lt;0,L32*-1,0)</f>
        <v>19.0709982354424</v>
      </c>
      <c r="Y32" s="56" t="n">
        <f aca="false">W32+X32</f>
        <v>925.070998235442</v>
      </c>
      <c r="Z32" s="60" t="n">
        <v>0</v>
      </c>
      <c r="AA32" s="61" t="n">
        <v>82</v>
      </c>
      <c r="AB32" s="90" t="n">
        <v>58</v>
      </c>
      <c r="AC32" s="62" t="n">
        <f aca="false">AC31+1</f>
        <v>23</v>
      </c>
      <c r="AD32" s="78"/>
      <c r="AE32" s="78"/>
      <c r="AF32" s="78"/>
    </row>
    <row r="33" customFormat="false" ht="11.1" hidden="false" customHeight="true" outlineLevel="0" collapsed="false">
      <c r="A33" s="62" t="n">
        <f aca="false">A32+1</f>
        <v>24</v>
      </c>
      <c r="B33" s="80" t="n">
        <v>6917.89</v>
      </c>
      <c r="C33" s="57" t="n">
        <v>354527</v>
      </c>
      <c r="D33" s="61" t="n">
        <f aca="false">C33-C32</f>
        <v>-1150</v>
      </c>
      <c r="E33" s="57" t="n">
        <f aca="false">C33-152000</f>
        <v>202527</v>
      </c>
      <c r="F33" s="56" t="n">
        <f aca="false">D33/$D$2</f>
        <v>-579.783211494832</v>
      </c>
      <c r="G33" s="56" t="n">
        <v>321</v>
      </c>
      <c r="H33" s="58" t="n">
        <v>0.83</v>
      </c>
      <c r="I33" s="56" t="n">
        <f aca="false">G33+H33</f>
        <v>321.83</v>
      </c>
      <c r="J33" s="81" t="n">
        <f aca="false">IF(L33&gt;0,L33,0)</f>
        <v>0</v>
      </c>
      <c r="K33" s="56" t="n">
        <f aca="false">I33+J33</f>
        <v>321.83</v>
      </c>
      <c r="L33" s="56" t="n">
        <f aca="false">F33-(I33-W33)</f>
        <v>-30.6132114948323</v>
      </c>
      <c r="M33" s="56" t="n">
        <v>244</v>
      </c>
      <c r="N33" s="56" t="n">
        <v>27.4</v>
      </c>
      <c r="O33" s="56" t="n">
        <f aca="false">M33-N33</f>
        <v>216.6</v>
      </c>
      <c r="P33" s="56" t="n">
        <v>202</v>
      </c>
      <c r="Q33" s="56" t="n">
        <v>87</v>
      </c>
      <c r="R33" s="56" t="n">
        <f aca="false">SUM(O33:Q33)</f>
        <v>505.6</v>
      </c>
      <c r="S33" s="57" t="n">
        <f aca="false">(I33-R33)+S32</f>
        <v>14448.1890809176</v>
      </c>
      <c r="T33" s="56" t="n">
        <v>213</v>
      </c>
      <c r="U33" s="56" t="n">
        <v>125</v>
      </c>
      <c r="V33" s="57" t="n">
        <f aca="false">V32-U33</f>
        <v>15363.6188706831</v>
      </c>
      <c r="W33" s="56" t="n">
        <f aca="false">R33+T33+N33+U33</f>
        <v>871</v>
      </c>
      <c r="X33" s="56" t="n">
        <f aca="false">IF(L33&lt;0,L33*-1,0)</f>
        <v>30.6132114948323</v>
      </c>
      <c r="Y33" s="56" t="n">
        <f aca="false">W33+X33</f>
        <v>901.613211494832</v>
      </c>
      <c r="Z33" s="60" t="n">
        <v>0</v>
      </c>
      <c r="AA33" s="61" t="n">
        <v>88</v>
      </c>
      <c r="AB33" s="90" t="n">
        <v>54</v>
      </c>
      <c r="AC33" s="62" t="n">
        <f aca="false">AC32+1</f>
        <v>24</v>
      </c>
      <c r="AD33" s="78"/>
      <c r="AE33" s="78"/>
      <c r="AF33" s="78"/>
    </row>
    <row r="34" customFormat="false" ht="11.1" hidden="false" customHeight="true" outlineLevel="0" collapsed="false">
      <c r="A34" s="62" t="n">
        <f aca="false">A33+1</f>
        <v>25</v>
      </c>
      <c r="B34" s="80" t="n">
        <v>6917.61</v>
      </c>
      <c r="C34" s="57" t="n">
        <v>353340</v>
      </c>
      <c r="D34" s="61" t="n">
        <f aca="false">C34-C33</f>
        <v>-1187</v>
      </c>
      <c r="E34" s="57" t="n">
        <f aca="false">C34-152000</f>
        <v>201340</v>
      </c>
      <c r="F34" s="56" t="n">
        <f aca="false">D34/$D$2</f>
        <v>-598.437106125536</v>
      </c>
      <c r="G34" s="56" t="n">
        <v>275</v>
      </c>
      <c r="H34" s="58" t="n">
        <v>0.63</v>
      </c>
      <c r="I34" s="56" t="n">
        <f aca="false">G34+H34</f>
        <v>275.63</v>
      </c>
      <c r="J34" s="81" t="n">
        <f aca="false">IF(L34&gt;0,L34,0)</f>
        <v>0</v>
      </c>
      <c r="K34" s="56" t="n">
        <f aca="false">I34+J34</f>
        <v>275.63</v>
      </c>
      <c r="L34" s="56" t="n">
        <f aca="false">F34-(I34-W34)</f>
        <v>-5.0671061255357</v>
      </c>
      <c r="M34" s="56" t="n">
        <v>245</v>
      </c>
      <c r="N34" s="56" t="n">
        <v>29.8</v>
      </c>
      <c r="O34" s="56" t="n">
        <f aca="false">M34-N34</f>
        <v>215.2</v>
      </c>
      <c r="P34" s="56" t="n">
        <v>202</v>
      </c>
      <c r="Q34" s="56" t="n">
        <v>87</v>
      </c>
      <c r="R34" s="56" t="n">
        <f aca="false">SUM(O34:Q34)</f>
        <v>504.2</v>
      </c>
      <c r="S34" s="57" t="n">
        <f aca="false">(I34-R34)+S33</f>
        <v>14219.6190809176</v>
      </c>
      <c r="T34" s="56" t="n">
        <v>210</v>
      </c>
      <c r="U34" s="56" t="n">
        <v>125</v>
      </c>
      <c r="V34" s="57" t="n">
        <f aca="false">V33-U34</f>
        <v>15238.6188706831</v>
      </c>
      <c r="W34" s="56" t="n">
        <f aca="false">R34+T34+N34+U34</f>
        <v>869</v>
      </c>
      <c r="X34" s="56" t="n">
        <f aca="false">IF(L34&lt;0,L34*-1,0)</f>
        <v>5.0671061255357</v>
      </c>
      <c r="Y34" s="56" t="n">
        <f aca="false">W34+X34</f>
        <v>874.067106125536</v>
      </c>
      <c r="Z34" s="60" t="n">
        <v>0</v>
      </c>
      <c r="AA34" s="61" t="n">
        <v>90</v>
      </c>
      <c r="AB34" s="90" t="n">
        <v>57</v>
      </c>
      <c r="AC34" s="62" t="n">
        <f aca="false">AC33+1</f>
        <v>25</v>
      </c>
      <c r="AD34" s="78"/>
      <c r="AE34" s="78"/>
      <c r="AF34" s="78"/>
    </row>
    <row r="35" customFormat="false" ht="11.1" hidden="false" customHeight="true" outlineLevel="0" collapsed="false">
      <c r="A35" s="62" t="n">
        <f aca="false">A34+1</f>
        <v>26</v>
      </c>
      <c r="B35" s="80" t="n">
        <v>6917.32</v>
      </c>
      <c r="C35" s="57" t="n">
        <v>352111</v>
      </c>
      <c r="D35" s="61" t="n">
        <f aca="false">C35-C34</f>
        <v>-1229</v>
      </c>
      <c r="E35" s="57" t="n">
        <f aca="false">C35-152000</f>
        <v>200111</v>
      </c>
      <c r="F35" s="56" t="n">
        <f aca="false">D35/$D$2</f>
        <v>-619.611797327956</v>
      </c>
      <c r="G35" s="56" t="n">
        <v>253</v>
      </c>
      <c r="H35" s="58" t="n">
        <v>0.69</v>
      </c>
      <c r="I35" s="56" t="n">
        <f aca="false">G35+H35</f>
        <v>253.69</v>
      </c>
      <c r="J35" s="81" t="n">
        <f aca="false">IF(L35&gt;0,L35,0)</f>
        <v>0</v>
      </c>
      <c r="K35" s="56" t="n">
        <f aca="false">I35+J35</f>
        <v>253.69</v>
      </c>
      <c r="L35" s="56" t="n">
        <f aca="false">F35-(I35-W35)</f>
        <v>-31.3017973279557</v>
      </c>
      <c r="M35" s="56" t="n">
        <v>240</v>
      </c>
      <c r="N35" s="56" t="n">
        <v>35.2</v>
      </c>
      <c r="O35" s="56" t="n">
        <f aca="false">M35-N35</f>
        <v>204.8</v>
      </c>
      <c r="P35" s="56" t="n">
        <v>203</v>
      </c>
      <c r="Q35" s="56" t="n">
        <v>87</v>
      </c>
      <c r="R35" s="56" t="n">
        <f aca="false">SUM(O35:Q35)</f>
        <v>494.8</v>
      </c>
      <c r="S35" s="57" t="n">
        <f aca="false">(I35-R35)+S34</f>
        <v>13978.5090809176</v>
      </c>
      <c r="T35" s="56" t="n">
        <v>188</v>
      </c>
      <c r="U35" s="56" t="n">
        <v>124</v>
      </c>
      <c r="V35" s="57" t="n">
        <f aca="false">V34-U35</f>
        <v>15114.6188706831</v>
      </c>
      <c r="W35" s="56" t="n">
        <f aca="false">R35+T35+N35+U35</f>
        <v>842</v>
      </c>
      <c r="X35" s="56" t="n">
        <f aca="false">IF(L35&lt;0,L35*-1,0)</f>
        <v>31.3017973279557</v>
      </c>
      <c r="Y35" s="56" t="n">
        <f aca="false">W35+X35</f>
        <v>873.301797327956</v>
      </c>
      <c r="Z35" s="60" t="n">
        <v>0.04</v>
      </c>
      <c r="AA35" s="61" t="n">
        <v>84</v>
      </c>
      <c r="AB35" s="61" t="n">
        <v>58</v>
      </c>
      <c r="AC35" s="62" t="n">
        <f aca="false">AC34+1</f>
        <v>26</v>
      </c>
      <c r="AD35" s="78"/>
      <c r="AE35" s="78"/>
      <c r="AF35" s="78"/>
    </row>
    <row r="36" customFormat="false" ht="11.1" hidden="false" customHeight="true" outlineLevel="0" collapsed="false">
      <c r="A36" s="62" t="n">
        <f aca="false">A35+1</f>
        <v>27</v>
      </c>
      <c r="B36" s="80" t="n">
        <v>6917.11</v>
      </c>
      <c r="C36" s="57" t="n">
        <v>351220</v>
      </c>
      <c r="D36" s="61" t="n">
        <f aca="false">C36-C35</f>
        <v>-891</v>
      </c>
      <c r="E36" s="57" t="n">
        <f aca="false">C36-152000</f>
        <v>199220</v>
      </c>
      <c r="F36" s="56" t="n">
        <f aca="false">D36/$D$2</f>
        <v>-449.205949079909</v>
      </c>
      <c r="G36" s="56" t="n">
        <v>268</v>
      </c>
      <c r="H36" s="58" t="n">
        <v>1.3</v>
      </c>
      <c r="I36" s="56" t="n">
        <f aca="false">G36+H36</f>
        <v>269.3</v>
      </c>
      <c r="J36" s="81" t="n">
        <f aca="false">IF(L36&gt;0,L36,0)</f>
        <v>57.4940509200907</v>
      </c>
      <c r="K36" s="56" t="n">
        <f aca="false">I36+J36</f>
        <v>326.794050920091</v>
      </c>
      <c r="L36" s="56" t="n">
        <f aca="false">F36-(I36-W36)</f>
        <v>57.4940509200907</v>
      </c>
      <c r="M36" s="56" t="n">
        <v>212</v>
      </c>
      <c r="N36" s="56" t="n">
        <v>30.9</v>
      </c>
      <c r="O36" s="56" t="n">
        <f aca="false">M36-N36</f>
        <v>181.1</v>
      </c>
      <c r="P36" s="56" t="n">
        <v>203</v>
      </c>
      <c r="Q36" s="56" t="n">
        <v>87</v>
      </c>
      <c r="R36" s="56" t="n">
        <f aca="false">SUM(O36:Q36)</f>
        <v>471.1</v>
      </c>
      <c r="S36" s="57" t="n">
        <f aca="false">(I36-R36)+S35</f>
        <v>13776.7090809176</v>
      </c>
      <c r="T36" s="56" t="n">
        <v>150</v>
      </c>
      <c r="U36" s="56" t="n">
        <v>124</v>
      </c>
      <c r="V36" s="57" t="n">
        <f aca="false">V35-U36</f>
        <v>14990.6188706831</v>
      </c>
      <c r="W36" s="56" t="n">
        <f aca="false">R36+T36+N36+U36</f>
        <v>776</v>
      </c>
      <c r="X36" s="56" t="n">
        <f aca="false">IF(L36&lt;0,L36*-1,0)</f>
        <v>0</v>
      </c>
      <c r="Y36" s="56" t="n">
        <f aca="false">W36+X36</f>
        <v>776</v>
      </c>
      <c r="Z36" s="60" t="n">
        <v>0.1</v>
      </c>
      <c r="AA36" s="61" t="n">
        <v>85</v>
      </c>
      <c r="AB36" s="61" t="n">
        <v>56</v>
      </c>
      <c r="AC36" s="62" t="n">
        <f aca="false">AC35+1</f>
        <v>27</v>
      </c>
      <c r="AD36" s="78"/>
      <c r="AE36" s="78"/>
      <c r="AF36" s="78"/>
    </row>
    <row r="37" customFormat="false" ht="11.1" hidden="false" customHeight="true" outlineLevel="0" collapsed="false">
      <c r="A37" s="62" t="n">
        <f aca="false">A36+1</f>
        <v>28</v>
      </c>
      <c r="B37" s="80" t="n">
        <v>6916.96</v>
      </c>
      <c r="C37" s="57" t="n">
        <v>350585</v>
      </c>
      <c r="D37" s="61" t="n">
        <f aca="false">C37-C36</f>
        <v>-635</v>
      </c>
      <c r="E37" s="57" t="n">
        <f aca="false">C37-152000</f>
        <v>198585</v>
      </c>
      <c r="F37" s="56" t="n">
        <f aca="false">D37/$D$2</f>
        <v>-320.141164608016</v>
      </c>
      <c r="G37" s="56" t="n">
        <v>403</v>
      </c>
      <c r="H37" s="58" t="n">
        <v>1.5</v>
      </c>
      <c r="I37" s="56" t="n">
        <f aca="false">G37+H37</f>
        <v>404.5</v>
      </c>
      <c r="J37" s="81" t="n">
        <f aca="false">IF(L37&gt;0,L37,0)</f>
        <v>0</v>
      </c>
      <c r="K37" s="56" t="n">
        <f aca="false">I37+J37</f>
        <v>404.5</v>
      </c>
      <c r="L37" s="56" t="n">
        <f aca="false">F37-(I37-W37)</f>
        <v>-2.64116460801614</v>
      </c>
      <c r="M37" s="56" t="n">
        <v>206</v>
      </c>
      <c r="N37" s="56" t="n">
        <v>25.1</v>
      </c>
      <c r="O37" s="56" t="n">
        <f aca="false">M37-N37</f>
        <v>180.9</v>
      </c>
      <c r="P37" s="56" t="n">
        <v>203</v>
      </c>
      <c r="Q37" s="56" t="n">
        <v>87</v>
      </c>
      <c r="R37" s="56" t="n">
        <f aca="false">SUM(O37:Q37)</f>
        <v>470.9</v>
      </c>
      <c r="S37" s="57" t="n">
        <f aca="false">(I37-R37)+S36</f>
        <v>13710.3090809176</v>
      </c>
      <c r="T37" s="56" t="n">
        <v>103</v>
      </c>
      <c r="U37" s="56" t="n">
        <v>123</v>
      </c>
      <c r="V37" s="57" t="n">
        <f aca="false">V36-U37</f>
        <v>14867.6188706831</v>
      </c>
      <c r="W37" s="56" t="n">
        <f aca="false">R37+T37+N37+U37</f>
        <v>722</v>
      </c>
      <c r="X37" s="56" t="n">
        <f aca="false">IF(L37&lt;0,L37*-1,0)</f>
        <v>2.64116460801614</v>
      </c>
      <c r="Y37" s="56" t="n">
        <f aca="false">W37+X37</f>
        <v>724.641164608016</v>
      </c>
      <c r="Z37" s="60" t="n">
        <v>0.32</v>
      </c>
      <c r="AA37" s="61" t="n">
        <v>71</v>
      </c>
      <c r="AB37" s="61" t="n">
        <v>58</v>
      </c>
      <c r="AC37" s="62" t="n">
        <f aca="false">AC36+1</f>
        <v>28</v>
      </c>
      <c r="AD37" s="78"/>
      <c r="AE37" s="78"/>
      <c r="AF37" s="78"/>
    </row>
    <row r="38" customFormat="false" ht="11.1" hidden="false" customHeight="true" outlineLevel="0" collapsed="false">
      <c r="A38" s="62" t="n">
        <f aca="false">A37+1</f>
        <v>29</v>
      </c>
      <c r="B38" s="80" t="n">
        <v>6916.89</v>
      </c>
      <c r="C38" s="57" t="n">
        <v>350291</v>
      </c>
      <c r="D38" s="61" t="n">
        <f aca="false">C38-C37</f>
        <v>-294</v>
      </c>
      <c r="E38" s="57" t="n">
        <f aca="false">C38-152000</f>
        <v>198291</v>
      </c>
      <c r="F38" s="56" t="n">
        <f aca="false">D38/$D$2</f>
        <v>-148.22283841694</v>
      </c>
      <c r="G38" s="56" t="n">
        <v>491</v>
      </c>
      <c r="H38" s="58" t="n">
        <v>1.5</v>
      </c>
      <c r="I38" s="56" t="n">
        <f aca="false">G38+H38</f>
        <v>492.5</v>
      </c>
      <c r="J38" s="81" t="n">
        <f aca="false">IF(L38&gt;0,L38,0)</f>
        <v>97.2771615830603</v>
      </c>
      <c r="K38" s="56" t="n">
        <f aca="false">I38+J38</f>
        <v>589.77716158306</v>
      </c>
      <c r="L38" s="56" t="n">
        <f aca="false">F38-(I38-W38)</f>
        <v>97.2771615830603</v>
      </c>
      <c r="M38" s="56" t="n">
        <v>258</v>
      </c>
      <c r="N38" s="56" t="n">
        <v>0</v>
      </c>
      <c r="O38" s="56" t="n">
        <f aca="false">M38-N38</f>
        <v>258</v>
      </c>
      <c r="P38" s="56" t="n">
        <v>203</v>
      </c>
      <c r="Q38" s="56" t="n">
        <v>83</v>
      </c>
      <c r="R38" s="56" t="n">
        <f aca="false">SUM(O38:Q38)</f>
        <v>544</v>
      </c>
      <c r="S38" s="57" t="n">
        <f aca="false">(I38-R38)+S37</f>
        <v>13658.8090809176</v>
      </c>
      <c r="T38" s="56" t="n">
        <v>72</v>
      </c>
      <c r="U38" s="56" t="n">
        <v>122</v>
      </c>
      <c r="V38" s="57" t="n">
        <f aca="false">V37-U38</f>
        <v>14745.6188706831</v>
      </c>
      <c r="W38" s="56" t="n">
        <f aca="false">R38+T38+N38+U38</f>
        <v>738</v>
      </c>
      <c r="X38" s="56" t="n">
        <f aca="false">IF(L38&lt;0,L38*-1,0)</f>
        <v>0</v>
      </c>
      <c r="Y38" s="56" t="n">
        <f aca="false">W38+X38</f>
        <v>738</v>
      </c>
      <c r="Z38" s="60" t="n">
        <v>0.02</v>
      </c>
      <c r="AA38" s="90" t="n">
        <v>73</v>
      </c>
      <c r="AB38" s="61" t="n">
        <v>55</v>
      </c>
      <c r="AC38" s="62" t="n">
        <f aca="false">AC37+1</f>
        <v>29</v>
      </c>
      <c r="AD38" s="78"/>
      <c r="AE38" s="82"/>
      <c r="AF38" s="79"/>
    </row>
    <row r="39" customFormat="false" ht="11.1" hidden="false" customHeight="true" outlineLevel="0" collapsed="false">
      <c r="A39" s="62" t="n">
        <v>30</v>
      </c>
      <c r="B39" s="80" t="n">
        <v>6916.86</v>
      </c>
      <c r="C39" s="57" t="n">
        <v>350165</v>
      </c>
      <c r="D39" s="61" t="n">
        <f aca="false">C39-C38</f>
        <v>-126</v>
      </c>
      <c r="E39" s="57" t="n">
        <f aca="false">C39-152000</f>
        <v>198165</v>
      </c>
      <c r="F39" s="56" t="n">
        <f aca="false">D39/$D$2</f>
        <v>-63.5240736072599</v>
      </c>
      <c r="G39" s="56" t="n">
        <v>616</v>
      </c>
      <c r="H39" s="58" t="n">
        <v>1.7</v>
      </c>
      <c r="I39" s="56" t="n">
        <f aca="false">G39+H39</f>
        <v>617.7</v>
      </c>
      <c r="J39" s="81" t="n">
        <f aca="false">IF(L39&gt;0,L39,0)</f>
        <v>82.7759263927401</v>
      </c>
      <c r="K39" s="56" t="n">
        <f aca="false">I39+J39</f>
        <v>700.47592639274</v>
      </c>
      <c r="L39" s="56" t="n">
        <f aca="false">F39-(I39-W39)</f>
        <v>82.7759263927401</v>
      </c>
      <c r="M39" s="56" t="n">
        <v>279</v>
      </c>
      <c r="N39" s="56" t="n">
        <v>17.8</v>
      </c>
      <c r="O39" s="56" t="n">
        <f aca="false">M39-N39</f>
        <v>261.2</v>
      </c>
      <c r="P39" s="56" t="n">
        <v>203</v>
      </c>
      <c r="Q39" s="56" t="n">
        <v>80</v>
      </c>
      <c r="R39" s="56" t="n">
        <f aca="false">SUM(O39:Q39)</f>
        <v>544.2</v>
      </c>
      <c r="S39" s="57" t="n">
        <f aca="false">(I39-R39)+S38</f>
        <v>13732.3090809176</v>
      </c>
      <c r="T39" s="56" t="n">
        <v>81</v>
      </c>
      <c r="U39" s="56" t="n">
        <v>121</v>
      </c>
      <c r="V39" s="57" t="n">
        <f aca="false">V38-U39</f>
        <v>14624.6188706831</v>
      </c>
      <c r="W39" s="56" t="n">
        <f aca="false">R39+T39+N39+U39</f>
        <v>764</v>
      </c>
      <c r="X39" s="56" t="n">
        <f aca="false">IF(L39&lt;0,L39*-1,0)</f>
        <v>0</v>
      </c>
      <c r="Y39" s="56" t="n">
        <f aca="false">W39+X39</f>
        <v>764</v>
      </c>
      <c r="Z39" s="60" t="n">
        <v>0.62</v>
      </c>
      <c r="AA39" s="90" t="n">
        <v>65</v>
      </c>
      <c r="AB39" s="61" t="n">
        <v>56</v>
      </c>
      <c r="AC39" s="62" t="n">
        <v>30</v>
      </c>
      <c r="AD39" s="78"/>
      <c r="AE39" s="82"/>
      <c r="AF39" s="79"/>
    </row>
    <row r="40" customFormat="false" ht="11.1" hidden="false" customHeight="true" outlineLevel="0" collapsed="false">
      <c r="A40" s="62" t="n">
        <v>31</v>
      </c>
      <c r="B40" s="80" t="n">
        <v>6917.01</v>
      </c>
      <c r="C40" s="57" t="n">
        <v>350796</v>
      </c>
      <c r="D40" s="61" t="n">
        <f aca="false">C40-C39</f>
        <v>631</v>
      </c>
      <c r="E40" s="57" t="n">
        <f aca="false">C40-152000</f>
        <v>198796</v>
      </c>
      <c r="F40" s="56" t="n">
        <f aca="false">D40/$D$2</f>
        <v>318.124527350643</v>
      </c>
      <c r="G40" s="56" t="n">
        <v>908</v>
      </c>
      <c r="H40" s="58" t="n">
        <v>1.5</v>
      </c>
      <c r="I40" s="56" t="n">
        <f aca="false">G40+H40</f>
        <v>909.5</v>
      </c>
      <c r="J40" s="81" t="n">
        <f aca="false">IF(L40&gt;0,L40,0)</f>
        <v>0</v>
      </c>
      <c r="K40" s="56" t="n">
        <f aca="false">I40+J40</f>
        <v>909.5</v>
      </c>
      <c r="L40" s="56" t="n">
        <f aca="false">F40-(I40-W40)</f>
        <v>-13.3754726493572</v>
      </c>
      <c r="M40" s="56" t="n">
        <v>146</v>
      </c>
      <c r="N40" s="56" t="n">
        <v>28.8</v>
      </c>
      <c r="O40" s="56" t="n">
        <f aca="false">M40-N40</f>
        <v>117.2</v>
      </c>
      <c r="P40" s="56" t="n">
        <v>204</v>
      </c>
      <c r="Q40" s="56" t="n">
        <v>77</v>
      </c>
      <c r="R40" s="56" t="n">
        <f aca="false">SUM(O40:Q40)</f>
        <v>398.2</v>
      </c>
      <c r="S40" s="57" t="n">
        <f aca="false">(I40-R40)+S39</f>
        <v>14243.6090809176</v>
      </c>
      <c r="T40" s="56" t="n">
        <v>30</v>
      </c>
      <c r="U40" s="56" t="n">
        <v>121</v>
      </c>
      <c r="V40" s="57" t="n">
        <f aca="false">V39-U40</f>
        <v>14503.6188706831</v>
      </c>
      <c r="W40" s="56" t="n">
        <f aca="false">R40+T40+N40+U40</f>
        <v>578</v>
      </c>
      <c r="X40" s="56" t="n">
        <f aca="false">IF(L40&lt;0,L40*-1,0)</f>
        <v>13.3754726493572</v>
      </c>
      <c r="Y40" s="56" t="n">
        <f aca="false">W40+X40</f>
        <v>591.375472649357</v>
      </c>
      <c r="Z40" s="60" t="n">
        <v>0.01</v>
      </c>
      <c r="AA40" s="90" t="n">
        <v>83</v>
      </c>
      <c r="AB40" s="61" t="n">
        <v>56</v>
      </c>
      <c r="AC40" s="62" t="n">
        <v>31</v>
      </c>
      <c r="AD40" s="78"/>
      <c r="AE40" s="78"/>
      <c r="AF40" s="79"/>
    </row>
    <row r="41" customFormat="false" ht="3" hidden="false" customHeight="true" outlineLevel="0" collapsed="false">
      <c r="A41" s="83"/>
      <c r="B41" s="83"/>
      <c r="C41" s="85"/>
      <c r="D41" s="83"/>
      <c r="E41" s="85"/>
      <c r="F41" s="83"/>
      <c r="G41" s="83"/>
      <c r="H41" s="86"/>
      <c r="I41" s="83"/>
      <c r="J41" s="83"/>
      <c r="K41" s="83"/>
      <c r="L41" s="83"/>
      <c r="M41" s="83"/>
      <c r="N41" s="83"/>
      <c r="O41" s="83"/>
      <c r="P41" s="83"/>
      <c r="Q41" s="83"/>
      <c r="R41" s="83"/>
      <c r="S41" s="85"/>
      <c r="T41" s="83"/>
      <c r="U41" s="83"/>
      <c r="V41" s="83"/>
      <c r="W41" s="83"/>
      <c r="X41" s="83"/>
      <c r="Y41" s="83"/>
      <c r="Z41" s="87"/>
      <c r="AA41" s="88" t="n">
        <v>73</v>
      </c>
      <c r="AB41" s="88"/>
      <c r="AC41" s="89"/>
      <c r="AD41" s="78"/>
      <c r="AE41" s="78"/>
      <c r="AF41" s="79"/>
    </row>
    <row r="42" customFormat="false" ht="11.1" hidden="false" customHeight="true" outlineLevel="0" collapsed="false">
      <c r="A42" s="56" t="s">
        <v>45</v>
      </c>
      <c r="B42" s="56"/>
      <c r="C42" s="57"/>
      <c r="D42" s="57"/>
      <c r="E42" s="57"/>
      <c r="F42" s="57" t="n">
        <f aca="false">SUM(F10:F40)</f>
        <v>-14859.5916309554</v>
      </c>
      <c r="G42" s="57" t="n">
        <f aca="false">SUM(G10:G40)</f>
        <v>13926</v>
      </c>
      <c r="H42" s="57" t="n">
        <f aca="false">SUM(H10:H40)</f>
        <v>17.39</v>
      </c>
      <c r="I42" s="57" t="n">
        <f aca="false">SUM(I10:I40)</f>
        <v>13943.39</v>
      </c>
      <c r="J42" s="57" t="n">
        <f aca="false">SUM(J10:J40)</f>
        <v>447.288462314091</v>
      </c>
      <c r="K42" s="57" t="n">
        <f aca="false">SUM(K10:K40)</f>
        <v>14390.6784623141</v>
      </c>
      <c r="L42" s="57" t="n">
        <f aca="false">SUM(L10:L40)</f>
        <v>-505.531630955381</v>
      </c>
      <c r="M42" s="57" t="n">
        <f aca="false">SUM(M10:M40)</f>
        <v>8401</v>
      </c>
      <c r="N42" s="57" t="n">
        <f aca="false">SUM(N10:N40)</f>
        <v>1450.4165</v>
      </c>
      <c r="O42" s="57" t="n">
        <f aca="false">SUM(O10:O40)</f>
        <v>6950.5835</v>
      </c>
      <c r="P42" s="57" t="n">
        <f aca="false">SUM(P10:P40)</f>
        <v>6234</v>
      </c>
      <c r="Q42" s="57" t="n">
        <f aca="false">SUM(Q10:Q40)</f>
        <v>2578</v>
      </c>
      <c r="R42" s="57" t="n">
        <f aca="false">SUM(R10:R40)</f>
        <v>15762.5835</v>
      </c>
      <c r="S42" s="57"/>
      <c r="T42" s="57" t="n">
        <f aca="false">SUM(T10:T40)</f>
        <v>7166.45</v>
      </c>
      <c r="U42" s="57" t="n">
        <f aca="false">SUM(U10:U40)</f>
        <v>3918</v>
      </c>
      <c r="V42" s="57" t="n">
        <f aca="false">V40</f>
        <v>14503.6188706831</v>
      </c>
      <c r="W42" s="57" t="n">
        <f aca="false">SUM(W10:W40)</f>
        <v>28297.45</v>
      </c>
      <c r="X42" s="57" t="n">
        <f aca="false">SUM(X10:X40)</f>
        <v>952.820093269473</v>
      </c>
      <c r="Y42" s="57" t="n">
        <f aca="false">SUM(Y10:Y40)</f>
        <v>29250.2700932695</v>
      </c>
      <c r="Z42" s="60" t="n">
        <f aca="false">SUM(Z10:Z40)</f>
        <v>1.57</v>
      </c>
      <c r="AA42" s="61" t="n">
        <f aca="false">AVERAGE(AA10:AA40)</f>
        <v>86.4193548387097</v>
      </c>
      <c r="AB42" s="61" t="n">
        <f aca="false">AVERAGE(AB10:AB40)</f>
        <v>54.8387096774194</v>
      </c>
      <c r="AC42" s="62"/>
      <c r="AD42" s="78"/>
      <c r="AE42" s="78"/>
      <c r="AF42" s="79"/>
    </row>
    <row r="43" customFormat="false" ht="11.1" hidden="false" customHeight="true" outlineLevel="0" collapsed="false">
      <c r="A43" s="56" t="s">
        <v>46</v>
      </c>
      <c r="B43" s="56"/>
      <c r="C43" s="57"/>
      <c r="D43" s="57" t="n">
        <f aca="false">SUM(D10:D40)</f>
        <v>-29474</v>
      </c>
      <c r="E43" s="57"/>
      <c r="F43" s="57" t="n">
        <f aca="false">F42*$D$2</f>
        <v>-29474</v>
      </c>
      <c r="G43" s="57" t="n">
        <f aca="false">G42*$D$2</f>
        <v>27622.221</v>
      </c>
      <c r="H43" s="57" t="n">
        <f aca="false">H42*$D$2</f>
        <v>34.493065</v>
      </c>
      <c r="I43" s="57" t="n">
        <f aca="false">I42*$D$2</f>
        <v>27656.714065</v>
      </c>
      <c r="J43" s="57" t="n">
        <f aca="false">J42*$D$2</f>
        <v>887.196665</v>
      </c>
      <c r="K43" s="57" t="n">
        <f aca="false">K42*$D$2</f>
        <v>28543.91073</v>
      </c>
      <c r="L43" s="57" t="n">
        <f aca="false">L42*$D$2</f>
        <v>-1002.72199</v>
      </c>
      <c r="M43" s="57" t="n">
        <f aca="false">M42*$D$2</f>
        <v>16663.3835</v>
      </c>
      <c r="N43" s="57" t="n">
        <f aca="false">N42*$D$2</f>
        <v>2876.90112775</v>
      </c>
      <c r="O43" s="57" t="n">
        <f aca="false">O42*$D$2</f>
        <v>13786.48237225</v>
      </c>
      <c r="P43" s="57" t="n">
        <f aca="false">P42*$D$2</f>
        <v>12365.139</v>
      </c>
      <c r="Q43" s="57" t="n">
        <f aca="false">Q42*$D$2</f>
        <v>5113.463</v>
      </c>
      <c r="R43" s="57" t="n">
        <f aca="false">R42*$D$2</f>
        <v>31265.08437225</v>
      </c>
      <c r="S43" s="57"/>
      <c r="T43" s="57" t="n">
        <f aca="false">T42*$D$2</f>
        <v>14214.653575</v>
      </c>
      <c r="U43" s="57" t="n">
        <f aca="false">U42*$D$2</f>
        <v>7771.353</v>
      </c>
      <c r="V43" s="57" t="n">
        <f aca="false">V42*$D$2</f>
        <v>28767.92803</v>
      </c>
      <c r="W43" s="57" t="n">
        <f aca="false">W42*$D$2</f>
        <v>56127.992075</v>
      </c>
      <c r="X43" s="57" t="n">
        <f aca="false">X42*$D$2</f>
        <v>1889.918655</v>
      </c>
      <c r="Y43" s="57" t="n">
        <f aca="false">Y42*$D$2</f>
        <v>58017.91073</v>
      </c>
      <c r="Z43" s="60"/>
      <c r="AA43" s="61" t="n">
        <f aca="false">MAX(AA10:AA40)</f>
        <v>98</v>
      </c>
      <c r="AB43" s="61" t="n">
        <f aca="false">MAX(AB10:AB40)</f>
        <v>58</v>
      </c>
      <c r="AC43" s="62" t="s">
        <v>47</v>
      </c>
      <c r="AD43" s="78"/>
      <c r="AE43" s="78"/>
      <c r="AF43" s="79"/>
    </row>
    <row r="44" customFormat="false" ht="3" hidden="false" customHeight="true" outlineLevel="0" collapsed="false">
      <c r="A44" s="83"/>
      <c r="B44" s="83"/>
      <c r="C44" s="85"/>
      <c r="D44" s="85"/>
      <c r="E44" s="85"/>
      <c r="F44" s="85"/>
      <c r="G44" s="85"/>
      <c r="H44" s="85"/>
      <c r="I44" s="85"/>
      <c r="J44" s="85"/>
      <c r="K44" s="85"/>
      <c r="L44" s="85"/>
      <c r="M44" s="85"/>
      <c r="N44" s="85"/>
      <c r="O44" s="85"/>
      <c r="P44" s="85"/>
      <c r="Q44" s="85"/>
      <c r="R44" s="85"/>
      <c r="S44" s="85"/>
      <c r="T44" s="85"/>
      <c r="U44" s="85"/>
      <c r="V44" s="83"/>
      <c r="W44" s="85"/>
      <c r="X44" s="85"/>
      <c r="Y44" s="85"/>
      <c r="Z44" s="60"/>
      <c r="AA44" s="61"/>
      <c r="AB44" s="61"/>
      <c r="AC44" s="62"/>
      <c r="AD44" s="78"/>
      <c r="AE44" s="78"/>
      <c r="AF44" s="79"/>
    </row>
    <row r="45" customFormat="false" ht="11.1" hidden="false" customHeight="true" outlineLevel="0" collapsed="false">
      <c r="A45" s="56" t="s">
        <v>48</v>
      </c>
      <c r="B45" s="56"/>
      <c r="C45" s="57"/>
      <c r="D45" s="57"/>
      <c r="E45" s="57"/>
      <c r="F45" s="57" t="n">
        <f aca="false">F7+F42</f>
        <v>12966.9775649105</v>
      </c>
      <c r="G45" s="57" t="n">
        <f aca="false">G7+G42</f>
        <v>186262</v>
      </c>
      <c r="H45" s="57" t="n">
        <f aca="false">H7+H42</f>
        <v>10267.17</v>
      </c>
      <c r="I45" s="57" t="n">
        <f aca="false">I7+I42</f>
        <v>196529.17</v>
      </c>
      <c r="J45" s="57" t="n">
        <f aca="false">J7+J42</f>
        <v>34280.8524224855</v>
      </c>
      <c r="K45" s="57" t="n">
        <f aca="false">K7+K42</f>
        <v>230810.022422486</v>
      </c>
      <c r="L45" s="57" t="n">
        <f aca="false">L7+L42</f>
        <v>32973.5275649105</v>
      </c>
      <c r="M45" s="57" t="n">
        <f aca="false">M7+M42</f>
        <v>24360.6</v>
      </c>
      <c r="N45" s="57" t="n">
        <f aca="false">N7+N42</f>
        <v>4627.202</v>
      </c>
      <c r="O45" s="57" t="n">
        <f aca="false">O7+O42</f>
        <v>19733.398</v>
      </c>
      <c r="P45" s="57" t="n">
        <f aca="false">P7+P42</f>
        <v>13577.97</v>
      </c>
      <c r="Q45" s="57" t="n">
        <f aca="false">Q7+Q42</f>
        <v>6417.15</v>
      </c>
      <c r="R45" s="57" t="n">
        <f aca="false">R7+R42</f>
        <v>39728.518</v>
      </c>
      <c r="S45" s="57" t="n">
        <f aca="false">S40</f>
        <v>14243.6090809176</v>
      </c>
      <c r="T45" s="57" t="n">
        <f aca="false">T7+T42</f>
        <v>12419.1</v>
      </c>
      <c r="U45" s="57" t="n">
        <f aca="false">U7+U42</f>
        <v>159760.9</v>
      </c>
      <c r="V45" s="57" t="n">
        <f aca="false">V7+V42</f>
        <v>14503.6188706831</v>
      </c>
      <c r="W45" s="57" t="n">
        <f aca="false">W7+W42</f>
        <v>216535.72</v>
      </c>
      <c r="X45" s="57" t="n">
        <f aca="false">X7+X42</f>
        <v>1307.32485757499</v>
      </c>
      <c r="Y45" s="57" t="n">
        <f aca="false">Y7+Y42</f>
        <v>217843.044857575</v>
      </c>
      <c r="Z45" s="60"/>
      <c r="AA45" s="61" t="n">
        <f aca="false">MIN(AA10:AA40)</f>
        <v>65</v>
      </c>
      <c r="AB45" s="61" t="n">
        <f aca="false">MIN(AB10:AB40)</f>
        <v>44</v>
      </c>
      <c r="AC45" s="62" t="s">
        <v>49</v>
      </c>
      <c r="AD45" s="78"/>
      <c r="AE45" s="78"/>
      <c r="AF45" s="79"/>
    </row>
    <row r="46" customFormat="false" ht="11.1" hidden="false" customHeight="true" outlineLevel="0" collapsed="false">
      <c r="A46" s="56" t="s">
        <v>50</v>
      </c>
      <c r="B46" s="56"/>
      <c r="C46" s="57"/>
      <c r="D46" s="57"/>
      <c r="E46" s="57"/>
      <c r="F46" s="57" t="n">
        <f aca="false">F45*$D$2</f>
        <v>25720</v>
      </c>
      <c r="G46" s="57" t="n">
        <f aca="false">G45*$D$2</f>
        <v>369450.677</v>
      </c>
      <c r="H46" s="57" t="n">
        <f aca="false">H45*$D$2</f>
        <v>20364.931695</v>
      </c>
      <c r="I46" s="57" t="n">
        <f aca="false">I45*$D$2</f>
        <v>389815.608695</v>
      </c>
      <c r="J46" s="57" t="n">
        <f aca="false">J45*$D$2</f>
        <v>67996.07078</v>
      </c>
      <c r="K46" s="57" t="n">
        <f aca="false">K45*$D$2</f>
        <v>457811.679475</v>
      </c>
      <c r="L46" s="57" t="n">
        <f aca="false">L45*$D$2</f>
        <v>65402.991925</v>
      </c>
      <c r="M46" s="57" t="n">
        <f aca="false">M45*$D$2</f>
        <v>48319.2501</v>
      </c>
      <c r="N46" s="57" t="n">
        <f aca="false">N45*$D$2</f>
        <v>9178.055167</v>
      </c>
      <c r="O46" s="57" t="n">
        <f aca="false">O45*$D$2</f>
        <v>39141.194933</v>
      </c>
      <c r="P46" s="57" t="n">
        <f aca="false">P45*$D$2</f>
        <v>26931.903495</v>
      </c>
      <c r="Q46" s="57" t="n">
        <f aca="false">Q45*$D$2</f>
        <v>12728.417025</v>
      </c>
      <c r="R46" s="57" t="n">
        <f aca="false">R45*$D$2</f>
        <v>78801.515453</v>
      </c>
      <c r="S46" s="57" t="n">
        <f aca="false">S45*$D$2</f>
        <v>28252.198612</v>
      </c>
      <c r="T46" s="57" t="n">
        <f aca="false">T45*$D$2</f>
        <v>24633.28485</v>
      </c>
      <c r="U46" s="57" t="n">
        <f aca="false">U45*$D$2</f>
        <v>316885.74515</v>
      </c>
      <c r="V46" s="57" t="n">
        <f aca="false">V45*$D$2</f>
        <v>28767.92803</v>
      </c>
      <c r="W46" s="57" t="n">
        <f aca="false">W45*$D$2</f>
        <v>429498.60062</v>
      </c>
      <c r="X46" s="57" t="n">
        <f aca="false">X45*$D$2</f>
        <v>2593.078855</v>
      </c>
      <c r="Y46" s="57" t="n">
        <f aca="false">Y45*$D$2</f>
        <v>432091.679475</v>
      </c>
      <c r="Z46" s="60"/>
      <c r="AA46" s="61"/>
      <c r="AB46" s="61"/>
      <c r="AC46" s="62"/>
      <c r="AD46" s="78"/>
      <c r="AE46" s="78"/>
      <c r="AF46" s="79"/>
    </row>
    <row r="47" customFormat="false" ht="3" hidden="false" customHeight="true" outlineLevel="0" collapsed="false">
      <c r="A47" s="83"/>
      <c r="B47" s="83"/>
      <c r="C47" s="85"/>
      <c r="D47" s="85"/>
      <c r="E47" s="85"/>
      <c r="F47" s="85"/>
      <c r="G47" s="85"/>
      <c r="H47" s="88"/>
      <c r="I47" s="85"/>
      <c r="J47" s="85"/>
      <c r="K47" s="85"/>
      <c r="L47" s="85"/>
      <c r="M47" s="85"/>
      <c r="N47" s="85"/>
      <c r="O47" s="85"/>
      <c r="P47" s="85"/>
      <c r="Q47" s="85"/>
      <c r="R47" s="85"/>
      <c r="S47" s="85"/>
      <c r="T47" s="85"/>
      <c r="U47" s="85"/>
      <c r="V47" s="85"/>
      <c r="W47" s="85"/>
      <c r="X47" s="85"/>
      <c r="Y47" s="85"/>
      <c r="Z47" s="87"/>
      <c r="AA47" s="61"/>
      <c r="AB47" s="61"/>
      <c r="AC47" s="62"/>
      <c r="AD47" s="78"/>
      <c r="AE47" s="78"/>
      <c r="AF47" s="79"/>
    </row>
    <row r="48" customFormat="false" ht="11.1" hidden="false" customHeight="true" outlineLevel="0" collapsed="false">
      <c r="A48" s="56" t="s">
        <v>51</v>
      </c>
      <c r="B48" s="56"/>
      <c r="C48" s="57"/>
      <c r="D48" s="57"/>
      <c r="E48" s="57"/>
      <c r="F48" s="57" t="n">
        <f aca="false">F8+F42</f>
        <v>53096.5465086968</v>
      </c>
      <c r="G48" s="57" t="n">
        <f aca="false">G8+G42</f>
        <v>213446.79</v>
      </c>
      <c r="H48" s="61" t="n">
        <f aca="false">H8+H42</f>
        <v>13826.87</v>
      </c>
      <c r="I48" s="57" t="n">
        <f aca="false">I8+I42</f>
        <v>227072.76</v>
      </c>
      <c r="J48" s="57" t="n">
        <f aca="false">J8+J42</f>
        <v>51029.4685606252</v>
      </c>
      <c r="K48" s="57" t="n">
        <f aca="false">K8+K42</f>
        <v>278102.228560625</v>
      </c>
      <c r="L48" s="57" t="n">
        <f aca="false">L8+L42</f>
        <v>49145.0765086967</v>
      </c>
      <c r="M48" s="57" t="n">
        <f aca="false">M8+M42</f>
        <v>25362.85</v>
      </c>
      <c r="N48" s="57" t="n">
        <f aca="false">N8+N42</f>
        <v>4674.221</v>
      </c>
      <c r="O48" s="57" t="n">
        <f aca="false">O8+O42</f>
        <v>20419.549</v>
      </c>
      <c r="P48" s="57" t="n">
        <f aca="false">P8+P42</f>
        <v>13685.49</v>
      </c>
      <c r="Q48" s="57" t="n">
        <f aca="false">Q8+Q42</f>
        <v>6615.95</v>
      </c>
      <c r="R48" s="57" t="n">
        <f aca="false">R8+R42</f>
        <v>40928.006</v>
      </c>
      <c r="S48" s="57"/>
      <c r="T48" s="57" t="n">
        <f aca="false">T8+T42</f>
        <v>12419.1</v>
      </c>
      <c r="U48" s="57" t="n">
        <f aca="false">U8+U42</f>
        <v>165037.9</v>
      </c>
      <c r="V48" s="57" t="n">
        <f aca="false">V40</f>
        <v>14503.6188706831</v>
      </c>
      <c r="W48" s="57" t="n">
        <f aca="false">W8+W42</f>
        <v>223121.29</v>
      </c>
      <c r="X48" s="57" t="n">
        <f aca="false">X8+X42</f>
        <v>1884.39205192841</v>
      </c>
      <c r="Y48" s="57" t="n">
        <f aca="false">Y8+Y42</f>
        <v>225005.682051928</v>
      </c>
      <c r="Z48" s="81" t="n">
        <f aca="false">Z8+Z42</f>
        <v>14.19</v>
      </c>
      <c r="AA48" s="61"/>
      <c r="AB48" s="61"/>
      <c r="AC48" s="62"/>
      <c r="AD48" s="78"/>
      <c r="AE48" s="78"/>
      <c r="AF48" s="79"/>
    </row>
    <row r="49" customFormat="false" ht="11.1" hidden="false" customHeight="true" outlineLevel="0" collapsed="false">
      <c r="A49" s="56" t="s">
        <v>52</v>
      </c>
      <c r="B49" s="56"/>
      <c r="C49" s="57"/>
      <c r="D49" s="57" t="n">
        <f aca="false">D8+D43</f>
        <v>105317</v>
      </c>
      <c r="E49" s="57" t="n">
        <f aca="false">E40</f>
        <v>198796</v>
      </c>
      <c r="F49" s="57" t="n">
        <f aca="false">F48*$D$2</f>
        <v>105317</v>
      </c>
      <c r="G49" s="57" t="n">
        <f aca="false">G48*$D$2</f>
        <v>423371.707965</v>
      </c>
      <c r="H49" s="61" t="n">
        <f aca="false">H48*$D$2</f>
        <v>27425.596645</v>
      </c>
      <c r="I49" s="57" t="n">
        <f aca="false">I48*$D$2</f>
        <v>450398.81946</v>
      </c>
      <c r="J49" s="57" t="n">
        <f aca="false">J48*$D$2</f>
        <v>101216.95089</v>
      </c>
      <c r="K49" s="57" t="n">
        <f aca="false">K48*$D$2</f>
        <v>551615.77035</v>
      </c>
      <c r="L49" s="57" t="n">
        <f aca="false">L48*$D$2</f>
        <v>97479.259255</v>
      </c>
      <c r="M49" s="57" t="n">
        <f aca="false">M48*$D$2</f>
        <v>50307.212975</v>
      </c>
      <c r="N49" s="57" t="n">
        <f aca="false">N48*$D$2</f>
        <v>9271.3173535</v>
      </c>
      <c r="O49" s="57" t="n">
        <f aca="false">O48*$D$2</f>
        <v>40502.1754415</v>
      </c>
      <c r="P49" s="57" t="n">
        <f aca="false">P48*$D$2</f>
        <v>27145.169415</v>
      </c>
      <c r="Q49" s="57" t="n">
        <f aca="false">Q48*$D$2</f>
        <v>13122.736825</v>
      </c>
      <c r="R49" s="57" t="n">
        <f aca="false">R48*$D$2</f>
        <v>81180.699901</v>
      </c>
      <c r="S49" s="57" t="n">
        <f aca="false">S48*$D$2</f>
        <v>0</v>
      </c>
      <c r="T49" s="57" t="n">
        <f aca="false">T48*$D$2</f>
        <v>24633.28485</v>
      </c>
      <c r="U49" s="57" t="n">
        <f aca="false">U48*$D$2</f>
        <v>327352.67465</v>
      </c>
      <c r="V49" s="57" t="n">
        <f aca="false">V40*$D$2</f>
        <v>28767.92803</v>
      </c>
      <c r="W49" s="57" t="n">
        <f aca="false">W48*$D$2</f>
        <v>442561.078715</v>
      </c>
      <c r="X49" s="57" t="n">
        <f aca="false">X48*$D$2</f>
        <v>3737.691635</v>
      </c>
      <c r="Y49" s="57" t="n">
        <f aca="false">Y48*$D$2</f>
        <v>446298.77035</v>
      </c>
      <c r="Z49" s="60"/>
      <c r="AA49" s="61"/>
      <c r="AB49" s="61"/>
      <c r="AC49" s="62"/>
      <c r="AD49" s="78"/>
      <c r="AE49" s="78"/>
      <c r="AF49" s="79"/>
    </row>
    <row r="50" customFormat="false" ht="3" hidden="false" customHeight="true" outlineLevel="0" collapsed="false">
      <c r="A50" s="83"/>
      <c r="B50" s="83"/>
      <c r="C50" s="85"/>
      <c r="D50" s="83"/>
      <c r="E50" s="85"/>
      <c r="F50" s="83"/>
      <c r="G50" s="83"/>
      <c r="H50" s="86"/>
      <c r="I50" s="83"/>
      <c r="J50" s="83"/>
      <c r="K50" s="83"/>
      <c r="L50" s="83"/>
      <c r="M50" s="83"/>
      <c r="N50" s="83"/>
      <c r="O50" s="83"/>
      <c r="P50" s="83"/>
      <c r="Q50" s="83"/>
      <c r="R50" s="83"/>
      <c r="S50" s="85"/>
      <c r="T50" s="83"/>
      <c r="U50" s="83"/>
      <c r="V50" s="85"/>
      <c r="W50" s="83"/>
      <c r="X50" s="83"/>
      <c r="Y50" s="83"/>
      <c r="Z50" s="60"/>
      <c r="AA50" s="61"/>
      <c r="AB50" s="61"/>
      <c r="AC50" s="62"/>
      <c r="AD50" s="78"/>
      <c r="AE50" s="78"/>
      <c r="AF50" s="79"/>
    </row>
    <row r="51" customFormat="false" ht="11.1" hidden="false" customHeight="true" outlineLevel="0" collapsed="false">
      <c r="A51" s="56" t="str">
        <f aca="false">"AUG / 12TH"</f>
        <v>AUG / 12TH</v>
      </c>
      <c r="B51" s="93"/>
      <c r="C51" s="57"/>
      <c r="D51" s="56"/>
      <c r="E51" s="57"/>
      <c r="F51" s="56"/>
      <c r="G51" s="56"/>
      <c r="H51" s="0"/>
      <c r="I51" s="58" t="s">
        <v>95</v>
      </c>
      <c r="J51" s="56"/>
      <c r="K51" s="57" t="n">
        <v>282600</v>
      </c>
      <c r="L51" s="56"/>
      <c r="M51" s="56"/>
      <c r="N51" s="56"/>
      <c r="O51" s="56"/>
      <c r="P51" s="56"/>
      <c r="Q51" s="56"/>
      <c r="R51" s="56"/>
      <c r="S51" s="57"/>
      <c r="T51" s="56"/>
      <c r="U51" s="56"/>
      <c r="V51" s="57"/>
      <c r="W51" s="56"/>
      <c r="X51" s="56"/>
      <c r="Y51" s="56"/>
      <c r="Z51" s="60"/>
      <c r="AA51" s="61"/>
      <c r="AB51" s="61"/>
      <c r="AC51" s="62"/>
      <c r="AD51" s="63"/>
      <c r="AE51" s="63"/>
    </row>
    <row r="52" customFormat="false" ht="11.1" hidden="false" customHeight="true" outlineLevel="0" collapsed="false">
      <c r="A52" s="56"/>
      <c r="B52" s="80" t="n">
        <v>6900.1</v>
      </c>
      <c r="C52" s="57" t="n">
        <v>283950</v>
      </c>
      <c r="D52" s="90"/>
      <c r="E52" s="57" t="n">
        <f aca="false">C52-152000</f>
        <v>131950</v>
      </c>
      <c r="F52" s="56"/>
      <c r="G52" s="56"/>
      <c r="H52" s="90"/>
      <c r="I52" s="58"/>
      <c r="J52" s="56"/>
      <c r="K52" s="46"/>
      <c r="L52" s="56"/>
      <c r="M52" s="56"/>
      <c r="N52" s="56"/>
      <c r="O52" s="56"/>
      <c r="P52" s="56"/>
      <c r="Q52" s="56"/>
      <c r="R52" s="56"/>
      <c r="S52" s="57"/>
      <c r="T52" s="56"/>
      <c r="U52" s="56"/>
      <c r="V52" s="57"/>
      <c r="W52" s="56"/>
      <c r="X52" s="56"/>
      <c r="Y52" s="56"/>
      <c r="Z52" s="60"/>
      <c r="AA52" s="61"/>
      <c r="AB52" s="61"/>
      <c r="AC52" s="62"/>
      <c r="AD52" s="63"/>
      <c r="AE52" s="63"/>
    </row>
    <row r="53" customFormat="false" ht="11.1" hidden="false" customHeight="true" outlineLevel="0" collapsed="false">
      <c r="A53" s="90" t="str">
        <f aca="false">"7/9/96 thru 8/13/96"</f>
        <v>7/9/96 thru 8/13/96</v>
      </c>
      <c r="B53" s="90"/>
      <c r="C53" s="57"/>
      <c r="D53" s="57"/>
      <c r="E53" s="57"/>
      <c r="F53" s="90"/>
      <c r="G53" s="90"/>
      <c r="H53" s="58"/>
      <c r="I53" s="90" t="s">
        <v>96</v>
      </c>
      <c r="J53" s="90"/>
      <c r="K53" s="46" t="n">
        <f aca="false">K49/K51</f>
        <v>1.95193124681529</v>
      </c>
      <c r="L53" s="90"/>
      <c r="M53" s="81"/>
      <c r="N53" s="81"/>
      <c r="O53" s="81"/>
      <c r="P53" s="90"/>
      <c r="Q53" s="90"/>
      <c r="R53" s="90"/>
      <c r="S53" s="57"/>
      <c r="T53" s="90"/>
      <c r="U53" s="90"/>
      <c r="V53" s="57"/>
      <c r="W53" s="90"/>
      <c r="X53" s="90"/>
      <c r="Y53" s="90"/>
      <c r="Z53" s="60"/>
      <c r="AA53" s="61"/>
      <c r="AB53" s="61"/>
      <c r="AC53" s="62"/>
      <c r="AD53" s="94"/>
      <c r="AE53" s="94"/>
    </row>
    <row r="54" customFormat="false" ht="11.1" hidden="false" customHeight="true" outlineLevel="0" collapsed="false">
      <c r="A54" s="90"/>
      <c r="B54" s="60" t="n">
        <f aca="false">B52-B18</f>
        <v>-22.2699999999995</v>
      </c>
      <c r="C54" s="57"/>
      <c r="D54" s="57" t="n">
        <f aca="false">C52-C18</f>
        <v>-89977</v>
      </c>
      <c r="E54" s="57"/>
      <c r="F54" s="90"/>
      <c r="G54" s="90"/>
      <c r="H54" s="58"/>
      <c r="I54" s="90"/>
      <c r="J54" s="90"/>
      <c r="K54" s="90"/>
      <c r="L54" s="90"/>
      <c r="M54" s="81"/>
      <c r="N54" s="81"/>
      <c r="O54" s="81"/>
      <c r="P54" s="90"/>
      <c r="Q54" s="90"/>
      <c r="R54" s="90"/>
      <c r="S54" s="57"/>
      <c r="T54" s="90"/>
      <c r="U54" s="90"/>
      <c r="V54" s="57"/>
      <c r="W54" s="90"/>
      <c r="X54" s="90"/>
      <c r="Y54" s="90"/>
      <c r="Z54" s="60"/>
      <c r="AA54" s="61"/>
      <c r="AB54" s="61"/>
      <c r="AC54" s="62"/>
      <c r="AD54" s="94"/>
      <c r="AE54" s="94"/>
    </row>
    <row r="55" customFormat="false" ht="11.1" hidden="false" customHeight="true" outlineLevel="0" collapsed="false">
      <c r="A55" s="90"/>
      <c r="B55" s="90"/>
      <c r="C55" s="57"/>
      <c r="D55" s="90"/>
      <c r="E55" s="57"/>
      <c r="F55" s="90"/>
      <c r="G55" s="95"/>
      <c r="H55" s="58"/>
      <c r="I55" s="90"/>
      <c r="J55" s="90"/>
      <c r="K55" s="90"/>
      <c r="L55" s="90"/>
      <c r="M55" s="81"/>
      <c r="N55" s="81"/>
      <c r="O55" s="81"/>
      <c r="P55" s="90"/>
      <c r="Q55" s="90"/>
      <c r="R55" s="90"/>
      <c r="S55" s="57"/>
      <c r="T55" s="90"/>
      <c r="U55" s="90"/>
      <c r="V55" s="57"/>
      <c r="W55" s="90"/>
      <c r="X55" s="90"/>
      <c r="Y55" s="90"/>
      <c r="Z55" s="60"/>
      <c r="AA55" s="61"/>
      <c r="AB55" s="61"/>
      <c r="AC55" s="62"/>
      <c r="AD55" s="94"/>
      <c r="AE55" s="94"/>
    </row>
  </sheetData>
  <mergeCells count="2">
    <mergeCell ref="K2:T2"/>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58"/>
  <sheetViews>
    <sheetView showFormulas="false" showGridLines="true" showRowColHeaders="true" showZeros="true" rightToLeft="false" tabSelected="false" showOutlineSymbols="true" defaultGridColor="true" view="normal" topLeftCell="I2" colorId="64" zoomScale="100" zoomScaleNormal="100" zoomScalePageLayoutView="100" workbookViewId="0">
      <selection pane="topLeft" activeCell="U41" activeCellId="0" sqref="U41"/>
    </sheetView>
  </sheetViews>
  <sheetFormatPr defaultColWidth="9.328125" defaultRowHeight="11.1" zeroHeight="false" outlineLevelRow="0" outlineLevelCol="0"/>
  <cols>
    <col collapsed="false" customWidth="true" hidden="false" outlineLevel="0" max="1" min="1" style="49" width="5.66"/>
    <col collapsed="false" customWidth="false" hidden="false" outlineLevel="0" max="2" min="2" style="49" width="9.32"/>
    <col collapsed="false" customWidth="true" hidden="false" outlineLevel="0" max="3" min="3" style="50" width="7.66"/>
    <col collapsed="false" customWidth="true" hidden="false" outlineLevel="0" max="4" min="4" style="49" width="7.66"/>
    <col collapsed="false" customWidth="true" hidden="false" outlineLevel="0" max="5" min="5" style="50" width="7.66"/>
    <col collapsed="false" customWidth="true" hidden="false" outlineLevel="0" max="7" min="6" style="49" width="7.66"/>
    <col collapsed="false" customWidth="true" hidden="false" outlineLevel="0" max="8" min="8" style="51" width="7.16"/>
    <col collapsed="false" customWidth="true" hidden="false" outlineLevel="0" max="9" min="9" style="49" width="8.82"/>
    <col collapsed="false" customWidth="true" hidden="false" outlineLevel="0" max="11" min="10" style="49" width="7.66"/>
    <col collapsed="false" customWidth="true" hidden="false" outlineLevel="0" max="12" min="12" style="49" width="6.49"/>
    <col collapsed="false" customWidth="true" hidden="false" outlineLevel="0" max="15" min="13" style="52" width="7.49"/>
    <col collapsed="false" customWidth="true" hidden="false" outlineLevel="0" max="16" min="16" style="49" width="7.66"/>
    <col collapsed="false" customWidth="true" hidden="false" outlineLevel="0" max="17" min="17" style="49" width="7.16"/>
    <col collapsed="false" customWidth="true" hidden="false" outlineLevel="0" max="18" min="18" style="49" width="7.66"/>
    <col collapsed="false" customWidth="true" hidden="false" outlineLevel="0" max="19" min="19" style="50" width="7.66"/>
    <col collapsed="false" customWidth="true" hidden="false" outlineLevel="0" max="20" min="20" style="49" width="7.66"/>
    <col collapsed="false" customWidth="true" hidden="false" outlineLevel="0" max="21" min="21" style="49" width="7.49"/>
    <col collapsed="false" customWidth="true" hidden="false" outlineLevel="0" max="22" min="22" style="50" width="6.32"/>
    <col collapsed="false" customWidth="true" hidden="false" outlineLevel="0" max="25" min="23" style="49" width="7.82"/>
    <col collapsed="false" customWidth="true" hidden="false" outlineLevel="0" max="26" min="26" style="53" width="5.66"/>
    <col collapsed="false" customWidth="true" hidden="false" outlineLevel="0" max="28" min="27" style="54" width="5.66"/>
    <col collapsed="false" customWidth="true" hidden="false" outlineLevel="0" max="29" min="29" style="55" width="5.66"/>
    <col collapsed="false" customWidth="false" hidden="false" outlineLevel="0" max="257" min="30" style="49" width="9.32"/>
  </cols>
  <sheetData>
    <row r="1" customFormat="false" ht="14.1" hidden="false" customHeight="true" outlineLevel="0" collapsed="false">
      <c r="A1" s="56"/>
      <c r="B1" s="56"/>
      <c r="C1" s="57"/>
      <c r="D1" s="56"/>
      <c r="E1" s="57"/>
      <c r="F1" s="56"/>
      <c r="G1" s="56"/>
      <c r="H1" s="58"/>
      <c r="I1" s="56"/>
      <c r="J1" s="56"/>
      <c r="K1" s="59" t="s">
        <v>0</v>
      </c>
      <c r="L1" s="56"/>
      <c r="M1" s="56"/>
      <c r="N1" s="56"/>
      <c r="O1" s="56"/>
      <c r="P1" s="56"/>
      <c r="Q1" s="56"/>
      <c r="R1" s="56"/>
      <c r="S1" s="57"/>
      <c r="T1" s="56"/>
      <c r="U1" s="56"/>
      <c r="V1" s="57"/>
      <c r="W1" s="56"/>
      <c r="X1" s="56"/>
      <c r="Y1" s="56"/>
      <c r="Z1" s="60"/>
      <c r="AA1" s="61"/>
      <c r="AB1" s="61"/>
      <c r="AC1" s="62"/>
      <c r="AD1" s="63"/>
      <c r="AE1" s="63"/>
    </row>
    <row r="2" customFormat="false" ht="14.1" hidden="false" customHeight="true" outlineLevel="0" collapsed="false">
      <c r="A2" s="56" t="s">
        <v>1</v>
      </c>
      <c r="B2" s="56"/>
      <c r="C2" s="57"/>
      <c r="D2" s="64" t="n">
        <v>1.9835</v>
      </c>
      <c r="E2" s="57"/>
      <c r="F2" s="56"/>
      <c r="G2" s="56"/>
      <c r="H2" s="58"/>
      <c r="I2" s="56"/>
      <c r="J2" s="56"/>
      <c r="K2" s="65" t="s">
        <v>97</v>
      </c>
      <c r="L2" s="65"/>
      <c r="M2" s="65"/>
      <c r="N2" s="65"/>
      <c r="O2" s="65"/>
      <c r="P2" s="65"/>
      <c r="Q2" s="65"/>
      <c r="R2" s="65"/>
      <c r="S2" s="65"/>
      <c r="T2" s="65"/>
      <c r="U2" s="56"/>
      <c r="V2" s="57"/>
      <c r="W2" s="56"/>
      <c r="X2" s="56"/>
      <c r="Y2" s="56"/>
      <c r="Z2" s="60"/>
      <c r="AA2" s="61"/>
      <c r="AB2" s="61"/>
      <c r="AC2" s="62"/>
      <c r="AD2" s="63"/>
      <c r="AE2" s="63"/>
    </row>
    <row r="3" customFormat="false" ht="11.1" hidden="false" customHeight="true" outlineLevel="0" collapsed="false">
      <c r="A3" s="56"/>
      <c r="B3" s="56"/>
      <c r="C3" s="57"/>
      <c r="D3" s="66"/>
      <c r="E3" s="57"/>
      <c r="F3" s="56"/>
      <c r="G3" s="56"/>
      <c r="H3" s="58"/>
      <c r="I3" s="56"/>
      <c r="J3" s="56"/>
      <c r="K3" s="56"/>
      <c r="L3" s="56"/>
      <c r="M3" s="56"/>
      <c r="N3" s="56"/>
      <c r="O3" s="56"/>
      <c r="P3" s="56"/>
      <c r="Q3" s="56"/>
      <c r="R3" s="56"/>
      <c r="S3" s="57"/>
      <c r="T3" s="56"/>
      <c r="U3" s="56"/>
      <c r="V3" s="57"/>
      <c r="W3" s="56"/>
      <c r="X3" s="56"/>
      <c r="Y3" s="56"/>
      <c r="Z3" s="60"/>
      <c r="AA3" s="61"/>
      <c r="AB3" s="61"/>
      <c r="AC3" s="62"/>
      <c r="AD3" s="63"/>
      <c r="AE3" s="63"/>
    </row>
    <row r="4" customFormat="false" ht="11.1" hidden="false" customHeight="true" outlineLevel="0" collapsed="false">
      <c r="A4" s="67" t="s">
        <v>3</v>
      </c>
      <c r="B4" s="67" t="s">
        <v>4</v>
      </c>
      <c r="C4" s="68" t="s">
        <v>4</v>
      </c>
      <c r="D4" s="67" t="s">
        <v>5</v>
      </c>
      <c r="E4" s="68" t="s">
        <v>6</v>
      </c>
      <c r="F4" s="67" t="s">
        <v>7</v>
      </c>
      <c r="G4" s="67" t="s">
        <v>8</v>
      </c>
      <c r="H4" s="69" t="s">
        <v>9</v>
      </c>
      <c r="I4" s="67" t="s">
        <v>10</v>
      </c>
      <c r="J4" s="67" t="s">
        <v>11</v>
      </c>
      <c r="K4" s="67" t="s">
        <v>12</v>
      </c>
      <c r="L4" s="67" t="s">
        <v>11</v>
      </c>
      <c r="M4" s="67" t="s">
        <v>13</v>
      </c>
      <c r="N4" s="67"/>
      <c r="O4" s="67"/>
      <c r="P4" s="67" t="s">
        <v>14</v>
      </c>
      <c r="Q4" s="67" t="s">
        <v>15</v>
      </c>
      <c r="R4" s="67" t="s">
        <v>12</v>
      </c>
      <c r="S4" s="68" t="s">
        <v>16</v>
      </c>
      <c r="T4" s="67" t="s">
        <v>17</v>
      </c>
      <c r="U4" s="67" t="s">
        <v>18</v>
      </c>
      <c r="V4" s="68" t="s">
        <v>19</v>
      </c>
      <c r="W4" s="67" t="s">
        <v>10</v>
      </c>
      <c r="X4" s="67" t="s">
        <v>11</v>
      </c>
      <c r="Y4" s="67" t="s">
        <v>12</v>
      </c>
      <c r="Z4" s="70" t="s">
        <v>20</v>
      </c>
      <c r="AA4" s="71" t="s">
        <v>21</v>
      </c>
      <c r="AB4" s="71" t="s">
        <v>22</v>
      </c>
      <c r="AC4" s="71" t="s">
        <v>3</v>
      </c>
      <c r="AD4" s="63"/>
      <c r="AE4" s="63"/>
    </row>
    <row r="5" customFormat="false" ht="11.1" hidden="false" customHeight="true" outlineLevel="0" collapsed="false">
      <c r="A5" s="72" t="s">
        <v>98</v>
      </c>
      <c r="B5" s="67" t="s">
        <v>24</v>
      </c>
      <c r="C5" s="68" t="s">
        <v>5</v>
      </c>
      <c r="D5" s="67" t="s">
        <v>25</v>
      </c>
      <c r="E5" s="68" t="s">
        <v>26</v>
      </c>
      <c r="F5" s="67" t="s">
        <v>27</v>
      </c>
      <c r="G5" s="67" t="s">
        <v>28</v>
      </c>
      <c r="H5" s="69" t="s">
        <v>29</v>
      </c>
      <c r="I5" s="67" t="s">
        <v>30</v>
      </c>
      <c r="J5" s="67" t="s">
        <v>30</v>
      </c>
      <c r="K5" s="67" t="s">
        <v>30</v>
      </c>
      <c r="L5" s="67" t="s">
        <v>31</v>
      </c>
      <c r="M5" s="67" t="s">
        <v>32</v>
      </c>
      <c r="N5" s="67" t="s">
        <v>33</v>
      </c>
      <c r="O5" s="67" t="s">
        <v>55</v>
      </c>
      <c r="P5" s="67" t="s">
        <v>35</v>
      </c>
      <c r="Q5" s="67" t="s">
        <v>36</v>
      </c>
      <c r="R5" s="67" t="s">
        <v>16</v>
      </c>
      <c r="S5" s="68" t="s">
        <v>37</v>
      </c>
      <c r="T5" s="67" t="s">
        <v>38</v>
      </c>
      <c r="U5" s="67" t="s">
        <v>39</v>
      </c>
      <c r="V5" s="68" t="s">
        <v>40</v>
      </c>
      <c r="W5" s="67" t="s">
        <v>41</v>
      </c>
      <c r="X5" s="67" t="s">
        <v>41</v>
      </c>
      <c r="Y5" s="67" t="s">
        <v>41</v>
      </c>
      <c r="Z5" s="73"/>
      <c r="AA5" s="71" t="s">
        <v>42</v>
      </c>
      <c r="AB5" s="71" t="s">
        <v>42</v>
      </c>
      <c r="AC5" s="74" t="s">
        <v>98</v>
      </c>
      <c r="AD5" s="63"/>
      <c r="AE5" s="63"/>
      <c r="AG5" s="133"/>
      <c r="AH5" s="133"/>
    </row>
    <row r="6" customFormat="false" ht="11.1" hidden="false" customHeight="true" outlineLevel="0" collapsed="false">
      <c r="A6" s="75"/>
      <c r="B6" s="75"/>
      <c r="C6" s="76"/>
      <c r="D6" s="75"/>
      <c r="E6" s="76"/>
      <c r="F6" s="75"/>
      <c r="G6" s="75"/>
      <c r="H6" s="77"/>
      <c r="I6" s="75"/>
      <c r="J6" s="75"/>
      <c r="K6" s="75"/>
      <c r="L6" s="75"/>
      <c r="M6" s="75"/>
      <c r="N6" s="75"/>
      <c r="O6" s="75"/>
      <c r="P6" s="75"/>
      <c r="Q6" s="75"/>
      <c r="R6" s="75"/>
      <c r="S6" s="76"/>
      <c r="T6" s="75"/>
      <c r="U6" s="75"/>
      <c r="V6" s="76"/>
      <c r="W6" s="75"/>
      <c r="X6" s="75"/>
      <c r="Y6" s="75"/>
      <c r="Z6" s="60"/>
      <c r="AA6" s="62"/>
      <c r="AB6" s="62"/>
      <c r="AC6" s="62"/>
      <c r="AD6" s="78"/>
      <c r="AE6" s="78"/>
      <c r="AF6" s="79"/>
      <c r="AG6" s="133"/>
      <c r="AH6" s="133"/>
    </row>
    <row r="7" customFormat="false" ht="11.1" hidden="false" customHeight="true" outlineLevel="0" collapsed="false">
      <c r="A7" s="56" t="s">
        <v>43</v>
      </c>
      <c r="B7" s="56"/>
      <c r="C7" s="57"/>
      <c r="D7" s="57"/>
      <c r="E7" s="57"/>
      <c r="F7" s="57" t="n">
        <f aca="false" t="array" ref="F7:Y7">JUL!$F$45:$Y$45</f>
        <v>12966.9775649105</v>
      </c>
      <c r="G7" s="57" t="n">
        <v>186262</v>
      </c>
      <c r="H7" s="57" t="n">
        <v>10267.17</v>
      </c>
      <c r="I7" s="57" t="n">
        <v>196529.17</v>
      </c>
      <c r="J7" s="57" t="n">
        <v>34280.8524224855</v>
      </c>
      <c r="K7" s="57" t="n">
        <v>230810.022422486</v>
      </c>
      <c r="L7" s="57" t="n">
        <v>32973.5275649105</v>
      </c>
      <c r="M7" s="57" t="n">
        <v>24360.6</v>
      </c>
      <c r="N7" s="57" t="n">
        <v>4627.202</v>
      </c>
      <c r="O7" s="57" t="n">
        <v>19733.398</v>
      </c>
      <c r="P7" s="57" t="n">
        <v>13577.97</v>
      </c>
      <c r="Q7" s="57" t="n">
        <v>6417.15</v>
      </c>
      <c r="R7" s="57" t="n">
        <v>39728.518</v>
      </c>
      <c r="S7" s="57" t="n">
        <v>14243.6090809176</v>
      </c>
      <c r="T7" s="57" t="n">
        <v>12419.1</v>
      </c>
      <c r="U7" s="57" t="n">
        <v>159760.9</v>
      </c>
      <c r="V7" s="57" t="n">
        <v>14503.6188706831</v>
      </c>
      <c r="W7" s="57" t="n">
        <v>216535.72</v>
      </c>
      <c r="X7" s="57" t="n">
        <v>1307.32485757499</v>
      </c>
      <c r="Y7" s="57" t="n">
        <v>217843.044857575</v>
      </c>
      <c r="Z7" s="60"/>
      <c r="AA7" s="61"/>
      <c r="AB7" s="61"/>
      <c r="AC7" s="62"/>
      <c r="AD7" s="78"/>
      <c r="AE7" s="79"/>
      <c r="AF7" s="79"/>
    </row>
    <row r="8" s="50" customFormat="true" ht="11.1" hidden="false" customHeight="true" outlineLevel="0" collapsed="false">
      <c r="A8" s="57" t="s">
        <v>44</v>
      </c>
      <c r="B8" s="80" t="n">
        <f aca="false" t="array" ref="B8:C8">JUL!$B$40:$C$40</f>
        <v>6917.01</v>
      </c>
      <c r="C8" s="57" t="n">
        <v>350796</v>
      </c>
      <c r="D8" s="57" t="n">
        <f aca="false" t="array" ref="D8:E8">JUL!$D$49:$E$49</f>
        <v>105317</v>
      </c>
      <c r="E8" s="57" t="n">
        <v>198796</v>
      </c>
      <c r="F8" s="57" t="n">
        <f aca="false" t="array" ref="F8:Z8">JUL!$F$48:$Z$48</f>
        <v>53096.5465086968</v>
      </c>
      <c r="G8" s="57" t="n">
        <v>213446.79</v>
      </c>
      <c r="H8" s="61" t="n">
        <v>13826.87</v>
      </c>
      <c r="I8" s="57" t="n">
        <v>227072.76</v>
      </c>
      <c r="J8" s="57" t="n">
        <v>51029.4685606252</v>
      </c>
      <c r="K8" s="57" t="n">
        <v>278102.228560625</v>
      </c>
      <c r="L8" s="57" t="n">
        <v>49145.0765086967</v>
      </c>
      <c r="M8" s="57" t="n">
        <v>25362.85</v>
      </c>
      <c r="N8" s="57" t="n">
        <v>4674.221</v>
      </c>
      <c r="O8" s="57" t="n">
        <v>20419.549</v>
      </c>
      <c r="P8" s="57" t="n">
        <v>13685.49</v>
      </c>
      <c r="Q8" s="57" t="n">
        <v>6615.95</v>
      </c>
      <c r="R8" s="57" t="n">
        <v>40928.006</v>
      </c>
      <c r="S8" s="57" t="n">
        <v>0</v>
      </c>
      <c r="T8" s="57" t="n">
        <v>12419.1</v>
      </c>
      <c r="U8" s="57" t="n">
        <v>165037.9</v>
      </c>
      <c r="V8" s="57" t="n">
        <v>14503.6188706831</v>
      </c>
      <c r="W8" s="57" t="n">
        <v>223121.29</v>
      </c>
      <c r="X8" s="57" t="n">
        <v>1884.39205192841</v>
      </c>
      <c r="Y8" s="57" t="n">
        <v>225005.682051928</v>
      </c>
      <c r="Z8" s="81" t="n">
        <v>14.19</v>
      </c>
      <c r="AA8" s="61"/>
      <c r="AB8" s="61"/>
      <c r="AC8" s="62"/>
      <c r="AD8" s="82"/>
      <c r="AE8" s="78"/>
      <c r="AF8" s="82"/>
    </row>
    <row r="9" customFormat="false" ht="3" hidden="false" customHeight="true" outlineLevel="0" collapsed="false">
      <c r="A9" s="83"/>
      <c r="B9" s="84"/>
      <c r="C9" s="85"/>
      <c r="D9" s="83"/>
      <c r="E9" s="85"/>
      <c r="F9" s="83"/>
      <c r="G9" s="83"/>
      <c r="H9" s="86"/>
      <c r="I9" s="83"/>
      <c r="J9" s="83"/>
      <c r="K9" s="83"/>
      <c r="L9" s="83"/>
      <c r="M9" s="83"/>
      <c r="N9" s="83"/>
      <c r="O9" s="83"/>
      <c r="P9" s="83"/>
      <c r="Q9" s="83"/>
      <c r="R9" s="83"/>
      <c r="S9" s="85"/>
      <c r="T9" s="83"/>
      <c r="U9" s="83"/>
      <c r="V9" s="85"/>
      <c r="W9" s="83"/>
      <c r="X9" s="83"/>
      <c r="Y9" s="83"/>
      <c r="Z9" s="87"/>
      <c r="AA9" s="88"/>
      <c r="AB9" s="88"/>
      <c r="AC9" s="89"/>
      <c r="AD9" s="78"/>
      <c r="AE9" s="78"/>
      <c r="AF9" s="79"/>
    </row>
    <row r="10" customFormat="false" ht="11.1" hidden="false" customHeight="true" outlineLevel="0" collapsed="false">
      <c r="A10" s="62" t="n">
        <v>1</v>
      </c>
      <c r="B10" s="80" t="n">
        <v>6916.99</v>
      </c>
      <c r="C10" s="57" t="n">
        <v>350712</v>
      </c>
      <c r="D10" s="61" t="n">
        <f aca="false">C10-C8</f>
        <v>-84</v>
      </c>
      <c r="E10" s="57" t="n">
        <f aca="false">C10-152000</f>
        <v>198712</v>
      </c>
      <c r="F10" s="56" t="n">
        <f aca="false">D10/$D$2</f>
        <v>-42.3493824048399</v>
      </c>
      <c r="G10" s="56" t="n">
        <v>578</v>
      </c>
      <c r="H10" s="58" t="n">
        <v>0.83</v>
      </c>
      <c r="I10" s="56" t="n">
        <f aca="false">G10+H10</f>
        <v>578.83</v>
      </c>
      <c r="J10" s="81" t="n">
        <f aca="false">IF(L10&gt;0,L10,0)</f>
        <v>0</v>
      </c>
      <c r="K10" s="56" t="n">
        <f aca="false">I10+J10</f>
        <v>578.83</v>
      </c>
      <c r="L10" s="56" t="n">
        <f aca="false">F10-(I10-W10)</f>
        <v>-33.17938240484</v>
      </c>
      <c r="M10" s="56" t="n">
        <v>156</v>
      </c>
      <c r="N10" s="56" t="n">
        <f aca="false">(9.8+11)*1.05</f>
        <v>21.84</v>
      </c>
      <c r="O10" s="56" t="n">
        <f aca="false">M10-N10</f>
        <v>134.16</v>
      </c>
      <c r="P10" s="56" t="n">
        <v>204</v>
      </c>
      <c r="Q10" s="56" t="n">
        <v>76</v>
      </c>
      <c r="R10" s="56" t="n">
        <f aca="false">SUM(O10:Q10)</f>
        <v>414.16</v>
      </c>
      <c r="S10" s="57" t="n">
        <f aca="false">(I10-R10)+S7</f>
        <v>14408.2790809176</v>
      </c>
      <c r="T10" s="56" t="n">
        <v>31</v>
      </c>
      <c r="U10" s="56" t="n">
        <v>121</v>
      </c>
      <c r="V10" s="57" t="n">
        <f aca="false">V8-U10</f>
        <v>14382.6188706831</v>
      </c>
      <c r="W10" s="56" t="n">
        <f aca="false">R10+T10+N10+U10</f>
        <v>588</v>
      </c>
      <c r="X10" s="56" t="n">
        <f aca="false">IF(L10&lt;0,L10*-1,0)</f>
        <v>33.17938240484</v>
      </c>
      <c r="Y10" s="56" t="n">
        <f aca="false">W10+X10</f>
        <v>621.17938240484</v>
      </c>
      <c r="Z10" s="60" t="n">
        <v>0</v>
      </c>
      <c r="AA10" s="61" t="n">
        <v>87</v>
      </c>
      <c r="AB10" s="61" t="n">
        <v>54</v>
      </c>
      <c r="AC10" s="62" t="n">
        <v>1</v>
      </c>
      <c r="AD10" s="79"/>
      <c r="AE10" s="82"/>
      <c r="AF10" s="82"/>
    </row>
    <row r="11" customFormat="false" ht="11.1" hidden="false" customHeight="true" outlineLevel="0" collapsed="false">
      <c r="A11" s="62" t="n">
        <f aca="false">A10+1</f>
        <v>2</v>
      </c>
      <c r="B11" s="80" t="n">
        <v>6916.89</v>
      </c>
      <c r="C11" s="57" t="n">
        <v>350291</v>
      </c>
      <c r="D11" s="61" t="n">
        <f aca="false">C11-C10</f>
        <v>-421</v>
      </c>
      <c r="E11" s="57" t="n">
        <f aca="false">C11-152000</f>
        <v>198291</v>
      </c>
      <c r="F11" s="56" t="n">
        <f aca="false">D11/$D$2</f>
        <v>-212.251071338543</v>
      </c>
      <c r="G11" s="56" t="n">
        <v>434</v>
      </c>
      <c r="H11" s="58" t="n">
        <v>0.71</v>
      </c>
      <c r="I11" s="56" t="n">
        <f aca="false">G11+H11</f>
        <v>434.71</v>
      </c>
      <c r="J11" s="81" t="n">
        <f aca="false">IF(L11&gt;0,L11,0)</f>
        <v>0</v>
      </c>
      <c r="K11" s="56" t="n">
        <f aca="false">I11+J11</f>
        <v>434.71</v>
      </c>
      <c r="L11" s="56" t="n">
        <f aca="false">F11-(I11-W11)</f>
        <v>-10.961071338543</v>
      </c>
      <c r="M11" s="56" t="n">
        <v>194</v>
      </c>
      <c r="N11" s="56" t="n">
        <f aca="false">+(22+23)*1.05</f>
        <v>47.25</v>
      </c>
      <c r="O11" s="56" t="n">
        <f aca="false">M11-N11</f>
        <v>146.75</v>
      </c>
      <c r="P11" s="56" t="n">
        <v>204</v>
      </c>
      <c r="Q11" s="56" t="n">
        <v>74</v>
      </c>
      <c r="R11" s="56" t="n">
        <f aca="false">SUM(O11:Q11)</f>
        <v>424.75</v>
      </c>
      <c r="S11" s="57" t="n">
        <f aca="false">(I11-R11)+S10</f>
        <v>14418.2390809176</v>
      </c>
      <c r="T11" s="56" t="n">
        <v>43</v>
      </c>
      <c r="U11" s="56" t="n">
        <v>121</v>
      </c>
      <c r="V11" s="57" t="n">
        <f aca="false">V10-U11</f>
        <v>14261.6188706831</v>
      </c>
      <c r="W11" s="56" t="n">
        <f aca="false">R11+T11+N11+U11</f>
        <v>636</v>
      </c>
      <c r="X11" s="56" t="n">
        <f aca="false">IF(L11&lt;0,L11*-1,0)</f>
        <v>10.961071338543</v>
      </c>
      <c r="Y11" s="56" t="n">
        <f aca="false">W11+X11</f>
        <v>646.961071338543</v>
      </c>
      <c r="Z11" s="60" t="n">
        <v>0</v>
      </c>
      <c r="AA11" s="61" t="n">
        <v>88</v>
      </c>
      <c r="AB11" s="61" t="n">
        <v>60</v>
      </c>
      <c r="AC11" s="62" t="n">
        <f aca="false">AC10+1</f>
        <v>2</v>
      </c>
      <c r="AD11" s="79"/>
      <c r="AE11" s="82"/>
      <c r="AF11" s="82"/>
    </row>
    <row r="12" customFormat="false" ht="11.1" hidden="false" customHeight="true" outlineLevel="0" collapsed="false">
      <c r="A12" s="62" t="n">
        <f aca="false">A11+1</f>
        <v>3</v>
      </c>
      <c r="B12" s="80" t="n">
        <v>6916.87</v>
      </c>
      <c r="C12" s="57" t="n">
        <v>350207</v>
      </c>
      <c r="D12" s="61" t="n">
        <f aca="false">C12-C11</f>
        <v>-84</v>
      </c>
      <c r="E12" s="57" t="n">
        <f aca="false">C12-152000</f>
        <v>198207</v>
      </c>
      <c r="F12" s="56" t="n">
        <f aca="false">D12/$D$2</f>
        <v>-42.3493824048399</v>
      </c>
      <c r="G12" s="56" t="n">
        <v>623</v>
      </c>
      <c r="H12" s="58" t="n">
        <v>0.78</v>
      </c>
      <c r="I12" s="56" t="n">
        <f aca="false">G12+H12</f>
        <v>623.78</v>
      </c>
      <c r="J12" s="81" t="n">
        <f aca="false">IF(L12&gt;0,L12,0)</f>
        <v>0</v>
      </c>
      <c r="K12" s="56" t="n">
        <f aca="false">I12+J12</f>
        <v>623.78</v>
      </c>
      <c r="L12" s="56" t="n">
        <f aca="false">F12-(I12-W12)</f>
        <v>-37.1293824048399</v>
      </c>
      <c r="M12" s="56" t="n">
        <v>185</v>
      </c>
      <c r="N12" s="56" t="n">
        <f aca="false">(23.22+23.65)*1.05</f>
        <v>49.2135</v>
      </c>
      <c r="O12" s="56" t="n">
        <f aca="false">M12-N12</f>
        <v>135.7865</v>
      </c>
      <c r="P12" s="56" t="n">
        <v>204</v>
      </c>
      <c r="Q12" s="56" t="n">
        <v>73</v>
      </c>
      <c r="R12" s="56" t="n">
        <f aca="false">SUM(O12:Q12)</f>
        <v>412.7865</v>
      </c>
      <c r="S12" s="57" t="n">
        <f aca="false">(I12-R12)+S11</f>
        <v>14629.2325809176</v>
      </c>
      <c r="T12" s="56" t="n">
        <v>47</v>
      </c>
      <c r="U12" s="56" t="n">
        <v>120</v>
      </c>
      <c r="V12" s="57" t="n">
        <f aca="false">V11-U12</f>
        <v>14141.6188706831</v>
      </c>
      <c r="W12" s="56" t="n">
        <f aca="false">R12+T12+N12+U12</f>
        <v>629</v>
      </c>
      <c r="X12" s="56" t="n">
        <f aca="false">IF(L12&lt;0,L12*-1,0)</f>
        <v>37.1293824048399</v>
      </c>
      <c r="Y12" s="56" t="n">
        <f aca="false">W12+X12</f>
        <v>666.12938240484</v>
      </c>
      <c r="Z12" s="60" t="n">
        <v>0.04</v>
      </c>
      <c r="AA12" s="61" t="n">
        <v>84</v>
      </c>
      <c r="AB12" s="61" t="n">
        <v>60</v>
      </c>
      <c r="AC12" s="62" t="n">
        <f aca="false">AC11+1</f>
        <v>3</v>
      </c>
      <c r="AD12" s="79"/>
      <c r="AE12" s="82"/>
      <c r="AF12" s="82"/>
    </row>
    <row r="13" customFormat="false" ht="11.1" hidden="false" customHeight="true" outlineLevel="0" collapsed="false">
      <c r="A13" s="62" t="n">
        <f aca="false">A12+1</f>
        <v>4</v>
      </c>
      <c r="B13" s="80" t="n">
        <v>6916.86</v>
      </c>
      <c r="C13" s="57" t="n">
        <v>350165</v>
      </c>
      <c r="D13" s="61" t="n">
        <f aca="false">C13-C12</f>
        <v>-42</v>
      </c>
      <c r="E13" s="57" t="n">
        <f aca="false">C13-152000</f>
        <v>198165</v>
      </c>
      <c r="F13" s="56" t="n">
        <f aca="false">D13/$D$2</f>
        <v>-21.17469120242</v>
      </c>
      <c r="G13" s="56" t="n">
        <v>538</v>
      </c>
      <c r="H13" s="58" t="n">
        <v>0.88</v>
      </c>
      <c r="I13" s="56" t="n">
        <f aca="false">G13+H13</f>
        <v>538.88</v>
      </c>
      <c r="J13" s="81" t="n">
        <f aca="false">IF(L13&gt;0,L13,0)</f>
        <v>40.94530879758</v>
      </c>
      <c r="K13" s="56" t="n">
        <f aca="false">I13+J13</f>
        <v>579.82530879758</v>
      </c>
      <c r="L13" s="56" t="n">
        <f aca="false">F13-(I13-W13)</f>
        <v>40.94530879758</v>
      </c>
      <c r="M13" s="56" t="n">
        <v>166</v>
      </c>
      <c r="N13" s="56" t="n">
        <f aca="false">(18.53+18.74)*1.05</f>
        <v>39.1335</v>
      </c>
      <c r="O13" s="56" t="n">
        <f aca="false">M13-N13</f>
        <v>126.8665</v>
      </c>
      <c r="P13" s="56" t="n">
        <v>204</v>
      </c>
      <c r="Q13" s="56" t="n">
        <v>73</v>
      </c>
      <c r="R13" s="56" t="n">
        <f aca="false">SUM(O13:Q13)</f>
        <v>403.8665</v>
      </c>
      <c r="S13" s="57" t="n">
        <f aca="false">(I13-R13)+S12</f>
        <v>14764.2460809176</v>
      </c>
      <c r="T13" s="56" t="n">
        <v>37</v>
      </c>
      <c r="U13" s="56" t="n">
        <v>121</v>
      </c>
      <c r="V13" s="57" t="n">
        <f aca="false">V12-U13</f>
        <v>14020.6188706831</v>
      </c>
      <c r="W13" s="56" t="n">
        <f aca="false">R13+T13+N13+U13</f>
        <v>601</v>
      </c>
      <c r="X13" s="56" t="n">
        <f aca="false">IF(L13&lt;0,L13*-1,0)</f>
        <v>0</v>
      </c>
      <c r="Y13" s="56" t="n">
        <f aca="false">W13+X13</f>
        <v>601</v>
      </c>
      <c r="Z13" s="60" t="n">
        <v>0.66</v>
      </c>
      <c r="AA13" s="61" t="n">
        <v>80</v>
      </c>
      <c r="AB13" s="61" t="n">
        <v>59</v>
      </c>
      <c r="AC13" s="62" t="n">
        <f aca="false">AC12+1</f>
        <v>4</v>
      </c>
      <c r="AD13" s="79"/>
      <c r="AE13" s="82"/>
      <c r="AF13" s="82"/>
    </row>
    <row r="14" customFormat="false" ht="11.1" hidden="false" customHeight="true" outlineLevel="0" collapsed="false">
      <c r="A14" s="62" t="n">
        <f aca="false">A13+1</f>
        <v>5</v>
      </c>
      <c r="B14" s="80" t="n">
        <v>6917.02</v>
      </c>
      <c r="C14" s="57" t="n">
        <v>350839</v>
      </c>
      <c r="D14" s="61" t="n">
        <f aca="false">C14-C13</f>
        <v>674</v>
      </c>
      <c r="E14" s="57" t="n">
        <f aca="false">C14-152000</f>
        <v>198839</v>
      </c>
      <c r="F14" s="56" t="n">
        <f aca="false">D14/$D$2</f>
        <v>339.803377867406</v>
      </c>
      <c r="G14" s="56" t="n">
        <v>921</v>
      </c>
      <c r="H14" s="58" t="n">
        <v>1.3</v>
      </c>
      <c r="I14" s="56" t="n">
        <f aca="false">G14+H14</f>
        <v>922.3</v>
      </c>
      <c r="J14" s="81" t="n">
        <f aca="false">IF(L14&gt;0,L14,0)</f>
        <v>0</v>
      </c>
      <c r="K14" s="56" t="n">
        <f aca="false">I14+J14</f>
        <v>922.3</v>
      </c>
      <c r="L14" s="56" t="n">
        <f aca="false">F14-(I14-W14)</f>
        <v>-54.3966221325938</v>
      </c>
      <c r="M14" s="56" t="n">
        <v>122</v>
      </c>
      <c r="N14" s="56" t="n">
        <f aca="false">+(7.1+7.6)*1.05</f>
        <v>15.435</v>
      </c>
      <c r="O14" s="56" t="n">
        <f aca="false">M14-N14</f>
        <v>106.565</v>
      </c>
      <c r="P14" s="56" t="n">
        <v>204</v>
      </c>
      <c r="Q14" s="56" t="n">
        <v>73</v>
      </c>
      <c r="R14" s="56" t="n">
        <f aca="false">SUM(O14:Q14)</f>
        <v>383.565</v>
      </c>
      <c r="S14" s="57" t="n">
        <f aca="false">(I14-R14)+S13</f>
        <v>15302.9810809176</v>
      </c>
      <c r="T14" s="56" t="n">
        <v>6.1</v>
      </c>
      <c r="U14" s="56" t="n">
        <v>123</v>
      </c>
      <c r="V14" s="57" t="n">
        <f aca="false">V13-U14</f>
        <v>13897.6188706831</v>
      </c>
      <c r="W14" s="56" t="n">
        <f aca="false">R14+T14+N14+U14</f>
        <v>528.1</v>
      </c>
      <c r="X14" s="56" t="n">
        <f aca="false">IF(L14&lt;0,L14*-1,0)</f>
        <v>54.3966221325938</v>
      </c>
      <c r="Y14" s="56" t="n">
        <f aca="false">W14+X14</f>
        <v>582.496622132594</v>
      </c>
      <c r="Z14" s="60" t="n">
        <v>0</v>
      </c>
      <c r="AA14" s="61" t="n">
        <v>80</v>
      </c>
      <c r="AB14" s="61" t="n">
        <v>56</v>
      </c>
      <c r="AC14" s="62" t="n">
        <f aca="false">AC13+1</f>
        <v>5</v>
      </c>
      <c r="AD14" s="79"/>
      <c r="AE14" s="82"/>
      <c r="AF14" s="82"/>
    </row>
    <row r="15" customFormat="false" ht="11.1" hidden="false" customHeight="true" outlineLevel="0" collapsed="false">
      <c r="A15" s="62" t="n">
        <f aca="false">A14+1</f>
        <v>6</v>
      </c>
      <c r="B15" s="80" t="n">
        <v>6917.16</v>
      </c>
      <c r="C15" s="57" t="n">
        <v>351432</v>
      </c>
      <c r="D15" s="61" t="n">
        <f aca="false">C15-C14</f>
        <v>593</v>
      </c>
      <c r="E15" s="57" t="n">
        <f aca="false">C15-152000</f>
        <v>199432</v>
      </c>
      <c r="F15" s="56" t="n">
        <f aca="false">D15/$D$2</f>
        <v>298.966473405596</v>
      </c>
      <c r="G15" s="56" t="n">
        <v>837</v>
      </c>
      <c r="H15" s="58" t="n">
        <v>0.79</v>
      </c>
      <c r="I15" s="56" t="n">
        <f aca="false">G15+H15</f>
        <v>837.79</v>
      </c>
      <c r="J15" s="81" t="n">
        <f aca="false">IF(L15&gt;0,L15,0)</f>
        <v>0</v>
      </c>
      <c r="K15" s="56" t="n">
        <f aca="false">I15+J15</f>
        <v>837.79</v>
      </c>
      <c r="L15" s="56" t="n">
        <f aca="false">F15-(I15-W15)</f>
        <v>-42.8235265944038</v>
      </c>
      <c r="M15" s="56" t="n">
        <v>108</v>
      </c>
      <c r="N15" s="56" t="n">
        <f aca="false">+(0.45+0.1)*1.05</f>
        <v>0.5775</v>
      </c>
      <c r="O15" s="56" t="n">
        <f aca="false">M15-N15</f>
        <v>107.4225</v>
      </c>
      <c r="P15" s="56" t="n">
        <v>161</v>
      </c>
      <c r="Q15" s="56" t="n">
        <v>71</v>
      </c>
      <c r="R15" s="56" t="n">
        <f aca="false">SUM(O15:Q15)</f>
        <v>339.4225</v>
      </c>
      <c r="S15" s="57" t="n">
        <f aca="false">(I15-R15)+S14</f>
        <v>15801.3485809176</v>
      </c>
      <c r="T15" s="56" t="n">
        <v>33</v>
      </c>
      <c r="U15" s="56" t="n">
        <v>123</v>
      </c>
      <c r="V15" s="57" t="n">
        <f aca="false">V14-U15</f>
        <v>13774.6188706831</v>
      </c>
      <c r="W15" s="56" t="n">
        <f aca="false">R15+T15+N15+U15</f>
        <v>496</v>
      </c>
      <c r="X15" s="56" t="n">
        <f aca="false">IF(L15&lt;0,L15*-1,0)</f>
        <v>42.8235265944038</v>
      </c>
      <c r="Y15" s="56" t="n">
        <f aca="false">W15+X15</f>
        <v>538.823526594404</v>
      </c>
      <c r="Z15" s="60" t="n">
        <v>0</v>
      </c>
      <c r="AA15" s="61" t="n">
        <v>79</v>
      </c>
      <c r="AB15" s="61" t="n">
        <v>52</v>
      </c>
      <c r="AC15" s="62" t="n">
        <f aca="false">AC14+1</f>
        <v>6</v>
      </c>
      <c r="AD15" s="78"/>
      <c r="AE15" s="82"/>
      <c r="AF15" s="82"/>
    </row>
    <row r="16" customFormat="false" ht="11.1" hidden="false" customHeight="true" outlineLevel="0" collapsed="false">
      <c r="A16" s="62" t="n">
        <f aca="false">A15+1</f>
        <v>7</v>
      </c>
      <c r="B16" s="80" t="n">
        <v>6917.19</v>
      </c>
      <c r="C16" s="57" t="n">
        <v>351559</v>
      </c>
      <c r="D16" s="61" t="n">
        <f aca="false">C16-C15</f>
        <v>127</v>
      </c>
      <c r="E16" s="57" t="n">
        <f aca="false">C16-152000</f>
        <v>199559</v>
      </c>
      <c r="F16" s="56" t="n">
        <f aca="false">D16/$D$2</f>
        <v>64.0282329216032</v>
      </c>
      <c r="G16" s="56" t="n">
        <v>600</v>
      </c>
      <c r="H16" s="58" t="n">
        <v>0.64</v>
      </c>
      <c r="I16" s="56" t="n">
        <f aca="false">G16+H16</f>
        <v>600.64</v>
      </c>
      <c r="J16" s="81" t="n">
        <f aca="false">IF(L16&gt;0,L16,0)</f>
        <v>0</v>
      </c>
      <c r="K16" s="56" t="n">
        <f aca="false">I16+J16</f>
        <v>600.64</v>
      </c>
      <c r="L16" s="56" t="n">
        <f aca="false">F16-(I16-W16)</f>
        <v>-65.6117670783968</v>
      </c>
      <c r="M16" s="56" t="n">
        <v>113</v>
      </c>
      <c r="N16" s="56" t="n">
        <f aca="false">(0.9+0.9)*1.05</f>
        <v>1.89</v>
      </c>
      <c r="O16" s="56" t="n">
        <f aca="false">M16-N16</f>
        <v>111.11</v>
      </c>
      <c r="P16" s="56" t="n">
        <v>140</v>
      </c>
      <c r="Q16" s="56" t="n">
        <v>69</v>
      </c>
      <c r="R16" s="56" t="n">
        <f aca="false">SUM(O16:Q16)</f>
        <v>320.11</v>
      </c>
      <c r="S16" s="57" t="n">
        <f aca="false">(I16-R16)+S15</f>
        <v>16081.8785809176</v>
      </c>
      <c r="T16" s="56" t="n">
        <v>26</v>
      </c>
      <c r="U16" s="56" t="n">
        <v>123</v>
      </c>
      <c r="V16" s="57" t="n">
        <f aca="false">V15-U16</f>
        <v>13651.6188706831</v>
      </c>
      <c r="W16" s="56" t="n">
        <f aca="false">R16+T16+N16+U16</f>
        <v>471</v>
      </c>
      <c r="X16" s="56" t="n">
        <f aca="false">IF(L16&lt;0,L16*-1,0)</f>
        <v>65.6117670783968</v>
      </c>
      <c r="Y16" s="56" t="n">
        <f aca="false">W16+X16</f>
        <v>536.611767078397</v>
      </c>
      <c r="Z16" s="60" t="n">
        <v>0</v>
      </c>
      <c r="AA16" s="61" t="n">
        <v>82</v>
      </c>
      <c r="AB16" s="61" t="n">
        <v>52</v>
      </c>
      <c r="AC16" s="62" t="n">
        <f aca="false">AC15+1</f>
        <v>7</v>
      </c>
      <c r="AD16" s="78"/>
      <c r="AE16" s="82"/>
      <c r="AF16" s="82"/>
    </row>
    <row r="17" customFormat="false" ht="11.1" hidden="false" customHeight="true" outlineLevel="0" collapsed="false">
      <c r="A17" s="62" t="n">
        <f aca="false">A16+1</f>
        <v>8</v>
      </c>
      <c r="B17" s="80" t="n">
        <v>6917.19</v>
      </c>
      <c r="C17" s="57" t="n">
        <v>351559</v>
      </c>
      <c r="D17" s="61" t="n">
        <f aca="false">C17-C16</f>
        <v>0</v>
      </c>
      <c r="E17" s="57" t="n">
        <f aca="false">C17-152000</f>
        <v>199559</v>
      </c>
      <c r="F17" s="56" t="n">
        <f aca="false">D17/$D$2</f>
        <v>0</v>
      </c>
      <c r="G17" s="56" t="n">
        <v>485</v>
      </c>
      <c r="H17" s="58" t="n">
        <v>0.51</v>
      </c>
      <c r="I17" s="56" t="n">
        <f aca="false">G17+H17</f>
        <v>485.51</v>
      </c>
      <c r="J17" s="81" t="n">
        <f aca="false">IF(L17&gt;0,L17,0)</f>
        <v>0</v>
      </c>
      <c r="K17" s="56" t="n">
        <f aca="false">I17+J17</f>
        <v>485.51</v>
      </c>
      <c r="L17" s="56" t="n">
        <f aca="false">F17-(I17-W17)</f>
        <v>-13.14</v>
      </c>
      <c r="M17" s="56" t="n">
        <v>127</v>
      </c>
      <c r="N17" s="56" t="n">
        <f aca="false">(1.32+0.44)*1.05</f>
        <v>1.848</v>
      </c>
      <c r="O17" s="56" t="n">
        <f aca="false">M17-N17</f>
        <v>125.152</v>
      </c>
      <c r="P17" s="56" t="n">
        <v>139.37</v>
      </c>
      <c r="Q17" s="56" t="n">
        <v>67</v>
      </c>
      <c r="R17" s="56" t="n">
        <f aca="false">SUM(O17:Q17)</f>
        <v>331.522</v>
      </c>
      <c r="S17" s="57" t="n">
        <f aca="false">(I17-R17)+S16</f>
        <v>16235.8665809176</v>
      </c>
      <c r="T17" s="56" t="n">
        <v>14</v>
      </c>
      <c r="U17" s="56" t="n">
        <v>125</v>
      </c>
      <c r="V17" s="57" t="n">
        <f aca="false">V16-U17</f>
        <v>13526.6188706831</v>
      </c>
      <c r="W17" s="56" t="n">
        <f aca="false">R17+T17+N17+U17</f>
        <v>472.37</v>
      </c>
      <c r="X17" s="56" t="n">
        <f aca="false">IF(L17&lt;0,L17*-1,0)</f>
        <v>13.14</v>
      </c>
      <c r="Y17" s="56" t="n">
        <f aca="false">W17+X17</f>
        <v>485.51</v>
      </c>
      <c r="Z17" s="60" t="n">
        <v>0</v>
      </c>
      <c r="AA17" s="61" t="n">
        <v>88</v>
      </c>
      <c r="AB17" s="61" t="n">
        <v>53</v>
      </c>
      <c r="AC17" s="62" t="n">
        <f aca="false">AC16+1</f>
        <v>8</v>
      </c>
      <c r="AD17" s="78"/>
      <c r="AE17" s="82"/>
      <c r="AF17" s="82"/>
    </row>
    <row r="18" customFormat="false" ht="11.1" hidden="false" customHeight="true" outlineLevel="0" collapsed="false">
      <c r="A18" s="62" t="n">
        <f aca="false">A17+1</f>
        <v>9</v>
      </c>
      <c r="B18" s="80" t="n">
        <v>6917.12</v>
      </c>
      <c r="C18" s="57" t="n">
        <v>351263</v>
      </c>
      <c r="D18" s="61" t="n">
        <f aca="false">C18-C17</f>
        <v>-296</v>
      </c>
      <c r="E18" s="57" t="n">
        <f aca="false">C18-152000</f>
        <v>199263</v>
      </c>
      <c r="F18" s="56" t="n">
        <f aca="false">D18/$D$2</f>
        <v>-149.231157045626</v>
      </c>
      <c r="G18" s="56" t="n">
        <v>415</v>
      </c>
      <c r="H18" s="58" t="n">
        <v>0.39</v>
      </c>
      <c r="I18" s="56" t="n">
        <f aca="false">G18+H18</f>
        <v>415.39</v>
      </c>
      <c r="J18" s="81" t="n">
        <f aca="false">IF(L18&gt;0,L18,0)</f>
        <v>0</v>
      </c>
      <c r="K18" s="56" t="n">
        <f aca="false">I18+J18</f>
        <v>415.39</v>
      </c>
      <c r="L18" s="56" t="n">
        <f aca="false">F18-(I18-W18)</f>
        <v>-69.5811570456264</v>
      </c>
      <c r="M18" s="56" t="n">
        <v>129</v>
      </c>
      <c r="N18" s="56" t="n">
        <f aca="false">(2.72+2.4)*1.05</f>
        <v>5.376</v>
      </c>
      <c r="O18" s="56" t="n">
        <f aca="false">M18-N18</f>
        <v>123.624</v>
      </c>
      <c r="P18" s="56" t="n">
        <v>139.04</v>
      </c>
      <c r="Q18" s="56" t="n">
        <v>67</v>
      </c>
      <c r="R18" s="56" t="n">
        <f aca="false">SUM(O18:Q18)</f>
        <v>329.664</v>
      </c>
      <c r="S18" s="57" t="n">
        <f aca="false">(I18-R18)+S17</f>
        <v>16321.5925809176</v>
      </c>
      <c r="T18" s="56" t="n">
        <v>33</v>
      </c>
      <c r="U18" s="56" t="n">
        <v>127</v>
      </c>
      <c r="V18" s="57" t="n">
        <f aca="false">V17-U18</f>
        <v>13399.6188706831</v>
      </c>
      <c r="W18" s="56" t="n">
        <f aca="false">R18+T18+N18+U18</f>
        <v>495.04</v>
      </c>
      <c r="X18" s="56" t="n">
        <f aca="false">IF(L18&lt;0,L18*-1,0)</f>
        <v>69.5811570456264</v>
      </c>
      <c r="Y18" s="56" t="n">
        <f aca="false">W18+X18</f>
        <v>564.621157045626</v>
      </c>
      <c r="Z18" s="60" t="n">
        <v>0.35</v>
      </c>
      <c r="AA18" s="90" t="n">
        <v>87</v>
      </c>
      <c r="AB18" s="61" t="n">
        <v>56</v>
      </c>
      <c r="AC18" s="62" t="n">
        <f aca="false">AC17+1</f>
        <v>9</v>
      </c>
      <c r="AD18" s="78"/>
      <c r="AE18" s="82"/>
      <c r="AF18" s="82"/>
    </row>
    <row r="19" customFormat="false" ht="11.1" hidden="false" customHeight="true" outlineLevel="0" collapsed="false">
      <c r="A19" s="62" t="n">
        <f aca="false">A18+1</f>
        <v>10</v>
      </c>
      <c r="B19" s="80" t="n">
        <v>6917.31</v>
      </c>
      <c r="C19" s="57" t="n">
        <v>352068</v>
      </c>
      <c r="D19" s="61" t="n">
        <f aca="false">C19-C18</f>
        <v>805</v>
      </c>
      <c r="E19" s="57" t="n">
        <f aca="false">C19-152000</f>
        <v>200068</v>
      </c>
      <c r="F19" s="56" t="n">
        <f aca="false">D19/$D$2</f>
        <v>405.848248046383</v>
      </c>
      <c r="G19" s="56" t="n">
        <v>726</v>
      </c>
      <c r="H19" s="58" t="n">
        <v>0.56</v>
      </c>
      <c r="I19" s="56" t="n">
        <f aca="false">G19+H19</f>
        <v>726.56</v>
      </c>
      <c r="J19" s="81" t="n">
        <f aca="false">IF(L19&gt;0,L19,0)</f>
        <v>124.498248046383</v>
      </c>
      <c r="K19" s="56" t="n">
        <f aca="false">I19+J19</f>
        <v>851.058248046383</v>
      </c>
      <c r="L19" s="56" t="n">
        <f aca="false">F19-(I19-W19)</f>
        <v>124.498248046383</v>
      </c>
      <c r="M19" s="56" t="n">
        <v>105</v>
      </c>
      <c r="N19" s="56" t="n">
        <f aca="false">(2.21+1.99)*1.05</f>
        <v>4.41</v>
      </c>
      <c r="O19" s="56" t="n">
        <f aca="false">M19-N19</f>
        <v>100.59</v>
      </c>
      <c r="P19" s="56" t="n">
        <v>139.21</v>
      </c>
      <c r="Q19" s="56" t="n">
        <v>64</v>
      </c>
      <c r="R19" s="56" t="n">
        <f aca="false">SUM(O19:Q19)</f>
        <v>303.8</v>
      </c>
      <c r="S19" s="57" t="n">
        <f aca="false">(I19-R19)+S18</f>
        <v>16744.3525809176</v>
      </c>
      <c r="T19" s="56" t="n">
        <v>10</v>
      </c>
      <c r="U19" s="56" t="n">
        <v>127</v>
      </c>
      <c r="V19" s="57" t="n">
        <f aca="false">V18-U19</f>
        <v>13272.6188706831</v>
      </c>
      <c r="W19" s="56" t="n">
        <f aca="false">R19+T19+N19+U19</f>
        <v>445.21</v>
      </c>
      <c r="X19" s="56" t="n">
        <f aca="false">IF(L19&lt;0,L19*-1,0)</f>
        <v>0</v>
      </c>
      <c r="Y19" s="56" t="n">
        <f aca="false">W19+X19</f>
        <v>445.21</v>
      </c>
      <c r="Z19" s="60" t="n">
        <v>0.18</v>
      </c>
      <c r="AA19" s="61" t="n">
        <v>73</v>
      </c>
      <c r="AB19" s="61" t="n">
        <v>56</v>
      </c>
      <c r="AC19" s="62" t="n">
        <f aca="false">AC18+1</f>
        <v>10</v>
      </c>
      <c r="AD19" s="78"/>
      <c r="AE19" s="82"/>
      <c r="AF19" s="82"/>
    </row>
    <row r="20" customFormat="false" ht="11.1" hidden="false" customHeight="true" outlineLevel="0" collapsed="false">
      <c r="A20" s="62" t="n">
        <v>11</v>
      </c>
      <c r="B20" s="80" t="n">
        <v>6917.52</v>
      </c>
      <c r="C20" s="57" t="n">
        <v>352959</v>
      </c>
      <c r="D20" s="61" t="n">
        <f aca="false">C20-C19</f>
        <v>891</v>
      </c>
      <c r="E20" s="57" t="n">
        <f aca="false">C20-152000</f>
        <v>200959</v>
      </c>
      <c r="F20" s="56" t="n">
        <f aca="false">D20/$D$2</f>
        <v>449.205949079909</v>
      </c>
      <c r="G20" s="56" t="n">
        <v>902</v>
      </c>
      <c r="H20" s="58" t="n">
        <v>0.44</v>
      </c>
      <c r="I20" s="56" t="n">
        <f aca="false">G20+H20</f>
        <v>902.44</v>
      </c>
      <c r="J20" s="81" t="n">
        <f aca="false">IF(L20&gt;0,L20,0)</f>
        <v>0</v>
      </c>
      <c r="K20" s="56" t="n">
        <f aca="false">I20+J20</f>
        <v>902.44</v>
      </c>
      <c r="L20" s="56" t="n">
        <f aca="false">F20-(I20-W20)</f>
        <v>-61.6240509200908</v>
      </c>
      <c r="M20" s="56" t="n">
        <v>94</v>
      </c>
      <c r="N20" s="56" t="n">
        <v>0</v>
      </c>
      <c r="O20" s="56" t="n">
        <f aca="false">M20-N20</f>
        <v>94</v>
      </c>
      <c r="P20" s="56" t="n">
        <v>112.61</v>
      </c>
      <c r="Q20" s="56" t="n">
        <v>58</v>
      </c>
      <c r="R20" s="56" t="n">
        <f aca="false">SUM(O20:Q20)</f>
        <v>264.61</v>
      </c>
      <c r="S20" s="57" t="n">
        <f aca="false">(I20-R20)+S19</f>
        <v>17382.1825809176</v>
      </c>
      <c r="T20" s="56" t="n">
        <v>0</v>
      </c>
      <c r="U20" s="56" t="n">
        <v>127</v>
      </c>
      <c r="V20" s="57" t="n">
        <f aca="false">V19-U20</f>
        <v>13145.6188706831</v>
      </c>
      <c r="W20" s="56" t="n">
        <f aca="false">R20+T20+N20+U20</f>
        <v>391.61</v>
      </c>
      <c r="X20" s="56" t="n">
        <f aca="false">IF(L20&lt;0,L20*-1,0)</f>
        <v>61.6240509200908</v>
      </c>
      <c r="Y20" s="56" t="n">
        <f aca="false">W20+X20</f>
        <v>453.234050920091</v>
      </c>
      <c r="Z20" s="60" t="n">
        <v>0</v>
      </c>
      <c r="AA20" s="61" t="n">
        <v>78</v>
      </c>
      <c r="AB20" s="61" t="n">
        <v>52</v>
      </c>
      <c r="AC20" s="62" t="n">
        <v>11</v>
      </c>
      <c r="AD20" s="78"/>
      <c r="AE20" s="82"/>
      <c r="AF20" s="82"/>
    </row>
    <row r="21" customFormat="false" ht="11.1" hidden="false" customHeight="true" outlineLevel="0" collapsed="false">
      <c r="A21" s="62" t="n">
        <v>12</v>
      </c>
      <c r="B21" s="80" t="n">
        <v>6917.61</v>
      </c>
      <c r="C21" s="57" t="n">
        <v>353340</v>
      </c>
      <c r="D21" s="61" t="n">
        <f aca="false">C21-C20</f>
        <v>381</v>
      </c>
      <c r="E21" s="57" t="n">
        <f aca="false">C21-152000</f>
        <v>201340</v>
      </c>
      <c r="F21" s="56" t="n">
        <f aca="false">D21/$D$2</f>
        <v>192.08469876481</v>
      </c>
      <c r="G21" s="56" t="n">
        <v>636</v>
      </c>
      <c r="H21" s="58" t="n">
        <v>0.31</v>
      </c>
      <c r="I21" s="56" t="n">
        <f aca="false">G21+H21</f>
        <v>636.31</v>
      </c>
      <c r="J21" s="81" t="n">
        <f aca="false">IF(L21&gt;0,L21,0)</f>
        <v>0</v>
      </c>
      <c r="K21" s="56" t="n">
        <f aca="false">I21+J21</f>
        <v>636.31</v>
      </c>
      <c r="L21" s="56" t="n">
        <f aca="false">F21-(I21-W21)</f>
        <v>-29.4053012351903</v>
      </c>
      <c r="M21" s="56" t="n">
        <v>111</v>
      </c>
      <c r="N21" s="56" t="n">
        <f aca="false">(1.02+1.51)*1.05</f>
        <v>2.6565</v>
      </c>
      <c r="O21" s="56" t="n">
        <f aca="false">M21-N21</f>
        <v>108.3435</v>
      </c>
      <c r="P21" s="56" t="n">
        <v>96.82</v>
      </c>
      <c r="Q21" s="56" t="n">
        <v>51</v>
      </c>
      <c r="R21" s="56" t="n">
        <f aca="false">SUM(O21:Q21)</f>
        <v>256.1635</v>
      </c>
      <c r="S21" s="57" t="n">
        <f aca="false">(I21-R21)+S20</f>
        <v>17762.3290809176</v>
      </c>
      <c r="T21" s="56" t="n">
        <v>29</v>
      </c>
      <c r="U21" s="56" t="n">
        <v>127</v>
      </c>
      <c r="V21" s="57" t="n">
        <f aca="false">V20-U21</f>
        <v>13018.6188706831</v>
      </c>
      <c r="W21" s="56" t="n">
        <f aca="false">R21+T21+N21+U21</f>
        <v>414.82</v>
      </c>
      <c r="X21" s="56" t="n">
        <f aca="false">IF(L21&lt;0,L21*-1,0)</f>
        <v>29.4053012351903</v>
      </c>
      <c r="Y21" s="56" t="n">
        <f aca="false">W21+X21</f>
        <v>444.22530123519</v>
      </c>
      <c r="Z21" s="60" t="n">
        <v>0</v>
      </c>
      <c r="AA21" s="61" t="n">
        <v>81</v>
      </c>
      <c r="AB21" s="61" t="n">
        <v>52</v>
      </c>
      <c r="AC21" s="62" t="n">
        <v>12</v>
      </c>
      <c r="AD21" s="78"/>
      <c r="AE21" s="82"/>
      <c r="AF21" s="82"/>
    </row>
    <row r="22" customFormat="false" ht="11.1" hidden="false" customHeight="true" outlineLevel="0" collapsed="false">
      <c r="A22" s="62" t="n">
        <v>13</v>
      </c>
      <c r="B22" s="80" t="n">
        <v>6917.64</v>
      </c>
      <c r="C22" s="57" t="n">
        <v>353467</v>
      </c>
      <c r="D22" s="61" t="n">
        <f aca="false">C22-C21</f>
        <v>127</v>
      </c>
      <c r="E22" s="57" t="n">
        <f aca="false">C22-152000</f>
        <v>201467</v>
      </c>
      <c r="F22" s="56" t="n">
        <f aca="false">D22/$D$2</f>
        <v>64.0282329216032</v>
      </c>
      <c r="G22" s="56" t="n">
        <v>523</v>
      </c>
      <c r="H22" s="58" t="n">
        <v>0.19</v>
      </c>
      <c r="I22" s="56" t="n">
        <f aca="false">G22+H22</f>
        <v>523.19</v>
      </c>
      <c r="J22" s="81" t="n">
        <f aca="false">IF(L22&gt;0,L22,0)</f>
        <v>0</v>
      </c>
      <c r="K22" s="56" t="n">
        <f aca="false">I22+J22</f>
        <v>523.19</v>
      </c>
      <c r="L22" s="56" t="n">
        <f aca="false">F22-(I22-W22)</f>
        <v>-35.2217670783968</v>
      </c>
      <c r="M22" s="56" t="n">
        <v>117</v>
      </c>
      <c r="N22" s="56" t="n">
        <f aca="false">(4.6+4.69)*1.05</f>
        <v>9.7545</v>
      </c>
      <c r="O22" s="56" t="n">
        <f aca="false">M22-N22</f>
        <v>107.2455</v>
      </c>
      <c r="P22" s="56" t="n">
        <v>96.94</v>
      </c>
      <c r="Q22" s="56" t="n">
        <v>48</v>
      </c>
      <c r="R22" s="56" t="n">
        <f aca="false">SUM(O22:Q22)</f>
        <v>252.1855</v>
      </c>
      <c r="S22" s="57" t="n">
        <f aca="false">(I22-R22)+S21</f>
        <v>18033.3335809176</v>
      </c>
      <c r="T22" s="56" t="n">
        <v>35</v>
      </c>
      <c r="U22" s="56" t="n">
        <v>127</v>
      </c>
      <c r="V22" s="57" t="n">
        <f aca="false">V21-U22</f>
        <v>12891.6188706831</v>
      </c>
      <c r="W22" s="56" t="n">
        <f aca="false">R22+T22+N22+U22</f>
        <v>423.94</v>
      </c>
      <c r="X22" s="56" t="n">
        <f aca="false">IF(L22&lt;0,L22*-1,0)</f>
        <v>35.2217670783968</v>
      </c>
      <c r="Y22" s="56" t="n">
        <f aca="false">W22+X22</f>
        <v>459.161767078397</v>
      </c>
      <c r="Z22" s="60" t="n">
        <v>0</v>
      </c>
      <c r="AA22" s="61" t="n">
        <v>83</v>
      </c>
      <c r="AB22" s="61" t="n">
        <v>52</v>
      </c>
      <c r="AC22" s="62" t="n">
        <v>13</v>
      </c>
      <c r="AD22" s="78"/>
      <c r="AE22" s="82"/>
      <c r="AF22" s="82"/>
    </row>
    <row r="23" customFormat="false" ht="11.1" hidden="false" customHeight="true" outlineLevel="0" collapsed="false">
      <c r="A23" s="62" t="n">
        <v>14</v>
      </c>
      <c r="B23" s="80" t="n">
        <v>6917.61</v>
      </c>
      <c r="C23" s="57" t="n">
        <v>353340</v>
      </c>
      <c r="D23" s="61" t="n">
        <f aca="false">C23-C22</f>
        <v>-127</v>
      </c>
      <c r="E23" s="57" t="n">
        <f aca="false">C23-152000</f>
        <v>201340</v>
      </c>
      <c r="F23" s="56" t="n">
        <f aca="false">D23/$D$2</f>
        <v>-64.0282329216032</v>
      </c>
      <c r="G23" s="56" t="n">
        <v>480</v>
      </c>
      <c r="H23" s="58" t="n">
        <v>0.13</v>
      </c>
      <c r="I23" s="56" t="n">
        <f aca="false">G23+H23</f>
        <v>480.13</v>
      </c>
      <c r="J23" s="81" t="n">
        <f aca="false">IF(L23&gt;0,L23,0)</f>
        <v>0</v>
      </c>
      <c r="K23" s="56" t="n">
        <f aca="false">I23+J23</f>
        <v>480.13</v>
      </c>
      <c r="L23" s="56" t="n">
        <f aca="false">F23-(I23-W23)</f>
        <v>-117.298232921603</v>
      </c>
      <c r="M23" s="56" t="n">
        <v>133</v>
      </c>
      <c r="N23" s="56" t="n">
        <f aca="false">(6.07+6.14)*1.05</f>
        <v>12.8205</v>
      </c>
      <c r="O23" s="56" t="n">
        <f aca="false">M23-N23</f>
        <v>120.1795</v>
      </c>
      <c r="P23" s="56" t="n">
        <v>96.86</v>
      </c>
      <c r="Q23" s="56" t="n">
        <v>48</v>
      </c>
      <c r="R23" s="56" t="n">
        <f aca="false">SUM(O23:Q23)</f>
        <v>265.0395</v>
      </c>
      <c r="S23" s="57" t="n">
        <f aca="false">(I23-R23)+S22</f>
        <v>18248.4240809176</v>
      </c>
      <c r="T23" s="56" t="n">
        <v>22</v>
      </c>
      <c r="U23" s="56" t="n">
        <v>127</v>
      </c>
      <c r="V23" s="57" t="n">
        <f aca="false">V22-U23</f>
        <v>12764.6188706831</v>
      </c>
      <c r="W23" s="56" t="n">
        <f aca="false">R23+T23+N23+U23</f>
        <v>426.86</v>
      </c>
      <c r="X23" s="56" t="n">
        <f aca="false">IF(L23&lt;0,L23*-1,0)</f>
        <v>117.298232921603</v>
      </c>
      <c r="Y23" s="56" t="n">
        <f aca="false">W23+X23</f>
        <v>544.158232921603</v>
      </c>
      <c r="Z23" s="60" t="n">
        <v>0</v>
      </c>
      <c r="AA23" s="61" t="n">
        <v>80</v>
      </c>
      <c r="AB23" s="61" t="n">
        <v>53</v>
      </c>
      <c r="AC23" s="62" t="n">
        <v>14</v>
      </c>
      <c r="AD23" s="78"/>
      <c r="AE23" s="82"/>
      <c r="AF23" s="82"/>
    </row>
    <row r="24" customFormat="false" ht="11.1" hidden="false" customHeight="true" outlineLevel="0" collapsed="false">
      <c r="A24" s="62" t="n">
        <v>15</v>
      </c>
      <c r="B24" s="80" t="n">
        <v>6917.59</v>
      </c>
      <c r="C24" s="57" t="n">
        <v>353255</v>
      </c>
      <c r="D24" s="61" t="n">
        <f aca="false">C24-C23</f>
        <v>-85</v>
      </c>
      <c r="E24" s="57" t="n">
        <f aca="false">C24-152000</f>
        <v>201255</v>
      </c>
      <c r="F24" s="56" t="n">
        <f aca="false">D24/$D$2</f>
        <v>-42.8535417191833</v>
      </c>
      <c r="G24" s="56" t="n">
        <v>437</v>
      </c>
      <c r="H24" s="58" t="n">
        <v>0.13</v>
      </c>
      <c r="I24" s="56" t="n">
        <f aca="false">G24+H24</f>
        <v>437.13</v>
      </c>
      <c r="J24" s="81" t="n">
        <f aca="false">IF(L24&gt;0,L24,0)</f>
        <v>0</v>
      </c>
      <c r="K24" s="56" t="n">
        <f aca="false">I24+J24</f>
        <v>437.13</v>
      </c>
      <c r="L24" s="56" t="n">
        <f aca="false">F24-(I24-W24)</f>
        <v>-28.4635417191833</v>
      </c>
      <c r="M24" s="56" t="n">
        <v>144</v>
      </c>
      <c r="N24" s="56" t="n">
        <f aca="false">(12.87+15.4)*1.05</f>
        <v>29.6835</v>
      </c>
      <c r="O24" s="56" t="n">
        <f aca="false">M24-N24</f>
        <v>114.3165</v>
      </c>
      <c r="P24" s="56" t="n">
        <v>96.52</v>
      </c>
      <c r="Q24" s="56" t="n">
        <v>48</v>
      </c>
      <c r="R24" s="56" t="n">
        <f aca="false">SUM(O24:Q24)</f>
        <v>258.8365</v>
      </c>
      <c r="S24" s="57" t="n">
        <f aca="false">(I24-R24)+S23</f>
        <v>18426.7175809176</v>
      </c>
      <c r="T24" s="56" t="n">
        <v>36</v>
      </c>
      <c r="U24" s="56" t="n">
        <v>127</v>
      </c>
      <c r="V24" s="57" t="n">
        <f aca="false">V23-U24</f>
        <v>12637.6188706831</v>
      </c>
      <c r="W24" s="56" t="n">
        <f aca="false">R24+T24+N24+U24</f>
        <v>451.52</v>
      </c>
      <c r="X24" s="56" t="n">
        <f aca="false">IF(L24&lt;0,L24*-1,0)</f>
        <v>28.4635417191833</v>
      </c>
      <c r="Y24" s="56" t="n">
        <f aca="false">W24+X24</f>
        <v>479.983541719183</v>
      </c>
      <c r="Z24" s="60" t="n">
        <v>0</v>
      </c>
      <c r="AA24" s="61" t="n">
        <v>87</v>
      </c>
      <c r="AB24" s="61" t="n">
        <v>50</v>
      </c>
      <c r="AC24" s="62" t="n">
        <v>15</v>
      </c>
      <c r="AD24" s="78"/>
      <c r="AE24" s="82"/>
      <c r="AF24" s="82"/>
    </row>
    <row r="25" customFormat="false" ht="11.1" hidden="false" customHeight="true" outlineLevel="0" collapsed="false">
      <c r="A25" s="62" t="n">
        <v>16</v>
      </c>
      <c r="B25" s="80" t="n">
        <v>6917.52</v>
      </c>
      <c r="C25" s="57" t="n">
        <v>352959</v>
      </c>
      <c r="D25" s="61" t="n">
        <f aca="false">C25-C24</f>
        <v>-296</v>
      </c>
      <c r="E25" s="57" t="n">
        <f aca="false">C25-152000</f>
        <v>200959</v>
      </c>
      <c r="F25" s="56" t="n">
        <f aca="false">D25/$D$2</f>
        <v>-149.231157045626</v>
      </c>
      <c r="G25" s="56" t="n">
        <v>379</v>
      </c>
      <c r="H25" s="58" t="n">
        <v>0.35</v>
      </c>
      <c r="I25" s="56" t="n">
        <f aca="false">G25+H25</f>
        <v>379.35</v>
      </c>
      <c r="J25" s="81" t="n">
        <f aca="false">IF(L25&gt;0,L25,0)</f>
        <v>0</v>
      </c>
      <c r="K25" s="56" t="n">
        <f aca="false">I25+J25</f>
        <v>379.35</v>
      </c>
      <c r="L25" s="56" t="n">
        <f aca="false">F25-(I25-W25)</f>
        <v>-44.9911570456264</v>
      </c>
      <c r="M25" s="56" t="n">
        <v>171</v>
      </c>
      <c r="N25" s="56" t="n">
        <f aca="false">(13.79+16.69)*1.05</f>
        <v>32.004</v>
      </c>
      <c r="O25" s="56" t="n">
        <f aca="false">M25-N25</f>
        <v>138.996</v>
      </c>
      <c r="P25" s="56" t="n">
        <v>96.59</v>
      </c>
      <c r="Q25" s="56" t="n">
        <v>48</v>
      </c>
      <c r="R25" s="56" t="n">
        <f aca="false">SUM(O25:Q25)</f>
        <v>283.586</v>
      </c>
      <c r="S25" s="57" t="n">
        <f aca="false">(I25-R25)+S24</f>
        <v>18522.4815809176</v>
      </c>
      <c r="T25" s="56" t="n">
        <v>41</v>
      </c>
      <c r="U25" s="56" t="n">
        <v>127</v>
      </c>
      <c r="V25" s="57" t="n">
        <f aca="false">V24-U25</f>
        <v>12510.6188706831</v>
      </c>
      <c r="W25" s="56" t="n">
        <f aca="false">R25+T25+N25+U25</f>
        <v>483.59</v>
      </c>
      <c r="X25" s="56" t="n">
        <f aca="false">IF(L25&lt;0,L25*-1,0)</f>
        <v>44.9911570456264</v>
      </c>
      <c r="Y25" s="56" t="n">
        <f aca="false">W25+X25</f>
        <v>528.581157045626</v>
      </c>
      <c r="Z25" s="60" t="n">
        <v>0</v>
      </c>
      <c r="AA25" s="61" t="n">
        <v>85</v>
      </c>
      <c r="AB25" s="61" t="n">
        <v>52</v>
      </c>
      <c r="AC25" s="62" t="n">
        <v>16</v>
      </c>
      <c r="AD25" s="78"/>
      <c r="AE25" s="82"/>
      <c r="AF25" s="82"/>
    </row>
    <row r="26" customFormat="false" ht="11.1" hidden="false" customHeight="true" outlineLevel="0" collapsed="false">
      <c r="A26" s="62" t="n">
        <v>17</v>
      </c>
      <c r="B26" s="80" t="n">
        <v>6917.39</v>
      </c>
      <c r="C26" s="57" t="n">
        <v>352407</v>
      </c>
      <c r="D26" s="61" t="n">
        <f aca="false">C26-C25</f>
        <v>-552</v>
      </c>
      <c r="E26" s="57" t="n">
        <f aca="false">C26-152000</f>
        <v>200407</v>
      </c>
      <c r="F26" s="56" t="n">
        <f aca="false">D26/$D$2</f>
        <v>-278.295941517519</v>
      </c>
      <c r="G26" s="56" t="n">
        <v>337</v>
      </c>
      <c r="H26" s="58" t="n">
        <v>0.98</v>
      </c>
      <c r="I26" s="56" t="n">
        <f aca="false">G26+H26</f>
        <v>337.98</v>
      </c>
      <c r="J26" s="81" t="n">
        <f aca="false">IF(L26&gt;0,L26,0)</f>
        <v>0</v>
      </c>
      <c r="K26" s="56" t="n">
        <f aca="false">I26+J26</f>
        <v>337.98</v>
      </c>
      <c r="L26" s="56" t="n">
        <f aca="false">F26-(I26-W26)</f>
        <v>-105.66594151752</v>
      </c>
      <c r="M26" s="56" t="n">
        <v>185</v>
      </c>
      <c r="N26" s="56" t="n">
        <f aca="false">(26+25)*1.05</f>
        <v>53.55</v>
      </c>
      <c r="O26" s="56" t="n">
        <f aca="false">M26-N26</f>
        <v>131.45</v>
      </c>
      <c r="P26" s="56" t="n">
        <v>96.61</v>
      </c>
      <c r="Q26" s="56" t="n">
        <v>48</v>
      </c>
      <c r="R26" s="56" t="n">
        <f aca="false">SUM(O26:Q26)</f>
        <v>276.06</v>
      </c>
      <c r="S26" s="57" t="n">
        <f aca="false">(I26-R26)+S25</f>
        <v>18584.4015809176</v>
      </c>
      <c r="T26" s="56" t="n">
        <v>54</v>
      </c>
      <c r="U26" s="56" t="n">
        <v>127</v>
      </c>
      <c r="V26" s="57" t="n">
        <f aca="false">V25-U26</f>
        <v>12383.6188706831</v>
      </c>
      <c r="W26" s="56" t="n">
        <f aca="false">R26+T26+N26+U26</f>
        <v>510.61</v>
      </c>
      <c r="X26" s="56" t="n">
        <f aca="false">IF(L26&lt;0,L26*-1,0)</f>
        <v>105.66594151752</v>
      </c>
      <c r="Y26" s="56" t="n">
        <f aca="false">W26+X26</f>
        <v>616.27594151752</v>
      </c>
      <c r="Z26" s="60" t="n">
        <v>0</v>
      </c>
      <c r="AA26" s="61" t="n">
        <v>86</v>
      </c>
      <c r="AB26" s="61" t="n">
        <v>50</v>
      </c>
      <c r="AC26" s="62" t="n">
        <v>17</v>
      </c>
      <c r="AD26" s="78"/>
      <c r="AE26" s="82"/>
      <c r="AF26" s="82"/>
    </row>
    <row r="27" customFormat="false" ht="11.1" hidden="false" customHeight="true" outlineLevel="0" collapsed="false">
      <c r="A27" s="62" t="n">
        <v>18</v>
      </c>
      <c r="B27" s="80" t="n">
        <v>6917.26</v>
      </c>
      <c r="C27" s="57" t="n">
        <v>351856</v>
      </c>
      <c r="D27" s="61" t="n">
        <f aca="false">C27-C26</f>
        <v>-551</v>
      </c>
      <c r="E27" s="57" t="n">
        <f aca="false">C27-152000</f>
        <v>199856</v>
      </c>
      <c r="F27" s="56" t="n">
        <f aca="false">D27/$D$2</f>
        <v>-277.791782203176</v>
      </c>
      <c r="G27" s="56" t="n">
        <v>312</v>
      </c>
      <c r="H27" s="58" t="n">
        <v>1.3</v>
      </c>
      <c r="I27" s="56" t="n">
        <f aca="false">G27+H27</f>
        <v>313.3</v>
      </c>
      <c r="J27" s="81" t="n">
        <f aca="false">IF(L27&gt;0,L27,0)</f>
        <v>0</v>
      </c>
      <c r="K27" s="56" t="n">
        <f aca="false">I27+J27</f>
        <v>313.3</v>
      </c>
      <c r="L27" s="56" t="n">
        <f aca="false">F27-(I27-W27)</f>
        <v>-38.3017822031762</v>
      </c>
      <c r="M27" s="56" t="n">
        <v>209</v>
      </c>
      <c r="N27" s="56" t="n">
        <f aca="false">(20.92+20.4)*1.05</f>
        <v>43.386</v>
      </c>
      <c r="O27" s="56" t="n">
        <f aca="false">M27-N27</f>
        <v>165.614</v>
      </c>
      <c r="P27" s="56" t="n">
        <v>96.79</v>
      </c>
      <c r="Q27" s="56" t="n">
        <v>48</v>
      </c>
      <c r="R27" s="56" t="n">
        <f aca="false">SUM(O27:Q27)</f>
        <v>310.404</v>
      </c>
      <c r="S27" s="57" t="n">
        <f aca="false">(I27-R27)+S26</f>
        <v>18587.2975809176</v>
      </c>
      <c r="T27" s="56" t="n">
        <v>72</v>
      </c>
      <c r="U27" s="56" t="n">
        <v>127</v>
      </c>
      <c r="V27" s="57" t="n">
        <f aca="false">V26-U27</f>
        <v>12256.6188706831</v>
      </c>
      <c r="W27" s="56" t="n">
        <f aca="false">R27+T27+N27+U27</f>
        <v>552.79</v>
      </c>
      <c r="X27" s="56" t="n">
        <f aca="false">IF(L27&lt;0,L27*-1,0)</f>
        <v>38.3017822031762</v>
      </c>
      <c r="Y27" s="56" t="n">
        <f aca="false">W27+X27</f>
        <v>591.091782203176</v>
      </c>
      <c r="Z27" s="60" t="n">
        <v>0</v>
      </c>
      <c r="AA27" s="61" t="n">
        <v>83</v>
      </c>
      <c r="AB27" s="61" t="n">
        <v>53</v>
      </c>
      <c r="AC27" s="62" t="n">
        <v>18</v>
      </c>
      <c r="AD27" s="78"/>
      <c r="AE27" s="82"/>
      <c r="AF27" s="82"/>
    </row>
    <row r="28" customFormat="false" ht="11.1" hidden="false" customHeight="true" outlineLevel="0" collapsed="false">
      <c r="A28" s="62" t="n">
        <v>19</v>
      </c>
      <c r="B28" s="80" t="n">
        <v>6917.12</v>
      </c>
      <c r="C28" s="57" t="n">
        <v>351263</v>
      </c>
      <c r="D28" s="61" t="n">
        <f aca="false">C28-C27</f>
        <v>-593</v>
      </c>
      <c r="E28" s="57" t="n">
        <f aca="false">C28-152000</f>
        <v>199263</v>
      </c>
      <c r="F28" s="56" t="n">
        <f aca="false">D28/$D$2</f>
        <v>-298.966473405596</v>
      </c>
      <c r="G28" s="56" t="n">
        <v>310</v>
      </c>
      <c r="H28" s="58" t="n">
        <v>0.88</v>
      </c>
      <c r="I28" s="56" t="n">
        <f aca="false">G28+H28</f>
        <v>310.88</v>
      </c>
      <c r="J28" s="81" t="n">
        <f aca="false">IF(L28&gt;0,L28,0)</f>
        <v>0</v>
      </c>
      <c r="K28" s="56" t="n">
        <f aca="false">I28+J28</f>
        <v>310.88</v>
      </c>
      <c r="L28" s="56" t="n">
        <f aca="false">F28-(I28-W28)</f>
        <v>-14.4564734055962</v>
      </c>
      <c r="M28" s="56" t="n">
        <v>226</v>
      </c>
      <c r="N28" s="56" t="n">
        <f aca="false">(21.47+21.03)*1.05</f>
        <v>44.625</v>
      </c>
      <c r="O28" s="56" t="n">
        <f aca="false">M28-N28</f>
        <v>181.375</v>
      </c>
      <c r="P28" s="56" t="n">
        <v>96.39</v>
      </c>
      <c r="Q28" s="103" t="n">
        <v>52</v>
      </c>
      <c r="R28" s="56" t="n">
        <f aca="false">SUM(O28:Q28)</f>
        <v>329.765</v>
      </c>
      <c r="S28" s="57" t="n">
        <f aca="false">(I28-R28)+S27</f>
        <v>18568.4125809176</v>
      </c>
      <c r="T28" s="56" t="n">
        <v>93</v>
      </c>
      <c r="U28" s="56" t="n">
        <v>128</v>
      </c>
      <c r="V28" s="57" t="n">
        <f aca="false">V27-U28</f>
        <v>12128.6188706831</v>
      </c>
      <c r="W28" s="56" t="n">
        <f aca="false">R28+T28+N28+U28</f>
        <v>595.39</v>
      </c>
      <c r="X28" s="56" t="n">
        <f aca="false">IF(L28&lt;0,L28*-1,0)</f>
        <v>14.4564734055962</v>
      </c>
      <c r="Y28" s="56" t="n">
        <f aca="false">W28+X28</f>
        <v>609.846473405596</v>
      </c>
      <c r="Z28" s="60" t="n">
        <v>0</v>
      </c>
      <c r="AA28" s="61" t="n">
        <v>86</v>
      </c>
      <c r="AB28" s="61" t="n">
        <v>56</v>
      </c>
      <c r="AC28" s="62" t="n">
        <v>19</v>
      </c>
      <c r="AD28" s="78"/>
      <c r="AE28" s="82"/>
      <c r="AF28" s="82"/>
    </row>
    <row r="29" customFormat="false" ht="11.1" hidden="false" customHeight="true" outlineLevel="0" collapsed="false">
      <c r="A29" s="62" t="n">
        <v>20</v>
      </c>
      <c r="B29" s="80" t="n">
        <v>6916.91</v>
      </c>
      <c r="C29" s="57" t="n">
        <v>350375</v>
      </c>
      <c r="D29" s="61" t="n">
        <f aca="false">C29-C28</f>
        <v>-888</v>
      </c>
      <c r="E29" s="57" t="n">
        <f aca="false">C29-152000</f>
        <v>198375</v>
      </c>
      <c r="F29" s="56" t="n">
        <f aca="false">D29/$D$2</f>
        <v>-447.693471136879</v>
      </c>
      <c r="G29" s="56" t="n">
        <v>385</v>
      </c>
      <c r="H29" s="58" t="n">
        <v>0.96</v>
      </c>
      <c r="I29" s="56" t="n">
        <f aca="false">G29+H29</f>
        <v>385.96</v>
      </c>
      <c r="J29" s="81" t="n">
        <f aca="false">IF(L29&gt;0,L29,0)</f>
        <v>0</v>
      </c>
      <c r="K29" s="56" t="n">
        <f aca="false">I29+J29</f>
        <v>385.96</v>
      </c>
      <c r="L29" s="56" t="n">
        <f aca="false">F29-(I29-W29)</f>
        <v>-234.653471136879</v>
      </c>
      <c r="M29" s="56" t="n">
        <v>213</v>
      </c>
      <c r="N29" s="56" t="n">
        <f aca="false">(15.76+16.08)*1.05</f>
        <v>33.432</v>
      </c>
      <c r="O29" s="56" t="n">
        <f aca="false">M29-N29</f>
        <v>179.568</v>
      </c>
      <c r="P29" s="56" t="n">
        <v>98</v>
      </c>
      <c r="Q29" s="103" t="n">
        <v>51</v>
      </c>
      <c r="R29" s="56" t="n">
        <f aca="false">SUM(O29:Q29)</f>
        <v>328.568</v>
      </c>
      <c r="S29" s="57" t="n">
        <f aca="false">(I29-R29)+S28</f>
        <v>18625.8045809176</v>
      </c>
      <c r="T29" s="56" t="n">
        <v>108</v>
      </c>
      <c r="U29" s="56" t="n">
        <v>129</v>
      </c>
      <c r="V29" s="57" t="n">
        <f aca="false">V28-U29</f>
        <v>11999.6188706831</v>
      </c>
      <c r="W29" s="56" t="n">
        <f aca="false">R29+T29+N29+U29</f>
        <v>599</v>
      </c>
      <c r="X29" s="56" t="n">
        <f aca="false">IF(L29&lt;0,L29*-1,0)</f>
        <v>234.653471136879</v>
      </c>
      <c r="Y29" s="56" t="n">
        <f aca="false">W29+X29</f>
        <v>833.653471136879</v>
      </c>
      <c r="Z29" s="60" t="n">
        <v>0</v>
      </c>
      <c r="AA29" s="61" t="n">
        <v>89</v>
      </c>
      <c r="AB29" s="61" t="n">
        <v>56</v>
      </c>
      <c r="AC29" s="62" t="n">
        <v>20</v>
      </c>
      <c r="AD29" s="78"/>
      <c r="AE29" s="82"/>
      <c r="AF29" s="82"/>
    </row>
    <row r="30" customFormat="false" ht="11.1" hidden="false" customHeight="true" outlineLevel="0" collapsed="false">
      <c r="A30" s="62" t="n">
        <v>21</v>
      </c>
      <c r="B30" s="80" t="n">
        <v>6916.76</v>
      </c>
      <c r="C30" s="57" t="n">
        <v>349744</v>
      </c>
      <c r="D30" s="61" t="n">
        <f aca="false">C30-C29</f>
        <v>-631</v>
      </c>
      <c r="E30" s="57" t="n">
        <f aca="false">C30-152000</f>
        <v>197744</v>
      </c>
      <c r="F30" s="56" t="n">
        <f aca="false">D30/$D$2</f>
        <v>-318.124527350643</v>
      </c>
      <c r="G30" s="56" t="n">
        <v>252</v>
      </c>
      <c r="H30" s="58" t="n">
        <v>0.72</v>
      </c>
      <c r="I30" s="56" t="n">
        <f aca="false">G30+H30</f>
        <v>252.72</v>
      </c>
      <c r="J30" s="81" t="n">
        <f aca="false">IF(L30&gt;0,L30,0)</f>
        <v>41.1554726493572</v>
      </c>
      <c r="K30" s="56" t="n">
        <f aca="false">I30+J30</f>
        <v>293.875472649357</v>
      </c>
      <c r="L30" s="56" t="n">
        <f aca="false">F30-(I30-W30)</f>
        <v>41.1554726493572</v>
      </c>
      <c r="M30" s="56" t="n">
        <v>215</v>
      </c>
      <c r="N30" s="56" t="n">
        <f aca="false">(8.79+8.86)*1.05</f>
        <v>18.5325</v>
      </c>
      <c r="O30" s="56" t="n">
        <f aca="false">M30-N30</f>
        <v>196.4675</v>
      </c>
      <c r="P30" s="56" t="n">
        <v>99</v>
      </c>
      <c r="Q30" s="103" t="n">
        <v>53</v>
      </c>
      <c r="R30" s="56" t="n">
        <f aca="false">SUM(O30:Q30)</f>
        <v>348.4675</v>
      </c>
      <c r="S30" s="57" t="n">
        <f aca="false">(I30-R30)+S29</f>
        <v>18530.0570809176</v>
      </c>
      <c r="T30" s="56" t="n">
        <v>116</v>
      </c>
      <c r="U30" s="56" t="n">
        <v>129</v>
      </c>
      <c r="V30" s="57" t="n">
        <f aca="false">V29-U30</f>
        <v>11870.6188706831</v>
      </c>
      <c r="W30" s="56" t="n">
        <f aca="false">R30+T30+N30+U30</f>
        <v>612</v>
      </c>
      <c r="X30" s="56" t="n">
        <f aca="false">IF(L30&lt;0,L30*-1,0)</f>
        <v>0</v>
      </c>
      <c r="Y30" s="56" t="n">
        <f aca="false">W30+X30</f>
        <v>612</v>
      </c>
      <c r="Z30" s="60" t="n">
        <v>0</v>
      </c>
      <c r="AA30" s="61" t="n">
        <v>88</v>
      </c>
      <c r="AB30" s="61" t="n">
        <v>57</v>
      </c>
      <c r="AC30" s="62" t="n">
        <v>21</v>
      </c>
      <c r="AD30" s="78"/>
      <c r="AE30" s="82"/>
      <c r="AF30" s="82"/>
    </row>
    <row r="31" customFormat="false" ht="11.1" hidden="false" customHeight="true" outlineLevel="0" collapsed="false">
      <c r="A31" s="62" t="n">
        <v>22</v>
      </c>
      <c r="B31" s="80" t="n">
        <v>6916.56</v>
      </c>
      <c r="C31" s="57" t="n">
        <v>348903</v>
      </c>
      <c r="D31" s="61" t="n">
        <f aca="false">C31-C30</f>
        <v>-841</v>
      </c>
      <c r="E31" s="57" t="n">
        <f aca="false">C31-152000</f>
        <v>196903</v>
      </c>
      <c r="F31" s="56" t="n">
        <f aca="false">D31/$D$2</f>
        <v>-423.997983362743</v>
      </c>
      <c r="G31" s="56" t="n">
        <v>247</v>
      </c>
      <c r="H31" s="58" t="n">
        <v>1.2</v>
      </c>
      <c r="I31" s="56" t="n">
        <f aca="false">G31+H31</f>
        <v>248.2</v>
      </c>
      <c r="J31" s="81" t="n">
        <f aca="false">IF(L31&gt;0,L31,0)</f>
        <v>0</v>
      </c>
      <c r="K31" s="56" t="n">
        <f aca="false">I31+J31</f>
        <v>248.2</v>
      </c>
      <c r="L31" s="56" t="n">
        <f aca="false">F31-(I31-W31)</f>
        <v>-44.6479833627427</v>
      </c>
      <c r="M31" s="56" t="n">
        <v>224</v>
      </c>
      <c r="N31" s="56" t="n">
        <f aca="false">+(14+15)*1.05</f>
        <v>30.45</v>
      </c>
      <c r="O31" s="56" t="n">
        <f aca="false">M31-N31</f>
        <v>193.55</v>
      </c>
      <c r="P31" s="56" t="n">
        <v>98.55</v>
      </c>
      <c r="Q31" s="56" t="n">
        <v>57</v>
      </c>
      <c r="R31" s="56" t="n">
        <f aca="false">SUM(O31:Q31)</f>
        <v>349.1</v>
      </c>
      <c r="S31" s="57" t="n">
        <f aca="false">(I31-R31)+S30</f>
        <v>18429.1570809176</v>
      </c>
      <c r="T31" s="56" t="n">
        <v>119</v>
      </c>
      <c r="U31" s="56" t="n">
        <v>129</v>
      </c>
      <c r="V31" s="57" t="n">
        <f aca="false">V30-U31</f>
        <v>11741.6188706831</v>
      </c>
      <c r="W31" s="56" t="n">
        <f aca="false">R31+T31+N31+U31</f>
        <v>627.55</v>
      </c>
      <c r="X31" s="56" t="n">
        <f aca="false">IF(L31&lt;0,L31*-1,0)</f>
        <v>44.6479833627427</v>
      </c>
      <c r="Y31" s="56" t="n">
        <f aca="false">W31+X31</f>
        <v>672.197983362743</v>
      </c>
      <c r="Z31" s="60" t="n">
        <v>0</v>
      </c>
      <c r="AA31" s="61" t="n">
        <v>90</v>
      </c>
      <c r="AB31" s="61" t="n">
        <v>58</v>
      </c>
      <c r="AC31" s="62" t="n">
        <v>22</v>
      </c>
      <c r="AD31" s="78"/>
      <c r="AE31" s="82"/>
      <c r="AF31" s="82"/>
    </row>
    <row r="32" customFormat="false" ht="11.1" hidden="false" customHeight="true" outlineLevel="0" collapsed="false">
      <c r="A32" s="62" t="n">
        <v>23</v>
      </c>
      <c r="B32" s="80" t="n">
        <v>6916.37</v>
      </c>
      <c r="C32" s="57" t="n">
        <v>348103</v>
      </c>
      <c r="D32" s="61" t="n">
        <f aca="false">C32-C31</f>
        <v>-800</v>
      </c>
      <c r="E32" s="57" t="n">
        <f aca="false">C32-152000</f>
        <v>196103</v>
      </c>
      <c r="F32" s="56" t="n">
        <f aca="false">D32/$D$2</f>
        <v>-403.327451474666</v>
      </c>
      <c r="G32" s="56" t="n">
        <v>278</v>
      </c>
      <c r="H32" s="58" t="n">
        <v>1.8</v>
      </c>
      <c r="I32" s="56" t="n">
        <f aca="false">G32+H32</f>
        <v>279.8</v>
      </c>
      <c r="J32" s="81" t="n">
        <f aca="false">IF(L32&gt;0,L32,0)</f>
        <v>0</v>
      </c>
      <c r="K32" s="56" t="n">
        <f aca="false">I32+J32</f>
        <v>279.8</v>
      </c>
      <c r="L32" s="56" t="n">
        <f aca="false">F32-(I32-W32)</f>
        <v>-37.6774514746659</v>
      </c>
      <c r="M32" s="56" t="n">
        <v>231</v>
      </c>
      <c r="N32" s="56" t="n">
        <f aca="false">(20.06+20.84)*1.05</f>
        <v>42.945</v>
      </c>
      <c r="O32" s="56" t="n">
        <f aca="false">M32-N32</f>
        <v>188.055</v>
      </c>
      <c r="P32" s="56" t="n">
        <v>98.45</v>
      </c>
      <c r="Q32" s="56" t="n">
        <v>58</v>
      </c>
      <c r="R32" s="56" t="n">
        <f aca="false">SUM(O32:Q32)</f>
        <v>344.505</v>
      </c>
      <c r="S32" s="57" t="n">
        <f aca="false">(I32-R32)+S31</f>
        <v>18364.4520809176</v>
      </c>
      <c r="T32" s="56" t="n">
        <v>129</v>
      </c>
      <c r="U32" s="56" t="n">
        <v>129</v>
      </c>
      <c r="V32" s="57" t="n">
        <f aca="false">V31-U32</f>
        <v>11612.6188706831</v>
      </c>
      <c r="W32" s="56" t="n">
        <f aca="false">R32+T32+N32+U32</f>
        <v>645.45</v>
      </c>
      <c r="X32" s="56" t="n">
        <f aca="false">IF(L32&lt;0,L32*-1,0)</f>
        <v>37.6774514746659</v>
      </c>
      <c r="Y32" s="56" t="n">
        <f aca="false">W32+X32</f>
        <v>683.127451474666</v>
      </c>
      <c r="Z32" s="60" t="n">
        <v>0</v>
      </c>
      <c r="AA32" s="61" t="n">
        <v>89</v>
      </c>
      <c r="AB32" s="61" t="n">
        <v>56</v>
      </c>
      <c r="AC32" s="62" t="n">
        <v>23</v>
      </c>
      <c r="AD32" s="78"/>
      <c r="AE32" s="82"/>
      <c r="AF32" s="82"/>
    </row>
    <row r="33" customFormat="false" ht="11.1" hidden="false" customHeight="true" outlineLevel="0" collapsed="false">
      <c r="A33" s="62" t="n">
        <v>24</v>
      </c>
      <c r="B33" s="80" t="n">
        <v>6916.16</v>
      </c>
      <c r="C33" s="57" t="n">
        <v>347220</v>
      </c>
      <c r="D33" s="61" t="n">
        <f aca="false">C33-C32</f>
        <v>-883</v>
      </c>
      <c r="E33" s="57" t="n">
        <f aca="false">C33-152000</f>
        <v>195220</v>
      </c>
      <c r="F33" s="56" t="n">
        <f aca="false">D33/$D$2</f>
        <v>-445.172674565163</v>
      </c>
      <c r="G33" s="56" t="n">
        <v>269</v>
      </c>
      <c r="H33" s="58" t="n">
        <v>1.6</v>
      </c>
      <c r="I33" s="56" t="n">
        <f aca="false">G33+H33</f>
        <v>270.6</v>
      </c>
      <c r="J33" s="81" t="n">
        <f aca="false">IF(L33&gt;0,L33,0)</f>
        <v>0</v>
      </c>
      <c r="K33" s="56" t="n">
        <f aca="false">I33+J33</f>
        <v>270.6</v>
      </c>
      <c r="L33" s="56" t="n">
        <f aca="false">F33-(I33-W33)</f>
        <v>-64.4826745651627</v>
      </c>
      <c r="M33" s="56" t="n">
        <v>223</v>
      </c>
      <c r="N33" s="56" t="n">
        <f aca="false">(18.16+17.97)*1.05</f>
        <v>37.9365</v>
      </c>
      <c r="O33" s="56" t="n">
        <f aca="false">M33-N33</f>
        <v>185.0635</v>
      </c>
      <c r="P33" s="56" t="n">
        <v>98.29</v>
      </c>
      <c r="Q33" s="56" t="n">
        <v>58</v>
      </c>
      <c r="R33" s="56" t="n">
        <f aca="false">SUM(O33:Q33)</f>
        <v>341.3535</v>
      </c>
      <c r="S33" s="57" t="n">
        <f aca="false">(I33-R33)+S32</f>
        <v>18293.6985809176</v>
      </c>
      <c r="T33" s="56" t="n">
        <v>143</v>
      </c>
      <c r="U33" s="56" t="n">
        <v>129</v>
      </c>
      <c r="V33" s="57" t="n">
        <f aca="false">V32-U33</f>
        <v>11483.6188706831</v>
      </c>
      <c r="W33" s="56" t="n">
        <f aca="false">R33+T33+N33+U33</f>
        <v>651.29</v>
      </c>
      <c r="X33" s="56" t="n">
        <f aca="false">IF(L33&lt;0,L33*-1,0)</f>
        <v>64.4826745651627</v>
      </c>
      <c r="Y33" s="56" t="n">
        <f aca="false">W33+X33</f>
        <v>715.772674565163</v>
      </c>
      <c r="Z33" s="60" t="n">
        <v>0</v>
      </c>
      <c r="AA33" s="61" t="n">
        <v>88</v>
      </c>
      <c r="AB33" s="61" t="n">
        <v>57</v>
      </c>
      <c r="AC33" s="62" t="n">
        <v>24</v>
      </c>
      <c r="AD33" s="78"/>
      <c r="AE33" s="82"/>
      <c r="AF33" s="82"/>
    </row>
    <row r="34" customFormat="false" ht="11.1" hidden="false" customHeight="true" outlineLevel="0" collapsed="false">
      <c r="A34" s="62" t="n">
        <v>25</v>
      </c>
      <c r="B34" s="80" t="n">
        <v>6915.94</v>
      </c>
      <c r="C34" s="57" t="n">
        <v>346296</v>
      </c>
      <c r="D34" s="61" t="n">
        <f aca="false">C34-C33</f>
        <v>-924</v>
      </c>
      <c r="E34" s="57" t="n">
        <f aca="false">C34-152000</f>
        <v>194296</v>
      </c>
      <c r="F34" s="56" t="n">
        <f aca="false">D34/$D$2</f>
        <v>-465.843206453239</v>
      </c>
      <c r="G34" s="56" t="n">
        <v>272</v>
      </c>
      <c r="H34" s="58" t="n">
        <v>1.5</v>
      </c>
      <c r="I34" s="56" t="n">
        <f aca="false">G34+H34</f>
        <v>273.5</v>
      </c>
      <c r="J34" s="81" t="n">
        <f aca="false">IF(L34&gt;0,L34,0)</f>
        <v>0</v>
      </c>
      <c r="K34" s="56" t="n">
        <f aca="false">I34+J34</f>
        <v>273.5</v>
      </c>
      <c r="L34" s="56" t="n">
        <f aca="false">F34-(I34-W34)</f>
        <v>-50.3532064532393</v>
      </c>
      <c r="M34" s="56" t="n">
        <v>250</v>
      </c>
      <c r="N34" s="56" t="n">
        <f aca="false">(22+21)*1.05</f>
        <v>45.15</v>
      </c>
      <c r="O34" s="56" t="n">
        <f aca="false">M34-N34</f>
        <v>204.85</v>
      </c>
      <c r="P34" s="56" t="n">
        <v>97.99</v>
      </c>
      <c r="Q34" s="56" t="n">
        <v>61</v>
      </c>
      <c r="R34" s="56" t="n">
        <f aca="false">SUM(O34:Q34)</f>
        <v>363.84</v>
      </c>
      <c r="S34" s="57" t="n">
        <f aca="false">(I34-R34)+S33</f>
        <v>18203.3585809176</v>
      </c>
      <c r="T34" s="56" t="n">
        <v>151</v>
      </c>
      <c r="U34" s="56" t="n">
        <v>129</v>
      </c>
      <c r="V34" s="57" t="n">
        <f aca="false">V33-U34</f>
        <v>11354.6188706831</v>
      </c>
      <c r="W34" s="56" t="n">
        <f aca="false">R34+T34+N34+U34</f>
        <v>688.99</v>
      </c>
      <c r="X34" s="56" t="n">
        <f aca="false">IF(L34&lt;0,L34*-1,0)</f>
        <v>50.3532064532393</v>
      </c>
      <c r="Y34" s="56" t="n">
        <f aca="false">W34+X34</f>
        <v>739.343206453239</v>
      </c>
      <c r="Z34" s="60" t="n">
        <v>0</v>
      </c>
      <c r="AA34" s="61" t="n">
        <v>83</v>
      </c>
      <c r="AB34" s="61" t="n">
        <v>56</v>
      </c>
      <c r="AC34" s="62" t="n">
        <v>25</v>
      </c>
      <c r="AD34" s="78"/>
      <c r="AE34" s="82"/>
      <c r="AF34" s="82"/>
    </row>
    <row r="35" customFormat="false" ht="11.1" hidden="false" customHeight="true" outlineLevel="0" collapsed="false">
      <c r="A35" s="62" t="n">
        <v>26</v>
      </c>
      <c r="B35" s="80" t="n">
        <v>6915.78</v>
      </c>
      <c r="C35" s="57" t="n">
        <v>345628</v>
      </c>
      <c r="D35" s="61" t="n">
        <f aca="false">C35-C34</f>
        <v>-668</v>
      </c>
      <c r="E35" s="57" t="n">
        <f aca="false">C35-152000</f>
        <v>193628</v>
      </c>
      <c r="F35" s="56" t="n">
        <f aca="false">D35/$D$2</f>
        <v>-336.778421981346</v>
      </c>
      <c r="G35" s="56" t="n">
        <v>419</v>
      </c>
      <c r="H35" s="58" t="n">
        <v>1.9</v>
      </c>
      <c r="I35" s="56" t="n">
        <f aca="false">G35+H35</f>
        <v>420.9</v>
      </c>
      <c r="J35" s="81" t="n">
        <f aca="false">IF(L35&gt;0,L35,0)</f>
        <v>0</v>
      </c>
      <c r="K35" s="56" t="n">
        <f aca="false">I35+J35</f>
        <v>420.9</v>
      </c>
      <c r="L35" s="56" t="n">
        <f aca="false">F35-(I35-W35)</f>
        <v>-20.0084219813461</v>
      </c>
      <c r="M35" s="56" t="n">
        <v>268</v>
      </c>
      <c r="N35" s="56" t="n">
        <f aca="false">(29+29)*1.05</f>
        <v>60.9</v>
      </c>
      <c r="O35" s="56" t="n">
        <f aca="false">M35-N35</f>
        <v>207.1</v>
      </c>
      <c r="P35" s="56" t="n">
        <v>97.67</v>
      </c>
      <c r="Q35" s="56" t="n">
        <v>63</v>
      </c>
      <c r="R35" s="56" t="n">
        <f aca="false">SUM(O35:Q35)</f>
        <v>367.77</v>
      </c>
      <c r="S35" s="57" t="n">
        <f aca="false">(I35-R35)+S34</f>
        <v>18256.4885809176</v>
      </c>
      <c r="T35" s="56" t="n">
        <v>179</v>
      </c>
      <c r="U35" s="56" t="n">
        <v>130</v>
      </c>
      <c r="V35" s="57" t="n">
        <f aca="false">V34-U35</f>
        <v>11224.6188706831</v>
      </c>
      <c r="W35" s="56" t="n">
        <f aca="false">R35+T35+N35+U35</f>
        <v>737.67</v>
      </c>
      <c r="X35" s="56" t="n">
        <f aca="false">IF(L35&lt;0,L35*-1,0)</f>
        <v>20.0084219813461</v>
      </c>
      <c r="Y35" s="56" t="n">
        <f aca="false">W35+X35</f>
        <v>757.678421981346</v>
      </c>
      <c r="Z35" s="60" t="n">
        <v>0</v>
      </c>
      <c r="AA35" s="61" t="n">
        <v>81</v>
      </c>
      <c r="AB35" s="61" t="n">
        <v>56</v>
      </c>
      <c r="AC35" s="62" t="n">
        <v>26</v>
      </c>
      <c r="AD35" s="78"/>
      <c r="AE35" s="82"/>
      <c r="AF35" s="82"/>
    </row>
    <row r="36" customFormat="false" ht="11.1" hidden="false" customHeight="true" outlineLevel="0" collapsed="false">
      <c r="A36" s="62" t="n">
        <v>27</v>
      </c>
      <c r="B36" s="80" t="n">
        <v>6915.59</v>
      </c>
      <c r="C36" s="57" t="n">
        <v>344835</v>
      </c>
      <c r="D36" s="61" t="n">
        <f aca="false">C36-C35</f>
        <v>-793</v>
      </c>
      <c r="E36" s="57" t="n">
        <f aca="false">C36-152000</f>
        <v>192835</v>
      </c>
      <c r="F36" s="56" t="n">
        <f aca="false">D36/$D$2</f>
        <v>-399.798336274263</v>
      </c>
      <c r="G36" s="56" t="n">
        <v>395</v>
      </c>
      <c r="H36" s="58" t="n">
        <v>1.9</v>
      </c>
      <c r="I36" s="56" t="n">
        <f aca="false">G36+H36</f>
        <v>396.9</v>
      </c>
      <c r="J36" s="81" t="n">
        <f aca="false">IF(L36&gt;0,L36,0)</f>
        <v>0</v>
      </c>
      <c r="K36" s="56" t="n">
        <f aca="false">I36+J36</f>
        <v>396.9</v>
      </c>
      <c r="L36" s="56" t="n">
        <f aca="false">F36-(I36-W36)</f>
        <v>-54.2483362742626</v>
      </c>
      <c r="M36" s="56" t="n">
        <v>258</v>
      </c>
      <c r="N36" s="56" t="n">
        <f aca="false">(29.55+29.01)*1.05</f>
        <v>61.488</v>
      </c>
      <c r="O36" s="56" t="n">
        <f aca="false">M36-N36</f>
        <v>196.512</v>
      </c>
      <c r="P36" s="56" t="n">
        <v>97.45</v>
      </c>
      <c r="Q36" s="56" t="n">
        <v>62</v>
      </c>
      <c r="R36" s="56" t="n">
        <f aca="false">SUM(O36:Q36)</f>
        <v>355.962</v>
      </c>
      <c r="S36" s="57" t="n">
        <f aca="false">(I36-R36)+S35</f>
        <v>18297.4265809176</v>
      </c>
      <c r="T36" s="56" t="n">
        <v>195</v>
      </c>
      <c r="U36" s="56" t="n">
        <v>130</v>
      </c>
      <c r="V36" s="57" t="n">
        <f aca="false">V35-U36</f>
        <v>11094.6188706831</v>
      </c>
      <c r="W36" s="56" t="n">
        <f aca="false">R36+T36+N36+U36</f>
        <v>742.45</v>
      </c>
      <c r="X36" s="56" t="n">
        <f aca="false">IF(L36&lt;0,L36*-1,0)</f>
        <v>54.2483362742626</v>
      </c>
      <c r="Y36" s="56" t="n">
        <f aca="false">W36+X36</f>
        <v>796.698336274263</v>
      </c>
      <c r="Z36" s="60" t="n">
        <v>0</v>
      </c>
      <c r="AA36" s="61" t="n">
        <v>86</v>
      </c>
      <c r="AB36" s="61" t="n">
        <v>54</v>
      </c>
      <c r="AC36" s="62" t="n">
        <v>27</v>
      </c>
      <c r="AD36" s="78"/>
      <c r="AE36" s="82"/>
      <c r="AF36" s="82"/>
    </row>
    <row r="37" customFormat="false" ht="11.1" hidden="false" customHeight="true" outlineLevel="0" collapsed="false">
      <c r="A37" s="134" t="n">
        <v>28</v>
      </c>
      <c r="B37" s="108" t="n">
        <v>6915.36</v>
      </c>
      <c r="C37" s="109" t="n">
        <v>343875</v>
      </c>
      <c r="D37" s="131" t="n">
        <f aca="false">C37-C36</f>
        <v>-960</v>
      </c>
      <c r="E37" s="109" t="n">
        <f aca="false">C37-152000</f>
        <v>191875</v>
      </c>
      <c r="F37" s="103" t="n">
        <f aca="false">D37/$D$2</f>
        <v>-483.992941769599</v>
      </c>
      <c r="G37" s="103" t="n">
        <v>309</v>
      </c>
      <c r="H37" s="102" t="n">
        <v>1.3</v>
      </c>
      <c r="I37" s="103" t="n">
        <f aca="false">G37+H37</f>
        <v>310.3</v>
      </c>
      <c r="J37" s="135" t="n">
        <f aca="false">IF(L37&gt;0,L37,0)</f>
        <v>0</v>
      </c>
      <c r="K37" s="103" t="n">
        <f aca="false">I37+J37</f>
        <v>310.3</v>
      </c>
      <c r="L37" s="103" t="n">
        <f aca="false">F37-(I37-W37)</f>
        <v>-18.1229417695991</v>
      </c>
      <c r="M37" s="103" t="n">
        <v>282</v>
      </c>
      <c r="N37" s="103" t="n">
        <f aca="false">(27.74+27.48)*1.05</f>
        <v>57.981</v>
      </c>
      <c r="O37" s="103" t="n">
        <f aca="false">M37-N37</f>
        <v>224.019</v>
      </c>
      <c r="P37" s="103" t="n">
        <v>97.17</v>
      </c>
      <c r="Q37" s="103" t="n">
        <v>62</v>
      </c>
      <c r="R37" s="103" t="n">
        <f aca="false">SUM(O37:Q37)</f>
        <v>383.189</v>
      </c>
      <c r="S37" s="109" t="n">
        <f aca="false">(I37-R37)+S36</f>
        <v>18224.5375809176</v>
      </c>
      <c r="T37" s="103" t="n">
        <v>205</v>
      </c>
      <c r="U37" s="103" t="n">
        <v>130</v>
      </c>
      <c r="V37" s="109" t="n">
        <f aca="false">V36-U37</f>
        <v>10964.6188706831</v>
      </c>
      <c r="W37" s="103" t="n">
        <f aca="false">R37+T37+N37+U37</f>
        <v>776.17</v>
      </c>
      <c r="X37" s="103" t="n">
        <f aca="false">IF(L37&lt;0,L37*-1,0)</f>
        <v>18.1229417695991</v>
      </c>
      <c r="Y37" s="103" t="n">
        <f aca="false">W37+X37</f>
        <v>794.292941769599</v>
      </c>
      <c r="Z37" s="96" t="n">
        <v>0</v>
      </c>
      <c r="AA37" s="131" t="n">
        <v>84</v>
      </c>
      <c r="AB37" s="131" t="n">
        <v>56</v>
      </c>
      <c r="AC37" s="134" t="n">
        <v>28</v>
      </c>
      <c r="AD37" s="78"/>
      <c r="AE37" s="82"/>
      <c r="AF37" s="82"/>
    </row>
    <row r="38" customFormat="false" ht="11.1" hidden="false" customHeight="true" outlineLevel="0" collapsed="false">
      <c r="A38" s="134" t="n">
        <v>29</v>
      </c>
      <c r="B38" s="108" t="n">
        <v>6915.08</v>
      </c>
      <c r="C38" s="109" t="n">
        <v>342706</v>
      </c>
      <c r="D38" s="131" t="n">
        <f aca="false">C38-C37</f>
        <v>-1169</v>
      </c>
      <c r="E38" s="109" t="n">
        <f aca="false">C38-152000</f>
        <v>190706</v>
      </c>
      <c r="F38" s="103" t="n">
        <f aca="false">D38/$D$2</f>
        <v>-589.362238467356</v>
      </c>
      <c r="G38" s="103" t="n">
        <v>268</v>
      </c>
      <c r="H38" s="102" t="n">
        <v>1.2</v>
      </c>
      <c r="I38" s="103" t="n">
        <f aca="false">G38+H38</f>
        <v>269.2</v>
      </c>
      <c r="J38" s="135" t="n">
        <f aca="false">IF(L38&gt;0,L38,0)</f>
        <v>0</v>
      </c>
      <c r="K38" s="103" t="n">
        <f aca="false">I38+J38</f>
        <v>269.2</v>
      </c>
      <c r="L38" s="103" t="n">
        <f aca="false">F38-(I38-W38)</f>
        <v>-97.6822384673557</v>
      </c>
      <c r="M38" s="103" t="n">
        <v>272</v>
      </c>
      <c r="N38" s="103" t="n">
        <f aca="false">(33.03+31.74)*1.05</f>
        <v>68.0085</v>
      </c>
      <c r="O38" s="103" t="n">
        <f aca="false">M38-N38</f>
        <v>203.9915</v>
      </c>
      <c r="P38" s="103" t="n">
        <v>96.88</v>
      </c>
      <c r="Q38" s="103" t="n">
        <v>62</v>
      </c>
      <c r="R38" s="103" t="n">
        <f aca="false">SUM(O38:Q38)</f>
        <v>362.8715</v>
      </c>
      <c r="S38" s="109" t="n">
        <f aca="false">(I38-R38)+S37</f>
        <v>18130.8660809176</v>
      </c>
      <c r="T38" s="103" t="n">
        <v>200</v>
      </c>
      <c r="U38" s="103" t="n">
        <v>130</v>
      </c>
      <c r="V38" s="109" t="n">
        <f aca="false">V37-U38</f>
        <v>10834.6188706831</v>
      </c>
      <c r="W38" s="103" t="n">
        <f aca="false">R38+T38+N38+U38</f>
        <v>760.88</v>
      </c>
      <c r="X38" s="103" t="n">
        <f aca="false">IF(L38&lt;0,L38*-1,0)</f>
        <v>97.6822384673557</v>
      </c>
      <c r="Y38" s="103" t="n">
        <f aca="false">W38+X38</f>
        <v>858.562238467356</v>
      </c>
      <c r="Z38" s="96" t="n">
        <v>0.02</v>
      </c>
      <c r="AA38" s="131" t="n">
        <v>82</v>
      </c>
      <c r="AB38" s="131" t="n">
        <v>55</v>
      </c>
      <c r="AC38" s="134" t="n">
        <v>29</v>
      </c>
      <c r="AD38" s="78"/>
      <c r="AE38" s="82"/>
      <c r="AF38" s="82"/>
    </row>
    <row r="39" customFormat="false" ht="11.1" hidden="false" customHeight="true" outlineLevel="0" collapsed="false">
      <c r="A39" s="134" t="n">
        <v>30</v>
      </c>
      <c r="B39" s="108" t="n">
        <v>6914.83</v>
      </c>
      <c r="C39" s="109" t="n">
        <v>341668</v>
      </c>
      <c r="D39" s="131" t="n">
        <f aca="false">C39-C38</f>
        <v>-1038</v>
      </c>
      <c r="E39" s="109" t="n">
        <f aca="false">C39-152000</f>
        <v>189668</v>
      </c>
      <c r="F39" s="103" t="n">
        <f aca="false">D39/$D$2</f>
        <v>-523.317368288379</v>
      </c>
      <c r="G39" s="103" t="n">
        <v>261</v>
      </c>
      <c r="H39" s="102" t="n">
        <v>1.4</v>
      </c>
      <c r="I39" s="103" t="n">
        <f aca="false">G39+H39</f>
        <v>262.4</v>
      </c>
      <c r="J39" s="135" t="n">
        <f aca="false">IF(L39&gt;0,L39,0)</f>
        <v>0</v>
      </c>
      <c r="K39" s="103" t="n">
        <f aca="false">I39+J39</f>
        <v>262.4</v>
      </c>
      <c r="L39" s="103" t="n">
        <f aca="false">F39-(I39-W39)</f>
        <v>-52.3673682883791</v>
      </c>
      <c r="M39" s="103" t="n">
        <v>251</v>
      </c>
      <c r="N39" s="103" t="n">
        <f aca="false">(23.1+23.04)*1.05</f>
        <v>48.447</v>
      </c>
      <c r="O39" s="103" t="n">
        <f aca="false">M39-N39</f>
        <v>202.553</v>
      </c>
      <c r="P39" s="103" t="n">
        <v>96.35</v>
      </c>
      <c r="Q39" s="103" t="n">
        <v>62</v>
      </c>
      <c r="R39" s="103" t="n">
        <f aca="false">SUM(O39:Q39)</f>
        <v>360.903</v>
      </c>
      <c r="S39" s="109" t="n">
        <f aca="false">(I39-R39)+S38</f>
        <v>18032.3630809176</v>
      </c>
      <c r="T39" s="103" t="n">
        <v>194</v>
      </c>
      <c r="U39" s="103" t="n">
        <v>130</v>
      </c>
      <c r="V39" s="109" t="n">
        <f aca="false">V38-U39</f>
        <v>10704.6188706831</v>
      </c>
      <c r="W39" s="103" t="n">
        <f aca="false">R39+T39+N39+U39</f>
        <v>733.35</v>
      </c>
      <c r="X39" s="103" t="n">
        <f aca="false">IF(L39&lt;0,L39*-1,0)</f>
        <v>52.3673682883791</v>
      </c>
      <c r="Y39" s="103" t="n">
        <f aca="false">W39+X39</f>
        <v>785.717368288379</v>
      </c>
      <c r="Z39" s="96" t="n">
        <v>0.21</v>
      </c>
      <c r="AA39" s="131" t="n">
        <v>82</v>
      </c>
      <c r="AB39" s="131" t="n">
        <v>56</v>
      </c>
      <c r="AC39" s="134" t="n">
        <v>30</v>
      </c>
      <c r="AD39" s="78"/>
      <c r="AE39" s="82"/>
      <c r="AF39" s="82"/>
    </row>
    <row r="40" customFormat="false" ht="11.1" hidden="false" customHeight="true" outlineLevel="0" collapsed="false">
      <c r="A40" s="134" t="n">
        <v>31</v>
      </c>
      <c r="B40" s="108" t="n">
        <v>6914.63</v>
      </c>
      <c r="C40" s="109" t="n">
        <v>340840</v>
      </c>
      <c r="D40" s="131" t="n">
        <f aca="false">C40-C39</f>
        <v>-828</v>
      </c>
      <c r="E40" s="109" t="n">
        <f aca="false">C40-152000</f>
        <v>188840</v>
      </c>
      <c r="F40" s="103" t="n">
        <f aca="false">D40/$D$2</f>
        <v>-417.443912276279</v>
      </c>
      <c r="G40" s="103" t="n">
        <v>311</v>
      </c>
      <c r="H40" s="102" t="n">
        <v>1.7</v>
      </c>
      <c r="I40" s="103" t="n">
        <f aca="false">G40+H40</f>
        <v>312.7</v>
      </c>
      <c r="J40" s="135" t="n">
        <f aca="false">IF(L40&gt;0,L40,0)</f>
        <v>0</v>
      </c>
      <c r="K40" s="103" t="n">
        <f aca="false">I40+J40</f>
        <v>312.7</v>
      </c>
      <c r="L40" s="103" t="n">
        <f aca="false">F40-(I40-W40)</f>
        <v>-19.4539122762794</v>
      </c>
      <c r="M40" s="103" t="n">
        <v>241</v>
      </c>
      <c r="N40" s="103" t="n">
        <f aca="false">(22.37+22.42)*1.05</f>
        <v>47.0295</v>
      </c>
      <c r="O40" s="103" t="n">
        <f aca="false">M40-N40</f>
        <v>193.9705</v>
      </c>
      <c r="P40" s="103" t="n">
        <v>96.69</v>
      </c>
      <c r="Q40" s="103" t="n">
        <v>63</v>
      </c>
      <c r="R40" s="103" t="n">
        <f aca="false">SUM(O40:Q40)</f>
        <v>353.6605</v>
      </c>
      <c r="S40" s="109" t="n">
        <f aca="false">(I40-R40)+S39</f>
        <v>17991.4025809176</v>
      </c>
      <c r="T40" s="103" t="n">
        <v>180</v>
      </c>
      <c r="U40" s="103" t="n">
        <v>130</v>
      </c>
      <c r="V40" s="109" t="n">
        <f aca="false">V39-U40</f>
        <v>10574.6188706831</v>
      </c>
      <c r="W40" s="103" t="n">
        <f aca="false">R40+T40+N40+U40</f>
        <v>710.69</v>
      </c>
      <c r="X40" s="103" t="n">
        <f aca="false">IF(L40&lt;0,L40*-1,0)</f>
        <v>19.4539122762794</v>
      </c>
      <c r="Y40" s="103" t="n">
        <f aca="false">W40+X40</f>
        <v>730.143912276279</v>
      </c>
      <c r="Z40" s="96" t="n">
        <v>0.04</v>
      </c>
      <c r="AA40" s="131" t="n">
        <v>77</v>
      </c>
      <c r="AB40" s="131" t="n">
        <v>54</v>
      </c>
      <c r="AC40" s="134" t="n">
        <v>31</v>
      </c>
      <c r="AD40" s="78"/>
      <c r="AE40" s="82"/>
      <c r="AF40" s="82"/>
    </row>
    <row r="41" customFormat="false" ht="3" hidden="false" customHeight="true" outlineLevel="0" collapsed="false">
      <c r="A41" s="83"/>
      <c r="B41" s="83"/>
      <c r="C41" s="85"/>
      <c r="D41" s="83"/>
      <c r="E41" s="85"/>
      <c r="F41" s="83"/>
      <c r="G41" s="83"/>
      <c r="H41" s="86"/>
      <c r="I41" s="83"/>
      <c r="J41" s="83"/>
      <c r="K41" s="83"/>
      <c r="L41" s="83"/>
      <c r="M41" s="83"/>
      <c r="N41" s="83"/>
      <c r="O41" s="83"/>
      <c r="P41" s="83"/>
      <c r="Q41" s="83"/>
      <c r="R41" s="83"/>
      <c r="S41" s="85"/>
      <c r="T41" s="83"/>
      <c r="U41" s="83"/>
      <c r="V41" s="83"/>
      <c r="W41" s="83"/>
      <c r="X41" s="83"/>
      <c r="Y41" s="83"/>
      <c r="Z41" s="87"/>
      <c r="AA41" s="88" t="n">
        <v>73</v>
      </c>
      <c r="AB41" s="88"/>
      <c r="AC41" s="89"/>
      <c r="AD41" s="78"/>
      <c r="AE41" s="78"/>
      <c r="AF41" s="79"/>
    </row>
    <row r="42" customFormat="false" ht="11.1" hidden="false" customHeight="true" outlineLevel="0" collapsed="false">
      <c r="A42" s="56" t="s">
        <v>45</v>
      </c>
      <c r="B42" s="56"/>
      <c r="C42" s="57"/>
      <c r="D42" s="57"/>
      <c r="E42" s="57"/>
      <c r="F42" s="57" t="n">
        <f aca="false">SUM(F10:F40)</f>
        <v>-5019.41013360222</v>
      </c>
      <c r="G42" s="57" t="n">
        <f aca="false">SUM(G10:G40)</f>
        <v>14139</v>
      </c>
      <c r="H42" s="57" t="n">
        <f aca="false">SUM(H10:H40)</f>
        <v>29.28</v>
      </c>
      <c r="I42" s="57" t="n">
        <f aca="false">SUM(I10:I40)</f>
        <v>14168.28</v>
      </c>
      <c r="J42" s="57" t="n">
        <f aca="false">SUM(J10:J40)</f>
        <v>206.59902949332</v>
      </c>
      <c r="K42" s="57" t="n">
        <f aca="false">SUM(K10:K40)</f>
        <v>14374.8790294933</v>
      </c>
      <c r="L42" s="57" t="n">
        <f aca="false">SUM(L10:L40)</f>
        <v>-1289.35013360222</v>
      </c>
      <c r="M42" s="57" t="n">
        <f aca="false">SUM(M10:M40)</f>
        <v>5723</v>
      </c>
      <c r="N42" s="57" t="n">
        <f aca="false">SUM(N10:N40)</f>
        <v>967.7535</v>
      </c>
      <c r="O42" s="57" t="n">
        <f aca="false">SUM(O10:O40)</f>
        <v>4755.2465</v>
      </c>
      <c r="P42" s="57" t="n">
        <f aca="false">SUM(P10:P40)</f>
        <v>3797.24</v>
      </c>
      <c r="Q42" s="57" t="n">
        <f aca="false">SUM(Q10:Q40)</f>
        <v>1868</v>
      </c>
      <c r="R42" s="57" t="n">
        <f aca="false">SUM(R10:R40)</f>
        <v>10420.4865</v>
      </c>
      <c r="S42" s="57"/>
      <c r="T42" s="57" t="n">
        <f aca="false">SUM(T10:T40)</f>
        <v>2581.1</v>
      </c>
      <c r="U42" s="57" t="n">
        <f aca="false">SUM(U10:U40)</f>
        <v>3929</v>
      </c>
      <c r="V42" s="57"/>
      <c r="W42" s="57" t="n">
        <f aca="false">SUM(W10:W40)</f>
        <v>17898.34</v>
      </c>
      <c r="X42" s="57" t="n">
        <f aca="false">SUM(X10:X40)</f>
        <v>1495.94916309554</v>
      </c>
      <c r="Y42" s="57" t="n">
        <f aca="false">SUM(Y10:Y40)</f>
        <v>19394.2891630955</v>
      </c>
      <c r="Z42" s="60" t="n">
        <f aca="false">SUM(Z10:Z40)</f>
        <v>1.5</v>
      </c>
      <c r="AA42" s="61" t="n">
        <f aca="false">AVERAGE(AA10:AA40)</f>
        <v>83.741935483871</v>
      </c>
      <c r="AB42" s="61" t="n">
        <f aca="false">AVERAGE(AB10:AB40)</f>
        <v>54.8064516129032</v>
      </c>
      <c r="AC42" s="62"/>
      <c r="AD42" s="78"/>
      <c r="AE42" s="78"/>
      <c r="AF42" s="79"/>
    </row>
    <row r="43" customFormat="false" ht="11.1" hidden="false" customHeight="true" outlineLevel="0" collapsed="false">
      <c r="A43" s="56" t="s">
        <v>46</v>
      </c>
      <c r="B43" s="56"/>
      <c r="C43" s="57"/>
      <c r="D43" s="57" t="n">
        <f aca="false">SUM(D10:D40)</f>
        <v>-9956</v>
      </c>
      <c r="E43" s="57"/>
      <c r="F43" s="57" t="n">
        <f aca="false">F42*$D$2</f>
        <v>-9956</v>
      </c>
      <c r="G43" s="57" t="n">
        <f aca="false">G42*$D$2</f>
        <v>28044.7065</v>
      </c>
      <c r="H43" s="57" t="n">
        <f aca="false">H42*$D$2</f>
        <v>58.07688</v>
      </c>
      <c r="I43" s="57" t="n">
        <f aca="false">I42*$D$2</f>
        <v>28102.78338</v>
      </c>
      <c r="J43" s="57" t="n">
        <f aca="false">J42*$D$2</f>
        <v>409.789175</v>
      </c>
      <c r="K43" s="57" t="n">
        <f aca="false">K42*$D$2</f>
        <v>28512.572555</v>
      </c>
      <c r="L43" s="57" t="n">
        <f aca="false">L42*$D$2</f>
        <v>-2557.42599</v>
      </c>
      <c r="M43" s="57" t="n">
        <f aca="false">M42*$D$2</f>
        <v>11351.5705</v>
      </c>
      <c r="N43" s="57" t="n">
        <f aca="false">N42*$D$2</f>
        <v>1919.53906725</v>
      </c>
      <c r="O43" s="57" t="n">
        <f aca="false">O42*$D$2</f>
        <v>9432.03143275</v>
      </c>
      <c r="P43" s="57" t="n">
        <f aca="false">P42*$D$2</f>
        <v>7531.82554</v>
      </c>
      <c r="Q43" s="57" t="n">
        <f aca="false">Q42*$D$2</f>
        <v>3705.178</v>
      </c>
      <c r="R43" s="57" t="n">
        <f aca="false">R42*$D$2</f>
        <v>20669.03497275</v>
      </c>
      <c r="S43" s="57"/>
      <c r="T43" s="57" t="n">
        <f aca="false">T42*$D$2</f>
        <v>5119.61185</v>
      </c>
      <c r="U43" s="57" t="n">
        <f aca="false">U42*$D$2</f>
        <v>7793.1715</v>
      </c>
      <c r="V43" s="57" t="n">
        <f aca="false">V42*$D$2</f>
        <v>0</v>
      </c>
      <c r="W43" s="57" t="n">
        <f aca="false">W42*$D$2</f>
        <v>35501.35739</v>
      </c>
      <c r="X43" s="57" t="n">
        <f aca="false">X42*$D$2</f>
        <v>2967.215165</v>
      </c>
      <c r="Y43" s="57" t="n">
        <f aca="false">Y42*$D$2</f>
        <v>38468.572555</v>
      </c>
      <c r="Z43" s="60"/>
      <c r="AA43" s="61" t="n">
        <f aca="false">MAX(AA10:AA40)</f>
        <v>90</v>
      </c>
      <c r="AB43" s="61" t="n">
        <f aca="false">MAX(AB10:AB40)</f>
        <v>60</v>
      </c>
      <c r="AC43" s="62" t="s">
        <v>47</v>
      </c>
      <c r="AD43" s="78"/>
      <c r="AE43" s="78"/>
      <c r="AF43" s="79"/>
    </row>
    <row r="44" customFormat="false" ht="3" hidden="false" customHeight="true" outlineLevel="0" collapsed="false">
      <c r="A44" s="83"/>
      <c r="B44" s="83"/>
      <c r="C44" s="85"/>
      <c r="D44" s="85"/>
      <c r="E44" s="85"/>
      <c r="F44" s="85"/>
      <c r="G44" s="85"/>
      <c r="H44" s="85"/>
      <c r="I44" s="85"/>
      <c r="J44" s="85"/>
      <c r="K44" s="85"/>
      <c r="L44" s="85"/>
      <c r="M44" s="85"/>
      <c r="N44" s="85"/>
      <c r="O44" s="85"/>
      <c r="P44" s="85"/>
      <c r="Q44" s="85"/>
      <c r="R44" s="85"/>
      <c r="S44" s="85"/>
      <c r="T44" s="85"/>
      <c r="U44" s="85"/>
      <c r="V44" s="83"/>
      <c r="W44" s="85"/>
      <c r="X44" s="85"/>
      <c r="Y44" s="85"/>
      <c r="Z44" s="60"/>
      <c r="AA44" s="61"/>
      <c r="AB44" s="61"/>
      <c r="AC44" s="62"/>
      <c r="AD44" s="78"/>
      <c r="AE44" s="78"/>
      <c r="AF44" s="79"/>
    </row>
    <row r="45" customFormat="false" ht="11.1" hidden="false" customHeight="true" outlineLevel="0" collapsed="false">
      <c r="A45" s="56" t="s">
        <v>48</v>
      </c>
      <c r="B45" s="56"/>
      <c r="C45" s="57"/>
      <c r="D45" s="57"/>
      <c r="E45" s="57"/>
      <c r="F45" s="57" t="n">
        <f aca="false">F7+F42</f>
        <v>7947.56743130829</v>
      </c>
      <c r="G45" s="57" t="n">
        <f aca="false">G7+G42</f>
        <v>200401</v>
      </c>
      <c r="H45" s="57" t="n">
        <f aca="false">H7+H42</f>
        <v>10296.45</v>
      </c>
      <c r="I45" s="57" t="n">
        <f aca="false">I7+I42</f>
        <v>210697.45</v>
      </c>
      <c r="J45" s="57" t="n">
        <f aca="false">J7+J42</f>
        <v>34487.4514519788</v>
      </c>
      <c r="K45" s="57" t="n">
        <f aca="false">K7+K42</f>
        <v>245184.901451979</v>
      </c>
      <c r="L45" s="57" t="n">
        <f aca="false">L7+L42</f>
        <v>31684.1774313083</v>
      </c>
      <c r="M45" s="57" t="n">
        <f aca="false">M7+M42</f>
        <v>30083.6</v>
      </c>
      <c r="N45" s="57" t="n">
        <f aca="false">N7+N42</f>
        <v>5594.9555</v>
      </c>
      <c r="O45" s="57" t="n">
        <f aca="false">O7+O42</f>
        <v>24488.6445</v>
      </c>
      <c r="P45" s="57" t="n">
        <f aca="false">P7+P42</f>
        <v>17375.21</v>
      </c>
      <c r="Q45" s="57" t="n">
        <f aca="false">Q7+Q42</f>
        <v>8285.15</v>
      </c>
      <c r="R45" s="57" t="n">
        <f aca="false">R7+R42</f>
        <v>50149.0045</v>
      </c>
      <c r="S45" s="57" t="n">
        <f aca="false">S40</f>
        <v>17991.4025809176</v>
      </c>
      <c r="T45" s="57" t="n">
        <f aca="false">T7+T42</f>
        <v>15000.2</v>
      </c>
      <c r="U45" s="57" t="n">
        <f aca="false">U7+U42</f>
        <v>163689.9</v>
      </c>
      <c r="V45" s="57"/>
      <c r="W45" s="57" t="n">
        <f aca="false">W7+W42</f>
        <v>234434.06</v>
      </c>
      <c r="X45" s="57" t="n">
        <f aca="false">X7+X42</f>
        <v>2803.27402067053</v>
      </c>
      <c r="Y45" s="57" t="n">
        <f aca="false">Y7+Y42</f>
        <v>237237.33402067</v>
      </c>
      <c r="Z45" s="60"/>
      <c r="AA45" s="61" t="n">
        <f aca="false">MIN(AA10:AA40)</f>
        <v>73</v>
      </c>
      <c r="AB45" s="61" t="n">
        <f aca="false">MIN(AB10:AB40)</f>
        <v>50</v>
      </c>
      <c r="AC45" s="62" t="s">
        <v>49</v>
      </c>
      <c r="AD45" s="78"/>
      <c r="AE45" s="78"/>
      <c r="AF45" s="79"/>
    </row>
    <row r="46" customFormat="false" ht="11.1" hidden="false" customHeight="true" outlineLevel="0" collapsed="false">
      <c r="A46" s="56" t="s">
        <v>50</v>
      </c>
      <c r="B46" s="56"/>
      <c r="C46" s="57"/>
      <c r="D46" s="57"/>
      <c r="E46" s="57"/>
      <c r="F46" s="57" t="n">
        <f aca="false">F45*$D$2</f>
        <v>15764</v>
      </c>
      <c r="G46" s="57" t="n">
        <f aca="false">G45*$D$2</f>
        <v>397495.3835</v>
      </c>
      <c r="H46" s="57" t="n">
        <f aca="false">H45*$D$2</f>
        <v>20423.008575</v>
      </c>
      <c r="I46" s="57" t="n">
        <f aca="false">I45*$D$2</f>
        <v>417918.392075</v>
      </c>
      <c r="J46" s="57" t="n">
        <f aca="false">J45*$D$2</f>
        <v>68405.859955</v>
      </c>
      <c r="K46" s="57" t="n">
        <f aca="false">K45*$D$2</f>
        <v>486324.25203</v>
      </c>
      <c r="L46" s="57" t="n">
        <f aca="false">L45*$D$2</f>
        <v>62845.565935</v>
      </c>
      <c r="M46" s="57" t="n">
        <f aca="false">M45*$D$2</f>
        <v>59670.8206</v>
      </c>
      <c r="N46" s="57" t="n">
        <f aca="false">N45*$D$2</f>
        <v>11097.59423425</v>
      </c>
      <c r="O46" s="57" t="n">
        <f aca="false">O45*$D$2</f>
        <v>48573.22636575</v>
      </c>
      <c r="P46" s="57" t="n">
        <f aca="false">P45*$D$2</f>
        <v>34463.729035</v>
      </c>
      <c r="Q46" s="57" t="n">
        <f aca="false">Q45*$D$2</f>
        <v>16433.595025</v>
      </c>
      <c r="R46" s="57" t="n">
        <f aca="false">R45*$D$2</f>
        <v>99470.55042575</v>
      </c>
      <c r="S46" s="57" t="n">
        <f aca="false">S45*$D$2</f>
        <v>35685.94701925</v>
      </c>
      <c r="T46" s="57" t="n">
        <f aca="false">T45*$D$2</f>
        <v>29752.8967</v>
      </c>
      <c r="U46" s="57" t="n">
        <f aca="false">U45*$D$2</f>
        <v>324678.91665</v>
      </c>
      <c r="V46" s="57" t="n">
        <f aca="false">V45*$D$2</f>
        <v>0</v>
      </c>
      <c r="W46" s="57" t="n">
        <f aca="false">W45*$D$2</f>
        <v>464999.95801</v>
      </c>
      <c r="X46" s="57" t="n">
        <f aca="false">X45*$D$2</f>
        <v>5560.29402</v>
      </c>
      <c r="Y46" s="57" t="n">
        <f aca="false">Y45*$D$2</f>
        <v>470560.25203</v>
      </c>
      <c r="Z46" s="60"/>
      <c r="AA46" s="61"/>
      <c r="AB46" s="61"/>
      <c r="AC46" s="62"/>
      <c r="AD46" s="78"/>
      <c r="AE46" s="78"/>
      <c r="AF46" s="79"/>
    </row>
    <row r="47" customFormat="false" ht="3" hidden="false" customHeight="true" outlineLevel="0" collapsed="false">
      <c r="A47" s="83"/>
      <c r="B47" s="83"/>
      <c r="C47" s="85"/>
      <c r="D47" s="85"/>
      <c r="E47" s="85"/>
      <c r="F47" s="85"/>
      <c r="G47" s="85"/>
      <c r="H47" s="88"/>
      <c r="I47" s="85"/>
      <c r="J47" s="85"/>
      <c r="K47" s="85"/>
      <c r="L47" s="85"/>
      <c r="M47" s="85"/>
      <c r="N47" s="85"/>
      <c r="O47" s="85"/>
      <c r="P47" s="85"/>
      <c r="Q47" s="85"/>
      <c r="R47" s="85"/>
      <c r="S47" s="85"/>
      <c r="T47" s="85"/>
      <c r="U47" s="85"/>
      <c r="V47" s="85"/>
      <c r="W47" s="85"/>
      <c r="X47" s="85"/>
      <c r="Y47" s="85"/>
      <c r="Z47" s="87"/>
      <c r="AA47" s="61"/>
      <c r="AB47" s="61"/>
      <c r="AC47" s="62"/>
      <c r="AD47" s="78"/>
      <c r="AE47" s="78"/>
      <c r="AF47" s="79"/>
    </row>
    <row r="48" customFormat="false" ht="11.1" hidden="false" customHeight="true" outlineLevel="0" collapsed="false">
      <c r="A48" s="56" t="s">
        <v>51</v>
      </c>
      <c r="B48" s="56"/>
      <c r="C48" s="57"/>
      <c r="D48" s="57"/>
      <c r="E48" s="57"/>
      <c r="F48" s="57" t="n">
        <f aca="false">F8+F42</f>
        <v>48077.1363750945</v>
      </c>
      <c r="G48" s="57" t="n">
        <f aca="false">G8+G42</f>
        <v>227585.79</v>
      </c>
      <c r="H48" s="61" t="n">
        <f aca="false">H8+H42</f>
        <v>13856.15</v>
      </c>
      <c r="I48" s="57" t="n">
        <f aca="false">I8+I42</f>
        <v>241241.04</v>
      </c>
      <c r="J48" s="57" t="n">
        <f aca="false">J8+J42</f>
        <v>51236.0675901185</v>
      </c>
      <c r="K48" s="57" t="n">
        <f aca="false">K8+K42</f>
        <v>292477.107590118</v>
      </c>
      <c r="L48" s="57" t="n">
        <f aca="false">L8+L42</f>
        <v>47855.7263750945</v>
      </c>
      <c r="M48" s="57" t="n">
        <f aca="false">M8+M42</f>
        <v>31085.85</v>
      </c>
      <c r="N48" s="57" t="n">
        <f aca="false">N8+N42</f>
        <v>5641.9745</v>
      </c>
      <c r="O48" s="57" t="n">
        <f aca="false">O8+O42</f>
        <v>25174.7955</v>
      </c>
      <c r="P48" s="57" t="n">
        <f aca="false">P8+P42</f>
        <v>17482.73</v>
      </c>
      <c r="Q48" s="57" t="n">
        <f aca="false">Q8+Q42</f>
        <v>8483.95</v>
      </c>
      <c r="R48" s="57" t="n">
        <f aca="false">R8+R42</f>
        <v>51348.4925</v>
      </c>
      <c r="S48" s="57"/>
      <c r="T48" s="57" t="n">
        <f aca="false">T8+T42</f>
        <v>15000.2</v>
      </c>
      <c r="U48" s="57" t="n">
        <f aca="false">U8+U42</f>
        <v>168966.9</v>
      </c>
      <c r="V48" s="57" t="n">
        <f aca="false">V40</f>
        <v>10574.6188706831</v>
      </c>
      <c r="W48" s="57" t="n">
        <f aca="false">W8+W42</f>
        <v>241019.63</v>
      </c>
      <c r="X48" s="57" t="n">
        <f aca="false">X8+X42</f>
        <v>3380.34121502395</v>
      </c>
      <c r="Y48" s="57" t="n">
        <f aca="false">Y8+Y42</f>
        <v>244399.971215024</v>
      </c>
      <c r="Z48" s="81" t="n">
        <f aca="false">Z8+Z42</f>
        <v>15.69</v>
      </c>
      <c r="AA48" s="61"/>
      <c r="AB48" s="61"/>
      <c r="AC48" s="62"/>
      <c r="AD48" s="78"/>
      <c r="AE48" s="78"/>
      <c r="AF48" s="79"/>
    </row>
    <row r="49" customFormat="false" ht="11.1" hidden="false" customHeight="true" outlineLevel="0" collapsed="false">
      <c r="A49" s="56" t="s">
        <v>52</v>
      </c>
      <c r="B49" s="56"/>
      <c r="C49" s="57"/>
      <c r="D49" s="57" t="n">
        <f aca="false">D8+D43</f>
        <v>95361</v>
      </c>
      <c r="E49" s="57" t="n">
        <f aca="false">E40</f>
        <v>188840</v>
      </c>
      <c r="F49" s="57" t="n">
        <f aca="false">F48*$D$2</f>
        <v>95361</v>
      </c>
      <c r="G49" s="57" t="n">
        <f aca="false">G48*$D$2</f>
        <v>451416.414465</v>
      </c>
      <c r="H49" s="61" t="n">
        <f aca="false">H48*$D$2</f>
        <v>27483.673525</v>
      </c>
      <c r="I49" s="57" t="n">
        <f aca="false">I48*$D$2</f>
        <v>478501.60284</v>
      </c>
      <c r="J49" s="57" t="n">
        <f aca="false">J48*$D$2</f>
        <v>101626.740065</v>
      </c>
      <c r="K49" s="57" t="n">
        <f aca="false">K48*$D$2</f>
        <v>580128.342905</v>
      </c>
      <c r="L49" s="57" t="n">
        <f aca="false">L48*$D$2</f>
        <v>94921.833265</v>
      </c>
      <c r="M49" s="57" t="n">
        <f aca="false">M48*$D$2</f>
        <v>61658.783475</v>
      </c>
      <c r="N49" s="57" t="n">
        <f aca="false">N48*$D$2</f>
        <v>11190.85642075</v>
      </c>
      <c r="O49" s="57" t="n">
        <f aca="false">O48*$D$2</f>
        <v>49934.20687425</v>
      </c>
      <c r="P49" s="57" t="n">
        <f aca="false">P48*$D$2</f>
        <v>34676.994955</v>
      </c>
      <c r="Q49" s="57" t="n">
        <f aca="false">Q48*$D$2</f>
        <v>16827.914825</v>
      </c>
      <c r="R49" s="57" t="n">
        <f aca="false">R48*$D$2</f>
        <v>101849.73487375</v>
      </c>
      <c r="S49" s="57" t="n">
        <f aca="false">S48*$D$2</f>
        <v>0</v>
      </c>
      <c r="T49" s="57" t="n">
        <f aca="false">T48*$D$2</f>
        <v>29752.8967</v>
      </c>
      <c r="U49" s="57" t="n">
        <f aca="false">U48*$D$2</f>
        <v>335145.84615</v>
      </c>
      <c r="V49" s="57" t="n">
        <f aca="false">V48*$D$2</f>
        <v>20974.75653</v>
      </c>
      <c r="W49" s="57" t="n">
        <f aca="false">W48*$D$2</f>
        <v>478062.436105</v>
      </c>
      <c r="X49" s="57" t="n">
        <f aca="false">X48*$D$2</f>
        <v>6704.9068</v>
      </c>
      <c r="Y49" s="57" t="n">
        <f aca="false">Y48*$D$2</f>
        <v>484767.342905</v>
      </c>
      <c r="Z49" s="60"/>
      <c r="AA49" s="61"/>
      <c r="AB49" s="61"/>
      <c r="AC49" s="62"/>
      <c r="AD49" s="78"/>
      <c r="AE49" s="78"/>
      <c r="AF49" s="79"/>
    </row>
    <row r="50" customFormat="false" ht="3" hidden="false" customHeight="true" outlineLevel="0" collapsed="false">
      <c r="A50" s="83"/>
      <c r="B50" s="83"/>
      <c r="C50" s="85"/>
      <c r="D50" s="83"/>
      <c r="E50" s="85"/>
      <c r="F50" s="83"/>
      <c r="G50" s="83"/>
      <c r="H50" s="86"/>
      <c r="I50" s="83"/>
      <c r="J50" s="83"/>
      <c r="K50" s="83"/>
      <c r="L50" s="83"/>
      <c r="M50" s="83"/>
      <c r="N50" s="83"/>
      <c r="O50" s="83"/>
      <c r="P50" s="83"/>
      <c r="Q50" s="83"/>
      <c r="R50" s="83"/>
      <c r="S50" s="85"/>
      <c r="T50" s="83"/>
      <c r="U50" s="83"/>
      <c r="V50" s="85"/>
      <c r="W50" s="83"/>
      <c r="X50" s="83"/>
      <c r="Y50" s="83"/>
      <c r="Z50" s="60"/>
      <c r="AA50" s="61"/>
      <c r="AB50" s="61"/>
      <c r="AC50" s="62"/>
      <c r="AD50" s="78"/>
      <c r="AE50" s="78"/>
      <c r="AF50" s="79"/>
    </row>
    <row r="51" customFormat="false" ht="11.1" hidden="false" customHeight="true" outlineLevel="0" collapsed="false">
      <c r="A51" s="136" t="str">
        <f aca="false">"SEP /12"</f>
        <v>SEP /12</v>
      </c>
      <c r="B51" s="93"/>
      <c r="C51" s="57"/>
      <c r="D51" s="56"/>
      <c r="E51" s="57"/>
      <c r="F51" s="56"/>
      <c r="G51" s="56"/>
      <c r="H51" s="58"/>
      <c r="I51" s="56"/>
      <c r="J51" s="56"/>
      <c r="K51" s="56"/>
      <c r="L51" s="56"/>
      <c r="M51" s="56"/>
      <c r="N51" s="56"/>
      <c r="O51" s="56"/>
      <c r="P51" s="56"/>
      <c r="Q51" s="56" t="s">
        <v>99</v>
      </c>
      <c r="R51" s="56"/>
      <c r="S51" s="57"/>
      <c r="T51" s="56" t="n">
        <v>55250</v>
      </c>
      <c r="U51" s="56"/>
      <c r="V51" s="57"/>
      <c r="W51" s="56"/>
      <c r="X51" s="56"/>
      <c r="Y51" s="56"/>
      <c r="Z51" s="60"/>
      <c r="AA51" s="61"/>
      <c r="AB51" s="61"/>
      <c r="AC51" s="62"/>
      <c r="AD51" s="63"/>
      <c r="AE51" s="63"/>
    </row>
    <row r="52" customFormat="false" ht="11.1" hidden="false" customHeight="true" outlineLevel="0" collapsed="false">
      <c r="A52" s="56"/>
      <c r="B52" s="80" t="n">
        <v>6888.68</v>
      </c>
      <c r="C52" s="57" t="n">
        <v>243735</v>
      </c>
      <c r="D52" s="90"/>
      <c r="E52" s="57" t="n">
        <f aca="false">C52-152000</f>
        <v>91735</v>
      </c>
      <c r="F52" s="56"/>
      <c r="G52" s="56"/>
      <c r="H52" s="90"/>
      <c r="I52" s="58"/>
      <c r="J52" s="56"/>
      <c r="K52" s="46"/>
      <c r="L52" s="56"/>
      <c r="M52" s="56"/>
      <c r="N52" s="56"/>
      <c r="O52" s="56"/>
      <c r="P52" s="56"/>
      <c r="Q52" s="56" t="s">
        <v>100</v>
      </c>
      <c r="R52" s="56"/>
      <c r="S52" s="57"/>
      <c r="T52" s="56" t="n">
        <f aca="false">T51-T49</f>
        <v>25497.1033</v>
      </c>
      <c r="V52" s="57"/>
      <c r="W52" s="56"/>
      <c r="X52" s="56"/>
      <c r="Y52" s="56"/>
      <c r="Z52" s="60"/>
      <c r="AA52" s="61"/>
      <c r="AB52" s="61"/>
      <c r="AC52" s="62"/>
      <c r="AD52" s="63"/>
      <c r="AE52" s="63"/>
    </row>
    <row r="53" customFormat="false" ht="11.1" hidden="false" customHeight="true" outlineLevel="0" collapsed="false">
      <c r="A53" s="90" t="str">
        <f aca="false">"8/8/96 thru9/12/965"</f>
        <v>8/8/96 thru9/12/965</v>
      </c>
      <c r="B53" s="90"/>
      <c r="C53" s="57"/>
      <c r="D53" s="57"/>
      <c r="E53" s="57"/>
      <c r="F53" s="90"/>
      <c r="G53" s="90"/>
      <c r="H53" s="58"/>
      <c r="I53" s="90"/>
      <c r="J53" s="90"/>
      <c r="K53" s="90"/>
      <c r="L53" s="90"/>
      <c r="M53" s="81"/>
      <c r="N53" s="81"/>
      <c r="O53" s="81"/>
      <c r="P53" s="137"/>
      <c r="Q53" s="90" t="s">
        <v>101</v>
      </c>
      <c r="R53" s="97"/>
      <c r="S53" s="57"/>
      <c r="T53" s="61" t="n">
        <f aca="false">(2400/61)*31</f>
        <v>1219.67213114754</v>
      </c>
      <c r="V53" s="57"/>
      <c r="W53" s="90"/>
      <c r="X53" s="90"/>
      <c r="Y53" s="90"/>
      <c r="Z53" s="60"/>
      <c r="AA53" s="61"/>
      <c r="AB53" s="61"/>
      <c r="AC53" s="62"/>
      <c r="AD53" s="94"/>
      <c r="AE53" s="94"/>
    </row>
    <row r="54" customFormat="false" ht="11.1" hidden="false" customHeight="true" outlineLevel="0" collapsed="false">
      <c r="A54" s="90"/>
      <c r="B54" s="60" t="n">
        <f aca="false">B52-B17</f>
        <v>-28.5099999999993</v>
      </c>
      <c r="C54" s="57"/>
      <c r="D54" s="57" t="n">
        <f aca="false">C52-C17</f>
        <v>-107824</v>
      </c>
      <c r="E54" s="57"/>
      <c r="F54" s="90"/>
      <c r="G54" s="90"/>
      <c r="H54" s="58"/>
      <c r="I54" s="90"/>
      <c r="J54" s="90"/>
      <c r="K54" s="90"/>
      <c r="L54" s="90"/>
      <c r="M54" s="81"/>
      <c r="N54" s="81"/>
      <c r="O54" s="81"/>
      <c r="P54" s="90"/>
      <c r="Q54" s="90" t="s">
        <v>102</v>
      </c>
      <c r="R54" s="90"/>
      <c r="S54" s="57"/>
      <c r="T54" s="57" t="n">
        <f aca="false">T52-T53</f>
        <v>24277.4311688525</v>
      </c>
      <c r="V54" s="57"/>
      <c r="W54" s="90"/>
      <c r="X54" s="90"/>
      <c r="Y54" s="90"/>
      <c r="Z54" s="60"/>
      <c r="AA54" s="61"/>
      <c r="AB54" s="61"/>
      <c r="AC54" s="62"/>
      <c r="AD54" s="94"/>
      <c r="AE54" s="94"/>
    </row>
    <row r="55" customFormat="false" ht="11.1" hidden="false" customHeight="true" outlineLevel="0" collapsed="false">
      <c r="A55" s="90"/>
      <c r="B55" s="90"/>
      <c r="C55" s="57"/>
      <c r="D55" s="90"/>
      <c r="E55" s="57"/>
      <c r="F55" s="90"/>
      <c r="G55" s="95"/>
      <c r="H55" s="58"/>
      <c r="I55" s="90"/>
      <c r="J55" s="90"/>
      <c r="K55" s="90"/>
      <c r="L55" s="90"/>
      <c r="M55" s="81"/>
      <c r="N55" s="81"/>
      <c r="O55" s="81"/>
      <c r="P55" s="90"/>
      <c r="Q55" s="90" t="s">
        <v>103</v>
      </c>
      <c r="R55" s="90"/>
      <c r="S55" s="0"/>
      <c r="T55" s="57" t="n">
        <f aca="false">T54/D2</f>
        <v>12239.6930521061</v>
      </c>
      <c r="V55" s="57"/>
      <c r="W55" s="90"/>
      <c r="X55" s="90"/>
      <c r="Y55" s="90"/>
      <c r="Z55" s="60"/>
      <c r="AA55" s="61"/>
      <c r="AB55" s="61"/>
      <c r="AC55" s="62"/>
      <c r="AD55" s="94"/>
      <c r="AE55" s="94"/>
    </row>
    <row r="56" customFormat="false" ht="11.1" hidden="false" customHeight="true" outlineLevel="0" collapsed="false">
      <c r="Q56" s="138" t="s">
        <v>104</v>
      </c>
      <c r="S56" s="57" t="n">
        <v>150</v>
      </c>
      <c r="T56" s="57" t="n">
        <f aca="false">T55/S56</f>
        <v>81.5979536807074</v>
      </c>
    </row>
    <row r="57" customFormat="false" ht="11.1" hidden="false" customHeight="true" outlineLevel="0" collapsed="false">
      <c r="Q57" s="138" t="s">
        <v>104</v>
      </c>
      <c r="S57" s="57" t="n">
        <v>125</v>
      </c>
      <c r="T57" s="57" t="n">
        <f aca="false">T55/S57</f>
        <v>97.9175444168488</v>
      </c>
    </row>
    <row r="58" customFormat="false" ht="11.1" hidden="false" customHeight="true" outlineLevel="0" collapsed="false">
      <c r="S58" s="57"/>
      <c r="T58" s="57"/>
    </row>
  </sheetData>
  <mergeCells count="2">
    <mergeCell ref="K2:T2"/>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58"/>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U40" activeCellId="0" sqref="U40"/>
    </sheetView>
  </sheetViews>
  <sheetFormatPr defaultColWidth="9.328125" defaultRowHeight="11.1" zeroHeight="false" outlineLevelRow="0" outlineLevelCol="0"/>
  <cols>
    <col collapsed="false" customWidth="true" hidden="false" outlineLevel="0" max="1" min="1" style="49" width="5.66"/>
    <col collapsed="false" customWidth="false" hidden="false" outlineLevel="0" max="2" min="2" style="49" width="9.32"/>
    <col collapsed="false" customWidth="true" hidden="false" outlineLevel="0" max="3" min="3" style="50" width="7.66"/>
    <col collapsed="false" customWidth="true" hidden="false" outlineLevel="0" max="4" min="4" style="49" width="7.66"/>
    <col collapsed="false" customWidth="true" hidden="false" outlineLevel="0" max="5" min="5" style="50" width="7.66"/>
    <col collapsed="false" customWidth="true" hidden="false" outlineLevel="0" max="7" min="6" style="49" width="7.66"/>
    <col collapsed="false" customWidth="true" hidden="false" outlineLevel="0" max="8" min="8" style="51" width="7.16"/>
    <col collapsed="false" customWidth="true" hidden="false" outlineLevel="0" max="9" min="9" style="49" width="8.82"/>
    <col collapsed="false" customWidth="true" hidden="false" outlineLevel="0" max="11" min="10" style="49" width="7.66"/>
    <col collapsed="false" customWidth="true" hidden="false" outlineLevel="0" max="12" min="12" style="49" width="6.49"/>
    <col collapsed="false" customWidth="true" hidden="false" outlineLevel="0" max="15" min="13" style="52" width="7.49"/>
    <col collapsed="false" customWidth="true" hidden="false" outlineLevel="0" max="16" min="16" style="49" width="7.66"/>
    <col collapsed="false" customWidth="true" hidden="false" outlineLevel="0" max="17" min="17" style="49" width="7.16"/>
    <col collapsed="false" customWidth="true" hidden="false" outlineLevel="0" max="18" min="18" style="49" width="7.66"/>
    <col collapsed="false" customWidth="true" hidden="false" outlineLevel="0" max="19" min="19" style="50" width="7.66"/>
    <col collapsed="false" customWidth="true" hidden="false" outlineLevel="0" max="20" min="20" style="49" width="7.66"/>
    <col collapsed="false" customWidth="true" hidden="false" outlineLevel="0" max="21" min="21" style="49" width="7.49"/>
    <col collapsed="false" customWidth="true" hidden="false" outlineLevel="0" max="22" min="22" style="50" width="6.32"/>
    <col collapsed="false" customWidth="true" hidden="false" outlineLevel="0" max="25" min="23" style="49" width="7.82"/>
    <col collapsed="false" customWidth="true" hidden="false" outlineLevel="0" max="26" min="26" style="53" width="5.66"/>
    <col collapsed="false" customWidth="true" hidden="false" outlineLevel="0" max="28" min="27" style="54" width="5.66"/>
    <col collapsed="false" customWidth="true" hidden="false" outlineLevel="0" max="29" min="29" style="55" width="5.66"/>
    <col collapsed="false" customWidth="false" hidden="false" outlineLevel="0" max="257" min="30" style="49" width="9.32"/>
  </cols>
  <sheetData>
    <row r="1" customFormat="false" ht="14.1" hidden="false" customHeight="true" outlineLevel="0" collapsed="false">
      <c r="A1" s="56"/>
      <c r="B1" s="56"/>
      <c r="C1" s="57"/>
      <c r="D1" s="56"/>
      <c r="E1" s="57"/>
      <c r="F1" s="56"/>
      <c r="G1" s="56"/>
      <c r="H1" s="58"/>
      <c r="I1" s="56"/>
      <c r="J1" s="56"/>
      <c r="K1" s="59" t="s">
        <v>0</v>
      </c>
      <c r="L1" s="56"/>
      <c r="M1" s="56"/>
      <c r="N1" s="56"/>
      <c r="O1" s="56"/>
      <c r="P1" s="56"/>
      <c r="Q1" s="56"/>
      <c r="R1" s="56"/>
      <c r="S1" s="57"/>
      <c r="T1" s="56"/>
      <c r="U1" s="56"/>
      <c r="V1" s="57"/>
      <c r="W1" s="56"/>
      <c r="X1" s="56"/>
      <c r="Y1" s="56"/>
      <c r="Z1" s="60"/>
      <c r="AA1" s="61"/>
      <c r="AB1" s="61"/>
      <c r="AC1" s="62"/>
      <c r="AD1" s="63"/>
      <c r="AE1" s="63"/>
    </row>
    <row r="2" customFormat="false" ht="14.1" hidden="false" customHeight="true" outlineLevel="0" collapsed="false">
      <c r="A2" s="56" t="s">
        <v>1</v>
      </c>
      <c r="B2" s="56"/>
      <c r="C2" s="57"/>
      <c r="D2" s="64" t="n">
        <v>1.9835</v>
      </c>
      <c r="E2" s="57"/>
      <c r="F2" s="56"/>
      <c r="G2" s="56"/>
      <c r="H2" s="58"/>
      <c r="I2" s="56"/>
      <c r="J2" s="56"/>
      <c r="K2" s="65" t="s">
        <v>105</v>
      </c>
      <c r="L2" s="65"/>
      <c r="M2" s="65"/>
      <c r="N2" s="65"/>
      <c r="O2" s="65"/>
      <c r="P2" s="65"/>
      <c r="Q2" s="65"/>
      <c r="R2" s="65"/>
      <c r="S2" s="65"/>
      <c r="T2" s="65"/>
      <c r="U2" s="56"/>
      <c r="V2" s="57"/>
      <c r="W2" s="56"/>
      <c r="X2" s="56"/>
      <c r="Y2" s="56"/>
      <c r="Z2" s="60"/>
      <c r="AA2" s="61"/>
      <c r="AB2" s="61"/>
      <c r="AC2" s="62"/>
      <c r="AD2" s="63"/>
      <c r="AE2" s="63"/>
    </row>
    <row r="3" customFormat="false" ht="11.1" hidden="false" customHeight="true" outlineLevel="0" collapsed="false">
      <c r="A3" s="56"/>
      <c r="B3" s="56"/>
      <c r="C3" s="57"/>
      <c r="D3" s="66"/>
      <c r="E3" s="57"/>
      <c r="F3" s="56"/>
      <c r="G3" s="56"/>
      <c r="H3" s="58"/>
      <c r="I3" s="56"/>
      <c r="J3" s="56"/>
      <c r="K3" s="56"/>
      <c r="L3" s="56"/>
      <c r="M3" s="56"/>
      <c r="N3" s="56"/>
      <c r="O3" s="56"/>
      <c r="P3" s="56"/>
      <c r="Q3" s="56"/>
      <c r="R3" s="56"/>
      <c r="S3" s="57"/>
      <c r="T3" s="56"/>
      <c r="U3" s="56"/>
      <c r="V3" s="57"/>
      <c r="W3" s="56"/>
      <c r="X3" s="56"/>
      <c r="Y3" s="56"/>
      <c r="Z3" s="60"/>
      <c r="AA3" s="61"/>
      <c r="AB3" s="61"/>
      <c r="AC3" s="62"/>
      <c r="AD3" s="63"/>
      <c r="AE3" s="63"/>
    </row>
    <row r="4" customFormat="false" ht="11.1" hidden="false" customHeight="true" outlineLevel="0" collapsed="false">
      <c r="A4" s="67" t="s">
        <v>3</v>
      </c>
      <c r="B4" s="67" t="s">
        <v>4</v>
      </c>
      <c r="C4" s="68" t="s">
        <v>4</v>
      </c>
      <c r="D4" s="67" t="s">
        <v>5</v>
      </c>
      <c r="E4" s="68" t="s">
        <v>6</v>
      </c>
      <c r="F4" s="67" t="s">
        <v>7</v>
      </c>
      <c r="G4" s="67" t="s">
        <v>8</v>
      </c>
      <c r="H4" s="69" t="s">
        <v>9</v>
      </c>
      <c r="I4" s="67" t="s">
        <v>10</v>
      </c>
      <c r="J4" s="67" t="s">
        <v>11</v>
      </c>
      <c r="K4" s="67" t="s">
        <v>12</v>
      </c>
      <c r="L4" s="67" t="s">
        <v>11</v>
      </c>
      <c r="M4" s="67" t="s">
        <v>13</v>
      </c>
      <c r="N4" s="67"/>
      <c r="O4" s="67"/>
      <c r="P4" s="67" t="s">
        <v>14</v>
      </c>
      <c r="Q4" s="67" t="s">
        <v>15</v>
      </c>
      <c r="R4" s="67" t="s">
        <v>12</v>
      </c>
      <c r="S4" s="68" t="s">
        <v>16</v>
      </c>
      <c r="T4" s="67" t="s">
        <v>17</v>
      </c>
      <c r="U4" s="67" t="s">
        <v>18</v>
      </c>
      <c r="V4" s="68" t="s">
        <v>19</v>
      </c>
      <c r="W4" s="67" t="s">
        <v>10</v>
      </c>
      <c r="X4" s="67" t="s">
        <v>11</v>
      </c>
      <c r="Y4" s="67" t="s">
        <v>12</v>
      </c>
      <c r="Z4" s="70" t="s">
        <v>20</v>
      </c>
      <c r="AA4" s="71" t="s">
        <v>21</v>
      </c>
      <c r="AB4" s="71" t="s">
        <v>22</v>
      </c>
      <c r="AC4" s="71" t="s">
        <v>3</v>
      </c>
      <c r="AD4" s="63"/>
      <c r="AE4" s="63"/>
    </row>
    <row r="5" customFormat="false" ht="11.1" hidden="false" customHeight="true" outlineLevel="0" collapsed="false">
      <c r="A5" s="72" t="s">
        <v>106</v>
      </c>
      <c r="B5" s="67" t="s">
        <v>24</v>
      </c>
      <c r="C5" s="68" t="s">
        <v>5</v>
      </c>
      <c r="D5" s="67" t="s">
        <v>25</v>
      </c>
      <c r="E5" s="68" t="s">
        <v>26</v>
      </c>
      <c r="F5" s="67" t="s">
        <v>27</v>
      </c>
      <c r="G5" s="67" t="s">
        <v>28</v>
      </c>
      <c r="H5" s="69" t="s">
        <v>29</v>
      </c>
      <c r="I5" s="67" t="s">
        <v>30</v>
      </c>
      <c r="J5" s="67" t="s">
        <v>30</v>
      </c>
      <c r="K5" s="67" t="s">
        <v>30</v>
      </c>
      <c r="L5" s="67" t="s">
        <v>31</v>
      </c>
      <c r="M5" s="67" t="s">
        <v>32</v>
      </c>
      <c r="N5" s="67" t="s">
        <v>33</v>
      </c>
      <c r="O5" s="67" t="s">
        <v>55</v>
      </c>
      <c r="P5" s="67" t="s">
        <v>35</v>
      </c>
      <c r="Q5" s="67" t="s">
        <v>36</v>
      </c>
      <c r="R5" s="67" t="s">
        <v>16</v>
      </c>
      <c r="S5" s="68" t="s">
        <v>37</v>
      </c>
      <c r="T5" s="67" t="s">
        <v>38</v>
      </c>
      <c r="U5" s="67" t="s">
        <v>39</v>
      </c>
      <c r="V5" s="68" t="s">
        <v>40</v>
      </c>
      <c r="W5" s="67" t="s">
        <v>41</v>
      </c>
      <c r="X5" s="67" t="s">
        <v>41</v>
      </c>
      <c r="Y5" s="67" t="s">
        <v>41</v>
      </c>
      <c r="Z5" s="73"/>
      <c r="AA5" s="71" t="s">
        <v>42</v>
      </c>
      <c r="AB5" s="71" t="s">
        <v>42</v>
      </c>
      <c r="AC5" s="74" t="s">
        <v>106</v>
      </c>
      <c r="AD5" s="63"/>
      <c r="AE5" s="63"/>
      <c r="AG5" s="139" t="s">
        <v>107</v>
      </c>
      <c r="AH5" s="139"/>
    </row>
    <row r="6" customFormat="false" ht="11.1" hidden="false" customHeight="true" outlineLevel="0" collapsed="false">
      <c r="A6" s="75"/>
      <c r="B6" s="75"/>
      <c r="C6" s="76"/>
      <c r="D6" s="75"/>
      <c r="E6" s="76"/>
      <c r="F6" s="75"/>
      <c r="G6" s="75"/>
      <c r="H6" s="77"/>
      <c r="I6" s="75"/>
      <c r="J6" s="75"/>
      <c r="K6" s="75"/>
      <c r="L6" s="75"/>
      <c r="M6" s="75"/>
      <c r="N6" s="75"/>
      <c r="O6" s="75"/>
      <c r="P6" s="75"/>
      <c r="Q6" s="75"/>
      <c r="R6" s="75"/>
      <c r="S6" s="76"/>
      <c r="T6" s="75"/>
      <c r="U6" s="75"/>
      <c r="V6" s="76"/>
      <c r="W6" s="75"/>
      <c r="X6" s="75"/>
      <c r="Y6" s="75"/>
      <c r="Z6" s="60"/>
      <c r="AA6" s="62"/>
      <c r="AB6" s="62"/>
      <c r="AC6" s="62"/>
      <c r="AD6" s="78"/>
      <c r="AE6" s="78"/>
      <c r="AF6" s="79"/>
      <c r="AG6" s="133"/>
      <c r="AH6" s="133"/>
    </row>
    <row r="7" customFormat="false" ht="11.1" hidden="false" customHeight="true" outlineLevel="0" collapsed="false">
      <c r="A7" s="56" t="s">
        <v>43</v>
      </c>
      <c r="B7" s="56"/>
      <c r="C7" s="57"/>
      <c r="D7" s="57"/>
      <c r="E7" s="57"/>
      <c r="F7" s="57" t="n">
        <f aca="false" t="array" ref="F7:Y7">AUG!$F$45:$Y$45</f>
        <v>7947.56743130829</v>
      </c>
      <c r="G7" s="57" t="n">
        <v>200401</v>
      </c>
      <c r="H7" s="57" t="n">
        <v>10296.45</v>
      </c>
      <c r="I7" s="57" t="n">
        <v>210697.45</v>
      </c>
      <c r="J7" s="57" t="n">
        <v>34487.4514519788</v>
      </c>
      <c r="K7" s="57" t="n">
        <v>245184.901451979</v>
      </c>
      <c r="L7" s="57" t="n">
        <v>31684.1774313083</v>
      </c>
      <c r="M7" s="57" t="n">
        <v>30083.6</v>
      </c>
      <c r="N7" s="57" t="n">
        <v>5594.9555</v>
      </c>
      <c r="O7" s="57" t="n">
        <v>24488.6445</v>
      </c>
      <c r="P7" s="57" t="n">
        <v>17375.21</v>
      </c>
      <c r="Q7" s="57" t="n">
        <v>8285.15</v>
      </c>
      <c r="R7" s="57" t="n">
        <v>50149.0045</v>
      </c>
      <c r="S7" s="57" t="n">
        <v>17991.4025809176</v>
      </c>
      <c r="T7" s="57" t="n">
        <v>15000.2</v>
      </c>
      <c r="U7" s="57" t="n">
        <v>163689.9</v>
      </c>
      <c r="V7" s="57" t="n">
        <v>0</v>
      </c>
      <c r="W7" s="57" t="n">
        <v>234434.06</v>
      </c>
      <c r="X7" s="57" t="n">
        <v>2803.27402067053</v>
      </c>
      <c r="Y7" s="57" t="n">
        <v>237237.33402067</v>
      </c>
      <c r="Z7" s="60"/>
      <c r="AA7" s="61"/>
      <c r="AB7" s="61"/>
      <c r="AC7" s="62"/>
      <c r="AD7" s="78"/>
      <c r="AE7" s="79"/>
      <c r="AF7" s="79"/>
    </row>
    <row r="8" s="50" customFormat="true" ht="11.1" hidden="false" customHeight="true" outlineLevel="0" collapsed="false">
      <c r="A8" s="57" t="s">
        <v>44</v>
      </c>
      <c r="B8" s="80" t="n">
        <f aca="false" t="array" ref="B8:C8">AUG!$B$40:$C$40</f>
        <v>6914.63</v>
      </c>
      <c r="C8" s="57" t="n">
        <v>340840</v>
      </c>
      <c r="D8" s="57" t="n">
        <f aca="false" t="array" ref="D8:E8">AUG!$D$49:$E$49</f>
        <v>95361</v>
      </c>
      <c r="E8" s="57" t="n">
        <v>188840</v>
      </c>
      <c r="F8" s="57" t="n">
        <f aca="false" t="array" ref="F8:Z8">AUG!$F$48:$Z$48</f>
        <v>48077.1363750945</v>
      </c>
      <c r="G8" s="57" t="n">
        <v>227585.79</v>
      </c>
      <c r="H8" s="57" t="n">
        <v>13856.15</v>
      </c>
      <c r="I8" s="57" t="n">
        <v>241241.04</v>
      </c>
      <c r="J8" s="57" t="n">
        <v>51236.0675901185</v>
      </c>
      <c r="K8" s="57" t="n">
        <v>292477.107590118</v>
      </c>
      <c r="L8" s="57" t="n">
        <v>47855.7263750945</v>
      </c>
      <c r="M8" s="57" t="n">
        <v>31085.85</v>
      </c>
      <c r="N8" s="57" t="n">
        <v>5641.9745</v>
      </c>
      <c r="O8" s="57" t="n">
        <v>25174.7955</v>
      </c>
      <c r="P8" s="57" t="n">
        <v>17482.73</v>
      </c>
      <c r="Q8" s="57" t="n">
        <v>8483.95</v>
      </c>
      <c r="R8" s="57" t="n">
        <v>51348.4925</v>
      </c>
      <c r="S8" s="57" t="n">
        <v>0</v>
      </c>
      <c r="T8" s="57" t="n">
        <v>15000.2</v>
      </c>
      <c r="U8" s="57" t="n">
        <v>168966.9</v>
      </c>
      <c r="V8" s="57" t="n">
        <v>10574.6188706831</v>
      </c>
      <c r="W8" s="57" t="n">
        <v>241019.63</v>
      </c>
      <c r="X8" s="57" t="n">
        <v>3380.34121502395</v>
      </c>
      <c r="Y8" s="57" t="n">
        <v>244399.971215024</v>
      </c>
      <c r="Z8" s="81" t="n">
        <v>15.69</v>
      </c>
      <c r="AA8" s="61"/>
      <c r="AB8" s="61"/>
      <c r="AC8" s="62"/>
      <c r="AD8" s="78"/>
      <c r="AE8" s="78"/>
      <c r="AF8" s="82"/>
      <c r="AG8" s="49"/>
      <c r="AH8" s="49"/>
    </row>
    <row r="9" customFormat="false" ht="3" hidden="false" customHeight="true" outlineLevel="0" collapsed="false">
      <c r="A9" s="83"/>
      <c r="B9" s="84"/>
      <c r="C9" s="85"/>
      <c r="D9" s="83"/>
      <c r="E9" s="85"/>
      <c r="F9" s="83"/>
      <c r="G9" s="83"/>
      <c r="H9" s="86"/>
      <c r="I9" s="83"/>
      <c r="J9" s="83"/>
      <c r="K9" s="83"/>
      <c r="L9" s="83"/>
      <c r="M9" s="83"/>
      <c r="N9" s="83"/>
      <c r="O9" s="83"/>
      <c r="P9" s="83"/>
      <c r="Q9" s="83"/>
      <c r="R9" s="83"/>
      <c r="S9" s="85"/>
      <c r="T9" s="83"/>
      <c r="U9" s="83"/>
      <c r="V9" s="85"/>
      <c r="W9" s="83"/>
      <c r="X9" s="83"/>
      <c r="Y9" s="83"/>
      <c r="Z9" s="87"/>
      <c r="AA9" s="88" t="n">
        <v>0</v>
      </c>
      <c r="AB9" s="88"/>
      <c r="AC9" s="89"/>
      <c r="AD9" s="78"/>
      <c r="AE9" s="78"/>
      <c r="AF9" s="79"/>
    </row>
    <row r="10" customFormat="false" ht="11.1" hidden="false" customHeight="true" outlineLevel="0" collapsed="false">
      <c r="A10" s="62" t="n">
        <v>1</v>
      </c>
      <c r="B10" s="80" t="n">
        <v>6914.44</v>
      </c>
      <c r="C10" s="57" t="n">
        <v>340053</v>
      </c>
      <c r="D10" s="61" t="n">
        <f aca="false">C10-C8</f>
        <v>-787</v>
      </c>
      <c r="E10" s="57" t="n">
        <f aca="false">C10-151978</f>
        <v>188075</v>
      </c>
      <c r="F10" s="56" t="n">
        <f aca="false">D10/$D$2</f>
        <v>-396.773380388203</v>
      </c>
      <c r="G10" s="56" t="n">
        <v>313</v>
      </c>
      <c r="H10" s="58" t="n">
        <v>2.2</v>
      </c>
      <c r="I10" s="56" t="n">
        <f aca="false">G10+H10</f>
        <v>315.2</v>
      </c>
      <c r="J10" s="81" t="n">
        <f aca="false">IF(L10&gt;0,L10,0)</f>
        <v>0</v>
      </c>
      <c r="K10" s="56" t="n">
        <f aca="false">I10+J10</f>
        <v>315.2</v>
      </c>
      <c r="L10" s="56" t="n">
        <f aca="false">F10-(I10-W10)</f>
        <v>-24.8333803882028</v>
      </c>
      <c r="M10" s="56" t="n">
        <v>239</v>
      </c>
      <c r="N10" s="56" t="n">
        <f aca="false">(20.61+21.37)*1.05</f>
        <v>44.079</v>
      </c>
      <c r="O10" s="56" t="n">
        <f aca="false">M10-N10</f>
        <v>194.921</v>
      </c>
      <c r="P10" s="56" t="n">
        <v>96.14</v>
      </c>
      <c r="Q10" s="56" t="n">
        <v>62</v>
      </c>
      <c r="R10" s="56" t="n">
        <f aca="false">SUM(O10:Q10)</f>
        <v>353.061</v>
      </c>
      <c r="S10" s="57" t="n">
        <f aca="false">(I10-R10)+S7</f>
        <v>17953.5415809176</v>
      </c>
      <c r="T10" s="56" t="n">
        <v>175</v>
      </c>
      <c r="U10" s="56" t="n">
        <v>115</v>
      </c>
      <c r="V10" s="57" t="n">
        <f aca="false">V8-U10</f>
        <v>10459.6188706831</v>
      </c>
      <c r="W10" s="56" t="n">
        <f aca="false">R10+T10+N10+U10</f>
        <v>687.14</v>
      </c>
      <c r="X10" s="56" t="n">
        <f aca="false">IF(L10&lt;0,L10*-1,0)</f>
        <v>24.8333803882028</v>
      </c>
      <c r="Y10" s="56" t="n">
        <f aca="false">W10+X10</f>
        <v>711.973380388203</v>
      </c>
      <c r="Z10" s="60" t="n">
        <v>0</v>
      </c>
      <c r="AA10" s="61" t="n">
        <v>81</v>
      </c>
      <c r="AB10" s="61" t="n">
        <v>54</v>
      </c>
      <c r="AC10" s="62" t="n">
        <v>1</v>
      </c>
      <c r="AD10" s="79" t="n">
        <f aca="false">S10*D2</f>
        <v>35610.84972575</v>
      </c>
      <c r="AE10" s="82"/>
      <c r="AF10" s="82"/>
    </row>
    <row r="11" customFormat="false" ht="11.1" hidden="false" customHeight="true" outlineLevel="0" collapsed="false">
      <c r="A11" s="62" t="n">
        <v>2</v>
      </c>
      <c r="B11" s="80" t="n">
        <v>6914.24</v>
      </c>
      <c r="C11" s="57" t="n">
        <v>339225</v>
      </c>
      <c r="D11" s="61" t="n">
        <f aca="false">C11-C10</f>
        <v>-828</v>
      </c>
      <c r="E11" s="57" t="n">
        <f aca="false">C11-151978</f>
        <v>187247</v>
      </c>
      <c r="F11" s="56" t="n">
        <f aca="false">D11/$D$2</f>
        <v>-417.443912276279</v>
      </c>
      <c r="G11" s="56" t="n">
        <v>291</v>
      </c>
      <c r="H11" s="58" t="n">
        <v>1.9</v>
      </c>
      <c r="I11" s="56" t="n">
        <f aca="false">G11+H11</f>
        <v>292.9</v>
      </c>
      <c r="J11" s="81" t="n">
        <f aca="false">IF(L11&gt;0,L11,0)</f>
        <v>0</v>
      </c>
      <c r="K11" s="56" t="n">
        <f aca="false">I11+J11</f>
        <v>292.9</v>
      </c>
      <c r="L11" s="56" t="n">
        <f aca="false">F11-(I11-W11)</f>
        <v>-42.7039122762793</v>
      </c>
      <c r="M11" s="56" t="n">
        <v>214</v>
      </c>
      <c r="N11" s="56" t="n">
        <f aca="false">(16.62+16.91)*1.05</f>
        <v>35.2065</v>
      </c>
      <c r="O11" s="56" t="n">
        <f aca="false">M11-N11</f>
        <v>178.7935</v>
      </c>
      <c r="P11" s="56" t="n">
        <v>96.64</v>
      </c>
      <c r="Q11" s="56" t="n">
        <v>62</v>
      </c>
      <c r="R11" s="56" t="n">
        <f aca="false">SUM(O11:Q11)</f>
        <v>337.4335</v>
      </c>
      <c r="S11" s="57" t="n">
        <f aca="false">(I11-R11)+S10</f>
        <v>17909.0080809176</v>
      </c>
      <c r="T11" s="56" t="n">
        <v>191</v>
      </c>
      <c r="U11" s="56" t="n">
        <v>104</v>
      </c>
      <c r="V11" s="57" t="n">
        <f aca="false">V10-U11</f>
        <v>10355.6188706831</v>
      </c>
      <c r="W11" s="56" t="n">
        <f aca="false">R11+T11+N11+U11</f>
        <v>667.64</v>
      </c>
      <c r="X11" s="56" t="n">
        <f aca="false">IF(L11&lt;0,L11*-1,0)</f>
        <v>42.7039122762793</v>
      </c>
      <c r="Y11" s="56" t="n">
        <f aca="false">W11+X11</f>
        <v>710.343912276279</v>
      </c>
      <c r="Z11" s="60" t="n">
        <v>0</v>
      </c>
      <c r="AA11" s="61" t="n">
        <v>88</v>
      </c>
      <c r="AB11" s="61" t="n">
        <v>56</v>
      </c>
      <c r="AC11" s="62" t="n">
        <v>2</v>
      </c>
      <c r="AD11" s="79"/>
      <c r="AE11" s="82"/>
      <c r="AF11" s="82"/>
    </row>
    <row r="12" customFormat="false" ht="11.1" hidden="false" customHeight="true" outlineLevel="0" collapsed="false">
      <c r="A12" s="62" t="n">
        <v>3</v>
      </c>
      <c r="B12" s="80" t="n">
        <v>6914.03</v>
      </c>
      <c r="C12" s="57" t="n">
        <v>338355</v>
      </c>
      <c r="D12" s="61" t="n">
        <f aca="false">C12-C11</f>
        <v>-870</v>
      </c>
      <c r="E12" s="57" t="n">
        <f aca="false">C12-151978</f>
        <v>186377</v>
      </c>
      <c r="F12" s="56" t="n">
        <f aca="false">D12/$D$2</f>
        <v>-438.618603478699</v>
      </c>
      <c r="G12" s="56" t="n">
        <v>257</v>
      </c>
      <c r="H12" s="58" t="n">
        <v>2</v>
      </c>
      <c r="I12" s="56" t="n">
        <f aca="false">G12+H12</f>
        <v>259</v>
      </c>
      <c r="J12" s="81" t="n">
        <f aca="false">IF(L12&gt;0,L12,0)</f>
        <v>0</v>
      </c>
      <c r="K12" s="56" t="n">
        <f aca="false">I12+J12</f>
        <v>259</v>
      </c>
      <c r="L12" s="56" t="n">
        <f aca="false">F12-(I12-W12)</f>
        <v>-23.9486034786992</v>
      </c>
      <c r="M12" s="56" t="n">
        <v>222</v>
      </c>
      <c r="N12" s="56" t="n">
        <f aca="false">(17.11+16.78)*1.05</f>
        <v>35.5845</v>
      </c>
      <c r="O12" s="56" t="n">
        <f aca="false">M12-N12</f>
        <v>186.4155</v>
      </c>
      <c r="P12" s="56" t="n">
        <v>96.67</v>
      </c>
      <c r="Q12" s="56" t="n">
        <v>62</v>
      </c>
      <c r="R12" s="56" t="n">
        <f aca="false">SUM(O12:Q12)</f>
        <v>345.0855</v>
      </c>
      <c r="S12" s="57" t="n">
        <f aca="false">(I12-R12)+S11</f>
        <v>17822.9225809176</v>
      </c>
      <c r="T12" s="56" t="n">
        <v>186</v>
      </c>
      <c r="U12" s="56" t="n">
        <v>107</v>
      </c>
      <c r="V12" s="57" t="n">
        <f aca="false">V11-U12</f>
        <v>10248.6188706831</v>
      </c>
      <c r="W12" s="56" t="n">
        <f aca="false">R12+T12+N12+U12</f>
        <v>673.67</v>
      </c>
      <c r="X12" s="56" t="n">
        <f aca="false">IF(L12&lt;0,L12*-1,0)</f>
        <v>23.9486034786992</v>
      </c>
      <c r="Y12" s="56" t="n">
        <f aca="false">W12+X12</f>
        <v>697.618603478699</v>
      </c>
      <c r="Z12" s="60" t="n">
        <v>0</v>
      </c>
      <c r="AA12" s="61" t="n">
        <v>85</v>
      </c>
      <c r="AB12" s="61" t="n">
        <v>58</v>
      </c>
      <c r="AC12" s="62" t="n">
        <v>3</v>
      </c>
      <c r="AD12" s="79"/>
      <c r="AE12" s="82"/>
      <c r="AF12" s="82"/>
    </row>
    <row r="13" customFormat="false" ht="11.1" hidden="false" customHeight="true" outlineLevel="0" collapsed="false">
      <c r="A13" s="62" t="n">
        <v>4</v>
      </c>
      <c r="B13" s="80" t="n">
        <v>6913.78</v>
      </c>
      <c r="C13" s="57" t="n">
        <v>337327</v>
      </c>
      <c r="D13" s="61" t="n">
        <f aca="false">C13-C12</f>
        <v>-1028</v>
      </c>
      <c r="E13" s="57" t="n">
        <f aca="false">C13-151978</f>
        <v>185349</v>
      </c>
      <c r="F13" s="56" t="n">
        <f aca="false">D13/$D$2</f>
        <v>-518.275775144946</v>
      </c>
      <c r="G13" s="56" t="n">
        <v>243</v>
      </c>
      <c r="H13" s="58" t="n">
        <v>2.1</v>
      </c>
      <c r="I13" s="56" t="n">
        <f aca="false">G13+H13</f>
        <v>245.1</v>
      </c>
      <c r="J13" s="81" t="n">
        <f aca="false">IF(L13&gt;0,L13,0)</f>
        <v>0</v>
      </c>
      <c r="K13" s="56" t="n">
        <f aca="false">I13+J13</f>
        <v>245.1</v>
      </c>
      <c r="L13" s="56" t="n">
        <f aca="false">F13-(I13-W13)</f>
        <v>-83.3757751449458</v>
      </c>
      <c r="M13" s="56" t="n">
        <v>236</v>
      </c>
      <c r="N13" s="56" t="n">
        <f aca="false">(24.1+22.9)*1.05</f>
        <v>49.35</v>
      </c>
      <c r="O13" s="56" t="n">
        <f aca="false">M13-N13</f>
        <v>186.65</v>
      </c>
      <c r="P13" s="56" t="n">
        <v>97</v>
      </c>
      <c r="Q13" s="56" t="n">
        <v>62</v>
      </c>
      <c r="R13" s="56" t="n">
        <f aca="false">SUM(O13:Q13)</f>
        <v>345.65</v>
      </c>
      <c r="S13" s="57" t="n">
        <f aca="false">(I13-R13)+S12</f>
        <v>17722.3725809176</v>
      </c>
      <c r="T13" s="56" t="n">
        <v>175</v>
      </c>
      <c r="U13" s="56" t="n">
        <v>110</v>
      </c>
      <c r="V13" s="57" t="n">
        <f aca="false">V12-U13</f>
        <v>10138.6188706831</v>
      </c>
      <c r="W13" s="56" t="n">
        <f aca="false">R13+T13+N13+U13</f>
        <v>680</v>
      </c>
      <c r="X13" s="56" t="n">
        <f aca="false">IF(L13&lt;0,L13*-1,0)</f>
        <v>83.3757751449458</v>
      </c>
      <c r="Y13" s="56" t="n">
        <f aca="false">W13+X13</f>
        <v>763.375775144946</v>
      </c>
      <c r="Z13" s="60" t="n">
        <v>0</v>
      </c>
      <c r="AA13" s="61" t="n">
        <v>82</v>
      </c>
      <c r="AB13" s="61" t="n">
        <v>57</v>
      </c>
      <c r="AC13" s="62" t="n">
        <v>4</v>
      </c>
      <c r="AD13" s="79"/>
      <c r="AE13" s="82"/>
      <c r="AF13" s="82"/>
    </row>
    <row r="14" customFormat="false" ht="11.1" hidden="false" customHeight="true" outlineLevel="0" collapsed="false">
      <c r="A14" s="62" t="n">
        <v>5</v>
      </c>
      <c r="B14" s="80" t="n">
        <v>6913.55</v>
      </c>
      <c r="C14" s="57" t="n">
        <v>336381</v>
      </c>
      <c r="D14" s="61" t="n">
        <f aca="false">C14-C13</f>
        <v>-946</v>
      </c>
      <c r="E14" s="57" t="n">
        <f aca="false">C14-151978</f>
        <v>184403</v>
      </c>
      <c r="F14" s="56" t="n">
        <f aca="false">D14/$D$2</f>
        <v>-476.934711368793</v>
      </c>
      <c r="G14" s="56" t="n">
        <v>242</v>
      </c>
      <c r="H14" s="58" t="n">
        <v>2</v>
      </c>
      <c r="I14" s="56" t="n">
        <f aca="false">G14+H14</f>
        <v>244</v>
      </c>
      <c r="J14" s="81" t="n">
        <f aca="false">IF(L14&gt;0,L14,0)</f>
        <v>0</v>
      </c>
      <c r="K14" s="56" t="n">
        <f aca="false">I14+J14</f>
        <v>244</v>
      </c>
      <c r="L14" s="56" t="n">
        <f aca="false">F14-(I14-W14)</f>
        <v>-6.93471136879253</v>
      </c>
      <c r="M14" s="56" t="n">
        <v>250</v>
      </c>
      <c r="N14" s="56" t="n">
        <f aca="false">(28.23+30.21)*1.05</f>
        <v>61.362</v>
      </c>
      <c r="O14" s="56" t="n">
        <f aca="false">M14-N14</f>
        <v>188.638</v>
      </c>
      <c r="P14" s="56" t="n">
        <v>97</v>
      </c>
      <c r="Q14" s="56" t="n">
        <v>62</v>
      </c>
      <c r="R14" s="56" t="n">
        <f aca="false">SUM(O14:Q14)</f>
        <v>347.638</v>
      </c>
      <c r="S14" s="57" t="n">
        <f aca="false">(I14-R14)+S13</f>
        <v>17618.7345809176</v>
      </c>
      <c r="T14" s="56" t="n">
        <v>183</v>
      </c>
      <c r="U14" s="56" t="n">
        <v>122</v>
      </c>
      <c r="V14" s="57" t="n">
        <f aca="false">V13-U14</f>
        <v>10016.6188706831</v>
      </c>
      <c r="W14" s="56" t="n">
        <f aca="false">R14+T14+N14+U14</f>
        <v>714</v>
      </c>
      <c r="X14" s="56" t="n">
        <f aca="false">IF(L14&lt;0,L14*-1,0)</f>
        <v>6.93471136879253</v>
      </c>
      <c r="Y14" s="56" t="n">
        <f aca="false">W14+X14</f>
        <v>720.934711368793</v>
      </c>
      <c r="Z14" s="60" t="n">
        <v>0.01</v>
      </c>
      <c r="AA14" s="61" t="n">
        <v>84</v>
      </c>
      <c r="AB14" s="61" t="n">
        <v>53</v>
      </c>
      <c r="AC14" s="62" t="n">
        <v>5</v>
      </c>
      <c r="AD14" s="79"/>
      <c r="AE14" s="82"/>
      <c r="AF14" s="82"/>
    </row>
    <row r="15" customFormat="false" ht="11.1" hidden="false" customHeight="true" outlineLevel="0" collapsed="false">
      <c r="A15" s="62" t="n">
        <v>6</v>
      </c>
      <c r="B15" s="80" t="n">
        <v>6913.31</v>
      </c>
      <c r="C15" s="57" t="n">
        <v>335395</v>
      </c>
      <c r="D15" s="61" t="n">
        <f aca="false">C15-C14</f>
        <v>-986</v>
      </c>
      <c r="E15" s="57" t="n">
        <f aca="false">C15-151978</f>
        <v>183417</v>
      </c>
      <c r="F15" s="56" t="n">
        <f aca="false">D15/$D$2</f>
        <v>-497.101083942526</v>
      </c>
      <c r="G15" s="56" t="n">
        <v>218</v>
      </c>
      <c r="H15" s="58" t="n">
        <v>2</v>
      </c>
      <c r="I15" s="56" t="n">
        <f aca="false">G15+H15</f>
        <v>220</v>
      </c>
      <c r="J15" s="81" t="n">
        <f aca="false">IF(L15&gt;0,L15,0)</f>
        <v>0</v>
      </c>
      <c r="K15" s="56" t="n">
        <f aca="false">I15+J15</f>
        <v>220</v>
      </c>
      <c r="L15" s="56" t="n">
        <f aca="false">F15-(I15-W15)</f>
        <v>-50.1010839425258</v>
      </c>
      <c r="M15" s="56" t="n">
        <v>222</v>
      </c>
      <c r="N15" s="56" t="n">
        <f aca="false">(20.92+19.83)*1.05</f>
        <v>42.7875</v>
      </c>
      <c r="O15" s="56" t="n">
        <f aca="false">M15-N15</f>
        <v>179.2125</v>
      </c>
      <c r="P15" s="56" t="n">
        <v>97</v>
      </c>
      <c r="Q15" s="56" t="n">
        <v>62</v>
      </c>
      <c r="R15" s="56" t="n">
        <f aca="false">SUM(O15:Q15)</f>
        <v>338.2125</v>
      </c>
      <c r="S15" s="57" t="n">
        <f aca="false">(I15-R15)+S14</f>
        <v>17500.5220809176</v>
      </c>
      <c r="T15" s="56" t="n">
        <v>178</v>
      </c>
      <c r="U15" s="56" t="n">
        <v>108</v>
      </c>
      <c r="V15" s="57" t="n">
        <f aca="false">V14-U15</f>
        <v>9908.61887068314</v>
      </c>
      <c r="W15" s="56" t="n">
        <f aca="false">R15+T15+N15+U15</f>
        <v>667</v>
      </c>
      <c r="X15" s="56" t="n">
        <f aca="false">IF(L15&lt;0,L15*-1,0)</f>
        <v>50.1010839425258</v>
      </c>
      <c r="Y15" s="56" t="n">
        <f aca="false">W15+X15</f>
        <v>717.101083942526</v>
      </c>
      <c r="Z15" s="60" t="n">
        <v>0</v>
      </c>
      <c r="AA15" s="61" t="n">
        <v>75</v>
      </c>
      <c r="AB15" s="61" t="n">
        <v>55</v>
      </c>
      <c r="AC15" s="62" t="n">
        <v>6</v>
      </c>
      <c r="AD15" s="79"/>
      <c r="AE15" s="82"/>
      <c r="AF15" s="82"/>
    </row>
    <row r="16" customFormat="false" ht="11.1" hidden="false" customHeight="true" outlineLevel="0" collapsed="false">
      <c r="A16" s="62" t="n">
        <v>7</v>
      </c>
      <c r="B16" s="80" t="n">
        <v>6913.08</v>
      </c>
      <c r="C16" s="57" t="n">
        <v>334450</v>
      </c>
      <c r="D16" s="61" t="n">
        <f aca="false">C16-C15</f>
        <v>-945</v>
      </c>
      <c r="E16" s="57" t="n">
        <f aca="false">C16-151978</f>
        <v>182472</v>
      </c>
      <c r="F16" s="56" t="n">
        <f aca="false">D16/$D$2</f>
        <v>-476.430552054449</v>
      </c>
      <c r="G16" s="56" t="n">
        <v>308</v>
      </c>
      <c r="H16" s="58" t="n">
        <v>1.9</v>
      </c>
      <c r="I16" s="56" t="n">
        <f aca="false">G16+H16</f>
        <v>309.9</v>
      </c>
      <c r="J16" s="81" t="n">
        <f aca="false">IF(L16&gt;0,L16,0)</f>
        <v>0</v>
      </c>
      <c r="K16" s="56" t="n">
        <f aca="false">I16+J16</f>
        <v>309.9</v>
      </c>
      <c r="L16" s="56" t="n">
        <f aca="false">F16-(I16-W16)</f>
        <v>-142.330552054449</v>
      </c>
      <c r="M16" s="56" t="n">
        <v>198</v>
      </c>
      <c r="N16" s="56" t="n">
        <f aca="false">(11.89+11.83)*1.05</f>
        <v>24.906</v>
      </c>
      <c r="O16" s="56" t="n">
        <f aca="false">M16-N16</f>
        <v>173.094</v>
      </c>
      <c r="P16" s="56" t="n">
        <v>97</v>
      </c>
      <c r="Q16" s="56" t="n">
        <v>62</v>
      </c>
      <c r="R16" s="56" t="n">
        <f aca="false">SUM(O16:Q16)</f>
        <v>332.094</v>
      </c>
      <c r="S16" s="57" t="n">
        <f aca="false">(I16-R16)+S15</f>
        <v>17478.3280809176</v>
      </c>
      <c r="T16" s="56" t="n">
        <v>166</v>
      </c>
      <c r="U16" s="56" t="n">
        <v>121</v>
      </c>
      <c r="V16" s="57" t="n">
        <f aca="false">V15-U16</f>
        <v>9787.61887068313</v>
      </c>
      <c r="W16" s="56" t="n">
        <f aca="false">R16+T16+N16+U16</f>
        <v>644</v>
      </c>
      <c r="X16" s="56" t="n">
        <f aca="false">IF(L16&lt;0,L16*-1,0)</f>
        <v>142.330552054449</v>
      </c>
      <c r="Y16" s="56" t="n">
        <f aca="false">W16+X16</f>
        <v>786.330552054449</v>
      </c>
      <c r="Z16" s="60" t="n">
        <v>0</v>
      </c>
      <c r="AA16" s="61" t="n">
        <v>88</v>
      </c>
      <c r="AB16" s="61" t="n">
        <v>53</v>
      </c>
      <c r="AC16" s="62" t="n">
        <v>7</v>
      </c>
      <c r="AD16" s="79"/>
      <c r="AE16" s="82"/>
      <c r="AF16" s="82"/>
    </row>
    <row r="17" customFormat="false" ht="11.1" hidden="false" customHeight="true" outlineLevel="0" collapsed="false">
      <c r="A17" s="62" t="n">
        <v>8</v>
      </c>
      <c r="B17" s="80" t="n">
        <v>6912.83</v>
      </c>
      <c r="C17" s="57" t="n">
        <v>333428</v>
      </c>
      <c r="D17" s="61" t="n">
        <f aca="false">C17-C16</f>
        <v>-1022</v>
      </c>
      <c r="E17" s="57" t="n">
        <f aca="false">C17-151978</f>
        <v>181450</v>
      </c>
      <c r="F17" s="56" t="n">
        <f aca="false">D17/$D$2</f>
        <v>-515.250819258886</v>
      </c>
      <c r="G17" s="56" t="n">
        <v>192</v>
      </c>
      <c r="H17" s="58" t="n">
        <v>1.4</v>
      </c>
      <c r="I17" s="56" t="n">
        <f aca="false">G17+H17</f>
        <v>193.4</v>
      </c>
      <c r="J17" s="81" t="n">
        <f aca="false">IF(L17&gt;0,L17,0)</f>
        <v>0</v>
      </c>
      <c r="K17" s="56" t="n">
        <f aca="false">I17+J17</f>
        <v>193.4</v>
      </c>
      <c r="L17" s="56" t="n">
        <f aca="false">F17-(I17-W17)</f>
        <v>-43.6508192588858</v>
      </c>
      <c r="M17" s="56" t="n">
        <v>210</v>
      </c>
      <c r="N17" s="56" t="n">
        <f aca="false">(11.93+12.77)*1.05</f>
        <v>25.935</v>
      </c>
      <c r="O17" s="56" t="n">
        <f aca="false">M17-N17</f>
        <v>184.065</v>
      </c>
      <c r="P17" s="56" t="n">
        <v>97</v>
      </c>
      <c r="Q17" s="56" t="n">
        <v>66</v>
      </c>
      <c r="R17" s="56" t="n">
        <f aca="false">SUM(O17:Q17)</f>
        <v>347.065</v>
      </c>
      <c r="S17" s="57" t="n">
        <f aca="false">(I17-R17)+S16</f>
        <v>17324.6630809176</v>
      </c>
      <c r="T17" s="56" t="n">
        <v>184</v>
      </c>
      <c r="U17" s="56" t="n">
        <v>108</v>
      </c>
      <c r="V17" s="57" t="n">
        <f aca="false">V16-U17</f>
        <v>9679.61887068313</v>
      </c>
      <c r="W17" s="56" t="n">
        <f aca="false">R17+T17+N17+U17</f>
        <v>665</v>
      </c>
      <c r="X17" s="56" t="n">
        <f aca="false">IF(L17&lt;0,L17*-1,0)</f>
        <v>43.6508192588858</v>
      </c>
      <c r="Y17" s="56" t="n">
        <f aca="false">W17+X17</f>
        <v>708.650819258886</v>
      </c>
      <c r="Z17" s="60" t="n">
        <v>0</v>
      </c>
      <c r="AA17" s="61" t="n">
        <v>88</v>
      </c>
      <c r="AB17" s="61" t="n">
        <v>53</v>
      </c>
      <c r="AC17" s="62" t="n">
        <v>8</v>
      </c>
      <c r="AD17" s="79"/>
      <c r="AE17" s="82"/>
      <c r="AF17" s="82"/>
    </row>
    <row r="18" customFormat="false" ht="11.1" hidden="false" customHeight="true" outlineLevel="0" collapsed="false">
      <c r="A18" s="62" t="n">
        <v>9</v>
      </c>
      <c r="B18" s="80" t="n">
        <v>6912.55</v>
      </c>
      <c r="C18" s="57" t="n">
        <v>332287</v>
      </c>
      <c r="D18" s="61" t="n">
        <f aca="false">C18-C17</f>
        <v>-1141</v>
      </c>
      <c r="E18" s="57" t="n">
        <f aca="false">C18-151978</f>
        <v>180309</v>
      </c>
      <c r="F18" s="56" t="n">
        <f aca="false">D18/$D$2</f>
        <v>-575.245777665742</v>
      </c>
      <c r="G18" s="56" t="n">
        <v>182</v>
      </c>
      <c r="H18" s="58" t="n">
        <v>0.89</v>
      </c>
      <c r="I18" s="56" t="n">
        <f aca="false">G18+H18</f>
        <v>182.89</v>
      </c>
      <c r="J18" s="81" t="n">
        <f aca="false">IF(L18&gt;0,L18,0)</f>
        <v>0</v>
      </c>
      <c r="K18" s="56" t="n">
        <f aca="false">I18+J18</f>
        <v>182.89</v>
      </c>
      <c r="L18" s="56" t="n">
        <f aca="false">F18-(I18-W18)</f>
        <v>-86.1357776657423</v>
      </c>
      <c r="M18" s="56" t="n">
        <v>230</v>
      </c>
      <c r="N18" s="56" t="n">
        <f aca="false">(20.51+21.44)*1.05</f>
        <v>44.0475</v>
      </c>
      <c r="O18" s="56" t="n">
        <f aca="false">M18-N18</f>
        <v>185.9525</v>
      </c>
      <c r="P18" s="56" t="n">
        <v>97</v>
      </c>
      <c r="Q18" s="56" t="n">
        <v>71</v>
      </c>
      <c r="R18" s="56" t="n">
        <f aca="false">SUM(O18:Q18)</f>
        <v>353.9525</v>
      </c>
      <c r="S18" s="57" t="n">
        <f aca="false">(I18-R18)+S17</f>
        <v>17153.6005809176</v>
      </c>
      <c r="T18" s="56" t="n">
        <v>178</v>
      </c>
      <c r="U18" s="56" t="n">
        <v>96</v>
      </c>
      <c r="V18" s="57" t="n">
        <f aca="false">V17-U18</f>
        <v>9583.61887068313</v>
      </c>
      <c r="W18" s="56" t="n">
        <f aca="false">R18+T18+N18+U18</f>
        <v>672</v>
      </c>
      <c r="X18" s="56" t="n">
        <f aca="false">IF(L18&lt;0,L18*-1,0)</f>
        <v>86.1357776657423</v>
      </c>
      <c r="Y18" s="56" t="n">
        <f aca="false">W18+X18</f>
        <v>758.135777665742</v>
      </c>
      <c r="Z18" s="60" t="n">
        <v>0</v>
      </c>
      <c r="AA18" s="61" t="n">
        <v>83</v>
      </c>
      <c r="AB18" s="61" t="n">
        <v>54</v>
      </c>
      <c r="AC18" s="62" t="n">
        <v>9</v>
      </c>
      <c r="AD18" s="79"/>
      <c r="AE18" s="82"/>
      <c r="AF18" s="82"/>
    </row>
    <row r="19" customFormat="false" ht="11.1" hidden="false" customHeight="true" outlineLevel="0" collapsed="false">
      <c r="A19" s="62" t="n">
        <v>10</v>
      </c>
      <c r="B19" s="80" t="n">
        <v>6912.33</v>
      </c>
      <c r="C19" s="57" t="n">
        <v>331390</v>
      </c>
      <c r="D19" s="61" t="n">
        <f aca="false">C19-C18</f>
        <v>-897</v>
      </c>
      <c r="E19" s="57" t="n">
        <f aca="false">C19-151978</f>
        <v>179412</v>
      </c>
      <c r="F19" s="56" t="n">
        <f aca="false">D19/$D$2</f>
        <v>-452.230904965969</v>
      </c>
      <c r="G19" s="56" t="n">
        <v>181</v>
      </c>
      <c r="H19" s="58" t="n">
        <v>0.84</v>
      </c>
      <c r="I19" s="56" t="n">
        <f aca="false">G19+H19</f>
        <v>181.84</v>
      </c>
      <c r="J19" s="81" t="n">
        <f aca="false">IF(L19&gt;0,L19,0)</f>
        <v>15.9290950340308</v>
      </c>
      <c r="K19" s="56" t="n">
        <f aca="false">I19+J19</f>
        <v>197.769095034031</v>
      </c>
      <c r="L19" s="56" t="n">
        <f aca="false">F19-(I19-W19)</f>
        <v>15.9290950340308</v>
      </c>
      <c r="M19" s="56" t="n">
        <v>225</v>
      </c>
      <c r="N19" s="56" t="n">
        <f aca="false">(22.59+22.28)*1.05</f>
        <v>47.1135</v>
      </c>
      <c r="O19" s="56" t="n">
        <f aca="false">M19-N19</f>
        <v>177.8865</v>
      </c>
      <c r="P19" s="56" t="n">
        <v>96</v>
      </c>
      <c r="Q19" s="56" t="n">
        <v>72</v>
      </c>
      <c r="R19" s="56" t="n">
        <f aca="false">SUM(O19:Q19)</f>
        <v>345.8865</v>
      </c>
      <c r="S19" s="57" t="n">
        <f aca="false">(I19-R19)+S18</f>
        <v>16989.5540809176</v>
      </c>
      <c r="T19" s="56" t="n">
        <v>168</v>
      </c>
      <c r="U19" s="56" t="n">
        <v>89</v>
      </c>
      <c r="V19" s="57" t="n">
        <f aca="false">V18-U19</f>
        <v>9494.61887068313</v>
      </c>
      <c r="W19" s="56" t="n">
        <f aca="false">R19+T19+N19+U19</f>
        <v>650</v>
      </c>
      <c r="X19" s="56" t="n">
        <f aca="false">IF(L19&lt;0,L19*-1,0)</f>
        <v>0</v>
      </c>
      <c r="Y19" s="56" t="n">
        <f aca="false">W19+X19</f>
        <v>650</v>
      </c>
      <c r="Z19" s="60" t="n">
        <v>0</v>
      </c>
      <c r="AA19" s="61" t="n">
        <v>82</v>
      </c>
      <c r="AB19" s="61" t="n">
        <v>52</v>
      </c>
      <c r="AC19" s="62" t="n">
        <v>10</v>
      </c>
      <c r="AD19" s="79"/>
      <c r="AE19" s="82"/>
      <c r="AF19" s="82"/>
    </row>
    <row r="20" customFormat="false" ht="11.1" hidden="false" customHeight="true" outlineLevel="0" collapsed="false">
      <c r="A20" s="62" t="n">
        <v>11</v>
      </c>
      <c r="B20" s="80" t="n">
        <v>6912.16</v>
      </c>
      <c r="C20" s="57" t="n">
        <v>330697</v>
      </c>
      <c r="D20" s="61" t="n">
        <f aca="false">C20-C19</f>
        <v>-693</v>
      </c>
      <c r="E20" s="57" t="n">
        <f aca="false">C20-151978</f>
        <v>178719</v>
      </c>
      <c r="F20" s="56" t="n">
        <f aca="false">D20/$D$2</f>
        <v>-349.382404839929</v>
      </c>
      <c r="G20" s="56" t="n">
        <v>229</v>
      </c>
      <c r="H20" s="58" t="n">
        <v>1</v>
      </c>
      <c r="I20" s="56" t="n">
        <f aca="false">G20+H20</f>
        <v>230</v>
      </c>
      <c r="J20" s="81" t="n">
        <f aca="false">IF(L20&gt;0,L20,0)</f>
        <v>41.6175951600706</v>
      </c>
      <c r="K20" s="56" t="n">
        <f aca="false">I20+J20</f>
        <v>271.617595160071</v>
      </c>
      <c r="L20" s="56" t="n">
        <f aca="false">F20-(I20-W20)</f>
        <v>41.6175951600706</v>
      </c>
      <c r="M20" s="56" t="n">
        <v>200</v>
      </c>
      <c r="N20" s="56" t="n">
        <f aca="false">(12.19+12.08)*1.05</f>
        <v>25.4835</v>
      </c>
      <c r="O20" s="56" t="n">
        <f aca="false">M20-N20</f>
        <v>174.5165</v>
      </c>
      <c r="P20" s="56" t="n">
        <v>96</v>
      </c>
      <c r="Q20" s="56" t="n">
        <v>73</v>
      </c>
      <c r="R20" s="56" t="n">
        <f aca="false">SUM(O20:Q20)</f>
        <v>343.5165</v>
      </c>
      <c r="S20" s="57" t="n">
        <f aca="false">(I20-R20)+S19</f>
        <v>16876.0375809176</v>
      </c>
      <c r="T20" s="56" t="n">
        <v>159</v>
      </c>
      <c r="U20" s="56" t="n">
        <v>93</v>
      </c>
      <c r="V20" s="57" t="n">
        <f aca="false">V19-U20</f>
        <v>9401.61887068313</v>
      </c>
      <c r="W20" s="56" t="n">
        <f aca="false">R20+T20+N20+U20</f>
        <v>621</v>
      </c>
      <c r="X20" s="56" t="n">
        <f aca="false">IF(L20&lt;0,L20*-1,0)</f>
        <v>0</v>
      </c>
      <c r="Y20" s="56" t="n">
        <f aca="false">W20+X20</f>
        <v>621</v>
      </c>
      <c r="Z20" s="60" t="n">
        <v>0.56</v>
      </c>
      <c r="AA20" s="61" t="n">
        <v>80</v>
      </c>
      <c r="AB20" s="61" t="n">
        <v>53</v>
      </c>
      <c r="AC20" s="62" t="n">
        <v>11</v>
      </c>
      <c r="AD20" s="79"/>
      <c r="AE20" s="82"/>
      <c r="AF20" s="82"/>
    </row>
    <row r="21" customFormat="false" ht="11.1" hidden="false" customHeight="true" outlineLevel="0" collapsed="false">
      <c r="A21" s="62" t="n">
        <v>12</v>
      </c>
      <c r="B21" s="80" t="n">
        <v>6912.05</v>
      </c>
      <c r="C21" s="57" t="n">
        <v>330248</v>
      </c>
      <c r="D21" s="61" t="n">
        <f aca="false">C21-C20</f>
        <v>-449</v>
      </c>
      <c r="E21" s="57" t="n">
        <f aca="false">C21-151978</f>
        <v>178270</v>
      </c>
      <c r="F21" s="56" t="n">
        <f aca="false">D21/$D$2</f>
        <v>-226.367532140156</v>
      </c>
      <c r="G21" s="56" t="n">
        <v>334</v>
      </c>
      <c r="H21" s="58" t="n">
        <v>1</v>
      </c>
      <c r="I21" s="56" t="n">
        <f aca="false">G21+H21</f>
        <v>335</v>
      </c>
      <c r="J21" s="81" t="n">
        <f aca="false">IF(L21&gt;0,L21,0)</f>
        <v>0</v>
      </c>
      <c r="K21" s="56" t="n">
        <f aca="false">I21+J21</f>
        <v>335</v>
      </c>
      <c r="L21" s="56" t="n">
        <f aca="false">F21-(I21-W21)</f>
        <v>-29.3675321401563</v>
      </c>
      <c r="M21" s="56" t="n">
        <v>174</v>
      </c>
      <c r="N21" s="56" t="n">
        <f aca="false">(10.45+11.11)*1.05</f>
        <v>22.638</v>
      </c>
      <c r="O21" s="56" t="n">
        <f aca="false">M21-N21</f>
        <v>151.362</v>
      </c>
      <c r="P21" s="56" t="n">
        <v>97</v>
      </c>
      <c r="Q21" s="56" t="n">
        <v>73</v>
      </c>
      <c r="R21" s="56" t="n">
        <f aca="false">SUM(O21:Q21)</f>
        <v>321.362</v>
      </c>
      <c r="S21" s="57" t="n">
        <f aca="false">(I21-R21)+S20</f>
        <v>16889.6755809176</v>
      </c>
      <c r="T21" s="56" t="n">
        <v>96</v>
      </c>
      <c r="U21" s="56" t="n">
        <v>92</v>
      </c>
      <c r="V21" s="57" t="n">
        <f aca="false">V20-U21</f>
        <v>9309.61887068314</v>
      </c>
      <c r="W21" s="56" t="n">
        <f aca="false">R21+T21+N21+U21</f>
        <v>532</v>
      </c>
      <c r="X21" s="56" t="n">
        <f aca="false">IF(L21&lt;0,L21*-1,0)</f>
        <v>29.3675321401563</v>
      </c>
      <c r="Y21" s="56" t="n">
        <f aca="false">W21+X21</f>
        <v>561.367532140156</v>
      </c>
      <c r="Z21" s="60" t="n">
        <v>0.25</v>
      </c>
      <c r="AA21" s="61" t="n">
        <v>77</v>
      </c>
      <c r="AB21" s="61" t="n">
        <v>52</v>
      </c>
      <c r="AC21" s="62" t="n">
        <v>12</v>
      </c>
      <c r="AD21" s="79"/>
      <c r="AE21" s="82"/>
      <c r="AF21" s="82"/>
    </row>
    <row r="22" customFormat="false" ht="11.1" hidden="false" customHeight="true" outlineLevel="0" collapsed="false">
      <c r="A22" s="62" t="n">
        <v>13</v>
      </c>
      <c r="B22" s="80" t="n">
        <v>6911.93</v>
      </c>
      <c r="C22" s="57" t="n">
        <v>329761</v>
      </c>
      <c r="D22" s="61" t="n">
        <f aca="false">C22-C21</f>
        <v>-487</v>
      </c>
      <c r="E22" s="57" t="n">
        <f aca="false">C22-151978</f>
        <v>177783</v>
      </c>
      <c r="F22" s="56" t="n">
        <f aca="false">D22/$D$2</f>
        <v>-245.525586085203</v>
      </c>
      <c r="G22" s="56" t="n">
        <v>284</v>
      </c>
      <c r="H22" s="58" t="n">
        <v>0.97</v>
      </c>
      <c r="I22" s="56" t="n">
        <f aca="false">G22+H22</f>
        <v>284.97</v>
      </c>
      <c r="J22" s="81" t="n">
        <f aca="false">IF(L22&gt;0,L22,0)</f>
        <v>4.50441391479706</v>
      </c>
      <c r="K22" s="56" t="n">
        <f aca="false">I22+J22</f>
        <v>289.474413914797</v>
      </c>
      <c r="L22" s="56" t="n">
        <f aca="false">F22-(I22-W22)</f>
        <v>4.50441391479706</v>
      </c>
      <c r="M22" s="56" t="n">
        <v>175</v>
      </c>
      <c r="N22" s="56" t="n">
        <f aca="false">(9.91+11.18)*1.05</f>
        <v>22.1445</v>
      </c>
      <c r="O22" s="56" t="n">
        <f aca="false">M22-N22</f>
        <v>152.8555</v>
      </c>
      <c r="P22" s="56" t="n">
        <v>96</v>
      </c>
      <c r="Q22" s="56" t="n">
        <v>73</v>
      </c>
      <c r="R22" s="56" t="n">
        <f aca="false">SUM(O22:Q22)</f>
        <v>321.8555</v>
      </c>
      <c r="S22" s="57" t="n">
        <f aca="false">(I22-R22)+S21</f>
        <v>16852.7900809175</v>
      </c>
      <c r="T22" s="56" t="n">
        <v>92</v>
      </c>
      <c r="U22" s="56" t="n">
        <v>99</v>
      </c>
      <c r="V22" s="57" t="n">
        <f aca="false">V21-U22</f>
        <v>9210.61887068314</v>
      </c>
      <c r="W22" s="56" t="n">
        <f aca="false">R22+T22+N22+U22</f>
        <v>535</v>
      </c>
      <c r="X22" s="56" t="n">
        <f aca="false">IF(L22&lt;0,L22*-1,0)</f>
        <v>0</v>
      </c>
      <c r="Y22" s="56" t="n">
        <f aca="false">W22+X22</f>
        <v>535</v>
      </c>
      <c r="Z22" s="60" t="n">
        <v>0.1</v>
      </c>
      <c r="AA22" s="61" t="n">
        <v>77</v>
      </c>
      <c r="AB22" s="61" t="n">
        <v>53</v>
      </c>
      <c r="AC22" s="62" t="n">
        <v>13</v>
      </c>
      <c r="AD22" s="79"/>
      <c r="AE22" s="82"/>
      <c r="AF22" s="82"/>
    </row>
    <row r="23" customFormat="false" ht="11.1" hidden="false" customHeight="true" outlineLevel="0" collapsed="false">
      <c r="A23" s="62" t="n">
        <v>14</v>
      </c>
      <c r="B23" s="80" t="n">
        <v>6911.83</v>
      </c>
      <c r="C23" s="57" t="n">
        <v>329357</v>
      </c>
      <c r="D23" s="61" t="n">
        <f aca="false">C23-C22</f>
        <v>-404</v>
      </c>
      <c r="E23" s="57" t="n">
        <f aca="false">C23-151978</f>
        <v>177379</v>
      </c>
      <c r="F23" s="56" t="n">
        <f aca="false">D23/$D$2</f>
        <v>-203.680362994706</v>
      </c>
      <c r="G23" s="56" t="n">
        <v>303</v>
      </c>
      <c r="H23" s="58" t="n">
        <v>0.93</v>
      </c>
      <c r="I23" s="56" t="n">
        <f aca="false">G23+H23</f>
        <v>303.93</v>
      </c>
      <c r="J23" s="81" t="n">
        <f aca="false">IF(L23&gt;0,L23,0)</f>
        <v>0</v>
      </c>
      <c r="K23" s="56" t="n">
        <f aca="false">I23+J23</f>
        <v>303.93</v>
      </c>
      <c r="L23" s="56" t="n">
        <f aca="false">F23-(I23-W23)</f>
        <v>-0.610362994706378</v>
      </c>
      <c r="M23" s="56" t="n">
        <v>193</v>
      </c>
      <c r="N23" s="56" t="n">
        <f aca="false">(17.04+18.54)*1.05</f>
        <v>37.359</v>
      </c>
      <c r="O23" s="56" t="n">
        <f aca="false">M23-N23</f>
        <v>155.641</v>
      </c>
      <c r="P23" s="56" t="n">
        <v>96</v>
      </c>
      <c r="Q23" s="56" t="n">
        <v>73</v>
      </c>
      <c r="R23" s="56" t="n">
        <f aca="false">SUM(O23:Q23)</f>
        <v>324.641</v>
      </c>
      <c r="S23" s="57" t="n">
        <f aca="false">(I23-R23)+S22</f>
        <v>16832.0790809175</v>
      </c>
      <c r="T23" s="56" t="n">
        <v>46</v>
      </c>
      <c r="U23" s="56" t="n">
        <v>99</v>
      </c>
      <c r="V23" s="57" t="n">
        <f aca="false">V22-U23</f>
        <v>9111.61887068313</v>
      </c>
      <c r="W23" s="56" t="n">
        <f aca="false">R23+T23+N23+U23</f>
        <v>507</v>
      </c>
      <c r="X23" s="56" t="n">
        <f aca="false">IF(L23&lt;0,L23*-1,0)</f>
        <v>0.610362994706378</v>
      </c>
      <c r="Y23" s="56" t="n">
        <f aca="false">W23+X23</f>
        <v>507.610362994706</v>
      </c>
      <c r="Z23" s="60" t="n">
        <v>0.13</v>
      </c>
      <c r="AA23" s="61" t="n">
        <v>79</v>
      </c>
      <c r="AB23" s="61" t="n">
        <v>51</v>
      </c>
      <c r="AC23" s="62" t="n">
        <v>14</v>
      </c>
      <c r="AD23" s="79"/>
      <c r="AE23" s="82"/>
      <c r="AF23" s="82"/>
    </row>
    <row r="24" customFormat="false" ht="11.1" hidden="false" customHeight="true" outlineLevel="0" collapsed="false">
      <c r="A24" s="62" t="n">
        <v>15</v>
      </c>
      <c r="B24" s="80" t="n">
        <v>6911.81</v>
      </c>
      <c r="C24" s="57" t="n">
        <v>329276</v>
      </c>
      <c r="D24" s="61" t="n">
        <f aca="false">C24-C23</f>
        <v>-81</v>
      </c>
      <c r="E24" s="57" t="n">
        <f aca="false">C24-151978</f>
        <v>177298</v>
      </c>
      <c r="F24" s="56" t="n">
        <f aca="false">D24/$D$2</f>
        <v>-40.8369044618099</v>
      </c>
      <c r="G24" s="56" t="n">
        <v>294</v>
      </c>
      <c r="H24" s="58" t="n">
        <v>1.1</v>
      </c>
      <c r="I24" s="56" t="n">
        <f aca="false">G24+H24</f>
        <v>295.1</v>
      </c>
      <c r="J24" s="81" t="n">
        <f aca="false">IF(L24&gt;0,L24,0)</f>
        <v>99.0630955381901</v>
      </c>
      <c r="K24" s="56" t="n">
        <f aca="false">I24+J24</f>
        <v>394.16309553819</v>
      </c>
      <c r="L24" s="56" t="n">
        <f aca="false">F24-(I24-W24)</f>
        <v>99.0630955381901</v>
      </c>
      <c r="M24" s="56" t="n">
        <v>145</v>
      </c>
      <c r="N24" s="56" t="n">
        <f aca="false">(13.31+13.54)*1.05</f>
        <v>28.1925</v>
      </c>
      <c r="O24" s="56" t="n">
        <f aca="false">M24-N24</f>
        <v>116.8075</v>
      </c>
      <c r="P24" s="56" t="n">
        <v>96</v>
      </c>
      <c r="Q24" s="56" t="n">
        <v>69</v>
      </c>
      <c r="R24" s="56" t="n">
        <f aca="false">SUM(O24:Q24)</f>
        <v>281.8075</v>
      </c>
      <c r="S24" s="57" t="n">
        <f aca="false">(I24-R24)+S23</f>
        <v>16845.3715809175</v>
      </c>
      <c r="T24" s="56" t="n">
        <v>36</v>
      </c>
      <c r="U24" s="56" t="n">
        <v>89</v>
      </c>
      <c r="V24" s="57" t="n">
        <f aca="false">V23-U24</f>
        <v>9022.61887068313</v>
      </c>
      <c r="W24" s="56" t="n">
        <f aca="false">R24+T24+N24+U24</f>
        <v>435</v>
      </c>
      <c r="X24" s="56" t="n">
        <f aca="false">IF(L24&lt;0,L24*-1,0)</f>
        <v>0</v>
      </c>
      <c r="Y24" s="56" t="n">
        <f aca="false">W24+X24</f>
        <v>435</v>
      </c>
      <c r="Z24" s="60" t="n">
        <v>0.74</v>
      </c>
      <c r="AA24" s="61" t="n">
        <v>79</v>
      </c>
      <c r="AB24" s="61" t="n">
        <v>52</v>
      </c>
      <c r="AC24" s="62" t="n">
        <v>15</v>
      </c>
      <c r="AD24" s="79"/>
      <c r="AE24" s="82"/>
      <c r="AF24" s="82"/>
    </row>
    <row r="25" customFormat="false" ht="11.1" hidden="false" customHeight="true" outlineLevel="0" collapsed="false">
      <c r="A25" s="62" t="n">
        <v>16</v>
      </c>
      <c r="B25" s="80" t="n">
        <v>6911.98</v>
      </c>
      <c r="C25" s="57" t="n">
        <v>329963</v>
      </c>
      <c r="D25" s="61" t="n">
        <f aca="false">C25-C24</f>
        <v>687</v>
      </c>
      <c r="E25" s="57" t="n">
        <f aca="false">C25-151978</f>
        <v>177985</v>
      </c>
      <c r="F25" s="56" t="n">
        <f aca="false">D25/$D$2</f>
        <v>346.357448953869</v>
      </c>
      <c r="G25" s="56" t="n">
        <v>713</v>
      </c>
      <c r="H25" s="58" t="n">
        <v>0.91</v>
      </c>
      <c r="I25" s="56" t="n">
        <f aca="false">G25+H25</f>
        <v>713.91</v>
      </c>
      <c r="J25" s="81" t="n">
        <f aca="false">IF(L25&gt;0,L25,0)</f>
        <v>0</v>
      </c>
      <c r="K25" s="56" t="n">
        <f aca="false">I25+J25</f>
        <v>713.91</v>
      </c>
      <c r="L25" s="56" t="n">
        <f aca="false">F25-(I25-W25)</f>
        <v>-36.0825510461305</v>
      </c>
      <c r="M25" s="56" t="n">
        <v>94.87</v>
      </c>
      <c r="N25" s="56" t="n">
        <f aca="false">(2.53+3.13)*1.05</f>
        <v>5.943</v>
      </c>
      <c r="O25" s="56" t="n">
        <f aca="false">M25-N25</f>
        <v>88.927</v>
      </c>
      <c r="P25" s="56" t="n">
        <v>79</v>
      </c>
      <c r="Q25" s="56" t="n">
        <v>67</v>
      </c>
      <c r="R25" s="56" t="n">
        <f aca="false">SUM(O25:Q25)</f>
        <v>234.927</v>
      </c>
      <c r="S25" s="57" t="n">
        <f aca="false">(I25-R25)+S24</f>
        <v>17324.3545809175</v>
      </c>
      <c r="T25" s="56" t="n">
        <v>7.6</v>
      </c>
      <c r="U25" s="56" t="n">
        <v>83</v>
      </c>
      <c r="V25" s="57" t="n">
        <f aca="false">V24-U25</f>
        <v>8939.61887068313</v>
      </c>
      <c r="W25" s="56" t="n">
        <f aca="false">R25+T25+N25+U25</f>
        <v>331.47</v>
      </c>
      <c r="X25" s="56" t="n">
        <f aca="false">IF(L25&lt;0,L25*-1,0)</f>
        <v>36.0825510461305</v>
      </c>
      <c r="Y25" s="56" t="n">
        <f aca="false">W25+X25</f>
        <v>367.552551046131</v>
      </c>
      <c r="Z25" s="60" t="n">
        <v>0</v>
      </c>
      <c r="AA25" s="61" t="n">
        <v>72</v>
      </c>
      <c r="AB25" s="61" t="n">
        <v>54</v>
      </c>
      <c r="AC25" s="62" t="n">
        <v>16</v>
      </c>
      <c r="AD25" s="79"/>
      <c r="AE25" s="82"/>
      <c r="AF25" s="82"/>
    </row>
    <row r="26" customFormat="false" ht="11.1" hidden="false" customHeight="true" outlineLevel="0" collapsed="false">
      <c r="A26" s="62" t="n">
        <v>17</v>
      </c>
      <c r="B26" s="80" t="n">
        <v>6912.01</v>
      </c>
      <c r="C26" s="57" t="n">
        <v>330085</v>
      </c>
      <c r="D26" s="61" t="n">
        <f aca="false">C26-C25</f>
        <v>122</v>
      </c>
      <c r="E26" s="57" t="n">
        <f aca="false">C26-151978</f>
        <v>178107</v>
      </c>
      <c r="F26" s="56" t="n">
        <f aca="false">D26/$D$2</f>
        <v>61.5074363498866</v>
      </c>
      <c r="G26" s="56" t="n">
        <v>463</v>
      </c>
      <c r="H26" s="58" t="n">
        <v>0.8</v>
      </c>
      <c r="I26" s="56" t="n">
        <f aca="false">G26+H26</f>
        <v>463.8</v>
      </c>
      <c r="J26" s="81" t="n">
        <f aca="false">IF(L26&gt;0,L26,0)</f>
        <v>0</v>
      </c>
      <c r="K26" s="56" t="n">
        <f aca="false">I26+J26</f>
        <v>463.8</v>
      </c>
      <c r="L26" s="56" t="n">
        <f aca="false">F26-(I26-W26)</f>
        <v>-74.8825636501135</v>
      </c>
      <c r="M26" s="56" t="n">
        <v>106.51</v>
      </c>
      <c r="N26" s="56" t="n">
        <v>0</v>
      </c>
      <c r="O26" s="56" t="n">
        <f aca="false">M26-N26</f>
        <v>106.51</v>
      </c>
      <c r="P26" s="56" t="n">
        <v>70</v>
      </c>
      <c r="Q26" s="56" t="n">
        <v>63</v>
      </c>
      <c r="R26" s="56" t="n">
        <f aca="false">SUM(O26:Q26)</f>
        <v>239.51</v>
      </c>
      <c r="S26" s="57" t="n">
        <f aca="false">(I26-R26)+S25</f>
        <v>17548.6445809176</v>
      </c>
      <c r="T26" s="56" t="n">
        <v>3.9</v>
      </c>
      <c r="U26" s="56" t="n">
        <v>84</v>
      </c>
      <c r="V26" s="57" t="n">
        <f aca="false">V25-U26</f>
        <v>8855.61887068313</v>
      </c>
      <c r="W26" s="56" t="n">
        <f aca="false">R26+T26+N26+U26</f>
        <v>327.41</v>
      </c>
      <c r="X26" s="56" t="n">
        <f aca="false">IF(L26&lt;0,L26*-1,0)</f>
        <v>74.8825636501135</v>
      </c>
      <c r="Y26" s="56" t="n">
        <f aca="false">W26+X26</f>
        <v>402.292563650113</v>
      </c>
      <c r="Z26" s="60" t="n">
        <v>0.02</v>
      </c>
      <c r="AA26" s="61" t="n">
        <v>78</v>
      </c>
      <c r="AB26" s="61" t="n">
        <v>51</v>
      </c>
      <c r="AC26" s="62" t="n">
        <v>17</v>
      </c>
      <c r="AD26" s="79"/>
      <c r="AE26" s="82"/>
      <c r="AF26" s="82"/>
    </row>
    <row r="27" customFormat="false" ht="11.1" hidden="false" customHeight="true" outlineLevel="0" collapsed="false">
      <c r="A27" s="62" t="n">
        <v>18</v>
      </c>
      <c r="B27" s="80" t="n">
        <v>6912.06</v>
      </c>
      <c r="C27" s="57" t="n">
        <v>330289</v>
      </c>
      <c r="D27" s="61" t="n">
        <f aca="false">C27-C26</f>
        <v>204</v>
      </c>
      <c r="E27" s="57" t="n">
        <f aca="false">C27-151978</f>
        <v>178311</v>
      </c>
      <c r="F27" s="56" t="n">
        <f aca="false">D27/$D$2</f>
        <v>102.84850012604</v>
      </c>
      <c r="G27" s="56" t="n">
        <v>376</v>
      </c>
      <c r="H27" s="58" t="n">
        <v>0.71</v>
      </c>
      <c r="I27" s="56" t="n">
        <f aca="false">G27+H27</f>
        <v>376.71</v>
      </c>
      <c r="J27" s="81" t="n">
        <f aca="false">IF(L27&gt;0,L27,0)</f>
        <v>47.5985001260398</v>
      </c>
      <c r="K27" s="56" t="n">
        <f aca="false">I27+J27</f>
        <v>424.30850012604</v>
      </c>
      <c r="L27" s="56" t="n">
        <f aca="false">F27-(I27-W27)</f>
        <v>47.5985001260398</v>
      </c>
      <c r="M27" s="56" t="n">
        <v>106.46</v>
      </c>
      <c r="N27" s="56" t="n">
        <v>0</v>
      </c>
      <c r="O27" s="56" t="n">
        <f aca="false">M27-N27</f>
        <v>106.46</v>
      </c>
      <c r="P27" s="56" t="n">
        <v>70</v>
      </c>
      <c r="Q27" s="56" t="n">
        <v>61</v>
      </c>
      <c r="R27" s="56" t="n">
        <f aca="false">SUM(O27:Q27)</f>
        <v>237.46</v>
      </c>
      <c r="S27" s="57" t="n">
        <f aca="false">(I27-R27)+S26</f>
        <v>17687.8945809176</v>
      </c>
      <c r="T27" s="56" t="n">
        <v>0</v>
      </c>
      <c r="U27" s="56" t="n">
        <v>84</v>
      </c>
      <c r="V27" s="57" t="n">
        <f aca="false">V26-U27</f>
        <v>8771.61887068313</v>
      </c>
      <c r="W27" s="56" t="n">
        <f aca="false">R27+T27+N27+U27</f>
        <v>321.46</v>
      </c>
      <c r="X27" s="56" t="n">
        <f aca="false">IF(L27&lt;0,L27*-1,0)</f>
        <v>0</v>
      </c>
      <c r="Y27" s="56" t="n">
        <f aca="false">W27+X27</f>
        <v>321.46</v>
      </c>
      <c r="Z27" s="60" t="n">
        <v>0.12</v>
      </c>
      <c r="AA27" s="61" t="n">
        <v>80</v>
      </c>
      <c r="AB27" s="61" t="n">
        <v>52</v>
      </c>
      <c r="AC27" s="62" t="n">
        <v>18</v>
      </c>
      <c r="AD27" s="79"/>
      <c r="AE27" s="82"/>
      <c r="AF27" s="82"/>
    </row>
    <row r="28" customFormat="false" ht="11.1" hidden="false" customHeight="true" outlineLevel="0" collapsed="false">
      <c r="A28" s="62" t="n">
        <v>19</v>
      </c>
      <c r="B28" s="80" t="n">
        <v>6912.01</v>
      </c>
      <c r="C28" s="57" t="n">
        <v>330085</v>
      </c>
      <c r="D28" s="61" t="n">
        <f aca="false">C28-C27</f>
        <v>-204</v>
      </c>
      <c r="E28" s="57" t="n">
        <f aca="false">C28-151978</f>
        <v>178107</v>
      </c>
      <c r="F28" s="56" t="n">
        <f aca="false">D28/$D$2</f>
        <v>-102.84850012604</v>
      </c>
      <c r="G28" s="56" t="n">
        <v>348</v>
      </c>
      <c r="H28" s="58" t="n">
        <v>0.8</v>
      </c>
      <c r="I28" s="56" t="n">
        <f aca="false">G28+H28</f>
        <v>348.8</v>
      </c>
      <c r="J28" s="81" t="n">
        <f aca="false">IF(L28&gt;0,L28,0)</f>
        <v>0</v>
      </c>
      <c r="K28" s="56" t="n">
        <f aca="false">I28+J28</f>
        <v>348.8</v>
      </c>
      <c r="L28" s="56" t="n">
        <f aca="false">F28-(I28-W28)</f>
        <v>-120.42850012604</v>
      </c>
      <c r="M28" s="56" t="n">
        <v>93.22</v>
      </c>
      <c r="N28" s="56" t="n">
        <f aca="false">(0.51+0.07)*1.05</f>
        <v>0.609</v>
      </c>
      <c r="O28" s="56" t="n">
        <f aca="false">M28-N28</f>
        <v>92.611</v>
      </c>
      <c r="P28" s="56" t="n">
        <v>70</v>
      </c>
      <c r="Q28" s="56" t="n">
        <v>61</v>
      </c>
      <c r="R28" s="56" t="n">
        <f aca="false">SUM(O28:Q28)</f>
        <v>223.611</v>
      </c>
      <c r="S28" s="57" t="n">
        <f aca="false">(I28-R28)+S27</f>
        <v>17813.0835809175</v>
      </c>
      <c r="T28" s="56" t="n">
        <v>23</v>
      </c>
      <c r="U28" s="56" t="n">
        <v>84</v>
      </c>
      <c r="V28" s="57" t="n">
        <f aca="false">V27-U28</f>
        <v>8687.61887068314</v>
      </c>
      <c r="W28" s="56" t="n">
        <f aca="false">R28+T28+N28+U28</f>
        <v>331.22</v>
      </c>
      <c r="X28" s="56" t="n">
        <f aca="false">IF(L28&lt;0,L28*-1,0)</f>
        <v>120.42850012604</v>
      </c>
      <c r="Y28" s="56" t="n">
        <f aca="false">W28+X28</f>
        <v>451.64850012604</v>
      </c>
      <c r="Z28" s="60" t="n">
        <v>0.01</v>
      </c>
      <c r="AA28" s="61" t="n">
        <v>80</v>
      </c>
      <c r="AB28" s="61" t="n">
        <v>54</v>
      </c>
      <c r="AC28" s="62" t="n">
        <v>19</v>
      </c>
      <c r="AD28" s="79"/>
      <c r="AE28" s="82"/>
      <c r="AF28" s="82"/>
    </row>
    <row r="29" customFormat="false" ht="11.1" hidden="false" customHeight="true" outlineLevel="0" collapsed="false">
      <c r="A29" s="62" t="n">
        <v>20</v>
      </c>
      <c r="B29" s="80" t="n">
        <v>6912.03</v>
      </c>
      <c r="C29" s="57" t="n">
        <v>330167</v>
      </c>
      <c r="D29" s="61" t="n">
        <f aca="false">C29-C28</f>
        <v>82</v>
      </c>
      <c r="E29" s="57" t="n">
        <f aca="false">C29-151978</f>
        <v>178189</v>
      </c>
      <c r="F29" s="56" t="n">
        <f aca="false">D29/$D$2</f>
        <v>41.3410637761533</v>
      </c>
      <c r="G29" s="56" t="n">
        <v>338</v>
      </c>
      <c r="H29" s="58" t="n">
        <v>1</v>
      </c>
      <c r="I29" s="56" t="n">
        <f aca="false">G29+H29</f>
        <v>339</v>
      </c>
      <c r="J29" s="81" t="n">
        <f aca="false">IF(L29&gt;0,L29,0)</f>
        <v>55.2810637761533</v>
      </c>
      <c r="K29" s="56" t="n">
        <f aca="false">I29+J29</f>
        <v>394.281063776153</v>
      </c>
      <c r="L29" s="56" t="n">
        <f aca="false">F29-(I29-W29)</f>
        <v>55.2810637761533</v>
      </c>
      <c r="M29" s="56" t="n">
        <v>91.94</v>
      </c>
      <c r="N29" s="56" t="n">
        <f aca="false">(0.36+0.16)*1.05</f>
        <v>0.546</v>
      </c>
      <c r="O29" s="56" t="n">
        <f aca="false">M29-N29</f>
        <v>91.394</v>
      </c>
      <c r="P29" s="56" t="n">
        <v>70</v>
      </c>
      <c r="Q29" s="56" t="n">
        <v>61</v>
      </c>
      <c r="R29" s="56" t="n">
        <f aca="false">SUM(O29:Q29)</f>
        <v>222.394</v>
      </c>
      <c r="S29" s="57" t="n">
        <f aca="false">(I29-R29)+S28</f>
        <v>17929.6895809175</v>
      </c>
      <c r="T29" s="56" t="n">
        <v>46</v>
      </c>
      <c r="U29" s="56" t="n">
        <v>84</v>
      </c>
      <c r="V29" s="57" t="n">
        <f aca="false">V28-U29</f>
        <v>8603.61887068313</v>
      </c>
      <c r="W29" s="56" t="n">
        <f aca="false">R29+T29+N29+U29</f>
        <v>352.94</v>
      </c>
      <c r="X29" s="56" t="n">
        <f aca="false">IF(L29&lt;0,L29*-1,0)</f>
        <v>0</v>
      </c>
      <c r="Y29" s="56" t="n">
        <f aca="false">W29+X29</f>
        <v>352.94</v>
      </c>
      <c r="Z29" s="60" t="n">
        <v>0.21</v>
      </c>
      <c r="AA29" s="61" t="n">
        <v>78</v>
      </c>
      <c r="AB29" s="61" t="n">
        <v>53</v>
      </c>
      <c r="AC29" s="62" t="n">
        <v>20</v>
      </c>
      <c r="AD29" s="79"/>
      <c r="AE29" s="82"/>
      <c r="AF29" s="82"/>
    </row>
    <row r="30" customFormat="false" ht="11.1" hidden="false" customHeight="true" outlineLevel="0" collapsed="false">
      <c r="A30" s="62" t="n">
        <v>21</v>
      </c>
      <c r="B30" s="80" t="n">
        <v>6912.16</v>
      </c>
      <c r="C30" s="57" t="n">
        <v>330697</v>
      </c>
      <c r="D30" s="61" t="n">
        <f aca="false">C30-C29</f>
        <v>530</v>
      </c>
      <c r="E30" s="57" t="n">
        <f aca="false">C30-151978</f>
        <v>178719</v>
      </c>
      <c r="F30" s="56" t="n">
        <f aca="false">D30/$D$2</f>
        <v>267.204436601966</v>
      </c>
      <c r="G30" s="56" t="n">
        <v>496</v>
      </c>
      <c r="H30" s="58" t="n">
        <v>1.8</v>
      </c>
      <c r="I30" s="56" t="n">
        <f aca="false">G30+H30</f>
        <v>497.8</v>
      </c>
      <c r="J30" s="81" t="n">
        <f aca="false">IF(L30&gt;0,L30,0)</f>
        <v>84.0344366019662</v>
      </c>
      <c r="K30" s="56" t="n">
        <f aca="false">I30+J30</f>
        <v>581.834436601966</v>
      </c>
      <c r="L30" s="56" t="n">
        <f aca="false">F30-(I30-W30)</f>
        <v>84.0344366019662</v>
      </c>
      <c r="M30" s="56" t="n">
        <v>87.63</v>
      </c>
      <c r="N30" s="56" t="n">
        <v>0</v>
      </c>
      <c r="O30" s="56" t="n">
        <f aca="false">M30-N30</f>
        <v>87.63</v>
      </c>
      <c r="P30" s="56" t="n">
        <v>70</v>
      </c>
      <c r="Q30" s="56" t="n">
        <v>58</v>
      </c>
      <c r="R30" s="56" t="n">
        <f aca="false">SUM(O30:Q30)</f>
        <v>215.63</v>
      </c>
      <c r="S30" s="57" t="n">
        <f aca="false">(I30-R30)+S29</f>
        <v>18211.8595809175</v>
      </c>
      <c r="T30" s="56" t="n">
        <v>13</v>
      </c>
      <c r="U30" s="56" t="n">
        <v>86</v>
      </c>
      <c r="V30" s="57" t="n">
        <f aca="false">V29-U30</f>
        <v>8517.61887068314</v>
      </c>
      <c r="W30" s="56" t="n">
        <f aca="false">R30+T30+N30+U30</f>
        <v>314.63</v>
      </c>
      <c r="X30" s="56" t="n">
        <f aca="false">IF(L30&lt;0,L30*-1,0)</f>
        <v>0</v>
      </c>
      <c r="Y30" s="56" t="n">
        <f aca="false">W30+X30</f>
        <v>314.63</v>
      </c>
      <c r="Z30" s="60" t="n">
        <v>1.49</v>
      </c>
      <c r="AA30" s="61" t="n">
        <v>63</v>
      </c>
      <c r="AB30" s="61" t="n">
        <v>52</v>
      </c>
      <c r="AC30" s="62" t="n">
        <v>21</v>
      </c>
      <c r="AD30" s="79"/>
      <c r="AE30" s="82"/>
      <c r="AF30" s="82"/>
    </row>
    <row r="31" customFormat="false" ht="11.1" hidden="false" customHeight="true" outlineLevel="0" collapsed="false">
      <c r="A31" s="62" t="n">
        <v>22</v>
      </c>
      <c r="B31" s="80" t="n">
        <v>6912.36</v>
      </c>
      <c r="C31" s="57" t="n">
        <v>331512</v>
      </c>
      <c r="D31" s="61" t="n">
        <f aca="false">C31-C30</f>
        <v>815</v>
      </c>
      <c r="E31" s="57" t="n">
        <f aca="false">C31-151978</f>
        <v>179534</v>
      </c>
      <c r="F31" s="56" t="n">
        <f aca="false">D31/$D$2</f>
        <v>410.889841189816</v>
      </c>
      <c r="G31" s="56" t="n">
        <v>763</v>
      </c>
      <c r="H31" s="58" t="n">
        <v>3</v>
      </c>
      <c r="I31" s="56" t="n">
        <f aca="false">G31+H31</f>
        <v>766</v>
      </c>
      <c r="J31" s="81" t="n">
        <f aca="false">IF(L31&gt;0,L31,0)</f>
        <v>0</v>
      </c>
      <c r="K31" s="56" t="n">
        <f aca="false">I31+J31</f>
        <v>766</v>
      </c>
      <c r="L31" s="56" t="n">
        <f aca="false">F31-(I31-W31)</f>
        <v>-51.910158810184</v>
      </c>
      <c r="M31" s="56" t="n">
        <v>74.2</v>
      </c>
      <c r="N31" s="56" t="n">
        <f aca="false">(1.54+2.11)*1.05</f>
        <v>3.8325</v>
      </c>
      <c r="O31" s="56" t="n">
        <f aca="false">M31-N31</f>
        <v>70.3675</v>
      </c>
      <c r="P31" s="56" t="n">
        <v>70</v>
      </c>
      <c r="Q31" s="56" t="n">
        <v>51</v>
      </c>
      <c r="R31" s="56" t="n">
        <f aca="false">SUM(O31:Q31)</f>
        <v>191.3675</v>
      </c>
      <c r="S31" s="57" t="n">
        <f aca="false">(I31-R31)+S30</f>
        <v>18786.4920809175</v>
      </c>
      <c r="T31" s="56" t="n">
        <v>23</v>
      </c>
      <c r="U31" s="56" t="n">
        <v>85</v>
      </c>
      <c r="V31" s="57" t="n">
        <f aca="false">V30-U31</f>
        <v>8432.61887068313</v>
      </c>
      <c r="W31" s="56" t="n">
        <f aca="false">R31+T31+N31+U31</f>
        <v>303.2</v>
      </c>
      <c r="X31" s="56" t="n">
        <f aca="false">IF(L31&lt;0,L31*-1,0)</f>
        <v>51.910158810184</v>
      </c>
      <c r="Y31" s="56" t="n">
        <f aca="false">W31+X31</f>
        <v>355.110158810184</v>
      </c>
      <c r="Z31" s="60" t="n">
        <v>0.04</v>
      </c>
      <c r="AA31" s="61" t="n">
        <v>65</v>
      </c>
      <c r="AB31" s="61" t="n">
        <v>42</v>
      </c>
      <c r="AC31" s="62" t="n">
        <v>22</v>
      </c>
      <c r="AD31" s="79"/>
      <c r="AE31" s="82"/>
      <c r="AF31" s="82"/>
    </row>
    <row r="32" customFormat="false" ht="11.1" hidden="false" customHeight="true" outlineLevel="0" collapsed="false">
      <c r="A32" s="62" t="n">
        <v>23</v>
      </c>
      <c r="B32" s="80" t="n">
        <v>6912.53</v>
      </c>
      <c r="C32" s="57" t="n">
        <v>332205</v>
      </c>
      <c r="D32" s="61" t="n">
        <f aca="false">C32-C31</f>
        <v>693</v>
      </c>
      <c r="E32" s="57" t="n">
        <f aca="false">C32-151978</f>
        <v>180227</v>
      </c>
      <c r="F32" s="56" t="n">
        <f aca="false">D32/$D$2</f>
        <v>349.382404839929</v>
      </c>
      <c r="G32" s="56" t="n">
        <v>504</v>
      </c>
      <c r="H32" s="58" t="n">
        <v>3.2</v>
      </c>
      <c r="I32" s="56" t="n">
        <f aca="false">G32+H32</f>
        <v>507.2</v>
      </c>
      <c r="J32" s="81" t="n">
        <f aca="false">IF(L32&gt;0,L32,0)</f>
        <v>126.752404839929</v>
      </c>
      <c r="K32" s="56" t="n">
        <f aca="false">I32+J32</f>
        <v>633.952404839929</v>
      </c>
      <c r="L32" s="56" t="n">
        <f aca="false">F32-(I32-W32)</f>
        <v>126.752404839929</v>
      </c>
      <c r="M32" s="56" t="n">
        <v>78.57</v>
      </c>
      <c r="N32" s="56" t="n">
        <f aca="false">(1.45+1.79)*1.05</f>
        <v>3.402</v>
      </c>
      <c r="O32" s="56" t="n">
        <f aca="false">M32-N32</f>
        <v>75.168</v>
      </c>
      <c r="P32" s="56" t="n">
        <v>65</v>
      </c>
      <c r="Q32" s="56" t="n">
        <v>48</v>
      </c>
      <c r="R32" s="56" t="n">
        <f aca="false">SUM(O32:Q32)</f>
        <v>188.168</v>
      </c>
      <c r="S32" s="57" t="n">
        <f aca="false">(I32-R32)+S31</f>
        <v>19105.5240809175</v>
      </c>
      <c r="T32" s="56" t="n">
        <v>8</v>
      </c>
      <c r="U32" s="56" t="n">
        <v>85</v>
      </c>
      <c r="V32" s="57" t="n">
        <f aca="false">V31-U32</f>
        <v>8347.61887068314</v>
      </c>
      <c r="W32" s="56" t="n">
        <f aca="false">R32+T32+N32+U32</f>
        <v>284.57</v>
      </c>
      <c r="X32" s="56" t="n">
        <f aca="false">IF(L32&lt;0,L32*-1,0)</f>
        <v>0</v>
      </c>
      <c r="Y32" s="56" t="n">
        <f aca="false">W32+X32</f>
        <v>284.57</v>
      </c>
      <c r="Z32" s="60" t="n">
        <v>0</v>
      </c>
      <c r="AA32" s="61" t="n">
        <v>70</v>
      </c>
      <c r="AB32" s="61" t="n">
        <v>40</v>
      </c>
      <c r="AC32" s="62" t="n">
        <v>23</v>
      </c>
      <c r="AD32" s="79"/>
      <c r="AE32" s="82"/>
      <c r="AF32" s="82"/>
    </row>
    <row r="33" customFormat="false" ht="11.1" hidden="false" customHeight="true" outlineLevel="0" collapsed="false">
      <c r="A33" s="62" t="n">
        <v>24</v>
      </c>
      <c r="B33" s="80" t="n">
        <v>6912.6</v>
      </c>
      <c r="C33" s="57" t="n">
        <v>332490</v>
      </c>
      <c r="D33" s="61" t="n">
        <f aca="false">C33-C32</f>
        <v>285</v>
      </c>
      <c r="E33" s="57" t="n">
        <f aca="false">C33-151978</f>
        <v>180512</v>
      </c>
      <c r="F33" s="56" t="n">
        <f aca="false">D33/$D$2</f>
        <v>143.68540458785</v>
      </c>
      <c r="G33" s="56" t="n">
        <v>486</v>
      </c>
      <c r="H33" s="58" t="n">
        <v>2.4</v>
      </c>
      <c r="I33" s="56" t="n">
        <f aca="false">G33+H33</f>
        <v>488.4</v>
      </c>
      <c r="J33" s="81" t="n">
        <f aca="false">IF(L33&gt;0,L33,0)</f>
        <v>0</v>
      </c>
      <c r="K33" s="56" t="n">
        <f aca="false">I33+J33</f>
        <v>488.4</v>
      </c>
      <c r="L33" s="56" t="n">
        <f aca="false">F33-(I33-W33)</f>
        <v>-70.4145954121503</v>
      </c>
      <c r="M33" s="56" t="n">
        <v>92.3</v>
      </c>
      <c r="N33" s="56" t="n">
        <f aca="false">(9.35+9.73)*1.05</f>
        <v>20.034</v>
      </c>
      <c r="O33" s="56" t="n">
        <f aca="false">M33-N33</f>
        <v>72.266</v>
      </c>
      <c r="P33" s="56" t="n">
        <v>51</v>
      </c>
      <c r="Q33" s="56" t="n">
        <v>46</v>
      </c>
      <c r="R33" s="56" t="n">
        <f aca="false">SUM(O33:Q33)</f>
        <v>169.266</v>
      </c>
      <c r="S33" s="57" t="n">
        <f aca="false">(I33-R33)+S32</f>
        <v>19424.6580809175</v>
      </c>
      <c r="T33" s="56" t="n">
        <v>0</v>
      </c>
      <c r="U33" s="56" t="n">
        <v>85</v>
      </c>
      <c r="V33" s="57" t="n">
        <f aca="false">V32-U33</f>
        <v>8262.61887068313</v>
      </c>
      <c r="W33" s="56" t="n">
        <f aca="false">R33+T33+N33+U33</f>
        <v>274.3</v>
      </c>
      <c r="X33" s="56" t="n">
        <f aca="false">IF(L33&lt;0,L33*-1,0)</f>
        <v>70.4145954121503</v>
      </c>
      <c r="Y33" s="56" t="n">
        <f aca="false">W33+X33</f>
        <v>344.71459541215</v>
      </c>
      <c r="Z33" s="60" t="n">
        <v>0</v>
      </c>
      <c r="AA33" s="61" t="n">
        <v>75</v>
      </c>
      <c r="AB33" s="61" t="n">
        <v>42</v>
      </c>
      <c r="AC33" s="62" t="n">
        <v>24</v>
      </c>
      <c r="AD33" s="79"/>
      <c r="AE33" s="82"/>
      <c r="AF33" s="82"/>
    </row>
    <row r="34" customFormat="false" ht="11.1" hidden="false" customHeight="true" outlineLevel="0" collapsed="false">
      <c r="A34" s="62" t="n">
        <v>25</v>
      </c>
      <c r="B34" s="80" t="n">
        <v>6912.66</v>
      </c>
      <c r="C34" s="57" t="n">
        <v>332735</v>
      </c>
      <c r="D34" s="61" t="n">
        <f aca="false">C34-C33</f>
        <v>245</v>
      </c>
      <c r="E34" s="57" t="n">
        <f aca="false">C34-151978</f>
        <v>180757</v>
      </c>
      <c r="F34" s="56" t="n">
        <f aca="false">D34/$D$2</f>
        <v>123.519032014116</v>
      </c>
      <c r="G34" s="56" t="n">
        <v>415</v>
      </c>
      <c r="H34" s="58" t="n">
        <v>1.8</v>
      </c>
      <c r="I34" s="56" t="n">
        <f aca="false">G34+H34</f>
        <v>416.8</v>
      </c>
      <c r="J34" s="81" t="n">
        <f aca="false">IF(L34&gt;0,L34,0)</f>
        <v>0</v>
      </c>
      <c r="K34" s="56" t="n">
        <f aca="false">I34+J34</f>
        <v>416.8</v>
      </c>
      <c r="L34" s="56" t="n">
        <f aca="false">F34-(I34-W34)</f>
        <v>-19.7109679858836</v>
      </c>
      <c r="M34" s="56" t="n">
        <v>95.57</v>
      </c>
      <c r="N34" s="56" t="n">
        <f aca="false">(10.75+11.64)*1.05</f>
        <v>23.5095</v>
      </c>
      <c r="O34" s="56" t="n">
        <f aca="false">M34-N34</f>
        <v>72.0605</v>
      </c>
      <c r="P34" s="56" t="n">
        <v>46</v>
      </c>
      <c r="Q34" s="56" t="n">
        <v>47</v>
      </c>
      <c r="R34" s="56" t="n">
        <f aca="false">SUM(O34:Q34)</f>
        <v>165.0605</v>
      </c>
      <c r="S34" s="57" t="n">
        <f aca="false">(I34-R34)+S33</f>
        <v>19676.3975809175</v>
      </c>
      <c r="T34" s="56" t="n">
        <v>0</v>
      </c>
      <c r="U34" s="56" t="n">
        <v>85</v>
      </c>
      <c r="V34" s="57" t="n">
        <f aca="false">V33-U34</f>
        <v>8177.61887068314</v>
      </c>
      <c r="W34" s="56" t="n">
        <f aca="false">R34+T34+N34+U34</f>
        <v>273.57</v>
      </c>
      <c r="X34" s="56" t="n">
        <f aca="false">IF(L34&lt;0,L34*-1,0)</f>
        <v>19.7109679858836</v>
      </c>
      <c r="Y34" s="56" t="n">
        <f aca="false">W34+X34</f>
        <v>293.280967985884</v>
      </c>
      <c r="Z34" s="60" t="n">
        <v>0</v>
      </c>
      <c r="AA34" s="61" t="n">
        <v>78</v>
      </c>
      <c r="AB34" s="61" t="n">
        <v>48</v>
      </c>
      <c r="AC34" s="62" t="n">
        <v>25</v>
      </c>
      <c r="AD34" s="79"/>
      <c r="AE34" s="82"/>
      <c r="AF34" s="82"/>
    </row>
    <row r="35" customFormat="false" ht="11.1" hidden="false" customHeight="true" outlineLevel="0" collapsed="false">
      <c r="A35" s="62" t="n">
        <v>26</v>
      </c>
      <c r="B35" s="80" t="n">
        <v>6912.68</v>
      </c>
      <c r="C35" s="57" t="n">
        <v>332817</v>
      </c>
      <c r="D35" s="61" t="n">
        <f aca="false">C35-C34</f>
        <v>82</v>
      </c>
      <c r="E35" s="57" t="n">
        <f aca="false">C35-151978</f>
        <v>180839</v>
      </c>
      <c r="F35" s="56" t="n">
        <f aca="false">D35/$D$2</f>
        <v>41.3410637761533</v>
      </c>
      <c r="G35" s="56" t="n">
        <v>373</v>
      </c>
      <c r="H35" s="58" t="n">
        <v>1.6</v>
      </c>
      <c r="I35" s="56" t="n">
        <f aca="false">G35+H35</f>
        <v>374.6</v>
      </c>
      <c r="J35" s="81" t="n">
        <f aca="false">IF(L35&gt;0,L35,0)</f>
        <v>0</v>
      </c>
      <c r="K35" s="56" t="n">
        <f aca="false">I35+J35</f>
        <v>374.6</v>
      </c>
      <c r="L35" s="56" t="n">
        <f aca="false">F35-(I35-W35)</f>
        <v>-15.2989362238467</v>
      </c>
      <c r="M35" s="56" t="n">
        <v>104.75</v>
      </c>
      <c r="N35" s="56" t="n">
        <f aca="false">(9.69+11.57)*1.05</f>
        <v>22.323</v>
      </c>
      <c r="O35" s="56" t="n">
        <f aca="false">M35-N35</f>
        <v>82.427</v>
      </c>
      <c r="P35" s="56" t="n">
        <v>46</v>
      </c>
      <c r="Q35" s="56" t="n">
        <v>43</v>
      </c>
      <c r="R35" s="56" t="n">
        <f aca="false">SUM(O35:Q35)</f>
        <v>171.427</v>
      </c>
      <c r="S35" s="57" t="n">
        <f aca="false">(I35-R35)+S34</f>
        <v>19879.5705809175</v>
      </c>
      <c r="T35" s="56" t="n">
        <v>39.21</v>
      </c>
      <c r="U35" s="56" t="n">
        <v>85</v>
      </c>
      <c r="V35" s="57" t="n">
        <f aca="false">V34-U35</f>
        <v>8092.61887068313</v>
      </c>
      <c r="W35" s="56" t="n">
        <f aca="false">R35+T35+N35+U35</f>
        <v>317.96</v>
      </c>
      <c r="X35" s="56" t="n">
        <f aca="false">IF(L35&lt;0,L35*-1,0)</f>
        <v>15.2989362238467</v>
      </c>
      <c r="Y35" s="56" t="n">
        <f aca="false">W35+X35</f>
        <v>333.258936223847</v>
      </c>
      <c r="Z35" s="60" t="n">
        <v>0.03</v>
      </c>
      <c r="AA35" s="61" t="n">
        <v>70</v>
      </c>
      <c r="AB35" s="61" t="n">
        <v>52</v>
      </c>
      <c r="AC35" s="62" t="n">
        <v>26</v>
      </c>
      <c r="AD35" s="79"/>
      <c r="AE35" s="82"/>
      <c r="AF35" s="82"/>
    </row>
    <row r="36" customFormat="false" ht="11.1" hidden="false" customHeight="true" outlineLevel="0" collapsed="false">
      <c r="A36" s="62" t="n">
        <v>27</v>
      </c>
      <c r="B36" s="80" t="n">
        <v>6912.71</v>
      </c>
      <c r="C36" s="57" t="n">
        <v>332939</v>
      </c>
      <c r="D36" s="61" t="n">
        <f aca="false">C36-C35</f>
        <v>122</v>
      </c>
      <c r="E36" s="57" t="n">
        <f aca="false">C36-151978</f>
        <v>180961</v>
      </c>
      <c r="F36" s="56" t="n">
        <f aca="false">D36/$D$2</f>
        <v>61.5074363498866</v>
      </c>
      <c r="G36" s="56" t="n">
        <v>380</v>
      </c>
      <c r="H36" s="58" t="n">
        <v>1.6</v>
      </c>
      <c r="I36" s="56" t="n">
        <f aca="false">G36+H36</f>
        <v>381.6</v>
      </c>
      <c r="J36" s="81" t="n">
        <f aca="false">IF(L36&gt;0,L36,0)</f>
        <v>0</v>
      </c>
      <c r="K36" s="56" t="n">
        <f aca="false">I36+J36</f>
        <v>381.6</v>
      </c>
      <c r="L36" s="56" t="n">
        <f aca="false">F36-(I36-W36)</f>
        <v>-47.9725636501135</v>
      </c>
      <c r="M36" s="56" t="n">
        <v>100.12</v>
      </c>
      <c r="N36" s="56" t="n">
        <f aca="false">(9.38+10.85)*1.05</f>
        <v>21.2415</v>
      </c>
      <c r="O36" s="56" t="n">
        <f aca="false">M36-N36</f>
        <v>78.8785</v>
      </c>
      <c r="P36" s="56" t="n">
        <v>46</v>
      </c>
      <c r="Q36" s="56" t="n">
        <v>41</v>
      </c>
      <c r="R36" s="56" t="n">
        <f aca="false">SUM(O36:Q36)</f>
        <v>165.8785</v>
      </c>
      <c r="S36" s="57" t="n">
        <f aca="false">(I36-R36)+S35</f>
        <v>20095.2920809175</v>
      </c>
      <c r="T36" s="56" t="n">
        <v>0</v>
      </c>
      <c r="U36" s="56" t="n">
        <v>85</v>
      </c>
      <c r="V36" s="57" t="n">
        <f aca="false">V35-U36</f>
        <v>8007.61887068314</v>
      </c>
      <c r="W36" s="56" t="n">
        <f aca="false">R36+T36+N36+U36</f>
        <v>272.12</v>
      </c>
      <c r="X36" s="56" t="n">
        <f aca="false">IF(L36&lt;0,L36*-1,0)</f>
        <v>47.9725636501135</v>
      </c>
      <c r="Y36" s="56" t="n">
        <f aca="false">W36+X36</f>
        <v>320.092563650113</v>
      </c>
      <c r="Z36" s="60" t="n">
        <v>0</v>
      </c>
      <c r="AA36" s="61" t="n">
        <v>74</v>
      </c>
      <c r="AB36" s="61" t="n">
        <v>52</v>
      </c>
      <c r="AC36" s="62" t="n">
        <v>27</v>
      </c>
      <c r="AD36" s="79"/>
      <c r="AE36" s="82"/>
      <c r="AF36" s="82"/>
    </row>
    <row r="37" customFormat="false" ht="11.1" hidden="false" customHeight="true" outlineLevel="0" collapsed="false">
      <c r="A37" s="62" t="n">
        <v>28</v>
      </c>
      <c r="B37" s="80" t="n">
        <v>6912.7</v>
      </c>
      <c r="C37" s="57" t="n">
        <v>332898</v>
      </c>
      <c r="D37" s="61" t="n">
        <f aca="false">C37-C36</f>
        <v>-41</v>
      </c>
      <c r="E37" s="57" t="n">
        <f aca="false">C37-151978</f>
        <v>180920</v>
      </c>
      <c r="F37" s="56" t="n">
        <f aca="false">D37/$D$2</f>
        <v>-20.6705318880766</v>
      </c>
      <c r="G37" s="56" t="n">
        <v>305</v>
      </c>
      <c r="H37" s="58" t="n">
        <v>1.5</v>
      </c>
      <c r="I37" s="56" t="n">
        <f aca="false">G37+H37</f>
        <v>306.5</v>
      </c>
      <c r="J37" s="81" t="n">
        <f aca="false">IF(L37&gt;0,L37,0)</f>
        <v>0</v>
      </c>
      <c r="K37" s="56" t="n">
        <f aca="false">I37+J37</f>
        <v>306.5</v>
      </c>
      <c r="L37" s="56" t="n">
        <f aca="false">F37-(I37-W37)</f>
        <v>-64.5305318880766</v>
      </c>
      <c r="M37" s="56" t="n">
        <v>90.64</v>
      </c>
      <c r="N37" s="56" t="n">
        <f aca="false">(7.37+8.39)*1.05</f>
        <v>16.548</v>
      </c>
      <c r="O37" s="56" t="n">
        <f aca="false">M37-N37</f>
        <v>74.092</v>
      </c>
      <c r="P37" s="56" t="n">
        <v>46</v>
      </c>
      <c r="Q37" s="56" t="n">
        <v>41</v>
      </c>
      <c r="R37" s="56" t="n">
        <f aca="false">SUM(O37:Q37)</f>
        <v>161.092</v>
      </c>
      <c r="S37" s="57" t="n">
        <f aca="false">(I37-R37)+S36</f>
        <v>20240.7000809175</v>
      </c>
      <c r="T37" s="56" t="n">
        <v>0</v>
      </c>
      <c r="U37" s="56" t="n">
        <v>85</v>
      </c>
      <c r="V37" s="57" t="n">
        <f aca="false">V36-U37</f>
        <v>7922.61887068313</v>
      </c>
      <c r="W37" s="56" t="n">
        <f aca="false">R37+T37+N37+U37</f>
        <v>262.64</v>
      </c>
      <c r="X37" s="56" t="n">
        <f aca="false">IF(L37&lt;0,L37*-1,0)</f>
        <v>64.5305318880766</v>
      </c>
      <c r="Y37" s="56" t="n">
        <f aca="false">W37+X37</f>
        <v>327.170531888077</v>
      </c>
      <c r="Z37" s="60" t="n">
        <v>0</v>
      </c>
      <c r="AA37" s="61" t="n">
        <v>80</v>
      </c>
      <c r="AB37" s="61" t="n">
        <v>47</v>
      </c>
      <c r="AC37" s="62" t="n">
        <v>28</v>
      </c>
      <c r="AD37" s="79"/>
      <c r="AE37" s="82"/>
      <c r="AF37" s="82"/>
    </row>
    <row r="38" customFormat="false" ht="11.1" hidden="false" customHeight="true" outlineLevel="0" collapsed="false">
      <c r="A38" s="62" t="n">
        <v>29</v>
      </c>
      <c r="B38" s="80" t="n">
        <v>6912.68</v>
      </c>
      <c r="C38" s="57" t="n">
        <v>332817</v>
      </c>
      <c r="D38" s="61" t="n">
        <f aca="false">C38-C37</f>
        <v>-81</v>
      </c>
      <c r="E38" s="57" t="n">
        <f aca="false">C38-151978</f>
        <v>180839</v>
      </c>
      <c r="F38" s="56" t="n">
        <f aca="false">D38/$D$2</f>
        <v>-40.8369044618099</v>
      </c>
      <c r="G38" s="56" t="n">
        <v>262</v>
      </c>
      <c r="H38" s="58" t="n">
        <v>1.2</v>
      </c>
      <c r="I38" s="56" t="n">
        <f aca="false">G38+H38</f>
        <v>263.2</v>
      </c>
      <c r="J38" s="81" t="n">
        <f aca="false">IF(L38&gt;0,L38,0)</f>
        <v>0</v>
      </c>
      <c r="K38" s="56" t="n">
        <f aca="false">I38+J38</f>
        <v>263.2</v>
      </c>
      <c r="L38" s="56" t="n">
        <f aca="false">F38-(I38-W38)</f>
        <v>-29.6569044618099</v>
      </c>
      <c r="M38" s="56" t="n">
        <v>102.38</v>
      </c>
      <c r="N38" s="56" t="n">
        <f aca="false">(8.71+9.57)*1.05</f>
        <v>19.194</v>
      </c>
      <c r="O38" s="56" t="n">
        <f aca="false">M38-N38</f>
        <v>83.186</v>
      </c>
      <c r="P38" s="56" t="n">
        <v>46</v>
      </c>
      <c r="Q38" s="56" t="n">
        <v>41</v>
      </c>
      <c r="R38" s="56" t="n">
        <f aca="false">SUM(O38:Q38)</f>
        <v>170.186</v>
      </c>
      <c r="S38" s="57" t="n">
        <f aca="false">(I38-R38)+S37</f>
        <v>20333.7140809175</v>
      </c>
      <c r="T38" s="56" t="n">
        <v>0</v>
      </c>
      <c r="U38" s="56" t="n">
        <v>85</v>
      </c>
      <c r="V38" s="57" t="n">
        <f aca="false">V37-U38</f>
        <v>7837.61887068313</v>
      </c>
      <c r="W38" s="56" t="n">
        <f aca="false">R38+T38+N38+U38</f>
        <v>274.38</v>
      </c>
      <c r="X38" s="56" t="n">
        <f aca="false">IF(L38&lt;0,L38*-1,0)</f>
        <v>29.6569044618099</v>
      </c>
      <c r="Y38" s="56" t="n">
        <f aca="false">W38+X38</f>
        <v>304.03690446181</v>
      </c>
      <c r="Z38" s="60" t="n">
        <v>0</v>
      </c>
      <c r="AA38" s="61" t="n">
        <v>79</v>
      </c>
      <c r="AB38" s="61" t="n">
        <v>47</v>
      </c>
      <c r="AC38" s="62" t="n">
        <v>29</v>
      </c>
      <c r="AD38" s="79"/>
      <c r="AE38" s="82"/>
      <c r="AF38" s="82"/>
    </row>
    <row r="39" customFormat="false" ht="11.1" hidden="false" customHeight="true" outlineLevel="0" collapsed="false">
      <c r="A39" s="62" t="n">
        <v>30</v>
      </c>
      <c r="B39" s="80" t="n">
        <v>6912.6</v>
      </c>
      <c r="C39" s="57" t="n">
        <v>332490</v>
      </c>
      <c r="D39" s="61" t="n">
        <f aca="false">C39-C38</f>
        <v>-327</v>
      </c>
      <c r="E39" s="57" t="n">
        <f aca="false">C39-151978</f>
        <v>180512</v>
      </c>
      <c r="F39" s="56" t="n">
        <f aca="false">D39/$D$2</f>
        <v>-164.86009579027</v>
      </c>
      <c r="G39" s="56" t="n">
        <v>239</v>
      </c>
      <c r="H39" s="58" t="n">
        <v>0.96</v>
      </c>
      <c r="I39" s="56" t="n">
        <f aca="false">G39+H39</f>
        <v>239.96</v>
      </c>
      <c r="J39" s="81" t="n">
        <f aca="false">IF(L39&gt;0,L39,0)</f>
        <v>0</v>
      </c>
      <c r="K39" s="56" t="n">
        <f aca="false">I39+J39</f>
        <v>239.96</v>
      </c>
      <c r="L39" s="56" t="n">
        <f aca="false">F39-(I39-W39)</f>
        <v>-96.8200957902697</v>
      </c>
      <c r="M39" s="56" t="n">
        <v>112</v>
      </c>
      <c r="N39" s="56" t="n">
        <f aca="false">(8.56+8.95)*1.05</f>
        <v>18.3855</v>
      </c>
      <c r="O39" s="56" t="n">
        <f aca="false">M39-N39</f>
        <v>93.6145</v>
      </c>
      <c r="P39" s="56" t="n">
        <v>45</v>
      </c>
      <c r="Q39" s="56" t="n">
        <v>41</v>
      </c>
      <c r="R39" s="56" t="n">
        <f aca="false">SUM(O39:Q39)</f>
        <v>179.6145</v>
      </c>
      <c r="S39" s="57" t="n">
        <f aca="false">(I39-R39)+S38</f>
        <v>20394.0595809175</v>
      </c>
      <c r="T39" s="56" t="n">
        <v>25</v>
      </c>
      <c r="U39" s="56" t="n">
        <v>85</v>
      </c>
      <c r="V39" s="57" t="n">
        <f aca="false">V38-U39</f>
        <v>7752.61887068313</v>
      </c>
      <c r="W39" s="56" t="n">
        <f aca="false">R39+T39+N39+U39</f>
        <v>308</v>
      </c>
      <c r="X39" s="56" t="n">
        <f aca="false">IF(L39&lt;0,L39*-1,0)</f>
        <v>96.8200957902697</v>
      </c>
      <c r="Y39" s="56" t="n">
        <f aca="false">W39+X39</f>
        <v>404.82009579027</v>
      </c>
      <c r="Z39" s="60" t="n">
        <v>0</v>
      </c>
      <c r="AA39" s="131" t="n">
        <v>80</v>
      </c>
      <c r="AB39" s="61" t="n">
        <v>46</v>
      </c>
      <c r="AC39" s="62" t="n">
        <v>30</v>
      </c>
      <c r="AD39" s="79"/>
      <c r="AE39" s="82"/>
      <c r="AF39" s="82"/>
    </row>
    <row r="40" customFormat="false" ht="3" hidden="false" customHeight="true" outlineLevel="0" collapsed="false">
      <c r="A40" s="83"/>
      <c r="B40" s="83"/>
      <c r="C40" s="85"/>
      <c r="D40" s="83"/>
      <c r="E40" s="85"/>
      <c r="F40" s="83"/>
      <c r="G40" s="83"/>
      <c r="H40" s="86"/>
      <c r="I40" s="83"/>
      <c r="J40" s="83"/>
      <c r="K40" s="83"/>
      <c r="L40" s="83"/>
      <c r="M40" s="83"/>
      <c r="N40" s="83"/>
      <c r="O40" s="83"/>
      <c r="P40" s="83"/>
      <c r="Q40" s="83"/>
      <c r="R40" s="83"/>
      <c r="S40" s="85"/>
      <c r="T40" s="83"/>
      <c r="U40" s="83"/>
      <c r="V40" s="83"/>
      <c r="W40" s="83"/>
      <c r="X40" s="83"/>
      <c r="Y40" s="83"/>
      <c r="Z40" s="87"/>
      <c r="AA40" s="88" t="n">
        <v>73</v>
      </c>
      <c r="AB40" s="88"/>
      <c r="AC40" s="89"/>
      <c r="AD40" s="78"/>
      <c r="AE40" s="78"/>
      <c r="AF40" s="79"/>
    </row>
    <row r="41" customFormat="false" ht="11.1" hidden="false" customHeight="true" outlineLevel="0" collapsed="false">
      <c r="A41" s="56" t="s">
        <v>45</v>
      </c>
      <c r="B41" s="56"/>
      <c r="C41" s="57"/>
      <c r="D41" s="57"/>
      <c r="E41" s="57"/>
      <c r="F41" s="57" t="n">
        <f aca="false">SUM(F10:F39)</f>
        <v>-4209.73027476683</v>
      </c>
      <c r="G41" s="57" t="n">
        <f aca="false">SUM(G10:G39)</f>
        <v>10332</v>
      </c>
      <c r="H41" s="57" t="n">
        <f aca="false">SUM(H10:H39)</f>
        <v>45.51</v>
      </c>
      <c r="I41" s="57" t="n">
        <f aca="false">SUM(I10:I39)</f>
        <v>10377.51</v>
      </c>
      <c r="J41" s="57" t="n">
        <f aca="false">SUM(J10:J39)</f>
        <v>474.780604991177</v>
      </c>
      <c r="K41" s="57" t="n">
        <f aca="false">SUM(K10:K39)</f>
        <v>10852.2906049912</v>
      </c>
      <c r="L41" s="57" t="n">
        <f aca="false">SUM(L10:L39)</f>
        <v>-686.920274766826</v>
      </c>
      <c r="M41" s="57" t="n">
        <f aca="false">SUM(M10:M39)</f>
        <v>4564.16</v>
      </c>
      <c r="N41" s="57" t="n">
        <f aca="false">SUM(N10:N39)</f>
        <v>701.757</v>
      </c>
      <c r="O41" s="57" t="n">
        <f aca="false">SUM(O10:O39)</f>
        <v>3862.403</v>
      </c>
      <c r="P41" s="57" t="n">
        <f aca="false">SUM(P10:P39)</f>
        <v>2338.45</v>
      </c>
      <c r="Q41" s="57" t="n">
        <f aca="false">SUM(Q10:Q39)</f>
        <v>1774</v>
      </c>
      <c r="R41" s="57" t="n">
        <f aca="false">SUM(R10:R39)</f>
        <v>7974.853</v>
      </c>
      <c r="S41" s="57"/>
      <c r="T41" s="57" t="n">
        <f aca="false">SUM(T10:T39)</f>
        <v>2401.71</v>
      </c>
      <c r="U41" s="57" t="n">
        <f aca="false">SUM(U10:U39)</f>
        <v>2822</v>
      </c>
      <c r="V41" s="57"/>
      <c r="W41" s="57" t="n">
        <f aca="false">SUM(W10:W39)</f>
        <v>13900.32</v>
      </c>
      <c r="X41" s="57" t="n">
        <f aca="false">SUM(X10:X39)</f>
        <v>1161.700879758</v>
      </c>
      <c r="Y41" s="57" t="n">
        <f aca="false">SUM(Y10:Y39)</f>
        <v>15062.020879758</v>
      </c>
      <c r="Z41" s="60" t="n">
        <f aca="false">SUM(Z10:Z39)</f>
        <v>3.71</v>
      </c>
      <c r="AA41" s="61" t="n">
        <f aca="false">AVERAGE(AA10:AA39)</f>
        <v>78.3333333333333</v>
      </c>
      <c r="AB41" s="61" t="n">
        <f aca="false">AVERAGE(AB10:AB39)</f>
        <v>51.2666666666667</v>
      </c>
      <c r="AC41" s="62"/>
      <c r="AD41" s="78"/>
      <c r="AE41" s="78"/>
      <c r="AF41" s="79"/>
    </row>
    <row r="42" customFormat="false" ht="11.1" hidden="false" customHeight="true" outlineLevel="0" collapsed="false">
      <c r="A42" s="56" t="s">
        <v>46</v>
      </c>
      <c r="B42" s="56"/>
      <c r="C42" s="57"/>
      <c r="D42" s="57" t="n">
        <f aca="false">SUM(D10:D10)</f>
        <v>-787</v>
      </c>
      <c r="E42" s="57"/>
      <c r="F42" s="57" t="n">
        <f aca="false">F41*$D$2</f>
        <v>-8350</v>
      </c>
      <c r="G42" s="57" t="n">
        <f aca="false">G41*$D$2</f>
        <v>20493.522</v>
      </c>
      <c r="H42" s="57" t="n">
        <f aca="false">H41*$D$2</f>
        <v>90.269085</v>
      </c>
      <c r="I42" s="57" t="n">
        <f aca="false">I41*$D$2</f>
        <v>20583.791085</v>
      </c>
      <c r="J42" s="57" t="n">
        <f aca="false">J41*$D$2</f>
        <v>941.72733</v>
      </c>
      <c r="K42" s="57" t="n">
        <f aca="false">K41*$D$2</f>
        <v>21525.518415</v>
      </c>
      <c r="L42" s="57" t="n">
        <f aca="false">L41*$D$2</f>
        <v>-1362.506365</v>
      </c>
      <c r="M42" s="57" t="n">
        <f aca="false">M41*$D$2</f>
        <v>9053.01136</v>
      </c>
      <c r="N42" s="57" t="n">
        <f aca="false">N41*$D$2</f>
        <v>1391.9350095</v>
      </c>
      <c r="O42" s="57" t="n">
        <f aca="false">O41*$D$2</f>
        <v>7661.0763505</v>
      </c>
      <c r="P42" s="57" t="n">
        <f aca="false">P41*$D$2</f>
        <v>4638.315575</v>
      </c>
      <c r="Q42" s="57" t="n">
        <f aca="false">Q41*$D$2</f>
        <v>3518.729</v>
      </c>
      <c r="R42" s="57" t="n">
        <f aca="false">R41*$D$2</f>
        <v>15818.1209255</v>
      </c>
      <c r="S42" s="57"/>
      <c r="T42" s="57" t="n">
        <f aca="false">T41*$D$2</f>
        <v>4763.791785</v>
      </c>
      <c r="U42" s="57" t="n">
        <f aca="false">U41*$D$2</f>
        <v>5597.437</v>
      </c>
      <c r="V42" s="57"/>
      <c r="W42" s="57" t="n">
        <f aca="false">W41*$D$2</f>
        <v>27571.28472</v>
      </c>
      <c r="X42" s="57" t="n">
        <f aca="false">X41*$D$2</f>
        <v>2304.233695</v>
      </c>
      <c r="Y42" s="57" t="n">
        <f aca="false">Y41*$D$2</f>
        <v>29875.518415</v>
      </c>
      <c r="Z42" s="60"/>
      <c r="AA42" s="61" t="n">
        <f aca="false">MAX(AA10:AA39)</f>
        <v>88</v>
      </c>
      <c r="AB42" s="61" t="n">
        <f aca="false">MAX(AB10:AB39)</f>
        <v>58</v>
      </c>
      <c r="AC42" s="62" t="s">
        <v>47</v>
      </c>
      <c r="AD42" s="78"/>
      <c r="AE42" s="78"/>
      <c r="AF42" s="79"/>
    </row>
    <row r="43" customFormat="false" ht="3" hidden="false" customHeight="true" outlineLevel="0" collapsed="false">
      <c r="A43" s="83"/>
      <c r="B43" s="83"/>
      <c r="C43" s="85"/>
      <c r="D43" s="85"/>
      <c r="E43" s="85"/>
      <c r="F43" s="85"/>
      <c r="G43" s="85"/>
      <c r="H43" s="85"/>
      <c r="I43" s="85"/>
      <c r="J43" s="85"/>
      <c r="K43" s="85"/>
      <c r="L43" s="85"/>
      <c r="M43" s="85"/>
      <c r="N43" s="85"/>
      <c r="O43" s="85"/>
      <c r="P43" s="85"/>
      <c r="Q43" s="85"/>
      <c r="R43" s="85"/>
      <c r="S43" s="85"/>
      <c r="T43" s="85"/>
      <c r="U43" s="85"/>
      <c r="V43" s="83"/>
      <c r="W43" s="85"/>
      <c r="X43" s="85"/>
      <c r="Y43" s="85"/>
      <c r="Z43" s="60"/>
      <c r="AA43" s="61"/>
      <c r="AB43" s="61"/>
      <c r="AC43" s="62"/>
      <c r="AD43" s="78"/>
      <c r="AE43" s="78"/>
      <c r="AF43" s="79"/>
    </row>
    <row r="44" customFormat="false" ht="11.1" hidden="false" customHeight="true" outlineLevel="0" collapsed="false">
      <c r="A44" s="56" t="s">
        <v>48</v>
      </c>
      <c r="B44" s="56"/>
      <c r="C44" s="57"/>
      <c r="D44" s="57"/>
      <c r="E44" s="57"/>
      <c r="F44" s="57" t="n">
        <f aca="false">F7+F41</f>
        <v>3737.83715654147</v>
      </c>
      <c r="G44" s="57" t="n">
        <f aca="false">G7+G41</f>
        <v>210733</v>
      </c>
      <c r="H44" s="57" t="n">
        <f aca="false">H7+H41</f>
        <v>10341.96</v>
      </c>
      <c r="I44" s="57" t="n">
        <f aca="false">I7+I41</f>
        <v>221074.96</v>
      </c>
      <c r="J44" s="57" t="n">
        <f aca="false">J7+J41</f>
        <v>34962.23205697</v>
      </c>
      <c r="K44" s="57" t="n">
        <f aca="false">K7+K41</f>
        <v>256037.19205697</v>
      </c>
      <c r="L44" s="57" t="n">
        <f aca="false">L7+L41</f>
        <v>30997.2571565415</v>
      </c>
      <c r="M44" s="57" t="n">
        <f aca="false">M7+M41</f>
        <v>34647.76</v>
      </c>
      <c r="N44" s="57" t="n">
        <f aca="false">N7+N41</f>
        <v>6296.7125</v>
      </c>
      <c r="O44" s="57" t="n">
        <f aca="false">O7+O41</f>
        <v>28351.0475</v>
      </c>
      <c r="P44" s="57" t="n">
        <f aca="false">P7+P41</f>
        <v>19713.66</v>
      </c>
      <c r="Q44" s="57" t="n">
        <f aca="false">Q7+Q41</f>
        <v>10059.15</v>
      </c>
      <c r="R44" s="57" t="n">
        <f aca="false">R7+R41</f>
        <v>58123.8575</v>
      </c>
      <c r="S44" s="57" t="n">
        <f aca="false">S39</f>
        <v>20394.0595809175</v>
      </c>
      <c r="T44" s="57" t="n">
        <f aca="false">T7+T41</f>
        <v>17401.91</v>
      </c>
      <c r="U44" s="57" t="n">
        <f aca="false">U7+U41</f>
        <v>166511.9</v>
      </c>
      <c r="V44" s="57"/>
      <c r="W44" s="57" t="n">
        <f aca="false">W7+W41</f>
        <v>248334.38</v>
      </c>
      <c r="X44" s="57" t="n">
        <f aca="false">X7+X41</f>
        <v>3964.97490042854</v>
      </c>
      <c r="Y44" s="57" t="n">
        <f aca="false">Y7+Y41</f>
        <v>252299.354900429</v>
      </c>
      <c r="Z44" s="60"/>
      <c r="AA44" s="61" t="n">
        <f aca="false">MIN(AA10:AA39)</f>
        <v>63</v>
      </c>
      <c r="AB44" s="61" t="n">
        <f aca="false">MIN(AB10:AB39)</f>
        <v>40</v>
      </c>
      <c r="AC44" s="62" t="s">
        <v>49</v>
      </c>
      <c r="AD44" s="78"/>
      <c r="AE44" s="78"/>
      <c r="AF44" s="79"/>
    </row>
    <row r="45" customFormat="false" ht="11.1" hidden="false" customHeight="true" outlineLevel="0" collapsed="false">
      <c r="A45" s="56" t="s">
        <v>50</v>
      </c>
      <c r="B45" s="56"/>
      <c r="C45" s="57"/>
      <c r="D45" s="57"/>
      <c r="E45" s="57"/>
      <c r="F45" s="57" t="n">
        <f aca="false">F44*$D$2</f>
        <v>7414</v>
      </c>
      <c r="G45" s="57" t="n">
        <f aca="false">G44*$D$2</f>
        <v>417988.9055</v>
      </c>
      <c r="H45" s="57" t="n">
        <f aca="false">H44*$D$2</f>
        <v>20513.27766</v>
      </c>
      <c r="I45" s="57" t="n">
        <f aca="false">I44*$D$2</f>
        <v>438502.18316</v>
      </c>
      <c r="J45" s="57" t="n">
        <f aca="false">J44*$D$2</f>
        <v>69347.587285</v>
      </c>
      <c r="K45" s="57" t="n">
        <f aca="false">K44*$D$2</f>
        <v>507849.770445</v>
      </c>
      <c r="L45" s="57" t="n">
        <f aca="false">L44*$D$2</f>
        <v>61483.05957</v>
      </c>
      <c r="M45" s="57" t="n">
        <f aca="false">M44*$D$2</f>
        <v>68723.83196</v>
      </c>
      <c r="N45" s="57" t="n">
        <f aca="false">N44*$D$2</f>
        <v>12489.52924375</v>
      </c>
      <c r="O45" s="57" t="n">
        <f aca="false">O44*$D$2</f>
        <v>56234.30271625</v>
      </c>
      <c r="P45" s="57" t="n">
        <f aca="false">P44*$D$2</f>
        <v>39102.04461</v>
      </c>
      <c r="Q45" s="57" t="n">
        <f aca="false">Q44*$D$2</f>
        <v>19952.324025</v>
      </c>
      <c r="R45" s="57" t="n">
        <f aca="false">R44*$D$2</f>
        <v>115288.67135125</v>
      </c>
      <c r="S45" s="57" t="n">
        <f aca="false">S44*$D$2</f>
        <v>40451.6171787499</v>
      </c>
      <c r="T45" s="57" t="n">
        <f aca="false">T44*$D$2</f>
        <v>34516.688485</v>
      </c>
      <c r="U45" s="57" t="n">
        <f aca="false">U44*$D$2</f>
        <v>330276.35365</v>
      </c>
      <c r="V45" s="57"/>
      <c r="W45" s="57" t="n">
        <f aca="false">W44*$D$2</f>
        <v>492571.24273</v>
      </c>
      <c r="X45" s="57" t="n">
        <f aca="false">X44*$D$2</f>
        <v>7864.527715</v>
      </c>
      <c r="Y45" s="57" t="n">
        <f aca="false">Y44*$D$2</f>
        <v>500435.770445</v>
      </c>
      <c r="Z45" s="60"/>
      <c r="AA45" s="61"/>
      <c r="AB45" s="61"/>
      <c r="AC45" s="62"/>
      <c r="AD45" s="78"/>
      <c r="AE45" s="78"/>
      <c r="AF45" s="79"/>
    </row>
    <row r="46" customFormat="false" ht="3" hidden="false" customHeight="true" outlineLevel="0" collapsed="false">
      <c r="A46" s="83"/>
      <c r="B46" s="83"/>
      <c r="C46" s="85"/>
      <c r="D46" s="85"/>
      <c r="E46" s="85"/>
      <c r="F46" s="85"/>
      <c r="G46" s="85"/>
      <c r="H46" s="88"/>
      <c r="I46" s="85"/>
      <c r="J46" s="85"/>
      <c r="K46" s="85"/>
      <c r="L46" s="85"/>
      <c r="M46" s="85"/>
      <c r="N46" s="85"/>
      <c r="O46" s="85"/>
      <c r="P46" s="85"/>
      <c r="Q46" s="85"/>
      <c r="R46" s="85"/>
      <c r="S46" s="85"/>
      <c r="T46" s="85"/>
      <c r="U46" s="85"/>
      <c r="V46" s="85"/>
      <c r="W46" s="85"/>
      <c r="X46" s="85"/>
      <c r="Y46" s="85"/>
      <c r="Z46" s="87"/>
      <c r="AA46" s="61"/>
      <c r="AB46" s="61"/>
      <c r="AC46" s="62"/>
      <c r="AD46" s="78"/>
      <c r="AE46" s="78"/>
      <c r="AF46" s="79"/>
    </row>
    <row r="47" customFormat="false" ht="11.1" hidden="false" customHeight="true" outlineLevel="0" collapsed="false">
      <c r="A47" s="56" t="s">
        <v>51</v>
      </c>
      <c r="B47" s="56"/>
      <c r="C47" s="57"/>
      <c r="D47" s="57"/>
      <c r="E47" s="57"/>
      <c r="F47" s="57" t="n">
        <f aca="false">F8+F41</f>
        <v>43867.4061003277</v>
      </c>
      <c r="G47" s="57" t="n">
        <f aca="false">G8+G41</f>
        <v>237917.79</v>
      </c>
      <c r="H47" s="61" t="n">
        <f aca="false">H8+H41</f>
        <v>13901.66</v>
      </c>
      <c r="I47" s="57" t="n">
        <f aca="false">I8+I41</f>
        <v>251618.55</v>
      </c>
      <c r="J47" s="57" t="n">
        <f aca="false">J8+J41</f>
        <v>51710.8481951097</v>
      </c>
      <c r="K47" s="57" t="n">
        <f aca="false">K8+K41</f>
        <v>303329.39819511</v>
      </c>
      <c r="L47" s="57" t="n">
        <f aca="false">L8+L41</f>
        <v>47168.8061003277</v>
      </c>
      <c r="M47" s="57" t="n">
        <f aca="false">M8+M41</f>
        <v>35650.01</v>
      </c>
      <c r="N47" s="57" t="n">
        <f aca="false">N8+N41</f>
        <v>6343.7315</v>
      </c>
      <c r="O47" s="57" t="n">
        <f aca="false">O8+O41</f>
        <v>29037.1985</v>
      </c>
      <c r="P47" s="57" t="n">
        <f aca="false">P8+P41</f>
        <v>19821.18</v>
      </c>
      <c r="Q47" s="57" t="n">
        <f aca="false">Q8+Q41</f>
        <v>10257.95</v>
      </c>
      <c r="R47" s="57" t="n">
        <f aca="false">R8+R41</f>
        <v>59323.3455</v>
      </c>
      <c r="S47" s="57"/>
      <c r="T47" s="57" t="n">
        <f aca="false">T8+T41</f>
        <v>17401.91</v>
      </c>
      <c r="U47" s="57" t="n">
        <f aca="false">U8+U41</f>
        <v>171788.9</v>
      </c>
      <c r="V47" s="57" t="n">
        <f aca="false">V39</f>
        <v>7752.61887068313</v>
      </c>
      <c r="W47" s="57" t="n">
        <f aca="false">W8+W41</f>
        <v>254919.95</v>
      </c>
      <c r="X47" s="57" t="n">
        <f aca="false">X8+X41</f>
        <v>4542.04209478195</v>
      </c>
      <c r="Y47" s="57" t="n">
        <f aca="false">Y8+Y41</f>
        <v>259461.992094782</v>
      </c>
      <c r="Z47" s="81" t="n">
        <f aca="false">Z8+Z41</f>
        <v>19.4</v>
      </c>
      <c r="AA47" s="61"/>
      <c r="AB47" s="61"/>
      <c r="AC47" s="62"/>
      <c r="AD47" s="78"/>
      <c r="AE47" s="78"/>
      <c r="AF47" s="79"/>
    </row>
    <row r="48" customFormat="false" ht="11.1" hidden="false" customHeight="true" outlineLevel="0" collapsed="false">
      <c r="A48" s="56" t="s">
        <v>52</v>
      </c>
      <c r="B48" s="56"/>
      <c r="C48" s="57"/>
      <c r="D48" s="57" t="n">
        <f aca="false">D8+D42</f>
        <v>94574</v>
      </c>
      <c r="E48" s="57" t="n">
        <f aca="false">E39</f>
        <v>180512</v>
      </c>
      <c r="F48" s="57" t="n">
        <f aca="false">F47*$D$2</f>
        <v>87011</v>
      </c>
      <c r="G48" s="57" t="n">
        <f aca="false">G47*$D$2</f>
        <v>471909.936465</v>
      </c>
      <c r="H48" s="61" t="n">
        <f aca="false">H47*$D$2</f>
        <v>27573.94261</v>
      </c>
      <c r="I48" s="57" t="n">
        <f aca="false">I47*$D$2</f>
        <v>499085.393925</v>
      </c>
      <c r="J48" s="57" t="n">
        <f aca="false">J47*$D$2</f>
        <v>102568.467395</v>
      </c>
      <c r="K48" s="57" t="n">
        <f aca="false">K47*$D$2</f>
        <v>601653.86132</v>
      </c>
      <c r="L48" s="57" t="n">
        <f aca="false">L47*$D$2</f>
        <v>93559.3269</v>
      </c>
      <c r="M48" s="57" t="n">
        <f aca="false">M47*$D$2</f>
        <v>70711.794835</v>
      </c>
      <c r="N48" s="57" t="n">
        <f aca="false">N47*$D$2</f>
        <v>12582.79143025</v>
      </c>
      <c r="O48" s="57" t="n">
        <f aca="false">O47*$D$2</f>
        <v>57595.28322475</v>
      </c>
      <c r="P48" s="57" t="n">
        <f aca="false">P47*$D$2</f>
        <v>39315.31053</v>
      </c>
      <c r="Q48" s="57" t="n">
        <f aca="false">Q47*$D$2</f>
        <v>20346.643825</v>
      </c>
      <c r="R48" s="57" t="n">
        <f aca="false">R47*$D$2</f>
        <v>117667.85579925</v>
      </c>
      <c r="S48" s="57" t="n">
        <f aca="false">S47*$D$2</f>
        <v>0</v>
      </c>
      <c r="T48" s="57" t="n">
        <f aca="false">T47*$D$2</f>
        <v>34516.688485</v>
      </c>
      <c r="U48" s="57" t="n">
        <f aca="false">U47*$D$2</f>
        <v>340743.28315</v>
      </c>
      <c r="V48" s="57" t="n">
        <f aca="false">V47*$D$2</f>
        <v>15377.31953</v>
      </c>
      <c r="W48" s="57" t="n">
        <f aca="false">W47*$D$2</f>
        <v>505633.720825</v>
      </c>
      <c r="X48" s="57" t="n">
        <f aca="false">X47*$D$2</f>
        <v>9009.140495</v>
      </c>
      <c r="Y48" s="57" t="n">
        <f aca="false">Y47*$D$2</f>
        <v>514642.86132</v>
      </c>
      <c r="Z48" s="60"/>
      <c r="AA48" s="61"/>
      <c r="AB48" s="61"/>
      <c r="AC48" s="62"/>
      <c r="AD48" s="78"/>
      <c r="AE48" s="78"/>
      <c r="AF48" s="79"/>
    </row>
    <row r="49" customFormat="false" ht="3" hidden="false" customHeight="true" outlineLevel="0" collapsed="false">
      <c r="A49" s="83"/>
      <c r="B49" s="83"/>
      <c r="C49" s="85"/>
      <c r="D49" s="83"/>
      <c r="E49" s="85"/>
      <c r="F49" s="83"/>
      <c r="G49" s="83"/>
      <c r="H49" s="86"/>
      <c r="I49" s="83"/>
      <c r="J49" s="83"/>
      <c r="K49" s="83"/>
      <c r="L49" s="83"/>
      <c r="M49" s="83"/>
      <c r="N49" s="83"/>
      <c r="O49" s="83"/>
      <c r="P49" s="83"/>
      <c r="Q49" s="83"/>
      <c r="R49" s="83"/>
      <c r="S49" s="85"/>
      <c r="T49" s="83"/>
      <c r="U49" s="83"/>
      <c r="V49" s="85"/>
      <c r="W49" s="83"/>
      <c r="X49" s="83"/>
      <c r="Y49" s="83"/>
      <c r="Z49" s="60"/>
      <c r="AA49" s="61"/>
      <c r="AB49" s="61"/>
      <c r="AC49" s="62"/>
      <c r="AD49" s="78"/>
      <c r="AE49" s="78"/>
      <c r="AF49" s="79"/>
    </row>
    <row r="50" customFormat="false" ht="11.1" hidden="false" customHeight="true" outlineLevel="0" collapsed="false">
      <c r="A50" s="136"/>
      <c r="B50" s="93"/>
      <c r="C50" s="57"/>
      <c r="D50" s="56"/>
      <c r="E50" s="57"/>
      <c r="F50" s="56"/>
      <c r="G50" s="56"/>
      <c r="H50" s="58"/>
      <c r="I50" s="56"/>
      <c r="J50" s="56"/>
      <c r="K50" s="56"/>
      <c r="L50" s="56"/>
      <c r="M50" s="56"/>
      <c r="N50" s="56"/>
      <c r="O50" s="56"/>
      <c r="P50" s="56"/>
      <c r="Q50" s="56" t="s">
        <v>99</v>
      </c>
      <c r="R50" s="56"/>
      <c r="S50" s="57"/>
      <c r="T50" s="56" t="n">
        <v>55470</v>
      </c>
      <c r="U50" s="140" t="str">
        <f aca="false">"@ no restrictions"</f>
        <v>@ no restrictions</v>
      </c>
      <c r="V50" s="57"/>
      <c r="W50" s="56"/>
      <c r="X50" s="56"/>
      <c r="Y50" s="56"/>
      <c r="Z50" s="60"/>
      <c r="AA50" s="61"/>
      <c r="AB50" s="61"/>
      <c r="AC50" s="62"/>
      <c r="AD50" s="63"/>
      <c r="AE50" s="63"/>
    </row>
    <row r="51" customFormat="false" ht="11.1" hidden="false" customHeight="true" outlineLevel="0" collapsed="false">
      <c r="A51" s="56"/>
      <c r="B51" s="80"/>
      <c r="C51" s="57"/>
      <c r="D51" s="90"/>
      <c r="E51" s="57"/>
      <c r="F51" s="56"/>
      <c r="G51" s="56"/>
      <c r="H51" s="90"/>
      <c r="I51" s="58"/>
      <c r="J51" s="56"/>
      <c r="K51" s="46"/>
      <c r="L51" s="56"/>
      <c r="M51" s="56"/>
      <c r="N51" s="56"/>
      <c r="O51" s="56"/>
      <c r="P51" s="56"/>
      <c r="Q51" s="56" t="s">
        <v>100</v>
      </c>
      <c r="R51" s="56"/>
      <c r="S51" s="57"/>
      <c r="T51" s="56" t="n">
        <f aca="false">T50-T48</f>
        <v>20953.311515</v>
      </c>
      <c r="U51" s="50" t="n">
        <f aca="false">T50-(T48-360)</f>
        <v>21313.311515</v>
      </c>
      <c r="V51" s="57"/>
      <c r="W51" s="56"/>
      <c r="X51" s="56"/>
      <c r="Y51" s="56"/>
      <c r="Z51" s="60"/>
      <c r="AA51" s="61"/>
      <c r="AB51" s="61"/>
      <c r="AC51" s="62"/>
      <c r="AD51" s="63"/>
      <c r="AE51" s="63"/>
    </row>
    <row r="52" customFormat="false" ht="11.1" hidden="false" customHeight="true" outlineLevel="0" collapsed="false">
      <c r="A52" s="90"/>
      <c r="B52" s="90"/>
      <c r="C52" s="57"/>
      <c r="D52" s="57"/>
      <c r="E52" s="57"/>
      <c r="F52" s="90"/>
      <c r="G52" s="90"/>
      <c r="H52" s="58"/>
      <c r="I52" s="90"/>
      <c r="J52" s="90"/>
      <c r="K52" s="90"/>
      <c r="L52" s="90"/>
      <c r="M52" s="81"/>
      <c r="N52" s="81"/>
      <c r="O52" s="81"/>
      <c r="P52" s="90"/>
      <c r="Q52" s="90" t="s">
        <v>101</v>
      </c>
      <c r="R52" s="97"/>
      <c r="S52" s="57"/>
      <c r="T52" s="61" t="n">
        <f aca="false">(2400/61)*14</f>
        <v>550.819672131148</v>
      </c>
      <c r="V52" s="57"/>
      <c r="W52" s="90"/>
      <c r="X52" s="90"/>
      <c r="Y52" s="90"/>
      <c r="Z52" s="60"/>
      <c r="AA52" s="61"/>
      <c r="AB52" s="61"/>
      <c r="AC52" s="62"/>
      <c r="AD52" s="94"/>
      <c r="AE52" s="94"/>
    </row>
    <row r="53" customFormat="false" ht="11.1" hidden="false" customHeight="true" outlineLevel="0" collapsed="false">
      <c r="A53" s="90"/>
      <c r="B53" s="60"/>
      <c r="C53" s="57"/>
      <c r="D53" s="57"/>
      <c r="E53" s="57"/>
      <c r="F53" s="90"/>
      <c r="G53" s="90"/>
      <c r="H53" s="58"/>
      <c r="I53" s="90"/>
      <c r="J53" s="90"/>
      <c r="K53" s="90"/>
      <c r="L53" s="90"/>
      <c r="M53" s="81"/>
      <c r="N53" s="81"/>
      <c r="O53" s="81"/>
      <c r="P53" s="90"/>
      <c r="Q53" s="90" t="s">
        <v>102</v>
      </c>
      <c r="R53" s="90"/>
      <c r="S53" s="57"/>
      <c r="T53" s="57" t="n">
        <f aca="false">T51-T52</f>
        <v>20402.4918428689</v>
      </c>
      <c r="U53" s="50" t="n">
        <f aca="false">U51</f>
        <v>21313.311515</v>
      </c>
      <c r="V53" s="57"/>
      <c r="W53" s="90"/>
      <c r="X53" s="90"/>
      <c r="Y53" s="90"/>
      <c r="Z53" s="60"/>
      <c r="AA53" s="61"/>
      <c r="AB53" s="61"/>
      <c r="AC53" s="62"/>
      <c r="AD53" s="94"/>
      <c r="AE53" s="94"/>
    </row>
    <row r="54" customFormat="false" ht="11.1" hidden="false" customHeight="true" outlineLevel="0" collapsed="false">
      <c r="A54" s="90"/>
      <c r="B54" s="90"/>
      <c r="C54" s="57"/>
      <c r="D54" s="90"/>
      <c r="E54" s="57"/>
      <c r="F54" s="90"/>
      <c r="G54" s="95"/>
      <c r="H54" s="58"/>
      <c r="I54" s="90"/>
      <c r="J54" s="90"/>
      <c r="K54" s="90"/>
      <c r="L54" s="90"/>
      <c r="M54" s="81"/>
      <c r="N54" s="81"/>
      <c r="O54" s="81"/>
      <c r="P54" s="90"/>
      <c r="Q54" s="90" t="s">
        <v>103</v>
      </c>
      <c r="R54" s="90"/>
      <c r="S54" s="0"/>
      <c r="T54" s="57" t="n">
        <f aca="false">T53/D2</f>
        <v>10286.1062983962</v>
      </c>
      <c r="U54" s="52" t="n">
        <f aca="false">U53/D2</f>
        <v>10745.3045197883</v>
      </c>
      <c r="V54" s="57"/>
      <c r="W54" s="90"/>
      <c r="X54" s="90"/>
      <c r="Y54" s="90"/>
      <c r="Z54" s="60"/>
      <c r="AA54" s="61"/>
      <c r="AB54" s="61"/>
      <c r="AC54" s="62"/>
      <c r="AD54" s="94"/>
      <c r="AE54" s="94"/>
    </row>
    <row r="55" customFormat="false" ht="11.1" hidden="false" customHeight="true" outlineLevel="0" collapsed="false">
      <c r="Q55" s="138" t="s">
        <v>104</v>
      </c>
      <c r="S55" s="57" t="n">
        <v>50</v>
      </c>
      <c r="T55" s="56" t="n">
        <f aca="false">T54/S55</f>
        <v>205.722125967924</v>
      </c>
      <c r="U55" s="52" t="n">
        <f aca="false">U54/S55</f>
        <v>214.906090395765</v>
      </c>
    </row>
    <row r="56" customFormat="false" ht="11.1" hidden="false" customHeight="true" outlineLevel="0" collapsed="false">
      <c r="Q56" s="138" t="s">
        <v>104</v>
      </c>
      <c r="S56" s="57" t="n">
        <v>40</v>
      </c>
      <c r="T56" s="56" t="n">
        <f aca="false">T54/S56</f>
        <v>257.152657459905</v>
      </c>
      <c r="U56" s="52" t="n">
        <f aca="false">U54/S56</f>
        <v>268.632612994706</v>
      </c>
    </row>
    <row r="57" customFormat="false" ht="11.1" hidden="false" customHeight="true" outlineLevel="0" collapsed="false">
      <c r="Q57" s="138"/>
    </row>
    <row r="58" customFormat="false" ht="11.1" hidden="false" customHeight="true" outlineLevel="0" collapsed="false">
      <c r="Q58" s="138"/>
    </row>
  </sheetData>
  <mergeCells count="3">
    <mergeCell ref="K2:T2"/>
    <mergeCell ref="M4:O4"/>
    <mergeCell ref="AG5:AH5"/>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31" activePane="bottomRight" state="frozen"/>
      <selection pane="topLeft" activeCell="A1" activeCellId="0" sqref="A1"/>
      <selection pane="topRight" activeCell="B1" activeCellId="0" sqref="B1"/>
      <selection pane="bottomLeft" activeCell="A31" activeCellId="0" sqref="A31"/>
      <selection pane="bottomRight" activeCell="B10" activeCellId="0" sqref="B10"/>
    </sheetView>
  </sheetViews>
  <sheetFormatPr defaultColWidth="9.328125" defaultRowHeight="11.1" zeroHeight="false" outlineLevelRow="0" outlineLevelCol="0"/>
  <cols>
    <col collapsed="false" customWidth="true" hidden="false" outlineLevel="0" max="1" min="1" style="49" width="5.66"/>
    <col collapsed="false" customWidth="false" hidden="false" outlineLevel="0" max="2" min="2" style="49" width="9.32"/>
    <col collapsed="false" customWidth="true" hidden="false" outlineLevel="0" max="3" min="3" style="50" width="7.66"/>
    <col collapsed="false" customWidth="true" hidden="false" outlineLevel="0" max="4" min="4" style="49" width="7.66"/>
    <col collapsed="false" customWidth="true" hidden="false" outlineLevel="0" max="5" min="5" style="50" width="7.66"/>
    <col collapsed="false" customWidth="true" hidden="false" outlineLevel="0" max="7" min="6" style="49" width="7.66"/>
    <col collapsed="false" customWidth="true" hidden="false" outlineLevel="0" max="8" min="8" style="51" width="7.16"/>
    <col collapsed="false" customWidth="true" hidden="false" outlineLevel="0" max="9" min="9" style="49" width="8.82"/>
    <col collapsed="false" customWidth="true" hidden="false" outlineLevel="0" max="12" min="10" style="49" width="7.66"/>
    <col collapsed="false" customWidth="true" hidden="false" outlineLevel="0" max="15" min="13" style="52" width="7.49"/>
    <col collapsed="false" customWidth="true" hidden="false" outlineLevel="0" max="16" min="16" style="49" width="7.66"/>
    <col collapsed="false" customWidth="true" hidden="false" outlineLevel="0" max="17" min="17" style="49" width="7.16"/>
    <col collapsed="false" customWidth="true" hidden="false" outlineLevel="0" max="18" min="18" style="49" width="7.66"/>
    <col collapsed="false" customWidth="true" hidden="false" outlineLevel="0" max="19" min="19" style="50" width="7.66"/>
    <col collapsed="false" customWidth="true" hidden="false" outlineLevel="0" max="20" min="20" style="49" width="7.66"/>
    <col collapsed="false" customWidth="true" hidden="false" outlineLevel="0" max="21" min="21" style="49" width="7.49"/>
    <col collapsed="false" customWidth="true" hidden="false" outlineLevel="0" max="22" min="22" style="50" width="6.32"/>
    <col collapsed="false" customWidth="true" hidden="false" outlineLevel="0" max="25" min="23" style="49" width="7.82"/>
    <col collapsed="false" customWidth="true" hidden="false" outlineLevel="0" max="26" min="26" style="53" width="5.66"/>
    <col collapsed="false" customWidth="true" hidden="false" outlineLevel="0" max="28" min="27" style="54" width="5.66"/>
    <col collapsed="false" customWidth="true" hidden="false" outlineLevel="0" max="29" min="29" style="55" width="5.66"/>
    <col collapsed="false" customWidth="false" hidden="false" outlineLevel="0" max="257" min="30" style="49" width="9.32"/>
  </cols>
  <sheetData>
    <row r="1" customFormat="false" ht="14.1" hidden="false" customHeight="true" outlineLevel="0" collapsed="false">
      <c r="A1" s="56"/>
      <c r="B1" s="56"/>
      <c r="C1" s="57"/>
      <c r="D1" s="56"/>
      <c r="E1" s="57"/>
      <c r="F1" s="56"/>
      <c r="G1" s="56"/>
      <c r="H1" s="58"/>
      <c r="I1" s="56"/>
      <c r="J1" s="56"/>
      <c r="K1" s="59" t="s">
        <v>0</v>
      </c>
      <c r="L1" s="56"/>
      <c r="M1" s="56"/>
      <c r="N1" s="56"/>
      <c r="O1" s="56"/>
      <c r="P1" s="56"/>
      <c r="Q1" s="56"/>
      <c r="R1" s="56"/>
      <c r="S1" s="57"/>
      <c r="T1" s="56"/>
      <c r="U1" s="56"/>
      <c r="V1" s="57"/>
      <c r="W1" s="56"/>
      <c r="X1" s="56"/>
      <c r="Y1" s="56"/>
      <c r="Z1" s="60"/>
      <c r="AA1" s="61"/>
      <c r="AB1" s="61"/>
      <c r="AC1" s="62"/>
      <c r="AD1" s="63"/>
      <c r="AE1" s="63"/>
    </row>
    <row r="2" customFormat="false" ht="14.1" hidden="false" customHeight="true" outlineLevel="0" collapsed="false">
      <c r="A2" s="56" t="s">
        <v>1</v>
      </c>
      <c r="B2" s="56"/>
      <c r="C2" s="57"/>
      <c r="D2" s="64" t="n">
        <v>1.9835</v>
      </c>
      <c r="E2" s="57"/>
      <c r="F2" s="56"/>
      <c r="G2" s="56"/>
      <c r="H2" s="58"/>
      <c r="I2" s="56"/>
      <c r="J2" s="56"/>
      <c r="K2" s="65" t="s">
        <v>108</v>
      </c>
      <c r="L2" s="65"/>
      <c r="M2" s="65"/>
      <c r="N2" s="65"/>
      <c r="O2" s="65"/>
      <c r="P2" s="65"/>
      <c r="Q2" s="65"/>
      <c r="R2" s="65"/>
      <c r="S2" s="65"/>
      <c r="T2" s="65"/>
      <c r="U2" s="56"/>
      <c r="V2" s="57"/>
      <c r="W2" s="56"/>
      <c r="X2" s="56"/>
      <c r="Y2" s="56"/>
      <c r="Z2" s="60"/>
      <c r="AA2" s="61"/>
      <c r="AB2" s="61"/>
      <c r="AC2" s="62"/>
      <c r="AD2" s="63"/>
      <c r="AE2" s="63"/>
    </row>
    <row r="3" customFormat="false" ht="11.1" hidden="false" customHeight="true" outlineLevel="0" collapsed="false">
      <c r="A3" s="56"/>
      <c r="B3" s="56"/>
      <c r="C3" s="57"/>
      <c r="D3" s="66"/>
      <c r="E3" s="57"/>
      <c r="F3" s="56"/>
      <c r="G3" s="56"/>
      <c r="H3" s="58"/>
      <c r="I3" s="56"/>
      <c r="J3" s="56"/>
      <c r="K3" s="56"/>
      <c r="L3" s="56"/>
      <c r="M3" s="56"/>
      <c r="N3" s="56"/>
      <c r="O3" s="56"/>
      <c r="P3" s="56"/>
      <c r="Q3" s="56"/>
      <c r="R3" s="56"/>
      <c r="S3" s="57"/>
      <c r="T3" s="56"/>
      <c r="U3" s="56"/>
      <c r="V3" s="57"/>
      <c r="W3" s="56"/>
      <c r="X3" s="56"/>
      <c r="Y3" s="56"/>
      <c r="Z3" s="60"/>
      <c r="AA3" s="61"/>
      <c r="AB3" s="61"/>
      <c r="AC3" s="62"/>
      <c r="AD3" s="63"/>
      <c r="AE3" s="63"/>
    </row>
    <row r="4" customFormat="false" ht="11.1" hidden="false" customHeight="true" outlineLevel="0" collapsed="false">
      <c r="A4" s="67" t="s">
        <v>3</v>
      </c>
      <c r="B4" s="67" t="s">
        <v>4</v>
      </c>
      <c r="C4" s="68" t="s">
        <v>4</v>
      </c>
      <c r="D4" s="67" t="s">
        <v>5</v>
      </c>
      <c r="E4" s="68" t="s">
        <v>6</v>
      </c>
      <c r="F4" s="67" t="s">
        <v>7</v>
      </c>
      <c r="G4" s="67" t="s">
        <v>8</v>
      </c>
      <c r="H4" s="69" t="s">
        <v>9</v>
      </c>
      <c r="I4" s="67" t="s">
        <v>10</v>
      </c>
      <c r="J4" s="67" t="s">
        <v>11</v>
      </c>
      <c r="K4" s="67" t="s">
        <v>12</v>
      </c>
      <c r="L4" s="67" t="s">
        <v>11</v>
      </c>
      <c r="M4" s="67" t="s">
        <v>13</v>
      </c>
      <c r="N4" s="67"/>
      <c r="O4" s="67"/>
      <c r="P4" s="67" t="s">
        <v>14</v>
      </c>
      <c r="Q4" s="67" t="s">
        <v>15</v>
      </c>
      <c r="R4" s="67" t="s">
        <v>12</v>
      </c>
      <c r="S4" s="68" t="s">
        <v>16</v>
      </c>
      <c r="T4" s="67" t="s">
        <v>17</v>
      </c>
      <c r="U4" s="67" t="s">
        <v>18</v>
      </c>
      <c r="V4" s="68" t="s">
        <v>19</v>
      </c>
      <c r="W4" s="67" t="s">
        <v>10</v>
      </c>
      <c r="X4" s="67" t="s">
        <v>11</v>
      </c>
      <c r="Y4" s="67" t="s">
        <v>12</v>
      </c>
      <c r="Z4" s="70" t="s">
        <v>20</v>
      </c>
      <c r="AA4" s="71" t="s">
        <v>21</v>
      </c>
      <c r="AB4" s="71" t="s">
        <v>22</v>
      </c>
      <c r="AC4" s="71" t="s">
        <v>3</v>
      </c>
      <c r="AD4" s="63"/>
      <c r="AE4" s="63"/>
    </row>
    <row r="5" customFormat="false" ht="11.1" hidden="false" customHeight="true" outlineLevel="0" collapsed="false">
      <c r="A5" s="72" t="s">
        <v>109</v>
      </c>
      <c r="B5" s="67" t="s">
        <v>24</v>
      </c>
      <c r="C5" s="68" t="s">
        <v>5</v>
      </c>
      <c r="D5" s="67" t="s">
        <v>25</v>
      </c>
      <c r="E5" s="68" t="s">
        <v>26</v>
      </c>
      <c r="F5" s="67" t="s">
        <v>27</v>
      </c>
      <c r="G5" s="67" t="s">
        <v>28</v>
      </c>
      <c r="H5" s="69" t="s">
        <v>29</v>
      </c>
      <c r="I5" s="67" t="s">
        <v>30</v>
      </c>
      <c r="J5" s="67" t="s">
        <v>30</v>
      </c>
      <c r="K5" s="67" t="s">
        <v>30</v>
      </c>
      <c r="L5" s="67" t="s">
        <v>31</v>
      </c>
      <c r="M5" s="67" t="s">
        <v>32</v>
      </c>
      <c r="N5" s="67" t="s">
        <v>33</v>
      </c>
      <c r="O5" s="67" t="s">
        <v>55</v>
      </c>
      <c r="P5" s="67" t="s">
        <v>35</v>
      </c>
      <c r="Q5" s="67" t="s">
        <v>36</v>
      </c>
      <c r="R5" s="67" t="s">
        <v>16</v>
      </c>
      <c r="S5" s="68" t="s">
        <v>37</v>
      </c>
      <c r="T5" s="67" t="s">
        <v>38</v>
      </c>
      <c r="U5" s="67" t="s">
        <v>39</v>
      </c>
      <c r="V5" s="68" t="s">
        <v>40</v>
      </c>
      <c r="W5" s="67" t="s">
        <v>41</v>
      </c>
      <c r="X5" s="67" t="s">
        <v>41</v>
      </c>
      <c r="Y5" s="67" t="s">
        <v>41</v>
      </c>
      <c r="Z5" s="73"/>
      <c r="AA5" s="71" t="s">
        <v>42</v>
      </c>
      <c r="AB5" s="71" t="s">
        <v>42</v>
      </c>
      <c r="AC5" s="74" t="s">
        <v>109</v>
      </c>
      <c r="AD5" s="63"/>
      <c r="AE5" s="63"/>
      <c r="AG5" s="133"/>
      <c r="AH5" s="133"/>
    </row>
    <row r="6" customFormat="false" ht="11.1" hidden="false" customHeight="true" outlineLevel="0" collapsed="false">
      <c r="A6" s="75"/>
      <c r="B6" s="75"/>
      <c r="C6" s="76"/>
      <c r="D6" s="75"/>
      <c r="E6" s="76"/>
      <c r="F6" s="75"/>
      <c r="G6" s="75"/>
      <c r="H6" s="77"/>
      <c r="I6" s="75"/>
      <c r="J6" s="75"/>
      <c r="K6" s="75"/>
      <c r="L6" s="75"/>
      <c r="M6" s="75"/>
      <c r="N6" s="75"/>
      <c r="O6" s="75"/>
      <c r="P6" s="75"/>
      <c r="Q6" s="75"/>
      <c r="R6" s="75"/>
      <c r="S6" s="76"/>
      <c r="T6" s="75"/>
      <c r="U6" s="75"/>
      <c r="V6" s="76"/>
      <c r="W6" s="75"/>
      <c r="X6" s="75"/>
      <c r="Y6" s="75"/>
      <c r="Z6" s="60"/>
      <c r="AA6" s="62"/>
      <c r="AB6" s="62"/>
      <c r="AC6" s="62"/>
      <c r="AD6" s="78"/>
      <c r="AE6" s="78"/>
      <c r="AF6" s="79"/>
      <c r="AG6" s="133"/>
      <c r="AH6" s="133"/>
    </row>
    <row r="7" customFormat="false" ht="11.1" hidden="false" customHeight="true" outlineLevel="0" collapsed="false">
      <c r="A7" s="56" t="s">
        <v>43</v>
      </c>
      <c r="B7" s="56"/>
      <c r="C7" s="57"/>
      <c r="D7" s="57"/>
      <c r="E7" s="57"/>
      <c r="F7" s="57" t="n">
        <f aca="false" t="array" ref="F7:Y7">SEP!$F$44:$Y$44</f>
        <v>3737.83715654147</v>
      </c>
      <c r="G7" s="57" t="n">
        <v>210733</v>
      </c>
      <c r="H7" s="57" t="n">
        <v>10341.96</v>
      </c>
      <c r="I7" s="57" t="n">
        <v>221074.96</v>
      </c>
      <c r="J7" s="57" t="n">
        <v>34962.23205697</v>
      </c>
      <c r="K7" s="57" t="n">
        <v>256037.19205697</v>
      </c>
      <c r="L7" s="57" t="n">
        <v>30997.2571565415</v>
      </c>
      <c r="M7" s="57" t="n">
        <v>34647.76</v>
      </c>
      <c r="N7" s="57" t="n">
        <v>6296.7125</v>
      </c>
      <c r="O7" s="57" t="n">
        <v>28351.0475</v>
      </c>
      <c r="P7" s="57" t="n">
        <v>19713.66</v>
      </c>
      <c r="Q7" s="57" t="n">
        <v>10059.15</v>
      </c>
      <c r="R7" s="57" t="n">
        <v>58123.8575</v>
      </c>
      <c r="S7" s="57" t="n">
        <v>20394.0595809175</v>
      </c>
      <c r="T7" s="57" t="n">
        <v>17401.91</v>
      </c>
      <c r="U7" s="57" t="n">
        <v>166511.9</v>
      </c>
      <c r="V7" s="57" t="n">
        <v>0</v>
      </c>
      <c r="W7" s="57" t="n">
        <v>248334.38</v>
      </c>
      <c r="X7" s="57" t="n">
        <v>3964.97490042854</v>
      </c>
      <c r="Y7" s="57" t="n">
        <v>252299.354900429</v>
      </c>
      <c r="Z7" s="60"/>
      <c r="AA7" s="61"/>
      <c r="AB7" s="61"/>
      <c r="AC7" s="62"/>
      <c r="AD7" s="78"/>
      <c r="AE7" s="79"/>
      <c r="AF7" s="79"/>
    </row>
    <row r="8" s="50" customFormat="true" ht="11.1" hidden="false" customHeight="true" outlineLevel="0" collapsed="false">
      <c r="A8" s="57" t="s">
        <v>44</v>
      </c>
      <c r="B8" s="80" t="n">
        <f aca="false" t="array" ref="B8:C8">SEP!$B$39:$C$39</f>
        <v>6912.6</v>
      </c>
      <c r="C8" s="57" t="n">
        <v>332490</v>
      </c>
      <c r="D8" s="57" t="n">
        <f aca="false" t="array" ref="D8:E8">SEP!$D$48:$E$48</f>
        <v>94574</v>
      </c>
      <c r="E8" s="57" t="n">
        <v>180512</v>
      </c>
      <c r="F8" s="57" t="n">
        <f aca="false" t="array" ref="F8:Z8">SEP!$F$47:$Z$47</f>
        <v>43867.4061003277</v>
      </c>
      <c r="G8" s="57" t="n">
        <v>237917.79</v>
      </c>
      <c r="H8" s="61" t="n">
        <v>13901.66</v>
      </c>
      <c r="I8" s="57" t="n">
        <v>251618.55</v>
      </c>
      <c r="J8" s="57" t="n">
        <v>51710.8481951097</v>
      </c>
      <c r="K8" s="57" t="n">
        <v>303329.39819511</v>
      </c>
      <c r="L8" s="57" t="n">
        <v>47168.8061003277</v>
      </c>
      <c r="M8" s="57" t="n">
        <v>35650.01</v>
      </c>
      <c r="N8" s="57" t="n">
        <v>6343.7315</v>
      </c>
      <c r="O8" s="57" t="n">
        <v>29037.1985</v>
      </c>
      <c r="P8" s="57" t="n">
        <v>19821.18</v>
      </c>
      <c r="Q8" s="57" t="n">
        <v>10257.95</v>
      </c>
      <c r="R8" s="57" t="n">
        <v>59323.3455</v>
      </c>
      <c r="S8" s="57" t="n">
        <v>0</v>
      </c>
      <c r="T8" s="57" t="n">
        <v>17401.91</v>
      </c>
      <c r="U8" s="57" t="n">
        <v>171788.9</v>
      </c>
      <c r="V8" s="57" t="n">
        <v>7752.61887068313</v>
      </c>
      <c r="W8" s="57" t="n">
        <v>254919.95</v>
      </c>
      <c r="X8" s="57" t="n">
        <v>4542.04209478195</v>
      </c>
      <c r="Y8" s="57" t="n">
        <v>259461.992094782</v>
      </c>
      <c r="Z8" s="81" t="n">
        <v>19.4</v>
      </c>
      <c r="AA8" s="61"/>
      <c r="AB8" s="61"/>
      <c r="AC8" s="62"/>
      <c r="AD8" s="78"/>
      <c r="AE8" s="78"/>
      <c r="AF8" s="79"/>
      <c r="AG8" s="49"/>
      <c r="AH8" s="49"/>
    </row>
    <row r="9" customFormat="false" ht="3" hidden="false" customHeight="true" outlineLevel="0" collapsed="false">
      <c r="A9" s="83"/>
      <c r="B9" s="84"/>
      <c r="C9" s="85"/>
      <c r="D9" s="83"/>
      <c r="E9" s="85"/>
      <c r="F9" s="83"/>
      <c r="G9" s="83"/>
      <c r="H9" s="86"/>
      <c r="I9" s="83"/>
      <c r="J9" s="83"/>
      <c r="K9" s="83"/>
      <c r="L9" s="83"/>
      <c r="M9" s="83"/>
      <c r="N9" s="83"/>
      <c r="O9" s="83"/>
      <c r="P9" s="83"/>
      <c r="Q9" s="83"/>
      <c r="R9" s="83"/>
      <c r="S9" s="85"/>
      <c r="T9" s="83"/>
      <c r="U9" s="83"/>
      <c r="V9" s="85"/>
      <c r="W9" s="83"/>
      <c r="X9" s="83"/>
      <c r="Y9" s="83"/>
      <c r="Z9" s="87"/>
      <c r="AA9" s="88"/>
      <c r="AB9" s="88"/>
      <c r="AC9" s="89"/>
      <c r="AD9" s="78"/>
      <c r="AE9" s="78"/>
      <c r="AF9" s="79"/>
    </row>
    <row r="10" customFormat="false" ht="11.1" hidden="false" customHeight="true" outlineLevel="0" collapsed="false">
      <c r="A10" s="62" t="n">
        <v>1</v>
      </c>
      <c r="B10" s="80" t="n">
        <v>6912.58</v>
      </c>
      <c r="C10" s="57" t="n">
        <v>332409</v>
      </c>
      <c r="D10" s="61" t="n">
        <f aca="false">C10-C8</f>
        <v>-81</v>
      </c>
      <c r="E10" s="57" t="n">
        <f aca="false">C10-152000</f>
        <v>180409</v>
      </c>
      <c r="F10" s="56" t="n">
        <f aca="false">D10/$D$2</f>
        <v>-40.8369044618099</v>
      </c>
      <c r="G10" s="56" t="n">
        <v>216</v>
      </c>
      <c r="H10" s="58" t="n">
        <v>0.76</v>
      </c>
      <c r="I10" s="56" t="n">
        <f aca="false">G10+H10</f>
        <v>216.76</v>
      </c>
      <c r="J10" s="81" t="n">
        <f aca="false">IF(L10&gt;0,L10,0)</f>
        <v>21.31309553819</v>
      </c>
      <c r="K10" s="56" t="n">
        <f aca="false">I10+J10</f>
        <v>238.07309553819</v>
      </c>
      <c r="L10" s="56" t="n">
        <f aca="false">F10-(I10-W10)</f>
        <v>21.31309553819</v>
      </c>
      <c r="M10" s="56" t="n">
        <v>110.64</v>
      </c>
      <c r="N10" s="56" t="n">
        <f aca="false">(9.09+9.55)*1.05</f>
        <v>19.572</v>
      </c>
      <c r="O10" s="56" t="n">
        <f aca="false">M10-N10</f>
        <v>91.068</v>
      </c>
      <c r="P10" s="56" t="n">
        <v>46</v>
      </c>
      <c r="Q10" s="56" t="n">
        <v>41</v>
      </c>
      <c r="R10" s="56" t="n">
        <f aca="false">SUM(O10:Q10)</f>
        <v>178.068</v>
      </c>
      <c r="S10" s="57" t="n">
        <f aca="false">(I10-R10)+S7</f>
        <v>20432.7515809175</v>
      </c>
      <c r="T10" s="56" t="n">
        <v>25.27</v>
      </c>
      <c r="U10" s="56" t="n">
        <v>56</v>
      </c>
      <c r="V10" s="57" t="n">
        <f aca="false">V8-U10</f>
        <v>7696.61887068313</v>
      </c>
      <c r="W10" s="56" t="n">
        <f aca="false">R10+T10+N10+U10</f>
        <v>278.91</v>
      </c>
      <c r="X10" s="56" t="n">
        <f aca="false">IF(L10&lt;0,L10*-1,0)</f>
        <v>0</v>
      </c>
      <c r="Y10" s="56" t="n">
        <f aca="false">W10+X10</f>
        <v>278.91</v>
      </c>
      <c r="Z10" s="60" t="n">
        <v>0</v>
      </c>
      <c r="AA10" s="61" t="n">
        <v>83</v>
      </c>
      <c r="AB10" s="61" t="n">
        <v>45</v>
      </c>
      <c r="AC10" s="62" t="n">
        <v>1</v>
      </c>
      <c r="AD10" s="78"/>
      <c r="AE10" s="82"/>
      <c r="AF10" s="82"/>
    </row>
    <row r="11" customFormat="false" ht="11.1" hidden="false" customHeight="true" outlineLevel="0" collapsed="false">
      <c r="A11" s="62" t="n">
        <f aca="false">A10+1</f>
        <v>2</v>
      </c>
      <c r="B11" s="80" t="n">
        <v>6912.53</v>
      </c>
      <c r="C11" s="57" t="n">
        <v>332205</v>
      </c>
      <c r="D11" s="61" t="n">
        <f aca="false">C11-C10</f>
        <v>-204</v>
      </c>
      <c r="E11" s="57" t="n">
        <f aca="false">C11-152000</f>
        <v>180205</v>
      </c>
      <c r="F11" s="56" t="n">
        <f aca="false">D11/$D$2</f>
        <v>-102.84850012604</v>
      </c>
      <c r="G11" s="56" t="n">
        <v>205</v>
      </c>
      <c r="H11" s="58" t="n">
        <v>2.7</v>
      </c>
      <c r="I11" s="56" t="n">
        <f aca="false">G11+H11</f>
        <v>207.7</v>
      </c>
      <c r="J11" s="81" t="n">
        <f aca="false">IF(L11&gt;0,L11,0)</f>
        <v>0</v>
      </c>
      <c r="K11" s="56" t="n">
        <f aca="false">I11+J11</f>
        <v>207.7</v>
      </c>
      <c r="L11" s="56" t="n">
        <f aca="false">F11-(I11-W11)</f>
        <v>-69.5385001260398</v>
      </c>
      <c r="M11" s="56" t="n">
        <v>115.11</v>
      </c>
      <c r="N11" s="56" t="n">
        <f aca="false">(15+16)*1.05</f>
        <v>32.55</v>
      </c>
      <c r="O11" s="56" t="n">
        <f aca="false">M11-N11</f>
        <v>82.56</v>
      </c>
      <c r="P11" s="56" t="n">
        <v>42</v>
      </c>
      <c r="Q11" s="56" t="n">
        <v>41</v>
      </c>
      <c r="R11" s="56" t="n">
        <f aca="false">SUM(O11:Q11)</f>
        <v>165.56</v>
      </c>
      <c r="S11" s="57" t="n">
        <f aca="false">(I11-R11)+S10</f>
        <v>20474.8915809175</v>
      </c>
      <c r="T11" s="56" t="n">
        <v>1.9</v>
      </c>
      <c r="U11" s="56" t="n">
        <v>41</v>
      </c>
      <c r="V11" s="57" t="n">
        <f aca="false">V10-U11</f>
        <v>7655.61887068313</v>
      </c>
      <c r="W11" s="56" t="n">
        <f aca="false">R11+T11+N11+U11</f>
        <v>241.01</v>
      </c>
      <c r="X11" s="56" t="n">
        <f aca="false">IF(L11&lt;0,L11*-1,0)</f>
        <v>69.5385001260398</v>
      </c>
      <c r="Y11" s="56" t="n">
        <f aca="false">W11+X11</f>
        <v>310.54850012604</v>
      </c>
      <c r="Z11" s="60" t="n">
        <v>0.26</v>
      </c>
      <c r="AA11" s="61" t="n">
        <v>74</v>
      </c>
      <c r="AB11" s="61" t="n">
        <v>50</v>
      </c>
      <c r="AC11" s="62" t="n">
        <f aca="false">AC10+1</f>
        <v>2</v>
      </c>
      <c r="AD11" s="78"/>
      <c r="AE11" s="82"/>
      <c r="AF11" s="82"/>
    </row>
    <row r="12" customFormat="false" ht="11.1" hidden="false" customHeight="true" outlineLevel="0" collapsed="false">
      <c r="A12" s="62" t="n">
        <f aca="false">A11+1</f>
        <v>3</v>
      </c>
      <c r="B12" s="80" t="n">
        <v>6912.56</v>
      </c>
      <c r="C12" s="57" t="n">
        <v>332327</v>
      </c>
      <c r="D12" s="61" t="n">
        <f aca="false">C12-C11</f>
        <v>122</v>
      </c>
      <c r="E12" s="57" t="n">
        <f aca="false">C12-152000</f>
        <v>180327</v>
      </c>
      <c r="F12" s="56" t="n">
        <f aca="false">D12/$D$2</f>
        <v>61.5074363498866</v>
      </c>
      <c r="G12" s="56" t="n">
        <v>274</v>
      </c>
      <c r="H12" s="58" t="n">
        <v>7.9</v>
      </c>
      <c r="I12" s="56" t="n">
        <f aca="false">G12+H12</f>
        <v>281.9</v>
      </c>
      <c r="J12" s="81" t="n">
        <f aca="false">IF(L12&gt;0,L12,0)</f>
        <v>24.9274363498866</v>
      </c>
      <c r="K12" s="56" t="n">
        <f aca="false">I12+J12</f>
        <v>306.827436349887</v>
      </c>
      <c r="L12" s="56" t="n">
        <f aca="false">F12-(I12-W12)</f>
        <v>24.9274363498866</v>
      </c>
      <c r="M12" s="56" t="n">
        <v>109.32</v>
      </c>
      <c r="N12" s="56" t="n">
        <f aca="false">(11.01+10.5)*1.05</f>
        <v>22.5855</v>
      </c>
      <c r="O12" s="56" t="n">
        <f aca="false">M12-N12</f>
        <v>86.7345</v>
      </c>
      <c r="P12" s="56" t="n">
        <v>45</v>
      </c>
      <c r="Q12" s="56" t="n">
        <v>41</v>
      </c>
      <c r="R12" s="56" t="n">
        <f aca="false">SUM(O12:Q12)</f>
        <v>172.7345</v>
      </c>
      <c r="S12" s="57" t="n">
        <f aca="false">(I12-R12)+S11</f>
        <v>20584.0570809175</v>
      </c>
      <c r="T12" s="56" t="n">
        <f aca="false">(AD12-AD11)/$D$2</f>
        <v>0</v>
      </c>
      <c r="U12" s="56" t="n">
        <v>50</v>
      </c>
      <c r="V12" s="57" t="n">
        <f aca="false">V11-U12</f>
        <v>7605.61887068313</v>
      </c>
      <c r="W12" s="56" t="n">
        <f aca="false">R12+T12+N12+U12</f>
        <v>245.32</v>
      </c>
      <c r="X12" s="56" t="n">
        <f aca="false">IF(L12&lt;0,L12*-1,0)</f>
        <v>0</v>
      </c>
      <c r="Y12" s="56" t="n">
        <f aca="false">W12+X12</f>
        <v>245.32</v>
      </c>
      <c r="Z12" s="60" t="n">
        <v>0</v>
      </c>
      <c r="AA12" s="61" t="n">
        <v>67</v>
      </c>
      <c r="AB12" s="61" t="n">
        <v>46</v>
      </c>
      <c r="AC12" s="62" t="n">
        <f aca="false">AC11+1</f>
        <v>3</v>
      </c>
      <c r="AD12" s="78"/>
      <c r="AE12" s="82"/>
      <c r="AF12" s="82"/>
    </row>
    <row r="13" customFormat="false" ht="11.1" hidden="false" customHeight="true" outlineLevel="0" collapsed="false">
      <c r="A13" s="62" t="n">
        <f aca="false">A12+1</f>
        <v>4</v>
      </c>
      <c r="B13" s="80" t="n">
        <v>6912.6</v>
      </c>
      <c r="C13" s="57" t="n">
        <v>332490</v>
      </c>
      <c r="D13" s="61" t="n">
        <f aca="false">C13-C12</f>
        <v>163</v>
      </c>
      <c r="E13" s="57" t="n">
        <f aca="false">C13-152000</f>
        <v>180490</v>
      </c>
      <c r="F13" s="56" t="n">
        <f aca="false">D13/$D$2</f>
        <v>82.1779682379632</v>
      </c>
      <c r="G13" s="56" t="n">
        <v>253</v>
      </c>
      <c r="H13" s="58" t="n">
        <v>8.7</v>
      </c>
      <c r="I13" s="56" t="n">
        <f aca="false">G13+H13</f>
        <v>261.7</v>
      </c>
      <c r="J13" s="81" t="n">
        <f aca="false">IF(L13&gt;0,L13,0)</f>
        <v>34.1179682379632</v>
      </c>
      <c r="K13" s="56" t="n">
        <f aca="false">I13+J13</f>
        <v>295.817968237963</v>
      </c>
      <c r="L13" s="56" t="n">
        <f aca="false">F13-(I13-W13)</f>
        <v>34.1179682379632</v>
      </c>
      <c r="M13" s="56" t="n">
        <v>75.64</v>
      </c>
      <c r="N13" s="56" t="n">
        <f aca="false">(0.7+0.69)*1.05</f>
        <v>1.4595</v>
      </c>
      <c r="O13" s="56" t="n">
        <f aca="false">M13-N13</f>
        <v>74.1805</v>
      </c>
      <c r="P13" s="56" t="n">
        <v>45</v>
      </c>
      <c r="Q13" s="56" t="n">
        <v>41</v>
      </c>
      <c r="R13" s="56" t="n">
        <f aca="false">SUM(O13:Q13)</f>
        <v>160.1805</v>
      </c>
      <c r="S13" s="57" t="n">
        <f aca="false">(I13-R13)+S12</f>
        <v>20685.5765809175</v>
      </c>
      <c r="T13" s="56" t="n">
        <f aca="false">(AD13-AD12)/$D$2</f>
        <v>0</v>
      </c>
      <c r="U13" s="56" t="n">
        <v>52</v>
      </c>
      <c r="V13" s="57" t="n">
        <f aca="false">V12-U13</f>
        <v>7553.61887068313</v>
      </c>
      <c r="W13" s="56" t="n">
        <f aca="false">R13+T13+N13+U13</f>
        <v>213.64</v>
      </c>
      <c r="X13" s="56" t="n">
        <f aca="false">IF(L13&lt;0,L13*-1,0)</f>
        <v>0</v>
      </c>
      <c r="Y13" s="56" t="n">
        <f aca="false">W13+X13</f>
        <v>213.64</v>
      </c>
      <c r="Z13" s="60" t="n">
        <v>0</v>
      </c>
      <c r="AA13" s="61" t="n">
        <v>75</v>
      </c>
      <c r="AB13" s="61" t="n">
        <v>40</v>
      </c>
      <c r="AC13" s="62" t="n">
        <f aca="false">AC12+1</f>
        <v>4</v>
      </c>
      <c r="AD13" s="78"/>
      <c r="AE13" s="82"/>
      <c r="AF13" s="82"/>
    </row>
    <row r="14" customFormat="false" ht="11.1" hidden="false" customHeight="true" outlineLevel="0" collapsed="false">
      <c r="A14" s="62" t="n">
        <f aca="false">A13+1</f>
        <v>5</v>
      </c>
      <c r="B14" s="80" t="n">
        <v>6912.56</v>
      </c>
      <c r="C14" s="57" t="n">
        <v>332327</v>
      </c>
      <c r="D14" s="61" t="n">
        <f aca="false">C14-C13</f>
        <v>-163</v>
      </c>
      <c r="E14" s="57" t="n">
        <f aca="false">C14-152000</f>
        <v>180327</v>
      </c>
      <c r="F14" s="56" t="n">
        <f aca="false">D14/$D$2</f>
        <v>-82.1779682379632</v>
      </c>
      <c r="G14" s="56" t="n">
        <v>205</v>
      </c>
      <c r="H14" s="58" t="n">
        <v>7.6</v>
      </c>
      <c r="I14" s="56" t="n">
        <f aca="false">G14+H14</f>
        <v>212.6</v>
      </c>
      <c r="J14" s="81" t="n">
        <f aca="false">IF(L14&gt;0,L14,0)</f>
        <v>0</v>
      </c>
      <c r="K14" s="56" t="n">
        <f aca="false">I14+J14</f>
        <v>212.6</v>
      </c>
      <c r="L14" s="56" t="n">
        <f aca="false">F14-(I14-W14)</f>
        <v>-78.5179682379632</v>
      </c>
      <c r="M14" s="56" t="n">
        <v>78.26</v>
      </c>
      <c r="N14" s="56" t="n">
        <v>0</v>
      </c>
      <c r="O14" s="56" t="n">
        <f aca="false">M14-N14</f>
        <v>78.26</v>
      </c>
      <c r="P14" s="56" t="n">
        <v>45</v>
      </c>
      <c r="Q14" s="56" t="n">
        <v>41</v>
      </c>
      <c r="R14" s="56" t="n">
        <f aca="false">SUM(O14:Q14)</f>
        <v>164.26</v>
      </c>
      <c r="S14" s="57" t="n">
        <f aca="false">(I14-R14)+S13</f>
        <v>20733.9165809175</v>
      </c>
      <c r="T14" s="56" t="n">
        <v>0</v>
      </c>
      <c r="U14" s="56" t="n">
        <v>52</v>
      </c>
      <c r="V14" s="57" t="n">
        <f aca="false">V13-U14</f>
        <v>7501.61887068313</v>
      </c>
      <c r="W14" s="56" t="n">
        <f aca="false">R14+T14+N14+U14</f>
        <v>216.26</v>
      </c>
      <c r="X14" s="56" t="n">
        <f aca="false">IF(L14&lt;0,L14*-1,0)</f>
        <v>78.5179682379632</v>
      </c>
      <c r="Y14" s="56" t="n">
        <f aca="false">W14+X14</f>
        <v>294.777968237963</v>
      </c>
      <c r="Z14" s="60" t="n">
        <v>0</v>
      </c>
      <c r="AA14" s="61" t="n">
        <v>78</v>
      </c>
      <c r="AB14" s="61" t="n">
        <v>42</v>
      </c>
      <c r="AC14" s="62" t="n">
        <f aca="false">AC13+1</f>
        <v>5</v>
      </c>
      <c r="AD14" s="78"/>
      <c r="AE14" s="82"/>
      <c r="AF14" s="82"/>
    </row>
    <row r="15" customFormat="false" ht="11.1" hidden="false" customHeight="true" outlineLevel="0" collapsed="false">
      <c r="A15" s="62" t="n">
        <f aca="false">A14+1</f>
        <v>6</v>
      </c>
      <c r="B15" s="80" t="n">
        <v>6912.51</v>
      </c>
      <c r="C15" s="57" t="n">
        <v>332124</v>
      </c>
      <c r="D15" s="61" t="n">
        <f aca="false">C15-C14</f>
        <v>-203</v>
      </c>
      <c r="E15" s="57" t="n">
        <f aca="false">C15-152000</f>
        <v>180124</v>
      </c>
      <c r="F15" s="56" t="n">
        <f aca="false">D15/$D$2</f>
        <v>-102.344340811697</v>
      </c>
      <c r="G15" s="56" t="n">
        <v>187</v>
      </c>
      <c r="H15" s="58" t="n">
        <v>6.9</v>
      </c>
      <c r="I15" s="56" t="n">
        <f aca="false">G15+H15</f>
        <v>193.9</v>
      </c>
      <c r="J15" s="81" t="n">
        <f aca="false">IF(L15&gt;0,L15,0)</f>
        <v>0</v>
      </c>
      <c r="K15" s="56" t="n">
        <f aca="false">I15+J15</f>
        <v>193.9</v>
      </c>
      <c r="L15" s="56" t="n">
        <f aca="false">F15-(I15-W15)</f>
        <v>-58.8843408116965</v>
      </c>
      <c r="M15" s="56" t="n">
        <v>100.36</v>
      </c>
      <c r="N15" s="56" t="n">
        <f aca="false">(10+9.3)*1.05</f>
        <v>20.265</v>
      </c>
      <c r="O15" s="56" t="n">
        <f aca="false">M15-N15</f>
        <v>80.095</v>
      </c>
      <c r="P15" s="56" t="n">
        <v>45</v>
      </c>
      <c r="Q15" s="56" t="n">
        <v>39</v>
      </c>
      <c r="R15" s="56" t="n">
        <f aca="false">SUM(O15:Q15)</f>
        <v>164.095</v>
      </c>
      <c r="S15" s="57" t="n">
        <f aca="false">(I15-R15)+S14</f>
        <v>20763.7215809175</v>
      </c>
      <c r="T15" s="56" t="n">
        <v>0</v>
      </c>
      <c r="U15" s="56" t="n">
        <v>53</v>
      </c>
      <c r="V15" s="57" t="n">
        <f aca="false">V14-U15</f>
        <v>7448.61887068313</v>
      </c>
      <c r="W15" s="56" t="n">
        <f aca="false">R15+T15+N15+U15</f>
        <v>237.36</v>
      </c>
      <c r="X15" s="56" t="n">
        <f aca="false">IF(L15&lt;0,L15*-1,0)</f>
        <v>58.8843408116965</v>
      </c>
      <c r="Y15" s="56" t="n">
        <f aca="false">W15+X15</f>
        <v>296.244340811696</v>
      </c>
      <c r="Z15" s="60" t="n">
        <v>0</v>
      </c>
      <c r="AA15" s="61" t="n">
        <v>80</v>
      </c>
      <c r="AB15" s="61" t="n">
        <v>45</v>
      </c>
      <c r="AC15" s="62" t="n">
        <f aca="false">AC14+1</f>
        <v>6</v>
      </c>
      <c r="AD15" s="78"/>
      <c r="AE15" s="82"/>
      <c r="AF15" s="82"/>
    </row>
    <row r="16" customFormat="false" ht="11.1" hidden="false" customHeight="true" outlineLevel="0" collapsed="false">
      <c r="A16" s="62" t="n">
        <f aca="false">A15+1</f>
        <v>7</v>
      </c>
      <c r="B16" s="80" t="n">
        <v>6912.55</v>
      </c>
      <c r="C16" s="57" t="n">
        <v>332287</v>
      </c>
      <c r="D16" s="61" t="n">
        <f aca="false">C16-C15</f>
        <v>163</v>
      </c>
      <c r="E16" s="57" t="n">
        <f aca="false">C16-152000</f>
        <v>180287</v>
      </c>
      <c r="F16" s="56" t="n">
        <f aca="false">D16/$D$2</f>
        <v>82.1779682379632</v>
      </c>
      <c r="G16" s="56" t="n">
        <v>181</v>
      </c>
      <c r="H16" s="58" t="n">
        <v>6.8</v>
      </c>
      <c r="I16" s="56" t="n">
        <f aca="false">G16+H16</f>
        <v>187.8</v>
      </c>
      <c r="J16" s="81" t="n">
        <f aca="false">IF(L16&gt;0,L16,0)</f>
        <v>124.827968237963</v>
      </c>
      <c r="K16" s="56" t="n">
        <f aca="false">I16+J16</f>
        <v>312.627968237963</v>
      </c>
      <c r="L16" s="56" t="n">
        <f aca="false">F16-(I16-W16)</f>
        <v>124.827968237963</v>
      </c>
      <c r="M16" s="56" t="n">
        <v>95.45</v>
      </c>
      <c r="N16" s="56" t="n">
        <f aca="false">(13.05+11.8)*1.05</f>
        <v>26.0925</v>
      </c>
      <c r="O16" s="56" t="n">
        <f aca="false">M16-N16</f>
        <v>69.3575</v>
      </c>
      <c r="P16" s="56" t="n">
        <v>45</v>
      </c>
      <c r="Q16" s="56" t="n">
        <v>38</v>
      </c>
      <c r="R16" s="56" t="n">
        <f aca="false">SUM(O16:Q16)</f>
        <v>152.3575</v>
      </c>
      <c r="S16" s="57" t="n">
        <f aca="false">(I16-R16)+S15</f>
        <v>20799.1640809175</v>
      </c>
      <c r="T16" s="56" t="n">
        <v>0</v>
      </c>
      <c r="U16" s="56" t="n">
        <v>52</v>
      </c>
      <c r="V16" s="57" t="n">
        <f aca="false">V15-U16</f>
        <v>7396.61887068313</v>
      </c>
      <c r="W16" s="56" t="n">
        <f aca="false">R16+T16+N16+U16</f>
        <v>230.45</v>
      </c>
      <c r="X16" s="56" t="n">
        <f aca="false">IF(L16&lt;0,L16*-1,0)</f>
        <v>0</v>
      </c>
      <c r="Y16" s="56" t="n">
        <f aca="false">W16+X16</f>
        <v>230.45</v>
      </c>
      <c r="Z16" s="60" t="n">
        <v>0.49</v>
      </c>
      <c r="AA16" s="61" t="n">
        <v>69</v>
      </c>
      <c r="AB16" s="61" t="n">
        <v>51</v>
      </c>
      <c r="AC16" s="62" t="n">
        <f aca="false">AC15+1</f>
        <v>7</v>
      </c>
      <c r="AD16" s="78"/>
      <c r="AE16" s="82"/>
      <c r="AF16" s="82"/>
    </row>
    <row r="17" customFormat="false" ht="11.1" hidden="false" customHeight="true" outlineLevel="0" collapsed="false">
      <c r="A17" s="62" t="n">
        <f aca="false">A16+1</f>
        <v>8</v>
      </c>
      <c r="B17" s="80" t="n">
        <v>6912.55</v>
      </c>
      <c r="C17" s="57" t="n">
        <v>332287</v>
      </c>
      <c r="D17" s="61" t="n">
        <f aca="false">C17-C16</f>
        <v>0</v>
      </c>
      <c r="E17" s="57" t="n">
        <f aca="false">C17-152000</f>
        <v>180287</v>
      </c>
      <c r="F17" s="56" t="n">
        <f aca="false">D17/$D$2</f>
        <v>0</v>
      </c>
      <c r="G17" s="56" t="n">
        <v>323</v>
      </c>
      <c r="H17" s="58" t="n">
        <v>16</v>
      </c>
      <c r="I17" s="56" t="n">
        <f aca="false">G17+H17</f>
        <v>339</v>
      </c>
      <c r="J17" s="81" t="n">
        <f aca="false">IF(L17&gt;0,L17,0)</f>
        <v>0</v>
      </c>
      <c r="K17" s="56" t="n">
        <f aca="false">I17+J17</f>
        <v>339</v>
      </c>
      <c r="L17" s="56" t="n">
        <f aca="false">F17-(I17-W17)</f>
        <v>-116.1</v>
      </c>
      <c r="M17" s="56" t="n">
        <v>87.9</v>
      </c>
      <c r="N17" s="56" t="n">
        <f aca="false">(12.99+14.98)*1.05</f>
        <v>29.3685</v>
      </c>
      <c r="O17" s="56" t="n">
        <f aca="false">M17-N17</f>
        <v>58.5315</v>
      </c>
      <c r="P17" s="56" t="n">
        <v>45</v>
      </c>
      <c r="Q17" s="56" t="n">
        <v>37</v>
      </c>
      <c r="R17" s="56" t="n">
        <f aca="false">SUM(O17:Q17)</f>
        <v>140.5315</v>
      </c>
      <c r="S17" s="57" t="n">
        <f aca="false">(I17-R17)+S16</f>
        <v>20997.6325809175</v>
      </c>
      <c r="T17" s="56" t="n">
        <f aca="false">(AD17-AD16)/$D$2</f>
        <v>0</v>
      </c>
      <c r="U17" s="56" t="n">
        <v>53</v>
      </c>
      <c r="V17" s="57" t="n">
        <f aca="false">V16-U17</f>
        <v>7343.61887068314</v>
      </c>
      <c r="W17" s="56" t="n">
        <f aca="false">R17+T17+N17+U17</f>
        <v>222.9</v>
      </c>
      <c r="X17" s="56" t="n">
        <f aca="false">IF(L17&lt;0,L17*-1,0)</f>
        <v>116.1</v>
      </c>
      <c r="Y17" s="56" t="n">
        <f aca="false">W17+X17</f>
        <v>339</v>
      </c>
      <c r="Z17" s="60" t="n">
        <v>0</v>
      </c>
      <c r="AA17" s="61" t="n">
        <v>60</v>
      </c>
      <c r="AB17" s="61" t="n">
        <v>35</v>
      </c>
      <c r="AC17" s="62" t="n">
        <f aca="false">AC16+1</f>
        <v>8</v>
      </c>
      <c r="AD17" s="78"/>
      <c r="AE17" s="82"/>
      <c r="AF17" s="82"/>
    </row>
    <row r="18" customFormat="false" ht="11.1" hidden="false" customHeight="true" outlineLevel="0" collapsed="false">
      <c r="A18" s="62" t="n">
        <f aca="false">A17+1</f>
        <v>9</v>
      </c>
      <c r="B18" s="80" t="n">
        <v>6912.56</v>
      </c>
      <c r="C18" s="57" t="n">
        <v>332327</v>
      </c>
      <c r="D18" s="61" t="n">
        <f aca="false">C18-C17</f>
        <v>40</v>
      </c>
      <c r="E18" s="57" t="n">
        <f aca="false">C18-152000</f>
        <v>180327</v>
      </c>
      <c r="F18" s="56" t="n">
        <f aca="false">D18/$D$2</f>
        <v>20.1663725737333</v>
      </c>
      <c r="G18" s="56" t="n">
        <v>253</v>
      </c>
      <c r="H18" s="58" t="n">
        <v>20</v>
      </c>
      <c r="I18" s="56" t="n">
        <f aca="false">G18+H18</f>
        <v>273</v>
      </c>
      <c r="J18" s="81" t="n">
        <f aca="false">IF(L18&gt;0,L18,0)</f>
        <v>0</v>
      </c>
      <c r="K18" s="56" t="n">
        <f aca="false">I18+J18</f>
        <v>273</v>
      </c>
      <c r="L18" s="56" t="n">
        <f aca="false">F18-(I18-W18)</f>
        <v>-27.1336274262667</v>
      </c>
      <c r="M18" s="56" t="n">
        <v>95.7</v>
      </c>
      <c r="N18" s="56" t="n">
        <f aca="false">(12.76+12.93)*1.05</f>
        <v>26.9745</v>
      </c>
      <c r="O18" s="56" t="n">
        <f aca="false">M18-N18</f>
        <v>68.7255</v>
      </c>
      <c r="P18" s="56" t="n">
        <v>45</v>
      </c>
      <c r="Q18" s="56" t="n">
        <v>33</v>
      </c>
      <c r="R18" s="56" t="n">
        <f aca="false">SUM(O18:Q18)</f>
        <v>146.7255</v>
      </c>
      <c r="S18" s="57" t="n">
        <f aca="false">(I18-R18)+S17</f>
        <v>21123.9070809175</v>
      </c>
      <c r="T18" s="56" t="n">
        <f aca="false">(AD18-AD17)/$D$2</f>
        <v>0</v>
      </c>
      <c r="U18" s="56" t="n">
        <v>52</v>
      </c>
      <c r="V18" s="57" t="n">
        <f aca="false">V17-U18</f>
        <v>7291.61887068313</v>
      </c>
      <c r="W18" s="56" t="n">
        <f aca="false">R18+T18+N18+U18</f>
        <v>225.7</v>
      </c>
      <c r="X18" s="56" t="n">
        <f aca="false">IF(L18&lt;0,L18*-1,0)</f>
        <v>27.1336274262667</v>
      </c>
      <c r="Y18" s="56" t="n">
        <f aca="false">W18+X18</f>
        <v>252.833627426267</v>
      </c>
      <c r="Z18" s="60" t="n">
        <v>0</v>
      </c>
      <c r="AA18" s="90" t="n">
        <v>73</v>
      </c>
      <c r="AB18" s="61" t="n">
        <v>32</v>
      </c>
      <c r="AC18" s="62" t="n">
        <f aca="false">AC17+1</f>
        <v>9</v>
      </c>
      <c r="AD18" s="78"/>
      <c r="AE18" s="82"/>
      <c r="AF18" s="82"/>
    </row>
    <row r="19" customFormat="false" ht="11.1" hidden="false" customHeight="true" outlineLevel="0" collapsed="false">
      <c r="A19" s="62" t="n">
        <f aca="false">A18+1</f>
        <v>10</v>
      </c>
      <c r="B19" s="80" t="n">
        <v>6912.58</v>
      </c>
      <c r="C19" s="57" t="n">
        <v>332409</v>
      </c>
      <c r="D19" s="61" t="n">
        <f aca="false">C19-C18</f>
        <v>82</v>
      </c>
      <c r="E19" s="57" t="n">
        <f aca="false">C19-152000</f>
        <v>180409</v>
      </c>
      <c r="F19" s="56" t="n">
        <f aca="false">D19/$D$2</f>
        <v>41.3410637761533</v>
      </c>
      <c r="G19" s="56" t="n">
        <v>254</v>
      </c>
      <c r="H19" s="58" t="n">
        <v>17</v>
      </c>
      <c r="I19" s="56" t="n">
        <f aca="false">G19+H19</f>
        <v>271</v>
      </c>
      <c r="J19" s="81" t="n">
        <f aca="false">IF(L19&gt;0,L19,0)</f>
        <v>0</v>
      </c>
      <c r="K19" s="56" t="n">
        <f aca="false">I19+J19</f>
        <v>271</v>
      </c>
      <c r="L19" s="56" t="n">
        <f aca="false">F19-(I19-W19)</f>
        <v>-13.8789362238467</v>
      </c>
      <c r="M19" s="56" t="n">
        <v>85.78</v>
      </c>
      <c r="N19" s="56" t="n">
        <f aca="false">(1.1+1.4)*1.05</f>
        <v>2.625</v>
      </c>
      <c r="O19" s="56" t="n">
        <f aca="false">M19-N19</f>
        <v>83.155</v>
      </c>
      <c r="P19" s="56" t="n">
        <v>45</v>
      </c>
      <c r="Q19" s="56" t="n">
        <v>33</v>
      </c>
      <c r="R19" s="56" t="n">
        <f aca="false">SUM(O19:Q19)</f>
        <v>161.155</v>
      </c>
      <c r="S19" s="57" t="n">
        <f aca="false">(I19-R19)+S18</f>
        <v>21233.7520809175</v>
      </c>
      <c r="T19" s="56" t="n">
        <f aca="false">(AD19-AD18)/$D$2</f>
        <v>0</v>
      </c>
      <c r="U19" s="56" t="n">
        <v>52</v>
      </c>
      <c r="V19" s="57" t="n">
        <f aca="false">V18-U19</f>
        <v>7239.61887068313</v>
      </c>
      <c r="W19" s="56" t="n">
        <f aca="false">R19+T19+N19+U19</f>
        <v>215.78</v>
      </c>
      <c r="X19" s="56" t="n">
        <f aca="false">IF(L19&lt;0,L19*-1,0)</f>
        <v>13.8789362238467</v>
      </c>
      <c r="Y19" s="56" t="n">
        <f aca="false">W19+X19</f>
        <v>229.658936223847</v>
      </c>
      <c r="Z19" s="60" t="n">
        <v>0</v>
      </c>
      <c r="AA19" s="61" t="n">
        <v>74</v>
      </c>
      <c r="AB19" s="61" t="n">
        <v>35</v>
      </c>
      <c r="AC19" s="62" t="n">
        <f aca="false">AC18+1</f>
        <v>10</v>
      </c>
      <c r="AD19" s="78"/>
      <c r="AE19" s="82"/>
      <c r="AF19" s="82"/>
    </row>
    <row r="20" customFormat="false" ht="11.1" hidden="false" customHeight="true" outlineLevel="0" collapsed="false">
      <c r="A20" s="62" t="n">
        <f aca="false">A19+1</f>
        <v>11</v>
      </c>
      <c r="B20" s="80" t="n">
        <v>6912.61</v>
      </c>
      <c r="C20" s="57" t="n">
        <v>332531</v>
      </c>
      <c r="D20" s="61" t="n">
        <f aca="false">C20-C19</f>
        <v>122</v>
      </c>
      <c r="E20" s="57" t="n">
        <f aca="false">C20-152000</f>
        <v>180531</v>
      </c>
      <c r="F20" s="56" t="n">
        <f aca="false">D20/$D$2</f>
        <v>61.5074363498866</v>
      </c>
      <c r="G20" s="56" t="n">
        <v>285</v>
      </c>
      <c r="H20" s="58" t="n">
        <v>36</v>
      </c>
      <c r="I20" s="56" t="n">
        <f aca="false">G20+H20</f>
        <v>321</v>
      </c>
      <c r="J20" s="81" t="n">
        <f aca="false">IF(L20&gt;0,L20,0)</f>
        <v>0</v>
      </c>
      <c r="K20" s="56" t="n">
        <f aca="false">I20+J20</f>
        <v>321</v>
      </c>
      <c r="L20" s="56" t="n">
        <f aca="false">F20-(I20-W20)</f>
        <v>-66.9425636501134</v>
      </c>
      <c r="M20" s="56" t="n">
        <v>62.55</v>
      </c>
      <c r="N20" s="56" t="n">
        <v>0</v>
      </c>
      <c r="O20" s="56" t="n">
        <f aca="false">M20-N20</f>
        <v>62.55</v>
      </c>
      <c r="P20" s="56" t="n">
        <v>45</v>
      </c>
      <c r="Q20" s="56" t="n">
        <v>33</v>
      </c>
      <c r="R20" s="56" t="n">
        <f aca="false">SUM(O20:Q20)</f>
        <v>140.55</v>
      </c>
      <c r="S20" s="57" t="n">
        <f aca="false">(I20-R20)+S19</f>
        <v>21414.2020809175</v>
      </c>
      <c r="T20" s="56" t="n">
        <f aca="false">(AD20-AD19)/$D$2</f>
        <v>0</v>
      </c>
      <c r="U20" s="56" t="n">
        <v>52</v>
      </c>
      <c r="V20" s="57" t="n">
        <f aca="false">V19-U20</f>
        <v>7187.61887068313</v>
      </c>
      <c r="W20" s="56" t="n">
        <f aca="false">R20+T20+N20+U20</f>
        <v>192.55</v>
      </c>
      <c r="X20" s="56" t="n">
        <f aca="false">IF(L20&lt;0,L20*-1,0)</f>
        <v>66.9425636501134</v>
      </c>
      <c r="Y20" s="56" t="n">
        <f aca="false">W20+X20</f>
        <v>259.492563650113</v>
      </c>
      <c r="Z20" s="60" t="n">
        <v>0</v>
      </c>
      <c r="AA20" s="61" t="n">
        <v>73</v>
      </c>
      <c r="AB20" s="61" t="n">
        <v>44</v>
      </c>
      <c r="AC20" s="62" t="n">
        <f aca="false">AC19+1</f>
        <v>11</v>
      </c>
      <c r="AD20" s="78"/>
      <c r="AE20" s="82"/>
      <c r="AF20" s="82"/>
      <c r="AG20" s="132"/>
      <c r="AH20" s="132"/>
      <c r="AI20" s="132"/>
    </row>
    <row r="21" customFormat="false" ht="11.1" hidden="false" customHeight="true" outlineLevel="0" collapsed="false">
      <c r="A21" s="62" t="n">
        <f aca="false">A20+1</f>
        <v>12</v>
      </c>
      <c r="B21" s="80" t="n">
        <v>6912.63</v>
      </c>
      <c r="C21" s="57" t="n">
        <v>332613</v>
      </c>
      <c r="D21" s="61" t="n">
        <f aca="false">C21-C20</f>
        <v>82</v>
      </c>
      <c r="E21" s="57" t="n">
        <f aca="false">C21-152000</f>
        <v>180613</v>
      </c>
      <c r="F21" s="56" t="n">
        <f aca="false">D21/$D$2</f>
        <v>41.3410637761533</v>
      </c>
      <c r="G21" s="56" t="n">
        <v>277</v>
      </c>
      <c r="H21" s="58" t="n">
        <v>35</v>
      </c>
      <c r="I21" s="56" t="n">
        <f aca="false">G21+H21</f>
        <v>312</v>
      </c>
      <c r="J21" s="81" t="n">
        <f aca="false">IF(L21&gt;0,L21,0)</f>
        <v>0</v>
      </c>
      <c r="K21" s="56" t="n">
        <f aca="false">I21+J21</f>
        <v>312</v>
      </c>
      <c r="L21" s="56" t="n">
        <f aca="false">F21-(I21-W21)</f>
        <v>-74.8589362238467</v>
      </c>
      <c r="M21" s="56" t="n">
        <v>64.8</v>
      </c>
      <c r="N21" s="56" t="n">
        <v>0</v>
      </c>
      <c r="O21" s="56" t="n">
        <f aca="false">M21-N21</f>
        <v>64.8</v>
      </c>
      <c r="P21" s="56" t="n">
        <v>46</v>
      </c>
      <c r="Q21" s="56" t="n">
        <v>33</v>
      </c>
      <c r="R21" s="56" t="n">
        <f aca="false">SUM(O21:Q21)</f>
        <v>143.8</v>
      </c>
      <c r="S21" s="57" t="n">
        <f aca="false">(I21-R21)+S20</f>
        <v>21582.4020809175</v>
      </c>
      <c r="T21" s="56" t="n">
        <f aca="false">(AD21-AD20)/$D$2</f>
        <v>0</v>
      </c>
      <c r="U21" s="56" t="n">
        <v>52</v>
      </c>
      <c r="V21" s="57" t="n">
        <f aca="false">V20-U21</f>
        <v>7135.61887068313</v>
      </c>
      <c r="W21" s="56" t="n">
        <f aca="false">R21+T21+N21+U21</f>
        <v>195.8</v>
      </c>
      <c r="X21" s="56" t="n">
        <f aca="false">IF(L21&lt;0,L21*-1,0)</f>
        <v>74.8589362238467</v>
      </c>
      <c r="Y21" s="56" t="n">
        <f aca="false">W21+X21</f>
        <v>270.658936223847</v>
      </c>
      <c r="Z21" s="60" t="n">
        <v>0</v>
      </c>
      <c r="AA21" s="61" t="n">
        <v>43</v>
      </c>
      <c r="AB21" s="61" t="n">
        <v>27</v>
      </c>
      <c r="AC21" s="62" t="n">
        <f aca="false">AC20+1</f>
        <v>12</v>
      </c>
      <c r="AD21" s="78"/>
      <c r="AE21" s="78"/>
      <c r="AF21" s="82"/>
    </row>
    <row r="22" customFormat="false" ht="11.1" hidden="false" customHeight="true" outlineLevel="0" collapsed="false">
      <c r="A22" s="62" t="n">
        <f aca="false">A21+1</f>
        <v>13</v>
      </c>
      <c r="B22" s="80" t="n">
        <v>6912.65</v>
      </c>
      <c r="C22" s="57" t="n">
        <v>332694</v>
      </c>
      <c r="D22" s="61" t="n">
        <f aca="false">C22-C21</f>
        <v>81</v>
      </c>
      <c r="E22" s="57" t="n">
        <f aca="false">C22-152000</f>
        <v>180694</v>
      </c>
      <c r="F22" s="56" t="n">
        <f aca="false">D22/$D$2</f>
        <v>40.8369044618099</v>
      </c>
      <c r="G22" s="56" t="n">
        <v>241</v>
      </c>
      <c r="H22" s="58" t="n">
        <v>14</v>
      </c>
      <c r="I22" s="56" t="n">
        <f aca="false">G22+H22</f>
        <v>255</v>
      </c>
      <c r="J22" s="81" t="n">
        <f aca="false">IF(L22&gt;0,L22,0)</f>
        <v>0</v>
      </c>
      <c r="K22" s="56" t="n">
        <f aca="false">I22+J22</f>
        <v>255</v>
      </c>
      <c r="L22" s="56" t="n">
        <f aca="false">F22-(I22-W22)</f>
        <v>-22.4330955381901</v>
      </c>
      <c r="M22" s="56" t="n">
        <v>73.73</v>
      </c>
      <c r="N22" s="56" t="n">
        <f aca="false">(0+0.79)*1.05</f>
        <v>0.8295</v>
      </c>
      <c r="O22" s="56" t="n">
        <f aca="false">M22-N22</f>
        <v>72.9005</v>
      </c>
      <c r="P22" s="56" t="n">
        <v>33</v>
      </c>
      <c r="Q22" s="56" t="n">
        <v>33</v>
      </c>
      <c r="R22" s="56" t="n">
        <f aca="false">SUM(O22:Q22)</f>
        <v>138.9005</v>
      </c>
      <c r="S22" s="57" t="n">
        <f aca="false">(I22-R22)+S21</f>
        <v>21698.5015809175</v>
      </c>
      <c r="T22" s="56" t="n">
        <f aca="false">(AD22-AD21)/$D$2</f>
        <v>0</v>
      </c>
      <c r="U22" s="56" t="n">
        <v>52</v>
      </c>
      <c r="V22" s="57" t="n">
        <f aca="false">V21-U22</f>
        <v>7083.61887068313</v>
      </c>
      <c r="W22" s="56" t="n">
        <f aca="false">R22+T22+N22+U22</f>
        <v>191.73</v>
      </c>
      <c r="X22" s="56" t="n">
        <f aca="false">IF(L22&lt;0,L22*-1,0)</f>
        <v>22.4330955381901</v>
      </c>
      <c r="Y22" s="56" t="n">
        <f aca="false">W22+X22</f>
        <v>214.16309553819</v>
      </c>
      <c r="Z22" s="60" t="n">
        <v>0</v>
      </c>
      <c r="AA22" s="61" t="n">
        <v>58</v>
      </c>
      <c r="AB22" s="61" t="n">
        <v>20</v>
      </c>
      <c r="AC22" s="62" t="n">
        <f aca="false">AC21+1</f>
        <v>13</v>
      </c>
      <c r="AD22" s="78"/>
      <c r="AE22" s="78"/>
      <c r="AF22" s="82"/>
    </row>
    <row r="23" customFormat="false" ht="11.1" hidden="false" customHeight="true" outlineLevel="0" collapsed="false">
      <c r="A23" s="62" t="n">
        <f aca="false">A22+1</f>
        <v>14</v>
      </c>
      <c r="B23" s="80" t="n">
        <v>6912.68</v>
      </c>
      <c r="C23" s="57" t="n">
        <v>332817</v>
      </c>
      <c r="D23" s="61" t="n">
        <f aca="false">C23-C22</f>
        <v>123</v>
      </c>
      <c r="E23" s="57" t="n">
        <f aca="false">C23-152000</f>
        <v>180817</v>
      </c>
      <c r="F23" s="56" t="n">
        <f aca="false">D23/$D$2</f>
        <v>62.0115956642299</v>
      </c>
      <c r="G23" s="56" t="n">
        <v>258</v>
      </c>
      <c r="H23" s="58" t="n">
        <v>14</v>
      </c>
      <c r="I23" s="56" t="n">
        <f aca="false">G23+H23</f>
        <v>272</v>
      </c>
      <c r="J23" s="81" t="n">
        <f aca="false">IF(L23&gt;0,L23,0)</f>
        <v>0</v>
      </c>
      <c r="K23" s="56" t="n">
        <f aca="false">I23+J23</f>
        <v>272</v>
      </c>
      <c r="L23" s="56" t="n">
        <f aca="false">F23-(I23-W23)</f>
        <v>-11.9884043357701</v>
      </c>
      <c r="M23" s="56" t="n">
        <v>89</v>
      </c>
      <c r="N23" s="56" t="n">
        <f aca="false">(8.5+7.5)*1.05</f>
        <v>16.8</v>
      </c>
      <c r="O23" s="56" t="n">
        <f aca="false">M23-N23</f>
        <v>72.2</v>
      </c>
      <c r="P23" s="56" t="n">
        <v>24</v>
      </c>
      <c r="Q23" s="103" t="n">
        <v>33</v>
      </c>
      <c r="R23" s="56" t="n">
        <f aca="false">SUM(O23:Q23)</f>
        <v>129.2</v>
      </c>
      <c r="S23" s="57" t="n">
        <f aca="false">(I23-R23)+S22</f>
        <v>21841.3015809175</v>
      </c>
      <c r="T23" s="56" t="n">
        <f aca="false">(AD23-AD22)/$D$2</f>
        <v>0</v>
      </c>
      <c r="U23" s="56" t="n">
        <v>52</v>
      </c>
      <c r="V23" s="57" t="n">
        <f aca="false">V22-U23</f>
        <v>7031.61887068313</v>
      </c>
      <c r="W23" s="56" t="n">
        <f aca="false">R23+T23+N23+U23</f>
        <v>198</v>
      </c>
      <c r="X23" s="56" t="n">
        <f aca="false">IF(L23&lt;0,L23*-1,0)</f>
        <v>11.9884043357701</v>
      </c>
      <c r="Y23" s="56" t="n">
        <f aca="false">W23+X23</f>
        <v>209.98840433577</v>
      </c>
      <c r="Z23" s="60" t="n">
        <v>0</v>
      </c>
      <c r="AA23" s="90" t="n">
        <v>65</v>
      </c>
      <c r="AB23" s="61" t="n">
        <v>30</v>
      </c>
      <c r="AC23" s="62" t="n">
        <f aca="false">AC22+1</f>
        <v>14</v>
      </c>
      <c r="AD23" s="78"/>
      <c r="AE23" s="78"/>
      <c r="AF23" s="82"/>
    </row>
    <row r="24" customFormat="false" ht="11.1" hidden="false" customHeight="true" outlineLevel="0" collapsed="false">
      <c r="A24" s="62" t="n">
        <f aca="false">A23+1</f>
        <v>15</v>
      </c>
      <c r="B24" s="80" t="n">
        <v>6912.7</v>
      </c>
      <c r="C24" s="57" t="n">
        <v>332898</v>
      </c>
      <c r="D24" s="61" t="n">
        <f aca="false">C24-C23</f>
        <v>81</v>
      </c>
      <c r="E24" s="57" t="n">
        <f aca="false">C24-152000</f>
        <v>180898</v>
      </c>
      <c r="F24" s="56" t="n">
        <f aca="false">D24/$D$2</f>
        <v>40.8369044618099</v>
      </c>
      <c r="G24" s="56" t="n">
        <v>271</v>
      </c>
      <c r="H24" s="58" t="n">
        <v>15</v>
      </c>
      <c r="I24" s="56" t="n">
        <f aca="false">G24+H24</f>
        <v>286</v>
      </c>
      <c r="J24" s="81" t="n">
        <f aca="false">IF(L24&gt;0,L24,0)</f>
        <v>0</v>
      </c>
      <c r="K24" s="56" t="n">
        <f aca="false">I24+J24</f>
        <v>286</v>
      </c>
      <c r="L24" s="56" t="n">
        <f aca="false">F24-(I24-W24)</f>
        <v>-26.1630955381901</v>
      </c>
      <c r="M24" s="56" t="n">
        <v>114</v>
      </c>
      <c r="N24" s="56" t="n">
        <f aca="false">(13+14)*1.05</f>
        <v>28.35</v>
      </c>
      <c r="O24" s="56" t="n">
        <f aca="false">M24-N24</f>
        <v>85.65</v>
      </c>
      <c r="P24" s="56" t="n">
        <v>24</v>
      </c>
      <c r="Q24" s="103" t="n">
        <v>29</v>
      </c>
      <c r="R24" s="56" t="n">
        <f aca="false">SUM(O24:Q24)</f>
        <v>138.65</v>
      </c>
      <c r="S24" s="57" t="n">
        <f aca="false">(I24-R24)+S23</f>
        <v>21988.6515809175</v>
      </c>
      <c r="T24" s="56" t="n">
        <f aca="false">(AD24-AD23)/$D$2</f>
        <v>0</v>
      </c>
      <c r="U24" s="56" t="n">
        <v>52</v>
      </c>
      <c r="V24" s="57" t="n">
        <f aca="false">V23-U24</f>
        <v>6979.61887068314</v>
      </c>
      <c r="W24" s="56" t="n">
        <f aca="false">R24+T24+N24+U24</f>
        <v>219</v>
      </c>
      <c r="X24" s="56" t="n">
        <f aca="false">IF(L24&lt;0,L24*-1,0)</f>
        <v>26.1630955381901</v>
      </c>
      <c r="Y24" s="56" t="n">
        <f aca="false">W24+X24</f>
        <v>245.16309553819</v>
      </c>
      <c r="Z24" s="60" t="n">
        <v>0</v>
      </c>
      <c r="AA24" s="90" t="n">
        <v>69</v>
      </c>
      <c r="AB24" s="61" t="n">
        <v>35</v>
      </c>
      <c r="AC24" s="62" t="n">
        <f aca="false">AC23+1</f>
        <v>15</v>
      </c>
      <c r="AD24" s="78"/>
      <c r="AE24" s="78"/>
      <c r="AF24" s="82"/>
    </row>
    <row r="25" customFormat="false" ht="11.1" hidden="false" customHeight="true" outlineLevel="0" collapsed="false">
      <c r="A25" s="62" t="n">
        <f aca="false">A24+1</f>
        <v>16</v>
      </c>
      <c r="B25" s="80" t="n">
        <v>6912.71</v>
      </c>
      <c r="C25" s="57" t="n">
        <v>332939</v>
      </c>
      <c r="D25" s="61" t="n">
        <f aca="false">C25-C24</f>
        <v>41</v>
      </c>
      <c r="E25" s="57" t="n">
        <f aca="false">C25-152000</f>
        <v>180939</v>
      </c>
      <c r="F25" s="56" t="n">
        <f aca="false">D25/$D$2</f>
        <v>20.6705318880766</v>
      </c>
      <c r="G25" s="56" t="n">
        <v>266</v>
      </c>
      <c r="H25" s="58" t="n">
        <v>14</v>
      </c>
      <c r="I25" s="56" t="n">
        <f aca="false">G25+H25</f>
        <v>280</v>
      </c>
      <c r="J25" s="81" t="n">
        <f aca="false">IF(L25&gt;0,L25,0)</f>
        <v>0</v>
      </c>
      <c r="K25" s="56" t="n">
        <f aca="false">I25+J25</f>
        <v>280</v>
      </c>
      <c r="L25" s="56" t="n">
        <f aca="false">F25-(I25-W25)</f>
        <v>-58.3294681119234</v>
      </c>
      <c r="M25" s="56" t="n">
        <v>100</v>
      </c>
      <c r="N25" s="56" t="n">
        <f aca="false">(9.5+8.6)*1.05</f>
        <v>19.005</v>
      </c>
      <c r="O25" s="56" t="n">
        <f aca="false">M25-N25</f>
        <v>80.995</v>
      </c>
      <c r="P25" s="56" t="n">
        <v>24</v>
      </c>
      <c r="Q25" s="56" t="n">
        <v>25</v>
      </c>
      <c r="R25" s="56" t="n">
        <f aca="false">SUM(O25:Q25)</f>
        <v>129.995</v>
      </c>
      <c r="S25" s="57" t="n">
        <f aca="false">(I25-R25)+S24</f>
        <v>22138.6565809175</v>
      </c>
      <c r="T25" s="56" t="n">
        <f aca="false">(AD25-AD24)/$D$2</f>
        <v>0</v>
      </c>
      <c r="U25" s="56" t="n">
        <v>52</v>
      </c>
      <c r="V25" s="57" t="n">
        <f aca="false">V24-U25</f>
        <v>6927.61887068313</v>
      </c>
      <c r="W25" s="56" t="n">
        <f aca="false">R25+T25+N25+U25</f>
        <v>201</v>
      </c>
      <c r="X25" s="56" t="n">
        <f aca="false">IF(L25&lt;0,L25*-1,0)</f>
        <v>58.3294681119234</v>
      </c>
      <c r="Y25" s="56" t="n">
        <f aca="false">W25+X25</f>
        <v>259.329468111923</v>
      </c>
      <c r="Z25" s="60" t="n">
        <v>0</v>
      </c>
      <c r="AA25" s="90" t="n">
        <v>71</v>
      </c>
      <c r="AB25" s="61" t="n">
        <v>38</v>
      </c>
      <c r="AC25" s="62" t="n">
        <f aca="false">AC24+1</f>
        <v>16</v>
      </c>
      <c r="AD25" s="78"/>
      <c r="AE25" s="78"/>
      <c r="AF25" s="82"/>
    </row>
    <row r="26" customFormat="false" ht="11.1" hidden="false" customHeight="true" outlineLevel="0" collapsed="false">
      <c r="A26" s="62" t="n">
        <f aca="false">A25+1</f>
        <v>17</v>
      </c>
      <c r="B26" s="80" t="n">
        <v>6912.76</v>
      </c>
      <c r="C26" s="57" t="n">
        <v>333143</v>
      </c>
      <c r="D26" s="61" t="n">
        <f aca="false">C26-C25</f>
        <v>204</v>
      </c>
      <c r="E26" s="57" t="n">
        <f aca="false">C26-152000</f>
        <v>181143</v>
      </c>
      <c r="F26" s="56" t="n">
        <f aca="false">D26/$D$2</f>
        <v>102.84850012604</v>
      </c>
      <c r="G26" s="56" t="n">
        <v>246</v>
      </c>
      <c r="H26" s="58" t="n">
        <v>13</v>
      </c>
      <c r="I26" s="56" t="n">
        <f aca="false">G26+H26</f>
        <v>259</v>
      </c>
      <c r="J26" s="81" t="n">
        <f aca="false">IF(L26&gt;0,L26,0)</f>
        <v>8.57850012603984</v>
      </c>
      <c r="K26" s="56" t="n">
        <f aca="false">I26+J26</f>
        <v>267.57850012604</v>
      </c>
      <c r="L26" s="56" t="n">
        <f aca="false">F26-(I26-W26)</f>
        <v>8.57850012603984</v>
      </c>
      <c r="M26" s="56" t="n">
        <v>67.73</v>
      </c>
      <c r="N26" s="56" t="n">
        <f aca="false">(2.74+3.2)*1.02</f>
        <v>6.0588</v>
      </c>
      <c r="O26" s="56" t="n">
        <f aca="false">M26-N26</f>
        <v>61.6712</v>
      </c>
      <c r="P26" s="56" t="n">
        <v>24</v>
      </c>
      <c r="Q26" s="56" t="n">
        <v>21</v>
      </c>
      <c r="R26" s="56" t="n">
        <f aca="false">SUM(O26:Q26)</f>
        <v>106.6712</v>
      </c>
      <c r="S26" s="57" t="n">
        <f aca="false">(I26-R26)+S25</f>
        <v>22290.9853809175</v>
      </c>
      <c r="T26" s="56" t="n">
        <f aca="false">(AD26-AD25)/$D$2</f>
        <v>0</v>
      </c>
      <c r="U26" s="56" t="n">
        <v>52</v>
      </c>
      <c r="V26" s="57" t="n">
        <f aca="false">V25-U26</f>
        <v>6875.61887068314</v>
      </c>
      <c r="W26" s="56" t="n">
        <f aca="false">R26+T26+N26+U26</f>
        <v>164.73</v>
      </c>
      <c r="X26" s="56" t="n">
        <f aca="false">IF(L26&lt;0,L26*-1,0)</f>
        <v>0</v>
      </c>
      <c r="Y26" s="56" t="n">
        <f aca="false">W26+X26</f>
        <v>164.73</v>
      </c>
      <c r="Z26" s="60" t="n">
        <v>0</v>
      </c>
      <c r="AA26" s="90" t="n">
        <v>70</v>
      </c>
      <c r="AB26" s="61" t="n">
        <v>38</v>
      </c>
      <c r="AC26" s="62" t="n">
        <f aca="false">AC25+1</f>
        <v>17</v>
      </c>
      <c r="AD26" s="78"/>
      <c r="AE26" s="78"/>
      <c r="AF26" s="82"/>
    </row>
    <row r="27" customFormat="false" ht="11.1" hidden="false" customHeight="true" outlineLevel="0" collapsed="false">
      <c r="A27" s="62" t="n">
        <f aca="false">A26+1</f>
        <v>18</v>
      </c>
      <c r="B27" s="80" t="n">
        <v>6912.78</v>
      </c>
      <c r="C27" s="57" t="n">
        <v>333224</v>
      </c>
      <c r="D27" s="61" t="n">
        <f aca="false">C27-C26</f>
        <v>81</v>
      </c>
      <c r="E27" s="57" t="n">
        <f aca="false">C27-152000</f>
        <v>181224</v>
      </c>
      <c r="F27" s="56" t="n">
        <f aca="false">D27/$D$2</f>
        <v>40.8369044618099</v>
      </c>
      <c r="G27" s="56" t="n">
        <v>231</v>
      </c>
      <c r="H27" s="58" t="n">
        <v>12</v>
      </c>
      <c r="I27" s="56" t="n">
        <f aca="false">G27+H27</f>
        <v>243</v>
      </c>
      <c r="J27" s="81" t="n">
        <f aca="false">IF(L27&gt;0,L27,0)</f>
        <v>0</v>
      </c>
      <c r="K27" s="56" t="n">
        <f aca="false">I27+J27</f>
        <v>243</v>
      </c>
      <c r="L27" s="56" t="n">
        <f aca="false">F27-(I27-W27)</f>
        <v>-52.0630955381901</v>
      </c>
      <c r="M27" s="56" t="n">
        <v>55.1</v>
      </c>
      <c r="N27" s="56" t="n">
        <v>0</v>
      </c>
      <c r="O27" s="56" t="n">
        <f aca="false">M27-N27</f>
        <v>55.1</v>
      </c>
      <c r="P27" s="56" t="n">
        <v>24</v>
      </c>
      <c r="Q27" s="56" t="n">
        <v>19</v>
      </c>
      <c r="R27" s="56" t="n">
        <f aca="false">SUM(O27:Q27)</f>
        <v>98.1</v>
      </c>
      <c r="S27" s="57" t="n">
        <f aca="false">(I27-R27)+S26</f>
        <v>22435.8853809175</v>
      </c>
      <c r="T27" s="56" t="n">
        <f aca="false">(AD27-AD26)/$D$2</f>
        <v>0</v>
      </c>
      <c r="U27" s="56" t="n">
        <v>52</v>
      </c>
      <c r="V27" s="57" t="n">
        <f aca="false">V26-U27</f>
        <v>6823.61887068313</v>
      </c>
      <c r="W27" s="56" t="n">
        <f aca="false">R27+T27+N27+U27</f>
        <v>150.1</v>
      </c>
      <c r="X27" s="56" t="n">
        <f aca="false">IF(L27&lt;0,L27*-1,0)</f>
        <v>52.0630955381901</v>
      </c>
      <c r="Y27" s="56" t="n">
        <f aca="false">W27+X27</f>
        <v>202.16309553819</v>
      </c>
      <c r="Z27" s="60" t="n">
        <v>0</v>
      </c>
      <c r="AA27" s="90" t="n">
        <v>70</v>
      </c>
      <c r="AB27" s="61" t="n">
        <v>38</v>
      </c>
      <c r="AC27" s="62" t="n">
        <f aca="false">AC26+1</f>
        <v>18</v>
      </c>
      <c r="AD27" s="78"/>
      <c r="AE27" s="78"/>
      <c r="AF27" s="82"/>
    </row>
    <row r="28" customFormat="false" ht="11.1" hidden="false" customHeight="true" outlineLevel="0" collapsed="false">
      <c r="A28" s="62" t="n">
        <f aca="false">A27+1</f>
        <v>19</v>
      </c>
      <c r="B28" s="80" t="n">
        <v>6912.8</v>
      </c>
      <c r="C28" s="97" t="n">
        <v>333306</v>
      </c>
      <c r="D28" s="61" t="n">
        <f aca="false">C28-C27</f>
        <v>82</v>
      </c>
      <c r="E28" s="57" t="n">
        <f aca="false">C28-152000</f>
        <v>181306</v>
      </c>
      <c r="F28" s="56" t="n">
        <f aca="false">D28/$D$2</f>
        <v>41.3410637761533</v>
      </c>
      <c r="G28" s="56" t="n">
        <v>216</v>
      </c>
      <c r="H28" s="58" t="n">
        <v>11</v>
      </c>
      <c r="I28" s="56" t="n">
        <f aca="false">G28+H28</f>
        <v>227</v>
      </c>
      <c r="J28" s="81" t="n">
        <f aca="false">IF(L28&gt;0,L28,0)</f>
        <v>0</v>
      </c>
      <c r="K28" s="56" t="n">
        <f aca="false">I28+J28</f>
        <v>227</v>
      </c>
      <c r="L28" s="56" t="n">
        <f aca="false">F28-(I28-W28)</f>
        <v>-35.5589362238467</v>
      </c>
      <c r="M28" s="56" t="n">
        <v>55.1</v>
      </c>
      <c r="N28" s="56" t="n">
        <v>0</v>
      </c>
      <c r="O28" s="56" t="n">
        <f aca="false">M28-N28</f>
        <v>55.1</v>
      </c>
      <c r="P28" s="56" t="n">
        <v>24</v>
      </c>
      <c r="Q28" s="56" t="n">
        <v>19</v>
      </c>
      <c r="R28" s="56" t="n">
        <f aca="false">SUM(O28:Q28)</f>
        <v>98.1</v>
      </c>
      <c r="S28" s="57" t="n">
        <f aca="false">(I28-R28)+S27</f>
        <v>22564.7853809175</v>
      </c>
      <c r="T28" s="56" t="n">
        <f aca="false">(AD28-AD27)/$D$2</f>
        <v>0</v>
      </c>
      <c r="U28" s="56" t="n">
        <v>52</v>
      </c>
      <c r="V28" s="57" t="n">
        <f aca="false">V27-U28</f>
        <v>6771.61887068313</v>
      </c>
      <c r="W28" s="56" t="n">
        <f aca="false">R28+T28+N28+U28</f>
        <v>150.1</v>
      </c>
      <c r="X28" s="56" t="n">
        <f aca="false">IF(L28&lt;0,L28*-1,0)</f>
        <v>35.5589362238467</v>
      </c>
      <c r="Y28" s="56" t="n">
        <f aca="false">W28+X28</f>
        <v>185.658936223847</v>
      </c>
      <c r="Z28" s="60" t="n">
        <v>0</v>
      </c>
      <c r="AA28" s="90" t="n">
        <v>71</v>
      </c>
      <c r="AB28" s="61" t="n">
        <v>37</v>
      </c>
      <c r="AC28" s="62" t="n">
        <f aca="false">AC27+1</f>
        <v>19</v>
      </c>
      <c r="AD28" s="78"/>
      <c r="AE28" s="78"/>
      <c r="AF28" s="82"/>
    </row>
    <row r="29" customFormat="false" ht="11.1" hidden="false" customHeight="true" outlineLevel="0" collapsed="false">
      <c r="A29" s="62" t="n">
        <f aca="false">A28+1</f>
        <v>20</v>
      </c>
      <c r="B29" s="80" t="n">
        <v>6912.8</v>
      </c>
      <c r="C29" s="57" t="n">
        <v>333306</v>
      </c>
      <c r="D29" s="61" t="n">
        <f aca="false">C29-C28</f>
        <v>0</v>
      </c>
      <c r="E29" s="57" t="n">
        <f aca="false">C29-152000</f>
        <v>181306</v>
      </c>
      <c r="F29" s="56" t="n">
        <f aca="false">D29/$D$2</f>
        <v>0</v>
      </c>
      <c r="G29" s="56" t="n">
        <v>202</v>
      </c>
      <c r="H29" s="58" t="n">
        <v>10</v>
      </c>
      <c r="I29" s="56" t="n">
        <f aca="false">G29+H29</f>
        <v>212</v>
      </c>
      <c r="J29" s="81" t="n">
        <f aca="false">IF(L29&gt;0,L29,0)</f>
        <v>0</v>
      </c>
      <c r="K29" s="56" t="n">
        <f aca="false">I29+J29</f>
        <v>212</v>
      </c>
      <c r="L29" s="56" t="n">
        <f aca="false">F29-(I29-W29)</f>
        <v>-39</v>
      </c>
      <c r="M29" s="56" t="n">
        <v>78</v>
      </c>
      <c r="N29" s="56" t="n">
        <f aca="false">(7.7+7.2)*1.05</f>
        <v>15.645</v>
      </c>
      <c r="O29" s="56" t="n">
        <f aca="false">M29-N29</f>
        <v>62.355</v>
      </c>
      <c r="P29" s="56" t="n">
        <v>24</v>
      </c>
      <c r="Q29" s="56" t="n">
        <v>19</v>
      </c>
      <c r="R29" s="56" t="n">
        <f aca="false">SUM(O29:Q29)</f>
        <v>105.355</v>
      </c>
      <c r="S29" s="57" t="n">
        <f aca="false">(I29-R29)+S28</f>
        <v>22671.4303809175</v>
      </c>
      <c r="T29" s="56" t="n">
        <f aca="false">(AD29-AD28)/$D$2</f>
        <v>0</v>
      </c>
      <c r="U29" s="56" t="n">
        <v>52</v>
      </c>
      <c r="V29" s="57" t="n">
        <f aca="false">V28-U29</f>
        <v>6719.61887068313</v>
      </c>
      <c r="W29" s="56" t="n">
        <f aca="false">R29+T29+N29+U29</f>
        <v>173</v>
      </c>
      <c r="X29" s="56" t="n">
        <f aca="false">IF(L29&lt;0,L29*-1,0)</f>
        <v>39</v>
      </c>
      <c r="Y29" s="56" t="n">
        <f aca="false">W29+X29</f>
        <v>212</v>
      </c>
      <c r="Z29" s="60" t="n">
        <v>0</v>
      </c>
      <c r="AA29" s="90" t="n">
        <v>64</v>
      </c>
      <c r="AB29" s="61" t="n">
        <v>35</v>
      </c>
      <c r="AC29" s="62" t="n">
        <f aca="false">AC28+1</f>
        <v>20</v>
      </c>
      <c r="AD29" s="78"/>
      <c r="AE29" s="78"/>
      <c r="AF29" s="82"/>
    </row>
    <row r="30" customFormat="false" ht="11.1" hidden="false" customHeight="true" outlineLevel="0" collapsed="false">
      <c r="A30" s="62" t="n">
        <f aca="false">A29+1</f>
        <v>21</v>
      </c>
      <c r="B30" s="80" t="n">
        <v>6912.81</v>
      </c>
      <c r="C30" s="57" t="n">
        <v>333347</v>
      </c>
      <c r="D30" s="61" t="n">
        <f aca="false">C30-C29</f>
        <v>41</v>
      </c>
      <c r="E30" s="57" t="n">
        <f aca="false">C30-152000</f>
        <v>181347</v>
      </c>
      <c r="F30" s="56" t="n">
        <f aca="false">D30/$D$2</f>
        <v>20.6705318880766</v>
      </c>
      <c r="G30" s="56" t="n">
        <v>191</v>
      </c>
      <c r="H30" s="58" t="n">
        <v>9.9</v>
      </c>
      <c r="I30" s="56" t="n">
        <f aca="false">G30+H30</f>
        <v>200.9</v>
      </c>
      <c r="J30" s="81" t="n">
        <f aca="false">IF(L30&gt;0,L30,0)</f>
        <v>0</v>
      </c>
      <c r="K30" s="56" t="n">
        <f aca="false">I30+J30</f>
        <v>200.9</v>
      </c>
      <c r="L30" s="56" t="n">
        <f aca="false">F30-(I30-W30)</f>
        <v>-15.8394681119234</v>
      </c>
      <c r="M30" s="56" t="n">
        <v>69.39</v>
      </c>
      <c r="N30" s="56" t="n">
        <f aca="false">(7+6.2)*1.05</f>
        <v>13.86</v>
      </c>
      <c r="O30" s="56" t="n">
        <f aca="false">M30-N30</f>
        <v>55.53</v>
      </c>
      <c r="P30" s="56" t="n">
        <v>24</v>
      </c>
      <c r="Q30" s="56" t="n">
        <v>19</v>
      </c>
      <c r="R30" s="56" t="n">
        <f aca="false">SUM(O30:Q30)</f>
        <v>98.53</v>
      </c>
      <c r="S30" s="57" t="n">
        <f aca="false">(I30-R30)+S29</f>
        <v>22773.8003809175</v>
      </c>
      <c r="T30" s="56" t="n">
        <f aca="false">(AD30-AD29)/$D$2</f>
        <v>0</v>
      </c>
      <c r="U30" s="56" t="n">
        <v>52</v>
      </c>
      <c r="V30" s="57" t="n">
        <f aca="false">V29-U30</f>
        <v>6667.61887068313</v>
      </c>
      <c r="W30" s="56" t="n">
        <f aca="false">R30+T30+N30+U30</f>
        <v>164.39</v>
      </c>
      <c r="X30" s="56" t="n">
        <f aca="false">IF(L30&lt;0,L30*-1,0)</f>
        <v>15.8394681119234</v>
      </c>
      <c r="Y30" s="56" t="n">
        <f aca="false">W30+X30</f>
        <v>180.229468111923</v>
      </c>
      <c r="Z30" s="60" t="n">
        <v>0</v>
      </c>
      <c r="AA30" s="61" t="n">
        <v>65</v>
      </c>
      <c r="AB30" s="61" t="n">
        <v>36</v>
      </c>
      <c r="AC30" s="62" t="n">
        <f aca="false">AC29+1</f>
        <v>21</v>
      </c>
      <c r="AD30" s="78"/>
      <c r="AE30" s="78"/>
      <c r="AF30" s="82"/>
    </row>
    <row r="31" customFormat="false" ht="11.1" hidden="false" customHeight="true" outlineLevel="0" collapsed="false">
      <c r="A31" s="62" t="n">
        <f aca="false">A30+1</f>
        <v>22</v>
      </c>
      <c r="B31" s="80" t="n">
        <v>6912.83</v>
      </c>
      <c r="C31" s="57" t="n">
        <v>333428</v>
      </c>
      <c r="D31" s="61" t="n">
        <f aca="false">C31-C30</f>
        <v>81</v>
      </c>
      <c r="E31" s="57" t="n">
        <f aca="false">C31-152000</f>
        <v>181428</v>
      </c>
      <c r="F31" s="56" t="n">
        <f aca="false">D31/$D$2</f>
        <v>40.8369044618099</v>
      </c>
      <c r="G31" s="56" t="n">
        <v>179</v>
      </c>
      <c r="H31" s="58" t="n">
        <v>9.5</v>
      </c>
      <c r="I31" s="56" t="n">
        <f aca="false">G31+H31</f>
        <v>188.5</v>
      </c>
      <c r="J31" s="81" t="n">
        <f aca="false">IF(L31&gt;0,L31,0)</f>
        <v>6.33690446180993</v>
      </c>
      <c r="K31" s="56" t="n">
        <f aca="false">I31+J31</f>
        <v>194.83690446181</v>
      </c>
      <c r="L31" s="56" t="n">
        <f aca="false">F31-(I31-W31)</f>
        <v>6.33690446180993</v>
      </c>
      <c r="M31" s="56" t="n">
        <v>59</v>
      </c>
      <c r="N31" s="56" t="n">
        <f aca="false">(1.62+2.5)*1.05</f>
        <v>4.326</v>
      </c>
      <c r="O31" s="56" t="n">
        <f aca="false">M31-N31</f>
        <v>54.674</v>
      </c>
      <c r="P31" s="56" t="n">
        <v>24</v>
      </c>
      <c r="Q31" s="56" t="n">
        <v>19</v>
      </c>
      <c r="R31" s="56" t="n">
        <f aca="false">SUM(O31:Q31)</f>
        <v>97.674</v>
      </c>
      <c r="S31" s="57" t="n">
        <f aca="false">(I31-R31)+S30</f>
        <v>22864.6263809175</v>
      </c>
      <c r="T31" s="56" t="n">
        <f aca="false">(AD31-AD30)/$D$2</f>
        <v>0</v>
      </c>
      <c r="U31" s="56" t="n">
        <v>52</v>
      </c>
      <c r="V31" s="57" t="n">
        <f aca="false">V30-U31</f>
        <v>6615.61887068313</v>
      </c>
      <c r="W31" s="56" t="n">
        <f aca="false">R31+T31+N31+U31</f>
        <v>154</v>
      </c>
      <c r="X31" s="56" t="n">
        <f aca="false">IF(L31&lt;0,L31*-1,0)</f>
        <v>0</v>
      </c>
      <c r="Y31" s="56" t="n">
        <f aca="false">W31+X31</f>
        <v>154</v>
      </c>
      <c r="Z31" s="60" t="n">
        <v>0</v>
      </c>
      <c r="AA31" s="61" t="n">
        <v>62</v>
      </c>
      <c r="AB31" s="61" t="n">
        <v>36</v>
      </c>
      <c r="AC31" s="62" t="n">
        <f aca="false">AC30+1</f>
        <v>22</v>
      </c>
      <c r="AD31" s="78"/>
      <c r="AE31" s="78"/>
      <c r="AF31" s="82"/>
      <c r="AG31" s="132"/>
      <c r="AH31" s="132"/>
      <c r="AI31" s="132"/>
    </row>
    <row r="32" customFormat="false" ht="11.1" hidden="false" customHeight="true" outlineLevel="0" collapsed="false">
      <c r="A32" s="62" t="n">
        <f aca="false">A31+1</f>
        <v>23</v>
      </c>
      <c r="B32" s="80" t="n">
        <v>6912.8</v>
      </c>
      <c r="C32" s="57" t="n">
        <v>333306</v>
      </c>
      <c r="D32" s="61" t="n">
        <f aca="false">C32-C31</f>
        <v>-122</v>
      </c>
      <c r="E32" s="57" t="n">
        <f aca="false">C32-152000</f>
        <v>181306</v>
      </c>
      <c r="F32" s="56" t="n">
        <f aca="false">D32/$D$2</f>
        <v>-61.5074363498866</v>
      </c>
      <c r="G32" s="56" t="n">
        <v>170</v>
      </c>
      <c r="H32" s="58" t="n">
        <v>9.4</v>
      </c>
      <c r="I32" s="56" t="n">
        <f aca="false">G32+H32</f>
        <v>179.4</v>
      </c>
      <c r="J32" s="81" t="n">
        <f aca="false">IF(L32&gt;0,L32,0)</f>
        <v>0</v>
      </c>
      <c r="K32" s="56" t="n">
        <f aca="false">I32+J32</f>
        <v>179.4</v>
      </c>
      <c r="L32" s="56" t="n">
        <f aca="false">F32-(I32-W32)</f>
        <v>-54.1074363498866</v>
      </c>
      <c r="M32" s="56" t="n">
        <v>90.8</v>
      </c>
      <c r="N32" s="56" t="n">
        <f aca="false">(7.9+8.2)*1.05</f>
        <v>16.905</v>
      </c>
      <c r="O32" s="56" t="n">
        <f aca="false">M32-N32</f>
        <v>73.895</v>
      </c>
      <c r="P32" s="56" t="n">
        <v>25</v>
      </c>
      <c r="Q32" s="56" t="n">
        <v>19</v>
      </c>
      <c r="R32" s="56" t="n">
        <f aca="false">SUM(O32:Q32)</f>
        <v>117.895</v>
      </c>
      <c r="S32" s="57" t="n">
        <f aca="false">(I32-R32)+S31</f>
        <v>22926.1313809175</v>
      </c>
      <c r="T32" s="56" t="n">
        <f aca="false">(AD32-AD31)/$D$2</f>
        <v>0</v>
      </c>
      <c r="U32" s="56" t="n">
        <v>52</v>
      </c>
      <c r="V32" s="57" t="n">
        <f aca="false">V31-U32</f>
        <v>6563.61887068313</v>
      </c>
      <c r="W32" s="56" t="n">
        <f aca="false">R32+T32+N32+U32</f>
        <v>186.8</v>
      </c>
      <c r="X32" s="56" t="n">
        <f aca="false">IF(L32&lt;0,L32*-1,0)</f>
        <v>54.1074363498866</v>
      </c>
      <c r="Y32" s="56" t="n">
        <f aca="false">W32+X32</f>
        <v>240.907436349887</v>
      </c>
      <c r="Z32" s="60" t="n">
        <v>0</v>
      </c>
      <c r="AA32" s="61" t="n">
        <v>55</v>
      </c>
      <c r="AB32" s="90" t="n">
        <v>34</v>
      </c>
      <c r="AC32" s="62" t="n">
        <f aca="false">AC31+1</f>
        <v>23</v>
      </c>
      <c r="AD32" s="78"/>
      <c r="AE32" s="78"/>
      <c r="AF32" s="82"/>
    </row>
    <row r="33" customFormat="false" ht="11.1" hidden="false" customHeight="true" outlineLevel="0" collapsed="false">
      <c r="A33" s="62" t="n">
        <f aca="false">A32+1</f>
        <v>24</v>
      </c>
      <c r="B33" s="80" t="n">
        <v>6912.83</v>
      </c>
      <c r="C33" s="57" t="n">
        <v>333428</v>
      </c>
      <c r="D33" s="61" t="n">
        <f aca="false">C33-C32</f>
        <v>122</v>
      </c>
      <c r="E33" s="57" t="n">
        <f aca="false">C33-152000</f>
        <v>181428</v>
      </c>
      <c r="F33" s="56" t="n">
        <f aca="false">D33/$D$2</f>
        <v>61.5074363498866</v>
      </c>
      <c r="G33" s="56" t="n">
        <v>190</v>
      </c>
      <c r="H33" s="58" t="n">
        <v>11</v>
      </c>
      <c r="I33" s="56" t="n">
        <f aca="false">G33+H33</f>
        <v>201</v>
      </c>
      <c r="J33" s="81" t="n">
        <f aca="false">IF(L33&gt;0,L33,0)</f>
        <v>31.5774363498866</v>
      </c>
      <c r="K33" s="56" t="n">
        <f aca="false">I33+J33</f>
        <v>232.577436349887</v>
      </c>
      <c r="L33" s="56" t="n">
        <f aca="false">F33-(I33-W33)</f>
        <v>31.5774363498866</v>
      </c>
      <c r="M33" s="56" t="n">
        <v>74.07</v>
      </c>
      <c r="N33" s="56" t="n">
        <f aca="false">(6.8+6.9)*1.05</f>
        <v>14.385</v>
      </c>
      <c r="O33" s="56" t="n">
        <f aca="false">M33-N33</f>
        <v>59.685</v>
      </c>
      <c r="P33" s="56" t="n">
        <v>27</v>
      </c>
      <c r="Q33" s="56" t="n">
        <v>18</v>
      </c>
      <c r="R33" s="56" t="n">
        <f aca="false">SUM(O33:Q33)</f>
        <v>104.685</v>
      </c>
      <c r="S33" s="57" t="n">
        <f aca="false">(I33-R33)+S32</f>
        <v>23022.4463809175</v>
      </c>
      <c r="T33" s="56" t="n">
        <f aca="false">(AD33-AD32)/$D$2</f>
        <v>0</v>
      </c>
      <c r="U33" s="56" t="n">
        <v>52</v>
      </c>
      <c r="V33" s="57" t="n">
        <f aca="false">V32-U33</f>
        <v>6511.61887068314</v>
      </c>
      <c r="W33" s="56" t="n">
        <f aca="false">R33+T33+N33+U33</f>
        <v>171.07</v>
      </c>
      <c r="X33" s="56" t="n">
        <f aca="false">IF(L33&lt;0,L33*-1,0)</f>
        <v>0</v>
      </c>
      <c r="Y33" s="56" t="n">
        <f aca="false">W33+X33</f>
        <v>171.07</v>
      </c>
      <c r="Z33" s="60" t="n">
        <v>0</v>
      </c>
      <c r="AA33" s="61" t="n">
        <v>44</v>
      </c>
      <c r="AB33" s="90" t="n">
        <v>28</v>
      </c>
      <c r="AC33" s="62" t="n">
        <f aca="false">AC32+1</f>
        <v>24</v>
      </c>
      <c r="AD33" s="78"/>
      <c r="AE33" s="78"/>
      <c r="AF33" s="82"/>
    </row>
    <row r="34" customFormat="false" ht="11.1" hidden="false" customHeight="true" outlineLevel="0" collapsed="false">
      <c r="A34" s="62" t="n">
        <v>25</v>
      </c>
      <c r="B34" s="80" t="n">
        <v>6912.83</v>
      </c>
      <c r="C34" s="57" t="n">
        <v>333428</v>
      </c>
      <c r="D34" s="61" t="n">
        <f aca="false">C34-C33</f>
        <v>0</v>
      </c>
      <c r="E34" s="57" t="n">
        <f aca="false">C34-152000</f>
        <v>181428</v>
      </c>
      <c r="F34" s="56" t="n">
        <f aca="false">D34/$D$2</f>
        <v>0</v>
      </c>
      <c r="G34" s="56" t="n">
        <v>159</v>
      </c>
      <c r="H34" s="58" t="n">
        <v>11</v>
      </c>
      <c r="I34" s="56" t="n">
        <f aca="false">G34+H34</f>
        <v>170</v>
      </c>
      <c r="J34" s="81" t="n">
        <f aca="false">IF(L34&gt;0,L34,0)</f>
        <v>0</v>
      </c>
      <c r="K34" s="56" t="n">
        <f aca="false">I34+J34</f>
        <v>170</v>
      </c>
      <c r="L34" s="56" t="n">
        <f aca="false">F34-(I34-W34)</f>
        <v>-16.1</v>
      </c>
      <c r="M34" s="56" t="n">
        <v>56.9</v>
      </c>
      <c r="N34" s="56" t="n">
        <v>0</v>
      </c>
      <c r="O34" s="56" t="n">
        <f aca="false">M34-N34</f>
        <v>56.9</v>
      </c>
      <c r="P34" s="56" t="n">
        <v>27</v>
      </c>
      <c r="Q34" s="56" t="n">
        <v>18</v>
      </c>
      <c r="R34" s="56" t="n">
        <f aca="false">SUM(O34:Q34)</f>
        <v>101.9</v>
      </c>
      <c r="S34" s="57" t="n">
        <f aca="false">(I34-R34)+S33</f>
        <v>23090.5463809175</v>
      </c>
      <c r="T34" s="56" t="n">
        <f aca="false">(AD34-AD33)/$D$2</f>
        <v>0</v>
      </c>
      <c r="U34" s="56" t="n">
        <v>52</v>
      </c>
      <c r="V34" s="57" t="n">
        <f aca="false">V33-U34</f>
        <v>6459.61887068313</v>
      </c>
      <c r="W34" s="56" t="n">
        <f aca="false">R34+T34+N34+U34</f>
        <v>153.9</v>
      </c>
      <c r="X34" s="56" t="n">
        <f aca="false">IF(L34&lt;0,L34*-1,0)</f>
        <v>16.1</v>
      </c>
      <c r="Y34" s="56" t="n">
        <f aca="false">W34+X34</f>
        <v>170</v>
      </c>
      <c r="Z34" s="60" t="n">
        <v>0.34</v>
      </c>
      <c r="AA34" s="61" t="n">
        <v>40</v>
      </c>
      <c r="AB34" s="90" t="n">
        <v>21</v>
      </c>
      <c r="AC34" s="62" t="n">
        <v>25</v>
      </c>
      <c r="AD34" s="78"/>
      <c r="AE34" s="78"/>
      <c r="AF34" s="82"/>
    </row>
    <row r="35" customFormat="false" ht="11.1" hidden="false" customHeight="true" outlineLevel="0" collapsed="false">
      <c r="A35" s="62" t="n">
        <v>26</v>
      </c>
      <c r="B35" s="80" t="n">
        <v>6912.81</v>
      </c>
      <c r="C35" s="57" t="n">
        <v>333347</v>
      </c>
      <c r="D35" s="61" t="n">
        <f aca="false">C35-C34</f>
        <v>-81</v>
      </c>
      <c r="E35" s="57" t="n">
        <f aca="false">C35-152000</f>
        <v>181347</v>
      </c>
      <c r="F35" s="56" t="n">
        <f aca="false">D35/$D$2</f>
        <v>-40.8369044618099</v>
      </c>
      <c r="G35" s="56" t="n">
        <v>142</v>
      </c>
      <c r="H35" s="58" t="n">
        <v>8.4</v>
      </c>
      <c r="I35" s="56" t="n">
        <f aca="false">G35+H35</f>
        <v>150.4</v>
      </c>
      <c r="J35" s="81" t="n">
        <f aca="false">IF(L35&gt;0,L35,0)</f>
        <v>0</v>
      </c>
      <c r="K35" s="56" t="n">
        <f aca="false">I35+J35</f>
        <v>150.4</v>
      </c>
      <c r="L35" s="56" t="n">
        <f aca="false">F35-(I35-W35)</f>
        <v>-38.3369044618099</v>
      </c>
      <c r="M35" s="56" t="n">
        <v>56.9</v>
      </c>
      <c r="N35" s="56" t="n">
        <f aca="false">(0.62+0.56)*1.05</f>
        <v>1.239</v>
      </c>
      <c r="O35" s="56" t="n">
        <f aca="false">M35-N35</f>
        <v>55.661</v>
      </c>
      <c r="P35" s="56" t="n">
        <v>27</v>
      </c>
      <c r="Q35" s="56" t="n">
        <v>17</v>
      </c>
      <c r="R35" s="56" t="n">
        <f aca="false">SUM(O35:Q35)</f>
        <v>99.661</v>
      </c>
      <c r="S35" s="57" t="n">
        <f aca="false">(I35-R35)+S34</f>
        <v>23141.2853809175</v>
      </c>
      <c r="T35" s="56" t="n">
        <f aca="false">(AD35-AD34)/$D$2</f>
        <v>0</v>
      </c>
      <c r="U35" s="56" t="n">
        <v>52</v>
      </c>
      <c r="V35" s="57" t="n">
        <f aca="false">V34-U35</f>
        <v>6407.61887068314</v>
      </c>
      <c r="W35" s="56" t="n">
        <f aca="false">R35+T35+N35+U35</f>
        <v>152.9</v>
      </c>
      <c r="X35" s="56" t="n">
        <f aca="false">IF(L35&lt;0,L35*-1,0)</f>
        <v>38.3369044618099</v>
      </c>
      <c r="Y35" s="56" t="n">
        <f aca="false">W35+X35</f>
        <v>191.23690446181</v>
      </c>
      <c r="Z35" s="60" t="n">
        <v>0</v>
      </c>
      <c r="AA35" s="61" t="n">
        <v>49</v>
      </c>
      <c r="AB35" s="90" t="n">
        <v>16</v>
      </c>
      <c r="AC35" s="62" t="n">
        <v>26</v>
      </c>
      <c r="AD35" s="78"/>
      <c r="AE35" s="78"/>
      <c r="AF35" s="82"/>
    </row>
    <row r="36" customFormat="false" ht="11.1" hidden="false" customHeight="true" outlineLevel="0" collapsed="false">
      <c r="A36" s="62" t="n">
        <v>27</v>
      </c>
      <c r="B36" s="80" t="n">
        <v>6912.8</v>
      </c>
      <c r="C36" s="57" t="n">
        <v>333306</v>
      </c>
      <c r="D36" s="61" t="n">
        <f aca="false">C36-C35</f>
        <v>-41</v>
      </c>
      <c r="E36" s="57" t="n">
        <f aca="false">C36-152000</f>
        <v>181306</v>
      </c>
      <c r="F36" s="56" t="n">
        <f aca="false">D36/$D$2</f>
        <v>-20.6705318880766</v>
      </c>
      <c r="G36" s="56" t="n">
        <v>166</v>
      </c>
      <c r="H36" s="58" t="n">
        <v>9.4</v>
      </c>
      <c r="I36" s="56" t="n">
        <f aca="false">G36+H36</f>
        <v>175.4</v>
      </c>
      <c r="J36" s="81" t="n">
        <f aca="false">IF(L36&gt;0,L36,0)</f>
        <v>0</v>
      </c>
      <c r="K36" s="56" t="n">
        <f aca="false">I36+J36</f>
        <v>175.4</v>
      </c>
      <c r="L36" s="56" t="n">
        <f aca="false">F36-(I36-W36)</f>
        <v>-51.3405318880766</v>
      </c>
      <c r="M36" s="56" t="n">
        <v>66.73</v>
      </c>
      <c r="N36" s="56" t="n">
        <f aca="false">(10.65+11.24)*1.05</f>
        <v>22.9845</v>
      </c>
      <c r="O36" s="56" t="n">
        <f aca="false">M36-N36</f>
        <v>43.7455</v>
      </c>
      <c r="P36" s="56" t="n">
        <v>10</v>
      </c>
      <c r="Q36" s="56" t="n">
        <v>16</v>
      </c>
      <c r="R36" s="56" t="n">
        <f aca="false">SUM(O36:Q36)</f>
        <v>69.7455</v>
      </c>
      <c r="S36" s="57" t="n">
        <f aca="false">(I36-R36)+S35</f>
        <v>23246.9398809175</v>
      </c>
      <c r="T36" s="56" t="n">
        <f aca="false">(AD36-AD35)/$D$2</f>
        <v>0</v>
      </c>
      <c r="U36" s="56" t="n">
        <v>52</v>
      </c>
      <c r="V36" s="57" t="n">
        <f aca="false">V35-U36</f>
        <v>6355.61887068313</v>
      </c>
      <c r="W36" s="56" t="n">
        <f aca="false">R36+T36+N36+U36</f>
        <v>144.73</v>
      </c>
      <c r="X36" s="56" t="n">
        <f aca="false">IF(L36&lt;0,L36*-1,0)</f>
        <v>51.3405318880766</v>
      </c>
      <c r="Y36" s="56" t="n">
        <f aca="false">W36+X36</f>
        <v>196.070531888077</v>
      </c>
      <c r="Z36" s="60" t="n">
        <v>0</v>
      </c>
      <c r="AA36" s="61" t="n">
        <v>55</v>
      </c>
      <c r="AB36" s="90" t="n">
        <v>24</v>
      </c>
      <c r="AC36" s="62" t="n">
        <v>27</v>
      </c>
      <c r="AD36" s="78"/>
      <c r="AE36" s="78"/>
      <c r="AF36" s="82"/>
    </row>
    <row r="37" customFormat="false" ht="11.1" hidden="false" customHeight="true" outlineLevel="0" collapsed="false">
      <c r="A37" s="62" t="n">
        <v>28</v>
      </c>
      <c r="B37" s="80" t="n">
        <v>6912.85</v>
      </c>
      <c r="C37" s="57" t="n">
        <v>333510</v>
      </c>
      <c r="D37" s="61" t="n">
        <f aca="false">C37-C36</f>
        <v>204</v>
      </c>
      <c r="E37" s="57" t="n">
        <f aca="false">C37-152000</f>
        <v>181510</v>
      </c>
      <c r="F37" s="56" t="n">
        <f aca="false">D37/$D$2</f>
        <v>102.84850012604</v>
      </c>
      <c r="G37" s="56" t="n">
        <v>171</v>
      </c>
      <c r="H37" s="58" t="n">
        <v>11</v>
      </c>
      <c r="I37" s="56" t="n">
        <f aca="false">G37+H37</f>
        <v>182</v>
      </c>
      <c r="J37" s="81" t="n">
        <f aca="false">IF(L37&gt;0,L37,0)</f>
        <v>58.8485001260398</v>
      </c>
      <c r="K37" s="56" t="n">
        <f aca="false">I37+J37</f>
        <v>240.84850012604</v>
      </c>
      <c r="L37" s="56" t="n">
        <f aca="false">F37-(I37-W37)</f>
        <v>58.8485001260398</v>
      </c>
      <c r="M37" s="56" t="n">
        <v>72</v>
      </c>
      <c r="N37" s="56" t="n">
        <f aca="false">(18+16)*1.05</f>
        <v>35.7</v>
      </c>
      <c r="O37" s="56" t="n">
        <f aca="false">M37-N37</f>
        <v>36.3</v>
      </c>
      <c r="P37" s="56" t="n">
        <v>0</v>
      </c>
      <c r="Q37" s="56" t="n">
        <v>14</v>
      </c>
      <c r="R37" s="56" t="n">
        <f aca="false">SUM(O37:Q37)</f>
        <v>50.3</v>
      </c>
      <c r="S37" s="57" t="n">
        <f aca="false">(I37-R37)+S36</f>
        <v>23378.6398809175</v>
      </c>
      <c r="T37" s="56" t="n">
        <f aca="false">(AD37-AD36)/$D$2</f>
        <v>0</v>
      </c>
      <c r="U37" s="56" t="n">
        <v>52</v>
      </c>
      <c r="V37" s="57" t="n">
        <f aca="false">V36-U37</f>
        <v>6303.61887068313</v>
      </c>
      <c r="W37" s="56" t="n">
        <f aca="false">R37+T37+N37+U37</f>
        <v>138</v>
      </c>
      <c r="X37" s="56" t="n">
        <f aca="false">IF(L37&lt;0,L37*-1,0)</f>
        <v>0</v>
      </c>
      <c r="Y37" s="56" t="n">
        <f aca="false">W37+X37</f>
        <v>138</v>
      </c>
      <c r="Z37" s="60" t="n">
        <v>0</v>
      </c>
      <c r="AA37" s="61" t="n">
        <v>58</v>
      </c>
      <c r="AB37" s="90" t="n">
        <v>26</v>
      </c>
      <c r="AC37" s="62" t="n">
        <v>28</v>
      </c>
      <c r="AD37" s="78"/>
      <c r="AE37" s="78"/>
      <c r="AF37" s="82"/>
    </row>
    <row r="38" customFormat="false" ht="11.1" hidden="false" customHeight="true" outlineLevel="0" collapsed="false">
      <c r="A38" s="62" t="n">
        <v>29</v>
      </c>
      <c r="B38" s="80" t="n">
        <v>6912.85</v>
      </c>
      <c r="C38" s="57" t="n">
        <v>333510</v>
      </c>
      <c r="D38" s="61" t="n">
        <f aca="false">C38-C37</f>
        <v>0</v>
      </c>
      <c r="E38" s="57" t="n">
        <f aca="false">C38-152000</f>
        <v>181510</v>
      </c>
      <c r="F38" s="56" t="n">
        <f aca="false">D38/$D$2</f>
        <v>0</v>
      </c>
      <c r="G38" s="56" t="n">
        <v>163</v>
      </c>
      <c r="H38" s="58" t="n">
        <v>11</v>
      </c>
      <c r="I38" s="56" t="n">
        <f aca="false">G38+H38</f>
        <v>174</v>
      </c>
      <c r="J38" s="81" t="n">
        <f aca="false">IF(L38&gt;0,L38,0)</f>
        <v>0</v>
      </c>
      <c r="K38" s="56" t="n">
        <f aca="false">I38+J38</f>
        <v>174</v>
      </c>
      <c r="L38" s="56" t="n">
        <f aca="false">F38-(I38-W38)</f>
        <v>-33.11</v>
      </c>
      <c r="M38" s="56" t="n">
        <v>74.89</v>
      </c>
      <c r="N38" s="56" t="n">
        <f aca="false">(18.4+19.35)*1.05</f>
        <v>39.6375</v>
      </c>
      <c r="O38" s="56" t="n">
        <f aca="false">M38-N38</f>
        <v>35.2525</v>
      </c>
      <c r="P38" s="56" t="n">
        <v>0</v>
      </c>
      <c r="Q38" s="56" t="n">
        <v>14</v>
      </c>
      <c r="R38" s="56" t="n">
        <f aca="false">SUM(O38:Q38)</f>
        <v>49.2525</v>
      </c>
      <c r="S38" s="57" t="n">
        <f aca="false">(I38-R38)+S37</f>
        <v>23503.3873809175</v>
      </c>
      <c r="T38" s="56" t="n">
        <f aca="false">(AD38-AD37)/$D$2</f>
        <v>0</v>
      </c>
      <c r="U38" s="56" t="n">
        <v>52</v>
      </c>
      <c r="V38" s="57" t="n">
        <f aca="false">V37-U38</f>
        <v>6251.61887068313</v>
      </c>
      <c r="W38" s="56" t="n">
        <f aca="false">R38+T38+N38+U38</f>
        <v>140.89</v>
      </c>
      <c r="X38" s="56" t="n">
        <f aca="false">IF(L38&lt;0,L38*-1,0)</f>
        <v>33.11</v>
      </c>
      <c r="Y38" s="56" t="n">
        <f aca="false">W38+X38</f>
        <v>174</v>
      </c>
      <c r="Z38" s="60" t="n">
        <v>0</v>
      </c>
      <c r="AA38" s="61" t="n">
        <v>57</v>
      </c>
      <c r="AB38" s="90" t="n">
        <v>27</v>
      </c>
      <c r="AC38" s="62" t="n">
        <v>29</v>
      </c>
      <c r="AD38" s="78"/>
      <c r="AE38" s="78"/>
      <c r="AF38" s="82"/>
    </row>
    <row r="39" customFormat="false" ht="11.1" hidden="false" customHeight="true" outlineLevel="0" collapsed="false">
      <c r="A39" s="62" t="n">
        <v>30</v>
      </c>
      <c r="B39" s="80" t="n">
        <v>6912.85</v>
      </c>
      <c r="C39" s="57" t="n">
        <v>333510</v>
      </c>
      <c r="D39" s="61" t="n">
        <f aca="false">C39-C38</f>
        <v>0</v>
      </c>
      <c r="E39" s="57" t="n">
        <f aca="false">C39-152000</f>
        <v>181510</v>
      </c>
      <c r="F39" s="56" t="n">
        <f aca="false">D39/$D$2</f>
        <v>0</v>
      </c>
      <c r="G39" s="56" t="n">
        <v>156</v>
      </c>
      <c r="H39" s="58" t="n">
        <v>10</v>
      </c>
      <c r="I39" s="56" t="n">
        <f aca="false">G39+H39</f>
        <v>166</v>
      </c>
      <c r="J39" s="81" t="n">
        <f aca="false">IF(L39&gt;0,L39,0)</f>
        <v>0</v>
      </c>
      <c r="K39" s="56" t="n">
        <f aca="false">I39+J39</f>
        <v>166</v>
      </c>
      <c r="L39" s="56" t="n">
        <f aca="false">F39-(I39-W39)</f>
        <v>-25.11</v>
      </c>
      <c r="M39" s="56" t="n">
        <v>74.89</v>
      </c>
      <c r="N39" s="56" t="n">
        <f aca="false">(18.7+18.85)*1.05</f>
        <v>39.4275</v>
      </c>
      <c r="O39" s="56" t="n">
        <f aca="false">M39-N39</f>
        <v>35.4625</v>
      </c>
      <c r="P39" s="56" t="n">
        <v>0</v>
      </c>
      <c r="Q39" s="56" t="n">
        <v>14</v>
      </c>
      <c r="R39" s="56" t="n">
        <f aca="false">SUM(O39:Q39)</f>
        <v>49.4625</v>
      </c>
      <c r="S39" s="57" t="n">
        <f aca="false">(I39-R39)+S38</f>
        <v>23619.9248809175</v>
      </c>
      <c r="T39" s="56" t="n">
        <f aca="false">(AD39-AD38)/$D$2</f>
        <v>0</v>
      </c>
      <c r="U39" s="56" t="n">
        <v>52</v>
      </c>
      <c r="V39" s="57" t="n">
        <f aca="false">V38-U39</f>
        <v>6199.61887068313</v>
      </c>
      <c r="W39" s="56" t="n">
        <f aca="false">R39+T39+N39+U39</f>
        <v>140.89</v>
      </c>
      <c r="X39" s="56" t="n">
        <f aca="false">IF(L39&lt;0,L39*-1,0)</f>
        <v>25.11</v>
      </c>
      <c r="Y39" s="56" t="n">
        <f aca="false">W39+X39</f>
        <v>166</v>
      </c>
      <c r="Z39" s="60" t="n">
        <v>0</v>
      </c>
      <c r="AA39" s="61" t="n">
        <v>60</v>
      </c>
      <c r="AB39" s="90" t="n">
        <v>28</v>
      </c>
      <c r="AC39" s="62" t="n">
        <v>30</v>
      </c>
      <c r="AD39" s="78"/>
      <c r="AE39" s="78"/>
      <c r="AF39" s="82"/>
    </row>
    <row r="40" customFormat="false" ht="11.1" hidden="false" customHeight="true" outlineLevel="0" collapsed="false">
      <c r="A40" s="62" t="n">
        <v>31</v>
      </c>
      <c r="B40" s="80" t="n">
        <v>6912.85</v>
      </c>
      <c r="C40" s="57" t="n">
        <v>333510</v>
      </c>
      <c r="D40" s="61" t="n">
        <f aca="false">C40-C39</f>
        <v>0</v>
      </c>
      <c r="E40" s="57" t="n">
        <f aca="false">C40-152000</f>
        <v>181510</v>
      </c>
      <c r="F40" s="56" t="n">
        <f aca="false">D40/$D$2</f>
        <v>0</v>
      </c>
      <c r="G40" s="56" t="n">
        <v>152</v>
      </c>
      <c r="H40" s="58" t="n">
        <v>10</v>
      </c>
      <c r="I40" s="56" t="n">
        <f aca="false">G40+H40</f>
        <v>162</v>
      </c>
      <c r="J40" s="81" t="n">
        <f aca="false">IF(L40&gt;0,L40,0)</f>
        <v>0</v>
      </c>
      <c r="K40" s="56" t="n">
        <f aca="false">I40+J40</f>
        <v>162</v>
      </c>
      <c r="L40" s="56" t="n">
        <f aca="false">F40-(I40-W40)</f>
        <v>-41</v>
      </c>
      <c r="M40" s="56" t="n">
        <v>55</v>
      </c>
      <c r="N40" s="56" t="n">
        <f aca="false">(9.37+10.14)*1.05</f>
        <v>20.4855</v>
      </c>
      <c r="O40" s="56" t="n">
        <f aca="false">M40-N40</f>
        <v>34.5145</v>
      </c>
      <c r="P40" s="56" t="n">
        <v>0</v>
      </c>
      <c r="Q40" s="56" t="n">
        <v>14</v>
      </c>
      <c r="R40" s="56" t="n">
        <f aca="false">SUM(O40:Q40)</f>
        <v>48.5145</v>
      </c>
      <c r="S40" s="57" t="n">
        <f aca="false">(I40-R40)+S39</f>
        <v>23733.4103809175</v>
      </c>
      <c r="T40" s="56" t="n">
        <f aca="false">(AD40-AD39)/$D$2</f>
        <v>0</v>
      </c>
      <c r="U40" s="56" t="n">
        <v>52</v>
      </c>
      <c r="V40" s="57" t="n">
        <f aca="false">V39-U40</f>
        <v>6147.61887068313</v>
      </c>
      <c r="W40" s="56" t="n">
        <f aca="false">R40+T40+N40+U40</f>
        <v>121</v>
      </c>
      <c r="X40" s="56" t="n">
        <f aca="false">IF(L40&lt;0,L40*-1,0)</f>
        <v>41</v>
      </c>
      <c r="Y40" s="56" t="n">
        <f aca="false">W40+X40</f>
        <v>162</v>
      </c>
      <c r="Z40" s="60" t="n">
        <v>0</v>
      </c>
      <c r="AA40" s="61" t="n">
        <v>64</v>
      </c>
      <c r="AB40" s="90" t="n">
        <v>31</v>
      </c>
      <c r="AC40" s="62" t="n">
        <v>31</v>
      </c>
      <c r="AD40" s="78"/>
      <c r="AE40" s="78"/>
      <c r="AF40" s="82"/>
    </row>
    <row r="41" customFormat="false" ht="3" hidden="false" customHeight="true" outlineLevel="0" collapsed="false">
      <c r="A41" s="83"/>
      <c r="B41" s="83"/>
      <c r="C41" s="85"/>
      <c r="D41" s="83"/>
      <c r="E41" s="85"/>
      <c r="F41" s="83"/>
      <c r="G41" s="83"/>
      <c r="H41" s="86"/>
      <c r="I41" s="83"/>
      <c r="J41" s="83"/>
      <c r="K41" s="83"/>
      <c r="L41" s="83"/>
      <c r="M41" s="83"/>
      <c r="N41" s="83"/>
      <c r="O41" s="83"/>
      <c r="P41" s="83"/>
      <c r="Q41" s="83"/>
      <c r="R41" s="83"/>
      <c r="S41" s="85"/>
      <c r="T41" s="83"/>
      <c r="U41" s="83"/>
      <c r="V41" s="83"/>
      <c r="W41" s="83"/>
      <c r="X41" s="83"/>
      <c r="Y41" s="83"/>
      <c r="Z41" s="87"/>
      <c r="AA41" s="88"/>
      <c r="AB41" s="88"/>
      <c r="AC41" s="89"/>
      <c r="AD41" s="78"/>
      <c r="AE41" s="78"/>
      <c r="AF41" s="79"/>
    </row>
    <row r="42" customFormat="false" ht="11.1" hidden="false" customHeight="true" outlineLevel="0" collapsed="false">
      <c r="A42" s="56" t="s">
        <v>45</v>
      </c>
      <c r="B42" s="56"/>
      <c r="C42" s="57"/>
      <c r="D42" s="57"/>
      <c r="E42" s="57"/>
      <c r="F42" s="57" t="n">
        <f aca="false">SUM(F10:F40)</f>
        <v>514.242500630199</v>
      </c>
      <c r="G42" s="57" t="n">
        <f aca="false">SUM(G10:G40)</f>
        <v>6683</v>
      </c>
      <c r="H42" s="57" t="n">
        <f aca="false">SUM(H10:H40)</f>
        <v>378.96</v>
      </c>
      <c r="I42" s="57" t="n">
        <f aca="false">SUM(I10:I40)</f>
        <v>7061.96</v>
      </c>
      <c r="J42" s="57" t="n">
        <f aca="false">SUM(J10:J40)</f>
        <v>310.527809427779</v>
      </c>
      <c r="K42" s="57" t="n">
        <f aca="false">SUM(K10:K40)</f>
        <v>7372.48780942778</v>
      </c>
      <c r="L42" s="57" t="n">
        <f aca="false">SUM(L10:L40)</f>
        <v>-715.807499369801</v>
      </c>
      <c r="M42" s="57" t="n">
        <f aca="false">SUM(M11:M40)</f>
        <v>2354.1</v>
      </c>
      <c r="N42" s="57" t="n">
        <f aca="false">SUM(N10:N40)</f>
        <v>477.1308</v>
      </c>
      <c r="O42" s="57" t="n">
        <f aca="false">SUM(O10:O40)</f>
        <v>1987.6092</v>
      </c>
      <c r="P42" s="57" t="n">
        <f aca="false">SUM(P10:P40)</f>
        <v>904</v>
      </c>
      <c r="Q42" s="57" t="n">
        <f aca="false">SUM(Q10:Q40)</f>
        <v>831</v>
      </c>
      <c r="R42" s="57" t="n">
        <f aca="false">SUM(R10:R40)</f>
        <v>3722.6092</v>
      </c>
      <c r="S42" s="57"/>
      <c r="T42" s="57" t="n">
        <f aca="false">SUM(T10:T40)</f>
        <v>27.17</v>
      </c>
      <c r="U42" s="57" t="n">
        <f aca="false">SUM(U10:U40)</f>
        <v>1605</v>
      </c>
      <c r="V42" s="57"/>
      <c r="W42" s="57" t="n">
        <f aca="false">SUM(W10:W40)</f>
        <v>5831.91</v>
      </c>
      <c r="X42" s="57" t="n">
        <f aca="false">SUM(X10:X40)</f>
        <v>1026.33530879758</v>
      </c>
      <c r="Y42" s="57" t="n">
        <f aca="false">SUM(Y10:Y40)</f>
        <v>6858.24530879758</v>
      </c>
      <c r="Z42" s="60" t="n">
        <f aca="false">SUM(Z10:Z40)</f>
        <v>1.09</v>
      </c>
      <c r="AA42" s="61" t="n">
        <f aca="false">AVERAGE(AA10:AA40)</f>
        <v>64.3870967741936</v>
      </c>
      <c r="AB42" s="61" t="n">
        <f aca="false">AVERAGE(AB10:AB40)</f>
        <v>34.5161290322581</v>
      </c>
      <c r="AC42" s="62"/>
      <c r="AD42" s="78"/>
      <c r="AE42" s="78"/>
      <c r="AF42" s="79"/>
    </row>
    <row r="43" customFormat="false" ht="11.1" hidden="false" customHeight="true" outlineLevel="0" collapsed="false">
      <c r="A43" s="56" t="s">
        <v>46</v>
      </c>
      <c r="B43" s="56"/>
      <c r="C43" s="57"/>
      <c r="D43" s="57" t="n">
        <f aca="false">SUM(D10:D40)</f>
        <v>1020</v>
      </c>
      <c r="E43" s="57"/>
      <c r="F43" s="57" t="n">
        <f aca="false">F42*$D$2</f>
        <v>1020</v>
      </c>
      <c r="G43" s="57" t="n">
        <f aca="false">G42*$D$2</f>
        <v>13255.7305</v>
      </c>
      <c r="H43" s="57" t="n">
        <f aca="false">H42*$D$2</f>
        <v>751.66716</v>
      </c>
      <c r="I43" s="57" t="n">
        <f aca="false">I42*$D$2</f>
        <v>14007.39766</v>
      </c>
      <c r="J43" s="57" t="n">
        <f aca="false">J42*$D$2</f>
        <v>615.93191</v>
      </c>
      <c r="K43" s="57" t="n">
        <f aca="false">K42*$D$2</f>
        <v>14623.32957</v>
      </c>
      <c r="L43" s="57" t="n">
        <f aca="false">L42*$D$2</f>
        <v>-1419.804175</v>
      </c>
      <c r="M43" s="57" t="n">
        <f aca="false">M42*$D$2</f>
        <v>4669.35735</v>
      </c>
      <c r="N43" s="57" t="n">
        <f aca="false">N42*$D$2</f>
        <v>946.3889418</v>
      </c>
      <c r="O43" s="57" t="n">
        <f aca="false">O42*$D$2</f>
        <v>3942.4228482</v>
      </c>
      <c r="P43" s="57" t="n">
        <f aca="false">P42*$D$2</f>
        <v>1793.084</v>
      </c>
      <c r="Q43" s="57" t="n">
        <f aca="false">Q42*$D$2</f>
        <v>1648.2885</v>
      </c>
      <c r="R43" s="57" t="n">
        <f aca="false">R42*$D$2</f>
        <v>7383.7953482</v>
      </c>
      <c r="S43" s="57"/>
      <c r="T43" s="57" t="n">
        <f aca="false">T42*$D$2</f>
        <v>53.891695</v>
      </c>
      <c r="U43" s="57" t="n">
        <f aca="false">U42*$D$2</f>
        <v>3183.5175</v>
      </c>
      <c r="V43" s="57" t="n">
        <f aca="false">V42*$D$2</f>
        <v>0</v>
      </c>
      <c r="W43" s="57" t="n">
        <f aca="false">W42*$D$2</f>
        <v>11567.593485</v>
      </c>
      <c r="X43" s="57" t="n">
        <f aca="false">X42*$D$2</f>
        <v>2035.736085</v>
      </c>
      <c r="Y43" s="57" t="n">
        <f aca="false">Y42*$D$2</f>
        <v>13603.32957</v>
      </c>
      <c r="Z43" s="60"/>
      <c r="AA43" s="61" t="n">
        <f aca="false">MAX(AA10:AA40)</f>
        <v>83</v>
      </c>
      <c r="AB43" s="61" t="n">
        <f aca="false">MAX(AB10:AB40)</f>
        <v>51</v>
      </c>
      <c r="AC43" s="62" t="s">
        <v>47</v>
      </c>
      <c r="AD43" s="78"/>
      <c r="AE43" s="78"/>
      <c r="AF43" s="79"/>
    </row>
    <row r="44" customFormat="false" ht="3" hidden="false" customHeight="true" outlineLevel="0" collapsed="false">
      <c r="A44" s="83"/>
      <c r="B44" s="83"/>
      <c r="C44" s="85"/>
      <c r="D44" s="85"/>
      <c r="E44" s="85"/>
      <c r="F44" s="85"/>
      <c r="G44" s="85"/>
      <c r="H44" s="85"/>
      <c r="I44" s="85"/>
      <c r="J44" s="85"/>
      <c r="K44" s="85"/>
      <c r="L44" s="85"/>
      <c r="M44" s="85"/>
      <c r="N44" s="85"/>
      <c r="O44" s="85"/>
      <c r="P44" s="85"/>
      <c r="Q44" s="85"/>
      <c r="R44" s="85"/>
      <c r="S44" s="85"/>
      <c r="T44" s="85"/>
      <c r="U44" s="85"/>
      <c r="V44" s="83"/>
      <c r="W44" s="85"/>
      <c r="X44" s="85"/>
      <c r="Y44" s="85"/>
      <c r="Z44" s="60"/>
      <c r="AA44" s="61"/>
      <c r="AB44" s="61"/>
      <c r="AC44" s="62"/>
      <c r="AD44" s="78"/>
      <c r="AE44" s="78"/>
      <c r="AF44" s="79"/>
    </row>
    <row r="45" customFormat="false" ht="11.1" hidden="false" customHeight="true" outlineLevel="0" collapsed="false">
      <c r="A45" s="56" t="s">
        <v>48</v>
      </c>
      <c r="B45" s="56"/>
      <c r="C45" s="57"/>
      <c r="D45" s="57"/>
      <c r="E45" s="57"/>
      <c r="F45" s="57" t="n">
        <f aca="false">F7+F42</f>
        <v>4252.07965717167</v>
      </c>
      <c r="G45" s="57" t="n">
        <f aca="false">G7+G42</f>
        <v>217416</v>
      </c>
      <c r="H45" s="57" t="n">
        <f aca="false">H7+H42</f>
        <v>10720.92</v>
      </c>
      <c r="I45" s="57" t="n">
        <f aca="false">I7+I42</f>
        <v>228136.92</v>
      </c>
      <c r="J45" s="57" t="n">
        <f aca="false">J7+J42</f>
        <v>35272.7598663978</v>
      </c>
      <c r="K45" s="57" t="n">
        <f aca="false">K7+K42</f>
        <v>263409.679866398</v>
      </c>
      <c r="L45" s="57" t="n">
        <f aca="false">L7+L42</f>
        <v>30281.4496571717</v>
      </c>
      <c r="M45" s="57" t="n">
        <f aca="false">M7+M42</f>
        <v>37001.86</v>
      </c>
      <c r="N45" s="57" t="n">
        <f aca="false">N7+N42</f>
        <v>6773.8433</v>
      </c>
      <c r="O45" s="57" t="n">
        <f aca="false">O7+O42</f>
        <v>30338.6567</v>
      </c>
      <c r="P45" s="57" t="n">
        <f aca="false">P7+P42</f>
        <v>20617.66</v>
      </c>
      <c r="Q45" s="57" t="n">
        <f aca="false">Q7+Q42</f>
        <v>10890.15</v>
      </c>
      <c r="R45" s="57" t="n">
        <f aca="false">R7+R42</f>
        <v>61846.4667</v>
      </c>
      <c r="S45" s="57" t="n">
        <f aca="false">S40</f>
        <v>23733.4103809175</v>
      </c>
      <c r="T45" s="57" t="n">
        <f aca="false">T7+T42</f>
        <v>17429.08</v>
      </c>
      <c r="U45" s="57" t="n">
        <f aca="false">U7+U42</f>
        <v>168116.9</v>
      </c>
      <c r="V45" s="57"/>
      <c r="W45" s="57" t="n">
        <f aca="false">W7+W42</f>
        <v>254166.29</v>
      </c>
      <c r="X45" s="57" t="n">
        <f aca="false">X7+X42</f>
        <v>4991.31020922612</v>
      </c>
      <c r="Y45" s="57" t="n">
        <f aca="false">Y7+Y42</f>
        <v>259157.600209226</v>
      </c>
      <c r="Z45" s="60"/>
      <c r="AA45" s="61" t="n">
        <f aca="false">MIN(AA10:AA40)</f>
        <v>40</v>
      </c>
      <c r="AB45" s="61" t="n">
        <f aca="false">MIN(AB10:AB40)</f>
        <v>16</v>
      </c>
      <c r="AC45" s="62" t="s">
        <v>49</v>
      </c>
      <c r="AD45" s="78"/>
      <c r="AE45" s="78"/>
      <c r="AF45" s="79"/>
    </row>
    <row r="46" customFormat="false" ht="11.1" hidden="false" customHeight="true" outlineLevel="0" collapsed="false">
      <c r="A46" s="56" t="s">
        <v>50</v>
      </c>
      <c r="B46" s="56"/>
      <c r="C46" s="57"/>
      <c r="D46" s="57"/>
      <c r="E46" s="57"/>
      <c r="F46" s="57" t="n">
        <f aca="false">F45*$D$2</f>
        <v>8434</v>
      </c>
      <c r="G46" s="57" t="n">
        <f aca="false">G45*$D$2</f>
        <v>431244.636</v>
      </c>
      <c r="H46" s="57" t="n">
        <f aca="false">H45*$D$2</f>
        <v>21264.94482</v>
      </c>
      <c r="I46" s="57" t="n">
        <f aca="false">I45*$D$2</f>
        <v>452509.58082</v>
      </c>
      <c r="J46" s="57" t="n">
        <f aca="false">J45*$D$2</f>
        <v>69963.519195</v>
      </c>
      <c r="K46" s="57" t="n">
        <f aca="false">K45*$D$2</f>
        <v>522473.100015</v>
      </c>
      <c r="L46" s="57" t="n">
        <f aca="false">L45*$D$2</f>
        <v>60063.255395</v>
      </c>
      <c r="M46" s="57" t="n">
        <f aca="false">M45*$D$2</f>
        <v>73393.18931</v>
      </c>
      <c r="N46" s="57" t="n">
        <f aca="false">N45*$D$2</f>
        <v>13435.91818555</v>
      </c>
      <c r="O46" s="57" t="n">
        <f aca="false">O45*$D$2</f>
        <v>60176.72556445</v>
      </c>
      <c r="P46" s="57" t="n">
        <f aca="false">P45*$D$2</f>
        <v>40895.12861</v>
      </c>
      <c r="Q46" s="57" t="n">
        <f aca="false">Q45*$D$2</f>
        <v>21600.612525</v>
      </c>
      <c r="R46" s="57" t="n">
        <f aca="false">R45*$D$2</f>
        <v>122672.46669945</v>
      </c>
      <c r="S46" s="57" t="n">
        <f aca="false">S45*$D$2</f>
        <v>47075.2194905499</v>
      </c>
      <c r="T46" s="57" t="n">
        <f aca="false">T45*$D$2</f>
        <v>34570.58018</v>
      </c>
      <c r="U46" s="57" t="n">
        <f aca="false">U45*$D$2</f>
        <v>333459.87115</v>
      </c>
      <c r="V46" s="57" t="n">
        <f aca="false">V45*$D$2</f>
        <v>0</v>
      </c>
      <c r="W46" s="57" t="n">
        <f aca="false">W45*$D$2</f>
        <v>504138.836215</v>
      </c>
      <c r="X46" s="57" t="n">
        <f aca="false">X45*$D$2</f>
        <v>9900.2638</v>
      </c>
      <c r="Y46" s="57" t="n">
        <f aca="false">Y45*$D$2</f>
        <v>514039.100015</v>
      </c>
      <c r="Z46" s="60"/>
      <c r="AA46" s="61"/>
      <c r="AB46" s="61"/>
      <c r="AC46" s="62"/>
      <c r="AD46" s="78"/>
      <c r="AE46" s="78"/>
      <c r="AF46" s="79"/>
    </row>
    <row r="47" customFormat="false" ht="3" hidden="false" customHeight="true" outlineLevel="0" collapsed="false">
      <c r="A47" s="83"/>
      <c r="B47" s="83"/>
      <c r="C47" s="85"/>
      <c r="D47" s="85"/>
      <c r="E47" s="85"/>
      <c r="F47" s="85"/>
      <c r="G47" s="85"/>
      <c r="H47" s="88"/>
      <c r="I47" s="85"/>
      <c r="J47" s="85"/>
      <c r="K47" s="85"/>
      <c r="L47" s="85"/>
      <c r="M47" s="85"/>
      <c r="N47" s="85"/>
      <c r="O47" s="85"/>
      <c r="P47" s="85"/>
      <c r="Q47" s="85"/>
      <c r="R47" s="85"/>
      <c r="S47" s="85"/>
      <c r="T47" s="85"/>
      <c r="U47" s="85"/>
      <c r="V47" s="85"/>
      <c r="W47" s="85"/>
      <c r="X47" s="85"/>
      <c r="Y47" s="85"/>
      <c r="Z47" s="87"/>
      <c r="AA47" s="61"/>
      <c r="AB47" s="61"/>
      <c r="AC47" s="62"/>
      <c r="AD47" s="78"/>
      <c r="AE47" s="78"/>
      <c r="AF47" s="79"/>
    </row>
    <row r="48" customFormat="false" ht="11.1" hidden="false" customHeight="true" outlineLevel="0" collapsed="false">
      <c r="A48" s="56" t="s">
        <v>51</v>
      </c>
      <c r="B48" s="56"/>
      <c r="C48" s="57"/>
      <c r="D48" s="57"/>
      <c r="E48" s="57"/>
      <c r="F48" s="57" t="n">
        <f aca="false">F8+F42</f>
        <v>44381.6486009579</v>
      </c>
      <c r="G48" s="57" t="n">
        <f aca="false">G8+G42</f>
        <v>244600.79</v>
      </c>
      <c r="H48" s="61" t="n">
        <f aca="false">H8+H42</f>
        <v>14280.62</v>
      </c>
      <c r="I48" s="57" t="n">
        <f aca="false">I8+I42</f>
        <v>258680.51</v>
      </c>
      <c r="J48" s="57" t="n">
        <f aca="false">J8+J42</f>
        <v>52021.3760045374</v>
      </c>
      <c r="K48" s="57" t="n">
        <f aca="false">K8+K42</f>
        <v>310701.886004537</v>
      </c>
      <c r="L48" s="57" t="n">
        <f aca="false">L8+L42</f>
        <v>46452.9986009579</v>
      </c>
      <c r="M48" s="57" t="n">
        <f aca="false">M8+M42</f>
        <v>38004.11</v>
      </c>
      <c r="N48" s="57" t="n">
        <f aca="false">N8+N42</f>
        <v>6820.8623</v>
      </c>
      <c r="O48" s="57" t="n">
        <f aca="false">O8+O42</f>
        <v>31024.8077</v>
      </c>
      <c r="P48" s="57" t="n">
        <f aca="false">P8+P42</f>
        <v>20725.18</v>
      </c>
      <c r="Q48" s="57" t="n">
        <f aca="false">Q8+Q42</f>
        <v>11088.95</v>
      </c>
      <c r="R48" s="57" t="n">
        <f aca="false">R8+R42</f>
        <v>63045.9547</v>
      </c>
      <c r="S48" s="57"/>
      <c r="T48" s="57" t="n">
        <f aca="false">T8+T42</f>
        <v>17429.08</v>
      </c>
      <c r="U48" s="57" t="n">
        <f aca="false">U8+U42</f>
        <v>173393.9</v>
      </c>
      <c r="V48" s="57" t="n">
        <f aca="false">V40</f>
        <v>6147.61887068313</v>
      </c>
      <c r="W48" s="57" t="n">
        <f aca="false">W8+W42</f>
        <v>260751.86</v>
      </c>
      <c r="X48" s="57" t="n">
        <f aca="false">X8+X42</f>
        <v>5568.37740357953</v>
      </c>
      <c r="Y48" s="57" t="n">
        <f aca="false">Y8+Y42</f>
        <v>266320.23740358</v>
      </c>
      <c r="Z48" s="81" t="n">
        <f aca="false">Z8+Z42</f>
        <v>20.49</v>
      </c>
      <c r="AA48" s="61"/>
      <c r="AB48" s="61"/>
      <c r="AC48" s="62"/>
      <c r="AD48" s="78"/>
      <c r="AE48" s="78"/>
      <c r="AF48" s="79"/>
    </row>
    <row r="49" customFormat="false" ht="11.1" hidden="false" customHeight="true" outlineLevel="0" collapsed="false">
      <c r="A49" s="56" t="s">
        <v>52</v>
      </c>
      <c r="B49" s="56"/>
      <c r="C49" s="57"/>
      <c r="D49" s="57" t="n">
        <f aca="false">D8+D43</f>
        <v>95594</v>
      </c>
      <c r="E49" s="57" t="n">
        <f aca="false">E40</f>
        <v>181510</v>
      </c>
      <c r="F49" s="57" t="n">
        <f aca="false">F48*$D$2</f>
        <v>88031</v>
      </c>
      <c r="G49" s="57" t="n">
        <f aca="false">G48*$D$2</f>
        <v>485165.666965</v>
      </c>
      <c r="H49" s="61" t="n">
        <f aca="false">H48*$D$2</f>
        <v>28325.60977</v>
      </c>
      <c r="I49" s="57" t="n">
        <f aca="false">I48*$D$2</f>
        <v>513092.791585</v>
      </c>
      <c r="J49" s="57" t="n">
        <f aca="false">J48*$D$2</f>
        <v>103184.399305</v>
      </c>
      <c r="K49" s="57" t="n">
        <f aca="false">K48*$D$2</f>
        <v>616277.19089</v>
      </c>
      <c r="L49" s="57" t="n">
        <f aca="false">L48*$D$2</f>
        <v>92139.522725</v>
      </c>
      <c r="M49" s="57" t="n">
        <f aca="false">M48*$D$2</f>
        <v>75381.152185</v>
      </c>
      <c r="N49" s="57" t="n">
        <f aca="false">N48*$D$2</f>
        <v>13529.18037205</v>
      </c>
      <c r="O49" s="57" t="n">
        <f aca="false">O48*$D$2</f>
        <v>61537.70607295</v>
      </c>
      <c r="P49" s="57" t="n">
        <f aca="false">P48*$D$2</f>
        <v>41108.39453</v>
      </c>
      <c r="Q49" s="57" t="n">
        <f aca="false">Q48*$D$2</f>
        <v>21994.932325</v>
      </c>
      <c r="R49" s="57" t="n">
        <f aca="false">R48*$D$2</f>
        <v>125051.65114745</v>
      </c>
      <c r="S49" s="57" t="n">
        <f aca="false">S48*$D$2</f>
        <v>0</v>
      </c>
      <c r="T49" s="57" t="n">
        <f aca="false">T48*$D$2</f>
        <v>34570.58018</v>
      </c>
      <c r="U49" s="57" t="n">
        <f aca="false">U48*$D$2</f>
        <v>343926.80065</v>
      </c>
      <c r="V49" s="57" t="n">
        <f aca="false">V48*$D$2</f>
        <v>12193.80203</v>
      </c>
      <c r="W49" s="57" t="n">
        <f aca="false">W48*$D$2</f>
        <v>517201.31431</v>
      </c>
      <c r="X49" s="57" t="n">
        <f aca="false">X48*$D$2</f>
        <v>11044.87658</v>
      </c>
      <c r="Y49" s="57" t="n">
        <f aca="false">Y48*$D$2</f>
        <v>528246.19089</v>
      </c>
      <c r="Z49" s="60"/>
      <c r="AA49" s="61"/>
      <c r="AB49" s="61"/>
      <c r="AC49" s="62"/>
      <c r="AD49" s="78"/>
      <c r="AE49" s="78"/>
      <c r="AF49" s="79"/>
    </row>
    <row r="50" customFormat="false" ht="3" hidden="false" customHeight="true" outlineLevel="0" collapsed="false">
      <c r="A50" s="83"/>
      <c r="B50" s="83"/>
      <c r="C50" s="85"/>
      <c r="D50" s="83"/>
      <c r="E50" s="85"/>
      <c r="F50" s="83"/>
      <c r="G50" s="83"/>
      <c r="H50" s="86"/>
      <c r="I50" s="83"/>
      <c r="J50" s="83"/>
      <c r="K50" s="83"/>
      <c r="L50" s="83"/>
      <c r="M50" s="83"/>
      <c r="N50" s="83"/>
      <c r="O50" s="83"/>
      <c r="P50" s="83"/>
      <c r="Q50" s="83"/>
      <c r="R50" s="83"/>
      <c r="S50" s="85"/>
      <c r="T50" s="83"/>
      <c r="U50" s="83"/>
      <c r="V50" s="85"/>
      <c r="W50" s="83"/>
      <c r="X50" s="83"/>
      <c r="Y50" s="83"/>
      <c r="Z50" s="60"/>
      <c r="AA50" s="61"/>
      <c r="AB50" s="61"/>
      <c r="AC50" s="62"/>
      <c r="AD50" s="78"/>
      <c r="AE50" s="78"/>
      <c r="AF50" s="79"/>
    </row>
    <row r="51" customFormat="false" ht="11.1" hidden="false" customHeight="true" outlineLevel="0" collapsed="false">
      <c r="A51" s="136" t="str">
        <f aca="false">"NOV /7"</f>
        <v>NOV /7</v>
      </c>
      <c r="B51" s="93"/>
      <c r="C51" s="57"/>
      <c r="D51" s="56"/>
      <c r="E51" s="57"/>
      <c r="F51" s="56"/>
      <c r="G51" s="56"/>
      <c r="H51" s="58"/>
      <c r="I51" s="56"/>
      <c r="J51" s="56"/>
      <c r="K51" s="56"/>
      <c r="L51" s="56"/>
      <c r="M51" s="56"/>
      <c r="N51" s="56"/>
      <c r="O51" s="56"/>
      <c r="P51" s="56"/>
      <c r="Q51" s="56"/>
      <c r="R51" s="56"/>
      <c r="S51" s="57"/>
      <c r="T51" s="56"/>
      <c r="U51" s="56"/>
      <c r="V51" s="57"/>
      <c r="W51" s="56"/>
      <c r="X51" s="56"/>
      <c r="Y51" s="56"/>
      <c r="Z51" s="60"/>
      <c r="AA51" s="61"/>
      <c r="AB51" s="61"/>
      <c r="AC51" s="62"/>
      <c r="AD51" s="63"/>
      <c r="AE51" s="63"/>
    </row>
    <row r="52" customFormat="false" ht="11.1" hidden="false" customHeight="true" outlineLevel="0" collapsed="false">
      <c r="A52" s="56"/>
      <c r="B52" s="80" t="n">
        <v>6889.52</v>
      </c>
      <c r="C52" s="57" t="n">
        <v>246552</v>
      </c>
      <c r="D52" s="90"/>
      <c r="E52" s="57" t="n">
        <f aca="false">C52-152000</f>
        <v>94552</v>
      </c>
      <c r="F52" s="56"/>
      <c r="G52" s="56"/>
      <c r="H52" s="90"/>
      <c r="I52" s="58"/>
      <c r="J52" s="56"/>
      <c r="K52" s="46"/>
      <c r="L52" s="56"/>
      <c r="M52" s="56"/>
      <c r="N52" s="56"/>
      <c r="O52" s="49"/>
      <c r="S52" s="57"/>
      <c r="T52" s="111" t="n">
        <v>33254</v>
      </c>
      <c r="U52" s="49" t="str">
        <f aca="false">"= FS metered "</f>
        <v>= FS metered </v>
      </c>
      <c r="V52" s="57"/>
      <c r="W52" s="56"/>
      <c r="X52" s="56"/>
      <c r="Y52" s="56"/>
      <c r="Z52" s="60"/>
      <c r="AA52" s="61"/>
      <c r="AB52" s="61"/>
      <c r="AC52" s="62"/>
      <c r="AD52" s="63"/>
      <c r="AE52" s="63"/>
    </row>
    <row r="53" customFormat="false" ht="11.1" hidden="false" customHeight="true" outlineLevel="0" collapsed="false">
      <c r="A53" s="90" t="str">
        <f aca="false">"9/12/96 thru 10/7/96"</f>
        <v>9/12/96 thru 10/7/96</v>
      </c>
      <c r="B53" s="90"/>
      <c r="C53" s="57"/>
      <c r="D53" s="57"/>
      <c r="E53" s="57"/>
      <c r="F53" s="90"/>
      <c r="G53" s="90"/>
      <c r="H53" s="58"/>
      <c r="I53" s="90"/>
      <c r="J53" s="90"/>
      <c r="K53" s="90"/>
      <c r="L53" s="90"/>
      <c r="M53" s="81"/>
      <c r="N53" s="81"/>
      <c r="O53" s="81"/>
      <c r="P53" s="56" t="s">
        <v>110</v>
      </c>
      <c r="Q53" s="56"/>
      <c r="R53" s="57" t="n">
        <v>3305</v>
      </c>
      <c r="S53" s="57"/>
      <c r="T53" s="141" t="n">
        <f aca="false">T52/T49</f>
        <v>0.961916167644717</v>
      </c>
      <c r="U53" s="49" t="str">
        <f aca="false">"= FS Delivery Efficiency"</f>
        <v>= FS Delivery Efficiency</v>
      </c>
      <c r="V53" s="57"/>
      <c r="W53" s="90"/>
      <c r="X53" s="90"/>
      <c r="Y53" s="90"/>
      <c r="Z53" s="60"/>
      <c r="AA53" s="61"/>
      <c r="AB53" s="61"/>
      <c r="AC53" s="62"/>
      <c r="AD53" s="94"/>
      <c r="AE53" s="94"/>
    </row>
    <row r="54" customFormat="false" ht="11.1" hidden="false" customHeight="true" outlineLevel="0" collapsed="false">
      <c r="A54" s="90"/>
      <c r="B54" s="60" t="n">
        <f aca="false">B52-B21</f>
        <v>-23.1099999999997</v>
      </c>
      <c r="C54" s="57"/>
      <c r="D54" s="57" t="n">
        <f aca="false">C52-C21</f>
        <v>-86061</v>
      </c>
      <c r="E54" s="57"/>
      <c r="F54" s="90"/>
      <c r="G54" s="90"/>
      <c r="H54" s="58"/>
      <c r="I54" s="90"/>
      <c r="J54" s="90"/>
      <c r="K54" s="90"/>
      <c r="L54" s="90"/>
      <c r="M54" s="81"/>
      <c r="N54" s="81"/>
      <c r="O54" s="81"/>
      <c r="P54" s="90" t="s">
        <v>111</v>
      </c>
      <c r="Q54" s="90"/>
      <c r="R54" s="111" t="n">
        <v>1155</v>
      </c>
      <c r="S54" s="57"/>
      <c r="T54" s="90"/>
      <c r="V54" s="57"/>
      <c r="W54" s="90"/>
      <c r="X54" s="90"/>
      <c r="Y54" s="90"/>
      <c r="Z54" s="60"/>
      <c r="AA54" s="61"/>
      <c r="AB54" s="61"/>
      <c r="AC54" s="62"/>
      <c r="AD54" s="94"/>
      <c r="AE54" s="94"/>
    </row>
    <row r="55" customFormat="false" ht="11.1" hidden="false" customHeight="true" outlineLevel="0" collapsed="false">
      <c r="A55" s="90"/>
      <c r="B55" s="90"/>
      <c r="C55" s="57"/>
      <c r="D55" s="90"/>
      <c r="E55" s="57"/>
      <c r="F55" s="90"/>
      <c r="G55" s="95"/>
      <c r="H55" s="58"/>
      <c r="I55" s="90"/>
      <c r="J55" s="90"/>
      <c r="K55" s="90"/>
      <c r="L55" s="90"/>
      <c r="M55" s="81"/>
      <c r="N55" s="81"/>
      <c r="O55" s="81"/>
      <c r="P55" s="90" t="s">
        <v>112</v>
      </c>
      <c r="Q55" s="90"/>
      <c r="R55" s="57" t="n">
        <f aca="false">R49-(R53+R54)</f>
        <v>120591.65114745</v>
      </c>
      <c r="S55" s="57"/>
      <c r="T55" s="90"/>
      <c r="V55" s="57"/>
      <c r="W55" s="90"/>
      <c r="X55" s="90"/>
      <c r="Y55" s="90"/>
      <c r="Z55" s="60"/>
      <c r="AA55" s="61"/>
      <c r="AB55" s="61"/>
      <c r="AC55" s="62"/>
      <c r="AD55" s="94"/>
      <c r="AE55" s="94"/>
    </row>
  </sheetData>
  <mergeCells count="2">
    <mergeCell ref="K2:T2"/>
    <mergeCell ref="M4:O4"/>
  </mergeCells>
  <printOptions headings="true" gridLines="true" gridLinesSet="true" horizontalCentered="true" verticalCentered="false"/>
  <pageMargins left="0" right="0" top="0" bottom="0"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2004-12-01T08:56:43Z</dcterms:created>
  <dc:creator>JOHN PORTER</dc:creator>
  <dc:description/>
  <dc:language>en-US</dc:language>
  <cp:lastModifiedBy>E A Birk</cp:lastModifiedBy>
  <cp:lastPrinted>2003-01-29T15:24:57Z</cp:lastPrinted>
  <dcterms:modified xsi:type="dcterms:W3CDTF">2005-02-16T16:22:44Z</dcterms:modified>
  <cp:revision>0</cp:revision>
  <dc:subject>MCPHEE IN/OUT FLOW</dc:subject>
  <dc:title>RIVER</dc:title>
</cp:coreProperties>
</file>